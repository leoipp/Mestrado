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PycharmProjects\Mestrado\Data\DataFrames\"/>
    </mc:Choice>
  </mc:AlternateContent>
  <xr:revisionPtr revIDLastSave="0" documentId="13_ncr:1_{FD84E2C8-DB9C-4494-9739-26A2BC8982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2" i="1"/>
</calcChain>
</file>

<file path=xl/sharedStrings.xml><?xml version="1.0" encoding="utf-8"?>
<sst xmlns="http://schemas.openxmlformats.org/spreadsheetml/2006/main" count="8528" uniqueCount="2211">
  <si>
    <t>Sobrevoo</t>
  </si>
  <si>
    <t>REGIONAL</t>
  </si>
  <si>
    <t>Parcelas LiDAR</t>
  </si>
  <si>
    <t>Chave Parcela</t>
  </si>
  <si>
    <t>Parcela</t>
  </si>
  <si>
    <t>LOTE_CODIGO</t>
  </si>
  <si>
    <t>PROJETO_NOME</t>
  </si>
  <si>
    <t>TALHAO_CODIGO</t>
  </si>
  <si>
    <t>AREA_ESTRATO</t>
  </si>
  <si>
    <t>TALHAO_AREA</t>
  </si>
  <si>
    <t>SUBREGIAO_NOME</t>
  </si>
  <si>
    <t>NUM_MEDICAO</t>
  </si>
  <si>
    <t>ANO_MANEJO</t>
  </si>
  <si>
    <t>CICLO</t>
  </si>
  <si>
    <t>ROTACAO</t>
  </si>
  <si>
    <t>INICIO_ROTACAO</t>
  </si>
  <si>
    <t>ESPACAMENTO</t>
  </si>
  <si>
    <t>MG_NOME</t>
  </si>
  <si>
    <t>MG_TIPO</t>
  </si>
  <si>
    <t>REGIAO_NOME</t>
  </si>
  <si>
    <t>DESCTIPOPROPRIEDADE</t>
  </si>
  <si>
    <t>DATA_MEDICAO</t>
  </si>
  <si>
    <t>PROJETO_CODIGO</t>
  </si>
  <si>
    <t>LOTE_AREA</t>
  </si>
  <si>
    <t>Comprimento (m)</t>
  </si>
  <si>
    <t>Comp.Dec (o)</t>
  </si>
  <si>
    <t>Largura (m)</t>
  </si>
  <si>
    <t>Larg.Dec (o)</t>
  </si>
  <si>
    <t>Área (m²)</t>
  </si>
  <si>
    <t>Área.corrigida (m²)</t>
  </si>
  <si>
    <t>Medição</t>
  </si>
  <si>
    <t>Idade (meses)</t>
  </si>
  <si>
    <t>Idade (anos)</t>
  </si>
  <si>
    <t>HT.média (m)</t>
  </si>
  <si>
    <t>Dap.médio (cm)</t>
  </si>
  <si>
    <t>Área basal (m²)</t>
  </si>
  <si>
    <t>Fustes (n)</t>
  </si>
  <si>
    <t>Fustes (n/ha)</t>
  </si>
  <si>
    <t>VTCC(m³/ha)</t>
  </si>
  <si>
    <t>VTCC(m³/Fuste)</t>
  </si>
  <si>
    <t>Matgen</t>
  </si>
  <si>
    <t>Regime</t>
  </si>
  <si>
    <t>Solo</t>
  </si>
  <si>
    <t>ESP_AB</t>
  </si>
  <si>
    <t>Fustes (%)</t>
  </si>
  <si>
    <t>DataFile</t>
  </si>
  <si>
    <t>FileTitle</t>
  </si>
  <si>
    <t>Total return count</t>
  </si>
  <si>
    <t>Return 1 count</t>
  </si>
  <si>
    <t>Return 2 count</t>
  </si>
  <si>
    <t>Return 3 count</t>
  </si>
  <si>
    <t>Return 4 count</t>
  </si>
  <si>
    <t>Return 5 count</t>
  </si>
  <si>
    <t>Return 6 count</t>
  </si>
  <si>
    <t>Return 7 count</t>
  </si>
  <si>
    <t>Return 8 count</t>
  </si>
  <si>
    <t>Return 9 count</t>
  </si>
  <si>
    <t>Other return count</t>
  </si>
  <si>
    <t>Elev minimum</t>
  </si>
  <si>
    <t>Elev maximum</t>
  </si>
  <si>
    <t>Elev mean</t>
  </si>
  <si>
    <t>Elev mode</t>
  </si>
  <si>
    <t>Elev stddev</t>
  </si>
  <si>
    <t>Elev variance</t>
  </si>
  <si>
    <t>Elev CV</t>
  </si>
  <si>
    <t>Elev IQ</t>
  </si>
  <si>
    <t>Elev skewness</t>
  </si>
  <si>
    <t>Elev kurtosis</t>
  </si>
  <si>
    <t>Elev AAD</t>
  </si>
  <si>
    <t>Elev MAD median</t>
  </si>
  <si>
    <t>Elev MAD mode</t>
  </si>
  <si>
    <t>Elev L1</t>
  </si>
  <si>
    <t>Elev L2</t>
  </si>
  <si>
    <t>Elev L3</t>
  </si>
  <si>
    <t>Elev L4</t>
  </si>
  <si>
    <t>Elev L CV</t>
  </si>
  <si>
    <t>Elev L skewness</t>
  </si>
  <si>
    <t>Elev L kurtosis</t>
  </si>
  <si>
    <t>Elev P01</t>
  </si>
  <si>
    <t>Elev P05</t>
  </si>
  <si>
    <t>Elev P10</t>
  </si>
  <si>
    <t>Elev P20</t>
  </si>
  <si>
    <t>Elev P25</t>
  </si>
  <si>
    <t>Elev P30</t>
  </si>
  <si>
    <t>Elev P40</t>
  </si>
  <si>
    <t>Elev P50</t>
  </si>
  <si>
    <t>Elev P60</t>
  </si>
  <si>
    <t>Elev P70</t>
  </si>
  <si>
    <t>Elev P75</t>
  </si>
  <si>
    <t>Elev P80</t>
  </si>
  <si>
    <t>Elev P90</t>
  </si>
  <si>
    <t>Elev P95</t>
  </si>
  <si>
    <t>Elev P99</t>
  </si>
  <si>
    <t>Canopy relief ratio</t>
  </si>
  <si>
    <t>Elev SQRT mean SQ</t>
  </si>
  <si>
    <t>Elev CURT mean CUBE</t>
  </si>
  <si>
    <t>Int minimum</t>
  </si>
  <si>
    <t>Int maximum</t>
  </si>
  <si>
    <t>Int mean</t>
  </si>
  <si>
    <t>Int mode</t>
  </si>
  <si>
    <t>Int stddev</t>
  </si>
  <si>
    <t>Int variance</t>
  </si>
  <si>
    <t>Int CV</t>
  </si>
  <si>
    <t>Int IQ</t>
  </si>
  <si>
    <t>Int skewness</t>
  </si>
  <si>
    <t>Int kurtosis</t>
  </si>
  <si>
    <t>Int AAD</t>
  </si>
  <si>
    <t>Int L1</t>
  </si>
  <si>
    <t>Int L2</t>
  </si>
  <si>
    <t>Int L3</t>
  </si>
  <si>
    <t>Int L4</t>
  </si>
  <si>
    <t>Int L CV</t>
  </si>
  <si>
    <t>Int L skewness</t>
  </si>
  <si>
    <t>Int L kurtosis</t>
  </si>
  <si>
    <t>Int P01</t>
  </si>
  <si>
    <t>Int P05</t>
  </si>
  <si>
    <t>Int P10</t>
  </si>
  <si>
    <t>Int P20</t>
  </si>
  <si>
    <t>Int P25</t>
  </si>
  <si>
    <t>Int P30</t>
  </si>
  <si>
    <t>Int P40</t>
  </si>
  <si>
    <t>Int P50</t>
  </si>
  <si>
    <t>Int P60</t>
  </si>
  <si>
    <t>Int P70</t>
  </si>
  <si>
    <t>Int P75</t>
  </si>
  <si>
    <t>Int P80</t>
  </si>
  <si>
    <t>Int P90</t>
  </si>
  <si>
    <t>Int P95</t>
  </si>
  <si>
    <t>Int P99</t>
  </si>
  <si>
    <t>Percentage first returns above 3.00</t>
  </si>
  <si>
    <t>Percentage all returns above 3.00</t>
  </si>
  <si>
    <t>(All returns above 3.00) / (Total first returns) * 100</t>
  </si>
  <si>
    <t>First returns above 3.00</t>
  </si>
  <si>
    <t>All returns above 3.00</t>
  </si>
  <si>
    <t>Percentage first returns above mean</t>
  </si>
  <si>
    <t>Percentage first returns above mode</t>
  </si>
  <si>
    <t>Percentage all returns above mean</t>
  </si>
  <si>
    <t>Percentage all returns above mode</t>
  </si>
  <si>
    <t>(All returns above mean) / (Total first returns) * 100</t>
  </si>
  <si>
    <t>(All returns above mode) / (Total first returns) * 100</t>
  </si>
  <si>
    <t>First returns above mean</t>
  </si>
  <si>
    <t>First returns above mode</t>
  </si>
  <si>
    <t>All returns above mean</t>
  </si>
  <si>
    <t>All returns above mode</t>
  </si>
  <si>
    <t>Total first returns</t>
  </si>
  <si>
    <t>Total all returns</t>
  </si>
  <si>
    <t>Profile area</t>
  </si>
  <si>
    <t>NECOCE00366_16777</t>
  </si>
  <si>
    <t>NECOCE00366P09</t>
  </si>
  <si>
    <t>Vale do Sabiá</t>
  </si>
  <si>
    <t>NECOCE00366P09-741</t>
  </si>
  <si>
    <t>Cocais das Estrelas</t>
  </si>
  <si>
    <t>3,00 x 3,33</t>
  </si>
  <si>
    <t>CNB004</t>
  </si>
  <si>
    <t>Clone</t>
  </si>
  <si>
    <t>Cocais</t>
  </si>
  <si>
    <t>Própria</t>
  </si>
  <si>
    <t>NECOCE00366</t>
  </si>
  <si>
    <t>REF</t>
  </si>
  <si>
    <t>LVd3</t>
  </si>
  <si>
    <t>G:\GEOPROCESSAMENTO\IMAGENS\LiDAR\Dados_2022\PROPRIO\NECOCE00366_Vale_do_Sabia\Plot_las\Plots_16777_Norm.las</t>
  </si>
  <si>
    <t>Plots_16777_Norm</t>
  </si>
  <si>
    <t>NECOCE00366_16786</t>
  </si>
  <si>
    <t>NECOCE00366P09-753</t>
  </si>
  <si>
    <t>CNB001</t>
  </si>
  <si>
    <t>CNB010</t>
  </si>
  <si>
    <t>CXbd5</t>
  </si>
  <si>
    <t>G:\GEOPROCESSAMENTO\IMAGENS\LiDAR\Dados_2022\PROPRIO\NECOCE00366_Vale_do_Sabia\Plot_las\Plots_16786_Norm.las</t>
  </si>
  <si>
    <t>Plots_16786_Norm</t>
  </si>
  <si>
    <t>NEPIPC00220_16983</t>
  </si>
  <si>
    <t>NEPIPC00220P09</t>
  </si>
  <si>
    <t>Esmeralda</t>
  </si>
  <si>
    <t>NEPIPC00220P09-175</t>
  </si>
  <si>
    <t>Piçarrão</t>
  </si>
  <si>
    <t>3,00 x 3,00</t>
  </si>
  <si>
    <t>Piracicaba</t>
  </si>
  <si>
    <t>NEPIPC00220</t>
  </si>
  <si>
    <t>G:\GEOPROCESSAMENTO\IMAGENS\LiDAR\Dados_2022\PROPRIO\NEPIPC00220_Esmeralda\Plot_las\Plots_16983_Norm.las</t>
  </si>
  <si>
    <t>Plots_16983_Norm</t>
  </si>
  <si>
    <t>NEPIPC00220_16984</t>
  </si>
  <si>
    <t>G:\GEOPROCESSAMENTO\IMAGENS\LiDAR\Dados_2022\PROPRIO\NEPIPC00220_Esmeralda\Plot_las\Plots_16984_Norm.las</t>
  </si>
  <si>
    <t>Plots_16984_Norm</t>
  </si>
  <si>
    <t>NEPIPC00220_16985</t>
  </si>
  <si>
    <t>NEPIPC00220P09-176</t>
  </si>
  <si>
    <t>G:\GEOPROCESSAMENTO\IMAGENS\LiDAR\Dados_2022\PROPRIO\NEPIPC00220_Esmeralda\Plot_las\Plots_16985_Norm.las</t>
  </si>
  <si>
    <t>Plots_16985_Norm</t>
  </si>
  <si>
    <t>NEPIIT09161_18413</t>
  </si>
  <si>
    <t>NEPIIT09161R10</t>
  </si>
  <si>
    <t>Perobas</t>
  </si>
  <si>
    <t>NEPIIT09161R10-034</t>
  </si>
  <si>
    <t>Itabira</t>
  </si>
  <si>
    <t>212C99</t>
  </si>
  <si>
    <t>NEPIIT09161</t>
  </si>
  <si>
    <t>G:\GEOPROCESSAMENTO\IMAGENS\LiDAR\Dados_2022\PROPRIO\NEPIIT09161_Perobas\Plot_las\Plots_18413_Norm.las</t>
  </si>
  <si>
    <t>Plots_18413_Norm</t>
  </si>
  <si>
    <t>GNVIVI00518_18458</t>
  </si>
  <si>
    <t>GNVIVI00518P10</t>
  </si>
  <si>
    <t>Carona</t>
  </si>
  <si>
    <t>GNVIVI00518P10-002</t>
  </si>
  <si>
    <t>Virginópolis</t>
  </si>
  <si>
    <t>CNB011</t>
  </si>
  <si>
    <t>GNVIVI00518</t>
  </si>
  <si>
    <t>C:\LiDAR\Projetos\GNVIVI00518_CARONA\plots\plot_18458.las</t>
  </si>
  <si>
    <t>plot_18458</t>
  </si>
  <si>
    <t>GNVIVI00518_18459</t>
  </si>
  <si>
    <t>GNVIVI00518R10</t>
  </si>
  <si>
    <t>GNVIVI00518R10-006</t>
  </si>
  <si>
    <t>074C83</t>
  </si>
  <si>
    <t>C:\LiDAR\Projetos\GNVIVI00518_CARONA\plots\plot_18459.las</t>
  </si>
  <si>
    <t>plot_18459</t>
  </si>
  <si>
    <t>GNVIVI00518_18466</t>
  </si>
  <si>
    <t>GNVIVI00518R10-001</t>
  </si>
  <si>
    <t>211C99</t>
  </si>
  <si>
    <t>C:\LiDAR\Projetos\GNVIVI00518_CARONA\plots\plot_18466.las</t>
  </si>
  <si>
    <t>plot_18466</t>
  </si>
  <si>
    <t>RDIPPD00477_19227</t>
  </si>
  <si>
    <t>RDIPPD00477R11</t>
  </si>
  <si>
    <t>Lagoa do Brito</t>
  </si>
  <si>
    <t>RDIPPD00477R11-037</t>
  </si>
  <si>
    <t>Pingo D' Água</t>
  </si>
  <si>
    <t>215C99</t>
  </si>
  <si>
    <t>Ipaba</t>
  </si>
  <si>
    <t>RDIPPD00477</t>
  </si>
  <si>
    <t>G:\GEOPROCESSAMENTO\IMAGENS\LiDAR\Dados_2022\PROPRIO\RDIPPD00477_Lagoa_do_Brito\Plot_las\Plots_19227_Norm.las</t>
  </si>
  <si>
    <t>Plots_19227_Norm</t>
  </si>
  <si>
    <t>RDIPPD00477_19228</t>
  </si>
  <si>
    <t>G:\GEOPROCESSAMENTO\IMAGENS\LiDAR\Dados_2022\PROPRIO\RDIPPD00477_Lagoa_do_Brito\Plot_las\Plots_19228_Norm.las</t>
  </si>
  <si>
    <t>Plots_19228_Norm</t>
  </si>
  <si>
    <t>RDIPPD00477_19233</t>
  </si>
  <si>
    <t>RDIPPD00477R11-036</t>
  </si>
  <si>
    <t>G:\GEOPROCESSAMENTO\IMAGENS\LiDAR\Dados_2022\PROPRIO\RDIPPD00477_Lagoa_do_Brito\Plot_las\Plots_19233_Norm.las</t>
  </si>
  <si>
    <t>Plots_19233_Norm</t>
  </si>
  <si>
    <t>RDBOBA00466_19319</t>
  </si>
  <si>
    <t>RDBOBA00466P11</t>
  </si>
  <si>
    <t>Milagre</t>
  </si>
  <si>
    <t>RDBOBA00466P11-219</t>
  </si>
  <si>
    <t>Baixada</t>
  </si>
  <si>
    <t>3,00 x 2,50</t>
  </si>
  <si>
    <t>Belo Oriente</t>
  </si>
  <si>
    <t>RDBOBA00466</t>
  </si>
  <si>
    <t>G:\GEOPROCESSAMENTO\IMAGENS\LiDAR\Dados_2022\PROPRIO\RDBOBA00466_Milagre\Plot_las\Plots_19319_Norm.las</t>
  </si>
  <si>
    <t>Plots_19319_Norm</t>
  </si>
  <si>
    <t>RDBOBA00466_19320</t>
  </si>
  <si>
    <t>G:\GEOPROCESSAMENTO\IMAGENS\LiDAR\Dados_2022\PROPRIO\RDBOBA00466_Milagre\Plot_las\Plots_19320_Norm.las</t>
  </si>
  <si>
    <t>Plots_19320_Norm</t>
  </si>
  <si>
    <t>RDIPPD00474_20434</t>
  </si>
  <si>
    <t>RDIPPD00474P12</t>
  </si>
  <si>
    <t>Lagoa das Piabas</t>
  </si>
  <si>
    <t>RDIPPD00474P12-037</t>
  </si>
  <si>
    <t>CNB013</t>
  </si>
  <si>
    <t>RDIPPD00474</t>
  </si>
  <si>
    <t>LAd4</t>
  </si>
  <si>
    <t>G:\GEOPROCESSAMENTO\IMAGENS\LiDAR\Dados_2022\PROPRIO\RDIPPD00474_Lagoa_das_Piabas\Plot_las\Plots_20434_Norm.las</t>
  </si>
  <si>
    <t>Plots_20434_Norm</t>
  </si>
  <si>
    <t>RDIPPD00474_20435</t>
  </si>
  <si>
    <t>G:\GEOPROCESSAMENTO\IMAGENS\LiDAR\Dados_2022\PROPRIO\RDIPPD00474_Lagoa_das_Piabas\Plot_las\Plots_20435_Norm.las</t>
  </si>
  <si>
    <t>Plots_20435_Norm</t>
  </si>
  <si>
    <t>RDIPMA00487_20462</t>
  </si>
  <si>
    <t>RDIPMA00487R12</t>
  </si>
  <si>
    <t>Beira Rio</t>
  </si>
  <si>
    <t>RDIPMA00487R12-018</t>
  </si>
  <si>
    <t>Macedônia</t>
  </si>
  <si>
    <t>CNB012</t>
  </si>
  <si>
    <t>RDIPMA00487</t>
  </si>
  <si>
    <t>REG</t>
  </si>
  <si>
    <t>G:\GEOPROCESSAMENTO\IMAGENS\LiDAR\Dados_2022\PROPRIO\RDIPMA00487_Beira_Rio\Plot_las\Plots_20462_Norm.las</t>
  </si>
  <si>
    <t>Plots_20462_Norm</t>
  </si>
  <si>
    <t>RDIPMA00487_20463</t>
  </si>
  <si>
    <t>G:\GEOPROCESSAMENTO\IMAGENS\LiDAR\Dados_2022\PROPRIO\RDIPMA00487_Beira_Rio\Plot_las\Plots_20463_Norm.las</t>
  </si>
  <si>
    <t>Plots_20463_Norm</t>
  </si>
  <si>
    <t>RDIPMA00487_20464</t>
  </si>
  <si>
    <t>G:\GEOPROCESSAMENTO\IMAGENS\LiDAR\Dados_2022\PROPRIO\RDIPMA00487_Beira_Rio\Plot_las\Plots_20464_Norm.las</t>
  </si>
  <si>
    <t>Plots_20464_Norm</t>
  </si>
  <si>
    <t>GNSACR00627_20581</t>
  </si>
  <si>
    <t>GNSACR00627P12</t>
  </si>
  <si>
    <t>Correntinho II</t>
  </si>
  <si>
    <t>GNSACR00627P12-085</t>
  </si>
  <si>
    <t>Correntinho</t>
  </si>
  <si>
    <t>CNB018</t>
  </si>
  <si>
    <t>Sabinópolis</t>
  </si>
  <si>
    <t>GNSACR00627</t>
  </si>
  <si>
    <t>LVw1</t>
  </si>
  <si>
    <t>G:\GEOPROCESSAMENTO\IMAGENS\LiDAR\Dados_2022\PROPRIO\GNSACR00627_Correntinho_II\Plot_las\Plots_20581_Norm.las</t>
  </si>
  <si>
    <t>Plots_20581_Norm</t>
  </si>
  <si>
    <t>GNSACR00627_20582</t>
  </si>
  <si>
    <t>GNSACR00627P12-086</t>
  </si>
  <si>
    <t>CXbd1</t>
  </si>
  <si>
    <t>G:\GEOPROCESSAMENTO\IMAGENS\LiDAR\Dados_2022\PROPRIO\GNSACR00627_Correntinho_II\Plot_las\Plots_20582_Norm.las</t>
  </si>
  <si>
    <t>Plots_20582_Norm</t>
  </si>
  <si>
    <t>RDIPPD00471_20766</t>
  </si>
  <si>
    <t>RDIPPD00471P12</t>
  </si>
  <si>
    <t>Lagoa Cristal</t>
  </si>
  <si>
    <t>RDIPPD00471P12-024</t>
  </si>
  <si>
    <t>RDIPPD00471</t>
  </si>
  <si>
    <t>LAd1</t>
  </si>
  <si>
    <t>G:\GEOPROCESSAMENTO\IMAGENS\LiDAR\Dados_2022\PROPRIO\RDIPPD00471_Lagoa_Cristal\Plot_las\Plots_20766_Norm.las</t>
  </si>
  <si>
    <t>Plots_20766_Norm</t>
  </si>
  <si>
    <t>NEPIAL00242_21196</t>
  </si>
  <si>
    <t>NEPIAL00242P13</t>
  </si>
  <si>
    <t>Riacho dos Portéis</t>
  </si>
  <si>
    <t>NEPIAL00242P13-069</t>
  </si>
  <si>
    <t>Alfié</t>
  </si>
  <si>
    <t>CNB020</t>
  </si>
  <si>
    <t>NEPIAL00242</t>
  </si>
  <si>
    <t>LVAd1</t>
  </si>
  <si>
    <t>G:\GEOPROCESSAMENTO\IMAGENS\LiDAR\Dados_2022\PROPRIO\NEPIAL00242_Riacho_dos_Porteis\Plot_las\Plots_21196_Norm.las</t>
  </si>
  <si>
    <t>Plots_21196_Norm</t>
  </si>
  <si>
    <t>NEPIAL00242_21197</t>
  </si>
  <si>
    <t>NEPIAL00242P13-070</t>
  </si>
  <si>
    <t>CNB022</t>
  </si>
  <si>
    <t>G:\GEOPROCESSAMENTO\IMAGENS\LiDAR\Dados_2022\PROPRIO\NEPIAL00242_Riacho_dos_Porteis\Plot_las\Plots_21197_Norm.las</t>
  </si>
  <si>
    <t>Plots_21197_Norm</t>
  </si>
  <si>
    <t>NEPIAL00242_21198</t>
  </si>
  <si>
    <t>NEPIAL00242P13-071</t>
  </si>
  <si>
    <t>CNB007</t>
  </si>
  <si>
    <t>CXbd10</t>
  </si>
  <si>
    <t>G:\GEOPROCESSAMENTO\IMAGENS\LiDAR\Dados_2022\PROPRIO\NEPIAL00242_Riacho_dos_Porteis\Plot_las\Plots_21198_Norm.las</t>
  </si>
  <si>
    <t>Plots_21198_Norm</t>
  </si>
  <si>
    <t>RDBOBA00458_21394</t>
  </si>
  <si>
    <t>RDBOBA00458R13</t>
  </si>
  <si>
    <t>Goiabal</t>
  </si>
  <si>
    <t>RDBOBA00458R13-262</t>
  </si>
  <si>
    <t>3,33 x 3,00</t>
  </si>
  <si>
    <t>CNB019</t>
  </si>
  <si>
    <t>RDBOBA00458</t>
  </si>
  <si>
    <t>G:\GEOPROCESSAMENTO\IMAGENS\LiDAR\Dados_2022\PROPRIO\RDBOBA00458_Goiabal\Plot_las\Plots_21394_Norm.las</t>
  </si>
  <si>
    <t>Plots_21394_Norm</t>
  </si>
  <si>
    <t>RDBOBA00458_21395</t>
  </si>
  <si>
    <t>G:\GEOPROCESSAMENTO\IMAGENS\LiDAR\Dados_2022\PROPRIO\RDBOBA00458_Goiabal\Plot_las\Plots_21395_Norm.las</t>
  </si>
  <si>
    <t>Plots_21395_Norm</t>
  </si>
  <si>
    <t>RDBOBA00458_21396</t>
  </si>
  <si>
    <t>G:\GEOPROCESSAMENTO\IMAGENS\LiDAR\Dados_2022\PROPRIO\RDBOBA00458_Goiabal\Plot_las\Plots_21396_Norm.las</t>
  </si>
  <si>
    <t>Plots_21396_Norm</t>
  </si>
  <si>
    <t>NEPIIT09174_21451</t>
  </si>
  <si>
    <t>NEPIIT09174R13</t>
  </si>
  <si>
    <t>Vargem Alegre</t>
  </si>
  <si>
    <t>NEPIIT09174R13-069</t>
  </si>
  <si>
    <t>NEPIIT09174</t>
  </si>
  <si>
    <t>CXbd1+CXbd5</t>
  </si>
  <si>
    <t>G:\GEOPROCESSAMENTO\IMAGENS\LiDAR\Dados_2022\PROPRIO\NEPIIT09174_Vargem_Alegre\Plot_las\Plots_21451_Norm.las</t>
  </si>
  <si>
    <t>Plots_21451_Norm</t>
  </si>
  <si>
    <t>NEPIIT09174_21452</t>
  </si>
  <si>
    <t>G:\GEOPROCESSAMENTO\IMAGENS\LiDAR\Dados_2022\PROPRIO\NEPIIT09174_Vargem_Alegre\Plot_las\Plots_21452_Norm.las</t>
  </si>
  <si>
    <t>Plots_21452_Norm</t>
  </si>
  <si>
    <t>NEPIIT09174_21453</t>
  </si>
  <si>
    <t>NEPIIT09174R13-108</t>
  </si>
  <si>
    <t>LVAd2</t>
  </si>
  <si>
    <t>G:\GEOPROCESSAMENTO\IMAGENS\LiDAR\Dados_2022\PROPRIO\NEPIIT09174_Vargem_Alegre\Plot_las\Plots_21453_Norm.las</t>
  </si>
  <si>
    <t>Plots_21453_Norm</t>
  </si>
  <si>
    <t>NECOCE00336_21586</t>
  </si>
  <si>
    <t>NECOCE00336R13</t>
  </si>
  <si>
    <t>Jatobá II</t>
  </si>
  <si>
    <t>NECOCE00336R13-002</t>
  </si>
  <si>
    <t>NECOCE00336</t>
  </si>
  <si>
    <t>G:\GEOPROCESSAMENTO\IMAGENS\LiDAR\Dados_2022\PROPRIO\NECOCE00336_Jatoba_II\Plot_las\Plots_21586_Norm.las</t>
  </si>
  <si>
    <t>Plots_21586_Norm</t>
  </si>
  <si>
    <t>NECOCE00336_21587</t>
  </si>
  <si>
    <t>G:\GEOPROCESSAMENTO\IMAGENS\LiDAR\Dados_2022\PROPRIO\NECOCE00336_Jatoba_II\Plot_las\Plots_21587_Norm.las</t>
  </si>
  <si>
    <t>Plots_21587_Norm</t>
  </si>
  <si>
    <t>NECOCE00336_21588</t>
  </si>
  <si>
    <t>NECOCE00336R13-003</t>
  </si>
  <si>
    <t>G:\GEOPROCESSAMENTO\IMAGENS\LiDAR\Dados_2022\PROPRIO\NECOCE00336_Jatoba_II\Plot_las\Plots_21588_Norm.las</t>
  </si>
  <si>
    <t>Plots_21588_Norm</t>
  </si>
  <si>
    <t>RDBOBA00465_21774</t>
  </si>
  <si>
    <t>RDBOBA00465P13</t>
  </si>
  <si>
    <t>Caxambu</t>
  </si>
  <si>
    <t>RDBOBA00465P13-347</t>
  </si>
  <si>
    <t>CNB005</t>
  </si>
  <si>
    <t>RDBOBA00465</t>
  </si>
  <si>
    <t>G:\GEOPROCESSAMENTO\IMAGENS\LiDAR\Dados_2022\PROPRIO\RDBOBA00465_Caxambu\Plot_las\Plots_21774_Norm.las</t>
  </si>
  <si>
    <t>Plots_21774_Norm</t>
  </si>
  <si>
    <t>RDBOBA00465_21777</t>
  </si>
  <si>
    <t>RDBOBA00465P13-346</t>
  </si>
  <si>
    <t>G:\GEOPROCESSAMENTO\IMAGENS\LiDAR\Dados_2022\PROPRIO\RDBOBA00465_Caxambu\Plot_las\Plots_21777_Norm.las</t>
  </si>
  <si>
    <t>Plots_21777_Norm</t>
  </si>
  <si>
    <t>RDBOBA00465_21778</t>
  </si>
  <si>
    <t>G:\GEOPROCESSAMENTO\IMAGENS\LiDAR\Dados_2022\PROPRIO\RDBOBA00465_Caxambu\Plot_las\Plots_21778_Norm.las</t>
  </si>
  <si>
    <t>Plots_21778_Norm</t>
  </si>
  <si>
    <t>RDBOBA00465_21780</t>
  </si>
  <si>
    <t>RDBOBA00465R13</t>
  </si>
  <si>
    <t>RDBOBA00465R13-348</t>
  </si>
  <si>
    <t>G:\GEOPROCESSAMENTO\IMAGENS\LiDAR\Dados_2022\PROPRIO\RDBOBA00465_Caxambu\Plot_las\Plots_21780_Norm.las</t>
  </si>
  <si>
    <t>Plots_21780_Norm</t>
  </si>
  <si>
    <t>RDBOBA00465_21781</t>
  </si>
  <si>
    <t>G:\GEOPROCESSAMENTO\IMAGENS\LiDAR\Dados_2022\PROPRIO\RDBOBA00465_Caxambu\Plot_las\Plots_21781_Norm.las</t>
  </si>
  <si>
    <t>Plots_21781_Norm</t>
  </si>
  <si>
    <t>RDBOBA00465_21782</t>
  </si>
  <si>
    <t>G:\GEOPROCESSAMENTO\IMAGENS\LiDAR\Dados_2022\PROPRIO\RDBOBA00465_Caxambu\Plot_las\Plots_21782_Norm.las</t>
  </si>
  <si>
    <t>Plots_21782_Norm</t>
  </si>
  <si>
    <t>GNVIVI00587_22088</t>
  </si>
  <si>
    <t>GNVIVI00587R14</t>
  </si>
  <si>
    <t>Três Barras</t>
  </si>
  <si>
    <t>GNVIVI00587R14-007</t>
  </si>
  <si>
    <t>GNVIVI00587</t>
  </si>
  <si>
    <t>CXbd3</t>
  </si>
  <si>
    <t>C:\LiDAR\Projetos\GNVIVI00587_TRES_BARRAS\plots\plot_22088.las</t>
  </si>
  <si>
    <t>plot_22088</t>
  </si>
  <si>
    <t>GNVIVI00587_22089</t>
  </si>
  <si>
    <t>C:\LiDAR\Projetos\GNVIVI00587_TRES_BARRAS\plots\plot_22089.las</t>
  </si>
  <si>
    <t>plot_22089</t>
  </si>
  <si>
    <t>GNVIVI00587_22090</t>
  </si>
  <si>
    <t>C:\LiDAR\Projetos\GNVIVI00587_TRES_BARRAS\plots\plot_22090.las</t>
  </si>
  <si>
    <t>plot_22090</t>
  </si>
  <si>
    <t>GNVIVI00565_22169</t>
  </si>
  <si>
    <t>GNVIVI00565P14</t>
  </si>
  <si>
    <t>Sapucaia</t>
  </si>
  <si>
    <t>GNVIVI00565P14-108</t>
  </si>
  <si>
    <t>GNVIVI00565</t>
  </si>
  <si>
    <t>LVd1</t>
  </si>
  <si>
    <t>C:\Users\C0010943\Fusion\GNVIVI00565_SAPUCAIA\plots\plot_22169.las</t>
  </si>
  <si>
    <t>plot_22169</t>
  </si>
  <si>
    <t>GNSAPE00613_22425</t>
  </si>
  <si>
    <t>GNSAPE00613R14</t>
  </si>
  <si>
    <t>Cachoeira das Pombas</t>
  </si>
  <si>
    <t>GNSAPE00613R14-025</t>
  </si>
  <si>
    <t>Penhora</t>
  </si>
  <si>
    <t>GNSAPE00613</t>
  </si>
  <si>
    <t>FFcd+RRd2</t>
  </si>
  <si>
    <t>C:\Users\C0010943\Fusion\GNSAPE00613_CACHOEIRA_DAS_POMBAS\plots\plot_22425.las</t>
  </si>
  <si>
    <t>plot_22425</t>
  </si>
  <si>
    <t>GNSAPE00613_22426</t>
  </si>
  <si>
    <t>C:\Users\C0010943\Fusion\GNSAPE00613_CACHOEIRA_DAS_POMBAS\plots\plot_22426.las</t>
  </si>
  <si>
    <t>plot_22426</t>
  </si>
  <si>
    <t>NEPIPC00245_22450</t>
  </si>
  <si>
    <t>NEPIPC00245R14</t>
  </si>
  <si>
    <t>Santeiro</t>
  </si>
  <si>
    <t>NEPIPC00245R14-186</t>
  </si>
  <si>
    <t>CNB029</t>
  </si>
  <si>
    <t>NEPIPC00245</t>
  </si>
  <si>
    <t>G:\GEOPROCESSAMENTO\IMAGENS\LiDAR\Dados_2022\PROPRIO\NEPIPC00245_Santeiro\Plot_las\Plots_22450_Norm.las</t>
  </si>
  <si>
    <t>Plots_22450_Norm</t>
  </si>
  <si>
    <t>NEPIAL00242_22453</t>
  </si>
  <si>
    <t>NEPIAL00242P14</t>
  </si>
  <si>
    <t>NEPIAL00242P14-059</t>
  </si>
  <si>
    <t>G:\GEOPROCESSAMENTO\IMAGENS\LiDAR\Dados_2022\PROPRIO\NEPIAL00242_Riacho_dos_Porteis\Plot_las\Plots_22453_Norm.las</t>
  </si>
  <si>
    <t>Plots_22453_Norm</t>
  </si>
  <si>
    <t>NEPIAL00242_22454</t>
  </si>
  <si>
    <t>G:\GEOPROCESSAMENTO\IMAGENS\LiDAR\Dados_2022\PROPRIO\NEPIAL00242_Riacho_dos_Porteis\Plot_las\Plots_22454_Norm.las</t>
  </si>
  <si>
    <t>Plots_22454_Norm</t>
  </si>
  <si>
    <t>NEPIAL00242_22455</t>
  </si>
  <si>
    <t>NEPIAL00242P14-060</t>
  </si>
  <si>
    <t>G:\GEOPROCESSAMENTO\IMAGENS\LiDAR\Dados_2022\PROPRIO\NEPIAL00242_Riacho_dos_Porteis\Plot_las\Plots_22455_Norm.las</t>
  </si>
  <si>
    <t>Plots_22455_Norm</t>
  </si>
  <si>
    <t>NEPIPC00214_22474</t>
  </si>
  <si>
    <t>NEPIPC00214P14</t>
  </si>
  <si>
    <t>Cordobrês</t>
  </si>
  <si>
    <t>NEPIPC00214P14-167</t>
  </si>
  <si>
    <t>NEPIPC00214</t>
  </si>
  <si>
    <t>G:\GEOPROCESSAMENTO\IMAGENS\LiDAR\Dados_2022\PROPRIO\NEPIPC00214_Cordobres\Plot_las\Plots_22474_Norm.las</t>
  </si>
  <si>
    <t>Plots_22474_Norm</t>
  </si>
  <si>
    <t>NEPIPC00214_22475</t>
  </si>
  <si>
    <t>G:\GEOPROCESSAMENTO\IMAGENS\LiDAR\Dados_2022\PROPRIO\NEPIPC00214_Cordobres\Plot_las\Plots_22475_Norm.las</t>
  </si>
  <si>
    <t>Plots_22475_Norm</t>
  </si>
  <si>
    <t>NEPIPC00214_22476</t>
  </si>
  <si>
    <t>NEPIPC00214P14-169</t>
  </si>
  <si>
    <t>G:\GEOPROCESSAMENTO\IMAGENS\LiDAR\Dados_2022\PROPRIO\NEPIPC00214_Cordobres\Plot_las\Plots_22476_Norm.las</t>
  </si>
  <si>
    <t>Plots_22476_Norm</t>
  </si>
  <si>
    <t>NECOCA00351_22829</t>
  </si>
  <si>
    <t>NECOCA00351R14</t>
  </si>
  <si>
    <t>Ribeirão Grande</t>
  </si>
  <si>
    <t>NECOCA00351R14-357</t>
  </si>
  <si>
    <t>Cocais das Arrudas</t>
  </si>
  <si>
    <t>NECOCA00351</t>
  </si>
  <si>
    <t>CXbd7</t>
  </si>
  <si>
    <t>G:\GEOPROCESSAMENTO\IMAGENS\LiDAR\Dados_2022\PROPRIO\NECOCA00351_Ribeirao_Grande\Plot_las\Plots_22829_Norm.las</t>
  </si>
  <si>
    <t>Plots_22829_Norm</t>
  </si>
  <si>
    <t>NECOCE00335_22877</t>
  </si>
  <si>
    <t>NECOCE00335P14</t>
  </si>
  <si>
    <t>Jatobá I</t>
  </si>
  <si>
    <t>NECOCE00335P14-052</t>
  </si>
  <si>
    <t>CNB030</t>
  </si>
  <si>
    <t>NECOCE00335</t>
  </si>
  <si>
    <t>LAwf1</t>
  </si>
  <si>
    <t>G:\GEOPROCESSAMENTO\IMAGENS\LiDAR\Dados_2022\PROPRIO\NECOCE00335_Jatoba_I\Plot_las\Plots_22877_Norm.las</t>
  </si>
  <si>
    <t>Plots_22877_Norm</t>
  </si>
  <si>
    <t>NECOCE00335_22878</t>
  </si>
  <si>
    <t>G:\GEOPROCESSAMENTO\IMAGENS\LiDAR\Dados_2022\PROPRIO\NECOCE00335_Jatoba_I\Plot_las\Plots_22878_Norm.las</t>
  </si>
  <si>
    <t>Plots_22878_Norm</t>
  </si>
  <si>
    <t>NECOCE00335_22879</t>
  </si>
  <si>
    <t>NECOCE00335P14-395</t>
  </si>
  <si>
    <t>G:\GEOPROCESSAMENTO\IMAGENS\LiDAR\Dados_2022\PROPRIO\NECOCE00335_Jatoba_I\Plot_las\Plots_22879_Norm.las</t>
  </si>
  <si>
    <t>Plots_22879_Norm</t>
  </si>
  <si>
    <t>NECOCE00319_22886</t>
  </si>
  <si>
    <t>NECOCE00319R14</t>
  </si>
  <si>
    <t>NECOCE00319R14-073</t>
  </si>
  <si>
    <t>NECOCE00319</t>
  </si>
  <si>
    <t>CXbd14+FFcd</t>
  </si>
  <si>
    <t>G:\GEOPROCESSAMENTO\IMAGENS\LiDAR\Dados_2022\PROPRIO\NECOCE00319_Cocais_das_Estrelas\Plot_las\Plots_22886_Norm.las</t>
  </si>
  <si>
    <t>Plots_22886_Norm</t>
  </si>
  <si>
    <t>NECOCE00319_22887</t>
  </si>
  <si>
    <t>G:\GEOPROCESSAMENTO\IMAGENS\LiDAR\Dados_2022\PROPRIO\NECOCE00319_Cocais_das_Estrelas\Plot_las\Plots_22887_Norm.las</t>
  </si>
  <si>
    <t>Plots_22887_Norm</t>
  </si>
  <si>
    <t>NECOCE00319_22888</t>
  </si>
  <si>
    <t>G:\GEOPROCESSAMENTO\IMAGENS\LiDAR\Dados_2022\PROPRIO\NECOCE00319_Cocais_das_Estrelas\Plot_las\Plots_22888_Norm.las</t>
  </si>
  <si>
    <t>Plots_22888_Norm</t>
  </si>
  <si>
    <t>RDIPMA00480_22945</t>
  </si>
  <si>
    <t>RDIPMA00480R14</t>
  </si>
  <si>
    <t>Rio Branco</t>
  </si>
  <si>
    <t>RDIPMA00480R14-007</t>
  </si>
  <si>
    <t>CNB002</t>
  </si>
  <si>
    <t>RDIPMA00480</t>
  </si>
  <si>
    <t>G:\GEOPROCESSAMENTO\IMAGENS\LiDAR\Dados_2022\PROPRIO\RDIPMA00480_Rio_Branco\Plot_las\Plots_22945_Norm.las</t>
  </si>
  <si>
    <t>Plots_22945_Norm</t>
  </si>
  <si>
    <t>RDIPMA00480_22946</t>
  </si>
  <si>
    <t>G:\GEOPROCESSAMENTO\IMAGENS\LiDAR\Dados_2022\PROPRIO\RDIPMA00480_Rio_Branco\Plot_las\Plots_22946_Norm.las</t>
  </si>
  <si>
    <t>Plots_22946_Norm</t>
  </si>
  <si>
    <t>RDIPMA00480_22947</t>
  </si>
  <si>
    <t>RDIPMA00480R14-020</t>
  </si>
  <si>
    <t>CNB009</t>
  </si>
  <si>
    <t>RUbe1</t>
  </si>
  <si>
    <t>G:\GEOPROCESSAMENTO\IMAGENS\LiDAR\Dados_2022\PROPRIO\RDIPMA00480_Rio_Branco\Plot_las\Plots_22947_Norm.las</t>
  </si>
  <si>
    <t>Plots_22947_Norm</t>
  </si>
  <si>
    <t>RDIPPD00474_22957</t>
  </si>
  <si>
    <t>RDIPPD00474P14</t>
  </si>
  <si>
    <t>RDIPPD00474P14-010</t>
  </si>
  <si>
    <t>CNB021</t>
  </si>
  <si>
    <t>FXd1</t>
  </si>
  <si>
    <t>G:\GEOPROCESSAMENTO\IMAGENS\LiDAR\Dados_2022\PROPRIO\RDIPPD00474_Lagoa_das_Piabas\Plot_las\Plots_22957_Norm.las</t>
  </si>
  <si>
    <t>Plots_22957_Norm</t>
  </si>
  <si>
    <t>RDIPPD00474_22958</t>
  </si>
  <si>
    <t>G:\GEOPROCESSAMENTO\IMAGENS\LiDAR\Dados_2022\PROPRIO\RDIPPD00474_Lagoa_das_Piabas\Plot_las\Plots_22958_Norm.las</t>
  </si>
  <si>
    <t>Plots_22958_Norm</t>
  </si>
  <si>
    <t>RDIPPD00474_22959</t>
  </si>
  <si>
    <t>G:\GEOPROCESSAMENTO\IMAGENS\LiDAR\Dados_2022\PROPRIO\RDIPPD00474_Lagoa_das_Piabas\Plot_las\Plots_22959_Norm.las</t>
  </si>
  <si>
    <t>Plots_22959_Norm</t>
  </si>
  <si>
    <t>RDPOPO00443_23061</t>
  </si>
  <si>
    <t>RDPOPO00443P14</t>
  </si>
  <si>
    <t>Pompéu</t>
  </si>
  <si>
    <t>RDPOPO00443P14-007</t>
  </si>
  <si>
    <t>RDPOPO00443</t>
  </si>
  <si>
    <t>LVAw1</t>
  </si>
  <si>
    <t>G:\GEOPROCESSAMENTO\IMAGENS\LiDAR\Dados_2022\PROPRIO\RDPOPO00443_Pompeu\Plot_las\Plots_23061_Norm.las</t>
  </si>
  <si>
    <t>Plots_23061_Norm</t>
  </si>
  <si>
    <t>RDPOPO00443_23062</t>
  </si>
  <si>
    <t>G:\GEOPROCESSAMENTO\IMAGENS\LiDAR\Dados_2022\PROPRIO\RDPOPO00443_Pompeu\Plot_las\Plots_23062_Norm.las</t>
  </si>
  <si>
    <t>Plots_23062_Norm</t>
  </si>
  <si>
    <t>RDPOPO00443_23065</t>
  </si>
  <si>
    <t>RDPOPO00443P14-009</t>
  </si>
  <si>
    <t>G:\GEOPROCESSAMENTO\IMAGENS\LiDAR\Dados_2022\PROPRIO\RDPOPO00443_Pompeu\Plot_las\Plots_23065_Norm.las</t>
  </si>
  <si>
    <t>Plots_23065_Norm</t>
  </si>
  <si>
    <t>RDPOPO00440_23066</t>
  </si>
  <si>
    <t>RDPOPO00440R14</t>
  </si>
  <si>
    <t>Nadir</t>
  </si>
  <si>
    <t>RDPOPO00440R14-022</t>
  </si>
  <si>
    <t>000VCL</t>
  </si>
  <si>
    <t>RDPOPO00440</t>
  </si>
  <si>
    <t>G:\GEOPROCESSAMENTO\IMAGENS\LiDAR\Dados_2022\PROPRIO\RDPOPO00440_Nadir\Plot_las\Plots_23066_Norm.las</t>
  </si>
  <si>
    <t>Plots_23066_Norm</t>
  </si>
  <si>
    <t>RDPOPO00440_23067</t>
  </si>
  <si>
    <t>RDPOPO00440R14-023</t>
  </si>
  <si>
    <t>G:\GEOPROCESSAMENTO\IMAGENS\LiDAR\Dados_2022\PROPRIO\RDPOPO00440_Nadir\Plot_las\Plots_23067_Norm.las</t>
  </si>
  <si>
    <t>Plots_23067_Norm</t>
  </si>
  <si>
    <t>RDBOBA00412_23187</t>
  </si>
  <si>
    <t>RDBOBA00412P14</t>
  </si>
  <si>
    <t>Cajá</t>
  </si>
  <si>
    <t>RDBOBA00412P14-178</t>
  </si>
  <si>
    <t>RDBOBA00412</t>
  </si>
  <si>
    <t>G:\GEOPROCESSAMENTO\IMAGENS\LiDAR\Dados_2022\PROPRIO\RDBOBA00412_Caja\Plot_las\Plots_23187_Norm.las</t>
  </si>
  <si>
    <t>Plots_23187_Norm</t>
  </si>
  <si>
    <t>RDBOBA00412_23188</t>
  </si>
  <si>
    <t>G:\GEOPROCESSAMENTO\IMAGENS\LiDAR\Dados_2022\PROPRIO\RDBOBA00412_Caja\Plot_las\Plots_23188_Norm.las</t>
  </si>
  <si>
    <t>Plots_23188_Norm</t>
  </si>
  <si>
    <t>NEPIIT09144_23211</t>
  </si>
  <si>
    <t>NEPIIT09144P15</t>
  </si>
  <si>
    <t>João de Deus</t>
  </si>
  <si>
    <t>NEPIIT09144P15-041</t>
  </si>
  <si>
    <t>NEPIIT09144</t>
  </si>
  <si>
    <t>G:\GEOPROCESSAMENTO\IMAGENS\LiDAR\Dados_2022\PROPRIO\NEPIIT09144_Joao_de_Deus\Plot_las\Plots_23211_Norm.las</t>
  </si>
  <si>
    <t>Plots_23211_Norm</t>
  </si>
  <si>
    <t>NEPIIT09144_23212</t>
  </si>
  <si>
    <t>G:\GEOPROCESSAMENTO\IMAGENS\LiDAR\Dados_2022\PROPRIO\NEPIIT09144_Joao_de_Deus\Plot_las\Plots_23212_Norm.las</t>
  </si>
  <si>
    <t>Plots_23212_Norm</t>
  </si>
  <si>
    <t>NEPIIT09144_23213</t>
  </si>
  <si>
    <t>G:\GEOPROCESSAMENTO\IMAGENS\LiDAR\Dados_2022\PROPRIO\NEPIIT09144_Joao_de_Deus\Plot_las\Plots_23213_Norm.las</t>
  </si>
  <si>
    <t>Plots_23213_Norm</t>
  </si>
  <si>
    <t>NEPIPC00238_23257</t>
  </si>
  <si>
    <t>NEPIPC00238P15</t>
  </si>
  <si>
    <t>Piçarrão I</t>
  </si>
  <si>
    <t>NEPIPC00238P15-011</t>
  </si>
  <si>
    <t>NEPIPC00238</t>
  </si>
  <si>
    <t>G:\GEOPROCESSAMENTO\IMAGENS\LiDAR\Dados_2022\PROPRIO\NEPIPC00238_Picarrao_I\Plot_las\Plots_23257_Norm.las</t>
  </si>
  <si>
    <t>Plots_23257_Norm</t>
  </si>
  <si>
    <t>NEPIPC00238_23260</t>
  </si>
  <si>
    <t>NEPIPC00238P15-006</t>
  </si>
  <si>
    <t>G:\GEOPROCESSAMENTO\IMAGENS\LiDAR\Dados_2022\PROPRIO\NEPIPC00238_Picarrao_I\Plot_las\Plots_23260_Norm.las</t>
  </si>
  <si>
    <t>Plots_23260_Norm</t>
  </si>
  <si>
    <t>NEPIIT00234_23263</t>
  </si>
  <si>
    <t>NEPIIT00234P15</t>
  </si>
  <si>
    <t>Mucuri</t>
  </si>
  <si>
    <t>NEPIIT00234P15-012</t>
  </si>
  <si>
    <t>NEPIIT00234</t>
  </si>
  <si>
    <t>G:\GEOPROCESSAMENTO\IMAGENS\LiDAR\Dados_2022\PROPRIO\NEPIIT00234_Mucuri\Plot_las\Plots_23263_Norm.las</t>
  </si>
  <si>
    <t>Plots_23263_Norm</t>
  </si>
  <si>
    <t>NEPIIT00234_23264</t>
  </si>
  <si>
    <t>NEPIIT00234P15-016</t>
  </si>
  <si>
    <t>G:\GEOPROCESSAMENTO\IMAGENS\LiDAR\Dados_2022\PROPRIO\NEPIIT00234_Mucuri\Plot_las\Plots_23264_Norm.las</t>
  </si>
  <si>
    <t>Plots_23264_Norm</t>
  </si>
  <si>
    <t>NEPIIT00234_23266</t>
  </si>
  <si>
    <t>NEPIIT00234P15-014</t>
  </si>
  <si>
    <t>CXbd19</t>
  </si>
  <si>
    <t>G:\GEOPROCESSAMENTO\IMAGENS\LiDAR\Dados_2022\PROPRIO\NEPIIT00234_Mucuri\Plot_las\Plots_23266_Norm.las</t>
  </si>
  <si>
    <t>Plots_23266_Norm</t>
  </si>
  <si>
    <t>NEPIPC00225_23274</t>
  </si>
  <si>
    <t>NEPIPC00225R15</t>
  </si>
  <si>
    <t>Liberdade</t>
  </si>
  <si>
    <t>NEPIPC00225R15-101</t>
  </si>
  <si>
    <t>NEPIPC00225</t>
  </si>
  <si>
    <t>CXbd19+RRd2</t>
  </si>
  <si>
    <t>G:\GEOPROCESSAMENTO\IMAGENS\LiDAR\Dados_2022\PROPRIO\NEPIPC00225_Liberdade\Plot_las\Plots_23274_Norm.las</t>
  </si>
  <si>
    <t>Plots_23274_Norm</t>
  </si>
  <si>
    <t>NEPIPC00225_23275</t>
  </si>
  <si>
    <t>G:\GEOPROCESSAMENTO\IMAGENS\LiDAR\Dados_2022\PROPRIO\NEPIPC00225_Liberdade\Plot_las\Plots_23275_Norm.las</t>
  </si>
  <si>
    <t>Plots_23275_Norm</t>
  </si>
  <si>
    <t>NEPIPC00225_23276</t>
  </si>
  <si>
    <t>G:\GEOPROCESSAMENTO\IMAGENS\LiDAR\Dados_2022\PROPRIO\NEPIPC00225_Liberdade\Plot_las\Plots_23276_Norm.las</t>
  </si>
  <si>
    <t>Plots_23276_Norm</t>
  </si>
  <si>
    <t>NEPIPC00225_23277</t>
  </si>
  <si>
    <t>NEPIPC00225P15</t>
  </si>
  <si>
    <t>NEPIPC00225P15-092</t>
  </si>
  <si>
    <t>G:\GEOPROCESSAMENTO\IMAGENS\LiDAR\Dados_2022\PROPRIO\NEPIPC00225_Liberdade\Plot_las\Plots_23277_Norm.las</t>
  </si>
  <si>
    <t>Plots_23277_Norm</t>
  </si>
  <si>
    <t>NEPIPC00225_23278</t>
  </si>
  <si>
    <t>G:\GEOPROCESSAMENTO\IMAGENS\LiDAR\Dados_2022\PROPRIO\NEPIPC00225_Liberdade\Plot_las\Plots_23278_Norm.las</t>
  </si>
  <si>
    <t>Plots_23278_Norm</t>
  </si>
  <si>
    <t>NEPIPC00225_23279</t>
  </si>
  <si>
    <t>NEPIPC00225P15-093</t>
  </si>
  <si>
    <t>G:\GEOPROCESSAMENTO\IMAGENS\LiDAR\Dados_2022\PROPRIO\NEPIPC00225_Liberdade\Plot_las\Plots_23279_Norm.las</t>
  </si>
  <si>
    <t>Plots_23279_Norm</t>
  </si>
  <si>
    <t>NECOCA00351_23557</t>
  </si>
  <si>
    <t>NECOCA00351P15</t>
  </si>
  <si>
    <t>NECOCA00351P15-363</t>
  </si>
  <si>
    <t>LAw2</t>
  </si>
  <si>
    <t>G:\GEOPROCESSAMENTO\IMAGENS\LiDAR\Dados_2022\PROPRIO\NECOCA00351_Ribeirao_Grande\Plot_las\Plots_23557_Norm.las</t>
  </si>
  <si>
    <t>Plots_23557_Norm</t>
  </si>
  <si>
    <t>NECOCA00351_23558</t>
  </si>
  <si>
    <t>G:\GEOPROCESSAMENTO\IMAGENS\LiDAR\Dados_2022\PROPRIO\NECOCA00351_Ribeirao_Grande\Plot_las\Plots_23558_Norm.las</t>
  </si>
  <si>
    <t>Plots_23558_Norm</t>
  </si>
  <si>
    <t>NECOCA00351_23559</t>
  </si>
  <si>
    <t>NECOCA00351P15-358</t>
  </si>
  <si>
    <t>G:\GEOPROCESSAMENTO\IMAGENS\LiDAR\Dados_2022\PROPRIO\NECOCA00351_Ribeirao_Grande\Plot_las\Plots_23559_Norm.las</t>
  </si>
  <si>
    <t>Plots_23559_Norm</t>
  </si>
  <si>
    <t>NECOCA00351_23560</t>
  </si>
  <si>
    <t>G:\GEOPROCESSAMENTO\IMAGENS\LiDAR\Dados_2022\PROPRIO\NECOCA00351_Ribeirao_Grande\Plot_las\Plots_23560_Norm.las</t>
  </si>
  <si>
    <t>Plots_23560_Norm</t>
  </si>
  <si>
    <t>NECOCA00351_23561</t>
  </si>
  <si>
    <t>G:\GEOPROCESSAMENTO\IMAGENS\LiDAR\Dados_2022\PROPRIO\NECOCA00351_Ribeirao_Grande\Plot_las\Plots_23561_Norm.las</t>
  </si>
  <si>
    <t>Plots_23561_Norm</t>
  </si>
  <si>
    <t>NECOCA00351_23562</t>
  </si>
  <si>
    <t>NECOCA00351P15-375</t>
  </si>
  <si>
    <t>CXbd10+CXbd7</t>
  </si>
  <si>
    <t>G:\GEOPROCESSAMENTO\IMAGENS\LiDAR\Dados_2022\PROPRIO\NECOCA00351_Ribeirao_Grande\Plot_las\Plots_23562_Norm.las</t>
  </si>
  <si>
    <t>Plots_23562_Norm</t>
  </si>
  <si>
    <t>NECOCA00351_23564</t>
  </si>
  <si>
    <t>NECOCA00351R15</t>
  </si>
  <si>
    <t>NECOCA00351R15-007</t>
  </si>
  <si>
    <t>128C99</t>
  </si>
  <si>
    <t>G:\GEOPROCESSAMENTO\IMAGENS\LiDAR\Dados_2022\PROPRIO\NECOCA00351_Ribeirao_Grande\Plot_las\Plots_23564_Norm.las</t>
  </si>
  <si>
    <t>Plots_23564_Norm</t>
  </si>
  <si>
    <t>NECOCA00351_23565</t>
  </si>
  <si>
    <t>NECOCA00351R15-012</t>
  </si>
  <si>
    <t>CNB006</t>
  </si>
  <si>
    <t>G:\GEOPROCESSAMENTO\IMAGENS\LiDAR\Dados_2022\PROPRIO\NECOCA00351_Ribeirao_Grande\Plot_las\Plots_23565_Norm.las</t>
  </si>
  <si>
    <t>Plots_23565_Norm</t>
  </si>
  <si>
    <t>NECOCA00351_23566</t>
  </si>
  <si>
    <t>G:\GEOPROCESSAMENTO\IMAGENS\LiDAR\Dados_2022\PROPRIO\NECOCA00351_Ribeirao_Grande\Plot_las\Plots_23566_Norm.las</t>
  </si>
  <si>
    <t>Plots_23566_Norm</t>
  </si>
  <si>
    <t>GNVIVI00505_23808</t>
  </si>
  <si>
    <t>GNVIVI00505P15</t>
  </si>
  <si>
    <t>Bem-Te-Vi</t>
  </si>
  <si>
    <t>GNVIVI00505P15-001</t>
  </si>
  <si>
    <t>GNVIVI00505</t>
  </si>
  <si>
    <t>LVAw1+LAw1</t>
  </si>
  <si>
    <t>G:\GEOPROCESSAMENTO\IMAGENS\LiDAR\Dados_2022\PROPRIO\GNVIVI00505_Bem_Te_Vi\Plot_las\Plots_23808_Norm.las</t>
  </si>
  <si>
    <t>Plots_23808_Norm</t>
  </si>
  <si>
    <t>GNVIVI00505_23809</t>
  </si>
  <si>
    <t>G:\GEOPROCESSAMENTO\IMAGENS\LiDAR\Dados_2022\PROPRIO\GNVIVI00505_Bem_Te_Vi\Plot_las\Plots_23809_Norm.las</t>
  </si>
  <si>
    <t>Plots_23809_Norm</t>
  </si>
  <si>
    <t>GNVIVI00505_23810</t>
  </si>
  <si>
    <t>G:\GEOPROCESSAMENTO\IMAGENS\LiDAR\Dados_2022\PROPRIO\GNVIVI00505_Bem_Te_Vi\Plot_las\Plots_23810_Norm.las</t>
  </si>
  <si>
    <t>Plots_23810_Norm</t>
  </si>
  <si>
    <t>GNVIVI00505_23818</t>
  </si>
  <si>
    <t>GNVIVI00505R15</t>
  </si>
  <si>
    <t>GNVIVI00505R15-003</t>
  </si>
  <si>
    <t>G:\GEOPROCESSAMENTO\IMAGENS\LiDAR\Dados_2022\PROPRIO\GNVIVI00505_Bem_Te_Vi\Plot_las\Plots_23818_Norm.las</t>
  </si>
  <si>
    <t>Plots_23818_Norm</t>
  </si>
  <si>
    <t>GNVIVI00505_23819</t>
  </si>
  <si>
    <t>G:\GEOPROCESSAMENTO\IMAGENS\LiDAR\Dados_2022\PROPRIO\GNVIVI00505_Bem_Te_Vi\Plot_las\Plots_23819_Norm.las</t>
  </si>
  <si>
    <t>Plots_23819_Norm</t>
  </si>
  <si>
    <t>GNVIVI00505_23820</t>
  </si>
  <si>
    <t>G:\GEOPROCESSAMENTO\IMAGENS\LiDAR\Dados_2022\PROPRIO\GNVIVI00505_Bem_Te_Vi\Plot_las\Plots_23820_Norm.las</t>
  </si>
  <si>
    <t>Plots_23820_Norm</t>
  </si>
  <si>
    <t>GNSACR00682_23849</t>
  </si>
  <si>
    <t>GNSACR00682P15</t>
  </si>
  <si>
    <t>Córrego do Itimirim I</t>
  </si>
  <si>
    <t>GNSACR00682P15-002</t>
  </si>
  <si>
    <t>CNB031</t>
  </si>
  <si>
    <t>GNSACR00682</t>
  </si>
  <si>
    <t>IMP</t>
  </si>
  <si>
    <t>G:\GEOPROCESSAMENTO\IMAGENS\LiDAR\Dados_2022\PROPRIO\GNSACR00682_Corrego_do_Itimirim_I\Plot_las\Plots_23849_Norm.las</t>
  </si>
  <si>
    <t>Plots_23849_Norm</t>
  </si>
  <si>
    <t>GNSACR00682_23854</t>
  </si>
  <si>
    <t>GNSACR00682P15-001</t>
  </si>
  <si>
    <t>G:\GEOPROCESSAMENTO\IMAGENS\LiDAR\Dados_2022\PROPRIO\GNSACR00682_Corrego_do_Itimirim_I\Plot_las\Plots_23854_Norm.las</t>
  </si>
  <si>
    <t>Plots_23854_Norm</t>
  </si>
  <si>
    <t>GNSACR00681_23855</t>
  </si>
  <si>
    <t>GNSACR00681P15</t>
  </si>
  <si>
    <t>Córrego do Itimirim II</t>
  </si>
  <si>
    <t>GNSACR00681P15-002</t>
  </si>
  <si>
    <t>GNSACR00681</t>
  </si>
  <si>
    <t>G:\GEOPROCESSAMENTO\IMAGENS\LiDAR\Dados_2022\PROPRIO\GNSACR00681_Corrego_do_Itimirim_II\Plot_las\Plots_23855_Norm.las</t>
  </si>
  <si>
    <t>Plots_23855_Norm</t>
  </si>
  <si>
    <t>GNSACR00681_23857</t>
  </si>
  <si>
    <t>GNSACR00681P15-001</t>
  </si>
  <si>
    <t>G:\GEOPROCESSAMENTO\IMAGENS\LiDAR\Dados_2022\PROPRIO\GNSACR00681_Corrego_do_Itimirim_II\Plot_las\Plots_23857_Norm.las</t>
  </si>
  <si>
    <t>Plots_23857_Norm</t>
  </si>
  <si>
    <t>GNSACR00681_23858</t>
  </si>
  <si>
    <t>GNSACR00681P15-003</t>
  </si>
  <si>
    <t>G:\GEOPROCESSAMENTO\IMAGENS\LiDAR\Dados_2022\PROPRIO\GNSACR00681_Corrego_do_Itimirim_II\Plot_las\Plots_23858_Norm.las</t>
  </si>
  <si>
    <t>Plots_23858_Norm</t>
  </si>
  <si>
    <t>GNSAPE00613_23938</t>
  </si>
  <si>
    <t>GNSAPE00613R15</t>
  </si>
  <si>
    <t>GNSAPE00613R15-054</t>
  </si>
  <si>
    <t>C:\Users\C0010943\Fusion\GNSAPE00613_CACHOEIRA_DAS_POMBAS\plots\plot_23938.las</t>
  </si>
  <si>
    <t>plot_23938</t>
  </si>
  <si>
    <t>RDPOPO00406_24029</t>
  </si>
  <si>
    <t>RDPOPO00406P15</t>
  </si>
  <si>
    <t>Barretinha</t>
  </si>
  <si>
    <t>RDPOPO00406P15-001</t>
  </si>
  <si>
    <t>RDPOPO00406</t>
  </si>
  <si>
    <t>G:\GEOPROCESSAMENTO\IMAGENS\LiDAR\Dados_2022\PROPRIO\RDPOPO00406_Barretinha\Plot_las\Plots_24029_Norm.las</t>
  </si>
  <si>
    <t>Plots_24029_Norm</t>
  </si>
  <si>
    <t>RDPOPO00406_24030</t>
  </si>
  <si>
    <t>RDPOPO00406P15-002</t>
  </si>
  <si>
    <t>G:\GEOPROCESSAMENTO\IMAGENS\LiDAR\Dados_2022\PROPRIO\RDPOPO00406_Barretinha\Plot_las\Plots_24030_Norm.las</t>
  </si>
  <si>
    <t>Plots_24030_Norm</t>
  </si>
  <si>
    <t>RDPOPO00406_24031</t>
  </si>
  <si>
    <t>RDPOPO00406P15-003</t>
  </si>
  <si>
    <t>G:\GEOPROCESSAMENTO\IMAGENS\LiDAR\Dados_2022\PROPRIO\RDPOPO00406_Barretinha\Plot_las\Plots_24031_Norm.las</t>
  </si>
  <si>
    <t>Plots_24031_Norm</t>
  </si>
  <si>
    <t>RDBOBA00405_24044</t>
  </si>
  <si>
    <t>RDBOBA00405P15</t>
  </si>
  <si>
    <t>Bagre</t>
  </si>
  <si>
    <t>RDBOBA00405P15-007</t>
  </si>
  <si>
    <t>RDBOBA00405</t>
  </si>
  <si>
    <t>G:\GEOPROCESSAMENTO\IMAGENS\LiDAR\Dados_2022\PROPRIO\RDBOBA00405_Bagre\Plot_las\Plots_24044_Norm.las</t>
  </si>
  <si>
    <t>Plots_24044_Norm</t>
  </si>
  <si>
    <t>RDBOBA00405_24045</t>
  </si>
  <si>
    <t>G:\GEOPROCESSAMENTO\IMAGENS\LiDAR\Dados_2022\PROPRIO\RDBOBA00405_Bagre\Plot_las\Plots_24045_Norm.las</t>
  </si>
  <si>
    <t>Plots_24045_Norm</t>
  </si>
  <si>
    <t>RDIPMA00480_24200</t>
  </si>
  <si>
    <t>RDIPMA00480P15</t>
  </si>
  <si>
    <t>RDIPMA00480P15-006</t>
  </si>
  <si>
    <t>LAd2</t>
  </si>
  <si>
    <t>G:\GEOPROCESSAMENTO\IMAGENS\LiDAR\Dados_2022\PROPRIO\RDIPMA00480_Rio_Branco\Plot_las\Plots_24200_Norm.las</t>
  </si>
  <si>
    <t>Plots_24200_Norm</t>
  </si>
  <si>
    <t>RDIPMA00480_24207</t>
  </si>
  <si>
    <t>RDIPMA00480P15-001</t>
  </si>
  <si>
    <t>G:\GEOPROCESSAMENTO\IMAGENS\LiDAR\Dados_2022\PROPRIO\RDIPMA00480_Rio_Branco\Plot_las\Plots_24207_Norm.las</t>
  </si>
  <si>
    <t>Plots_24207_Norm</t>
  </si>
  <si>
    <t>RDIPMA00480_24208</t>
  </si>
  <si>
    <t>G:\GEOPROCESSAMENTO\IMAGENS\LiDAR\Dados_2022\PROPRIO\RDIPMA00480_Rio_Branco\Plot_las\Plots_24208_Norm.las</t>
  </si>
  <si>
    <t>Plots_24208_Norm</t>
  </si>
  <si>
    <t>RDIPPD00477_24209</t>
  </si>
  <si>
    <t>RDIPPD00477R15</t>
  </si>
  <si>
    <t>RDIPPD00477R15-021</t>
  </si>
  <si>
    <t>G:\GEOPROCESSAMENTO\IMAGENS\LiDAR\Dados_2022\PROPRIO\RDIPPD00477_Lagoa_do_Brito\Plot_las\Plots_24209_Norm.las</t>
  </si>
  <si>
    <t>Plots_24209_Norm</t>
  </si>
  <si>
    <t>RDIPPD00477_24212</t>
  </si>
  <si>
    <t>RDIPPD00477R15-019</t>
  </si>
  <si>
    <t>CNB017</t>
  </si>
  <si>
    <t>RUbd6</t>
  </si>
  <si>
    <t>G:\GEOPROCESSAMENTO\IMAGENS\LiDAR\Dados_2022\PROPRIO\RDIPPD00477_Lagoa_do_Brito\Plot_las\Plots_24212_Norm.las</t>
  </si>
  <si>
    <t>Plots_24212_Norm</t>
  </si>
  <si>
    <t>RDIPPD00476_24215</t>
  </si>
  <si>
    <t>RDIPPD00476P15</t>
  </si>
  <si>
    <t>Lagoa Redonda</t>
  </si>
  <si>
    <t>RDIPPD00476P15-007</t>
  </si>
  <si>
    <t>RDIPPD00476</t>
  </si>
  <si>
    <t>G:\GEOPROCESSAMENTO\IMAGENS\LiDAR\Dados_2022\PROPRIO\RDIPPD00476_Lagoa_Redonda\Plot_las\Plots_24215_Norm.las</t>
  </si>
  <si>
    <t>Plots_24215_Norm</t>
  </si>
  <si>
    <t>RDIPPD00476_24218</t>
  </si>
  <si>
    <t>RDIPPD00476P15-001</t>
  </si>
  <si>
    <t>G:\GEOPROCESSAMENTO\IMAGENS\LiDAR\Dados_2022\PROPRIO\RDIPPD00476_Lagoa_Redonda\Plot_las\Plots_24218_Norm.las</t>
  </si>
  <si>
    <t>Plots_24218_Norm</t>
  </si>
  <si>
    <t>RDIPPD00476_24219</t>
  </si>
  <si>
    <t>RDIPPD00476P15-002</t>
  </si>
  <si>
    <t>RUbd1</t>
  </si>
  <si>
    <t>G:\GEOPROCESSAMENTO\IMAGENS\LiDAR\Dados_2022\PROPRIO\RDIPPD00476_Lagoa_Redonda\Plot_las\Plots_24219_Norm.las</t>
  </si>
  <si>
    <t>Plots_24219_Norm</t>
  </si>
  <si>
    <t>RDIPPD00477_24370</t>
  </si>
  <si>
    <t>RDIPPD00477R16</t>
  </si>
  <si>
    <t>RDIPPD00477R16-014</t>
  </si>
  <si>
    <t>CNB014</t>
  </si>
  <si>
    <t>LVAd3</t>
  </si>
  <si>
    <t>G:\GEOPROCESSAMENTO\IMAGENS\LiDAR\Dados_2022\PROPRIO\RDIPPD00477_Lagoa_do_Brito\Plot_las\Plots_24370_Norm.las</t>
  </si>
  <si>
    <t>Plots_24370_Norm</t>
  </si>
  <si>
    <t>RDIPPD00477_24393</t>
  </si>
  <si>
    <t>RDIPPD00477R16-005</t>
  </si>
  <si>
    <t>2,50 x 3,00</t>
  </si>
  <si>
    <t>G:\GEOPROCESSAMENTO\IMAGENS\LiDAR\Dados_2022\PROPRIO\RDIPPD00477_Lagoa_do_Brito\Plot_las\Plots_24393_Norm.las</t>
  </si>
  <si>
    <t>Plots_24393_Norm</t>
  </si>
  <si>
    <t>RDIPPD00474_24425</t>
  </si>
  <si>
    <t>RDIPPD00474P16</t>
  </si>
  <si>
    <t>RDIPPD00474P16-038</t>
  </si>
  <si>
    <t>G:\GEOPROCESSAMENTO\IMAGENS\LiDAR\Dados_2022\PROPRIO\RDIPPD00474_Lagoa_das_Piabas\Plot_las\Plots_24425_Norm.las</t>
  </si>
  <si>
    <t>Plots_24425_Norm</t>
  </si>
  <si>
    <t>RDIPPD00474_24432</t>
  </si>
  <si>
    <t>RDIPPD00474P16-033</t>
  </si>
  <si>
    <t>CNB032</t>
  </si>
  <si>
    <t>G:\GEOPROCESSAMENTO\IMAGENS\LiDAR\Dados_2022\PROPRIO\RDIPPD00474_Lagoa_das_Piabas\Plot_las\Plots_24432_Norm.las</t>
  </si>
  <si>
    <t>Plots_24432_Norm</t>
  </si>
  <si>
    <t>RDIPMA00492_24436</t>
  </si>
  <si>
    <t>RDIPMA00492P16</t>
  </si>
  <si>
    <t>Cordeiros</t>
  </si>
  <si>
    <t>RDIPMA00492P16-011</t>
  </si>
  <si>
    <t>CNB023</t>
  </si>
  <si>
    <t>RDIPMA00492</t>
  </si>
  <si>
    <t>C:\LiDAR\Projetos\RDIPMA00492_Cordeiros\plots\plot_24436.las</t>
  </si>
  <si>
    <t>plot_24436</t>
  </si>
  <si>
    <t>RDIPMA00492_24437</t>
  </si>
  <si>
    <t>RDIPMA00492P16-010</t>
  </si>
  <si>
    <t>CNB033</t>
  </si>
  <si>
    <t>C:\LiDAR\Projetos\RDIPMA00492_Cordeiros\plots\plot_24437.las</t>
  </si>
  <si>
    <t>plot_24437</t>
  </si>
  <si>
    <t>RDIPMA00492_24438</t>
  </si>
  <si>
    <t>C:\LiDAR\Projetos\RDIPMA00492_Cordeiros\plots\plot_24438.las</t>
  </si>
  <si>
    <t>plot_24438</t>
  </si>
  <si>
    <t>RDIPMA00493_24439</t>
  </si>
  <si>
    <t>RDIPMA00493P16</t>
  </si>
  <si>
    <t>Córrego Novo</t>
  </si>
  <si>
    <t>RDIPMA00493P16-008</t>
  </si>
  <si>
    <t>RDIPMA00493</t>
  </si>
  <si>
    <t>G:\GEOPROCESSAMENTO\IMAGENS\LiDAR\Dados_2022\PROPRIO\RDIPMA00493_Corrego_Novo\Plot_las\Plots_24439_Norm.las</t>
  </si>
  <si>
    <t>Plots_24439_Norm</t>
  </si>
  <si>
    <t>RDIPMA00493_24440</t>
  </si>
  <si>
    <t>G:\GEOPROCESSAMENTO\IMAGENS\LiDAR\Dados_2022\PROPRIO\RDIPMA00493_Corrego_Novo\Plot_las\Plots_24440_Norm.las</t>
  </si>
  <si>
    <t>Plots_24440_Norm</t>
  </si>
  <si>
    <t>RDPOPO00455_24459</t>
  </si>
  <si>
    <t>RDPOPO00455P16</t>
  </si>
  <si>
    <t>Vargem Grande</t>
  </si>
  <si>
    <t>RDPOPO00455P16-039</t>
  </si>
  <si>
    <t>RDPOPO00455</t>
  </si>
  <si>
    <t>G:\GEOPROCESSAMENTO\IMAGENS\LiDAR\Dados_2022\PROPRIO\RDPOPO00455_Vargem_Grande\Plot_las\Plots_24459_Norm.las</t>
  </si>
  <si>
    <t>Plots_24459_Norm</t>
  </si>
  <si>
    <t>RDPOPO00455_24460</t>
  </si>
  <si>
    <t>RDPOPO00455P16-049</t>
  </si>
  <si>
    <t>G:\GEOPROCESSAMENTO\IMAGENS\LiDAR\Dados_2022\PROPRIO\RDPOPO00455_Vargem_Grande\Plot_las\Plots_24460_Norm.las</t>
  </si>
  <si>
    <t>Plots_24460_Norm</t>
  </si>
  <si>
    <t>RDPOPO00455_24462</t>
  </si>
  <si>
    <t>RDPOPO00455P16-040</t>
  </si>
  <si>
    <t>LAw1</t>
  </si>
  <si>
    <t>G:\GEOPROCESSAMENTO\IMAGENS\LiDAR\Dados_2022\PROPRIO\RDPOPO00455_Vargem_Grande\Plot_las\Plots_24462_Norm.las</t>
  </si>
  <si>
    <t>Plots_24462_Norm</t>
  </si>
  <si>
    <t>RDPOPO00444_24467</t>
  </si>
  <si>
    <t>RDPOPO00444P16</t>
  </si>
  <si>
    <t>Renascença</t>
  </si>
  <si>
    <t>RDPOPO00444P16-022</t>
  </si>
  <si>
    <t>RDPOPO00444</t>
  </si>
  <si>
    <t>C:\LiDAR\Projetos\RDPOPO00444_RENASCENCA\plots\plot_24467.las</t>
  </si>
  <si>
    <t>plot_24467</t>
  </si>
  <si>
    <t>RDPOPO00444_24468</t>
  </si>
  <si>
    <t>C:\LiDAR\Projetos\RDPOPO00444_RENASCENCA\plots\plot_24468.las</t>
  </si>
  <si>
    <t>plot_24468</t>
  </si>
  <si>
    <t>RDPOPO00441_24470</t>
  </si>
  <si>
    <t>RDPOPO00441R16</t>
  </si>
  <si>
    <t>Pintassilgo</t>
  </si>
  <si>
    <t>RDPOPO00441R16-001</t>
  </si>
  <si>
    <t>RDPOPO00441</t>
  </si>
  <si>
    <t>C:\LiDAR\Projetos\RDPOPO00441_PINTASSILGO\plots\plot_24470.las</t>
  </si>
  <si>
    <t>plot_24470</t>
  </si>
  <si>
    <t>RDPOPO00441_24471</t>
  </si>
  <si>
    <t>C:\LiDAR\Projetos\RDPOPO00441_PINTASSILGO\plots\plot_24471.las</t>
  </si>
  <si>
    <t>plot_24471</t>
  </si>
  <si>
    <t>RDPOPO00441_24472</t>
  </si>
  <si>
    <t>RDPOPO00441R16-002</t>
  </si>
  <si>
    <t>C:\LiDAR\Projetos\RDPOPO00441_PINTASSILGO\plots\plot_24472.las</t>
  </si>
  <si>
    <t>plot_24472</t>
  </si>
  <si>
    <t>RDBOBA00469_24509</t>
  </si>
  <si>
    <t>RDBOBA00469R16</t>
  </si>
  <si>
    <t>Bião</t>
  </si>
  <si>
    <t>RDBOBA00469R16-444</t>
  </si>
  <si>
    <t>CNB016</t>
  </si>
  <si>
    <t>RDBOBA00469</t>
  </si>
  <si>
    <t>G:\GEOPROCESSAMENTO\IMAGENS\LiDAR\Dados_2022\PROPRIO\RDBOBA00469_Biao\Plot_las\Plots_24509_Norm.las</t>
  </si>
  <si>
    <t>Plots_24509_Norm</t>
  </si>
  <si>
    <t>RDBOBA00469_24511</t>
  </si>
  <si>
    <t>G:\GEOPROCESSAMENTO\IMAGENS\LiDAR\Dados_2022\PROPRIO\RDBOBA00469_Biao\Plot_las\Plots_24511_Norm.las</t>
  </si>
  <si>
    <t>Plots_24511_Norm</t>
  </si>
  <si>
    <t>RDBOBA00465_24541</t>
  </si>
  <si>
    <t>RDBOBA00465P16</t>
  </si>
  <si>
    <t>RDBOBA00465P16-230</t>
  </si>
  <si>
    <t>G:\GEOPROCESSAMENTO\IMAGENS\LiDAR\Dados_2022\PROPRIO\RDBOBA00465_Caxambu\Plot_las\Plots_24541_Norm.las</t>
  </si>
  <si>
    <t>Plots_24541_Norm</t>
  </si>
  <si>
    <t>RDBOBA00465_24542</t>
  </si>
  <si>
    <t>G:\GEOPROCESSAMENTO\IMAGENS\LiDAR\Dados_2022\PROPRIO\RDBOBA00465_Caxambu\Plot_las\Plots_24542_Norm.las</t>
  </si>
  <si>
    <t>Plots_24542_Norm</t>
  </si>
  <si>
    <t>GNVIVI00582_24648</t>
  </si>
  <si>
    <t>GNVIVI00582P16</t>
  </si>
  <si>
    <t>São Leonardo III</t>
  </si>
  <si>
    <t>GNVIVI00582P16-045</t>
  </si>
  <si>
    <t>GNVIVI00582</t>
  </si>
  <si>
    <t>CXbd5+CXbd1</t>
  </si>
  <si>
    <t>C:\Users\C0010943\Fusion\GNVIVI00582_SAO_LEONARDO_III\plots\plot_24648.las</t>
  </si>
  <si>
    <t>plot_24648</t>
  </si>
  <si>
    <t>GNVIVI00582_24649</t>
  </si>
  <si>
    <t>GNVIVI00582P16-046</t>
  </si>
  <si>
    <t>C:\Users\C0010943\Fusion\GNVIVI00582_SAO_LEONARDO_III\plots\plot_24649.las</t>
  </si>
  <si>
    <t>plot_24649</t>
  </si>
  <si>
    <t>GNVIVI00582_24650</t>
  </si>
  <si>
    <t>C:\Users\C0010943\Fusion\GNVIVI00582_SAO_LEONARDO_III\plots\plot_24650.las</t>
  </si>
  <si>
    <t>plot_24650</t>
  </si>
  <si>
    <t>GNVIVI00582_24662</t>
  </si>
  <si>
    <t>GNVIVI00582R16</t>
  </si>
  <si>
    <t>GNVIVI00582R16-044</t>
  </si>
  <si>
    <t>C:\Users\C0010943\Fusion\GNVIVI00582_SAO_LEONARDO_III\plots\plot_24662.las</t>
  </si>
  <si>
    <t>plot_24662</t>
  </si>
  <si>
    <t>GNVIVI00582_24663</t>
  </si>
  <si>
    <t>C:\Users\C0010943\Fusion\GNVIVI00582_SAO_LEONARDO_III\plots\plot_24663.las</t>
  </si>
  <si>
    <t>plot_24663</t>
  </si>
  <si>
    <t>GNVIVI00582_24664</t>
  </si>
  <si>
    <t>C:\Users\C0010943\Fusion\GNVIVI00582_SAO_LEONARDO_III\plots\plot_24664.las</t>
  </si>
  <si>
    <t>plot_24664</t>
  </si>
  <si>
    <t>GNSASA00655_24832</t>
  </si>
  <si>
    <t>GNSASA00655P16</t>
  </si>
  <si>
    <t>Sabinópolis III</t>
  </si>
  <si>
    <t>GNSASA00655P16-161</t>
  </si>
  <si>
    <t>GNSASA00655</t>
  </si>
  <si>
    <t>C:\Users\C0010943\Fusion\GNSASA00655_SABINOPOLIS_III\plots\plot_24832.las</t>
  </si>
  <si>
    <t>plot_24832</t>
  </si>
  <si>
    <t>GNSASA00655_24843</t>
  </si>
  <si>
    <t>GNSASA00655P16-173</t>
  </si>
  <si>
    <t>C:\Users\C0010943\Fusion\GNSASA00655_SABINOPOLIS_III\plots\plot_24843.las</t>
  </si>
  <si>
    <t>plot_24843</t>
  </si>
  <si>
    <t>GNSASA00655_24844</t>
  </si>
  <si>
    <t>C:\Users\C0010943\Fusion\GNSASA00655_SABINOPOLIS_III\plots\plot_24844.las</t>
  </si>
  <si>
    <t>plot_24844</t>
  </si>
  <si>
    <t>GNSASA00655_24847</t>
  </si>
  <si>
    <t>GNSASA00655R16</t>
  </si>
  <si>
    <t>GNSASA00655R16-172</t>
  </si>
  <si>
    <t>C:\Users\C0010943\Fusion\GNSASA00655_SABINOPOLIS_III\plots\plot_24847.las</t>
  </si>
  <si>
    <t>plot_24847</t>
  </si>
  <si>
    <t>GNSASA00655_24848</t>
  </si>
  <si>
    <t>C:\Users\C0010943\Fusion\GNSASA00655_SABINOPOLIS_III\plots\plot_24848.las</t>
  </si>
  <si>
    <t>plot_24848</t>
  </si>
  <si>
    <t>GNSASA00655_24849</t>
  </si>
  <si>
    <t>C:\Users\C0010943\Fusion\GNSASA00655_SABINOPOLIS_III\plots\plot_24849.las</t>
  </si>
  <si>
    <t>plot_24849</t>
  </si>
  <si>
    <t>GNSAPE00613_24882</t>
  </si>
  <si>
    <t>GNSAPE00613R16</t>
  </si>
  <si>
    <t>GNSAPE00613R16-022</t>
  </si>
  <si>
    <t>C:\Users\C0010943\Fusion\GNSAPE00613_CACHOEIRA_DAS_POMBAS\plots\plot_24882.las</t>
  </si>
  <si>
    <t>plot_24882</t>
  </si>
  <si>
    <t>GNSAPE00613_24883</t>
  </si>
  <si>
    <t>C:\Users\C0010943\Fusion\GNSAPE00613_CACHOEIRA_DAS_POMBAS\plots\plot_24883.las</t>
  </si>
  <si>
    <t>plot_24883</t>
  </si>
  <si>
    <t>GNSAPE00613_24887</t>
  </si>
  <si>
    <t>GNSAPE00613R16-024</t>
  </si>
  <si>
    <t>C:\Users\C0010943\Fusion\GNSAPE00613_CACHOEIRA_DAS_POMBAS\plots\plot_24887.las</t>
  </si>
  <si>
    <t>plot_24887</t>
  </si>
  <si>
    <t>GNSASA00609_24903</t>
  </si>
  <si>
    <t>GNSASA00609P16</t>
  </si>
  <si>
    <t>Babilônia II</t>
  </si>
  <si>
    <t>GNSASA00609P16-244</t>
  </si>
  <si>
    <t>GNSASA00609</t>
  </si>
  <si>
    <t>C:\LiDAR\Projetos\GNSASA00609_BABILONIA_II\plots\plot_24903.las</t>
  </si>
  <si>
    <t>plot_24903</t>
  </si>
  <si>
    <t>GNSASA00609_24904</t>
  </si>
  <si>
    <t>GNSASA00609P16-247</t>
  </si>
  <si>
    <t>C:\LiDAR\Projetos\GNSASA00609_BABILONIA_II\plots\plot_24904.las</t>
  </si>
  <si>
    <t>plot_24904</t>
  </si>
  <si>
    <t>GNSASA00609_24905</t>
  </si>
  <si>
    <t>C:\LiDAR\Projetos\GNSASA00609_BABILONIA_II\plots\plot_24905.las</t>
  </si>
  <si>
    <t>plot_24905</t>
  </si>
  <si>
    <t>NECOCE00359_24931</t>
  </si>
  <si>
    <t>NECOCE00359P16</t>
  </si>
  <si>
    <t>Tambu</t>
  </si>
  <si>
    <t>NECOCE00359P16-348</t>
  </si>
  <si>
    <t>NECOCE00359</t>
  </si>
  <si>
    <t>G:\GEOPROCESSAMENTO\IMAGENS\LiDAR\Dados_2022\PROPRIO\NECOCE00359_Tambu\Plot_las\Plots_24931_Norm.las</t>
  </si>
  <si>
    <t>Plots_24931_Norm</t>
  </si>
  <si>
    <t>NECOCE00359_24932</t>
  </si>
  <si>
    <t>G:\GEOPROCESSAMENTO\IMAGENS\LiDAR\Dados_2022\PROPRIO\NECOCE00359_Tambu\Plot_las\Plots_24932_Norm.las</t>
  </si>
  <si>
    <t>Plots_24932_Norm</t>
  </si>
  <si>
    <t>NECOCE00359_24933</t>
  </si>
  <si>
    <t>G:\GEOPROCESSAMENTO\IMAGENS\LiDAR\Dados_2022\PROPRIO\NECOCE00359_Tambu\Plot_las\Plots_24933_Norm.las</t>
  </si>
  <si>
    <t>Plots_24933_Norm</t>
  </si>
  <si>
    <t>NECOCA00356_24950</t>
  </si>
  <si>
    <t>NECOCA00356P16</t>
  </si>
  <si>
    <t>São José</t>
  </si>
  <si>
    <t>NECOCA00356P16-064</t>
  </si>
  <si>
    <t>NECOCA00356</t>
  </si>
  <si>
    <t>CXbd9+CXbd14</t>
  </si>
  <si>
    <t>G:\GEOPROCESSAMENTO\IMAGENS\LiDAR\Dados_2022\PROPRIO\NECOCA00356_Sao_Jose\Plot_las\Plots_24950_Norm.las</t>
  </si>
  <si>
    <t>Plots_24950_Norm</t>
  </si>
  <si>
    <t>NECOCA00356_24959</t>
  </si>
  <si>
    <t>NECOCA00356R16</t>
  </si>
  <si>
    <t>NECOCA00356R16-085</t>
  </si>
  <si>
    <t>G:\GEOPROCESSAMENTO\IMAGENS\LiDAR\Dados_2022\PROPRIO\NECOCA00356_Sao_Jose\Plot_las\Plots_24959_Norm.las</t>
  </si>
  <si>
    <t>Plots_24959_Norm</t>
  </si>
  <si>
    <t>NECOCA00356_24961</t>
  </si>
  <si>
    <t>NECOCA00356R16-089</t>
  </si>
  <si>
    <t>LAw2+LVAw2</t>
  </si>
  <si>
    <t>G:\GEOPROCESSAMENTO\IMAGENS\LiDAR\Dados_2022\PROPRIO\NECOCA00356_Sao_Jose\Plot_las\Plots_24961_Norm.las</t>
  </si>
  <si>
    <t>Plots_24961_Norm</t>
  </si>
  <si>
    <t>NECOCA00356_24967</t>
  </si>
  <si>
    <t>NECOCA00356R16-078</t>
  </si>
  <si>
    <t>CXbd9</t>
  </si>
  <si>
    <t>G:\GEOPROCESSAMENTO\IMAGENS\LiDAR\Dados_2022\PROPRIO\NECOCA00356_Sao_Jose\Plot_las\Plots_24967_Norm.las</t>
  </si>
  <si>
    <t>Plots_24967_Norm</t>
  </si>
  <si>
    <t>NECOCA00356_24968</t>
  </si>
  <si>
    <t>NECOCA00356P16-066</t>
  </si>
  <si>
    <t>G:\GEOPROCESSAMENTO\IMAGENS\LiDAR\Dados_2022\PROPRIO\NECOCA00356_Sao_Jose\Plot_las\Plots_24968_Norm.las</t>
  </si>
  <si>
    <t>Plots_24968_Norm</t>
  </si>
  <si>
    <t>NECOCA00356_24969</t>
  </si>
  <si>
    <t>NECOCA00356P16-062</t>
  </si>
  <si>
    <t>G:\GEOPROCESSAMENTO\IMAGENS\LiDAR\Dados_2022\PROPRIO\NECOCA00356_Sao_Jose\Plot_las\Plots_24969_Norm.las</t>
  </si>
  <si>
    <t>Plots_24969_Norm</t>
  </si>
  <si>
    <t>NECOCA00349_24983</t>
  </si>
  <si>
    <t>NECOCA00349R16</t>
  </si>
  <si>
    <t>Córrego dos Machados</t>
  </si>
  <si>
    <t>NECOCA00349R16-022</t>
  </si>
  <si>
    <t>NECOCA00349</t>
  </si>
  <si>
    <t>G:\GEOPROCESSAMENTO\IMAGENS\LiDAR\Dados_2022\PROPRIO\NECOCA00349_Corrego_dos_Machados\Plot_las\Plots_24983_Norm.las</t>
  </si>
  <si>
    <t>Plots_24983_Norm</t>
  </si>
  <si>
    <t>NECOCA00349_24984</t>
  </si>
  <si>
    <t>G:\GEOPROCESSAMENTO\IMAGENS\LiDAR\Dados_2022\PROPRIO\NECOCA00349_Corrego_dos_Machados\Plot_las\Plots_24984_Norm.las</t>
  </si>
  <si>
    <t>Plots_24984_Norm</t>
  </si>
  <si>
    <t>NECOCA00349_24985</t>
  </si>
  <si>
    <t>G:\GEOPROCESSAMENTO\IMAGENS\LiDAR\Dados_2022\PROPRIO\NECOCA00349_Corrego_dos_Machados\Plot_las\Plots_24985_Norm.las</t>
  </si>
  <si>
    <t>Plots_24985_Norm</t>
  </si>
  <si>
    <t>NEPIAL00242_25061</t>
  </si>
  <si>
    <t>NEPIAL00242P16</t>
  </si>
  <si>
    <t>NEPIAL00242P16-068</t>
  </si>
  <si>
    <t>G:\GEOPROCESSAMENTO\IMAGENS\LiDAR\Dados_2022\PROPRIO\NEPIAL00242_Riacho_dos_Porteis\Plot_las\Plots_25061_Norm.las</t>
  </si>
  <si>
    <t>Plots_25061_Norm</t>
  </si>
  <si>
    <t>NEPIAL00242_25062</t>
  </si>
  <si>
    <t>G:\GEOPROCESSAMENTO\IMAGENS\LiDAR\Dados_2022\PROPRIO\NEPIAL00242_Riacho_dos_Porteis\Plot_las\Plots_25062_Norm.las</t>
  </si>
  <si>
    <t>Plots_25062_Norm</t>
  </si>
  <si>
    <t>NEPIAL00242_25065</t>
  </si>
  <si>
    <t>NEPIAL00242P16-066</t>
  </si>
  <si>
    <t>G:\GEOPROCESSAMENTO\IMAGENS\LiDAR\Dados_2022\PROPRIO\NEPIAL00242_Riacho_dos_Porteis\Plot_las\Plots_25065_Norm.las</t>
  </si>
  <si>
    <t>Plots_25065_Norm</t>
  </si>
  <si>
    <t>NEPIPC00238_25075</t>
  </si>
  <si>
    <t>NEPIPC00238P16</t>
  </si>
  <si>
    <t>NEPIPC00238P16-002</t>
  </si>
  <si>
    <t>G:\GEOPROCESSAMENTO\IMAGENS\LiDAR\Dados_2022\PROPRIO\NEPIPC00238_Picarrao_I\Plot_las\Plots_25075_Norm.las</t>
  </si>
  <si>
    <t>Plots_25075_Norm</t>
  </si>
  <si>
    <t>NEPIPC00238_25076</t>
  </si>
  <si>
    <t>NEPIPC00238R16</t>
  </si>
  <si>
    <t>NEPIPC00238R16-034</t>
  </si>
  <si>
    <t>G:\GEOPROCESSAMENTO\IMAGENS\LiDAR\Dados_2022\PROPRIO\NEPIPC00238_Picarrao_I\Plot_las\Plots_25076_Norm.las</t>
  </si>
  <si>
    <t>Plots_25076_Norm</t>
  </si>
  <si>
    <t>NEPIPC00238_25078</t>
  </si>
  <si>
    <t>NEPIPC00238R16-023</t>
  </si>
  <si>
    <t>G:\GEOPROCESSAMENTO\IMAGENS\LiDAR\Dados_2022\PROPRIO\NEPIPC00238_Picarrao_I\Plot_las\Plots_25078_Norm.las</t>
  </si>
  <si>
    <t>Plots_25078_Norm</t>
  </si>
  <si>
    <t>NEPIPC00238_25079</t>
  </si>
  <si>
    <t>G:\GEOPROCESSAMENTO\IMAGENS\LiDAR\Dados_2022\PROPRIO\NEPIPC00238_Picarrao_I\Plot_las\Plots_25079_Norm.las</t>
  </si>
  <si>
    <t>Plots_25079_Norm</t>
  </si>
  <si>
    <t>NEPIPC00238_25080</t>
  </si>
  <si>
    <t>NEPIPC00238P16-018</t>
  </si>
  <si>
    <t>G:\GEOPROCESSAMENTO\IMAGENS\LiDAR\Dados_2022\PROPRIO\NEPIPC00238_Picarrao_I\Plot_las\Plots_25080_Norm.las</t>
  </si>
  <si>
    <t>Plots_25080_Norm</t>
  </si>
  <si>
    <t>NEPIPC00238_25081</t>
  </si>
  <si>
    <t>G:\GEOPROCESSAMENTO\IMAGENS\LiDAR\Dados_2022\PROPRIO\NEPIPC00238_Picarrao_I\Plot_las\Plots_25081_Norm.las</t>
  </si>
  <si>
    <t>Plots_25081_Norm</t>
  </si>
  <si>
    <t>NEPIAL00227_25082</t>
  </si>
  <si>
    <t>NEPIAL00227P16</t>
  </si>
  <si>
    <t>Alfié II</t>
  </si>
  <si>
    <t>NEPIAL00227P16-053</t>
  </si>
  <si>
    <t>NEPIAL00227</t>
  </si>
  <si>
    <t>G:\GEOPROCESSAMENTO\IMAGENS\LiDAR\Dados_2022\PROPRIO\NEPIAL00227_Alfie_II\Plot_las\Plots_25082_Norm.las</t>
  </si>
  <si>
    <t>Plots_25082_Norm</t>
  </si>
  <si>
    <t>NEPIAL00227_25083</t>
  </si>
  <si>
    <t>NEPIAL00227P16-051</t>
  </si>
  <si>
    <t>G:\GEOPROCESSAMENTO\IMAGENS\LiDAR\Dados_2022\PROPRIO\NEPIAL00227_Alfie_II\Plot_las\Plots_25083_Norm.las</t>
  </si>
  <si>
    <t>Plots_25083_Norm</t>
  </si>
  <si>
    <t>NEPIAL00227_25084</t>
  </si>
  <si>
    <t>NEPIAL00227P16-052</t>
  </si>
  <si>
    <t>G:\GEOPROCESSAMENTO\IMAGENS\LiDAR\Dados_2022\PROPRIO\NEPIAL00227_Alfie_II\Plot_las\Plots_25084_Norm.las</t>
  </si>
  <si>
    <t>Plots_25084_Norm</t>
  </si>
  <si>
    <t>NEPIAL00202_25111</t>
  </si>
  <si>
    <t>NEPIAL00202P16</t>
  </si>
  <si>
    <t>NEPIAL00202P16-011</t>
  </si>
  <si>
    <t>NEPIAL00202</t>
  </si>
  <si>
    <t>G:\GEOPROCESSAMENTO\IMAGENS\LiDAR\Dados_2022\PROPRIO\NEPIAL00202_Alfie\Plot_las\Plots_25111_Norm.las</t>
  </si>
  <si>
    <t>Plots_25111_Norm</t>
  </si>
  <si>
    <t>NEPIAL00202_25121</t>
  </si>
  <si>
    <t>NEPIAL00202P16-010</t>
  </si>
  <si>
    <t>G:\GEOPROCESSAMENTO\IMAGENS\LiDAR\Dados_2022\PROPRIO\NEPIAL00202_Alfie\Plot_las\Plots_25121_Norm.las</t>
  </si>
  <si>
    <t>Plots_25121_Norm</t>
  </si>
  <si>
    <t>NEPIAL00202_25122</t>
  </si>
  <si>
    <t>G:\GEOPROCESSAMENTO\IMAGENS\LiDAR\Dados_2022\PROPRIO\NEPIAL00202_Alfie\Plot_las\Plots_25122_Norm.las</t>
  </si>
  <si>
    <t>Plots_25122_Norm</t>
  </si>
  <si>
    <t>NESBSB00122_25285</t>
  </si>
  <si>
    <t>NESBSB00122P17</t>
  </si>
  <si>
    <t>Cascapau</t>
  </si>
  <si>
    <t>NESBSB00122P17-088</t>
  </si>
  <si>
    <t>Santa Bárbara</t>
  </si>
  <si>
    <t>NESBSB00122</t>
  </si>
  <si>
    <t>CXbd5+CXbd11</t>
  </si>
  <si>
    <t>G:\GEOPROCESSAMENTO\IMAGENS\LiDAR\Dados_2022\PROPRIO\NESBSB00122_Cascapau\Plot_las\Plots_25285_Norm.las</t>
  </si>
  <si>
    <t>Plots_25285_Norm</t>
  </si>
  <si>
    <t>NESBSB00122_25286</t>
  </si>
  <si>
    <t>G:\GEOPROCESSAMENTO\IMAGENS\LiDAR\Dados_2022\PROPRIO\NESBSB00122_Cascapau\Plot_las\Plots_25286_Norm.las</t>
  </si>
  <si>
    <t>Plots_25286_Norm</t>
  </si>
  <si>
    <t>NESBSB00122_25287</t>
  </si>
  <si>
    <t>NESBSB00122P17-091</t>
  </si>
  <si>
    <t>G:\GEOPROCESSAMENTO\IMAGENS\LiDAR\Dados_2022\PROPRIO\NESBSB00122_Cascapau\Plot_las\Plots_25287_Norm.las</t>
  </si>
  <si>
    <t>Plots_25287_Norm</t>
  </si>
  <si>
    <t>NESBSB00172_25308</t>
  </si>
  <si>
    <t>NESBSB00172R17</t>
  </si>
  <si>
    <t>Valéria I</t>
  </si>
  <si>
    <t>NESBSB00172R17-022</t>
  </si>
  <si>
    <t>NESBSB00172</t>
  </si>
  <si>
    <t>CXbd16+FFcd</t>
  </si>
  <si>
    <t>G:\GEOPROCESSAMENTO\IMAGENS\LiDAR\Dados_2022\PROPRIO\NESBSB00172_Valeria_I\Plot_las\Plots_25308_Norm.las</t>
  </si>
  <si>
    <t>Plots_25308_Norm</t>
  </si>
  <si>
    <t>NESBSB00172_25312</t>
  </si>
  <si>
    <t>NESBSB00172P17</t>
  </si>
  <si>
    <t>NESBSB00172P17-021</t>
  </si>
  <si>
    <t>CXbd16+RLd2</t>
  </si>
  <si>
    <t>G:\GEOPROCESSAMENTO\IMAGENS\LiDAR\Dados_2022\PROPRIO\NESBSB00172_Valeria_I\Plot_las\Plots_25312_Norm.las</t>
  </si>
  <si>
    <t>Plots_25312_Norm</t>
  </si>
  <si>
    <t>NESBSB00172_25317</t>
  </si>
  <si>
    <t>NESBSB00172P17-018</t>
  </si>
  <si>
    <t>CXbd17</t>
  </si>
  <si>
    <t>G:\GEOPROCESSAMENTO\IMAGENS\LiDAR\Dados_2022\PROPRIO\NESBSB00172_Valeria_I\Plot_las\Plots_25317_Norm.las</t>
  </si>
  <si>
    <t>Plots_25317_Norm</t>
  </si>
  <si>
    <t>NESBSB00172_25318</t>
  </si>
  <si>
    <t>G:\GEOPROCESSAMENTO\IMAGENS\LiDAR\Dados_2022\PROPRIO\NESBSB00172_Valeria_I\Plot_las\Plots_25318_Norm.las</t>
  </si>
  <si>
    <t>Plots_25318_Norm</t>
  </si>
  <si>
    <t>NESBSB00172_25319</t>
  </si>
  <si>
    <t>NESBSB00172R17-019</t>
  </si>
  <si>
    <t>G:\GEOPROCESSAMENTO\IMAGENS\LiDAR\Dados_2022\PROPRIO\NESBSB00172_Valeria_I\Plot_las\Plots_25319_Norm.las</t>
  </si>
  <si>
    <t>Plots_25319_Norm</t>
  </si>
  <si>
    <t>NESBSB00172_25321</t>
  </si>
  <si>
    <t>G:\GEOPROCESSAMENTO\IMAGENS\LiDAR\Dados_2022\PROPRIO\NESBSB00172_Valeria_I\Plot_las\Plots_25321_Norm.las</t>
  </si>
  <si>
    <t>Plots_25321_Norm</t>
  </si>
  <si>
    <t>RDIPPD00474_25368</t>
  </si>
  <si>
    <t>RDIPPD00474P17</t>
  </si>
  <si>
    <t>RDIPPD00474P17-007</t>
  </si>
  <si>
    <t>G:\GEOPROCESSAMENTO\IMAGENS\LiDAR\Dados_2022\PROPRIO\RDIPPD00474_Lagoa_das_Piabas\Plot_las\Plots_25368_Norm.las</t>
  </si>
  <si>
    <t>Plots_25368_Norm</t>
  </si>
  <si>
    <t>RDIPPD00474_25372</t>
  </si>
  <si>
    <t>RDIPPD00474P17-002</t>
  </si>
  <si>
    <t>G:\GEOPROCESSAMENTO\IMAGENS\LiDAR\Dados_2022\PROPRIO\RDIPPD00474_Lagoa_das_Piabas\Plot_las\Plots_25372_Norm.las</t>
  </si>
  <si>
    <t>Plots_25372_Norm</t>
  </si>
  <si>
    <t>RDIPPD00474_25378</t>
  </si>
  <si>
    <t>G:\GEOPROCESSAMENTO\IMAGENS\LiDAR\Dados_2022\PROPRIO\RDIPPD00474_Lagoa_das_Piabas\Plot_las\Plots_25378_Norm.las</t>
  </si>
  <si>
    <t>Plots_25378_Norm</t>
  </si>
  <si>
    <t>RDIPPD00474_25403</t>
  </si>
  <si>
    <t>RDIPPD00474R17</t>
  </si>
  <si>
    <t>RDIPPD00474R17-014</t>
  </si>
  <si>
    <t>G:\GEOPROCESSAMENTO\IMAGENS\LiDAR\Dados_2022\PROPRIO\RDIPPD00474_Lagoa_das_Piabas\Plot_las\Plots_25403_Norm.las</t>
  </si>
  <si>
    <t>Plots_25403_Norm</t>
  </si>
  <si>
    <t>NEPIIT09174_25431</t>
  </si>
  <si>
    <t>NEPIIT09174R17</t>
  </si>
  <si>
    <t>NEPIIT09174R17-077</t>
  </si>
  <si>
    <t>G:\GEOPROCESSAMENTO\IMAGENS\LiDAR\Dados_2022\PROPRIO\NEPIIT09174_Vargem_Alegre\Plot_las\Plots_25431_Norm.las</t>
  </si>
  <si>
    <t>Plots_25431_Norm</t>
  </si>
  <si>
    <t>NEPIIT09174_25432</t>
  </si>
  <si>
    <t>G:\GEOPROCESSAMENTO\IMAGENS\LiDAR\Dados_2022\PROPRIO\NEPIIT09174_Vargem_Alegre\Plot_las\Plots_25432_Norm.las</t>
  </si>
  <si>
    <t>Plots_25432_Norm</t>
  </si>
  <si>
    <t>NEPIIT09174_25437</t>
  </si>
  <si>
    <t>G:\GEOPROCESSAMENTO\IMAGENS\LiDAR\Dados_2022\PROPRIO\NEPIIT09174_Vargem_Alegre\Plot_las\Plots_25437_Norm.las</t>
  </si>
  <si>
    <t>Plots_25437_Norm</t>
  </si>
  <si>
    <t>NEPIIT09174_25439</t>
  </si>
  <si>
    <t>NEPIIT09174P17</t>
  </si>
  <si>
    <t>NEPIIT09174P17-068</t>
  </si>
  <si>
    <t>G:\GEOPROCESSAMENTO\IMAGENS\LiDAR\Dados_2022\PROPRIO\NEPIIT09174_Vargem_Alegre\Plot_las\Plots_25439_Norm.las</t>
  </si>
  <si>
    <t>Plots_25439_Norm</t>
  </si>
  <si>
    <t>NEPIIT09174_25444</t>
  </si>
  <si>
    <t>NEPIIT09174P17-071</t>
  </si>
  <si>
    <t>CXbd1+CXbd7</t>
  </si>
  <si>
    <t>G:\GEOPROCESSAMENTO\IMAGENS\LiDAR\Dados_2022\PROPRIO\NEPIIT09174_Vargem_Alegre\Plot_las\Plots_25444_Norm.las</t>
  </si>
  <si>
    <t>Plots_25444_Norm</t>
  </si>
  <si>
    <t>NEPIIT09174_25445</t>
  </si>
  <si>
    <t>G:\GEOPROCESSAMENTO\IMAGENS\LiDAR\Dados_2022\PROPRIO\NEPIIT09174_Vargem_Alegre\Plot_las\Plots_25445_Norm.las</t>
  </si>
  <si>
    <t>Plots_25445_Norm</t>
  </si>
  <si>
    <t>NEPIIT00234_25454</t>
  </si>
  <si>
    <t>NEPIIT00234P17</t>
  </si>
  <si>
    <t>NEPIIT00234P17-015</t>
  </si>
  <si>
    <t>G:\GEOPROCESSAMENTO\IMAGENS\LiDAR\Dados_2022\PROPRIO\NEPIIT00234_Mucuri\Plot_las\Plots_25454_Norm.las</t>
  </si>
  <si>
    <t>Plots_25454_Norm</t>
  </si>
  <si>
    <t>RDIPMA00492_25455</t>
  </si>
  <si>
    <t>RDIPMA00492R17</t>
  </si>
  <si>
    <t>RDIPMA00492R17-004</t>
  </si>
  <si>
    <t>C:\LiDAR\Projetos\RDIPMA00492_Cordeiros\plots\plot_25455.las</t>
  </si>
  <si>
    <t>plot_25455</t>
  </si>
  <si>
    <t>NEPIIT00234_25456</t>
  </si>
  <si>
    <t>G:\GEOPROCESSAMENTO\IMAGENS\LiDAR\Dados_2022\PROPRIO\NEPIIT00234_Mucuri\Plot_las\Plots_25456_Norm.las</t>
  </si>
  <si>
    <t>Plots_25456_Norm</t>
  </si>
  <si>
    <t>RDIPMA00492_25457</t>
  </si>
  <si>
    <t>C:\LiDAR\Projetos\RDIPMA00492_Cordeiros\plots\plot_25457.las</t>
  </si>
  <si>
    <t>plot_25457</t>
  </si>
  <si>
    <t>NEPIIT00234_25458</t>
  </si>
  <si>
    <t>NEPIIT00234P17-020</t>
  </si>
  <si>
    <t>G:\GEOPROCESSAMENTO\IMAGENS\LiDAR\Dados_2022\PROPRIO\NEPIIT00234_Mucuri\Plot_las\Plots_25458_Norm.las</t>
  </si>
  <si>
    <t>Plots_25458_Norm</t>
  </si>
  <si>
    <t>RDIPMA00492_25464</t>
  </si>
  <si>
    <t>RDIPMA00492R17-008</t>
  </si>
  <si>
    <t>C:\LiDAR\Projetos\RDIPMA00492_Cordeiros\plots\plot_25464.las</t>
  </si>
  <si>
    <t>plot_25464</t>
  </si>
  <si>
    <t>NECOCE00335_25475</t>
  </si>
  <si>
    <t>NECOCE00335P17</t>
  </si>
  <si>
    <t>NECOCE00335P17-037</t>
  </si>
  <si>
    <t>G:\GEOPROCESSAMENTO\IMAGENS\LiDAR\Dados_2022\PROPRIO\NECOCE00335_Jatoba_I\Plot_las\Plots_25475_Norm.las</t>
  </si>
  <si>
    <t>Plots_25475_Norm</t>
  </si>
  <si>
    <t>NECOCE00335_25477</t>
  </si>
  <si>
    <t>G:\GEOPROCESSAMENTO\IMAGENS\LiDAR\Dados_2022\PROPRIO\NECOCE00335_Jatoba_I\Plot_las\Plots_25477_Norm.las</t>
  </si>
  <si>
    <t>Plots_25477_Norm</t>
  </si>
  <si>
    <t>NECOCE00319_25555</t>
  </si>
  <si>
    <t>NECOCE00319R17</t>
  </si>
  <si>
    <t>NECOCE00319R17-069</t>
  </si>
  <si>
    <t>G:\GEOPROCESSAMENTO\IMAGENS\LiDAR\Dados_2022\PROPRIO\NECOCE00319_Cocais_das_Estrelas\Plot_las\Plots_25555_Norm.las</t>
  </si>
  <si>
    <t>Plots_25555_Norm</t>
  </si>
  <si>
    <t>NECOCE00319_25564</t>
  </si>
  <si>
    <t>NECOCE00319R17-004</t>
  </si>
  <si>
    <t>G:\GEOPROCESSAMENTO\IMAGENS\LiDAR\Dados_2022\PROPRIO\NECOCE00319_Cocais_das_Estrelas\Plot_las\Plots_25564_Norm.las</t>
  </si>
  <si>
    <t>Plots_25564_Norm</t>
  </si>
  <si>
    <t>RDPOPO00426_25767</t>
  </si>
  <si>
    <t>RDPOPO00426P17</t>
  </si>
  <si>
    <t>Coió</t>
  </si>
  <si>
    <t>RDPOPO00426P17-006</t>
  </si>
  <si>
    <t>RDPOPO00426</t>
  </si>
  <si>
    <t>LVAw1+CXbd5</t>
  </si>
  <si>
    <t>G:\GEOPROCESSAMENTO\IMAGENS\LiDAR\Dados_2022\PROPRIO\RDPOPO00426_Coio\Plot_las\Plots_25767_Norm.las</t>
  </si>
  <si>
    <t>Plots_25767_Norm</t>
  </si>
  <si>
    <t>RDPOPO00426_25768</t>
  </si>
  <si>
    <t>RDPOPO00426P17-018</t>
  </si>
  <si>
    <t>G:\GEOPROCESSAMENTO\IMAGENS\LiDAR\Dados_2022\PROPRIO\RDPOPO00426_Coio\Plot_las\Plots_25768_Norm.las</t>
  </si>
  <si>
    <t>Plots_25768_Norm</t>
  </si>
  <si>
    <t>RDPOPO00443_25770</t>
  </si>
  <si>
    <t>RDPOPO00443R17</t>
  </si>
  <si>
    <t>RDPOPO00443R17-051</t>
  </si>
  <si>
    <t>G:\GEOPROCESSAMENTO\IMAGENS\LiDAR\Dados_2022\PROPRIO\RDPOPO00443_Pompeu\Plot_las\Plots_25770_Norm.las</t>
  </si>
  <si>
    <t>Plots_25770_Norm</t>
  </si>
  <si>
    <t>RDPOPO00426_25771</t>
  </si>
  <si>
    <t>G:\GEOPROCESSAMENTO\IMAGENS\LiDAR\Dados_2022\PROPRIO\RDPOPO00426_Coio\Plot_las\Plots_25771_Norm.las</t>
  </si>
  <si>
    <t>Plots_25771_Norm</t>
  </si>
  <si>
    <t>RDPOPO00443_25773</t>
  </si>
  <si>
    <t>G:\GEOPROCESSAMENTO\IMAGENS\LiDAR\Dados_2022\PROPRIO\RDPOPO00443_Pompeu\Plot_las\Plots_25773_Norm.las</t>
  </si>
  <si>
    <t>Plots_25773_Norm</t>
  </si>
  <si>
    <t>GNSASA00655_25873</t>
  </si>
  <si>
    <t>GNSASA00655P17</t>
  </si>
  <si>
    <t>GNSASA00655P17-170</t>
  </si>
  <si>
    <t>LVw1+CXbd5</t>
  </si>
  <si>
    <t>C:\Users\C0010943\Fusion\GNSASA00655_SABINOPOLIS_III\plots\plot_25873.las</t>
  </si>
  <si>
    <t>plot_25873</t>
  </si>
  <si>
    <t>GNSASA00655_25875</t>
  </si>
  <si>
    <t>GNSASA00655P17-168</t>
  </si>
  <si>
    <t>C:\Users\C0010943\Fusion\GNSASA00655_SABINOPOLIS_III\plots\plot_25875.las</t>
  </si>
  <si>
    <t>plot_25875</t>
  </si>
  <si>
    <t>GNSASA00655_25877</t>
  </si>
  <si>
    <t>C:\Users\C0010943\Fusion\GNSASA00655_SABINOPOLIS_III\plots\plot_25877.las</t>
  </si>
  <si>
    <t>plot_25877</t>
  </si>
  <si>
    <t>GNVIVI00586_25880</t>
  </si>
  <si>
    <t>GNVIVI00586R17</t>
  </si>
  <si>
    <t>Carapina</t>
  </si>
  <si>
    <t>GNVIVI00586R17-004</t>
  </si>
  <si>
    <t>GNVIVI00586</t>
  </si>
  <si>
    <t>G:\GEOPROCESSAMENTO\IMAGENS\LiDAR\Dados_2022\PROPRIO\GNVIVI00586_Carapina\Plot_las\Plots_25880_Norm.las</t>
  </si>
  <si>
    <t>Plots_25880_Norm</t>
  </si>
  <si>
    <t>GNVIVI00586_25882</t>
  </si>
  <si>
    <t>G:\GEOPROCESSAMENTO\IMAGENS\LiDAR\Dados_2022\PROPRIO\GNVIVI00586_Carapina\Plot_las\Plots_25882_Norm.las</t>
  </si>
  <si>
    <t>Plots_25882_Norm</t>
  </si>
  <si>
    <t>GNSASA00653_25895</t>
  </si>
  <si>
    <t>GNSASA00653R17</t>
  </si>
  <si>
    <t>Sabinópolis I</t>
  </si>
  <si>
    <t>GNSASA00653R17-148</t>
  </si>
  <si>
    <t>GNSASA00653</t>
  </si>
  <si>
    <t>G:\GEOPROCESSAMENTO\IMAGENS\LiDAR\Dados_2022\PROPRIO\GNSASA00653_Sabinopolis_I\Plot_las\Plots_25895_Norm.las</t>
  </si>
  <si>
    <t>Plots_25895_Norm</t>
  </si>
  <si>
    <t>GNSASA00653_25899</t>
  </si>
  <si>
    <t>G:\GEOPROCESSAMENTO\IMAGENS\LiDAR\Dados_2022\PROPRIO\GNSASA00653_Sabinopolis_I\Plot_las\Plots_25899_Norm.las</t>
  </si>
  <si>
    <t>Plots_25899_Norm</t>
  </si>
  <si>
    <t>GNSASA00653_25902</t>
  </si>
  <si>
    <t>G:\GEOPROCESSAMENTO\IMAGENS\LiDAR\Dados_2022\PROPRIO\GNSASA00653_Sabinopolis_I\Plot_las\Plots_25902_Norm.las</t>
  </si>
  <si>
    <t>Plots_25902_Norm</t>
  </si>
  <si>
    <t>NECOCA00353_25967</t>
  </si>
  <si>
    <t>NECOCA00353P18</t>
  </si>
  <si>
    <t>Ribeirão Grande II</t>
  </si>
  <si>
    <t>NECOCA00353P18-407</t>
  </si>
  <si>
    <t>NECOCA00353</t>
  </si>
  <si>
    <t>CXbd1+CXbd12</t>
  </si>
  <si>
    <t>G:\GEOPROCESSAMENTO\IMAGENS\LiDAR\Dados_2022\PROPRIO\NECOCA00353_Ribeirao_Grande_II\Plot_las\Plots_25967_Norm.las</t>
  </si>
  <si>
    <t>Plots_25967_Norm</t>
  </si>
  <si>
    <t>NECOCA00353_25968</t>
  </si>
  <si>
    <t>G:\GEOPROCESSAMENTO\IMAGENS\LiDAR\Dados_2022\PROPRIO\NECOCA00353_Ribeirao_Grande_II\Plot_las\Plots_25968_Norm.las</t>
  </si>
  <si>
    <t>Plots_25968_Norm</t>
  </si>
  <si>
    <t>NECOCE00365_26073</t>
  </si>
  <si>
    <t>NECOCE00365P18</t>
  </si>
  <si>
    <t>Vai e Volta</t>
  </si>
  <si>
    <t>NECOCE00365P18-372</t>
  </si>
  <si>
    <t>NECOCE00365</t>
  </si>
  <si>
    <t>G:\GEOPROCESSAMENTO\IMAGENS\LiDAR\Dados_2022\PROPRIO\NECOCE00365_Vai_e_Volta\Plot_las\Plots_26073_Norm.las</t>
  </si>
  <si>
    <t>Plots_26073_Norm</t>
  </si>
  <si>
    <t>NECOCE00365_26074</t>
  </si>
  <si>
    <t>G:\GEOPROCESSAMENTO\IMAGENS\LiDAR\Dados_2022\PROPRIO\NECOCE00365_Vai_e_Volta\Plot_las\Plots_26074_Norm.las</t>
  </si>
  <si>
    <t>Plots_26074_Norm</t>
  </si>
  <si>
    <t>NECOCE00365_26075</t>
  </si>
  <si>
    <t>G:\GEOPROCESSAMENTO\IMAGENS\LiDAR\Dados_2022\PROPRIO\NECOCE00365_Vai_e_Volta\Plot_las\Plots_26075_Norm.las</t>
  </si>
  <si>
    <t>Plots_26075_Norm</t>
  </si>
  <si>
    <t>NECOCE00336_26140</t>
  </si>
  <si>
    <t>NECOCE00336R18</t>
  </si>
  <si>
    <t>NECOCE00336R18-020</t>
  </si>
  <si>
    <t>G:\GEOPROCESSAMENTO\IMAGENS\LiDAR\Dados_2022\PROPRIO\NECOCE00336_Jatoba_II\Plot_las\Plots_26140_Norm.las</t>
  </si>
  <si>
    <t>Plots_26140_Norm</t>
  </si>
  <si>
    <t>RDBOBA00402_26147</t>
  </si>
  <si>
    <t>RDBOBA00402P18</t>
  </si>
  <si>
    <t>Água Suja</t>
  </si>
  <si>
    <t>RDBOBA00402P18-013</t>
  </si>
  <si>
    <t>RDBOBA00402</t>
  </si>
  <si>
    <t>G:\GEOPROCESSAMENTO\IMAGENS\LiDAR\Dados_2022\PROPRIO\RDBOBA00402_Agua_Suja\Plot_las\Plots_26147_Norm.las</t>
  </si>
  <si>
    <t>Plots_26147_Norm</t>
  </si>
  <si>
    <t>RDBOBA00402_26148</t>
  </si>
  <si>
    <t>G:\GEOPROCESSAMENTO\IMAGENS\LiDAR\Dados_2022\PROPRIO\RDBOBA00402_Agua_Suja\Plot_las\Plots_26148_Norm.las</t>
  </si>
  <si>
    <t>Plots_26148_Norm</t>
  </si>
  <si>
    <t>RDBOBA00402_26149</t>
  </si>
  <si>
    <t>G:\GEOPROCESSAMENTO\IMAGENS\LiDAR\Dados_2022\PROPRIO\RDBOBA00402_Agua_Suja\Plot_las\Plots_26149_Norm.las</t>
  </si>
  <si>
    <t>Plots_26149_Norm</t>
  </si>
  <si>
    <t>RDIPMA00490_26283</t>
  </si>
  <si>
    <t>RDIPMA00490P18</t>
  </si>
  <si>
    <t>Ribeirão do Boi</t>
  </si>
  <si>
    <t>RDIPMA00490P18-018</t>
  </si>
  <si>
    <t>RDIPMA00490</t>
  </si>
  <si>
    <t>G:\GEOPROCESSAMENTO\IMAGENS\LiDAR\Dados_2022\PROPRIO\RDIPMA00490_Ribeirao_do_Boi\Plot_las\Plots_26283_Norm.las</t>
  </si>
  <si>
    <t>Plots_26283_Norm</t>
  </si>
  <si>
    <t>GNVIVI00526_26292</t>
  </si>
  <si>
    <t>GNVIVI00526P18</t>
  </si>
  <si>
    <t>Donatos</t>
  </si>
  <si>
    <t>GNVIVI00526P18-010</t>
  </si>
  <si>
    <t>GNVIVI00526</t>
  </si>
  <si>
    <t>C:\Users\C0010943\Fusion\GNVIVI00526_DONATOS\plots\plot_26292.las</t>
  </si>
  <si>
    <t>plot_26292</t>
  </si>
  <si>
    <t>RDIPMA00490_26296</t>
  </si>
  <si>
    <t>RDIPMA00490P18-017</t>
  </si>
  <si>
    <t>G:\GEOPROCESSAMENTO\IMAGENS\LiDAR\Dados_2022\PROPRIO\RDIPMA00490_Ribeirao_do_Boi\Plot_las\Plots_26296_Norm.las</t>
  </si>
  <si>
    <t>Plots_26296_Norm</t>
  </si>
  <si>
    <t>RDIPMA00490_26297</t>
  </si>
  <si>
    <t>G:\GEOPROCESSAMENTO\IMAGENS\LiDAR\Dados_2022\PROPRIO\RDIPMA00490_Ribeirao_do_Boi\Plot_las\Plots_26297_Norm.las</t>
  </si>
  <si>
    <t>Plots_26297_Norm</t>
  </si>
  <si>
    <t>RDIPMA00492_26328</t>
  </si>
  <si>
    <t>RDIPMA00492P18</t>
  </si>
  <si>
    <t>RDIPMA00492P18-012</t>
  </si>
  <si>
    <t>C:\LiDAR\Projetos\RDIPMA00492_Cordeiros\plots\plot_26328.las</t>
  </si>
  <si>
    <t>plot_26328</t>
  </si>
  <si>
    <t>GNVIVI00565_26352</t>
  </si>
  <si>
    <t>GNVIVI00565P18</t>
  </si>
  <si>
    <t>GNVIVI00565P18-109</t>
  </si>
  <si>
    <t>C:\Users\C0010943\Fusion\GNVIVI00565_SAPUCAIA\plots\plot_26352.las</t>
  </si>
  <si>
    <t>plot_26352</t>
  </si>
  <si>
    <t>GNVIVI00565_26353</t>
  </si>
  <si>
    <t>C:\Users\C0010943\Fusion\GNVIVI00565_SAPUCAIA\plots\plot_26353.las</t>
  </si>
  <si>
    <t>plot_26353</t>
  </si>
  <si>
    <t>GNVIVI00565_26354</t>
  </si>
  <si>
    <t>C:\Users\C0010943\Fusion\GNVIVI00565_SAPUCAIA\plots\plot_26354.las</t>
  </si>
  <si>
    <t>plot_26354</t>
  </si>
  <si>
    <t>GNVIVI00526_26362</t>
  </si>
  <si>
    <t>GNVIVI00526P18-011</t>
  </si>
  <si>
    <t>C:\Users\C0010943\Fusion\GNVIVI00526_DONATOS\plots\plot_26362.las</t>
  </si>
  <si>
    <t>plot_26362</t>
  </si>
  <si>
    <t>GNVIVI00526_26363</t>
  </si>
  <si>
    <t>C:\Users\C0010943\Fusion\GNVIVI00526_DONATOS\plots\plot_26363.las</t>
  </si>
  <si>
    <t>plot_26363</t>
  </si>
  <si>
    <t>RDIPPD00471_26366</t>
  </si>
  <si>
    <t>RDIPPD00471R18</t>
  </si>
  <si>
    <t>RDIPPD00471R18-006</t>
  </si>
  <si>
    <t>RUbd3+Rube</t>
  </si>
  <si>
    <t>G:\GEOPROCESSAMENTO\IMAGENS\LiDAR\Dados_2022\PROPRIO\RDIPPD00471_Lagoa_Cristal\Plot_las\Plots_26366_Norm.las</t>
  </si>
  <si>
    <t>Plots_26366_Norm</t>
  </si>
  <si>
    <t>RDIPMA00492_26369</t>
  </si>
  <si>
    <t>RDIPMA00492P18-013</t>
  </si>
  <si>
    <t>C:\LiDAR\Projetos\RDIPMA00492_Cordeiros\plots\plot_26369.las</t>
  </si>
  <si>
    <t>plot_26369</t>
  </si>
  <si>
    <t>RDIPMA00492_26370</t>
  </si>
  <si>
    <t>C:\LiDAR\Projetos\RDIPMA00492_Cordeiros\plots\plot_26370.las</t>
  </si>
  <si>
    <t>plot_26370</t>
  </si>
  <si>
    <t>GNVIVI00561_26401</t>
  </si>
  <si>
    <t>GNVIVI00561R18</t>
  </si>
  <si>
    <t>São Leonardo I</t>
  </si>
  <si>
    <t>GNVIVI00561R18-087</t>
  </si>
  <si>
    <t>GNVIVI00561</t>
  </si>
  <si>
    <t>C:\LiDAR\Projetos\GNVIVI00561_SAO_LEONARDO_I\plots\plot_26401.las</t>
  </si>
  <si>
    <t>plot_26401</t>
  </si>
  <si>
    <t>NECOCE00327_26420</t>
  </si>
  <si>
    <t>NECOCE00327P18</t>
  </si>
  <si>
    <t>Fundão II</t>
  </si>
  <si>
    <t>NECOCE00327P18-291</t>
  </si>
  <si>
    <t>NECOCE00327</t>
  </si>
  <si>
    <t>G:\GEOPROCESSAMENTO\IMAGENS\LiDAR\Dados_2022\PROPRIO\NECOCE00327_Fundao_II\Plot_las\Plots_26420_Norm.las</t>
  </si>
  <si>
    <t>Plots_26420_Norm</t>
  </si>
  <si>
    <t>NECOCA00353_26432</t>
  </si>
  <si>
    <t>NECOCA00353P18-408</t>
  </si>
  <si>
    <t>G:\GEOPROCESSAMENTO\IMAGENS\LiDAR\Dados_2022\PROPRIO\NECOCA00353_Ribeirao_Grande_II\Plot_las\Plots_26432_Norm.las</t>
  </si>
  <si>
    <t>Plots_26432_Norm</t>
  </si>
  <si>
    <t>RDIPPD00476_26439</t>
  </si>
  <si>
    <t>RDIPPD00476P18</t>
  </si>
  <si>
    <t>RDIPPD00476P18-005</t>
  </si>
  <si>
    <t>G:\GEOPROCESSAMENTO\IMAGENS\LiDAR\Dados_2022\PROPRIO\RDIPPD00476_Lagoa_Redonda\Plot_las\Plots_26439_Norm.las</t>
  </si>
  <si>
    <t>Plots_26439_Norm</t>
  </si>
  <si>
    <t>RDIPPD00476_26440</t>
  </si>
  <si>
    <t>G:\GEOPROCESSAMENTO\IMAGENS\LiDAR\Dados_2022\PROPRIO\RDIPPD00476_Lagoa_Redonda\Plot_las\Plots_26440_Norm.las</t>
  </si>
  <si>
    <t>Plots_26440_Norm</t>
  </si>
  <si>
    <t>RDIPPD00476_26441</t>
  </si>
  <si>
    <t>G:\GEOPROCESSAMENTO\IMAGENS\LiDAR\Dados_2022\PROPRIO\RDIPPD00476_Lagoa_Redonda\Plot_las\Plots_26441_Norm.las</t>
  </si>
  <si>
    <t>Plots_26441_Norm</t>
  </si>
  <si>
    <t>NECOCE00327_26452</t>
  </si>
  <si>
    <t>NECOCE00327P18-285</t>
  </si>
  <si>
    <t>G:\GEOPROCESSAMENTO\IMAGENS\LiDAR\Dados_2022\PROPRIO\NECOCE00327_Fundao_II\Plot_las\Plots_26452_Norm.las</t>
  </si>
  <si>
    <t>Plots_26452_Norm</t>
  </si>
  <si>
    <t>NECOCE00327_26453</t>
  </si>
  <si>
    <t>G:\GEOPROCESSAMENTO\IMAGENS\LiDAR\Dados_2022\PROPRIO\NECOCE00327_Fundao_II\Plot_las\Plots_26453_Norm.las</t>
  </si>
  <si>
    <t>Plots_26453_Norm</t>
  </si>
  <si>
    <t>NECOCA00353_26456</t>
  </si>
  <si>
    <t>NECOCA00353R18</t>
  </si>
  <si>
    <t>NECOCA00353R18-423</t>
  </si>
  <si>
    <t>CXbd1+CXbd10</t>
  </si>
  <si>
    <t>G:\GEOPROCESSAMENTO\IMAGENS\LiDAR\Dados_2022\PROPRIO\NECOCA00353_Ribeirao_Grande_II\Plot_las\Plots_26456_Norm.las</t>
  </si>
  <si>
    <t>Plots_26456_Norm</t>
  </si>
  <si>
    <t>RDIPMA00492_26493</t>
  </si>
  <si>
    <t>RDIPMA00492P18-003</t>
  </si>
  <si>
    <t>C:\LiDAR\Projetos\RDIPMA00492_Cordeiros\plots\plot_26493.las</t>
  </si>
  <si>
    <t>plot_26493</t>
  </si>
  <si>
    <t>GNVIVI00561_26501</t>
  </si>
  <si>
    <t>GNVIVI00561R18-088</t>
  </si>
  <si>
    <t>C:\LiDAR\Projetos\GNVIVI00561_SAO_LEONARDO_I\plots\plot_26501.las</t>
  </si>
  <si>
    <t>plot_26501</t>
  </si>
  <si>
    <t>NESBSB00172_26506</t>
  </si>
  <si>
    <t>NESBSB00172R18</t>
  </si>
  <si>
    <t>NESBSB00172R18-027</t>
  </si>
  <si>
    <t>G:\GEOPROCESSAMENTO\IMAGENS\LiDAR\Dados_2022\PROPRIO\NESBSB00172_Valeria_I\Plot_las\Plots_26506_Norm.las</t>
  </si>
  <si>
    <t>Plots_26506_Norm</t>
  </si>
  <si>
    <t>NESBSB00172_26507</t>
  </si>
  <si>
    <t>G:\GEOPROCESSAMENTO\IMAGENS\LiDAR\Dados_2022\PROPRIO\NESBSB00172_Valeria_I\Plot_las\Plots_26507_Norm.las</t>
  </si>
  <si>
    <t>Plots_26507_Norm</t>
  </si>
  <si>
    <t>NESBSB00172_26508</t>
  </si>
  <si>
    <t>G:\GEOPROCESSAMENTO\IMAGENS\LiDAR\Dados_2022\PROPRIO\NESBSB00172_Valeria_I\Plot_las\Plots_26508_Norm.las</t>
  </si>
  <si>
    <t>Plots_26508_Norm</t>
  </si>
  <si>
    <t>NEPIIT00221_26520</t>
  </si>
  <si>
    <t>NEPIIT00221R18</t>
  </si>
  <si>
    <t>Estiva</t>
  </si>
  <si>
    <t>NEPIIT00221R18-002</t>
  </si>
  <si>
    <t>NEPIIT00221</t>
  </si>
  <si>
    <t>G:\GEOPROCESSAMENTO\IMAGENS\LiDAR\Dados_2022\PROPRIO\NEPIIT00221_Estiva\Plot_las\Plots_26520_Norm.las</t>
  </si>
  <si>
    <t>Plots_26520_Norm</t>
  </si>
  <si>
    <t>NESBSB00172_26524</t>
  </si>
  <si>
    <t>NESBSB00172P18</t>
  </si>
  <si>
    <t>NESBSB00172P18-026</t>
  </si>
  <si>
    <t>G:\GEOPROCESSAMENTO\IMAGENS\LiDAR\Dados_2022\PROPRIO\NESBSB00172_Valeria_I\Plot_las\Plots_26524_Norm.las</t>
  </si>
  <si>
    <t>Plots_26524_Norm</t>
  </si>
  <si>
    <t>NESBSB00172_26525</t>
  </si>
  <si>
    <t>G:\GEOPROCESSAMENTO\IMAGENS\LiDAR\Dados_2022\PROPRIO\NESBSB00172_Valeria_I\Plot_las\Plots_26525_Norm.las</t>
  </si>
  <si>
    <t>Plots_26525_Norm</t>
  </si>
  <si>
    <t>GNVIVI00561_26532</t>
  </si>
  <si>
    <t>GNVIVI00561R18-076</t>
  </si>
  <si>
    <t>C:\LiDAR\Projetos\GNVIVI00561_SAO_LEONARDO_I\plots\plot_26532.las</t>
  </si>
  <si>
    <t>plot_26532</t>
  </si>
  <si>
    <t>GNVIVI00561_26533</t>
  </si>
  <si>
    <t>C:\LiDAR\Projetos\GNVIVI00561_SAO_LEONARDO_I\plots\plot_26533.las</t>
  </si>
  <si>
    <t>plot_26533</t>
  </si>
  <si>
    <t>GNVIVI00561_26534</t>
  </si>
  <si>
    <t>C:\LiDAR\Projetos\GNVIVI00561_SAO_LEONARDO_I\plots\plot_26534.las</t>
  </si>
  <si>
    <t>plot_26534</t>
  </si>
  <si>
    <t>GNVIVI00561_26535</t>
  </si>
  <si>
    <t>GNVIVI00561R18-089</t>
  </si>
  <si>
    <t>C:\LiDAR\Projetos\GNVIVI00561_SAO_LEONARDO_I\plots\plot_26535.las</t>
  </si>
  <si>
    <t>plot_26535</t>
  </si>
  <si>
    <t>NECOCE00336_26537</t>
  </si>
  <si>
    <t>NECOCE00336R18-019</t>
  </si>
  <si>
    <t>G:\GEOPROCESSAMENTO\IMAGENS\LiDAR\Dados_2022\PROPRIO\NECOCE00336_Jatoba_II\Plot_las\Plots_26537_Norm.las</t>
  </si>
  <si>
    <t>Plots_26537_Norm</t>
  </si>
  <si>
    <t>RDIPPD00471_26540</t>
  </si>
  <si>
    <t>RDIPPD00471R18-004</t>
  </si>
  <si>
    <t>RUbd2</t>
  </si>
  <si>
    <t>G:\GEOPROCESSAMENTO\IMAGENS\LiDAR\Dados_2022\PROPRIO\RDIPPD00471_Lagoa_Cristal\Plot_las\Plots_26540_Norm.las</t>
  </si>
  <si>
    <t>Plots_26540_Norm</t>
  </si>
  <si>
    <t>RDIPPD00471_26541</t>
  </si>
  <si>
    <t>G:\GEOPROCESSAMENTO\IMAGENS\LiDAR\Dados_2022\PROPRIO\RDIPPD00471_Lagoa_Cristal\Plot_las\Plots_26541_Norm.las</t>
  </si>
  <si>
    <t>Plots_26541_Norm</t>
  </si>
  <si>
    <t>NEPIPC00222_26547</t>
  </si>
  <si>
    <t>NEPIPC00222P18</t>
  </si>
  <si>
    <t>Fagundes</t>
  </si>
  <si>
    <t>NEPIPC00222P18-066</t>
  </si>
  <si>
    <t>NEPIPC00222</t>
  </si>
  <si>
    <t>G:\GEOPROCESSAMENTO\IMAGENS\LiDAR\Dados_2022\PROPRIO\NEPIPC00222_Fagundes\Plot_las\Plots_26547_Norm.las</t>
  </si>
  <si>
    <t>Plots_26547_Norm</t>
  </si>
  <si>
    <t>NEPIPC00222_26549</t>
  </si>
  <si>
    <t>G:\GEOPROCESSAMENTO\IMAGENS\LiDAR\Dados_2022\PROPRIO\NEPIPC00222_Fagundes\Plot_las\Plots_26549_Norm.las</t>
  </si>
  <si>
    <t>Plots_26549_Norm</t>
  </si>
  <si>
    <t>NEPIPC00222_26551</t>
  </si>
  <si>
    <t>NEPIPC00222R18</t>
  </si>
  <si>
    <t>NEPIPC00222R18-057</t>
  </si>
  <si>
    <t>G:\GEOPROCESSAMENTO\IMAGENS\LiDAR\Dados_2022\PROPRIO\NEPIPC00222_Fagundes\Plot_las\Plots_26551_Norm.las</t>
  </si>
  <si>
    <t>Plots_26551_Norm</t>
  </si>
  <si>
    <t>NEPIIT00221_26557</t>
  </si>
  <si>
    <t>NEPIIT00221R18-001</t>
  </si>
  <si>
    <t>G:\GEOPROCESSAMENTO\IMAGENS\LiDAR\Dados_2022\PROPRIO\NEPIIT00221_Estiva\Plot_las\Plots_26557_Norm.las</t>
  </si>
  <si>
    <t>Plots_26557_Norm</t>
  </si>
  <si>
    <t>NESBSB00173_26561</t>
  </si>
  <si>
    <t>NESBSB00173R18</t>
  </si>
  <si>
    <t>Valéria II</t>
  </si>
  <si>
    <t>NESBSB00173R18-048</t>
  </si>
  <si>
    <t>NESBSB00173</t>
  </si>
  <si>
    <t>CXbd15</t>
  </si>
  <si>
    <t>C:\LiDAR\Projetos\NESBSB00173_Valeria_II\plots\plot_26561.las</t>
  </si>
  <si>
    <t>plot_26561</t>
  </si>
  <si>
    <t>NESBSB00173_26562</t>
  </si>
  <si>
    <t>C:\LiDAR\Projetos\NESBSB00173_Valeria_II\plots\plot_26562.las</t>
  </si>
  <si>
    <t>plot_26562</t>
  </si>
  <si>
    <t>NESBSB00173_26563</t>
  </si>
  <si>
    <t>C:\LiDAR\Projetos\NESBSB00173_Valeria_II\plots\plot_26563.las</t>
  </si>
  <si>
    <t>plot_26563</t>
  </si>
  <si>
    <t>RDIPMA00492_26599</t>
  </si>
  <si>
    <t>RDIPMA00492P18-002</t>
  </si>
  <si>
    <t>C:\LiDAR\Projetos\RDIPMA00492_Cordeiros\plots\plot_26599.las</t>
  </si>
  <si>
    <t>plot_26599</t>
  </si>
  <si>
    <t>RDIPMA00492_26600</t>
  </si>
  <si>
    <t>C:\LiDAR\Projetos\RDIPMA00492_Cordeiros\plots\plot_26600.las</t>
  </si>
  <si>
    <t>plot_26600</t>
  </si>
  <si>
    <t>NEPIPC00222_26640</t>
  </si>
  <si>
    <t>NEPIPC00222R18-059</t>
  </si>
  <si>
    <t>G:\GEOPROCESSAMENTO\IMAGENS\LiDAR\Dados_2022\PROPRIO\NEPIPC00222_Fagundes\Plot_las\Plots_26640_Norm.las</t>
  </si>
  <si>
    <t>Plots_26640_Norm</t>
  </si>
  <si>
    <t>NEPIPC00222_26641</t>
  </si>
  <si>
    <t>NEPIPC00222P18-054</t>
  </si>
  <si>
    <t>G:\GEOPROCESSAMENTO\IMAGENS\LiDAR\Dados_2022\PROPRIO\NEPIPC00222_Fagundes\Plot_las\Plots_26641_Norm.las</t>
  </si>
  <si>
    <t>Plots_26641_Norm</t>
  </si>
  <si>
    <t>NECOCA00353_26664</t>
  </si>
  <si>
    <t>NECOCA00353R18-411</t>
  </si>
  <si>
    <t>G:\GEOPROCESSAMENTO\IMAGENS\LiDAR\Dados_2022\PROPRIO\NECOCA00353_Ribeirao_Grande_II\Plot_las\Plots_26664_Norm.las</t>
  </si>
  <si>
    <t>Plots_26664_Norm</t>
  </si>
  <si>
    <t>GNSASA00635_26678</t>
  </si>
  <si>
    <t>GNSASA00635R18</t>
  </si>
  <si>
    <t>Lagoa Grande I</t>
  </si>
  <si>
    <t>GNSASA00635R18-130</t>
  </si>
  <si>
    <t>GNSASA00635</t>
  </si>
  <si>
    <t>C:\LiDAR\Projetos\GNSASA00635_LAGOA_GRANDE_I\plots\plot_26678.las</t>
  </si>
  <si>
    <t>plot_26678</t>
  </si>
  <si>
    <t>GNSASA00635_26679</t>
  </si>
  <si>
    <t>C:\LiDAR\Projetos\GNSASA00635_LAGOA_GRANDE_I\plots\plot_26679.las</t>
  </si>
  <si>
    <t>plot_26679</t>
  </si>
  <si>
    <t>GNSASA00635_26680</t>
  </si>
  <si>
    <t>C:\LiDAR\Projetos\GNSASA00635_LAGOA_GRANDE_I\plots\plot_26680.las</t>
  </si>
  <si>
    <t>plot_26680</t>
  </si>
  <si>
    <t>NESBSB00172_26686</t>
  </si>
  <si>
    <t>NESBSB00172P18-012</t>
  </si>
  <si>
    <t>G:\GEOPROCESSAMENTO\IMAGENS\LiDAR\Dados_2022\PROPRIO\NESBSB00172_Valeria_I\Plot_las\Plots_26686_Norm.las</t>
  </si>
  <si>
    <t>Plots_26686_Norm</t>
  </si>
  <si>
    <t>NESBSB00104_26831</t>
  </si>
  <si>
    <t>NESBSB00104R19</t>
  </si>
  <si>
    <t>Agregado</t>
  </si>
  <si>
    <t>NESBSB00104R19-136</t>
  </si>
  <si>
    <t>NESBSB00104</t>
  </si>
  <si>
    <t>G:\GEOPROCESSAMENTO\IMAGENS\LiDAR\Dados_2022\PROPRIO\NESBSB00104_Agregado\Plot_las\Plots_26831_Norm.las</t>
  </si>
  <si>
    <t>Plots_26831_Norm</t>
  </si>
  <si>
    <t>NESBSB00104_26845</t>
  </si>
  <si>
    <t>NESBSB00104R19-127</t>
  </si>
  <si>
    <t>G:\GEOPROCESSAMENTO\IMAGENS\LiDAR\Dados_2022\PROPRIO\NESBSB00104_Agregado\Plot_las\Plots_26845_Norm.las</t>
  </si>
  <si>
    <t>Plots_26845_Norm</t>
  </si>
  <si>
    <t>NESBSB00104_26846</t>
  </si>
  <si>
    <t>G:\GEOPROCESSAMENTO\IMAGENS\LiDAR\Dados_2022\PROPRIO\NESBSB00104_Agregado\Plot_las\Plots_26846_Norm.las</t>
  </si>
  <si>
    <t>Plots_26846_Norm</t>
  </si>
  <si>
    <t>RDIPPD00476_26887</t>
  </si>
  <si>
    <t>RDIPPD00476P19</t>
  </si>
  <si>
    <t>RDIPPD00476P19-008</t>
  </si>
  <si>
    <t>G:\GEOPROCESSAMENTO\IMAGENS\LiDAR\Dados_2022\PROPRIO\RDIPPD00476_Lagoa_Redonda\Plot_las\Plots_26887_Norm.las</t>
  </si>
  <si>
    <t>Plots_26887_Norm</t>
  </si>
  <si>
    <t>RDIPPD00476_26888</t>
  </si>
  <si>
    <t>G:\GEOPROCESSAMENTO\IMAGENS\LiDAR\Dados_2022\PROPRIO\RDIPPD00476_Lagoa_Redonda\Plot_las\Plots_26888_Norm.las</t>
  </si>
  <si>
    <t>Plots_26888_Norm</t>
  </si>
  <si>
    <t>RDIPPD00476_26889</t>
  </si>
  <si>
    <t>G:\GEOPROCESSAMENTO\IMAGENS\LiDAR\Dados_2022\PROPRIO\RDIPPD00476_Lagoa_Redonda\Plot_las\Plots_26889_Norm.las</t>
  </si>
  <si>
    <t>Plots_26889_Norm</t>
  </si>
  <si>
    <t>RDIPPD00473_27130</t>
  </si>
  <si>
    <t>RDIPPD00473R19</t>
  </si>
  <si>
    <t>Lagoa Tiririca</t>
  </si>
  <si>
    <t>RDIPPD00473R19-017</t>
  </si>
  <si>
    <t>RDIPPD00473</t>
  </si>
  <si>
    <t>G:\GEOPROCESSAMENTO\IMAGENS\LiDAR\Dados_2022\PROPRIO\RDIPPD00473_Lagoa_Tiririca\Plot_las\Plots_27130_Norm.las</t>
  </si>
  <si>
    <t>Plots_27130_Norm</t>
  </si>
  <si>
    <t>RDIPPD00473_27135</t>
  </si>
  <si>
    <t>RDIPPD00473R19-032</t>
  </si>
  <si>
    <t>G:\GEOPROCESSAMENTO\IMAGENS\LiDAR\Dados_2022\PROPRIO\RDIPPD00473_Lagoa_Tiririca\Plot_las\Plots_27135_Norm.las</t>
  </si>
  <si>
    <t>Plots_27135_Norm</t>
  </si>
  <si>
    <t>NECOCE00305_27150</t>
  </si>
  <si>
    <t>NECOCE00305P19</t>
  </si>
  <si>
    <t>Barbosão I</t>
  </si>
  <si>
    <t>NECOCE00305P19-051</t>
  </si>
  <si>
    <t>NECOCE00305</t>
  </si>
  <si>
    <t>CXbd7+RRd2</t>
  </si>
  <si>
    <t>G:\GEOPROCESSAMENTO\IMAGENS\LiDAR\Dados_2022\PROPRIO\NECOCE00305_Barbosao_I\Plot_las\Plots_27150_Norm.las</t>
  </si>
  <si>
    <t>Plots_27150_Norm</t>
  </si>
  <si>
    <t>GNSASA00625_27153</t>
  </si>
  <si>
    <t>GNSASA00625P19</t>
  </si>
  <si>
    <t>Corrente Canoa II</t>
  </si>
  <si>
    <t>GNSASA00625P19-013</t>
  </si>
  <si>
    <t>GNSASA00625</t>
  </si>
  <si>
    <t>C:\LiDAR\Projetos\GNSASA00625_CORRENTE_CANOA_II\plots\plot_27153.las</t>
  </si>
  <si>
    <t>plot_27153</t>
  </si>
  <si>
    <t>GNSASA00625_27154</t>
  </si>
  <si>
    <t>C:\LiDAR\Projetos\GNSASA00625_CORRENTE_CANOA_II\plots\plot_27154.las</t>
  </si>
  <si>
    <t>plot_27154</t>
  </si>
  <si>
    <t>NECOCE00305_27155</t>
  </si>
  <si>
    <t>NECOCE00305R19</t>
  </si>
  <si>
    <t>NECOCE00305R19-033</t>
  </si>
  <si>
    <t>LAd6</t>
  </si>
  <si>
    <t>G:\GEOPROCESSAMENTO\IMAGENS\LiDAR\Dados_2022\PROPRIO\NECOCE00305_Barbosao_I\Plot_las\Plots_27155_Norm.las</t>
  </si>
  <si>
    <t>Plots_27155_Norm</t>
  </si>
  <si>
    <t>GNSACR00626_27221</t>
  </si>
  <si>
    <t>GNSACR00626P19</t>
  </si>
  <si>
    <t>Correntinho I</t>
  </si>
  <si>
    <t>GNSACR00626P19-004</t>
  </si>
  <si>
    <t>GNSACR00626</t>
  </si>
  <si>
    <t>G:\GEOPROCESSAMENTO\IMAGENS\LiDAR\Dados_2022\PROPRIO\GNSACR00626_Correntinho_I\Plot_las\Plots_27221_Norm.las</t>
  </si>
  <si>
    <t>Plots_27221_Norm</t>
  </si>
  <si>
    <t>NESBSB00172_27270</t>
  </si>
  <si>
    <t>NESBSB00172P19</t>
  </si>
  <si>
    <t>NESBSB00172P19-002</t>
  </si>
  <si>
    <t>G:\GEOPROCESSAMENTO\IMAGENS\LiDAR\Dados_2022\PROPRIO\NESBSB00172_Valeria_I\Plot_las\Plots_27270_Norm.las</t>
  </si>
  <si>
    <t>Plots_27270_Norm</t>
  </si>
  <si>
    <t>NESBSB00172_27495</t>
  </si>
  <si>
    <t>NESBSB00172P19-001</t>
  </si>
  <si>
    <t>G:\GEOPROCESSAMENTO\IMAGENS\LiDAR\Dados_2022\PROPRIO\NESBSB00172_Valeria_I\Plot_las\Plots_27495_Norm.las</t>
  </si>
  <si>
    <t>Plots_27495_Norm</t>
  </si>
  <si>
    <t>NESBSB00172_27496</t>
  </si>
  <si>
    <t>G:\GEOPROCESSAMENTO\IMAGENS\LiDAR\Dados_2022\PROPRIO\NESBSB00172_Valeria_I\Plot_las\Plots_27496_Norm.las</t>
  </si>
  <si>
    <t>Plots_27496_Norm</t>
  </si>
  <si>
    <t>RDIPMA00487_27498</t>
  </si>
  <si>
    <t>RDIPMA00487R19</t>
  </si>
  <si>
    <t>RDIPMA00487R19-001</t>
  </si>
  <si>
    <t>G:\GEOPROCESSAMENTO\IMAGENS\LiDAR\Dados_2022\PROPRIO\RDIPMA00487_Beira_Rio\Plot_las\Plots_27498_Norm.las</t>
  </si>
  <si>
    <t>Plots_27498_Norm</t>
  </si>
  <si>
    <t>GNSASA00625_27509</t>
  </si>
  <si>
    <t>GNSASA00625P19-014</t>
  </si>
  <si>
    <t>C:\LiDAR\Projetos\GNSASA00625_CORRENTE_CANOA_II\plots\plot_27509.las</t>
  </si>
  <si>
    <t>plot_27509</t>
  </si>
  <si>
    <t>GNSACR00615R21-002_28366</t>
  </si>
  <si>
    <t>GNSACR00615R21</t>
  </si>
  <si>
    <t>Candeias</t>
  </si>
  <si>
    <t>GNSACR00615R21-002</t>
  </si>
  <si>
    <t>GNSACR00615</t>
  </si>
  <si>
    <t>G:\GEOPROCESSAMENTO\IMAGENS\LiDAR\Dados_2025\GNSACR00615_CANDEIAS\10plots\GNSACR00615R21-002_28366,laz</t>
  </si>
  <si>
    <t>GNSACR00615R21-002_28367</t>
  </si>
  <si>
    <t>G:\GEOPROCESSAMENTO\IMAGENS\LiDAR\Dados_2025\GNSACR00615_CANDEIAS\10plots\GNSACR00615R21-002_28367,laz</t>
  </si>
  <si>
    <t>GNSACR00626R19-011_27433</t>
  </si>
  <si>
    <t>GNSACR00626R19</t>
  </si>
  <si>
    <t>GNSACR00626R19-011</t>
  </si>
  <si>
    <t>CXbd1+FFef</t>
  </si>
  <si>
    <t>G:\GEOPROCESSAMENTO\IMAGENS\LiDAR\Dados_2025\GNSACR00626_CORRENTINHO_I\10plots\GNSACR00626R19-011_27433,laz</t>
  </si>
  <si>
    <t>GNSACR00626R19-011_33342</t>
  </si>
  <si>
    <t>G:\GEOPROCESSAMENTO\IMAGENS\LiDAR\Dados_2025\GNSACR00626_CORRENTINHO_I\10plots\GNSACR00626R19-011_33342,laz</t>
  </si>
  <si>
    <t>GNSACR00626R19-011_33348</t>
  </si>
  <si>
    <t>G:\GEOPROCESSAMENTO\IMAGENS\LiDAR\Dados_2025\GNSACR00626_CORRENTINHO_I\10plots\GNSACR00626R19-011_33348,laz</t>
  </si>
  <si>
    <t>GNSACR00650R20-092_27709</t>
  </si>
  <si>
    <t>GNSACR00650R20</t>
  </si>
  <si>
    <t>Rio Guanhães</t>
  </si>
  <si>
    <t>GNSACR00650R20-092</t>
  </si>
  <si>
    <t>GNSACR00650</t>
  </si>
  <si>
    <t>G:\GEOPROCESSAMENTO\IMAGENS\LiDAR\Dados_2025\GNSACR00650_RIO_GUANHAES\10plots\GNSACR00650R20-092_27709,laz</t>
  </si>
  <si>
    <t>GNSACR00650R20-092_27710</t>
  </si>
  <si>
    <t>G:\GEOPROCESSAMENTO\IMAGENS\LiDAR\Dados_2025\GNSACR00650_RIO_GUANHAES\10plots\GNSACR00650R20-092_27710,laz</t>
  </si>
  <si>
    <t>GNSACR00650R20-092_27711</t>
  </si>
  <si>
    <t>G:\GEOPROCESSAMENTO\IMAGENS\LiDAR\Dados_2025\GNSACR00650_RIO_GUANHAES\10plots\GNSACR00650R20-092_27711,laz</t>
  </si>
  <si>
    <t>GNSACR00650R20-092_33370</t>
  </si>
  <si>
    <t>G:\GEOPROCESSAMENTO\IMAGENS\LiDAR\Dados_2025\GNSACR00650_RIO_GUANHAES\10plots\GNSACR00650R20-092_33370,laz</t>
  </si>
  <si>
    <t>GNSACR00650R20-092_33371</t>
  </si>
  <si>
    <t>G:\GEOPROCESSAMENTO\IMAGENS\LiDAR\Dados_2025\GNSACR00650_RIO_GUANHAES\10plots\GNSACR00650R20-092_33371,laz</t>
  </si>
  <si>
    <t>GNSAPE00583R20-001_27543</t>
  </si>
  <si>
    <t>GNSAPE00583R20</t>
  </si>
  <si>
    <t>Córrego Dantas</t>
  </si>
  <si>
    <t>GNSAPE00583R20-001</t>
  </si>
  <si>
    <t>GNSAPE00583</t>
  </si>
  <si>
    <t>G:\GEOPROCESSAMENTO\IMAGENS\LiDAR\Dados_2025\GNSAPE00583_CORREGO_DANTAS\10plots\GNSAPE00583R20-001_27543,laz</t>
  </si>
  <si>
    <t>GNSAPE00583R20-001_27544</t>
  </si>
  <si>
    <t>G:\GEOPROCESSAMENTO\IMAGENS\LiDAR\Dados_2025\GNSAPE00583_CORREGO_DANTAS\10plots\GNSAPE00583R20-001_27544,laz</t>
  </si>
  <si>
    <t>GNSAPE00583R20-001_27545</t>
  </si>
  <si>
    <t>G:\GEOPROCESSAMENTO\IMAGENS\LiDAR\Dados_2025\GNSAPE00583_CORREGO_DANTAS\10plots\GNSAPE00583R20-001_27545,laz</t>
  </si>
  <si>
    <t>GNSAPE00583R20-001_27546</t>
  </si>
  <si>
    <t>G:\GEOPROCESSAMENTO\IMAGENS\LiDAR\Dados_2025\GNSAPE00583_CORREGO_DANTAS\10plots\GNSAPE00583R20-001_27546,laz</t>
  </si>
  <si>
    <t>GNSAPE00611P20-008_27676</t>
  </si>
  <si>
    <t>GNSAPE00611P20</t>
  </si>
  <si>
    <t>Barreiras</t>
  </si>
  <si>
    <t>GNSAPE00611P20-008</t>
  </si>
  <si>
    <t>GNSAPE00611</t>
  </si>
  <si>
    <t>G:\GEOPROCESSAMENTO\IMAGENS\LiDAR\Dados_2025\GNSAPE00611_BARREIRAS\10plots\GNSAPE00611P20-008_27676,laz</t>
  </si>
  <si>
    <t>GNSAPE00611P20-008_27677</t>
  </si>
  <si>
    <t>G:\GEOPROCESSAMENTO\IMAGENS\LiDAR\Dados_2025\GNSAPE00611_BARREIRAS\10plots\GNSAPE00611P20-008_27677,laz</t>
  </si>
  <si>
    <t>GNSAPE00647R21-046_28911</t>
  </si>
  <si>
    <t>GNSAPE00647R21</t>
  </si>
  <si>
    <t>Quartel</t>
  </si>
  <si>
    <t>GNSAPE00647R21-046</t>
  </si>
  <si>
    <t>GNSAPE00647</t>
  </si>
  <si>
    <t>G:\GEOPROCESSAMENTO\IMAGENS\LiDAR\Dados_2025\GNSAPE00647_QUARTEL\10plots\GNSAPE00647R21-046_28911,laz</t>
  </si>
  <si>
    <t>GNSAPE00647R21-046_28912</t>
  </si>
  <si>
    <t>G:\GEOPROCESSAMENTO\IMAGENS\LiDAR\Dados_2025\GNSAPE00647_QUARTEL\10plots\GNSAPE00647R21-046_28912,laz</t>
  </si>
  <si>
    <t>GNSAPE00647R21-046_28913</t>
  </si>
  <si>
    <t>G:\GEOPROCESSAMENTO\IMAGENS\LiDAR\Dados_2025\GNSAPE00647_QUARTEL\10plots\GNSAPE00647R21-046_28913,laz</t>
  </si>
  <si>
    <t>GNSAPE00647R22-049_29807</t>
  </si>
  <si>
    <t>GNSAPE00647R22</t>
  </si>
  <si>
    <t>GNSAPE00647R22-049</t>
  </si>
  <si>
    <t>G:\GEOPROCESSAMENTO\IMAGENS\LiDAR\Dados_2025\GNSAPE00647_QUARTEL\10plots\GNSAPE00647R22-049_29807,laz</t>
  </si>
  <si>
    <t>GNSAPE00647R22-049_29808</t>
  </si>
  <si>
    <t>G:\GEOPROCESSAMENTO\IMAGENS\LiDAR\Dados_2025\GNSAPE00647_QUARTEL\10plots\GNSAPE00647R22-049_29808,laz</t>
  </si>
  <si>
    <t>GNSAPE00671P20-004_27831</t>
  </si>
  <si>
    <t>GNSAPE00671P20</t>
  </si>
  <si>
    <t>Fazenda Taquaral</t>
  </si>
  <si>
    <t>GNSAPE00671P20-004</t>
  </si>
  <si>
    <t>Arrendada</t>
  </si>
  <si>
    <t>GNSAPE00671</t>
  </si>
  <si>
    <t>CXbd1+RRd2</t>
  </si>
  <si>
    <t>G:\GEOPROCESSAMENTO\IMAGENS\LiDAR\Dados_2025\GNSAPE00671_FAZENDA_TAQUARAL\10plots\GNSAPE00671P20-004_27831,laz</t>
  </si>
  <si>
    <t>GNSAPE00671P20-004_27832</t>
  </si>
  <si>
    <t>G:\GEOPROCESSAMENTO\IMAGENS\LiDAR\Dados_2025\GNSAPE00671_FAZENDA_TAQUARAL\10plots\GNSAPE00671P20-004_27832,laz</t>
  </si>
  <si>
    <t>GNSAPE00671P20-004_27833</t>
  </si>
  <si>
    <t>G:\GEOPROCESSAMENTO\IMAGENS\LiDAR\Dados_2025\GNSAPE00671_FAZENDA_TAQUARAL\10plots\GNSAPE00671P20-004_27833,laz</t>
  </si>
  <si>
    <t>GNVIVI00514P20-031_27517</t>
  </si>
  <si>
    <t>GNVIVI00514P20</t>
  </si>
  <si>
    <t>Córrego das Pedras</t>
  </si>
  <si>
    <t>GNVIVI00514P20-031</t>
  </si>
  <si>
    <t>GNVIVI00514</t>
  </si>
  <si>
    <t>G:\GEOPROCESSAMENTO\IMAGENS\LiDAR\Dados_2025\GNVIVI00514_CORREGO_DAS_PEDRAS\10plots\GNVIVI00514P20-031_27517,laz</t>
  </si>
  <si>
    <t>GNVIVI00514P20-031_27518</t>
  </si>
  <si>
    <t>G:\GEOPROCESSAMENTO\IMAGENS\LiDAR\Dados_2025\GNVIVI00514_CORREGO_DAS_PEDRAS\10plots\GNVIVI00514P20-031_27518,laz</t>
  </si>
  <si>
    <t>GNVIVI00514P20-031_27519</t>
  </si>
  <si>
    <t>G:\GEOPROCESSAMENTO\IMAGENS\LiDAR\Dados_2025\GNVIVI00514_CORREGO_DAS_PEDRAS\10plots\GNVIVI00514P20-031_27519,laz</t>
  </si>
  <si>
    <t>GNVIVI00514P20-031_27520</t>
  </si>
  <si>
    <t>G:\GEOPROCESSAMENTO\IMAGENS\LiDAR\Dados_2025\GNVIVI00514_CORREGO_DAS_PEDRAS\10plots\GNVIVI00514P20-031_27520,laz</t>
  </si>
  <si>
    <t>GNVIVI00534P19-029_27329</t>
  </si>
  <si>
    <t>GNVIVI00534P19</t>
  </si>
  <si>
    <t>Godinho</t>
  </si>
  <si>
    <t>GNVIVI00534P19-029</t>
  </si>
  <si>
    <t>GNVIVI00534</t>
  </si>
  <si>
    <t>G:\GEOPROCESSAMENTO\IMAGENS\LiDAR\Dados_2025\GNVIVI00534_GODINHO\10plots\GNVIVI00534P19-029_27329,laz</t>
  </si>
  <si>
    <t>GNVIVI00538P20-008_27861</t>
  </si>
  <si>
    <t>GNVIVI00538P20</t>
  </si>
  <si>
    <t>Horácio</t>
  </si>
  <si>
    <t>GNVIVI00538P20-008</t>
  </si>
  <si>
    <t>GNVIVI00538</t>
  </si>
  <si>
    <t>G:\GEOPROCESSAMENTO\IMAGENS\LiDAR\Dados_2025\GNVIVI00538_HORACIO\10plots\GNVIVI00538P20-008_27861,laz</t>
  </si>
  <si>
    <t>GNVIVI00538P20-008_27862</t>
  </si>
  <si>
    <t>G:\GEOPROCESSAMENTO\IMAGENS\LiDAR\Dados_2025\GNVIVI00538_HORACIO\10plots\GNVIVI00538P20-008_27862,laz</t>
  </si>
  <si>
    <t>GNVIVI00542P21-008_28974</t>
  </si>
  <si>
    <t>GNVIVI00542P21</t>
  </si>
  <si>
    <t>Jacutinga II</t>
  </si>
  <si>
    <t>GNVIVI00542P21-008</t>
  </si>
  <si>
    <t>GNVIVI00542</t>
  </si>
  <si>
    <t>G:\GEOPROCESSAMENTO\IMAGENS\LiDAR\Dados_2025\GNVIVI00542_JACUTINGA_II\10plots\GNVIVI00542P21-008_28974,laz</t>
  </si>
  <si>
    <t>GNVIVI00542P21-008_28975</t>
  </si>
  <si>
    <t>G:\GEOPROCESSAMENTO\IMAGENS\LiDAR\Dados_2025\GNVIVI00542_JACUTINGA_II\10plots\GNVIVI00542P21-008_28975,laz</t>
  </si>
  <si>
    <t>GNVIVI00542P21-008_28976</t>
  </si>
  <si>
    <t>G:\GEOPROCESSAMENTO\IMAGENS\LiDAR\Dados_2025\GNVIVI00542_JACUTINGA_II\10plots\GNVIVI00542P21-008_28976,laz</t>
  </si>
  <si>
    <t>GNVIVI00542P21-022_28987</t>
  </si>
  <si>
    <t>GNVIVI00542P21-022</t>
  </si>
  <si>
    <t>G:\GEOPROCESSAMENTO\IMAGENS\LiDAR\Dados_2025\GNVIVI00542_JACUTINGA_II\10plots\GNVIVI00542P21-022_28987,laz</t>
  </si>
  <si>
    <t>GNVIVI00542P21-022_28989</t>
  </si>
  <si>
    <t>G:\GEOPROCESSAMENTO\IMAGENS\LiDAR\Dados_2025\GNVIVI00542_JACUTINGA_II\10plots\GNVIVI00542P21-022_28989,laz</t>
  </si>
  <si>
    <t>GNVIVI00542P21-031_28982</t>
  </si>
  <si>
    <t>GNVIVI00542P21-031</t>
  </si>
  <si>
    <t>G:\GEOPROCESSAMENTO\IMAGENS\LiDAR\Dados_2025\GNVIVI00542_JACUTINGA_II\10plots\GNVIVI00542P21-031_28982,laz</t>
  </si>
  <si>
    <t>GNVIVI00542P21-031_28983</t>
  </si>
  <si>
    <t>G:\GEOPROCESSAMENTO\IMAGENS\LiDAR\Dados_2025\GNVIVI00542_JACUTINGA_II\10plots\GNVIVI00542P21-031_28983,laz</t>
  </si>
  <si>
    <t>GNVIVI00542P21-031_28984</t>
  </si>
  <si>
    <t>G:\GEOPROCESSAMENTO\IMAGENS\LiDAR\Dados_2025\GNVIVI00542_JACUTINGA_II\10plots\GNVIVI00542P21-031_28984,laz</t>
  </si>
  <si>
    <t>GNVIVI00562P16-065_24685</t>
  </si>
  <si>
    <t>GNVIVI00562P16</t>
  </si>
  <si>
    <t>São Leonardo II</t>
  </si>
  <si>
    <t>GNVIVI00562P16-065</t>
  </si>
  <si>
    <t>GNVIVI00562</t>
  </si>
  <si>
    <t>G:\GEOPROCESSAMENTO\IMAGENS\LiDAR\Dados_2025\GNVIVI00562_SAO_LEONARDO_II\10plots\GNVIVI00562P16-065_24685,laz</t>
  </si>
  <si>
    <t>NECOCA00312R20-350_27786</t>
  </si>
  <si>
    <t>NECOCA00312R20</t>
  </si>
  <si>
    <t>Cocais dos Arrudas II</t>
  </si>
  <si>
    <t>NECOCA00312R20-350</t>
  </si>
  <si>
    <t>NECOCA00312</t>
  </si>
  <si>
    <t>G:\GEOPROCESSAMENTO\IMAGENS\LiDAR\Dados_2025\NECOCA00312_COCAIS_DOS_ARRUDAS_II\10plots\NECOCA00312R20-350_27786,laz</t>
  </si>
  <si>
    <t>NECOCA00312R20-350_27787</t>
  </si>
  <si>
    <t>G:\GEOPROCESSAMENTO\IMAGENS\LiDAR\Dados_2025\NECOCA00312_COCAIS_DOS_ARRUDAS_II\10plots\NECOCA00312R20-350_27787,laz</t>
  </si>
  <si>
    <t>NECOCA00325R16-104_25022</t>
  </si>
  <si>
    <t>NECOCA00325R16</t>
  </si>
  <si>
    <t>Cumeeira</t>
  </si>
  <si>
    <t>NECOCA00325R16-104</t>
  </si>
  <si>
    <t>NECOCA00325</t>
  </si>
  <si>
    <t>G:\GEOPROCESSAMENTO\IMAGENS\LiDAR\Dados_2025\NECOCA00325_CUMEEIRA\10plots\NECOCA00325R16-104_25022,laz</t>
  </si>
  <si>
    <t>NECOCA00325R16-104_25024</t>
  </si>
  <si>
    <t>G:\GEOPROCESSAMENTO\IMAGENS\LiDAR\Dados_2025\NECOCA00325_CUMEEIRA\10plots\NECOCA00325R16-104_25024,laz</t>
  </si>
  <si>
    <t>NECOCA00325R16-104_25025</t>
  </si>
  <si>
    <t>G:\GEOPROCESSAMENTO\IMAGENS\LiDAR\Dados_2025\NECOCA00325_CUMEEIRA\10plots\NECOCA00325R16-104_25025,laz</t>
  </si>
  <si>
    <t>NECOCA00325R16-104_33504</t>
  </si>
  <si>
    <t>G:\GEOPROCESSAMENTO\IMAGENS\LiDAR\Dados_2025\NECOCA00325_CUMEEIRA\10plots\NECOCA00325R16-104_33504,laz</t>
  </si>
  <si>
    <t>NECOCA00325R16-115_33506</t>
  </si>
  <si>
    <t>NECOCA00325R16-115</t>
  </si>
  <si>
    <t>G:\GEOPROCESSAMENTO\IMAGENS\LiDAR\Dados_2025\NECOCA00325_CUMEEIRA\10plots\NECOCA00325R16-115_33506,laz</t>
  </si>
  <si>
    <t>NECOCA00328R20-002_27878</t>
  </si>
  <si>
    <t>NECOCA00328R20</t>
  </si>
  <si>
    <t>Gamela</t>
  </si>
  <si>
    <t>NECOCA00328R20-002</t>
  </si>
  <si>
    <t>3,00 x 2,80</t>
  </si>
  <si>
    <t>NECOCA00328</t>
  </si>
  <si>
    <t>G:\GEOPROCESSAMENTO\IMAGENS\LiDAR\Dados_2025\NECOCA00328_GAMELA\10plots\NECOCA00328R20-002_27878,laz</t>
  </si>
  <si>
    <t>NECOCA00328R20-002_27879</t>
  </si>
  <si>
    <t>G:\GEOPROCESSAMENTO\IMAGENS\LiDAR\Dados_2025\NECOCA00328_GAMELA\10plots\NECOCA00328R20-002_27879,laz</t>
  </si>
  <si>
    <t>NECOCA00328R20-002_28234</t>
  </si>
  <si>
    <t>G:\GEOPROCESSAMENTO\IMAGENS\LiDAR\Dados_2025\NECOCA00328_GAMELA\10plots\NECOCA00328R20-002_28234,laz</t>
  </si>
  <si>
    <t>NECOCA00369R22-475_29613</t>
  </si>
  <si>
    <t>NECOCA00369R22</t>
  </si>
  <si>
    <t>Pinhão</t>
  </si>
  <si>
    <t>NECOCA00369R22-475</t>
  </si>
  <si>
    <t>NECOCA00369</t>
  </si>
  <si>
    <t>G:\GEOPROCESSAMENTO\IMAGENS\LiDAR\Dados_2025\NECOCA00369_PINHAO\10plots\NECOCA00369R22-475_29613,laz</t>
  </si>
  <si>
    <t>NECOCA00372P21-492_29073</t>
  </si>
  <si>
    <t>NECOCA00372P21</t>
  </si>
  <si>
    <t>Trindade</t>
  </si>
  <si>
    <t>NECOCA00372P21-492</t>
  </si>
  <si>
    <t>NECOCA00372</t>
  </si>
  <si>
    <t>G:\GEOPROCESSAMENTO\IMAGENS\LiDAR\Dados_2025\NECOCA00372_TRINDADE\10plots\NECOCA00372P21-492_29073,laz</t>
  </si>
  <si>
    <t>NECOCA00372P21-492_29074</t>
  </si>
  <si>
    <t>G:\GEOPROCESSAMENTO\IMAGENS\LiDAR\Dados_2025\NECOCA00372_TRINDADE\10plots\NECOCA00372P21-492_29074,laz</t>
  </si>
  <si>
    <t>NECOCA00372P21-492_29075</t>
  </si>
  <si>
    <t>G:\GEOPROCESSAMENTO\IMAGENS\LiDAR\Dados_2025\NECOCA00372_TRINDADE\10plots\NECOCA00372P21-492_29075,laz</t>
  </si>
  <si>
    <t>NECOCA00372R21-487_29066</t>
  </si>
  <si>
    <t>NECOCA00372R21</t>
  </si>
  <si>
    <t>NECOCA00372R21-487</t>
  </si>
  <si>
    <t>G:\GEOPROCESSAMENTO\IMAGENS\LiDAR\Dados_2025\NECOCA00372_TRINDADE\10plots\NECOCA00372R21-487_29066,laz</t>
  </si>
  <si>
    <t>NECOCA00372R21-487_29068</t>
  </si>
  <si>
    <t>G:\GEOPROCESSAMENTO\IMAGENS\LiDAR\Dados_2025\NECOCA00372_TRINDADE\10plots\NECOCA00372R21-487_29068,laz</t>
  </si>
  <si>
    <t>NECOCA00372R21-487_29069</t>
  </si>
  <si>
    <t>G:\GEOPROCESSAMENTO\IMAGENS\LiDAR\Dados_2025\NECOCA00372_TRINDADE\10plots\NECOCA00372R21-487_29069,laz</t>
  </si>
  <si>
    <t>NECOCA00375R18-003_26653</t>
  </si>
  <si>
    <t>NECOCA00375R18</t>
  </si>
  <si>
    <t>Baratinha</t>
  </si>
  <si>
    <t>NECOCA00375R18-003</t>
  </si>
  <si>
    <t>NECOCA00375</t>
  </si>
  <si>
    <t>G:\GEOPROCESSAMENTO\IMAGENS\LiDAR\Dados_2025\NECOCA00375_BARATINHA\10plots\NECOCA00375R18-003_26653,laz</t>
  </si>
  <si>
    <t>NECOCA00375R18-003_30897</t>
  </si>
  <si>
    <t>G:\GEOPROCESSAMENTO\IMAGENS\LiDAR\Dados_2025\NECOCA00375_BARATINHA\10plots\NECOCA00375R18-003_30897,laz</t>
  </si>
  <si>
    <t>NECOCA00375R18-004_26605</t>
  </si>
  <si>
    <t>NECOCA00375R18-004</t>
  </si>
  <si>
    <t>G:\GEOPROCESSAMENTO\IMAGENS\LiDAR\Dados_2025\NECOCA00375_BARATINHA\10plots\NECOCA00375R18-004_26605,laz</t>
  </si>
  <si>
    <t>NECOCA00375R18-004_26606</t>
  </si>
  <si>
    <t>G:\GEOPROCESSAMENTO\IMAGENS\LiDAR\Dados_2025\NECOCA00375_BARATINHA\10plots\NECOCA00375R18-004_26606,laz</t>
  </si>
  <si>
    <t>NECOCA00375R18-004_30891</t>
  </si>
  <si>
    <t>G:\GEOPROCESSAMENTO\IMAGENS\LiDAR\Dados_2025\NECOCA00375_BARATINHA\10plots\NECOCA00375R18-004_30891,laz</t>
  </si>
  <si>
    <t>NECOCE00302P17-062_25524</t>
  </si>
  <si>
    <t>NECOCE00302P17</t>
  </si>
  <si>
    <t>Alto da Pedra</t>
  </si>
  <si>
    <t>NECOCE00302P17-062</t>
  </si>
  <si>
    <t>NECOCE00302</t>
  </si>
  <si>
    <t>G:\GEOPROCESSAMENTO\IMAGENS\LiDAR\Dados_2025\NECOCE00302_ALTO_DA_PEDRA\10plots\NECOCE00302P17-062_25524,laz</t>
  </si>
  <si>
    <t>NECOCE00302P17-062_31037</t>
  </si>
  <si>
    <t>G:\GEOPROCESSAMENTO\IMAGENS\LiDAR\Dados_2025\NECOCE00302_ALTO_DA_PEDRA\10plots\NECOCE00302P17-062_31037,laz</t>
  </si>
  <si>
    <t>NECOCE00302P17-063_25517</t>
  </si>
  <si>
    <t>NECOCE00302P17-063</t>
  </si>
  <si>
    <t>G:\GEOPROCESSAMENTO\IMAGENS\LiDAR\Dados_2025\NECOCE00302_ALTO_DA_PEDRA\10plots\NECOCE00302P17-063_25517,laz</t>
  </si>
  <si>
    <t>NECOCE00302P17-063_31039</t>
  </si>
  <si>
    <t>G:\GEOPROCESSAMENTO\IMAGENS\LiDAR\Dados_2025\NECOCE00302_ALTO_DA_PEDRA\10plots\NECOCE00302P17-063_31039,laz</t>
  </si>
  <si>
    <t>NECOCE00302R17-012_25508</t>
  </si>
  <si>
    <t>NECOCE00302R17</t>
  </si>
  <si>
    <t>NECOCE00302R17-012</t>
  </si>
  <si>
    <t>CNB008</t>
  </si>
  <si>
    <t>G:\GEOPROCESSAMENTO\IMAGENS\LiDAR\Dados_2025\NECOCE00302_ALTO_DA_PEDRA\10plots\NECOCE00302R17-012_25508,laz</t>
  </si>
  <si>
    <t>NECOCE00302R17-060_25529</t>
  </si>
  <si>
    <t>NECOCE00302R17-060</t>
  </si>
  <si>
    <t>G:\GEOPROCESSAMENTO\IMAGENS\LiDAR\Dados_2025\NECOCE00302_ALTO_DA_PEDRA\10plots\NECOCE00302R17-060_25529,laz</t>
  </si>
  <si>
    <t>NECOCE00302R17-060_25536</t>
  </si>
  <si>
    <t>G:\GEOPROCESSAMENTO\IMAGENS\LiDAR\Dados_2025\NECOCE00302_ALTO_DA_PEDRA\10plots\NECOCE00302R17-060_25536,laz</t>
  </si>
  <si>
    <t>NECOCE00302R17-060_31038</t>
  </si>
  <si>
    <t>G:\GEOPROCESSAMENTO\IMAGENS\LiDAR\Dados_2025\NECOCE00302_ALTO_DA_PEDRA\10plots\NECOCE00302R17-060_31038,laz</t>
  </si>
  <si>
    <t>NECOCE00317R19-302_27065</t>
  </si>
  <si>
    <t>NECOCE00317R19</t>
  </si>
  <si>
    <t>Capelinha</t>
  </si>
  <si>
    <t>NECOCE00317R19-302</t>
  </si>
  <si>
    <t>NECOCE00317</t>
  </si>
  <si>
    <t>G:\GEOPROCESSAMENTO\IMAGENS\LiDAR\Dados_2025\NECOCE00317_CAPELINHA\10plots\NECOCE00317R19-302_27065,laz</t>
  </si>
  <si>
    <t>NECOCE00347R21-331_28756</t>
  </si>
  <si>
    <t>NECOCE00347R21</t>
  </si>
  <si>
    <t>Pedra Branca</t>
  </si>
  <si>
    <t>NECOCE00347R21-331</t>
  </si>
  <si>
    <t>NECOCE00347</t>
  </si>
  <si>
    <t>G:\GEOPROCESSAMENTO\IMAGENS\LiDAR\Dados_2025\NECOCE00347_PEDRA_BRANCA\10plots\NECOCE00347R21-331_28756,laz</t>
  </si>
  <si>
    <t>NECOCE00347R21-331_28757</t>
  </si>
  <si>
    <t>G:\GEOPROCESSAMENTO\IMAGENS\LiDAR\Dados_2025\NECOCE00347_PEDRA_BRANCA\10plots\NECOCE00347R21-331_28757,laz</t>
  </si>
  <si>
    <t>NECOCE00347R21-331_28758</t>
  </si>
  <si>
    <t>G:\GEOPROCESSAMENTO\IMAGENS\LiDAR\Dados_2025\NECOCE00347_PEDRA_BRANCA\10plots\NECOCE00347R21-331_28758,laz</t>
  </si>
  <si>
    <t>NECOCE00347R21-331_28759</t>
  </si>
  <si>
    <t>G:\GEOPROCESSAMENTO\IMAGENS\LiDAR\Dados_2025\NECOCE00347_PEDRA_BRANCA\10plots\NECOCE00347R21-331_28759,laz</t>
  </si>
  <si>
    <t>NECOCE00354R18-270_26419</t>
  </si>
  <si>
    <t>NECOCE00354R18</t>
  </si>
  <si>
    <t>Santa Clara</t>
  </si>
  <si>
    <t>NECOCE00354R18-270</t>
  </si>
  <si>
    <t>NECOCE00354</t>
  </si>
  <si>
    <t>G:\GEOPROCESSAMENTO\IMAGENS\LiDAR\Dados_2025\NECOCE00354_SANTA_CLARA\10plots\NECOCE00354R18-270_26419,laz</t>
  </si>
  <si>
    <t>NECOCE00365R18-371_26169</t>
  </si>
  <si>
    <t>NECOCE00365R18</t>
  </si>
  <si>
    <t>NECOCE00365R18-371</t>
  </si>
  <si>
    <t>G:\GEOPROCESSAMENTO\IMAGENS\LiDAR\Dados_2025\NECOCE00365_VAI_E_VOLTA\10plots\NECOCE00365R18-371_26169,laz</t>
  </si>
  <si>
    <t>NECOCE00365R18-371_26170</t>
  </si>
  <si>
    <t>G:\GEOPROCESSAMENTO\IMAGENS\LiDAR\Dados_2025\NECOCE00365_VAI_E_VOLTA\10plots\NECOCE00365R18-371_26170,laz</t>
  </si>
  <si>
    <t>NECOCE00365R18-371_26171</t>
  </si>
  <si>
    <t>G:\GEOPROCESSAMENTO\IMAGENS\LiDAR\Dados_2025\NECOCE00365_VAI_E_VOLTA\10plots\NECOCE00365R18-371_26171,laz</t>
  </si>
  <si>
    <t>NECOCE00365R18-371_26172</t>
  </si>
  <si>
    <t>G:\GEOPROCESSAMENTO\IMAGENS\LiDAR\Dados_2025\NECOCE00365_VAI_E_VOLTA\10plots\NECOCE00365R18-371_26172,laz</t>
  </si>
  <si>
    <t>NEPIAL00201P17-003_25419</t>
  </si>
  <si>
    <t>NEPIAL00201P17</t>
  </si>
  <si>
    <t>Água Limpa</t>
  </si>
  <si>
    <t>NEPIAL00201P17-003</t>
  </si>
  <si>
    <t>NEPIAL00201</t>
  </si>
  <si>
    <t>G:\GEOPROCESSAMENTO\IMAGENS\LiDAR\Dados_2025\NEPIAL00201_AGUA_LIMPA\10plots\NEPIAL00201P17-003_25419,laz</t>
  </si>
  <si>
    <t>NEPIAL00202P21-036_28326</t>
  </si>
  <si>
    <t>NEPIAL00202P21</t>
  </si>
  <si>
    <t>NEPIAL00202P21-036</t>
  </si>
  <si>
    <t>G:\GEOPROCESSAMENTO\IMAGENS\LiDAR\Dados_2025\NEPIAL00202_ALFIE\10plots\NEPIAL00202P21-036_28326,laz</t>
  </si>
  <si>
    <t>NEPIAL00205R20-001_27720</t>
  </si>
  <si>
    <t>NEPIAL00205R20</t>
  </si>
  <si>
    <t>Bicudos II</t>
  </si>
  <si>
    <t>NEPIAL00205R20-001</t>
  </si>
  <si>
    <t>NEPIAL00205</t>
  </si>
  <si>
    <t>G:\GEOPROCESSAMENTO\IMAGENS\LiDAR\Dados_2025\NEPIAL00205_BICUDOS_II\10plots\NEPIAL00205R20-001_27720,laz</t>
  </si>
  <si>
    <t>NEPIAL00208P16-101_25097</t>
  </si>
  <si>
    <t>NEPIAL00208P16</t>
  </si>
  <si>
    <t>Bom Retiro</t>
  </si>
  <si>
    <t>NEPIAL00208P16-101</t>
  </si>
  <si>
    <t>NEPIAL00208</t>
  </si>
  <si>
    <t>G:\GEOPROCESSAMENTO\IMAGENS\LiDAR\Dados_2025\NEPIAL00208_BOM_RETIRO\10plots\NEPIAL00208P16-101_25097,laz</t>
  </si>
  <si>
    <t>NEPIAL00208P16-101_25098</t>
  </si>
  <si>
    <t>G:\GEOPROCESSAMENTO\IMAGENS\LiDAR\Dados_2025\NEPIAL00208_BOM_RETIRO\10plots\NEPIAL00208P16-101_25098,laz</t>
  </si>
  <si>
    <t>NEPIAL00208P16-101_25099</t>
  </si>
  <si>
    <t>G:\GEOPROCESSAMENTO\IMAGENS\LiDAR\Dados_2025\NEPIAL00208_BOM_RETIRO\10plots\NEPIAL00208P16-101_25099,laz</t>
  </si>
  <si>
    <t>NEPIAL00208P16-101_31025</t>
  </si>
  <si>
    <t>G:\GEOPROCESSAMENTO\IMAGENS\LiDAR\Dados_2025\NEPIAL00208_BOM_RETIRO\10plots\NEPIAL00208P16-101_31025,laz</t>
  </si>
  <si>
    <t>NEPIAL00208P16-142_25093</t>
  </si>
  <si>
    <t>NEPIAL00208P16-142</t>
  </si>
  <si>
    <t>G:\GEOPROCESSAMENTO\IMAGENS\LiDAR\Dados_2025\NEPIAL00208_BOM_RETIRO\10plots\NEPIAL00208P16-142_25093,laz</t>
  </si>
  <si>
    <t>NEPIAL00208P22-122_29140</t>
  </si>
  <si>
    <t>NEPIAL00208P22</t>
  </si>
  <si>
    <t>NEPIAL00208P22-122</t>
  </si>
  <si>
    <t>G:\GEOPROCESSAMENTO\IMAGENS\LiDAR\Dados_2025\NEPIAL00208_BOM_RETIRO\10plots\NEPIAL00208P22-122_29140,laz</t>
  </si>
  <si>
    <t>NEPIAL00208P22-122_29142</t>
  </si>
  <si>
    <t>G:\GEOPROCESSAMENTO\IMAGENS\LiDAR\Dados_2025\NEPIAL00208_BOM_RETIRO\10plots\NEPIAL00208P22-122_29142,laz</t>
  </si>
  <si>
    <t>NEPIAL00208P22-122_29143</t>
  </si>
  <si>
    <t>G:\GEOPROCESSAMENTO\IMAGENS\LiDAR\Dados_2025\NEPIAL00208_BOM_RETIRO\10plots\NEPIAL00208P22-122_29143,laz</t>
  </si>
  <si>
    <t>NEPIAL00208R16-102_25101</t>
  </si>
  <si>
    <t>NEPIAL00208R16</t>
  </si>
  <si>
    <t>NEPIAL00208R16-102</t>
  </si>
  <si>
    <t>G:\GEOPROCESSAMENTO\IMAGENS\LiDAR\Dados_2025\NEPIAL00208_BOM_RETIRO\10plots\NEPIAL00208R16-102_25101,laz</t>
  </si>
  <si>
    <t>NEPIAL00208R16-102_25102</t>
  </si>
  <si>
    <t>G:\GEOPROCESSAMENTO\IMAGENS\LiDAR\Dados_2025\NEPIAL00208_BOM_RETIRO\10plots\NEPIAL00208R16-102_25102,laz</t>
  </si>
  <si>
    <t>NEPIAL00208R16-102_25103</t>
  </si>
  <si>
    <t>G:\GEOPROCESSAMENTO\IMAGENS\LiDAR\Dados_2025\NEPIAL00208_BOM_RETIRO\10plots\NEPIAL00208R16-102_25103,laz</t>
  </si>
  <si>
    <t>NEPIAL00208R16-102_25104</t>
  </si>
  <si>
    <t>G:\GEOPROCESSAMENTO\IMAGENS\LiDAR\Dados_2025\NEPIAL00208_BOM_RETIRO\10plots\NEPIAL00208R16-102_25104,laz</t>
  </si>
  <si>
    <t>NEPIAL00208R16-102_31024</t>
  </si>
  <si>
    <t>G:\GEOPROCESSAMENTO\IMAGENS\LiDAR\Dados_2025\NEPIAL00208_BOM_RETIRO\10plots\NEPIAL00208R16-102_31024,laz</t>
  </si>
  <si>
    <t>NEPIAL00208R21-114_28315</t>
  </si>
  <si>
    <t>NEPIAL00208R21</t>
  </si>
  <si>
    <t>NEPIAL00208R21-114</t>
  </si>
  <si>
    <t>G:\GEOPROCESSAMENTO\IMAGENS\LiDAR\Dados_2025\NEPIAL00208_BOM_RETIRO\10plots\NEPIAL00208R21-114_28315,laz</t>
  </si>
  <si>
    <t>NEPIAL00208R21-114_28316</t>
  </si>
  <si>
    <t>G:\GEOPROCESSAMENTO\IMAGENS\LiDAR\Dados_2025\NEPIAL00208_BOM_RETIRO\10plots\NEPIAL00208R21-114_28316,laz</t>
  </si>
  <si>
    <t>NEPIAL00208R21-114_28317</t>
  </si>
  <si>
    <t>G:\GEOPROCESSAMENTO\IMAGENS\LiDAR\Dados_2025\NEPIAL00208_BOM_RETIRO\10plots\NEPIAL00208R21-114_28317,laz</t>
  </si>
  <si>
    <t>NEPIAL00208R21-114_30351</t>
  </si>
  <si>
    <t>G:\GEOPROCESSAMENTO\IMAGENS\LiDAR\Dados_2025\NEPIAL00208_BOM_RETIRO\10plots\NEPIAL00208R21-114_30351,laz</t>
  </si>
  <si>
    <t>NEPIAL00208R21-114_30353</t>
  </si>
  <si>
    <t>G:\GEOPROCESSAMENTO\IMAGENS\LiDAR\Dados_2025\NEPIAL00208_BOM_RETIRO\10plots\NEPIAL00208R21-114_30353,laz</t>
  </si>
  <si>
    <t>NEPIAL00211P20-097_28175</t>
  </si>
  <si>
    <t>NEPIAL00211P20</t>
  </si>
  <si>
    <t>Morro Agudo</t>
  </si>
  <si>
    <t>NEPIAL00211P20-097</t>
  </si>
  <si>
    <t>NEPIAL00211</t>
  </si>
  <si>
    <t>G:\GEOPROCESSAMENTO\IMAGENS\LiDAR\Dados_2025\NEPIAL00211_MORRO_AGUDO\10plots\NEPIAL00211P20-097_28175,laz</t>
  </si>
  <si>
    <t>NEPIAL00211P20-097_28177</t>
  </si>
  <si>
    <t>G:\GEOPROCESSAMENTO\IMAGENS\LiDAR\Dados_2025\NEPIAL00211_MORRO_AGUDO\10plots\NEPIAL00211P20-097_28177,laz</t>
  </si>
  <si>
    <t>NEPIAL00211R20-124_28164</t>
  </si>
  <si>
    <t>NEPIAL00211R20</t>
  </si>
  <si>
    <t>NEPIAL00211R20-124</t>
  </si>
  <si>
    <t>G:\GEOPROCESSAMENTO\IMAGENS\LiDAR\Dados_2025\NEPIAL00211_MORRO_AGUDO\10plots\NEPIAL00211R20-124_28164,laz</t>
  </si>
  <si>
    <t>NEPIAL00211R20-124_28165</t>
  </si>
  <si>
    <t>G:\GEOPROCESSAMENTO\IMAGENS\LiDAR\Dados_2025\NEPIAL00211_MORRO_AGUDO\10plots\NEPIAL00211R20-124_28165,laz</t>
  </si>
  <si>
    <t>NEPIAL00211R20-124_28247</t>
  </si>
  <si>
    <t>G:\GEOPROCESSAMENTO\IMAGENS\LiDAR\Dados_2025\NEPIAL00211_MORRO_AGUDO\10plots\NEPIAL00211R20-124_28247,laz</t>
  </si>
  <si>
    <t>NEPIAL00211R20-124_30366</t>
  </si>
  <si>
    <t>G:\GEOPROCESSAMENTO\IMAGENS\LiDAR\Dados_2025\NEPIAL00211_MORRO_AGUDO\10plots\NEPIAL00211R20-124_30366,laz</t>
  </si>
  <si>
    <t>NEPIAL00211R20-124_31027</t>
  </si>
  <si>
    <t>G:\GEOPROCESSAMENTO\IMAGENS\LiDAR\Dados_2025\NEPIAL00211_MORRO_AGUDO\10plots\NEPIAL00211R20-124_31027,laz</t>
  </si>
  <si>
    <t>NEPIAL00215R20-018_27716</t>
  </si>
  <si>
    <t>NEPIAL00215R20</t>
  </si>
  <si>
    <t>Curió</t>
  </si>
  <si>
    <t>NEPIAL00215R20-018</t>
  </si>
  <si>
    <t>NEPIAL00215</t>
  </si>
  <si>
    <t>G:\GEOPROCESSAMENTO\IMAGENS\LiDAR\Dados_2025\NEPIAL00215_CURIO\10plots\NEPIAL00215R20-018_27716,laz</t>
  </si>
  <si>
    <t>NEPIAL00215R20-018_27717</t>
  </si>
  <si>
    <t>G:\GEOPROCESSAMENTO\IMAGENS\LiDAR\Dados_2025\NEPIAL00215_CURIO\10plots\NEPIAL00215R20-018_27717,laz</t>
  </si>
  <si>
    <t>NEPIAL00231P20-010_27555</t>
  </si>
  <si>
    <t>NEPIAL00231P20</t>
  </si>
  <si>
    <t>Morro da Cela</t>
  </si>
  <si>
    <t>NEPIAL00231P20-010</t>
  </si>
  <si>
    <t>NEPIAL00231</t>
  </si>
  <si>
    <t>G:\GEOPROCESSAMENTO\IMAGENS\LiDAR\Dados_2025\NEPIAL00231_MORRO_DA_CELA\10plots\NEPIAL00231P20-010_27555,laz</t>
  </si>
  <si>
    <t>NEPIAL00231P20-010_27556</t>
  </si>
  <si>
    <t>G:\GEOPROCESSAMENTO\IMAGENS\LiDAR\Dados_2025\NEPIAL00231_MORRO_DA_CELA\10plots\NEPIAL00231P20-010_27556,laz</t>
  </si>
  <si>
    <t>NEPIAL00231P20-010_27557</t>
  </si>
  <si>
    <t>G:\GEOPROCESSAMENTO\IMAGENS\LiDAR\Dados_2025\NEPIAL00231_MORRO_DA_CELA\10plots\NEPIAL00231P20-010_27557,laz</t>
  </si>
  <si>
    <t>NEPIAL00241P17-001_25436</t>
  </si>
  <si>
    <t>NEPIAL00241P17</t>
  </si>
  <si>
    <t>Retiro</t>
  </si>
  <si>
    <t>NEPIAL00241P17-001</t>
  </si>
  <si>
    <t>NEPIAL00241</t>
  </si>
  <si>
    <t>G:\GEOPROCESSAMENTO\IMAGENS\LiDAR\Dados_2025\NEPIAL00241_RETIRO\10plots\NEPIAL00241P17-001_25436,laz</t>
  </si>
  <si>
    <t>NEPIAL00241P17-001_25438</t>
  </si>
  <si>
    <t>G:\GEOPROCESSAMENTO\IMAGENS\LiDAR\Dados_2025\NEPIAL00241_RETIRO\10plots\NEPIAL00241P17-001_25438,laz</t>
  </si>
  <si>
    <t>NEPIAL00241P17-001_25440</t>
  </si>
  <si>
    <t>G:\GEOPROCESSAMENTO\IMAGENS\LiDAR\Dados_2025\NEPIAL00241_RETIRO\10plots\NEPIAL00241P17-001_25440,laz</t>
  </si>
  <si>
    <t>NEPIAL00241P17-001_30899</t>
  </si>
  <si>
    <t>G:\GEOPROCESSAMENTO\IMAGENS\LiDAR\Dados_2025\NEPIAL00241_RETIRO\10plots\NEPIAL00241P17-001_30899,laz</t>
  </si>
  <si>
    <t>NEPIIT00204P19-022_27260</t>
  </si>
  <si>
    <t>NEPIIT00204P19</t>
  </si>
  <si>
    <t>Serrinha</t>
  </si>
  <si>
    <t>NEPIIT00204P19-022</t>
  </si>
  <si>
    <t>NEPIIT00204</t>
  </si>
  <si>
    <t>G:\GEOPROCESSAMENTO\IMAGENS\LiDAR\Dados_2025\NEPIIT00204_SERRINHA\10plots\NEPIIT00204P19-022_27260,laz</t>
  </si>
  <si>
    <t>NEPIIT00204P19-022_30914</t>
  </si>
  <si>
    <t>G:\GEOPROCESSAMENTO\IMAGENS\LiDAR\Dados_2025\NEPIIT00204_SERRINHA\10plots\NEPIIT00204P19-022_30914,laz</t>
  </si>
  <si>
    <t>NEPIIT00219P21-004_28605</t>
  </si>
  <si>
    <t>NEPIIT00219P21</t>
  </si>
  <si>
    <t>Duas Barras</t>
  </si>
  <si>
    <t>NEPIIT00219P21-004</t>
  </si>
  <si>
    <t>CNB034</t>
  </si>
  <si>
    <t>NEPIIT00219</t>
  </si>
  <si>
    <t>G:\GEOPROCESSAMENTO\IMAGENS\LiDAR\Dados_2025\NEPIIT00219_DUAS_BARRAS\10plots\NEPIIT00219P21-004_28605,laz</t>
  </si>
  <si>
    <t>NEPIIT00219P21-005_28609</t>
  </si>
  <si>
    <t>NEPIIT00219P21-005</t>
  </si>
  <si>
    <t>G:\GEOPROCESSAMENTO\IMAGENS\LiDAR\Dados_2025\NEPIIT00219_DUAS_BARRAS\10plots\NEPIIT00219P21-005_28609,laz</t>
  </si>
  <si>
    <t>NEPIIT00219P21-005_28610</t>
  </si>
  <si>
    <t>G:\GEOPROCESSAMENTO\IMAGENS\LiDAR\Dados_2025\NEPIIT00219_DUAS_BARRAS\10plots\NEPIIT00219P21-005_28610,laz</t>
  </si>
  <si>
    <t>NEPIIT00219P21-005_28611</t>
  </si>
  <si>
    <t>G:\GEOPROCESSAMENTO\IMAGENS\LiDAR\Dados_2025\NEPIIT00219_DUAS_BARRAS\10plots\NEPIIT00219P21-005_28611,laz</t>
  </si>
  <si>
    <t>NEPIIT00219P21-011_28602</t>
  </si>
  <si>
    <t>NEPIIT00219P21-011</t>
  </si>
  <si>
    <t>G:\GEOPROCESSAMENTO\IMAGENS\LiDAR\Dados_2025\NEPIIT00219_DUAS_BARRAS\10plots\NEPIIT00219P21-011_28602,laz</t>
  </si>
  <si>
    <t>NEPIIT00233P18-031_26064</t>
  </si>
  <si>
    <t>NEPIIT00233P18</t>
  </si>
  <si>
    <t>Morro do Chapéu</t>
  </si>
  <si>
    <t>NEPIIT00233P18-031</t>
  </si>
  <si>
    <t>NEPIIT00233</t>
  </si>
  <si>
    <t>G:\GEOPROCESSAMENTO\IMAGENS\LiDAR\Dados_2025\NEPIIT00233_MORRO_DO_CHAPEU\10plots\NEPIIT00233P18-031_26064,laz</t>
  </si>
  <si>
    <t>NEPIIT00233P18-031_26065</t>
  </si>
  <si>
    <t>G:\GEOPROCESSAMENTO\IMAGENS\LiDAR\Dados_2025\NEPIIT00233_MORRO_DO_CHAPEU\10plots\NEPIIT00233P18-031_26065,laz</t>
  </si>
  <si>
    <t>NEPIIT00233P18-031_26066</t>
  </si>
  <si>
    <t>G:\GEOPROCESSAMENTO\IMAGENS\LiDAR\Dados_2025\NEPIIT00233_MORRO_DO_CHAPEU\10plots\NEPIIT00233P18-031_26066,laz</t>
  </si>
  <si>
    <t>NESBSB00101P18-048_26318</t>
  </si>
  <si>
    <t>NESBSB00101P18</t>
  </si>
  <si>
    <t>Abertura</t>
  </si>
  <si>
    <t>NESBSB00101P18-048</t>
  </si>
  <si>
    <t>NESBSB00101</t>
  </si>
  <si>
    <t>G:\GEOPROCESSAMENTO\IMAGENS\LiDAR\Dados_2025\NESBSB00101_ABERTURA\10plots\NESBSB00101P18-048_26318,laz</t>
  </si>
  <si>
    <t>NESBSB00101P18-048_26320</t>
  </si>
  <si>
    <t>G:\GEOPROCESSAMENTO\IMAGENS\LiDAR\Dados_2025\NESBSB00101_ABERTURA\10plots\NESBSB00101P18-048_26320,laz</t>
  </si>
  <si>
    <t>NESBSB00172P17-029_25314</t>
  </si>
  <si>
    <t>NESBSB00172P17-029</t>
  </si>
  <si>
    <t>G:\GEOPROCESSAMENTO\IMAGENS\LiDAR\Dados_2025\NESBSB00172_VALERIA_I\10plots\NESBSB00172P17-029_25314,laz</t>
  </si>
  <si>
    <t>NESBSB00172P17-029_31057</t>
  </si>
  <si>
    <t>G:\GEOPROCESSAMENTO\IMAGENS\LiDAR\Dados_2025\NESBSB00172_VALERIA_I\10plots\NESBSB00172P17-029_31057,laz</t>
  </si>
  <si>
    <t>NESBSB00172R18-027_26506</t>
  </si>
  <si>
    <t>G:\GEOPROCESSAMENTO\IMAGENS\LiDAR\Dados_2025\NESBSB00172_VALERIA_I\10plots\NESBSB00172R18-027_26506,laz</t>
  </si>
  <si>
    <t>NESBSB00172R18-027_26507</t>
  </si>
  <si>
    <t>G:\GEOPROCESSAMENTO\IMAGENS\LiDAR\Dados_2025\NESBSB00172_VALERIA_I\10plots\NESBSB00172R18-027_26507,laz</t>
  </si>
  <si>
    <t>NESBSB00172R18-027_26508</t>
  </si>
  <si>
    <t>G:\GEOPROCESSAMENTO\IMAGENS\LiDAR\Dados_2025\NESBSB00172_VALERIA_I\10plots\NESBSB00172R18-027_26508,laz</t>
  </si>
  <si>
    <t>NESBSB00172R18-027_31055</t>
  </si>
  <si>
    <t>G:\GEOPROCESSAMENTO\IMAGENS\LiDAR\Dados_2025\NESBSB00172_VALERIA_I\10plots\NESBSB00172R18-027_31055,laz</t>
  </si>
  <si>
    <t>NESBSB00172R18-033_26617</t>
  </si>
  <si>
    <t>NESBSB00172R18-033</t>
  </si>
  <si>
    <t>G:\GEOPROCESSAMENTO\IMAGENS\LiDAR\Dados_2025\NESBSB00172_VALERIA_I\10plots\NESBSB00172R18-033_26617,laz</t>
  </si>
  <si>
    <t>NESBSB00184R21-036_28823</t>
  </si>
  <si>
    <t>NESBSB00184R21</t>
  </si>
  <si>
    <t>Gaspar I</t>
  </si>
  <si>
    <t>NESBSB00184R21-036</t>
  </si>
  <si>
    <t>NESBSB00184</t>
  </si>
  <si>
    <t>G:\GEOPROCESSAMENTO\IMAGENS\LiDAR\Dados_2025\NESBSB00184_GASPAR_I\10plots\NESBSB00184R21-036_28823,laz</t>
  </si>
  <si>
    <t>NESBSB00185R21-015_28657</t>
  </si>
  <si>
    <t>NESBSB00185R21</t>
  </si>
  <si>
    <t>Gaspar III</t>
  </si>
  <si>
    <t>NESBSB00185R21-015</t>
  </si>
  <si>
    <t>NESBSB00185</t>
  </si>
  <si>
    <t>G:\GEOPROCESSAMENTO\IMAGENS\LiDAR\Dados_2025\NESBSB00185_GASPAR_III\10plots\NESBSB00185R21-015_28657,laz</t>
  </si>
  <si>
    <t>NESBSB00185R21-015_28659</t>
  </si>
  <si>
    <t>G:\GEOPROCESSAMENTO\IMAGENS\LiDAR\Dados_2025\NESBSB00185_GASPAR_III\10plots\NESBSB00185R21-015_28659,laz</t>
  </si>
  <si>
    <t>NESBSB00185R21-015_28660</t>
  </si>
  <si>
    <t>G:\GEOPROCESSAMENTO\IMAGENS\LiDAR\Dados_2025\NESBSB00185_GASPAR_III\10plots\NESBSB00185R21-015_28660,laz</t>
  </si>
  <si>
    <t>RDBOBA00461P16-319_24555</t>
  </si>
  <si>
    <t>RDBOBA00461P16</t>
  </si>
  <si>
    <t>Lagoa da Prata</t>
  </si>
  <si>
    <t>RDBOBA00461P16-319</t>
  </si>
  <si>
    <t>RDBOBA00461</t>
  </si>
  <si>
    <t>G:\GEOPROCESSAMENTO\IMAGENS\LiDAR\Dados_2025\RDBOBA00461_LAGOA_DA_PRATA\10plots\RDBOBA00461P16-319_24555,laz</t>
  </si>
  <si>
    <t>RDBOBA00461P16-319_24556</t>
  </si>
  <si>
    <t>G:\GEOPROCESSAMENTO\IMAGENS\LiDAR\Dados_2025\RDBOBA00461_LAGOA_DA_PRATA\10plots\RDBOBA00461P16-319_24556,laz</t>
  </si>
  <si>
    <t>RDBOBA00461P16-328_24558</t>
  </si>
  <si>
    <t>RDBOBA00461P16-328</t>
  </si>
  <si>
    <t>G:\GEOPROCESSAMENTO\IMAGENS\LiDAR\Dados_2025\RDBOBA00461_LAGOA_DA_PRATA\10plots\RDBOBA00461P16-328_24558,laz</t>
  </si>
  <si>
    <t>RDIPMA00437P20-068_28059</t>
  </si>
  <si>
    <t>RDIPMA00437P20</t>
  </si>
  <si>
    <t>RDIPMA00437P20-068</t>
  </si>
  <si>
    <t>RDIPMA00437</t>
  </si>
  <si>
    <t>G:\GEOPROCESSAMENTO\IMAGENS\LiDAR\Dados_2025\RDIPMA00437_MACEDONIA\10plots\RDIPMA00437P20-068_28059,laz</t>
  </si>
  <si>
    <t>RDIPMA00437P20-068_28060</t>
  </si>
  <si>
    <t>G:\GEOPROCESSAMENTO\IMAGENS\LiDAR\Dados_2025\RDIPMA00437_MACEDONIA\10plots\RDIPMA00437P20-068_28060,laz</t>
  </si>
  <si>
    <t>RDIPMA00437P20-068_28061</t>
  </si>
  <si>
    <t>G:\GEOPROCESSAMENTO\IMAGENS\LiDAR\Dados_2025\RDIPMA00437_MACEDONIA\10plots\RDIPMA00437P20-068_28061,laz</t>
  </si>
  <si>
    <t>RDIPMA00482P18-005_26620</t>
  </si>
  <si>
    <t>RDIPMA00482P18</t>
  </si>
  <si>
    <t>Lagoa Bonita</t>
  </si>
  <si>
    <t>RDIPMA00482P18-005</t>
  </si>
  <si>
    <t>RDIPMA00482</t>
  </si>
  <si>
    <t>G:\GEOPROCESSAMENTO\IMAGENS\LiDAR\Dados_2025\RDIPMA00482_LAGOA_BONITA\10plots\RDIPMA00482P18-005_26620,laz</t>
  </si>
  <si>
    <t>RDIPMA00482P18-005_26621</t>
  </si>
  <si>
    <t>G:\GEOPROCESSAMENTO\IMAGENS\LiDAR\Dados_2025\RDIPMA00482_LAGOA_BONITA\10plots\RDIPMA00482P18-005_26621,laz</t>
  </si>
  <si>
    <t>RDIPMA00482P18-005_26622</t>
  </si>
  <si>
    <t>G:\GEOPROCESSAMENTO\IMAGENS\LiDAR\Dados_2025\RDIPMA00482_LAGOA_BONITA\10plots\RDIPMA00482P18-005_26622,laz</t>
  </si>
  <si>
    <t>RDIPMA00482P18-005_26623</t>
  </si>
  <si>
    <t>G:\GEOPROCESSAMENTO\IMAGENS\LiDAR\Dados_2025\RDIPMA00482_LAGOA_BONITA\10plots\RDIPMA00482P18-005_26623,laz</t>
  </si>
  <si>
    <t>RDIPMA00482R19-006_27371</t>
  </si>
  <si>
    <t>RDIPMA00482R19</t>
  </si>
  <si>
    <t>RDIPMA00482R19-006</t>
  </si>
  <si>
    <t>CNB003</t>
  </si>
  <si>
    <t>G:\GEOPROCESSAMENTO\IMAGENS\LiDAR\Dados_2025\RDIPMA00482_LAGOA_BONITA\10plots\RDIPMA00482R19-006_27371,laz</t>
  </si>
  <si>
    <t>RDIPMA00482R19-006_27372</t>
  </si>
  <si>
    <t>G:\GEOPROCESSAMENTO\IMAGENS\LiDAR\Dados_2025\RDIPMA00482_LAGOA_BONITA\10plots\RDIPMA00482R19-006_27372,laz</t>
  </si>
  <si>
    <t>RDIPMA00482R19-006_27373</t>
  </si>
  <si>
    <t>G:\GEOPROCESSAMENTO\IMAGENS\LiDAR\Dados_2025\RDIPMA00482_LAGOA_BONITA\10plots\RDIPMA00482R19-006_27373,laz</t>
  </si>
  <si>
    <t>RDIPMA00482R19-006_27374</t>
  </si>
  <si>
    <t>G:\GEOPROCESSAMENTO\IMAGENS\LiDAR\Dados_2025\RDIPMA00482_LAGOA_BONITA\10plots\RDIPMA00482R19-006_27374,laz</t>
  </si>
  <si>
    <t>RDIPMA00482R19-006_31049</t>
  </si>
  <si>
    <t>G:\GEOPROCESSAMENTO\IMAGENS\LiDAR\Dados_2025\RDIPMA00482_LAGOA_BONITA\10plots\RDIPMA00482R19-006_31049,laz</t>
  </si>
  <si>
    <t>RDIPMA00486P21-003_28534</t>
  </si>
  <si>
    <t>RDIPMA00486P21</t>
  </si>
  <si>
    <t>RDIPMA00486P21-003</t>
  </si>
  <si>
    <t>RDIPMA00486</t>
  </si>
  <si>
    <t>G:\GEOPROCESSAMENTO\IMAGENS\LiDAR\Dados_2025\RDIPMA00486_IPABA\10plots\RDIPMA00486P21-003_28534,laz</t>
  </si>
  <si>
    <t>RDIPMA00486P21-003_28535</t>
  </si>
  <si>
    <t>G:\GEOPROCESSAMENTO\IMAGENS\LiDAR\Dados_2025\RDIPMA00486_IPABA\10plots\RDIPMA00486P21-003_28535,laz</t>
  </si>
  <si>
    <t>RDIPMA00486P21-005_28551</t>
  </si>
  <si>
    <t>RDIPMA00486P21-005</t>
  </si>
  <si>
    <t>G:\GEOPROCESSAMENTO\IMAGENS\LiDAR\Dados_2025\RDIPMA00486_IPABA\10plots\RDIPMA00486P21-005_28551,laz</t>
  </si>
  <si>
    <t>RDIPMA00486P21-005_28552</t>
  </si>
  <si>
    <t>G:\GEOPROCESSAMENTO\IMAGENS\LiDAR\Dados_2025\RDIPMA00486_IPABA\10plots\RDIPMA00486P21-005_28552,laz</t>
  </si>
  <si>
    <t>RDIPMA00486P21-005_28553</t>
  </si>
  <si>
    <t>G:\GEOPROCESSAMENTO\IMAGENS\LiDAR\Dados_2025\RDIPMA00486_IPABA\10plots\RDIPMA00486P21-005_28553,laz</t>
  </si>
  <si>
    <t>RDIPMA00487P16-060_24458</t>
  </si>
  <si>
    <t>RDIPMA00487P16</t>
  </si>
  <si>
    <t>RDIPMA00487P16-060</t>
  </si>
  <si>
    <t>G:\GEOPROCESSAMENTO\IMAGENS\LiDAR\Dados_2025\RDIPMA00487_BEIRA_RIO\10plots\RDIPMA00487P16-060_24458,laz</t>
  </si>
  <si>
    <t>RDIPMA00488R20-002_27524</t>
  </si>
  <si>
    <t>RDIPMA00488R20</t>
  </si>
  <si>
    <t>Vale Verde</t>
  </si>
  <si>
    <t>RDIPMA00488R20-002</t>
  </si>
  <si>
    <t>RDIPMA00488</t>
  </si>
  <si>
    <t>G:\GEOPROCESSAMENTO\IMAGENS\LiDAR\Dados_2025\RDIPMA00488_VALE_VERDE\10plots\RDIPMA00488R20-002_27524,laz</t>
  </si>
  <si>
    <t>RDIPMA00488R20-002_27526</t>
  </si>
  <si>
    <t>G:\GEOPROCESSAMENTO\IMAGENS\LiDAR\Dados_2025\RDIPMA00488_VALE_VERDE\10plots\RDIPMA00488R20-002_27526,laz</t>
  </si>
  <si>
    <t>RDIPMA00490P18-015_26591</t>
  </si>
  <si>
    <t>RDIPMA00490P18-015</t>
  </si>
  <si>
    <t>G:\GEOPROCESSAMENTO\IMAGENS\LiDAR\Dados_2025\RDIPMA00490_RIBEIRAO_DO_BOI\10plots\RDIPMA00490P18-015_26591,laz</t>
  </si>
  <si>
    <t>RDIPMA00490P18-017_26296</t>
  </si>
  <si>
    <t>G:\GEOPROCESSAMENTO\IMAGENS\LiDAR\Dados_2025\RDIPMA00490_RIBEIRAO_DO_BOI\10plots\RDIPMA00490P18-017_26296,laz</t>
  </si>
  <si>
    <t>RDIPMA00490P18-017_26297</t>
  </si>
  <si>
    <t>G:\GEOPROCESSAMENTO\IMAGENS\LiDAR\Dados_2025\RDIPMA00490_RIBEIRAO_DO_BOI\10plots\RDIPMA00490P18-017_26297,laz</t>
  </si>
  <si>
    <t>RDIPMA00490R18-007_26608</t>
  </si>
  <si>
    <t>RDIPMA00490R18</t>
  </si>
  <si>
    <t>RDIPMA00490R18-007</t>
  </si>
  <si>
    <t>G:\GEOPROCESSAMENTO\IMAGENS\LiDAR\Dados_2025\RDIPMA00490_RIBEIRAO_DO_BOI\10plots\RDIPMA00490R18-007_26608,laz</t>
  </si>
  <si>
    <t>RDIPMA00490R18-013_26285</t>
  </si>
  <si>
    <t>RDIPMA00490R18-013</t>
  </si>
  <si>
    <t>G:\GEOPROCESSAMENTO\IMAGENS\LiDAR\Dados_2025\RDIPMA00490_RIBEIRAO_DO_BOI\10plots\RDIPMA00490R18-013_26285,laz</t>
  </si>
  <si>
    <t>RDIPMA00490R18-013_26286</t>
  </si>
  <si>
    <t>G:\GEOPROCESSAMENTO\IMAGENS\LiDAR\Dados_2025\RDIPMA00490_RIBEIRAO_DO_BOI\10plots\RDIPMA00490R18-013_26286,laz</t>
  </si>
  <si>
    <t>RDIPMA00490R18-013_26287</t>
  </si>
  <si>
    <t>G:\GEOPROCESSAMENTO\IMAGENS\LiDAR\Dados_2025\RDIPMA00490_RIBEIRAO_DO_BOI\10plots\RDIPMA00490R18-013_26287,laz</t>
  </si>
  <si>
    <t>RDIPMA00490R18-013_31085</t>
  </si>
  <si>
    <t>G:\GEOPROCESSAMENTO\IMAGENS\LiDAR\Dados_2025\RDIPMA00490_RIBEIRAO_DO_BOI\10plots\RDIPMA00490R18-013_31085,laz</t>
  </si>
  <si>
    <t>RDIPMA00493P16-008_24439</t>
  </si>
  <si>
    <t>G:\GEOPROCESSAMENTO\IMAGENS\LiDAR\Dados_2025\RDIPMA00493_CORREGO_NOVO\10plots\RDIPMA00493P16-008_24439,laz</t>
  </si>
  <si>
    <t>RDIPMA00493P16-008_24440</t>
  </si>
  <si>
    <t>G:\GEOPROCESSAMENTO\IMAGENS\LiDAR\Dados_2025\RDIPMA00493_CORREGO_NOVO\10plots\RDIPMA00493P16-008_24440,laz</t>
  </si>
  <si>
    <t>RDIPMA00493P16-008_24441</t>
  </si>
  <si>
    <t>G:\GEOPROCESSAMENTO\IMAGENS\LiDAR\Dados_2025\RDIPMA00493_CORREGO_NOVO\10plots\RDIPMA00493P16-008_24441,laz</t>
  </si>
  <si>
    <t>RDIPPD00473R19-011_30976</t>
  </si>
  <si>
    <t>RDIPPD00473R19-011</t>
  </si>
  <si>
    <t>G:\GEOPROCESSAMENTO\IMAGENS\LiDAR\Dados_2025\RDIPPD00473_LAGOA_TIRIRICA\10plots\RDIPPD00473R19-011_30976,laz</t>
  </si>
  <si>
    <t>RDIPPD00473R20-020_27536</t>
  </si>
  <si>
    <t>RDIPPD00473R20</t>
  </si>
  <si>
    <t>RDIPPD00473R20-020</t>
  </si>
  <si>
    <t>G:\GEOPROCESSAMENTO\IMAGENS\LiDAR\Dados_2025\RDIPPD00473_LAGOA_TIRIRICA\10plots\RDIPPD00473R20-020_27536,laz</t>
  </si>
  <si>
    <t>RDIPPD00473R20-020_27537</t>
  </si>
  <si>
    <t>G:\GEOPROCESSAMENTO\IMAGENS\LiDAR\Dados_2025\RDIPPD00473_LAGOA_TIRIRICA\10plots\RDIPPD00473R20-020_27537,laz</t>
  </si>
  <si>
    <t>RDIPPD00473R20-020_27538</t>
  </si>
  <si>
    <t>G:\GEOPROCESSAMENTO\IMAGENS\LiDAR\Dados_2025\RDIPPD00473_LAGOA_TIRIRICA\10plots\RDIPPD00473R20-020_27538,laz</t>
  </si>
  <si>
    <t>RDIPPD00473R20-020_30974</t>
  </si>
  <si>
    <t>G:\GEOPROCESSAMENTO\IMAGENS\LiDAR\Dados_2025\RDIPPD00473_LAGOA_TIRIRICA\10plots\RDIPPD00473R20-020_30974,laz</t>
  </si>
  <si>
    <t>RDPOPO00426P17-006_25767</t>
  </si>
  <si>
    <t>G:\GEOPROCESSAMENTO\IMAGENS\LiDAR\Dados_2025\RDPOPO00426_COIO\10plots\RDPOPO00426P17-006_25767,laz</t>
  </si>
  <si>
    <t>RDPOPO00426P17-006_25771</t>
  </si>
  <si>
    <t>G:\GEOPROCESSAMENTO\IMAGENS\LiDAR\Dados_2025\RDPOPO00426_COIO\10plots\RDPOPO00426P17-006_25771,laz</t>
  </si>
  <si>
    <t>RDPOPO00426P17-006_30809</t>
  </si>
  <si>
    <t>G:\GEOPROCESSAMENTO\IMAGENS\LiDAR\Dados_2025\RDPOPO00426_COIO\10plots\RDPOPO00426P17-006_30809,laz</t>
  </si>
  <si>
    <t>RDPOPO00426P17-006_30810</t>
  </si>
  <si>
    <t>G:\GEOPROCESSAMENTO\IMAGENS\LiDAR\Dados_2025\RDPOPO00426_COIO\10plots\RDPOPO00426P17-006_30810,laz</t>
  </si>
  <si>
    <t>RDPOPO00426P17-006_30983</t>
  </si>
  <si>
    <t>G:\GEOPROCESSAMENTO\IMAGENS\LiDAR\Dados_2025\RDPOPO00426_COIO\10plots\RDPOPO00426P17-006_30983,laz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</si>
</sst>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494"/>
  <sheetViews>
    <sheetView tabSelected="1" workbookViewId="0">
      <selection activeCell="O2" sqref="O2:O494"/>
    </sheetView>
  </sheetViews>
  <sheetFormatPr defaultRowHeight="15" x14ac:dyDescent="0.25"/>
  <cols>
    <col min="1" max="1" width="9.42578125" bestFit="1" customWidth="1"/>
    <col min="2" max="2" width="10.140625" bestFit="1" customWidth="1"/>
    <col min="3" max="4" width="27" bestFit="1" customWidth="1"/>
    <col min="5" max="5" width="7.42578125" bestFit="1" customWidth="1"/>
    <col min="6" max="6" width="16.85546875" bestFit="1" customWidth="1"/>
    <col min="7" max="7" width="21.140625" bestFit="1" customWidth="1"/>
    <col min="8" max="8" width="20.7109375" bestFit="1" customWidth="1"/>
    <col min="9" max="9" width="14.7109375" bestFit="1" customWidth="1"/>
    <col min="10" max="10" width="14" bestFit="1" customWidth="1"/>
    <col min="11" max="11" width="18.42578125" bestFit="1" customWidth="1"/>
    <col min="12" max="12" width="15.42578125" bestFit="1" customWidth="1"/>
    <col min="13" max="13" width="14" bestFit="1" customWidth="1"/>
    <col min="14" max="14" width="6.140625" bestFit="1" customWidth="1"/>
    <col min="15" max="15" width="9.7109375" bestFit="1" customWidth="1"/>
    <col min="16" max="16" width="18.28515625" bestFit="1" customWidth="1"/>
    <col min="17" max="17" width="14.7109375" bestFit="1" customWidth="1"/>
    <col min="18" max="18" width="11" bestFit="1" customWidth="1"/>
    <col min="19" max="19" width="9.42578125" bestFit="1" customWidth="1"/>
    <col min="20" max="20" width="14.7109375" bestFit="1" customWidth="1"/>
    <col min="21" max="21" width="22.42578125" bestFit="1" customWidth="1"/>
    <col min="22" max="22" width="18.28515625" bestFit="1" customWidth="1"/>
    <col min="23" max="23" width="17.42578125" bestFit="1" customWidth="1"/>
    <col min="24" max="24" width="11" bestFit="1" customWidth="1"/>
    <col min="25" max="25" width="17" bestFit="1" customWidth="1"/>
    <col min="26" max="26" width="13.140625" bestFit="1" customWidth="1"/>
    <col min="27" max="27" width="11" bestFit="1" customWidth="1"/>
    <col min="28" max="28" width="11.42578125" bestFit="1" customWidth="1"/>
    <col min="29" max="29" width="9.42578125" bestFit="1" customWidth="1"/>
    <col min="30" max="30" width="18" bestFit="1" customWidth="1"/>
    <col min="31" max="31" width="18.28515625" bestFit="1" customWidth="1"/>
    <col min="32" max="32" width="13.7109375" bestFit="1" customWidth="1"/>
    <col min="33" max="33" width="12" bestFit="1" customWidth="1"/>
    <col min="34" max="34" width="13.140625" bestFit="1" customWidth="1"/>
    <col min="35" max="35" width="15.28515625" bestFit="1" customWidth="1"/>
    <col min="36" max="36" width="14.5703125" bestFit="1" customWidth="1"/>
    <col min="37" max="37" width="9.7109375" bestFit="1" customWidth="1"/>
    <col min="38" max="38" width="12.7109375" bestFit="1" customWidth="1"/>
    <col min="39" max="39" width="12.42578125" bestFit="1" customWidth="1"/>
    <col min="40" max="40" width="15.28515625" bestFit="1" customWidth="1"/>
    <col min="41" max="41" width="7.85546875" bestFit="1" customWidth="1"/>
    <col min="42" max="42" width="7.7109375" bestFit="1" customWidth="1"/>
    <col min="43" max="43" width="14.28515625" bestFit="1" customWidth="1"/>
    <col min="44" max="44" width="7.5703125" bestFit="1" customWidth="1"/>
    <col min="45" max="45" width="12" bestFit="1" customWidth="1"/>
    <col min="46" max="46" width="127.140625" bestFit="1" customWidth="1"/>
    <col min="47" max="47" width="27" bestFit="1" customWidth="1"/>
    <col min="48" max="48" width="17" bestFit="1" customWidth="1"/>
    <col min="49" max="57" width="14" bestFit="1" customWidth="1"/>
    <col min="58" max="58" width="17.85546875" bestFit="1" customWidth="1"/>
    <col min="59" max="59" width="13.85546875" bestFit="1" customWidth="1"/>
    <col min="60" max="60" width="14.140625" bestFit="1" customWidth="1"/>
    <col min="61" max="61" width="10.140625" bestFit="1" customWidth="1"/>
    <col min="62" max="62" width="10.28515625" bestFit="1" customWidth="1"/>
    <col min="63" max="63" width="11.140625" bestFit="1" customWidth="1"/>
    <col min="64" max="64" width="12.5703125" bestFit="1" customWidth="1"/>
    <col min="65" max="65" width="9" bestFit="1" customWidth="1"/>
    <col min="66" max="66" width="10" bestFit="1" customWidth="1"/>
    <col min="67" max="67" width="13.85546875" bestFit="1" customWidth="1"/>
    <col min="68" max="68" width="12.140625" bestFit="1" customWidth="1"/>
    <col min="69" max="69" width="10" bestFit="1" customWidth="1"/>
    <col min="70" max="70" width="16.85546875" bestFit="1" customWidth="1"/>
    <col min="71" max="71" width="15.28515625" bestFit="1" customWidth="1"/>
    <col min="72" max="72" width="10" bestFit="1" customWidth="1"/>
    <col min="73" max="73" width="9" bestFit="1" customWidth="1"/>
    <col min="74" max="75" width="9.7109375" bestFit="1" customWidth="1"/>
    <col min="76" max="76" width="9" bestFit="1" customWidth="1"/>
    <col min="77" max="77" width="15.140625" bestFit="1" customWidth="1"/>
    <col min="78" max="78" width="13.5703125" bestFit="1" customWidth="1"/>
    <col min="79" max="79" width="9" bestFit="1" customWidth="1"/>
    <col min="80" max="93" width="10" bestFit="1" customWidth="1"/>
    <col min="94" max="94" width="17.7109375" bestFit="1" customWidth="1"/>
    <col min="95" max="95" width="18.28515625" bestFit="1" customWidth="1"/>
    <col min="96" max="96" width="20.7109375" bestFit="1" customWidth="1"/>
    <col min="97" max="97" width="12.42578125" bestFit="1" customWidth="1"/>
    <col min="98" max="98" width="12.7109375" bestFit="1" customWidth="1"/>
    <col min="99" max="99" width="11" bestFit="1" customWidth="1"/>
    <col min="100" max="100" width="10" bestFit="1" customWidth="1"/>
    <col min="101" max="101" width="11" bestFit="1" customWidth="1"/>
    <col min="102" max="102" width="12" bestFit="1" customWidth="1"/>
    <col min="103" max="103" width="9" bestFit="1" customWidth="1"/>
    <col min="104" max="104" width="7" bestFit="1" customWidth="1"/>
    <col min="105" max="105" width="12.42578125" bestFit="1" customWidth="1"/>
    <col min="106" max="106" width="10.85546875" bestFit="1" customWidth="1"/>
    <col min="107" max="108" width="11" bestFit="1" customWidth="1"/>
    <col min="109" max="111" width="10" bestFit="1" customWidth="1"/>
    <col min="112" max="112" width="9" bestFit="1" customWidth="1"/>
    <col min="113" max="113" width="13.85546875" bestFit="1" customWidth="1"/>
    <col min="114" max="114" width="12.140625" bestFit="1" customWidth="1"/>
    <col min="115" max="118" width="10" bestFit="1" customWidth="1"/>
    <col min="119" max="119" width="7" bestFit="1" customWidth="1"/>
    <col min="120" max="120" width="10" bestFit="1" customWidth="1"/>
    <col min="121" max="121" width="11" bestFit="1" customWidth="1"/>
    <col min="122" max="122" width="7" bestFit="1" customWidth="1"/>
    <col min="123" max="124" width="11" bestFit="1" customWidth="1"/>
    <col min="125" max="125" width="7" bestFit="1" customWidth="1"/>
    <col min="126" max="129" width="11" bestFit="1" customWidth="1"/>
    <col min="130" max="130" width="32.42578125" bestFit="1" customWidth="1"/>
    <col min="131" max="131" width="31" bestFit="1" customWidth="1"/>
    <col min="132" max="132" width="46" bestFit="1" customWidth="1"/>
    <col min="133" max="133" width="22" bestFit="1" customWidth="1"/>
    <col min="134" max="134" width="20.42578125" bestFit="1" customWidth="1"/>
    <col min="135" max="135" width="34" bestFit="1" customWidth="1"/>
    <col min="136" max="136" width="34.140625" bestFit="1" customWidth="1"/>
    <col min="137" max="137" width="32.42578125" bestFit="1" customWidth="1"/>
    <col min="138" max="138" width="32.5703125" bestFit="1" customWidth="1"/>
    <col min="139" max="139" width="47.5703125" bestFit="1" customWidth="1"/>
    <col min="140" max="140" width="47.7109375" bestFit="1" customWidth="1"/>
    <col min="141" max="141" width="23.42578125" bestFit="1" customWidth="1"/>
    <col min="142" max="142" width="23.5703125" bestFit="1" customWidth="1"/>
    <col min="143" max="143" width="22" bestFit="1" customWidth="1"/>
    <col min="144" max="144" width="22.140625" bestFit="1" customWidth="1"/>
    <col min="145" max="145" width="16.42578125" bestFit="1" customWidth="1"/>
    <col min="146" max="146" width="15" bestFit="1" customWidth="1"/>
    <col min="147" max="147" width="11.28515625" bestFit="1" customWidth="1"/>
  </cols>
  <sheetData>
    <row r="1" spans="1:1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 x14ac:dyDescent="0.25">
      <c r="A2">
        <v>2022</v>
      </c>
      <c r="B2" t="str">
        <f>LEFT(C2,2)</f>
        <v>NE</v>
      </c>
      <c r="C2" t="s">
        <v>147</v>
      </c>
      <c r="D2" t="s">
        <v>147</v>
      </c>
      <c r="E2">
        <v>16777</v>
      </c>
      <c r="F2" t="s">
        <v>148</v>
      </c>
      <c r="G2" t="s">
        <v>149</v>
      </c>
      <c r="H2" t="s">
        <v>150</v>
      </c>
      <c r="I2">
        <v>8.2100000000000009</v>
      </c>
      <c r="J2">
        <v>8.2100000000000009</v>
      </c>
      <c r="K2" t="s">
        <v>151</v>
      </c>
      <c r="L2">
        <v>1</v>
      </c>
      <c r="M2">
        <v>2009</v>
      </c>
      <c r="N2">
        <v>2</v>
      </c>
      <c r="O2" t="str">
        <f>IF(MID(F2,12,1)="R","Talhadia","Alto fuste")</f>
        <v>Alto fuste</v>
      </c>
      <c r="P2" s="2">
        <v>39993</v>
      </c>
      <c r="Q2" t="s">
        <v>152</v>
      </c>
      <c r="R2" t="s">
        <v>153</v>
      </c>
      <c r="S2" t="s">
        <v>154</v>
      </c>
      <c r="T2" t="s">
        <v>155</v>
      </c>
      <c r="U2" t="s">
        <v>156</v>
      </c>
      <c r="V2" s="2">
        <v>44810</v>
      </c>
      <c r="W2" t="s">
        <v>157</v>
      </c>
      <c r="X2">
        <v>37.450000000000003</v>
      </c>
      <c r="Y2">
        <v>19.5</v>
      </c>
      <c r="Z2">
        <v>27</v>
      </c>
      <c r="AA2">
        <v>14.2</v>
      </c>
      <c r="AB2">
        <v>5</v>
      </c>
      <c r="AC2">
        <v>276.89999999999998</v>
      </c>
      <c r="AD2">
        <v>245.78086357762899</v>
      </c>
      <c r="AE2" s="2">
        <v>44810</v>
      </c>
      <c r="AF2">
        <v>159</v>
      </c>
      <c r="AG2">
        <v>13.1882272416153</v>
      </c>
      <c r="AH2">
        <v>29.023438129115299</v>
      </c>
      <c r="AI2">
        <v>19.2269230769231</v>
      </c>
      <c r="AJ2">
        <v>32.4395655486964</v>
      </c>
      <c r="AK2">
        <v>26</v>
      </c>
      <c r="AL2">
        <v>1057.8529028476601</v>
      </c>
      <c r="AM2">
        <v>425.66601526273598</v>
      </c>
      <c r="AN2">
        <v>0.40238677241124399</v>
      </c>
      <c r="AO2" t="s">
        <v>153</v>
      </c>
      <c r="AP2" t="s">
        <v>158</v>
      </c>
      <c r="AQ2" t="s">
        <v>159</v>
      </c>
      <c r="AR2">
        <v>9.99</v>
      </c>
      <c r="AS2">
        <v>1.056795049944814</v>
      </c>
      <c r="AT2" t="s">
        <v>160</v>
      </c>
      <c r="AU2" t="s">
        <v>161</v>
      </c>
      <c r="AV2">
        <v>4442</v>
      </c>
      <c r="AW2">
        <v>2206</v>
      </c>
      <c r="AX2">
        <v>1553</v>
      </c>
      <c r="AY2">
        <v>610</v>
      </c>
      <c r="AZ2">
        <v>73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-1.1779999999999999</v>
      </c>
      <c r="BH2">
        <v>39.872002000000002</v>
      </c>
      <c r="BI2">
        <v>22.254767999999999</v>
      </c>
      <c r="BJ2">
        <v>-0.52641300000000002</v>
      </c>
      <c r="BK2">
        <v>15.607322999999999</v>
      </c>
      <c r="BL2">
        <v>243.58853300000001</v>
      </c>
      <c r="BM2">
        <v>0.70130199999999998</v>
      </c>
      <c r="BN2">
        <v>35.072749000000002</v>
      </c>
      <c r="BO2">
        <v>-0.57244499999999998</v>
      </c>
      <c r="BP2">
        <v>1.5704819999999999</v>
      </c>
      <c r="BQ2">
        <v>14.103346999999999</v>
      </c>
      <c r="BR2">
        <v>7.8095020000000002</v>
      </c>
      <c r="BS2">
        <v>29.836411999999999</v>
      </c>
      <c r="BT2">
        <v>22.254767999999999</v>
      </c>
      <c r="BU2">
        <v>8.3722290000000008</v>
      </c>
      <c r="BV2">
        <v>-1.488918</v>
      </c>
      <c r="BW2">
        <v>-0.80693599999999999</v>
      </c>
      <c r="BX2">
        <v>0.37619900000000001</v>
      </c>
      <c r="BY2">
        <v>-0.17784</v>
      </c>
      <c r="BZ2">
        <v>-9.6382999999999996E-2</v>
      </c>
      <c r="CA2">
        <v>-0.4299</v>
      </c>
      <c r="CB2">
        <v>-0.17799999999999999</v>
      </c>
      <c r="CC2">
        <v>-5.8999999999999997E-2</v>
      </c>
      <c r="CD2">
        <v>0.106</v>
      </c>
      <c r="CE2">
        <v>0.20300000000000001</v>
      </c>
      <c r="CF2">
        <v>0.3765</v>
      </c>
      <c r="CG2">
        <v>26.057400000000001</v>
      </c>
      <c r="CH2">
        <v>29.309999000000001</v>
      </c>
      <c r="CI2">
        <v>32.313000000000002</v>
      </c>
      <c r="CJ2">
        <v>34.569000000000003</v>
      </c>
      <c r="CK2">
        <v>35.275748999999998</v>
      </c>
      <c r="CL2">
        <v>36.1768</v>
      </c>
      <c r="CM2">
        <v>37.987999000000002</v>
      </c>
      <c r="CN2">
        <v>38.666901000000003</v>
      </c>
      <c r="CO2">
        <v>39.383358000000001</v>
      </c>
      <c r="CP2">
        <v>0.57083499999999998</v>
      </c>
      <c r="CQ2">
        <v>27.18103</v>
      </c>
      <c r="CR2">
        <v>29.281345999999999</v>
      </c>
      <c r="CS2">
        <v>1</v>
      </c>
      <c r="CT2">
        <v>41</v>
      </c>
      <c r="CU2">
        <v>8.9988740000000007</v>
      </c>
      <c r="CV2">
        <v>1</v>
      </c>
      <c r="CW2">
        <v>6.6728319999999997</v>
      </c>
      <c r="CX2">
        <v>44.526682000000001</v>
      </c>
      <c r="CY2">
        <v>0.74151800000000001</v>
      </c>
      <c r="CZ2">
        <v>9</v>
      </c>
      <c r="DA2">
        <v>0.99007699999999998</v>
      </c>
      <c r="DB2">
        <v>3.714289</v>
      </c>
      <c r="DC2">
        <v>5.3589520000000004</v>
      </c>
      <c r="DD2">
        <v>8.9988740000000007</v>
      </c>
      <c r="DE2">
        <v>3.6533009999999999</v>
      </c>
      <c r="DF2">
        <v>0.76217800000000002</v>
      </c>
      <c r="DG2">
        <v>0.32775399999999999</v>
      </c>
      <c r="DH2">
        <v>0.40597299999999997</v>
      </c>
      <c r="DI2">
        <v>0.20862700000000001</v>
      </c>
      <c r="DJ2">
        <v>8.9715000000000003E-2</v>
      </c>
      <c r="DK2">
        <v>1</v>
      </c>
      <c r="DL2">
        <v>1</v>
      </c>
      <c r="DM2">
        <v>2</v>
      </c>
      <c r="DN2">
        <v>3</v>
      </c>
      <c r="DO2">
        <v>4</v>
      </c>
      <c r="DP2">
        <v>4</v>
      </c>
      <c r="DQ2">
        <v>6</v>
      </c>
      <c r="DR2">
        <v>8</v>
      </c>
      <c r="DS2">
        <v>9</v>
      </c>
      <c r="DT2">
        <v>12</v>
      </c>
      <c r="DU2">
        <v>13</v>
      </c>
      <c r="DV2">
        <v>14</v>
      </c>
      <c r="DW2">
        <v>19</v>
      </c>
      <c r="DX2">
        <v>22</v>
      </c>
      <c r="DY2">
        <v>28</v>
      </c>
      <c r="DZ2">
        <v>97.461468999999994</v>
      </c>
      <c r="EA2">
        <v>69.158036999999993</v>
      </c>
      <c r="EB2">
        <v>139.256573</v>
      </c>
      <c r="EC2">
        <v>2150</v>
      </c>
      <c r="ED2">
        <v>3072</v>
      </c>
      <c r="EE2">
        <v>95.738894000000002</v>
      </c>
      <c r="EF2">
        <v>100</v>
      </c>
      <c r="EG2">
        <v>63.912652000000001</v>
      </c>
      <c r="EH2">
        <v>99.459703000000005</v>
      </c>
      <c r="EI2">
        <v>128.69447</v>
      </c>
      <c r="EJ2">
        <v>200.271985</v>
      </c>
      <c r="EK2">
        <v>2112</v>
      </c>
      <c r="EL2">
        <v>2206</v>
      </c>
      <c r="EM2">
        <v>2839</v>
      </c>
      <c r="EN2">
        <v>4418</v>
      </c>
      <c r="EO2">
        <v>2206</v>
      </c>
      <c r="EP2">
        <v>4442</v>
      </c>
      <c r="EQ2">
        <v>55.660505000000001</v>
      </c>
    </row>
    <row r="3" spans="1:147" x14ac:dyDescent="0.25">
      <c r="A3">
        <v>2022</v>
      </c>
      <c r="B3" t="str">
        <f t="shared" ref="B3:B66" si="0">LEFT(C3,2)</f>
        <v>NE</v>
      </c>
      <c r="C3" t="s">
        <v>162</v>
      </c>
      <c r="D3" t="s">
        <v>162</v>
      </c>
      <c r="E3">
        <v>16786</v>
      </c>
      <c r="F3" t="s">
        <v>148</v>
      </c>
      <c r="G3" t="s">
        <v>149</v>
      </c>
      <c r="H3" t="s">
        <v>163</v>
      </c>
      <c r="I3">
        <v>5.0199999999999996</v>
      </c>
      <c r="J3">
        <v>5.0199999999999996</v>
      </c>
      <c r="K3" t="s">
        <v>151</v>
      </c>
      <c r="L3">
        <v>1</v>
      </c>
      <c r="M3">
        <v>2009</v>
      </c>
      <c r="N3">
        <v>3</v>
      </c>
      <c r="O3" t="str">
        <f t="shared" ref="O3:O66" si="1">IF(MID(F3,12,1)="R","Talhadia","Alto fuste")</f>
        <v>Alto fuste</v>
      </c>
      <c r="P3" s="2">
        <v>39981</v>
      </c>
      <c r="Q3" t="s">
        <v>152</v>
      </c>
      <c r="R3" t="s">
        <v>164</v>
      </c>
      <c r="S3" t="s">
        <v>154</v>
      </c>
      <c r="T3" t="s">
        <v>155</v>
      </c>
      <c r="U3" t="s">
        <v>156</v>
      </c>
      <c r="V3" s="2">
        <v>44810</v>
      </c>
      <c r="W3" t="s">
        <v>157</v>
      </c>
      <c r="X3">
        <v>37.450000000000003</v>
      </c>
      <c r="Y3">
        <v>20.3</v>
      </c>
      <c r="Z3">
        <v>20</v>
      </c>
      <c r="AA3">
        <v>13.5</v>
      </c>
      <c r="AB3">
        <v>0</v>
      </c>
      <c r="AC3">
        <v>274.05</v>
      </c>
      <c r="AD3">
        <v>257.52276272637801</v>
      </c>
      <c r="AE3" s="2">
        <v>44810</v>
      </c>
      <c r="AF3">
        <v>159</v>
      </c>
      <c r="AG3">
        <v>13.2210814510609</v>
      </c>
      <c r="AH3">
        <v>30.4186202263182</v>
      </c>
      <c r="AI3">
        <v>19.988</v>
      </c>
      <c r="AJ3">
        <v>31.5016249394337</v>
      </c>
      <c r="AK3">
        <v>25</v>
      </c>
      <c r="AL3">
        <v>970.78796978280604</v>
      </c>
      <c r="AM3">
        <v>419.149162489535</v>
      </c>
      <c r="AN3">
        <v>0.43176180127501002</v>
      </c>
      <c r="AO3" t="s">
        <v>165</v>
      </c>
      <c r="AP3" t="s">
        <v>158</v>
      </c>
      <c r="AQ3" t="s">
        <v>166</v>
      </c>
      <c r="AR3">
        <v>9.99</v>
      </c>
      <c r="AS3">
        <v>0.96981718181302412</v>
      </c>
      <c r="AT3" t="s">
        <v>167</v>
      </c>
      <c r="AU3" t="s">
        <v>168</v>
      </c>
      <c r="AV3">
        <v>4534</v>
      </c>
      <c r="AW3">
        <v>2615</v>
      </c>
      <c r="AX3">
        <v>1498</v>
      </c>
      <c r="AY3">
        <v>385</v>
      </c>
      <c r="AZ3">
        <v>36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-0.91200000000000003</v>
      </c>
      <c r="BH3">
        <v>36.764000000000003</v>
      </c>
      <c r="BI3">
        <v>20.098178000000001</v>
      </c>
      <c r="BJ3">
        <v>-0.31396800000000002</v>
      </c>
      <c r="BK3">
        <v>13.409215</v>
      </c>
      <c r="BL3">
        <v>179.80705499999999</v>
      </c>
      <c r="BM3">
        <v>0.66718599999999995</v>
      </c>
      <c r="BN3">
        <v>30.202749000000001</v>
      </c>
      <c r="BO3">
        <v>-0.52654599999999996</v>
      </c>
      <c r="BP3">
        <v>1.733428</v>
      </c>
      <c r="BQ3">
        <v>11.666897000000001</v>
      </c>
      <c r="BR3">
        <v>9.0374999999999996</v>
      </c>
      <c r="BS3">
        <v>25.293468000000001</v>
      </c>
      <c r="BT3">
        <v>20.098178000000001</v>
      </c>
      <c r="BU3">
        <v>7.3959109999999999</v>
      </c>
      <c r="BV3">
        <v>-1.0844370000000001</v>
      </c>
      <c r="BW3">
        <v>-0.38566699999999998</v>
      </c>
      <c r="BX3">
        <v>0.36798900000000001</v>
      </c>
      <c r="BY3">
        <v>-0.14662700000000001</v>
      </c>
      <c r="BZ3">
        <v>-5.2145999999999998E-2</v>
      </c>
      <c r="CA3">
        <v>-0.40672999999999998</v>
      </c>
      <c r="CB3">
        <v>-0.13769999999999999</v>
      </c>
      <c r="CC3">
        <v>2.9999999999999997E-4</v>
      </c>
      <c r="CD3">
        <v>0.24260000000000001</v>
      </c>
      <c r="CE3">
        <v>0.53125</v>
      </c>
      <c r="CF3">
        <v>14.951401000000001</v>
      </c>
      <c r="CG3">
        <v>21.063998999999999</v>
      </c>
      <c r="CH3">
        <v>24.979500000000002</v>
      </c>
      <c r="CI3">
        <v>26.919799999999999</v>
      </c>
      <c r="CJ3">
        <v>29.157101000000001</v>
      </c>
      <c r="CK3">
        <v>30.733999000000001</v>
      </c>
      <c r="CL3">
        <v>33.861201999999999</v>
      </c>
      <c r="CM3">
        <v>35.139698000000003</v>
      </c>
      <c r="CN3">
        <v>35.771351000000003</v>
      </c>
      <c r="CO3">
        <v>36.304340000000003</v>
      </c>
      <c r="CP3">
        <v>0.55765399999999998</v>
      </c>
      <c r="CQ3">
        <v>24.159970000000001</v>
      </c>
      <c r="CR3">
        <v>26.055161999999999</v>
      </c>
      <c r="CS3">
        <v>1</v>
      </c>
      <c r="CT3">
        <v>47</v>
      </c>
      <c r="CU3">
        <v>10.859506</v>
      </c>
      <c r="CV3">
        <v>1</v>
      </c>
      <c r="CW3">
        <v>8.2327639999999995</v>
      </c>
      <c r="CX3">
        <v>67.778403999999995</v>
      </c>
      <c r="CY3">
        <v>0.75811600000000001</v>
      </c>
      <c r="CZ3">
        <v>12</v>
      </c>
      <c r="DA3">
        <v>0.94762000000000002</v>
      </c>
      <c r="DB3">
        <v>3.4975670000000001</v>
      </c>
      <c r="DC3">
        <v>6.7099260000000003</v>
      </c>
      <c r="DD3">
        <v>10.859506</v>
      </c>
      <c r="DE3">
        <v>4.5225140000000001</v>
      </c>
      <c r="DF3">
        <v>0.95158600000000004</v>
      </c>
      <c r="DG3">
        <v>0.34945999999999999</v>
      </c>
      <c r="DH3">
        <v>0.41645700000000002</v>
      </c>
      <c r="DI3">
        <v>0.21041099999999999</v>
      </c>
      <c r="DJ3">
        <v>7.7271000000000006E-2</v>
      </c>
      <c r="DK3">
        <v>1</v>
      </c>
      <c r="DL3">
        <v>1</v>
      </c>
      <c r="DM3">
        <v>2</v>
      </c>
      <c r="DN3">
        <v>3</v>
      </c>
      <c r="DO3">
        <v>4</v>
      </c>
      <c r="DP3">
        <v>5</v>
      </c>
      <c r="DQ3">
        <v>7</v>
      </c>
      <c r="DR3">
        <v>9</v>
      </c>
      <c r="DS3">
        <v>11</v>
      </c>
      <c r="DT3">
        <v>14</v>
      </c>
      <c r="DU3">
        <v>16</v>
      </c>
      <c r="DV3">
        <v>18</v>
      </c>
      <c r="DW3">
        <v>23</v>
      </c>
      <c r="DX3">
        <v>27</v>
      </c>
      <c r="DY3">
        <v>34</v>
      </c>
      <c r="DZ3">
        <v>95.411090000000002</v>
      </c>
      <c r="EA3">
        <v>73.158359000000004</v>
      </c>
      <c r="EB3">
        <v>126.845124</v>
      </c>
      <c r="EC3">
        <v>2495</v>
      </c>
      <c r="ED3">
        <v>3317</v>
      </c>
      <c r="EE3">
        <v>87.418738000000005</v>
      </c>
      <c r="EF3">
        <v>100</v>
      </c>
      <c r="EG3">
        <v>62.086458</v>
      </c>
      <c r="EH3">
        <v>98.235553999999993</v>
      </c>
      <c r="EI3">
        <v>107.648184</v>
      </c>
      <c r="EJ3">
        <v>170.32504800000001</v>
      </c>
      <c r="EK3">
        <v>2286</v>
      </c>
      <c r="EL3">
        <v>2615</v>
      </c>
      <c r="EM3">
        <v>2815</v>
      </c>
      <c r="EN3">
        <v>4454</v>
      </c>
      <c r="EO3">
        <v>2615</v>
      </c>
      <c r="EP3">
        <v>4534</v>
      </c>
      <c r="EQ3">
        <v>54.436889999999998</v>
      </c>
    </row>
    <row r="4" spans="1:147" x14ac:dyDescent="0.25">
      <c r="A4">
        <v>2022</v>
      </c>
      <c r="B4" t="str">
        <f t="shared" si="0"/>
        <v>NE</v>
      </c>
      <c r="C4" t="s">
        <v>169</v>
      </c>
      <c r="D4" t="s">
        <v>169</v>
      </c>
      <c r="E4">
        <v>16983</v>
      </c>
      <c r="F4" t="s">
        <v>170</v>
      </c>
      <c r="G4" t="s">
        <v>171</v>
      </c>
      <c r="H4" t="s">
        <v>172</v>
      </c>
      <c r="I4">
        <v>43.27</v>
      </c>
      <c r="J4">
        <v>43.27</v>
      </c>
      <c r="K4" t="s">
        <v>173</v>
      </c>
      <c r="L4">
        <v>1</v>
      </c>
      <c r="M4">
        <v>2009</v>
      </c>
      <c r="N4">
        <v>2</v>
      </c>
      <c r="O4" t="str">
        <f t="shared" si="1"/>
        <v>Alto fuste</v>
      </c>
      <c r="P4" s="2">
        <v>40161</v>
      </c>
      <c r="Q4" t="s">
        <v>174</v>
      </c>
      <c r="R4" t="s">
        <v>165</v>
      </c>
      <c r="S4" t="s">
        <v>154</v>
      </c>
      <c r="T4" t="s">
        <v>175</v>
      </c>
      <c r="U4" t="s">
        <v>156</v>
      </c>
      <c r="V4" s="2">
        <v>44600</v>
      </c>
      <c r="W4" t="s">
        <v>176</v>
      </c>
      <c r="X4">
        <v>124.12</v>
      </c>
      <c r="Y4">
        <v>20.9</v>
      </c>
      <c r="Z4">
        <v>34</v>
      </c>
      <c r="AA4">
        <v>14.9</v>
      </c>
      <c r="AB4">
        <v>4</v>
      </c>
      <c r="AC4">
        <v>311.41000000000003</v>
      </c>
      <c r="AD4">
        <v>257.541699886591</v>
      </c>
      <c r="AE4" s="2">
        <v>44600</v>
      </c>
      <c r="AF4">
        <v>146</v>
      </c>
      <c r="AG4">
        <v>12.153319644079399</v>
      </c>
      <c r="AH4">
        <v>25.096577230662099</v>
      </c>
      <c r="AI4">
        <v>17.2344827586207</v>
      </c>
      <c r="AJ4">
        <v>27.338958123216599</v>
      </c>
      <c r="AK4">
        <v>29</v>
      </c>
      <c r="AL4">
        <v>1126.0312412619101</v>
      </c>
      <c r="AM4">
        <v>303.02377083182</v>
      </c>
      <c r="AN4">
        <v>0.26910778291748799</v>
      </c>
      <c r="AO4" t="s">
        <v>165</v>
      </c>
      <c r="AP4" t="s">
        <v>158</v>
      </c>
      <c r="AQ4" t="s">
        <v>166</v>
      </c>
      <c r="AR4">
        <v>9</v>
      </c>
      <c r="AS4">
        <v>1.013428117135718</v>
      </c>
      <c r="AT4" t="s">
        <v>177</v>
      </c>
      <c r="AU4" t="s">
        <v>178</v>
      </c>
      <c r="AV4">
        <v>3054</v>
      </c>
      <c r="AW4">
        <v>1695</v>
      </c>
      <c r="AX4">
        <v>1238</v>
      </c>
      <c r="AY4">
        <v>118</v>
      </c>
      <c r="AZ4">
        <v>3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-0.82199999999999995</v>
      </c>
      <c r="BH4">
        <v>30.091000000000001</v>
      </c>
      <c r="BI4">
        <v>15.312263</v>
      </c>
      <c r="BJ4">
        <v>-0.33131699999999997</v>
      </c>
      <c r="BK4">
        <v>12.654092</v>
      </c>
      <c r="BL4">
        <v>160.126048</v>
      </c>
      <c r="BM4">
        <v>0.826403</v>
      </c>
      <c r="BN4">
        <v>26.338749</v>
      </c>
      <c r="BO4">
        <v>-0.27435199999999998</v>
      </c>
      <c r="BP4">
        <v>1.166439</v>
      </c>
      <c r="BQ4">
        <v>12.231920000000001</v>
      </c>
      <c r="BR4">
        <v>4.6544999999999996</v>
      </c>
      <c r="BS4">
        <v>24.773316999999999</v>
      </c>
      <c r="BT4">
        <v>15.312263</v>
      </c>
      <c r="BU4">
        <v>6.7012939999999999</v>
      </c>
      <c r="BV4">
        <v>-0.65076800000000001</v>
      </c>
      <c r="BW4">
        <v>-1.22028</v>
      </c>
      <c r="BX4">
        <v>0.43764199999999998</v>
      </c>
      <c r="BY4">
        <v>-9.7111000000000003E-2</v>
      </c>
      <c r="BZ4">
        <v>-0.18209600000000001</v>
      </c>
      <c r="CA4">
        <v>-0.31717000000000001</v>
      </c>
      <c r="CB4">
        <v>-0.156</v>
      </c>
      <c r="CC4">
        <v>-4.7E-2</v>
      </c>
      <c r="CD4">
        <v>8.9599999999999999E-2</v>
      </c>
      <c r="CE4">
        <v>0.183</v>
      </c>
      <c r="CF4">
        <v>0.3926</v>
      </c>
      <c r="CG4">
        <v>3.4105989999999999</v>
      </c>
      <c r="CH4">
        <v>24.441998999999999</v>
      </c>
      <c r="CI4">
        <v>25.719000000000001</v>
      </c>
      <c r="CJ4">
        <v>26.266100000000002</v>
      </c>
      <c r="CK4">
        <v>26.521749</v>
      </c>
      <c r="CL4">
        <v>26.823999000000001</v>
      </c>
      <c r="CM4">
        <v>27.934999000000001</v>
      </c>
      <c r="CN4">
        <v>28.803750999999998</v>
      </c>
      <c r="CO4">
        <v>29.636998999999999</v>
      </c>
      <c r="CP4">
        <v>0.52192499999999997</v>
      </c>
      <c r="CQ4">
        <v>19.863005999999999</v>
      </c>
      <c r="CR4">
        <v>21.819269999999999</v>
      </c>
      <c r="CS4">
        <v>1</v>
      </c>
      <c r="CT4">
        <v>45</v>
      </c>
      <c r="CU4">
        <v>15.941060999999999</v>
      </c>
      <c r="CV4">
        <v>2.3968250000000002</v>
      </c>
      <c r="CW4">
        <v>10.637206000000001</v>
      </c>
      <c r="CX4">
        <v>113.150144</v>
      </c>
      <c r="CY4">
        <v>0.66728299999999996</v>
      </c>
      <c r="CZ4">
        <v>19</v>
      </c>
      <c r="DA4">
        <v>0.24973899999999999</v>
      </c>
      <c r="DB4">
        <v>1.8715619999999999</v>
      </c>
      <c r="DC4">
        <v>9.3088329999999999</v>
      </c>
      <c r="DD4">
        <v>15.941060999999999</v>
      </c>
      <c r="DE4">
        <v>6.0975279999999996</v>
      </c>
      <c r="DF4">
        <v>0.44204599999999999</v>
      </c>
      <c r="DG4">
        <v>-8.8056999999999996E-2</v>
      </c>
      <c r="DH4">
        <v>0.38250499999999998</v>
      </c>
      <c r="DI4">
        <v>7.2496000000000005E-2</v>
      </c>
      <c r="DJ4">
        <v>-1.4441000000000001E-2</v>
      </c>
      <c r="DK4">
        <v>1</v>
      </c>
      <c r="DL4">
        <v>2</v>
      </c>
      <c r="DM4">
        <v>3</v>
      </c>
      <c r="DN4">
        <v>4.5999759999999998</v>
      </c>
      <c r="DO4">
        <v>6</v>
      </c>
      <c r="DP4">
        <v>7</v>
      </c>
      <c r="DQ4">
        <v>11</v>
      </c>
      <c r="DR4">
        <v>15</v>
      </c>
      <c r="DS4">
        <v>19</v>
      </c>
      <c r="DT4">
        <v>23</v>
      </c>
      <c r="DU4">
        <v>25</v>
      </c>
      <c r="DV4">
        <v>27</v>
      </c>
      <c r="DW4">
        <v>31</v>
      </c>
      <c r="DX4">
        <v>34</v>
      </c>
      <c r="DY4">
        <v>38</v>
      </c>
      <c r="DZ4">
        <v>95.162242000000006</v>
      </c>
      <c r="EA4">
        <v>60.674525000000003</v>
      </c>
      <c r="EB4">
        <v>109.321534</v>
      </c>
      <c r="EC4">
        <v>1613</v>
      </c>
      <c r="ED4">
        <v>1853</v>
      </c>
      <c r="EE4">
        <v>94.926254</v>
      </c>
      <c r="EF4">
        <v>100</v>
      </c>
      <c r="EG4">
        <v>58.218730000000001</v>
      </c>
      <c r="EH4">
        <v>99.083169999999996</v>
      </c>
      <c r="EI4">
        <v>104.896755</v>
      </c>
      <c r="EJ4">
        <v>178.52507399999999</v>
      </c>
      <c r="EK4">
        <v>1609</v>
      </c>
      <c r="EL4">
        <v>1695</v>
      </c>
      <c r="EM4">
        <v>1778</v>
      </c>
      <c r="EN4">
        <v>3026</v>
      </c>
      <c r="EO4">
        <v>1695</v>
      </c>
      <c r="EP4">
        <v>3054</v>
      </c>
      <c r="EQ4">
        <v>50.671287</v>
      </c>
    </row>
    <row r="5" spans="1:147" x14ac:dyDescent="0.25">
      <c r="A5">
        <v>2022</v>
      </c>
      <c r="B5" t="str">
        <f t="shared" si="0"/>
        <v>NE</v>
      </c>
      <c r="C5" t="s">
        <v>179</v>
      </c>
      <c r="D5" t="s">
        <v>179</v>
      </c>
      <c r="E5">
        <v>16984</v>
      </c>
      <c r="F5" t="s">
        <v>170</v>
      </c>
      <c r="G5" t="s">
        <v>171</v>
      </c>
      <c r="H5" t="s">
        <v>172</v>
      </c>
      <c r="I5">
        <v>43.27</v>
      </c>
      <c r="J5">
        <v>43.27</v>
      </c>
      <c r="K5" t="s">
        <v>173</v>
      </c>
      <c r="L5">
        <v>1</v>
      </c>
      <c r="M5">
        <v>2009</v>
      </c>
      <c r="N5">
        <v>2</v>
      </c>
      <c r="O5" t="str">
        <f t="shared" si="1"/>
        <v>Alto fuste</v>
      </c>
      <c r="P5" s="2">
        <v>40161</v>
      </c>
      <c r="Q5" t="s">
        <v>174</v>
      </c>
      <c r="R5" t="s">
        <v>165</v>
      </c>
      <c r="S5" t="s">
        <v>154</v>
      </c>
      <c r="T5" t="s">
        <v>175</v>
      </c>
      <c r="U5" t="s">
        <v>156</v>
      </c>
      <c r="V5" s="2">
        <v>44600</v>
      </c>
      <c r="W5" t="s">
        <v>176</v>
      </c>
      <c r="X5">
        <v>124.12</v>
      </c>
      <c r="Y5">
        <v>21</v>
      </c>
      <c r="Z5">
        <v>11</v>
      </c>
      <c r="AA5">
        <v>15</v>
      </c>
      <c r="AB5">
        <v>5</v>
      </c>
      <c r="AC5">
        <v>315</v>
      </c>
      <c r="AD5">
        <v>308.035915630788</v>
      </c>
      <c r="AE5" s="2">
        <v>44600</v>
      </c>
      <c r="AF5">
        <v>146</v>
      </c>
      <c r="AG5">
        <v>12.153319644079399</v>
      </c>
      <c r="AH5">
        <v>29.4320878897794</v>
      </c>
      <c r="AI5">
        <v>17.962162162162201</v>
      </c>
      <c r="AJ5">
        <v>32.235764627748999</v>
      </c>
      <c r="AK5">
        <v>37</v>
      </c>
      <c r="AL5">
        <v>1201.1586351621499</v>
      </c>
      <c r="AM5">
        <v>436.52257858385099</v>
      </c>
      <c r="AN5">
        <v>0.36341792483132201</v>
      </c>
      <c r="AO5" t="s">
        <v>165</v>
      </c>
      <c r="AP5" t="s">
        <v>158</v>
      </c>
      <c r="AQ5" t="s">
        <v>166</v>
      </c>
      <c r="AR5">
        <v>9</v>
      </c>
      <c r="AS5">
        <v>1.081042771645933</v>
      </c>
      <c r="AT5" t="s">
        <v>180</v>
      </c>
      <c r="AU5" t="s">
        <v>181</v>
      </c>
      <c r="AV5">
        <v>3529</v>
      </c>
      <c r="AW5">
        <v>1681</v>
      </c>
      <c r="AX5">
        <v>1430</v>
      </c>
      <c r="AY5">
        <v>393</v>
      </c>
      <c r="AZ5">
        <v>25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-0.80500000000000005</v>
      </c>
      <c r="BH5">
        <v>32.879002</v>
      </c>
      <c r="BI5">
        <v>15.289337</v>
      </c>
      <c r="BJ5">
        <v>-0.27033299999999999</v>
      </c>
      <c r="BK5">
        <v>12.904521000000001</v>
      </c>
      <c r="BL5">
        <v>166.52665999999999</v>
      </c>
      <c r="BM5">
        <v>0.84402100000000002</v>
      </c>
      <c r="BN5">
        <v>27.241999</v>
      </c>
      <c r="BO5">
        <v>-0.24560599999999999</v>
      </c>
      <c r="BP5">
        <v>1.1967829999999999</v>
      </c>
      <c r="BQ5">
        <v>12.37706</v>
      </c>
      <c r="BR5">
        <v>6.7829990000000002</v>
      </c>
      <c r="BS5">
        <v>22.113334999999999</v>
      </c>
      <c r="BT5">
        <v>15.289337</v>
      </c>
      <c r="BU5">
        <v>6.9057170000000001</v>
      </c>
      <c r="BV5">
        <v>-0.46351599999999998</v>
      </c>
      <c r="BW5">
        <v>-1.2394419999999999</v>
      </c>
      <c r="BX5">
        <v>0.45166899999999999</v>
      </c>
      <c r="BY5">
        <v>-6.7121E-2</v>
      </c>
      <c r="BZ5">
        <v>-0.179481</v>
      </c>
      <c r="CA5">
        <v>-0.35143999999999997</v>
      </c>
      <c r="CB5">
        <v>-0.17799999999999999</v>
      </c>
      <c r="CC5">
        <v>-9.5000000000000001E-2</v>
      </c>
      <c r="CD5">
        <v>8.9999999999999993E-3</v>
      </c>
      <c r="CE5">
        <v>6.0999999999999999E-2</v>
      </c>
      <c r="CF5">
        <v>0.11840000000000001</v>
      </c>
      <c r="CG5">
        <v>5.5881999999999996</v>
      </c>
      <c r="CH5">
        <v>21.843</v>
      </c>
      <c r="CI5">
        <v>25.676801999999999</v>
      </c>
      <c r="CJ5">
        <v>27.059999000000001</v>
      </c>
      <c r="CK5">
        <v>27.302999</v>
      </c>
      <c r="CL5">
        <v>27.543399999999998</v>
      </c>
      <c r="CM5">
        <v>28.233601</v>
      </c>
      <c r="CN5">
        <v>29.545598999999999</v>
      </c>
      <c r="CO5">
        <v>31.477720000000001</v>
      </c>
      <c r="CP5">
        <v>0.47780400000000001</v>
      </c>
      <c r="CQ5">
        <v>20.006081999999999</v>
      </c>
      <c r="CR5">
        <v>22.02375</v>
      </c>
      <c r="CS5">
        <v>1</v>
      </c>
      <c r="CT5">
        <v>54</v>
      </c>
      <c r="CU5">
        <v>12.280249</v>
      </c>
      <c r="CV5">
        <v>3.5238100000000001</v>
      </c>
      <c r="CW5">
        <v>8.5924650000000007</v>
      </c>
      <c r="CX5">
        <v>73.830451999999994</v>
      </c>
      <c r="CY5">
        <v>0.69969800000000004</v>
      </c>
      <c r="CZ5">
        <v>12</v>
      </c>
      <c r="DA5">
        <v>1.0496369999999999</v>
      </c>
      <c r="DB5">
        <v>4.2944610000000001</v>
      </c>
      <c r="DC5">
        <v>6.8920560000000002</v>
      </c>
      <c r="DD5">
        <v>12.280249</v>
      </c>
      <c r="DE5">
        <v>4.6914879999999997</v>
      </c>
      <c r="DF5">
        <v>0.894401</v>
      </c>
      <c r="DG5">
        <v>0.44761499999999999</v>
      </c>
      <c r="DH5">
        <v>0.38203500000000001</v>
      </c>
      <c r="DI5">
        <v>0.19064300000000001</v>
      </c>
      <c r="DJ5">
        <v>9.5409999999999995E-2</v>
      </c>
      <c r="DK5">
        <v>1</v>
      </c>
      <c r="DL5">
        <v>2</v>
      </c>
      <c r="DM5">
        <v>3</v>
      </c>
      <c r="DN5">
        <v>5</v>
      </c>
      <c r="DO5">
        <v>6</v>
      </c>
      <c r="DP5">
        <v>6</v>
      </c>
      <c r="DQ5">
        <v>8</v>
      </c>
      <c r="DR5">
        <v>11</v>
      </c>
      <c r="DS5">
        <v>13</v>
      </c>
      <c r="DT5">
        <v>16</v>
      </c>
      <c r="DU5">
        <v>18</v>
      </c>
      <c r="DV5">
        <v>19</v>
      </c>
      <c r="DW5">
        <v>23</v>
      </c>
      <c r="DX5">
        <v>28</v>
      </c>
      <c r="DY5">
        <v>40</v>
      </c>
      <c r="DZ5">
        <v>96.609161</v>
      </c>
      <c r="EA5">
        <v>60.102012000000002</v>
      </c>
      <c r="EB5">
        <v>126.174896</v>
      </c>
      <c r="EC5">
        <v>1624</v>
      </c>
      <c r="ED5">
        <v>2121</v>
      </c>
      <c r="EE5">
        <v>96.014277000000007</v>
      </c>
      <c r="EF5">
        <v>100</v>
      </c>
      <c r="EG5">
        <v>57.665061000000001</v>
      </c>
      <c r="EH5">
        <v>97.676395999999997</v>
      </c>
      <c r="EI5">
        <v>121.058894</v>
      </c>
      <c r="EJ5">
        <v>205.05651399999999</v>
      </c>
      <c r="EK5">
        <v>1614</v>
      </c>
      <c r="EL5">
        <v>1681</v>
      </c>
      <c r="EM5">
        <v>2035</v>
      </c>
      <c r="EN5">
        <v>3447</v>
      </c>
      <c r="EO5">
        <v>1681</v>
      </c>
      <c r="EP5">
        <v>3529</v>
      </c>
      <c r="EQ5">
        <v>47.648409000000001</v>
      </c>
    </row>
    <row r="6" spans="1:147" x14ac:dyDescent="0.25">
      <c r="A6">
        <v>2022</v>
      </c>
      <c r="B6" t="str">
        <f t="shared" si="0"/>
        <v>NE</v>
      </c>
      <c r="C6" t="s">
        <v>182</v>
      </c>
      <c r="D6" t="s">
        <v>182</v>
      </c>
      <c r="E6">
        <v>16985</v>
      </c>
      <c r="F6" t="s">
        <v>170</v>
      </c>
      <c r="G6" t="s">
        <v>171</v>
      </c>
      <c r="H6" t="s">
        <v>183</v>
      </c>
      <c r="I6">
        <v>24.2</v>
      </c>
      <c r="J6">
        <v>24.2</v>
      </c>
      <c r="K6" t="s">
        <v>173</v>
      </c>
      <c r="L6">
        <v>1</v>
      </c>
      <c r="M6">
        <v>2009</v>
      </c>
      <c r="N6">
        <v>2</v>
      </c>
      <c r="O6" t="str">
        <f t="shared" si="1"/>
        <v>Alto fuste</v>
      </c>
      <c r="P6" s="2">
        <v>40115</v>
      </c>
      <c r="Q6" t="s">
        <v>174</v>
      </c>
      <c r="R6" t="s">
        <v>153</v>
      </c>
      <c r="S6" t="s">
        <v>154</v>
      </c>
      <c r="T6" t="s">
        <v>175</v>
      </c>
      <c r="U6" t="s">
        <v>156</v>
      </c>
      <c r="V6" s="2">
        <v>44600</v>
      </c>
      <c r="W6" t="s">
        <v>176</v>
      </c>
      <c r="X6">
        <v>124.12</v>
      </c>
      <c r="Y6">
        <v>20.7</v>
      </c>
      <c r="Z6">
        <v>19</v>
      </c>
      <c r="AA6">
        <v>15.3</v>
      </c>
      <c r="AB6">
        <v>2</v>
      </c>
      <c r="AC6">
        <v>316.70999999999998</v>
      </c>
      <c r="AD6">
        <v>299.27276806849102</v>
      </c>
      <c r="AE6" s="2">
        <v>44600</v>
      </c>
      <c r="AF6">
        <v>148</v>
      </c>
      <c r="AG6">
        <v>12.279260780287499</v>
      </c>
      <c r="AH6">
        <v>23.6390100399496</v>
      </c>
      <c r="AI6">
        <v>16.942424242424199</v>
      </c>
      <c r="AJ6">
        <v>25.2445949988163</v>
      </c>
      <c r="AK6">
        <v>33</v>
      </c>
      <c r="AL6">
        <v>1102.6729967107401</v>
      </c>
      <c r="AM6">
        <v>254.96233793759299</v>
      </c>
      <c r="AN6">
        <v>0.231222074629689</v>
      </c>
      <c r="AO6" t="s">
        <v>165</v>
      </c>
      <c r="AP6" t="s">
        <v>158</v>
      </c>
      <c r="AQ6" t="s">
        <v>166</v>
      </c>
      <c r="AR6">
        <v>9</v>
      </c>
      <c r="AS6">
        <v>0.99240569703966219</v>
      </c>
      <c r="AT6" t="s">
        <v>184</v>
      </c>
      <c r="AU6" t="s">
        <v>185</v>
      </c>
      <c r="AV6">
        <v>12228</v>
      </c>
      <c r="AW6">
        <v>6370</v>
      </c>
      <c r="AX6">
        <v>5657</v>
      </c>
      <c r="AY6">
        <v>198</v>
      </c>
      <c r="AZ6">
        <v>3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-0.89700000000000002</v>
      </c>
      <c r="BH6">
        <v>24.462999</v>
      </c>
      <c r="BI6">
        <v>11.059348999999999</v>
      </c>
      <c r="BJ6">
        <v>-9.1921000000000003E-2</v>
      </c>
      <c r="BK6">
        <v>10.783110000000001</v>
      </c>
      <c r="BL6">
        <v>116.275452</v>
      </c>
      <c r="BM6">
        <v>0.97502200000000006</v>
      </c>
      <c r="BN6">
        <v>21.652000000000001</v>
      </c>
      <c r="BO6">
        <v>-2.4235E-2</v>
      </c>
      <c r="BP6">
        <v>1.0323960000000001</v>
      </c>
      <c r="BQ6">
        <v>10.721939000000001</v>
      </c>
      <c r="BR6">
        <v>6.0039999999999996</v>
      </c>
      <c r="BS6">
        <v>18.125919</v>
      </c>
      <c r="BT6">
        <v>11.059348999999999</v>
      </c>
      <c r="BU6">
        <v>5.5880429999999999</v>
      </c>
      <c r="BV6">
        <v>9.3265000000000001E-2</v>
      </c>
      <c r="BW6">
        <v>-1.205803</v>
      </c>
      <c r="BX6">
        <v>0.505278</v>
      </c>
      <c r="BY6">
        <v>1.669E-2</v>
      </c>
      <c r="BZ6">
        <v>-0.215783</v>
      </c>
      <c r="CA6">
        <v>-0.33800000000000002</v>
      </c>
      <c r="CB6">
        <v>-0.17599999999999999</v>
      </c>
      <c r="CC6">
        <v>-0.105</v>
      </c>
      <c r="CD6">
        <v>-1.7600000000000001E-2</v>
      </c>
      <c r="CE6">
        <v>2.1000000000000001E-2</v>
      </c>
      <c r="CF6">
        <v>6.5000000000000002E-2</v>
      </c>
      <c r="CG6">
        <v>0.18</v>
      </c>
      <c r="CH6">
        <v>18.033999999999999</v>
      </c>
      <c r="CI6">
        <v>20.815000999999999</v>
      </c>
      <c r="CJ6">
        <v>21.464001</v>
      </c>
      <c r="CK6">
        <v>21.672999999999998</v>
      </c>
      <c r="CL6">
        <v>21.896999000000001</v>
      </c>
      <c r="CM6">
        <v>22.485001</v>
      </c>
      <c r="CN6">
        <v>23.247</v>
      </c>
      <c r="CO6">
        <v>24.040731000000001</v>
      </c>
      <c r="CP6">
        <v>0.47146500000000002</v>
      </c>
      <c r="CQ6">
        <v>15.445878</v>
      </c>
      <c r="CR6">
        <v>17.302261999999999</v>
      </c>
      <c r="CS6">
        <v>1</v>
      </c>
      <c r="CT6">
        <v>56</v>
      </c>
      <c r="CU6">
        <v>17.570903000000001</v>
      </c>
      <c r="CV6">
        <v>13.222222</v>
      </c>
      <c r="CW6">
        <v>9.9571810000000003</v>
      </c>
      <c r="CX6">
        <v>99.145459000000002</v>
      </c>
      <c r="CY6">
        <v>0.56668600000000002</v>
      </c>
      <c r="CZ6">
        <v>14</v>
      </c>
      <c r="DA6">
        <v>0.49422100000000002</v>
      </c>
      <c r="DB6">
        <v>2.8083089999999999</v>
      </c>
      <c r="DC6">
        <v>8.1427949999999996</v>
      </c>
      <c r="DD6">
        <v>17.570903000000001</v>
      </c>
      <c r="DE6">
        <v>5.6284299999999998</v>
      </c>
      <c r="DF6">
        <v>0.52674299999999996</v>
      </c>
      <c r="DG6">
        <v>0.48239300000000002</v>
      </c>
      <c r="DH6">
        <v>0.32032699999999997</v>
      </c>
      <c r="DI6">
        <v>9.3586000000000003E-2</v>
      </c>
      <c r="DJ6">
        <v>8.5706000000000004E-2</v>
      </c>
      <c r="DK6">
        <v>1</v>
      </c>
      <c r="DL6">
        <v>3</v>
      </c>
      <c r="DM6">
        <v>5</v>
      </c>
      <c r="DN6">
        <v>8</v>
      </c>
      <c r="DO6">
        <v>10</v>
      </c>
      <c r="DP6">
        <v>11</v>
      </c>
      <c r="DQ6">
        <v>14</v>
      </c>
      <c r="DR6">
        <v>17</v>
      </c>
      <c r="DS6">
        <v>20</v>
      </c>
      <c r="DT6">
        <v>23</v>
      </c>
      <c r="DU6">
        <v>24</v>
      </c>
      <c r="DV6">
        <v>26</v>
      </c>
      <c r="DW6">
        <v>31</v>
      </c>
      <c r="DX6">
        <v>36</v>
      </c>
      <c r="DY6">
        <v>44</v>
      </c>
      <c r="DZ6">
        <v>96.012558999999996</v>
      </c>
      <c r="EA6">
        <v>51.586523</v>
      </c>
      <c r="EB6">
        <v>99.026687999999993</v>
      </c>
      <c r="EC6">
        <v>6116</v>
      </c>
      <c r="ED6">
        <v>6308</v>
      </c>
      <c r="EE6">
        <v>95.839873999999995</v>
      </c>
      <c r="EF6">
        <v>100</v>
      </c>
      <c r="EG6">
        <v>51.054955999999997</v>
      </c>
      <c r="EH6">
        <v>88.608113000000003</v>
      </c>
      <c r="EI6">
        <v>98.006279000000006</v>
      </c>
      <c r="EJ6">
        <v>170.09419199999999</v>
      </c>
      <c r="EK6">
        <v>6105</v>
      </c>
      <c r="EL6">
        <v>6370</v>
      </c>
      <c r="EM6">
        <v>6243</v>
      </c>
      <c r="EN6">
        <v>10835</v>
      </c>
      <c r="EO6">
        <v>6370</v>
      </c>
      <c r="EP6">
        <v>12228</v>
      </c>
      <c r="EQ6">
        <v>45.150077000000003</v>
      </c>
    </row>
    <row r="7" spans="1:147" x14ac:dyDescent="0.25">
      <c r="A7">
        <v>2022</v>
      </c>
      <c r="B7" t="str">
        <f t="shared" si="0"/>
        <v>NE</v>
      </c>
      <c r="C7" t="s">
        <v>186</v>
      </c>
      <c r="D7" t="s">
        <v>186</v>
      </c>
      <c r="E7">
        <v>18413</v>
      </c>
      <c r="F7" t="s">
        <v>187</v>
      </c>
      <c r="G7" t="s">
        <v>188</v>
      </c>
      <c r="H7" t="s">
        <v>189</v>
      </c>
      <c r="I7">
        <v>14.41</v>
      </c>
      <c r="J7">
        <v>14.41</v>
      </c>
      <c r="K7" t="s">
        <v>190</v>
      </c>
      <c r="L7">
        <v>1</v>
      </c>
      <c r="M7">
        <v>2010</v>
      </c>
      <c r="N7">
        <v>2</v>
      </c>
      <c r="O7" t="str">
        <f t="shared" si="1"/>
        <v>Talhadia</v>
      </c>
      <c r="P7" s="2">
        <v>40497</v>
      </c>
      <c r="Q7" t="s">
        <v>152</v>
      </c>
      <c r="R7" t="s">
        <v>191</v>
      </c>
      <c r="S7" t="s">
        <v>154</v>
      </c>
      <c r="T7" t="s">
        <v>175</v>
      </c>
      <c r="U7" t="s">
        <v>156</v>
      </c>
      <c r="V7" s="2">
        <v>44790</v>
      </c>
      <c r="W7" t="s">
        <v>192</v>
      </c>
      <c r="X7">
        <v>48.61</v>
      </c>
      <c r="Y7">
        <v>21</v>
      </c>
      <c r="Z7">
        <v>36</v>
      </c>
      <c r="AA7">
        <v>13.7</v>
      </c>
      <c r="AB7">
        <v>7</v>
      </c>
      <c r="AC7">
        <v>287.7</v>
      </c>
      <c r="AD7">
        <v>231.01927484992001</v>
      </c>
      <c r="AE7" s="2">
        <v>44790</v>
      </c>
      <c r="AF7">
        <v>141</v>
      </c>
      <c r="AG7">
        <v>11.7535934291581</v>
      </c>
      <c r="AH7">
        <v>27.2932925242654</v>
      </c>
      <c r="AI7">
        <v>16.827586206896601</v>
      </c>
      <c r="AJ7">
        <v>29.691965040808199</v>
      </c>
      <c r="AK7">
        <v>29</v>
      </c>
      <c r="AL7">
        <v>1255.3065114951801</v>
      </c>
      <c r="AM7">
        <v>372.206302405408</v>
      </c>
      <c r="AN7">
        <v>0.29650631060781801</v>
      </c>
      <c r="AO7" t="s">
        <v>165</v>
      </c>
      <c r="AP7" t="s">
        <v>158</v>
      </c>
      <c r="AQ7" t="s">
        <v>166</v>
      </c>
      <c r="AR7">
        <v>9.99</v>
      </c>
      <c r="AS7">
        <v>1.2540512049836881</v>
      </c>
      <c r="AT7" t="s">
        <v>193</v>
      </c>
      <c r="AU7" t="s">
        <v>194</v>
      </c>
      <c r="AV7">
        <v>3954</v>
      </c>
      <c r="AW7">
        <v>1838</v>
      </c>
      <c r="AX7">
        <v>1402</v>
      </c>
      <c r="AY7">
        <v>627</v>
      </c>
      <c r="AZ7">
        <v>87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-1.151</v>
      </c>
      <c r="BH7">
        <v>36.106997999999997</v>
      </c>
      <c r="BI7">
        <v>18.326546</v>
      </c>
      <c r="BJ7">
        <v>3.1794000000000003E-2</v>
      </c>
      <c r="BK7">
        <v>13.357965999999999</v>
      </c>
      <c r="BL7">
        <v>178.435261</v>
      </c>
      <c r="BM7">
        <v>0.72888600000000003</v>
      </c>
      <c r="BN7">
        <v>29.107751</v>
      </c>
      <c r="BO7">
        <v>-0.32982699999999998</v>
      </c>
      <c r="BP7">
        <v>1.4136550000000001</v>
      </c>
      <c r="BQ7">
        <v>12.271341</v>
      </c>
      <c r="BR7">
        <v>8.9010010000000008</v>
      </c>
      <c r="BS7">
        <v>23.981705000000002</v>
      </c>
      <c r="BT7">
        <v>18.326546</v>
      </c>
      <c r="BU7">
        <v>7.4154350000000004</v>
      </c>
      <c r="BV7">
        <v>-0.75883</v>
      </c>
      <c r="BW7">
        <v>-0.87282899999999997</v>
      </c>
      <c r="BX7">
        <v>0.40462799999999999</v>
      </c>
      <c r="BY7">
        <v>-0.10233100000000001</v>
      </c>
      <c r="BZ7">
        <v>-0.117704</v>
      </c>
      <c r="CA7">
        <v>-0.38323000000000002</v>
      </c>
      <c r="CB7">
        <v>-3.0349999999999999E-2</v>
      </c>
      <c r="CC7">
        <v>0.2016</v>
      </c>
      <c r="CD7">
        <v>0.7056</v>
      </c>
      <c r="CE7">
        <v>1.0602499999999999</v>
      </c>
      <c r="CF7">
        <v>2.8988999999999998</v>
      </c>
      <c r="CG7">
        <v>16.304600000000001</v>
      </c>
      <c r="CH7">
        <v>24.013500000000001</v>
      </c>
      <c r="CI7">
        <v>27.005800000000001</v>
      </c>
      <c r="CJ7">
        <v>29.521000000000001</v>
      </c>
      <c r="CK7">
        <v>30.168001</v>
      </c>
      <c r="CL7">
        <v>31.507798999999999</v>
      </c>
      <c r="CM7">
        <v>33.095001000000003</v>
      </c>
      <c r="CN7">
        <v>33.810397999999999</v>
      </c>
      <c r="CO7">
        <v>35.135471000000003</v>
      </c>
      <c r="CP7">
        <v>0.52277499999999999</v>
      </c>
      <c r="CQ7">
        <v>22.677133999999999</v>
      </c>
      <c r="CR7">
        <v>24.758773000000001</v>
      </c>
      <c r="CS7">
        <v>1</v>
      </c>
      <c r="CT7">
        <v>48</v>
      </c>
      <c r="CU7">
        <v>9.4754679999999993</v>
      </c>
      <c r="CV7">
        <v>1</v>
      </c>
      <c r="CW7">
        <v>6.941046</v>
      </c>
      <c r="CX7">
        <v>48.178122999999999</v>
      </c>
      <c r="CY7">
        <v>0.73252799999999996</v>
      </c>
      <c r="CZ7">
        <v>9</v>
      </c>
      <c r="DA7">
        <v>1.3279540000000001</v>
      </c>
      <c r="DB7">
        <v>5.4806290000000004</v>
      </c>
      <c r="DC7">
        <v>5.3553579999999998</v>
      </c>
      <c r="DD7">
        <v>9.4754679999999993</v>
      </c>
      <c r="DE7">
        <v>3.7023459999999999</v>
      </c>
      <c r="DF7">
        <v>0.80979400000000001</v>
      </c>
      <c r="DG7">
        <v>0.48295700000000003</v>
      </c>
      <c r="DH7">
        <v>0.39073000000000002</v>
      </c>
      <c r="DI7">
        <v>0.218724</v>
      </c>
      <c r="DJ7">
        <v>0.13044600000000001</v>
      </c>
      <c r="DK7">
        <v>1</v>
      </c>
      <c r="DL7">
        <v>1</v>
      </c>
      <c r="DM7">
        <v>2</v>
      </c>
      <c r="DN7">
        <v>4</v>
      </c>
      <c r="DO7">
        <v>4</v>
      </c>
      <c r="DP7">
        <v>5</v>
      </c>
      <c r="DQ7">
        <v>6</v>
      </c>
      <c r="DR7">
        <v>8</v>
      </c>
      <c r="DS7">
        <v>10</v>
      </c>
      <c r="DT7">
        <v>12</v>
      </c>
      <c r="DU7">
        <v>13</v>
      </c>
      <c r="DV7">
        <v>14</v>
      </c>
      <c r="DW7">
        <v>18</v>
      </c>
      <c r="DX7">
        <v>22.350097999999999</v>
      </c>
      <c r="DY7">
        <v>33</v>
      </c>
      <c r="DZ7">
        <v>96.245919000000001</v>
      </c>
      <c r="EA7">
        <v>69.903895000000006</v>
      </c>
      <c r="EB7">
        <v>150.38084900000001</v>
      </c>
      <c r="EC7">
        <v>1769</v>
      </c>
      <c r="ED7">
        <v>2764</v>
      </c>
      <c r="EE7">
        <v>91.730141000000003</v>
      </c>
      <c r="EF7">
        <v>99.782371999999995</v>
      </c>
      <c r="EG7">
        <v>56.626201000000002</v>
      </c>
      <c r="EH7">
        <v>93.829033999999993</v>
      </c>
      <c r="EI7">
        <v>121.817193</v>
      </c>
      <c r="EJ7">
        <v>201.84983700000001</v>
      </c>
      <c r="EK7">
        <v>1686</v>
      </c>
      <c r="EL7">
        <v>1834</v>
      </c>
      <c r="EM7">
        <v>2239</v>
      </c>
      <c r="EN7">
        <v>3710</v>
      </c>
      <c r="EO7">
        <v>1838</v>
      </c>
      <c r="EP7">
        <v>3954</v>
      </c>
      <c r="EQ7">
        <v>51.175064999999996</v>
      </c>
    </row>
    <row r="8" spans="1:147" x14ac:dyDescent="0.25">
      <c r="A8">
        <v>2022</v>
      </c>
      <c r="B8" t="str">
        <f t="shared" si="0"/>
        <v>GN</v>
      </c>
      <c r="C8" t="s">
        <v>195</v>
      </c>
      <c r="D8" t="s">
        <v>195</v>
      </c>
      <c r="E8">
        <v>18458</v>
      </c>
      <c r="F8" t="s">
        <v>196</v>
      </c>
      <c r="G8" t="s">
        <v>197</v>
      </c>
      <c r="H8" t="s">
        <v>198</v>
      </c>
      <c r="I8">
        <v>14.89</v>
      </c>
      <c r="J8">
        <v>14.89</v>
      </c>
      <c r="K8" t="s">
        <v>199</v>
      </c>
      <c r="L8">
        <v>1</v>
      </c>
      <c r="M8">
        <v>2010</v>
      </c>
      <c r="N8">
        <v>3</v>
      </c>
      <c r="O8" t="str">
        <f t="shared" si="1"/>
        <v>Alto fuste</v>
      </c>
      <c r="P8" s="2">
        <v>40342</v>
      </c>
      <c r="Q8" t="s">
        <v>174</v>
      </c>
      <c r="R8" t="s">
        <v>200</v>
      </c>
      <c r="S8" t="s">
        <v>154</v>
      </c>
      <c r="T8" t="s">
        <v>199</v>
      </c>
      <c r="U8" t="s">
        <v>156</v>
      </c>
      <c r="V8" s="2">
        <v>44712</v>
      </c>
      <c r="W8" t="s">
        <v>201</v>
      </c>
      <c r="X8">
        <v>117.3</v>
      </c>
      <c r="Y8">
        <v>20.2</v>
      </c>
      <c r="Z8">
        <v>13</v>
      </c>
      <c r="AA8">
        <v>15.3</v>
      </c>
      <c r="AB8">
        <v>1</v>
      </c>
      <c r="AC8">
        <v>309.06</v>
      </c>
      <c r="AD8">
        <v>301.09294732282501</v>
      </c>
      <c r="AE8" s="2">
        <v>44712</v>
      </c>
      <c r="AF8">
        <v>143</v>
      </c>
      <c r="AG8">
        <v>11.9644079397673</v>
      </c>
      <c r="AH8">
        <v>30.406234652092099</v>
      </c>
      <c r="AI8">
        <v>22.513043478260901</v>
      </c>
      <c r="AJ8">
        <v>31.118720601958</v>
      </c>
      <c r="AK8">
        <v>23</v>
      </c>
      <c r="AL8">
        <v>763.88371778565602</v>
      </c>
      <c r="AM8">
        <v>413.02204433443097</v>
      </c>
      <c r="AN8">
        <v>0.54068706364327002</v>
      </c>
      <c r="AO8" t="s">
        <v>165</v>
      </c>
      <c r="AP8" t="s">
        <v>158</v>
      </c>
      <c r="AQ8" t="s">
        <v>166</v>
      </c>
      <c r="AR8">
        <v>9</v>
      </c>
      <c r="AS8">
        <v>0.68749534600708972</v>
      </c>
      <c r="AT8" t="s">
        <v>202</v>
      </c>
      <c r="AU8" t="s">
        <v>203</v>
      </c>
      <c r="AV8">
        <v>3149</v>
      </c>
      <c r="AW8">
        <v>1872</v>
      </c>
      <c r="AX8">
        <v>1020</v>
      </c>
      <c r="AY8">
        <v>237</v>
      </c>
      <c r="AZ8">
        <v>20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-0.92700000000000005</v>
      </c>
      <c r="BH8">
        <v>31.004000000000001</v>
      </c>
      <c r="BI8">
        <v>18.599108999999999</v>
      </c>
      <c r="BJ8">
        <v>-0.420159</v>
      </c>
      <c r="BK8">
        <v>11.346897</v>
      </c>
      <c r="BL8">
        <v>128.752071</v>
      </c>
      <c r="BM8">
        <v>0.61007699999999998</v>
      </c>
      <c r="BN8">
        <v>20.361999999999998</v>
      </c>
      <c r="BO8">
        <v>-0.68761300000000003</v>
      </c>
      <c r="BP8">
        <v>1.7910269999999999</v>
      </c>
      <c r="BQ8">
        <v>10.204705000000001</v>
      </c>
      <c r="BR8">
        <v>4.7100010000000001</v>
      </c>
      <c r="BS8">
        <v>24.830158000000001</v>
      </c>
      <c r="BT8">
        <v>18.599108999999999</v>
      </c>
      <c r="BU8">
        <v>6.1065250000000004</v>
      </c>
      <c r="BV8">
        <v>-1.4996419999999999</v>
      </c>
      <c r="BW8">
        <v>-0.317189</v>
      </c>
      <c r="BX8">
        <v>0.328324</v>
      </c>
      <c r="BY8">
        <v>-0.24557999999999999</v>
      </c>
      <c r="BZ8">
        <v>-5.1943000000000003E-2</v>
      </c>
      <c r="CA8">
        <v>-0.34952</v>
      </c>
      <c r="CB8">
        <v>-7.5600000000000001E-2</v>
      </c>
      <c r="CC8">
        <v>7.1999999999999995E-2</v>
      </c>
      <c r="CD8">
        <v>1.628199</v>
      </c>
      <c r="CE8">
        <v>7.6689999999999996</v>
      </c>
      <c r="CF8">
        <v>10.609401</v>
      </c>
      <c r="CG8">
        <v>21.788601</v>
      </c>
      <c r="CH8">
        <v>24.41</v>
      </c>
      <c r="CI8">
        <v>26.004200000000001</v>
      </c>
      <c r="CJ8">
        <v>27.3766</v>
      </c>
      <c r="CK8">
        <v>28.030999999999999</v>
      </c>
      <c r="CL8">
        <v>28.562401000000001</v>
      </c>
      <c r="CM8">
        <v>29.294599999999999</v>
      </c>
      <c r="CN8">
        <v>29.703399999999998</v>
      </c>
      <c r="CO8">
        <v>30.296040000000001</v>
      </c>
      <c r="CP8">
        <v>0.61150899999999997</v>
      </c>
      <c r="CQ8">
        <v>21.786189</v>
      </c>
      <c r="CR8">
        <v>23.276696000000001</v>
      </c>
      <c r="CS8">
        <v>1</v>
      </c>
      <c r="CT8">
        <v>37</v>
      </c>
      <c r="CU8">
        <v>8.3988569999999996</v>
      </c>
      <c r="CV8">
        <v>1</v>
      </c>
      <c r="CW8">
        <v>5.5126350000000004</v>
      </c>
      <c r="CX8">
        <v>30.389147000000001</v>
      </c>
      <c r="CY8">
        <v>0.65635500000000002</v>
      </c>
      <c r="CZ8">
        <v>8</v>
      </c>
      <c r="DA8">
        <v>0.78979699999999997</v>
      </c>
      <c r="DB8">
        <v>3.5594440000000001</v>
      </c>
      <c r="DC8">
        <v>4.4735659999999999</v>
      </c>
      <c r="DD8">
        <v>8.3988569999999996</v>
      </c>
      <c r="DE8">
        <v>3.0651869999999999</v>
      </c>
      <c r="DF8">
        <v>0.447855</v>
      </c>
      <c r="DG8">
        <v>0.252249</v>
      </c>
      <c r="DH8">
        <v>0.36495300000000003</v>
      </c>
      <c r="DI8">
        <v>0.14610999999999999</v>
      </c>
      <c r="DJ8">
        <v>8.2294999999999993E-2</v>
      </c>
      <c r="DK8">
        <v>1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8</v>
      </c>
      <c r="DS8">
        <v>9</v>
      </c>
      <c r="DT8">
        <v>11</v>
      </c>
      <c r="DU8">
        <v>12</v>
      </c>
      <c r="DV8">
        <v>13</v>
      </c>
      <c r="DW8">
        <v>16</v>
      </c>
      <c r="DX8">
        <v>18</v>
      </c>
      <c r="DY8">
        <v>24</v>
      </c>
      <c r="DZ8">
        <v>98.344016999999994</v>
      </c>
      <c r="EA8">
        <v>79.739599999999996</v>
      </c>
      <c r="EB8">
        <v>134.134615</v>
      </c>
      <c r="EC8">
        <v>1841</v>
      </c>
      <c r="ED8">
        <v>2511</v>
      </c>
      <c r="EE8">
        <v>90.170940000000002</v>
      </c>
      <c r="EF8">
        <v>100</v>
      </c>
      <c r="EG8">
        <v>63.671007000000003</v>
      </c>
      <c r="EH8">
        <v>99.396634000000006</v>
      </c>
      <c r="EI8">
        <v>107.10470100000001</v>
      </c>
      <c r="EJ8">
        <v>167.20085499999999</v>
      </c>
      <c r="EK8">
        <v>1688</v>
      </c>
      <c r="EL8">
        <v>1872</v>
      </c>
      <c r="EM8">
        <v>2005</v>
      </c>
      <c r="EN8">
        <v>3130</v>
      </c>
      <c r="EO8">
        <v>1872</v>
      </c>
      <c r="EP8">
        <v>3149</v>
      </c>
      <c r="EQ8">
        <v>60.421996999999998</v>
      </c>
    </row>
    <row r="9" spans="1:147" x14ac:dyDescent="0.25">
      <c r="A9">
        <v>2022</v>
      </c>
      <c r="B9" t="str">
        <f t="shared" si="0"/>
        <v>GN</v>
      </c>
      <c r="C9" t="s">
        <v>204</v>
      </c>
      <c r="D9" t="s">
        <v>204</v>
      </c>
      <c r="E9">
        <v>18459</v>
      </c>
      <c r="F9" t="s">
        <v>205</v>
      </c>
      <c r="G9" t="s">
        <v>197</v>
      </c>
      <c r="H9" t="s">
        <v>206</v>
      </c>
      <c r="I9">
        <v>41.18</v>
      </c>
      <c r="J9">
        <v>41.18</v>
      </c>
      <c r="K9" t="s">
        <v>199</v>
      </c>
      <c r="L9">
        <v>1</v>
      </c>
      <c r="M9">
        <v>2010</v>
      </c>
      <c r="N9">
        <v>2</v>
      </c>
      <c r="O9" t="str">
        <f t="shared" si="1"/>
        <v>Talhadia</v>
      </c>
      <c r="P9" s="2">
        <v>40224</v>
      </c>
      <c r="Q9" t="s">
        <v>152</v>
      </c>
      <c r="R9" t="s">
        <v>207</v>
      </c>
      <c r="S9" t="s">
        <v>154</v>
      </c>
      <c r="T9" t="s">
        <v>199</v>
      </c>
      <c r="U9" t="s">
        <v>156</v>
      </c>
      <c r="V9" s="2">
        <v>44712</v>
      </c>
      <c r="W9" t="s">
        <v>201</v>
      </c>
      <c r="X9">
        <v>77.55</v>
      </c>
      <c r="Y9">
        <v>21</v>
      </c>
      <c r="Z9">
        <v>13</v>
      </c>
      <c r="AA9">
        <v>15.3</v>
      </c>
      <c r="AB9">
        <v>1</v>
      </c>
      <c r="AC9">
        <v>321.3</v>
      </c>
      <c r="AD9">
        <v>313.01742048412501</v>
      </c>
      <c r="AE9" s="2">
        <v>44711</v>
      </c>
      <c r="AF9">
        <v>147</v>
      </c>
      <c r="AG9">
        <v>12.2847364818617</v>
      </c>
      <c r="AH9">
        <v>32.328411342582697</v>
      </c>
      <c r="AI9">
        <v>22.3681818181818</v>
      </c>
      <c r="AJ9">
        <v>29.245420559150801</v>
      </c>
      <c r="AK9">
        <v>22</v>
      </c>
      <c r="AL9">
        <v>702.83628195433801</v>
      </c>
      <c r="AM9">
        <v>434.40546504678503</v>
      </c>
      <c r="AN9">
        <v>0.61807490051432401</v>
      </c>
      <c r="AO9" t="s">
        <v>165</v>
      </c>
      <c r="AP9" t="s">
        <v>158</v>
      </c>
      <c r="AQ9" t="s">
        <v>166</v>
      </c>
      <c r="AR9">
        <v>9.99</v>
      </c>
      <c r="AS9">
        <v>0.70213344567238345</v>
      </c>
      <c r="AT9" t="s">
        <v>208</v>
      </c>
      <c r="AU9" t="s">
        <v>209</v>
      </c>
      <c r="AV9">
        <v>3948</v>
      </c>
      <c r="AW9">
        <v>2392</v>
      </c>
      <c r="AX9">
        <v>1321</v>
      </c>
      <c r="AY9">
        <v>218</v>
      </c>
      <c r="AZ9">
        <v>17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-1.0409999999999999</v>
      </c>
      <c r="BH9">
        <v>38.838000999999998</v>
      </c>
      <c r="BI9">
        <v>21.113333000000001</v>
      </c>
      <c r="BJ9">
        <v>-0.40799999999999997</v>
      </c>
      <c r="BK9">
        <v>16.511448999999999</v>
      </c>
      <c r="BL9">
        <v>272.62793299999998</v>
      </c>
      <c r="BM9">
        <v>0.78203900000000004</v>
      </c>
      <c r="BN9">
        <v>35.843502000000001</v>
      </c>
      <c r="BO9">
        <v>-0.40250599999999997</v>
      </c>
      <c r="BP9">
        <v>1.284257</v>
      </c>
      <c r="BQ9">
        <v>15.633884</v>
      </c>
      <c r="BR9">
        <v>5.0085009999999999</v>
      </c>
      <c r="BS9">
        <v>33.009003</v>
      </c>
      <c r="BT9">
        <v>21.113333000000001</v>
      </c>
      <c r="BU9">
        <v>8.7327519999999996</v>
      </c>
      <c r="BV9">
        <v>-1.3216220000000001</v>
      </c>
      <c r="BW9">
        <v>-1.489914</v>
      </c>
      <c r="BX9">
        <v>0.41361300000000001</v>
      </c>
      <c r="BY9">
        <v>-0.151341</v>
      </c>
      <c r="BZ9">
        <v>-0.17061200000000001</v>
      </c>
      <c r="CA9">
        <v>-0.62553000000000003</v>
      </c>
      <c r="CB9">
        <v>-0.35065000000000002</v>
      </c>
      <c r="CC9">
        <v>-0.22700000000000001</v>
      </c>
      <c r="CD9">
        <v>-7.3599999999999999E-2</v>
      </c>
      <c r="CE9">
        <v>3.7499999999999999E-3</v>
      </c>
      <c r="CF9">
        <v>0.1391</v>
      </c>
      <c r="CG9">
        <v>22.124200999999999</v>
      </c>
      <c r="CH9">
        <v>32.600997999999997</v>
      </c>
      <c r="CI9">
        <v>34.355998999999997</v>
      </c>
      <c r="CJ9">
        <v>35.404598</v>
      </c>
      <c r="CK9">
        <v>35.847251999999997</v>
      </c>
      <c r="CL9">
        <v>36.169403000000003</v>
      </c>
      <c r="CM9">
        <v>36.830002</v>
      </c>
      <c r="CN9">
        <v>37.337001999999998</v>
      </c>
      <c r="CO9">
        <v>37.954712000000001</v>
      </c>
      <c r="CP9">
        <v>0.55553900000000001</v>
      </c>
      <c r="CQ9">
        <v>26.801711000000001</v>
      </c>
      <c r="CR9">
        <v>29.187132999999999</v>
      </c>
      <c r="CS9">
        <v>1</v>
      </c>
      <c r="CT9">
        <v>53</v>
      </c>
      <c r="CU9">
        <v>15.386272</v>
      </c>
      <c r="CV9">
        <v>1</v>
      </c>
      <c r="CW9">
        <v>10.743573</v>
      </c>
      <c r="CX9">
        <v>115.424357</v>
      </c>
      <c r="CY9">
        <v>0.69825700000000002</v>
      </c>
      <c r="CZ9">
        <v>18</v>
      </c>
      <c r="DA9">
        <v>0.52569699999999997</v>
      </c>
      <c r="DB9">
        <v>2.8266840000000002</v>
      </c>
      <c r="DC9">
        <v>8.9681080000000009</v>
      </c>
      <c r="DD9">
        <v>15.386272</v>
      </c>
      <c r="DE9">
        <v>6.0435549999999996</v>
      </c>
      <c r="DF9">
        <v>0.58057099999999995</v>
      </c>
      <c r="DG9">
        <v>0.28126099999999998</v>
      </c>
      <c r="DH9">
        <v>0.392789</v>
      </c>
      <c r="DI9">
        <v>9.6063999999999997E-2</v>
      </c>
      <c r="DJ9">
        <v>4.6538999999999997E-2</v>
      </c>
      <c r="DK9">
        <v>1</v>
      </c>
      <c r="DL9">
        <v>1</v>
      </c>
      <c r="DM9">
        <v>2</v>
      </c>
      <c r="DN9">
        <v>4</v>
      </c>
      <c r="DO9">
        <v>5</v>
      </c>
      <c r="DP9">
        <v>7</v>
      </c>
      <c r="DQ9">
        <v>11</v>
      </c>
      <c r="DR9">
        <v>15</v>
      </c>
      <c r="DS9">
        <v>19</v>
      </c>
      <c r="DT9">
        <v>21</v>
      </c>
      <c r="DU9">
        <v>23</v>
      </c>
      <c r="DV9">
        <v>24</v>
      </c>
      <c r="DW9">
        <v>28</v>
      </c>
      <c r="DX9">
        <v>35</v>
      </c>
      <c r="DY9">
        <v>44</v>
      </c>
      <c r="DZ9">
        <v>92.015050000000002</v>
      </c>
      <c r="EA9">
        <v>65.070921999999996</v>
      </c>
      <c r="EB9">
        <v>107.399666</v>
      </c>
      <c r="EC9">
        <v>2201</v>
      </c>
      <c r="ED9">
        <v>2569</v>
      </c>
      <c r="EE9">
        <v>90.133779000000004</v>
      </c>
      <c r="EF9">
        <v>100</v>
      </c>
      <c r="EG9">
        <v>60.866261000000002</v>
      </c>
      <c r="EH9">
        <v>96.580546999999996</v>
      </c>
      <c r="EI9">
        <v>100.45986600000001</v>
      </c>
      <c r="EJ9">
        <v>159.40635499999999</v>
      </c>
      <c r="EK9">
        <v>2156</v>
      </c>
      <c r="EL9">
        <v>2392</v>
      </c>
      <c r="EM9">
        <v>2403</v>
      </c>
      <c r="EN9">
        <v>3813</v>
      </c>
      <c r="EO9">
        <v>2392</v>
      </c>
      <c r="EP9">
        <v>3948</v>
      </c>
      <c r="EQ9">
        <v>54.764059000000003</v>
      </c>
    </row>
    <row r="10" spans="1:147" x14ac:dyDescent="0.25">
      <c r="A10">
        <v>2022</v>
      </c>
      <c r="B10" t="str">
        <f t="shared" si="0"/>
        <v>GN</v>
      </c>
      <c r="C10" t="s">
        <v>210</v>
      </c>
      <c r="D10" t="s">
        <v>210</v>
      </c>
      <c r="E10">
        <v>18466</v>
      </c>
      <c r="F10" t="s">
        <v>205</v>
      </c>
      <c r="G10" t="s">
        <v>197</v>
      </c>
      <c r="H10" t="s">
        <v>211</v>
      </c>
      <c r="I10">
        <v>36.369999999999997</v>
      </c>
      <c r="J10">
        <v>36.369999999999997</v>
      </c>
      <c r="K10" t="s">
        <v>199</v>
      </c>
      <c r="L10">
        <v>1</v>
      </c>
      <c r="M10">
        <v>2010</v>
      </c>
      <c r="N10">
        <v>2</v>
      </c>
      <c r="O10" t="str">
        <f t="shared" si="1"/>
        <v>Talhadia</v>
      </c>
      <c r="P10" s="2">
        <v>40224</v>
      </c>
      <c r="Q10" t="s">
        <v>152</v>
      </c>
      <c r="R10" t="s">
        <v>212</v>
      </c>
      <c r="S10" t="s">
        <v>154</v>
      </c>
      <c r="T10" t="s">
        <v>199</v>
      </c>
      <c r="U10" t="s">
        <v>156</v>
      </c>
      <c r="V10" s="2">
        <v>44712</v>
      </c>
      <c r="W10" t="s">
        <v>201</v>
      </c>
      <c r="X10">
        <v>77.55</v>
      </c>
      <c r="Y10">
        <v>19.8</v>
      </c>
      <c r="Z10">
        <v>26</v>
      </c>
      <c r="AA10">
        <v>16.3</v>
      </c>
      <c r="AB10">
        <v>3</v>
      </c>
      <c r="AC10">
        <v>322.74</v>
      </c>
      <c r="AD10">
        <v>289.67925034270502</v>
      </c>
      <c r="AE10" s="2">
        <v>44712</v>
      </c>
      <c r="AF10">
        <v>147</v>
      </c>
      <c r="AG10">
        <v>12.2874743326489</v>
      </c>
      <c r="AH10">
        <v>29.181731201614401</v>
      </c>
      <c r="AI10">
        <v>17.893333333333299</v>
      </c>
      <c r="AJ10">
        <v>28.527476838265301</v>
      </c>
      <c r="AK10">
        <v>30</v>
      </c>
      <c r="AL10">
        <v>1035.6281978950401</v>
      </c>
      <c r="AM10">
        <v>410.13127918057302</v>
      </c>
      <c r="AN10">
        <v>0.39602173831707599</v>
      </c>
      <c r="AO10" t="s">
        <v>165</v>
      </c>
      <c r="AP10" t="s">
        <v>158</v>
      </c>
      <c r="AQ10" t="s">
        <v>166</v>
      </c>
      <c r="AR10">
        <v>9.99</v>
      </c>
      <c r="AS10">
        <v>1.034592569697139</v>
      </c>
      <c r="AT10" t="s">
        <v>213</v>
      </c>
      <c r="AU10" t="s">
        <v>214</v>
      </c>
      <c r="AV10">
        <v>2804</v>
      </c>
      <c r="AW10">
        <v>1598</v>
      </c>
      <c r="AX10">
        <v>1077</v>
      </c>
      <c r="AY10">
        <v>123</v>
      </c>
      <c r="AZ10">
        <v>6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-0.67100000000000004</v>
      </c>
      <c r="BH10">
        <v>37.827998999999998</v>
      </c>
      <c r="BI10">
        <v>19.396108000000002</v>
      </c>
      <c r="BJ10">
        <v>-5.9905E-2</v>
      </c>
      <c r="BK10">
        <v>16.392182999999999</v>
      </c>
      <c r="BL10">
        <v>268.703666</v>
      </c>
      <c r="BM10">
        <v>0.84512699999999996</v>
      </c>
      <c r="BN10">
        <v>34.224747999999998</v>
      </c>
      <c r="BO10">
        <v>-0.219583</v>
      </c>
      <c r="BP10">
        <v>1.1313390000000001</v>
      </c>
      <c r="BQ10">
        <v>15.912179</v>
      </c>
      <c r="BR10">
        <v>5.0385</v>
      </c>
      <c r="BS10">
        <v>31.974402999999999</v>
      </c>
      <c r="BT10">
        <v>19.396108000000002</v>
      </c>
      <c r="BU10">
        <v>8.6365920000000003</v>
      </c>
      <c r="BV10">
        <v>-0.72085699999999997</v>
      </c>
      <c r="BW10">
        <v>-1.744556</v>
      </c>
      <c r="BX10">
        <v>0.445274</v>
      </c>
      <c r="BY10">
        <v>-8.3464999999999998E-2</v>
      </c>
      <c r="BZ10">
        <v>-0.20199600000000001</v>
      </c>
      <c r="CA10">
        <v>-0.28172999999999998</v>
      </c>
      <c r="CB10">
        <v>-6.8500000000000002E-3</v>
      </c>
      <c r="CC10">
        <v>0.108</v>
      </c>
      <c r="CD10">
        <v>0.26919999999999999</v>
      </c>
      <c r="CE10">
        <v>0.34399999999999997</v>
      </c>
      <c r="CF10">
        <v>0.432</v>
      </c>
      <c r="CG10">
        <v>4.1463939999999999</v>
      </c>
      <c r="CH10">
        <v>31.914501000000001</v>
      </c>
      <c r="CI10">
        <v>33.465800999999999</v>
      </c>
      <c r="CJ10">
        <v>34.211497999999999</v>
      </c>
      <c r="CK10">
        <v>34.568747999999999</v>
      </c>
      <c r="CL10">
        <v>34.8964</v>
      </c>
      <c r="CM10">
        <v>35.670399000000003</v>
      </c>
      <c r="CN10">
        <v>36.343699999999998</v>
      </c>
      <c r="CO10">
        <v>37.301788000000002</v>
      </c>
      <c r="CP10">
        <v>0.52123699999999995</v>
      </c>
      <c r="CQ10">
        <v>25.393243999999999</v>
      </c>
      <c r="CR10">
        <v>28.003388000000001</v>
      </c>
      <c r="CS10">
        <v>1</v>
      </c>
      <c r="CT10">
        <v>29</v>
      </c>
      <c r="CU10">
        <v>8.6433669999999996</v>
      </c>
      <c r="CV10">
        <v>1</v>
      </c>
      <c r="CW10">
        <v>5.5303579999999997</v>
      </c>
      <c r="CX10">
        <v>30.584861</v>
      </c>
      <c r="CY10">
        <v>0.63983800000000002</v>
      </c>
      <c r="CZ10">
        <v>9</v>
      </c>
      <c r="DA10">
        <v>0.42491699999999999</v>
      </c>
      <c r="DB10">
        <v>2.6112850000000001</v>
      </c>
      <c r="DC10">
        <v>4.6905919999999997</v>
      </c>
      <c r="DD10">
        <v>8.6433669999999996</v>
      </c>
      <c r="DE10">
        <v>3.1324800000000002</v>
      </c>
      <c r="DF10">
        <v>0.25018299999999999</v>
      </c>
      <c r="DG10">
        <v>0.101058</v>
      </c>
      <c r="DH10">
        <v>0.36241400000000001</v>
      </c>
      <c r="DI10">
        <v>7.9866999999999994E-2</v>
      </c>
      <c r="DJ10">
        <v>3.2260999999999998E-2</v>
      </c>
      <c r="DK10">
        <v>1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9</v>
      </c>
      <c r="DS10">
        <v>10</v>
      </c>
      <c r="DT10">
        <v>12</v>
      </c>
      <c r="DU10">
        <v>13</v>
      </c>
      <c r="DV10">
        <v>14</v>
      </c>
      <c r="DW10">
        <v>16</v>
      </c>
      <c r="DX10">
        <v>18</v>
      </c>
      <c r="DY10">
        <v>23</v>
      </c>
      <c r="DZ10">
        <v>95.682102999999998</v>
      </c>
      <c r="EA10">
        <v>60.485021000000003</v>
      </c>
      <c r="EB10">
        <v>106.132666</v>
      </c>
      <c r="EC10">
        <v>1529</v>
      </c>
      <c r="ED10">
        <v>1696</v>
      </c>
      <c r="EE10">
        <v>93.554443000000006</v>
      </c>
      <c r="EF10">
        <v>100</v>
      </c>
      <c r="EG10">
        <v>55.527816999999999</v>
      </c>
      <c r="EH10">
        <v>96.540655999999998</v>
      </c>
      <c r="EI10">
        <v>97.434292999999997</v>
      </c>
      <c r="EJ10">
        <v>169.399249</v>
      </c>
      <c r="EK10">
        <v>1495</v>
      </c>
      <c r="EL10">
        <v>1598</v>
      </c>
      <c r="EM10">
        <v>1557</v>
      </c>
      <c r="EN10">
        <v>2707</v>
      </c>
      <c r="EO10">
        <v>1598</v>
      </c>
      <c r="EP10">
        <v>2804</v>
      </c>
      <c r="EQ10">
        <v>50.985433999999998</v>
      </c>
    </row>
    <row r="11" spans="1:147" x14ac:dyDescent="0.25">
      <c r="A11">
        <v>2022</v>
      </c>
      <c r="B11" t="str">
        <f t="shared" si="0"/>
        <v>RD</v>
      </c>
      <c r="C11" t="s">
        <v>215</v>
      </c>
      <c r="D11" t="s">
        <v>215</v>
      </c>
      <c r="E11">
        <v>19227</v>
      </c>
      <c r="F11" t="s">
        <v>216</v>
      </c>
      <c r="G11" t="s">
        <v>217</v>
      </c>
      <c r="H11" t="s">
        <v>218</v>
      </c>
      <c r="I11">
        <v>34.32</v>
      </c>
      <c r="J11">
        <v>34.32</v>
      </c>
      <c r="K11" t="s">
        <v>219</v>
      </c>
      <c r="L11">
        <v>1</v>
      </c>
      <c r="M11">
        <v>2011</v>
      </c>
      <c r="N11">
        <v>1</v>
      </c>
      <c r="O11" t="str">
        <f t="shared" si="1"/>
        <v>Talhadia</v>
      </c>
      <c r="P11" s="2">
        <v>40648</v>
      </c>
      <c r="Q11" t="s">
        <v>152</v>
      </c>
      <c r="R11" t="s">
        <v>220</v>
      </c>
      <c r="S11" t="s">
        <v>154</v>
      </c>
      <c r="T11" t="s">
        <v>221</v>
      </c>
      <c r="U11" t="s">
        <v>156</v>
      </c>
      <c r="V11" s="2">
        <v>44692</v>
      </c>
      <c r="W11" t="s">
        <v>222</v>
      </c>
      <c r="X11">
        <v>66.97</v>
      </c>
      <c r="Y11">
        <v>18.899999999999999</v>
      </c>
      <c r="Z11">
        <v>6</v>
      </c>
      <c r="AA11">
        <v>13.5</v>
      </c>
      <c r="AB11">
        <v>1</v>
      </c>
      <c r="AC11">
        <v>255.15</v>
      </c>
      <c r="AD11">
        <v>253.71361390469599</v>
      </c>
      <c r="AE11" s="2">
        <v>44692</v>
      </c>
      <c r="AF11">
        <v>133</v>
      </c>
      <c r="AG11">
        <v>11.0718685831622</v>
      </c>
      <c r="AH11">
        <v>26.9021904014444</v>
      </c>
      <c r="AI11">
        <v>17.995238095238101</v>
      </c>
      <c r="AJ11">
        <v>21.8434533877315</v>
      </c>
      <c r="AK11">
        <v>21</v>
      </c>
      <c r="AL11">
        <v>827.70489438096695</v>
      </c>
      <c r="AM11">
        <v>264.19181301119198</v>
      </c>
      <c r="AN11">
        <v>0.31918599830049199</v>
      </c>
      <c r="AO11" t="s">
        <v>165</v>
      </c>
      <c r="AP11" t="s">
        <v>158</v>
      </c>
      <c r="AQ11" t="s">
        <v>166</v>
      </c>
      <c r="AR11">
        <v>9.99</v>
      </c>
      <c r="AS11">
        <v>0.82687718948658662</v>
      </c>
      <c r="AT11" t="s">
        <v>223</v>
      </c>
      <c r="AU11" t="s">
        <v>224</v>
      </c>
      <c r="AV11">
        <v>4103</v>
      </c>
      <c r="AW11">
        <v>2137</v>
      </c>
      <c r="AX11">
        <v>1683</v>
      </c>
      <c r="AY11">
        <v>266</v>
      </c>
      <c r="AZ11">
        <v>17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-0.79500000000000004</v>
      </c>
      <c r="BH11">
        <v>27.975000000000001</v>
      </c>
      <c r="BI11">
        <v>12.333309</v>
      </c>
      <c r="BJ11">
        <v>-0.33833299999999999</v>
      </c>
      <c r="BK11">
        <v>12.169689999999999</v>
      </c>
      <c r="BL11">
        <v>148.10134500000001</v>
      </c>
      <c r="BM11">
        <v>0.986734</v>
      </c>
      <c r="BN11">
        <v>25.488499999999998</v>
      </c>
      <c r="BO11">
        <v>7.5051999999999994E-2</v>
      </c>
      <c r="BP11">
        <v>1.1148750000000001</v>
      </c>
      <c r="BQ11">
        <v>11.780379999999999</v>
      </c>
      <c r="BR11">
        <v>11.3</v>
      </c>
      <c r="BS11">
        <v>11.532333</v>
      </c>
      <c r="BT11">
        <v>12.333309</v>
      </c>
      <c r="BU11">
        <v>6.463012</v>
      </c>
      <c r="BV11">
        <v>0.36646099999999998</v>
      </c>
      <c r="BW11">
        <v>-1.385351</v>
      </c>
      <c r="BX11">
        <v>0.52402899999999997</v>
      </c>
      <c r="BY11">
        <v>5.6701000000000001E-2</v>
      </c>
      <c r="BZ11">
        <v>-0.21435100000000001</v>
      </c>
      <c r="CA11">
        <v>-0.38094</v>
      </c>
      <c r="CB11">
        <v>-0.17399999999999999</v>
      </c>
      <c r="CC11">
        <v>-9.9000000000000005E-2</v>
      </c>
      <c r="CD11">
        <v>-4.0000000000000001E-3</v>
      </c>
      <c r="CE11">
        <v>3.5499999999999997E-2</v>
      </c>
      <c r="CF11">
        <v>7.4999999999999997E-2</v>
      </c>
      <c r="CG11">
        <v>0.17480000000000001</v>
      </c>
      <c r="CH11">
        <v>11.194000000000001</v>
      </c>
      <c r="CI11">
        <v>23.449998999999998</v>
      </c>
      <c r="CJ11">
        <v>25.266999999999999</v>
      </c>
      <c r="CK11">
        <v>25.524000000000001</v>
      </c>
      <c r="CL11">
        <v>25.757999000000002</v>
      </c>
      <c r="CM11">
        <v>26.341999000000001</v>
      </c>
      <c r="CN11">
        <v>26.73</v>
      </c>
      <c r="CO11">
        <v>27.196960000000001</v>
      </c>
      <c r="CP11">
        <v>0.45631899999999997</v>
      </c>
      <c r="CQ11">
        <v>17.325581</v>
      </c>
      <c r="CR11">
        <v>19.565338000000001</v>
      </c>
      <c r="CS11">
        <v>1</v>
      </c>
      <c r="CT11">
        <v>55</v>
      </c>
      <c r="CU11">
        <v>15.87107</v>
      </c>
      <c r="CV11">
        <v>1</v>
      </c>
      <c r="CW11">
        <v>11.817633000000001</v>
      </c>
      <c r="CX11">
        <v>139.65645900000001</v>
      </c>
      <c r="CY11">
        <v>0.74460199999999999</v>
      </c>
      <c r="CZ11">
        <v>18</v>
      </c>
      <c r="DA11">
        <v>0.747502</v>
      </c>
      <c r="DB11">
        <v>2.7268159999999999</v>
      </c>
      <c r="DC11">
        <v>9.7707940000000004</v>
      </c>
      <c r="DD11">
        <v>15.87107</v>
      </c>
      <c r="DE11">
        <v>6.5935629999999996</v>
      </c>
      <c r="DF11">
        <v>1.2180629999999999</v>
      </c>
      <c r="DG11">
        <v>0.41202800000000001</v>
      </c>
      <c r="DH11">
        <v>0.41544500000000001</v>
      </c>
      <c r="DI11">
        <v>0.18473500000000001</v>
      </c>
      <c r="DJ11">
        <v>6.2489000000000003E-2</v>
      </c>
      <c r="DK11">
        <v>1</v>
      </c>
      <c r="DL11">
        <v>1</v>
      </c>
      <c r="DM11">
        <v>2</v>
      </c>
      <c r="DN11">
        <v>5</v>
      </c>
      <c r="DO11">
        <v>6</v>
      </c>
      <c r="DP11">
        <v>7</v>
      </c>
      <c r="DQ11">
        <v>10</v>
      </c>
      <c r="DR11">
        <v>13</v>
      </c>
      <c r="DS11">
        <v>17</v>
      </c>
      <c r="DT11">
        <v>21</v>
      </c>
      <c r="DU11">
        <v>24</v>
      </c>
      <c r="DV11">
        <v>26</v>
      </c>
      <c r="DW11">
        <v>34</v>
      </c>
      <c r="DX11">
        <v>40</v>
      </c>
      <c r="DY11">
        <v>46</v>
      </c>
      <c r="DZ11">
        <v>87.225082</v>
      </c>
      <c r="EA11">
        <v>53.058737999999998</v>
      </c>
      <c r="EB11">
        <v>101.87178299999999</v>
      </c>
      <c r="EC11">
        <v>1864</v>
      </c>
      <c r="ED11">
        <v>2177</v>
      </c>
      <c r="EE11">
        <v>85.540476999999996</v>
      </c>
      <c r="EF11">
        <v>99.953204999999997</v>
      </c>
      <c r="EG11">
        <v>49.110407000000002</v>
      </c>
      <c r="EH11">
        <v>98.683890000000005</v>
      </c>
      <c r="EI11">
        <v>94.291061999999997</v>
      </c>
      <c r="EJ11">
        <v>189.47122100000001</v>
      </c>
      <c r="EK11">
        <v>1828</v>
      </c>
      <c r="EL11">
        <v>2136</v>
      </c>
      <c r="EM11">
        <v>2015</v>
      </c>
      <c r="EN11">
        <v>4049</v>
      </c>
      <c r="EO11">
        <v>2137</v>
      </c>
      <c r="EP11">
        <v>4103</v>
      </c>
      <c r="EQ11">
        <v>44.476664</v>
      </c>
    </row>
    <row r="12" spans="1:147" x14ac:dyDescent="0.25">
      <c r="A12">
        <v>2022</v>
      </c>
      <c r="B12" t="str">
        <f t="shared" si="0"/>
        <v>RD</v>
      </c>
      <c r="C12" t="s">
        <v>225</v>
      </c>
      <c r="D12" t="s">
        <v>225</v>
      </c>
      <c r="E12">
        <v>19228</v>
      </c>
      <c r="F12" t="s">
        <v>216</v>
      </c>
      <c r="G12" t="s">
        <v>217</v>
      </c>
      <c r="H12" t="s">
        <v>218</v>
      </c>
      <c r="I12">
        <v>34.32</v>
      </c>
      <c r="J12">
        <v>34.32</v>
      </c>
      <c r="K12" t="s">
        <v>219</v>
      </c>
      <c r="L12">
        <v>1</v>
      </c>
      <c r="M12">
        <v>2011</v>
      </c>
      <c r="N12">
        <v>1</v>
      </c>
      <c r="O12" t="str">
        <f t="shared" si="1"/>
        <v>Talhadia</v>
      </c>
      <c r="P12" s="2">
        <v>40648</v>
      </c>
      <c r="Q12" t="s">
        <v>152</v>
      </c>
      <c r="R12" t="s">
        <v>220</v>
      </c>
      <c r="S12" t="s">
        <v>154</v>
      </c>
      <c r="T12" t="s">
        <v>221</v>
      </c>
      <c r="U12" t="s">
        <v>156</v>
      </c>
      <c r="V12" s="2">
        <v>44692</v>
      </c>
      <c r="W12" t="s">
        <v>222</v>
      </c>
      <c r="X12">
        <v>66.97</v>
      </c>
      <c r="Y12">
        <v>18.8</v>
      </c>
      <c r="Z12">
        <v>7</v>
      </c>
      <c r="AA12">
        <v>13.6</v>
      </c>
      <c r="AB12">
        <v>2</v>
      </c>
      <c r="AC12">
        <v>255.68</v>
      </c>
      <c r="AD12">
        <v>253.619607665731</v>
      </c>
      <c r="AE12" s="2">
        <v>44692</v>
      </c>
      <c r="AF12">
        <v>133</v>
      </c>
      <c r="AG12">
        <v>11.0718685831622</v>
      </c>
      <c r="AH12">
        <v>26.530584711732999</v>
      </c>
      <c r="AI12">
        <v>19.29</v>
      </c>
      <c r="AJ12">
        <v>24.662444736651999</v>
      </c>
      <c r="AK12">
        <v>20</v>
      </c>
      <c r="AL12">
        <v>788.58256205331998</v>
      </c>
      <c r="AM12">
        <v>297.82092570732601</v>
      </c>
      <c r="AN12">
        <v>0.37766613166268498</v>
      </c>
      <c r="AO12" t="s">
        <v>165</v>
      </c>
      <c r="AP12" t="s">
        <v>158</v>
      </c>
      <c r="AQ12" t="s">
        <v>166</v>
      </c>
      <c r="AR12">
        <v>9.99</v>
      </c>
      <c r="AS12">
        <v>0.78779397949126684</v>
      </c>
      <c r="AT12" t="s">
        <v>226</v>
      </c>
      <c r="AU12" t="s">
        <v>227</v>
      </c>
      <c r="AV12">
        <v>1779</v>
      </c>
      <c r="AW12">
        <v>1017</v>
      </c>
      <c r="AX12">
        <v>671</v>
      </c>
      <c r="AY12">
        <v>83</v>
      </c>
      <c r="AZ12">
        <v>8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-0.70099999999999996</v>
      </c>
      <c r="BH12">
        <v>30.402999999999999</v>
      </c>
      <c r="BI12">
        <v>14.127699</v>
      </c>
      <c r="BJ12">
        <v>-0.207286</v>
      </c>
      <c r="BK12">
        <v>13.138507000000001</v>
      </c>
      <c r="BL12">
        <v>172.62037100000001</v>
      </c>
      <c r="BM12">
        <v>0.92998199999999998</v>
      </c>
      <c r="BN12">
        <v>27.669999000000001</v>
      </c>
      <c r="BO12">
        <v>-2.6061999999999998E-2</v>
      </c>
      <c r="BP12">
        <v>1.1371089999999999</v>
      </c>
      <c r="BQ12">
        <v>12.622939000000001</v>
      </c>
      <c r="BR12">
        <v>12.948</v>
      </c>
      <c r="BS12">
        <v>16.620284999999999</v>
      </c>
      <c r="BT12">
        <v>14.127699</v>
      </c>
      <c r="BU12">
        <v>7.0536599999999998</v>
      </c>
      <c r="BV12">
        <v>0.11170099999999999</v>
      </c>
      <c r="BW12">
        <v>-1.4630989999999999</v>
      </c>
      <c r="BX12">
        <v>0.49927899999999997</v>
      </c>
      <c r="BY12">
        <v>1.5835999999999999E-2</v>
      </c>
      <c r="BZ12">
        <v>-0.207424</v>
      </c>
      <c r="CA12">
        <v>-0.36621999999999999</v>
      </c>
      <c r="CB12">
        <v>-0.17100000000000001</v>
      </c>
      <c r="CC12">
        <v>-0.104</v>
      </c>
      <c r="CD12">
        <v>2.5999999999999999E-3</v>
      </c>
      <c r="CE12">
        <v>4.7E-2</v>
      </c>
      <c r="CF12">
        <v>9.3399999999999997E-2</v>
      </c>
      <c r="CG12">
        <v>0.25440000000000002</v>
      </c>
      <c r="CH12">
        <v>16.413</v>
      </c>
      <c r="CI12">
        <v>25.944799</v>
      </c>
      <c r="CJ12">
        <v>27.3934</v>
      </c>
      <c r="CK12">
        <v>27.716999000000001</v>
      </c>
      <c r="CL12">
        <v>28.080399</v>
      </c>
      <c r="CM12">
        <v>28.992598000000001</v>
      </c>
      <c r="CN12">
        <v>29.473199999999999</v>
      </c>
      <c r="CO12">
        <v>29.95232</v>
      </c>
      <c r="CP12">
        <v>0.476746</v>
      </c>
      <c r="CQ12">
        <v>19.290288</v>
      </c>
      <c r="CR12">
        <v>21.596475000000002</v>
      </c>
      <c r="CS12">
        <v>1</v>
      </c>
      <c r="CT12">
        <v>47</v>
      </c>
      <c r="CU12">
        <v>15.209106</v>
      </c>
      <c r="CV12">
        <v>1</v>
      </c>
      <c r="CW12">
        <v>11.063986999999999</v>
      </c>
      <c r="CX12">
        <v>122.411818</v>
      </c>
      <c r="CY12">
        <v>0.72745800000000005</v>
      </c>
      <c r="CZ12">
        <v>18</v>
      </c>
      <c r="DA12">
        <v>0.61989799999999995</v>
      </c>
      <c r="DB12">
        <v>2.5472350000000001</v>
      </c>
      <c r="DC12">
        <v>9.2496360000000006</v>
      </c>
      <c r="DD12">
        <v>15.209106</v>
      </c>
      <c r="DE12">
        <v>6.2296209999999999</v>
      </c>
      <c r="DF12">
        <v>0.95026299999999997</v>
      </c>
      <c r="DG12">
        <v>0.282997</v>
      </c>
      <c r="DH12">
        <v>0.40959800000000002</v>
      </c>
      <c r="DI12">
        <v>0.15254000000000001</v>
      </c>
      <c r="DJ12">
        <v>4.5428000000000003E-2</v>
      </c>
      <c r="DK12">
        <v>1</v>
      </c>
      <c r="DL12">
        <v>1</v>
      </c>
      <c r="DM12">
        <v>2</v>
      </c>
      <c r="DN12">
        <v>4</v>
      </c>
      <c r="DO12">
        <v>5</v>
      </c>
      <c r="DP12">
        <v>7</v>
      </c>
      <c r="DQ12">
        <v>10</v>
      </c>
      <c r="DR12">
        <v>14</v>
      </c>
      <c r="DS12">
        <v>17</v>
      </c>
      <c r="DT12">
        <v>21</v>
      </c>
      <c r="DU12">
        <v>23</v>
      </c>
      <c r="DV12">
        <v>25</v>
      </c>
      <c r="DW12">
        <v>31</v>
      </c>
      <c r="DX12">
        <v>37</v>
      </c>
      <c r="DY12">
        <v>42</v>
      </c>
      <c r="DZ12">
        <v>86.627335000000002</v>
      </c>
      <c r="EA12">
        <v>56.267566000000002</v>
      </c>
      <c r="EB12">
        <v>98.426744999999997</v>
      </c>
      <c r="EC12">
        <v>881</v>
      </c>
      <c r="ED12">
        <v>1001</v>
      </c>
      <c r="EE12">
        <v>83.972468000000006</v>
      </c>
      <c r="EF12">
        <v>100</v>
      </c>
      <c r="EG12">
        <v>51.545811999999998</v>
      </c>
      <c r="EH12">
        <v>96.458685000000003</v>
      </c>
      <c r="EI12">
        <v>90.167158000000001</v>
      </c>
      <c r="EJ12">
        <v>168.73156299999999</v>
      </c>
      <c r="EK12">
        <v>854</v>
      </c>
      <c r="EL12">
        <v>1017</v>
      </c>
      <c r="EM12">
        <v>917</v>
      </c>
      <c r="EN12">
        <v>1716</v>
      </c>
      <c r="EO12">
        <v>1017</v>
      </c>
      <c r="EP12">
        <v>1779</v>
      </c>
      <c r="EQ12">
        <v>46.311275000000002</v>
      </c>
    </row>
    <row r="13" spans="1:147" x14ac:dyDescent="0.25">
      <c r="A13">
        <v>2022</v>
      </c>
      <c r="B13" t="str">
        <f t="shared" si="0"/>
        <v>RD</v>
      </c>
      <c r="C13" t="s">
        <v>228</v>
      </c>
      <c r="D13" t="s">
        <v>228</v>
      </c>
      <c r="E13">
        <v>19233</v>
      </c>
      <c r="F13" t="s">
        <v>216</v>
      </c>
      <c r="G13" t="s">
        <v>217</v>
      </c>
      <c r="H13" t="s">
        <v>229</v>
      </c>
      <c r="I13">
        <v>30.25</v>
      </c>
      <c r="J13">
        <v>30.25</v>
      </c>
      <c r="K13" t="s">
        <v>219</v>
      </c>
      <c r="L13">
        <v>1</v>
      </c>
      <c r="M13">
        <v>2011</v>
      </c>
      <c r="N13">
        <v>1</v>
      </c>
      <c r="O13" t="str">
        <f t="shared" si="1"/>
        <v>Talhadia</v>
      </c>
      <c r="P13" s="2">
        <v>40648</v>
      </c>
      <c r="Q13" t="s">
        <v>152</v>
      </c>
      <c r="R13" t="s">
        <v>220</v>
      </c>
      <c r="S13" t="s">
        <v>154</v>
      </c>
      <c r="T13" t="s">
        <v>221</v>
      </c>
      <c r="U13" t="s">
        <v>156</v>
      </c>
      <c r="V13" s="2">
        <v>44692</v>
      </c>
      <c r="W13" t="s">
        <v>222</v>
      </c>
      <c r="X13">
        <v>66.97</v>
      </c>
      <c r="Y13">
        <v>20.6</v>
      </c>
      <c r="Z13">
        <v>22</v>
      </c>
      <c r="AA13">
        <v>13.9</v>
      </c>
      <c r="AB13">
        <v>1</v>
      </c>
      <c r="AC13">
        <v>286.33999999999997</v>
      </c>
      <c r="AD13">
        <v>265.44938953039002</v>
      </c>
      <c r="AE13" s="2">
        <v>44692</v>
      </c>
      <c r="AF13">
        <v>133</v>
      </c>
      <c r="AG13">
        <v>11.0718685831622</v>
      </c>
      <c r="AH13">
        <v>27.314927556619299</v>
      </c>
      <c r="AI13">
        <v>17.6458333333333</v>
      </c>
      <c r="AJ13">
        <v>23.065313867013199</v>
      </c>
      <c r="AK13">
        <v>24</v>
      </c>
      <c r="AL13">
        <v>904.12714990449501</v>
      </c>
      <c r="AM13">
        <v>286.14177119268101</v>
      </c>
      <c r="AN13">
        <v>0.31648399367600799</v>
      </c>
      <c r="AO13" t="s">
        <v>165</v>
      </c>
      <c r="AP13" t="s">
        <v>158</v>
      </c>
      <c r="AQ13" t="s">
        <v>166</v>
      </c>
      <c r="AR13">
        <v>9.99</v>
      </c>
      <c r="AS13">
        <v>0.90322302275459188</v>
      </c>
      <c r="AT13" t="s">
        <v>230</v>
      </c>
      <c r="AU13" t="s">
        <v>231</v>
      </c>
      <c r="AV13">
        <v>9538</v>
      </c>
      <c r="AW13">
        <v>5183</v>
      </c>
      <c r="AX13">
        <v>3454</v>
      </c>
      <c r="AY13">
        <v>826</v>
      </c>
      <c r="AZ13">
        <v>75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-1.4339999999999999</v>
      </c>
      <c r="BH13">
        <v>30.552</v>
      </c>
      <c r="BI13">
        <v>13.837242</v>
      </c>
      <c r="BJ13">
        <v>-0.41857100000000003</v>
      </c>
      <c r="BK13">
        <v>11.884299</v>
      </c>
      <c r="BL13">
        <v>141.23656700000001</v>
      </c>
      <c r="BM13">
        <v>0.85886300000000004</v>
      </c>
      <c r="BN13">
        <v>25.426998999999999</v>
      </c>
      <c r="BO13">
        <v>-0.17318700000000001</v>
      </c>
      <c r="BP13">
        <v>1.185557</v>
      </c>
      <c r="BQ13">
        <v>11.386929</v>
      </c>
      <c r="BR13">
        <v>7.9719980000000001</v>
      </c>
      <c r="BS13">
        <v>19.201571999999999</v>
      </c>
      <c r="BT13">
        <v>13.837242</v>
      </c>
      <c r="BU13">
        <v>6.423241</v>
      </c>
      <c r="BV13">
        <v>-0.27877600000000002</v>
      </c>
      <c r="BW13">
        <v>-1.204642</v>
      </c>
      <c r="BX13">
        <v>0.4642</v>
      </c>
      <c r="BY13">
        <v>-4.3401000000000002E-2</v>
      </c>
      <c r="BZ13">
        <v>-0.18754399999999999</v>
      </c>
      <c r="CA13">
        <v>-0.438</v>
      </c>
      <c r="CB13">
        <v>-0.18815000000000001</v>
      </c>
      <c r="CC13">
        <v>-8.3000000000000004E-2</v>
      </c>
      <c r="CD13">
        <v>4.4999999999999998E-2</v>
      </c>
      <c r="CE13">
        <v>0.10199999999999999</v>
      </c>
      <c r="CF13">
        <v>0.16400000000000001</v>
      </c>
      <c r="CG13">
        <v>5.2498040000000001</v>
      </c>
      <c r="CH13">
        <v>18.783000999999999</v>
      </c>
      <c r="CI13">
        <v>23.524999999999999</v>
      </c>
      <c r="CJ13">
        <v>25.122999</v>
      </c>
      <c r="CK13">
        <v>25.528998999999999</v>
      </c>
      <c r="CL13">
        <v>25.879000000000001</v>
      </c>
      <c r="CM13">
        <v>26.518000000000001</v>
      </c>
      <c r="CN13">
        <v>26.958151000000001</v>
      </c>
      <c r="CO13">
        <v>28.655999999999999</v>
      </c>
      <c r="CP13">
        <v>0.477435</v>
      </c>
      <c r="CQ13">
        <v>18.239820000000002</v>
      </c>
      <c r="CR13">
        <v>20.182573999999999</v>
      </c>
      <c r="CS13">
        <v>1</v>
      </c>
      <c r="CT13">
        <v>44</v>
      </c>
      <c r="CU13">
        <v>11.498218</v>
      </c>
      <c r="CV13">
        <v>1</v>
      </c>
      <c r="CW13">
        <v>8.5100119999999997</v>
      </c>
      <c r="CX13">
        <v>72.420306999999994</v>
      </c>
      <c r="CY13">
        <v>0.740116</v>
      </c>
      <c r="CZ13">
        <v>12</v>
      </c>
      <c r="DA13">
        <v>0.90647100000000003</v>
      </c>
      <c r="DB13">
        <v>3.42666</v>
      </c>
      <c r="DC13">
        <v>6.8951539999999998</v>
      </c>
      <c r="DD13">
        <v>11.498218</v>
      </c>
      <c r="DE13">
        <v>4.6896380000000004</v>
      </c>
      <c r="DF13">
        <v>0.89511300000000005</v>
      </c>
      <c r="DG13">
        <v>0.391204</v>
      </c>
      <c r="DH13">
        <v>0.407858</v>
      </c>
      <c r="DI13">
        <v>0.19087000000000001</v>
      </c>
      <c r="DJ13">
        <v>8.3418999999999993E-2</v>
      </c>
      <c r="DK13">
        <v>1</v>
      </c>
      <c r="DL13">
        <v>1</v>
      </c>
      <c r="DM13">
        <v>2</v>
      </c>
      <c r="DN13">
        <v>4</v>
      </c>
      <c r="DO13">
        <v>5</v>
      </c>
      <c r="DP13">
        <v>5</v>
      </c>
      <c r="DQ13">
        <v>8</v>
      </c>
      <c r="DR13">
        <v>10</v>
      </c>
      <c r="DS13">
        <v>12</v>
      </c>
      <c r="DT13">
        <v>15</v>
      </c>
      <c r="DU13">
        <v>17</v>
      </c>
      <c r="DV13">
        <v>18</v>
      </c>
      <c r="DW13">
        <v>23</v>
      </c>
      <c r="DX13">
        <v>28</v>
      </c>
      <c r="DY13">
        <v>36</v>
      </c>
      <c r="DZ13">
        <v>90.179433000000003</v>
      </c>
      <c r="EA13">
        <v>60.505347</v>
      </c>
      <c r="EB13">
        <v>111.344781</v>
      </c>
      <c r="EC13">
        <v>4674</v>
      </c>
      <c r="ED13">
        <v>5771</v>
      </c>
      <c r="EE13">
        <v>87.497587999999993</v>
      </c>
      <c r="EF13">
        <v>100</v>
      </c>
      <c r="EG13">
        <v>55.451877000000003</v>
      </c>
      <c r="EH13">
        <v>98.783811999999998</v>
      </c>
      <c r="EI13">
        <v>102.045148</v>
      </c>
      <c r="EJ13">
        <v>181.78661</v>
      </c>
      <c r="EK13">
        <v>4535</v>
      </c>
      <c r="EL13">
        <v>5183</v>
      </c>
      <c r="EM13">
        <v>5289</v>
      </c>
      <c r="EN13">
        <v>9422</v>
      </c>
      <c r="EO13">
        <v>5183</v>
      </c>
      <c r="EP13">
        <v>9538</v>
      </c>
      <c r="EQ13">
        <v>47.348072000000002</v>
      </c>
    </row>
    <row r="14" spans="1:147" x14ac:dyDescent="0.25">
      <c r="A14">
        <v>2022</v>
      </c>
      <c r="B14" t="str">
        <f t="shared" si="0"/>
        <v>RD</v>
      </c>
      <c r="C14" t="s">
        <v>232</v>
      </c>
      <c r="D14" t="s">
        <v>232</v>
      </c>
      <c r="E14">
        <v>19319</v>
      </c>
      <c r="F14" t="s">
        <v>233</v>
      </c>
      <c r="G14" t="s">
        <v>234</v>
      </c>
      <c r="H14" t="s">
        <v>235</v>
      </c>
      <c r="I14">
        <v>49.23</v>
      </c>
      <c r="J14">
        <v>49.23</v>
      </c>
      <c r="K14" t="s">
        <v>236</v>
      </c>
      <c r="L14">
        <v>1</v>
      </c>
      <c r="M14">
        <v>2011</v>
      </c>
      <c r="N14">
        <v>3</v>
      </c>
      <c r="O14" t="str">
        <f t="shared" si="1"/>
        <v>Alto fuste</v>
      </c>
      <c r="P14" s="2">
        <v>40873</v>
      </c>
      <c r="Q14" t="s">
        <v>237</v>
      </c>
      <c r="R14" t="s">
        <v>165</v>
      </c>
      <c r="S14" t="s">
        <v>154</v>
      </c>
      <c r="T14" t="s">
        <v>238</v>
      </c>
      <c r="U14" t="s">
        <v>156</v>
      </c>
      <c r="V14" s="2">
        <v>44678</v>
      </c>
      <c r="W14" t="s">
        <v>239</v>
      </c>
      <c r="X14">
        <v>58.5</v>
      </c>
      <c r="Y14">
        <v>20.399999999999999</v>
      </c>
      <c r="Z14">
        <v>24</v>
      </c>
      <c r="AA14">
        <v>14.8</v>
      </c>
      <c r="AB14">
        <v>3</v>
      </c>
      <c r="AC14">
        <v>301.92</v>
      </c>
      <c r="AD14">
        <v>275.43964607549401</v>
      </c>
      <c r="AE14" s="2">
        <v>44678</v>
      </c>
      <c r="AF14">
        <v>125</v>
      </c>
      <c r="AG14">
        <v>10.417522245037601</v>
      </c>
      <c r="AH14">
        <v>22.7192833570179</v>
      </c>
      <c r="AI14">
        <v>16.0558823529412</v>
      </c>
      <c r="AJ14">
        <v>25.906681417031098</v>
      </c>
      <c r="AK14">
        <v>34</v>
      </c>
      <c r="AL14">
        <v>1234.3902007004899</v>
      </c>
      <c r="AM14">
        <v>268.51754448761102</v>
      </c>
      <c r="AN14">
        <v>0.21753052181978799</v>
      </c>
      <c r="AO14" t="s">
        <v>165</v>
      </c>
      <c r="AP14" t="s">
        <v>158</v>
      </c>
      <c r="AQ14" t="s">
        <v>166</v>
      </c>
      <c r="AR14">
        <v>7.5</v>
      </c>
      <c r="AS14">
        <v>0.92579265052536475</v>
      </c>
      <c r="AT14" t="s">
        <v>240</v>
      </c>
      <c r="AU14" t="s">
        <v>241</v>
      </c>
      <c r="AV14">
        <v>4097</v>
      </c>
      <c r="AW14">
        <v>2297</v>
      </c>
      <c r="AX14">
        <v>1478</v>
      </c>
      <c r="AY14">
        <v>300</v>
      </c>
      <c r="AZ14">
        <v>22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-1.22</v>
      </c>
      <c r="BH14">
        <v>26.42</v>
      </c>
      <c r="BI14">
        <v>9.2064319999999995</v>
      </c>
      <c r="BJ14">
        <v>-0.34254000000000001</v>
      </c>
      <c r="BK14">
        <v>9.0718189999999996</v>
      </c>
      <c r="BL14">
        <v>82.297908000000007</v>
      </c>
      <c r="BM14">
        <v>0.98537799999999998</v>
      </c>
      <c r="BN14">
        <v>18.46</v>
      </c>
      <c r="BO14">
        <v>0.27776099999999998</v>
      </c>
      <c r="BP14">
        <v>1.404785</v>
      </c>
      <c r="BQ14">
        <v>8.4660600000000006</v>
      </c>
      <c r="BR14">
        <v>6.78</v>
      </c>
      <c r="BS14">
        <v>7.07254</v>
      </c>
      <c r="BT14">
        <v>9.2064319999999995</v>
      </c>
      <c r="BU14">
        <v>5.0177440000000004</v>
      </c>
      <c r="BV14">
        <v>0.70727700000000004</v>
      </c>
      <c r="BW14">
        <v>-0.64053899999999997</v>
      </c>
      <c r="BX14">
        <v>0.54502600000000001</v>
      </c>
      <c r="BY14">
        <v>0.140955</v>
      </c>
      <c r="BZ14">
        <v>-0.12765499999999999</v>
      </c>
      <c r="CA14">
        <v>-0.38</v>
      </c>
      <c r="CB14">
        <v>-0.16</v>
      </c>
      <c r="CC14">
        <v>-0.05</v>
      </c>
      <c r="CD14">
        <v>7.0000000000000007E-2</v>
      </c>
      <c r="CE14">
        <v>0.13</v>
      </c>
      <c r="CF14">
        <v>0.21</v>
      </c>
      <c r="CG14">
        <v>0.77</v>
      </c>
      <c r="CH14">
        <v>6.73</v>
      </c>
      <c r="CI14">
        <v>13.536001000000001</v>
      </c>
      <c r="CJ14">
        <v>17.239999999999998</v>
      </c>
      <c r="CK14">
        <v>18.59</v>
      </c>
      <c r="CL14">
        <v>19.658000999999999</v>
      </c>
      <c r="CM14">
        <v>21.540001</v>
      </c>
      <c r="CN14">
        <v>22.83</v>
      </c>
      <c r="CO14">
        <v>25.222002</v>
      </c>
      <c r="CP14">
        <v>0.37722299999999997</v>
      </c>
      <c r="CQ14">
        <v>12.924249</v>
      </c>
      <c r="CR14">
        <v>14.827807</v>
      </c>
      <c r="CS14">
        <v>1</v>
      </c>
      <c r="CT14">
        <v>60</v>
      </c>
      <c r="CU14">
        <v>16.001953</v>
      </c>
      <c r="CV14">
        <v>1</v>
      </c>
      <c r="CW14">
        <v>12.662556</v>
      </c>
      <c r="CX14">
        <v>160.340328</v>
      </c>
      <c r="CY14">
        <v>0.79131300000000004</v>
      </c>
      <c r="CZ14">
        <v>16</v>
      </c>
      <c r="DA14">
        <v>1.0557179999999999</v>
      </c>
      <c r="DB14">
        <v>3.3771640000000001</v>
      </c>
      <c r="DC14">
        <v>9.946313</v>
      </c>
      <c r="DD14">
        <v>16.001953</v>
      </c>
      <c r="DE14">
        <v>6.8481439999999996</v>
      </c>
      <c r="DF14">
        <v>1.6883680000000001</v>
      </c>
      <c r="DG14">
        <v>0.79867999999999995</v>
      </c>
      <c r="DH14">
        <v>0.42795699999999998</v>
      </c>
      <c r="DI14">
        <v>0.24654400000000001</v>
      </c>
      <c r="DJ14">
        <v>0.11662699999999999</v>
      </c>
      <c r="DK14">
        <v>1</v>
      </c>
      <c r="DL14">
        <v>1</v>
      </c>
      <c r="DM14">
        <v>3</v>
      </c>
      <c r="DN14">
        <v>5</v>
      </c>
      <c r="DO14">
        <v>6</v>
      </c>
      <c r="DP14">
        <v>7</v>
      </c>
      <c r="DQ14">
        <v>10</v>
      </c>
      <c r="DR14">
        <v>13</v>
      </c>
      <c r="DS14">
        <v>16</v>
      </c>
      <c r="DT14">
        <v>19</v>
      </c>
      <c r="DU14">
        <v>22</v>
      </c>
      <c r="DV14">
        <v>25</v>
      </c>
      <c r="DW14">
        <v>37</v>
      </c>
      <c r="DX14">
        <v>43</v>
      </c>
      <c r="DY14">
        <v>50.040039</v>
      </c>
      <c r="DZ14">
        <v>76.752285999999998</v>
      </c>
      <c r="EA14">
        <v>56.211862000000004</v>
      </c>
      <c r="EB14">
        <v>100.26121000000001</v>
      </c>
      <c r="EC14">
        <v>1763</v>
      </c>
      <c r="ED14">
        <v>2303</v>
      </c>
      <c r="EE14">
        <v>68.741837000000004</v>
      </c>
      <c r="EF14">
        <v>100</v>
      </c>
      <c r="EG14">
        <v>45.789602000000002</v>
      </c>
      <c r="EH14">
        <v>98.779595</v>
      </c>
      <c r="EI14">
        <v>81.671745999999999</v>
      </c>
      <c r="EJ14">
        <v>176.18633</v>
      </c>
      <c r="EK14">
        <v>1579</v>
      </c>
      <c r="EL14">
        <v>2297</v>
      </c>
      <c r="EM14">
        <v>1876</v>
      </c>
      <c r="EN14">
        <v>4047</v>
      </c>
      <c r="EO14">
        <v>2297</v>
      </c>
      <c r="EP14">
        <v>4097</v>
      </c>
      <c r="EQ14">
        <v>35.565337</v>
      </c>
    </row>
    <row r="15" spans="1:147" x14ac:dyDescent="0.25">
      <c r="A15">
        <v>2022</v>
      </c>
      <c r="B15" t="str">
        <f t="shared" si="0"/>
        <v>RD</v>
      </c>
      <c r="C15" t="s">
        <v>242</v>
      </c>
      <c r="D15" t="s">
        <v>242</v>
      </c>
      <c r="E15">
        <v>19320</v>
      </c>
      <c r="F15" t="s">
        <v>233</v>
      </c>
      <c r="G15" t="s">
        <v>234</v>
      </c>
      <c r="H15" t="s">
        <v>235</v>
      </c>
      <c r="I15">
        <v>49.23</v>
      </c>
      <c r="J15">
        <v>49.23</v>
      </c>
      <c r="K15" t="s">
        <v>236</v>
      </c>
      <c r="L15">
        <v>1</v>
      </c>
      <c r="M15">
        <v>2011</v>
      </c>
      <c r="N15">
        <v>3</v>
      </c>
      <c r="O15" t="str">
        <f t="shared" si="1"/>
        <v>Alto fuste</v>
      </c>
      <c r="P15" s="2">
        <v>40873</v>
      </c>
      <c r="Q15" t="s">
        <v>237</v>
      </c>
      <c r="R15" t="s">
        <v>165</v>
      </c>
      <c r="S15" t="s">
        <v>154</v>
      </c>
      <c r="T15" t="s">
        <v>238</v>
      </c>
      <c r="U15" t="s">
        <v>156</v>
      </c>
      <c r="V15" s="2">
        <v>44678</v>
      </c>
      <c r="W15" t="s">
        <v>239</v>
      </c>
      <c r="X15">
        <v>58.5</v>
      </c>
      <c r="Y15">
        <v>19.100000000000001</v>
      </c>
      <c r="Z15">
        <v>12</v>
      </c>
      <c r="AA15">
        <v>14.5</v>
      </c>
      <c r="AB15">
        <v>3</v>
      </c>
      <c r="AC15">
        <v>276.95</v>
      </c>
      <c r="AD15">
        <v>270.52672175929098</v>
      </c>
      <c r="AE15" s="2">
        <v>44678</v>
      </c>
      <c r="AF15">
        <v>125</v>
      </c>
      <c r="AG15">
        <v>10.417522245037601</v>
      </c>
      <c r="AH15">
        <v>26.279402019650899</v>
      </c>
      <c r="AI15">
        <v>18.681818181818201</v>
      </c>
      <c r="AJ15">
        <v>22.915219169912401</v>
      </c>
      <c r="AK15">
        <v>22</v>
      </c>
      <c r="AL15">
        <v>813.22835159977899</v>
      </c>
      <c r="AM15">
        <v>271.02763249853501</v>
      </c>
      <c r="AN15">
        <v>0.33327371330004701</v>
      </c>
      <c r="AO15" t="s">
        <v>165</v>
      </c>
      <c r="AP15" t="s">
        <v>158</v>
      </c>
      <c r="AQ15" t="s">
        <v>166</v>
      </c>
      <c r="AR15">
        <v>7.5</v>
      </c>
      <c r="AS15">
        <v>0.60992126369983346</v>
      </c>
      <c r="AT15" t="s">
        <v>243</v>
      </c>
      <c r="AU15" t="s">
        <v>244</v>
      </c>
      <c r="AV15">
        <v>5453</v>
      </c>
      <c r="AW15">
        <v>2893</v>
      </c>
      <c r="AX15">
        <v>2127</v>
      </c>
      <c r="AY15">
        <v>404</v>
      </c>
      <c r="AZ15">
        <v>29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-1.1499999999999999</v>
      </c>
      <c r="BH15">
        <v>27.030000999999999</v>
      </c>
      <c r="BI15">
        <v>9.9142329999999994</v>
      </c>
      <c r="BJ15">
        <v>-0.25539699999999999</v>
      </c>
      <c r="BK15">
        <v>10.332822</v>
      </c>
      <c r="BL15">
        <v>106.767211</v>
      </c>
      <c r="BM15">
        <v>1.0422210000000001</v>
      </c>
      <c r="BN15">
        <v>20.910001000000001</v>
      </c>
      <c r="BO15">
        <v>0.28733599999999998</v>
      </c>
      <c r="BP15">
        <v>1.3362149999999999</v>
      </c>
      <c r="BQ15">
        <v>9.7416180000000008</v>
      </c>
      <c r="BR15">
        <v>7.26</v>
      </c>
      <c r="BS15">
        <v>7.395397</v>
      </c>
      <c r="BT15">
        <v>9.9142329999999994</v>
      </c>
      <c r="BU15">
        <v>5.6220039999999996</v>
      </c>
      <c r="BV15">
        <v>0.90530900000000003</v>
      </c>
      <c r="BW15">
        <v>-0.82053500000000001</v>
      </c>
      <c r="BX15">
        <v>0.56706400000000001</v>
      </c>
      <c r="BY15">
        <v>0.16103000000000001</v>
      </c>
      <c r="BZ15">
        <v>-0.145951</v>
      </c>
      <c r="CA15">
        <v>-0.40479999999999999</v>
      </c>
      <c r="CB15">
        <v>-0.2</v>
      </c>
      <c r="CC15">
        <v>-0.11</v>
      </c>
      <c r="CD15">
        <v>-0.01</v>
      </c>
      <c r="CE15">
        <v>0.03</v>
      </c>
      <c r="CF15">
        <v>7.0000000000000007E-2</v>
      </c>
      <c r="CG15">
        <v>0.18</v>
      </c>
      <c r="CH15">
        <v>7.14</v>
      </c>
      <c r="CI15">
        <v>14.872</v>
      </c>
      <c r="CJ15">
        <v>19.290001</v>
      </c>
      <c r="CK15">
        <v>20.940000999999999</v>
      </c>
      <c r="CL15">
        <v>22.135999999999999</v>
      </c>
      <c r="CM15">
        <v>24.237997</v>
      </c>
      <c r="CN15">
        <v>25.219999000000001</v>
      </c>
      <c r="CO15">
        <v>26.1448</v>
      </c>
      <c r="CP15">
        <v>0.392627</v>
      </c>
      <c r="CQ15">
        <v>14.319205</v>
      </c>
      <c r="CR15">
        <v>16.468419999999998</v>
      </c>
      <c r="CS15">
        <v>1</v>
      </c>
      <c r="CT15">
        <v>69</v>
      </c>
      <c r="CU15">
        <v>15.246653</v>
      </c>
      <c r="CV15">
        <v>1</v>
      </c>
      <c r="CW15">
        <v>12.786519999999999</v>
      </c>
      <c r="CX15">
        <v>163.49509399999999</v>
      </c>
      <c r="CY15">
        <v>0.83864399999999995</v>
      </c>
      <c r="CZ15">
        <v>14</v>
      </c>
      <c r="DA15">
        <v>1.1880280000000001</v>
      </c>
      <c r="DB15">
        <v>3.6548699999999998</v>
      </c>
      <c r="DC15">
        <v>9.9997679999999995</v>
      </c>
      <c r="DD15">
        <v>15.246653</v>
      </c>
      <c r="DE15">
        <v>6.8048029999999997</v>
      </c>
      <c r="DF15">
        <v>1.924776</v>
      </c>
      <c r="DG15">
        <v>0.85808200000000001</v>
      </c>
      <c r="DH15">
        <v>0.44631500000000002</v>
      </c>
      <c r="DI15">
        <v>0.282856</v>
      </c>
      <c r="DJ15">
        <v>0.12609899999999999</v>
      </c>
      <c r="DK15">
        <v>1</v>
      </c>
      <c r="DL15">
        <v>1</v>
      </c>
      <c r="DM15">
        <v>2</v>
      </c>
      <c r="DN15">
        <v>5</v>
      </c>
      <c r="DO15">
        <v>6</v>
      </c>
      <c r="DP15">
        <v>7</v>
      </c>
      <c r="DQ15">
        <v>9</v>
      </c>
      <c r="DR15">
        <v>11</v>
      </c>
      <c r="DS15">
        <v>14</v>
      </c>
      <c r="DT15">
        <v>18</v>
      </c>
      <c r="DU15">
        <v>20</v>
      </c>
      <c r="DV15">
        <v>24</v>
      </c>
      <c r="DW15">
        <v>37</v>
      </c>
      <c r="DX15">
        <v>43</v>
      </c>
      <c r="DY15">
        <v>51</v>
      </c>
      <c r="DZ15">
        <v>80.470100000000002</v>
      </c>
      <c r="EA15">
        <v>52.466532000000001</v>
      </c>
      <c r="EB15">
        <v>98.893882000000005</v>
      </c>
      <c r="EC15">
        <v>2328</v>
      </c>
      <c r="ED15">
        <v>2861</v>
      </c>
      <c r="EE15">
        <v>73.625994000000006</v>
      </c>
      <c r="EF15">
        <v>100</v>
      </c>
      <c r="EG15">
        <v>46.176417000000001</v>
      </c>
      <c r="EH15">
        <v>97.029157999999995</v>
      </c>
      <c r="EI15">
        <v>87.037677000000002</v>
      </c>
      <c r="EJ15">
        <v>182.889734</v>
      </c>
      <c r="EK15">
        <v>2130</v>
      </c>
      <c r="EL15">
        <v>2893</v>
      </c>
      <c r="EM15">
        <v>2518</v>
      </c>
      <c r="EN15">
        <v>5291</v>
      </c>
      <c r="EO15">
        <v>2893</v>
      </c>
      <c r="EP15">
        <v>5453</v>
      </c>
      <c r="EQ15">
        <v>37.011535000000002</v>
      </c>
    </row>
    <row r="16" spans="1:147" x14ac:dyDescent="0.25">
      <c r="A16">
        <v>2022</v>
      </c>
      <c r="B16" t="str">
        <f t="shared" si="0"/>
        <v>RD</v>
      </c>
      <c r="C16" t="s">
        <v>245</v>
      </c>
      <c r="D16" t="s">
        <v>245</v>
      </c>
      <c r="E16">
        <v>20434</v>
      </c>
      <c r="F16" t="s">
        <v>246</v>
      </c>
      <c r="G16" t="s">
        <v>247</v>
      </c>
      <c r="H16" t="s">
        <v>248</v>
      </c>
      <c r="I16">
        <v>65.37</v>
      </c>
      <c r="J16">
        <v>65.37</v>
      </c>
      <c r="K16" t="s">
        <v>219</v>
      </c>
      <c r="L16">
        <v>1</v>
      </c>
      <c r="M16">
        <v>2012</v>
      </c>
      <c r="N16">
        <v>2</v>
      </c>
      <c r="O16" t="str">
        <f t="shared" si="1"/>
        <v>Alto fuste</v>
      </c>
      <c r="P16" s="2">
        <v>41157</v>
      </c>
      <c r="Q16" t="s">
        <v>237</v>
      </c>
      <c r="R16" t="s">
        <v>249</v>
      </c>
      <c r="S16" t="s">
        <v>154</v>
      </c>
      <c r="T16" t="s">
        <v>221</v>
      </c>
      <c r="U16" t="s">
        <v>156</v>
      </c>
      <c r="V16" s="2">
        <v>44823</v>
      </c>
      <c r="W16" t="s">
        <v>250</v>
      </c>
      <c r="X16">
        <v>122.91</v>
      </c>
      <c r="Y16">
        <v>19.3</v>
      </c>
      <c r="Z16">
        <v>12</v>
      </c>
      <c r="AA16">
        <v>15.1</v>
      </c>
      <c r="AB16">
        <v>1</v>
      </c>
      <c r="AC16">
        <v>291.43</v>
      </c>
      <c r="AD16">
        <v>285.01813902625702</v>
      </c>
      <c r="AE16" s="2">
        <v>44823</v>
      </c>
      <c r="AF16">
        <v>120</v>
      </c>
      <c r="AG16">
        <v>10.036960985626299</v>
      </c>
      <c r="AH16">
        <v>24.072956856219999</v>
      </c>
      <c r="AI16">
        <v>14.6513513513514</v>
      </c>
      <c r="AJ16">
        <v>23.5873125583765</v>
      </c>
      <c r="AK16">
        <v>37</v>
      </c>
      <c r="AL16">
        <v>1298.1629915347701</v>
      </c>
      <c r="AM16">
        <v>281.84868745893198</v>
      </c>
      <c r="AN16">
        <v>0.217113482125778</v>
      </c>
      <c r="AO16" t="s">
        <v>249</v>
      </c>
      <c r="AP16" t="s">
        <v>158</v>
      </c>
      <c r="AQ16" t="s">
        <v>251</v>
      </c>
      <c r="AR16">
        <v>7.5</v>
      </c>
      <c r="AS16">
        <v>0.97362224365108063</v>
      </c>
      <c r="AT16" t="s">
        <v>252</v>
      </c>
      <c r="AU16" t="s">
        <v>253</v>
      </c>
      <c r="AV16">
        <v>4234</v>
      </c>
      <c r="AW16">
        <v>2323</v>
      </c>
      <c r="AX16">
        <v>1544</v>
      </c>
      <c r="AY16">
        <v>343</v>
      </c>
      <c r="AZ16">
        <v>24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-0.83899999999999997</v>
      </c>
      <c r="BH16">
        <v>26.341000000000001</v>
      </c>
      <c r="BI16">
        <v>11.902804</v>
      </c>
      <c r="BJ16">
        <v>2.3857E-2</v>
      </c>
      <c r="BK16">
        <v>10.705707</v>
      </c>
      <c r="BL16">
        <v>114.61215900000001</v>
      </c>
      <c r="BM16">
        <v>0.89942699999999998</v>
      </c>
      <c r="BN16">
        <v>23.245000000000001</v>
      </c>
      <c r="BO16">
        <v>-9.9030000000000003E-3</v>
      </c>
      <c r="BP16">
        <v>1.2093320000000001</v>
      </c>
      <c r="BQ16">
        <v>10.121218000000001</v>
      </c>
      <c r="BR16">
        <v>11.564</v>
      </c>
      <c r="BS16">
        <v>12.706142</v>
      </c>
      <c r="BT16">
        <v>11.902804</v>
      </c>
      <c r="BU16">
        <v>5.8744199999999998</v>
      </c>
      <c r="BV16">
        <v>0.123941</v>
      </c>
      <c r="BW16">
        <v>-1.07711</v>
      </c>
      <c r="BX16">
        <v>0.49353200000000003</v>
      </c>
      <c r="BY16">
        <v>2.1097999999999999E-2</v>
      </c>
      <c r="BZ16">
        <v>-0.18335599999999999</v>
      </c>
      <c r="CA16">
        <v>-0.43767</v>
      </c>
      <c r="CB16">
        <v>-0.159</v>
      </c>
      <c r="CC16">
        <v>-6.2700000000000006E-2</v>
      </c>
      <c r="CD16">
        <v>4.2999999999999997E-2</v>
      </c>
      <c r="CE16">
        <v>8.4000000000000005E-2</v>
      </c>
      <c r="CF16">
        <v>0.14399999999999999</v>
      </c>
      <c r="CG16">
        <v>2.7240000000000002</v>
      </c>
      <c r="CH16">
        <v>12.73</v>
      </c>
      <c r="CI16">
        <v>19.384201000000001</v>
      </c>
      <c r="CJ16">
        <v>22.885999999999999</v>
      </c>
      <c r="CK16">
        <v>23.329000000000001</v>
      </c>
      <c r="CL16">
        <v>23.67</v>
      </c>
      <c r="CM16">
        <v>24.405398999999999</v>
      </c>
      <c r="CN16">
        <v>25.068999999999999</v>
      </c>
      <c r="CO16">
        <v>25.852350000000001</v>
      </c>
      <c r="CP16">
        <v>0.46879300000000002</v>
      </c>
      <c r="CQ16">
        <v>16.008181</v>
      </c>
      <c r="CR16">
        <v>17.931685000000002</v>
      </c>
      <c r="CS16">
        <v>1</v>
      </c>
      <c r="CT16">
        <v>59</v>
      </c>
      <c r="CU16">
        <v>16.202881000000001</v>
      </c>
      <c r="CV16">
        <v>1</v>
      </c>
      <c r="CW16">
        <v>12.766107</v>
      </c>
      <c r="CX16">
        <v>162.97347600000001</v>
      </c>
      <c r="CY16">
        <v>0.78789100000000001</v>
      </c>
      <c r="CZ16">
        <v>18</v>
      </c>
      <c r="DA16">
        <v>0.86876200000000003</v>
      </c>
      <c r="DB16">
        <v>2.9557600000000002</v>
      </c>
      <c r="DC16">
        <v>10.508889</v>
      </c>
      <c r="DD16">
        <v>16.202881000000001</v>
      </c>
      <c r="DE16">
        <v>7.04542</v>
      </c>
      <c r="DF16">
        <v>1.522696</v>
      </c>
      <c r="DG16">
        <v>0.47964099999999998</v>
      </c>
      <c r="DH16">
        <v>0.43482500000000002</v>
      </c>
      <c r="DI16">
        <v>0.21612600000000001</v>
      </c>
      <c r="DJ16">
        <v>6.8078E-2</v>
      </c>
      <c r="DK16">
        <v>1</v>
      </c>
      <c r="DL16">
        <v>1</v>
      </c>
      <c r="DM16">
        <v>2</v>
      </c>
      <c r="DN16">
        <v>5</v>
      </c>
      <c r="DO16">
        <v>6</v>
      </c>
      <c r="DP16">
        <v>7</v>
      </c>
      <c r="DQ16">
        <v>10</v>
      </c>
      <c r="DR16">
        <v>13</v>
      </c>
      <c r="DS16">
        <v>16.800049000000001</v>
      </c>
      <c r="DT16">
        <v>22</v>
      </c>
      <c r="DU16">
        <v>24</v>
      </c>
      <c r="DV16">
        <v>28</v>
      </c>
      <c r="DW16">
        <v>35</v>
      </c>
      <c r="DX16">
        <v>42</v>
      </c>
      <c r="DY16">
        <v>50</v>
      </c>
      <c r="DZ16">
        <v>87.042617000000007</v>
      </c>
      <c r="EA16">
        <v>59.848843000000002</v>
      </c>
      <c r="EB16">
        <v>109.083082</v>
      </c>
      <c r="EC16">
        <v>2022</v>
      </c>
      <c r="ED16">
        <v>2534</v>
      </c>
      <c r="EE16">
        <v>81.790788000000006</v>
      </c>
      <c r="EF16">
        <v>97.460181000000006</v>
      </c>
      <c r="EG16">
        <v>51.275390000000002</v>
      </c>
      <c r="EH16">
        <v>81.813888000000006</v>
      </c>
      <c r="EI16">
        <v>93.456737000000004</v>
      </c>
      <c r="EJ16">
        <v>149.11752000000001</v>
      </c>
      <c r="EK16">
        <v>1900</v>
      </c>
      <c r="EL16">
        <v>2264</v>
      </c>
      <c r="EM16">
        <v>2171</v>
      </c>
      <c r="EN16">
        <v>3464</v>
      </c>
      <c r="EO16">
        <v>2323</v>
      </c>
      <c r="EP16">
        <v>4234</v>
      </c>
      <c r="EQ16">
        <v>45.111995</v>
      </c>
    </row>
    <row r="17" spans="1:147" x14ac:dyDescent="0.25">
      <c r="A17">
        <v>2022</v>
      </c>
      <c r="B17" t="str">
        <f t="shared" si="0"/>
        <v>RD</v>
      </c>
      <c r="C17" t="s">
        <v>254</v>
      </c>
      <c r="D17" t="s">
        <v>254</v>
      </c>
      <c r="E17">
        <v>20435</v>
      </c>
      <c r="F17" t="s">
        <v>246</v>
      </c>
      <c r="G17" t="s">
        <v>247</v>
      </c>
      <c r="H17" t="s">
        <v>248</v>
      </c>
      <c r="I17">
        <v>65.37</v>
      </c>
      <c r="J17">
        <v>65.37</v>
      </c>
      <c r="K17" t="s">
        <v>219</v>
      </c>
      <c r="L17">
        <v>1</v>
      </c>
      <c r="M17">
        <v>2012</v>
      </c>
      <c r="N17">
        <v>2</v>
      </c>
      <c r="O17" t="str">
        <f t="shared" si="1"/>
        <v>Alto fuste</v>
      </c>
      <c r="P17" s="2">
        <v>41157</v>
      </c>
      <c r="Q17" t="s">
        <v>237</v>
      </c>
      <c r="R17" t="s">
        <v>249</v>
      </c>
      <c r="S17" t="s">
        <v>154</v>
      </c>
      <c r="T17" t="s">
        <v>221</v>
      </c>
      <c r="U17" t="s">
        <v>156</v>
      </c>
      <c r="V17" s="2">
        <v>44823</v>
      </c>
      <c r="W17" t="s">
        <v>250</v>
      </c>
      <c r="X17">
        <v>122.91</v>
      </c>
      <c r="Y17">
        <v>19.899999999999999</v>
      </c>
      <c r="Z17">
        <v>7</v>
      </c>
      <c r="AA17">
        <v>14.8</v>
      </c>
      <c r="AB17">
        <v>2</v>
      </c>
      <c r="AC17">
        <v>294.52</v>
      </c>
      <c r="AD17">
        <v>292.14661627702998</v>
      </c>
      <c r="AE17" s="2">
        <v>44823</v>
      </c>
      <c r="AF17">
        <v>120</v>
      </c>
      <c r="AG17">
        <v>10.036960985626299</v>
      </c>
      <c r="AH17">
        <v>23.834393772519999</v>
      </c>
      <c r="AI17">
        <v>14.423913043478301</v>
      </c>
      <c r="AJ17">
        <v>27.745294454253798</v>
      </c>
      <c r="AK17">
        <v>46</v>
      </c>
      <c r="AL17">
        <v>1574.5518666688999</v>
      </c>
      <c r="AM17">
        <v>328.24508084411201</v>
      </c>
      <c r="AN17">
        <v>0.20846889060475601</v>
      </c>
      <c r="AO17" t="s">
        <v>249</v>
      </c>
      <c r="AP17" t="s">
        <v>158</v>
      </c>
      <c r="AQ17" t="s">
        <v>251</v>
      </c>
      <c r="AR17">
        <v>7.5</v>
      </c>
      <c r="AS17">
        <v>1.180913900001674</v>
      </c>
      <c r="AT17" t="s">
        <v>255</v>
      </c>
      <c r="AU17" t="s">
        <v>256</v>
      </c>
      <c r="AV17">
        <v>16549</v>
      </c>
      <c r="AW17">
        <v>8483</v>
      </c>
      <c r="AX17">
        <v>6274</v>
      </c>
      <c r="AY17">
        <v>1630</v>
      </c>
      <c r="AZ17">
        <v>162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-0.92800000000000005</v>
      </c>
      <c r="BH17">
        <v>28.789000000000001</v>
      </c>
      <c r="BI17">
        <v>12.893770999999999</v>
      </c>
      <c r="BJ17">
        <v>1.5396999999999999E-2</v>
      </c>
      <c r="BK17">
        <v>11.037592</v>
      </c>
      <c r="BL17">
        <v>121.828444</v>
      </c>
      <c r="BM17">
        <v>0.85604100000000005</v>
      </c>
      <c r="BN17">
        <v>23.882999000000002</v>
      </c>
      <c r="BO17">
        <v>-0.12926599999999999</v>
      </c>
      <c r="BP17">
        <v>1.2282</v>
      </c>
      <c r="BQ17">
        <v>10.415763</v>
      </c>
      <c r="BR17">
        <v>9.6100010000000005</v>
      </c>
      <c r="BS17">
        <v>15.359603</v>
      </c>
      <c r="BT17">
        <v>12.893770999999999</v>
      </c>
      <c r="BU17">
        <v>6.0422840000000004</v>
      </c>
      <c r="BV17">
        <v>-0.15829799999999999</v>
      </c>
      <c r="BW17">
        <v>-1.0743419999999999</v>
      </c>
      <c r="BX17">
        <v>0.46861999999999998</v>
      </c>
      <c r="BY17">
        <v>-2.6197999999999999E-2</v>
      </c>
      <c r="BZ17">
        <v>-0.17780399999999999</v>
      </c>
      <c r="CA17">
        <v>-0.38600000000000001</v>
      </c>
      <c r="CB17">
        <v>-0.18</v>
      </c>
      <c r="CC17">
        <v>-8.7999999999999995E-2</v>
      </c>
      <c r="CD17">
        <v>2.5000000000000001E-2</v>
      </c>
      <c r="CE17">
        <v>7.6999999999999999E-2</v>
      </c>
      <c r="CF17">
        <v>0.14799999999999999</v>
      </c>
      <c r="CG17">
        <v>7.45</v>
      </c>
      <c r="CH17">
        <v>15.375</v>
      </c>
      <c r="CI17">
        <v>21.118998999999999</v>
      </c>
      <c r="CJ17">
        <v>23.632000000000001</v>
      </c>
      <c r="CK17">
        <v>23.959999</v>
      </c>
      <c r="CL17">
        <v>24.280999999999999</v>
      </c>
      <c r="CM17">
        <v>25.084</v>
      </c>
      <c r="CN17">
        <v>25.756599000000001</v>
      </c>
      <c r="CO17">
        <v>27.163675000000001</v>
      </c>
      <c r="CP17">
        <v>0.465113</v>
      </c>
      <c r="CQ17">
        <v>16.972636999999999</v>
      </c>
      <c r="CR17">
        <v>18.835103</v>
      </c>
      <c r="CS17">
        <v>1</v>
      </c>
      <c r="CT17">
        <v>59</v>
      </c>
      <c r="CU17">
        <v>13.297420000000001</v>
      </c>
      <c r="CV17">
        <v>1</v>
      </c>
      <c r="CW17">
        <v>10.365691</v>
      </c>
      <c r="CX17">
        <v>107.447553</v>
      </c>
      <c r="CY17">
        <v>0.77952699999999997</v>
      </c>
      <c r="CZ17">
        <v>14</v>
      </c>
      <c r="DA17">
        <v>1.0571649999999999</v>
      </c>
      <c r="DB17">
        <v>3.8383419999999999</v>
      </c>
      <c r="DC17">
        <v>8.3250150000000005</v>
      </c>
      <c r="DD17">
        <v>13.297420000000001</v>
      </c>
      <c r="DE17">
        <v>5.6416380000000004</v>
      </c>
      <c r="DF17">
        <v>1.2744489999999999</v>
      </c>
      <c r="DG17">
        <v>0.51829899999999995</v>
      </c>
      <c r="DH17">
        <v>0.42426599999999998</v>
      </c>
      <c r="DI17">
        <v>0.22589999999999999</v>
      </c>
      <c r="DJ17">
        <v>9.1869999999999993E-2</v>
      </c>
      <c r="DK17">
        <v>1</v>
      </c>
      <c r="DL17">
        <v>1</v>
      </c>
      <c r="DM17">
        <v>2</v>
      </c>
      <c r="DN17">
        <v>4</v>
      </c>
      <c r="DO17">
        <v>5</v>
      </c>
      <c r="DP17">
        <v>6</v>
      </c>
      <c r="DQ17">
        <v>8</v>
      </c>
      <c r="DR17">
        <v>11</v>
      </c>
      <c r="DS17">
        <v>14</v>
      </c>
      <c r="DT17">
        <v>17</v>
      </c>
      <c r="DU17">
        <v>19</v>
      </c>
      <c r="DV17">
        <v>22</v>
      </c>
      <c r="DW17">
        <v>28</v>
      </c>
      <c r="DX17">
        <v>34</v>
      </c>
      <c r="DY17">
        <v>44</v>
      </c>
      <c r="DZ17">
        <v>94.259106000000003</v>
      </c>
      <c r="EA17">
        <v>61.840595</v>
      </c>
      <c r="EB17">
        <v>120.641283</v>
      </c>
      <c r="EC17">
        <v>7996</v>
      </c>
      <c r="ED17">
        <v>10234</v>
      </c>
      <c r="EE17">
        <v>89.602734999999996</v>
      </c>
      <c r="EF17">
        <v>99.563834</v>
      </c>
      <c r="EG17">
        <v>53.779685000000001</v>
      </c>
      <c r="EH17">
        <v>80.923319000000006</v>
      </c>
      <c r="EI17">
        <v>104.91571399999999</v>
      </c>
      <c r="EJ17">
        <v>157.86867899999999</v>
      </c>
      <c r="EK17">
        <v>7601</v>
      </c>
      <c r="EL17">
        <v>8446</v>
      </c>
      <c r="EM17">
        <v>8900</v>
      </c>
      <c r="EN17">
        <v>13392</v>
      </c>
      <c r="EO17">
        <v>8483</v>
      </c>
      <c r="EP17">
        <v>16549</v>
      </c>
      <c r="EQ17">
        <v>46.491084999999998</v>
      </c>
    </row>
    <row r="18" spans="1:147" x14ac:dyDescent="0.25">
      <c r="A18">
        <v>2022</v>
      </c>
      <c r="B18" t="str">
        <f t="shared" si="0"/>
        <v>RD</v>
      </c>
      <c r="C18" t="s">
        <v>257</v>
      </c>
      <c r="D18" t="s">
        <v>257</v>
      </c>
      <c r="E18">
        <v>20462</v>
      </c>
      <c r="F18" t="s">
        <v>258</v>
      </c>
      <c r="G18" t="s">
        <v>259</v>
      </c>
      <c r="H18" t="s">
        <v>260</v>
      </c>
      <c r="I18">
        <v>25.35</v>
      </c>
      <c r="J18">
        <v>25.35</v>
      </c>
      <c r="K18" t="s">
        <v>261</v>
      </c>
      <c r="L18">
        <v>1</v>
      </c>
      <c r="M18">
        <v>2012</v>
      </c>
      <c r="N18">
        <v>1</v>
      </c>
      <c r="O18" t="str">
        <f t="shared" si="1"/>
        <v>Talhadia</v>
      </c>
      <c r="P18" s="2">
        <v>41258</v>
      </c>
      <c r="Q18" t="s">
        <v>237</v>
      </c>
      <c r="R18" t="s">
        <v>262</v>
      </c>
      <c r="S18" t="s">
        <v>154</v>
      </c>
      <c r="T18" t="s">
        <v>221</v>
      </c>
      <c r="U18" t="s">
        <v>156</v>
      </c>
      <c r="V18" s="2">
        <v>44798</v>
      </c>
      <c r="W18" t="s">
        <v>263</v>
      </c>
      <c r="X18">
        <v>50.04</v>
      </c>
      <c r="Y18">
        <v>21.2</v>
      </c>
      <c r="Z18">
        <v>8</v>
      </c>
      <c r="AA18">
        <v>15.4</v>
      </c>
      <c r="AB18">
        <v>0</v>
      </c>
      <c r="AC18">
        <v>326.48</v>
      </c>
      <c r="AD18">
        <v>323.30271908274801</v>
      </c>
      <c r="AE18" s="2">
        <v>44798</v>
      </c>
      <c r="AF18">
        <v>116</v>
      </c>
      <c r="AG18">
        <v>9.6919917864476393</v>
      </c>
      <c r="AH18">
        <v>24.3077010872633</v>
      </c>
      <c r="AI18">
        <v>14.6689655172414</v>
      </c>
      <c r="AJ18">
        <v>15.719686127749901</v>
      </c>
      <c r="AK18">
        <v>29</v>
      </c>
      <c r="AL18">
        <v>896.99214662582494</v>
      </c>
      <c r="AM18">
        <v>175.13877633476599</v>
      </c>
      <c r="AN18">
        <v>0.19525118139950001</v>
      </c>
      <c r="AO18" t="s">
        <v>262</v>
      </c>
      <c r="AP18" t="s">
        <v>264</v>
      </c>
      <c r="AQ18" t="s">
        <v>166</v>
      </c>
      <c r="AR18">
        <v>7.5</v>
      </c>
      <c r="AS18">
        <v>0.67274410996936829</v>
      </c>
      <c r="AT18" t="s">
        <v>265</v>
      </c>
      <c r="AU18" t="s">
        <v>266</v>
      </c>
      <c r="AV18">
        <v>2838</v>
      </c>
      <c r="AW18">
        <v>1592</v>
      </c>
      <c r="AX18">
        <v>980</v>
      </c>
      <c r="AY18">
        <v>248</v>
      </c>
      <c r="AZ18">
        <v>18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-1.04</v>
      </c>
      <c r="BH18">
        <v>24.959999</v>
      </c>
      <c r="BI18">
        <v>10.596498</v>
      </c>
      <c r="BJ18">
        <v>-0.21460299999999999</v>
      </c>
      <c r="BK18">
        <v>9.2201140000000006</v>
      </c>
      <c r="BL18">
        <v>85.010498999999996</v>
      </c>
      <c r="BM18">
        <v>0.87011000000000005</v>
      </c>
      <c r="BN18">
        <v>18.287499</v>
      </c>
      <c r="BO18">
        <v>0.16369</v>
      </c>
      <c r="BP18">
        <v>1.283514</v>
      </c>
      <c r="BQ18">
        <v>8.7463800000000003</v>
      </c>
      <c r="BR18">
        <v>6.97</v>
      </c>
      <c r="BS18">
        <v>7.1346030000000003</v>
      </c>
      <c r="BT18">
        <v>10.596498</v>
      </c>
      <c r="BU18">
        <v>5.1385709999999998</v>
      </c>
      <c r="BV18">
        <v>0.36491899999999999</v>
      </c>
      <c r="BW18">
        <v>-0.68484599999999995</v>
      </c>
      <c r="BX18">
        <v>0.484931</v>
      </c>
      <c r="BY18">
        <v>7.1015999999999996E-2</v>
      </c>
      <c r="BZ18">
        <v>-0.13327600000000001</v>
      </c>
      <c r="CA18">
        <v>-0.27</v>
      </c>
      <c r="CB18">
        <v>-0.09</v>
      </c>
      <c r="CC18">
        <v>0.01</v>
      </c>
      <c r="CD18">
        <v>0.4</v>
      </c>
      <c r="CE18">
        <v>1.95</v>
      </c>
      <c r="CF18">
        <v>2.84</v>
      </c>
      <c r="CG18">
        <v>3.87</v>
      </c>
      <c r="CH18">
        <v>6.92</v>
      </c>
      <c r="CI18">
        <v>16.465997999999999</v>
      </c>
      <c r="CJ18">
        <v>19.379000000000001</v>
      </c>
      <c r="CK18">
        <v>20.237499</v>
      </c>
      <c r="CL18">
        <v>21.116001000000001</v>
      </c>
      <c r="CM18">
        <v>22.76</v>
      </c>
      <c r="CN18">
        <v>23.309999000000001</v>
      </c>
      <c r="CO18">
        <v>24.076298000000001</v>
      </c>
      <c r="CP18">
        <v>0.44755800000000001</v>
      </c>
      <c r="CQ18">
        <v>14.045152</v>
      </c>
      <c r="CR18">
        <v>15.899865</v>
      </c>
      <c r="CS18">
        <v>1</v>
      </c>
      <c r="CT18">
        <v>61</v>
      </c>
      <c r="CU18">
        <v>15.902396</v>
      </c>
      <c r="CV18">
        <v>4.8095239999999997</v>
      </c>
      <c r="CW18">
        <v>12.616688</v>
      </c>
      <c r="CX18">
        <v>159.180812</v>
      </c>
      <c r="CY18">
        <v>0.79338299999999995</v>
      </c>
      <c r="CZ18">
        <v>16</v>
      </c>
      <c r="DA18">
        <v>1.1337429999999999</v>
      </c>
      <c r="DB18">
        <v>3.6563949999999998</v>
      </c>
      <c r="DC18">
        <v>9.9331200000000006</v>
      </c>
      <c r="DD18">
        <v>15.902396</v>
      </c>
      <c r="DE18">
        <v>6.7795719999999999</v>
      </c>
      <c r="DF18">
        <v>1.76779</v>
      </c>
      <c r="DG18">
        <v>0.82027600000000001</v>
      </c>
      <c r="DH18">
        <v>0.42632399999999998</v>
      </c>
      <c r="DI18">
        <v>0.26075199999999998</v>
      </c>
      <c r="DJ18">
        <v>0.120992</v>
      </c>
      <c r="DK18">
        <v>1</v>
      </c>
      <c r="DL18">
        <v>2</v>
      </c>
      <c r="DM18">
        <v>3</v>
      </c>
      <c r="DN18">
        <v>5</v>
      </c>
      <c r="DO18">
        <v>6</v>
      </c>
      <c r="DP18">
        <v>8</v>
      </c>
      <c r="DQ18">
        <v>10</v>
      </c>
      <c r="DR18">
        <v>12</v>
      </c>
      <c r="DS18">
        <v>15</v>
      </c>
      <c r="DT18">
        <v>19</v>
      </c>
      <c r="DU18">
        <v>22</v>
      </c>
      <c r="DV18">
        <v>25</v>
      </c>
      <c r="DW18">
        <v>36</v>
      </c>
      <c r="DX18">
        <v>44</v>
      </c>
      <c r="DY18">
        <v>51.629883</v>
      </c>
      <c r="DZ18">
        <v>87.185929999999999</v>
      </c>
      <c r="EA18">
        <v>68.146581999999995</v>
      </c>
      <c r="EB18">
        <v>121.482412</v>
      </c>
      <c r="EC18">
        <v>1388</v>
      </c>
      <c r="ED18">
        <v>1934</v>
      </c>
      <c r="EE18">
        <v>73.241206000000005</v>
      </c>
      <c r="EF18">
        <v>100</v>
      </c>
      <c r="EG18">
        <v>47.815362999999998</v>
      </c>
      <c r="EH18">
        <v>98.414376000000004</v>
      </c>
      <c r="EI18">
        <v>85.238692999999998</v>
      </c>
      <c r="EJ18">
        <v>175.43969799999999</v>
      </c>
      <c r="EK18">
        <v>1166</v>
      </c>
      <c r="EL18">
        <v>1592</v>
      </c>
      <c r="EM18">
        <v>1357</v>
      </c>
      <c r="EN18">
        <v>2793</v>
      </c>
      <c r="EO18">
        <v>1592</v>
      </c>
      <c r="EP18">
        <v>2838</v>
      </c>
      <c r="EQ18">
        <v>43.064027000000003</v>
      </c>
    </row>
    <row r="19" spans="1:147" x14ac:dyDescent="0.25">
      <c r="A19">
        <v>2022</v>
      </c>
      <c r="B19" t="str">
        <f t="shared" si="0"/>
        <v>RD</v>
      </c>
      <c r="C19" t="s">
        <v>267</v>
      </c>
      <c r="D19" t="s">
        <v>267</v>
      </c>
      <c r="E19">
        <v>20463</v>
      </c>
      <c r="F19" t="s">
        <v>258</v>
      </c>
      <c r="G19" t="s">
        <v>259</v>
      </c>
      <c r="H19" t="s">
        <v>260</v>
      </c>
      <c r="I19">
        <v>25.35</v>
      </c>
      <c r="J19">
        <v>25.35</v>
      </c>
      <c r="K19" t="s">
        <v>261</v>
      </c>
      <c r="L19">
        <v>1</v>
      </c>
      <c r="M19">
        <v>2012</v>
      </c>
      <c r="N19">
        <v>1</v>
      </c>
      <c r="O19" t="str">
        <f t="shared" si="1"/>
        <v>Talhadia</v>
      </c>
      <c r="P19" s="2">
        <v>41258</v>
      </c>
      <c r="Q19" t="s">
        <v>237</v>
      </c>
      <c r="R19" t="s">
        <v>262</v>
      </c>
      <c r="S19" t="s">
        <v>154</v>
      </c>
      <c r="T19" t="s">
        <v>221</v>
      </c>
      <c r="U19" t="s">
        <v>156</v>
      </c>
      <c r="V19" s="2">
        <v>44798</v>
      </c>
      <c r="W19" t="s">
        <v>263</v>
      </c>
      <c r="X19">
        <v>50.04</v>
      </c>
      <c r="Y19">
        <v>19.100000000000001</v>
      </c>
      <c r="Z19">
        <v>19</v>
      </c>
      <c r="AA19">
        <v>15.8</v>
      </c>
      <c r="AB19">
        <v>4</v>
      </c>
      <c r="AC19">
        <v>301.77999999999997</v>
      </c>
      <c r="AD19">
        <v>284.64352526619598</v>
      </c>
      <c r="AE19" s="2">
        <v>44798</v>
      </c>
      <c r="AF19">
        <v>116</v>
      </c>
      <c r="AG19">
        <v>9.6919917864476393</v>
      </c>
      <c r="AH19">
        <v>27.629556853636299</v>
      </c>
      <c r="AI19">
        <v>17.1111111111111</v>
      </c>
      <c r="AJ19">
        <v>22.5695980122733</v>
      </c>
      <c r="AK19">
        <v>27</v>
      </c>
      <c r="AL19">
        <v>948.55486260401801</v>
      </c>
      <c r="AM19">
        <v>282.81851626233299</v>
      </c>
      <c r="AN19">
        <v>0.29815725733135401</v>
      </c>
      <c r="AO19" t="s">
        <v>262</v>
      </c>
      <c r="AP19" t="s">
        <v>264</v>
      </c>
      <c r="AQ19" t="s">
        <v>166</v>
      </c>
      <c r="AR19">
        <v>7.5</v>
      </c>
      <c r="AS19">
        <v>0.71141614695301392</v>
      </c>
      <c r="AT19" t="s">
        <v>268</v>
      </c>
      <c r="AU19" t="s">
        <v>269</v>
      </c>
      <c r="AV19">
        <v>4600</v>
      </c>
      <c r="AW19">
        <v>2568</v>
      </c>
      <c r="AX19">
        <v>1671</v>
      </c>
      <c r="AY19">
        <v>345</v>
      </c>
      <c r="AZ19">
        <v>16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-0.83</v>
      </c>
      <c r="BH19">
        <v>35.029998999999997</v>
      </c>
      <c r="BI19">
        <v>13.363287</v>
      </c>
      <c r="BJ19">
        <v>-0.26079400000000003</v>
      </c>
      <c r="BK19">
        <v>14.093540000000001</v>
      </c>
      <c r="BL19">
        <v>198.627861</v>
      </c>
      <c r="BM19">
        <v>1.054646</v>
      </c>
      <c r="BN19">
        <v>29.632501000000001</v>
      </c>
      <c r="BO19">
        <v>0.299039</v>
      </c>
      <c r="BP19">
        <v>1.29891</v>
      </c>
      <c r="BQ19">
        <v>13.341808</v>
      </c>
      <c r="BR19">
        <v>6.2249999999999996</v>
      </c>
      <c r="BS19">
        <v>6.2357940000000003</v>
      </c>
      <c r="BT19">
        <v>13.363287</v>
      </c>
      <c r="BU19">
        <v>7.6071140000000002</v>
      </c>
      <c r="BV19">
        <v>1.2416609999999999</v>
      </c>
      <c r="BW19">
        <v>-1.2255149999999999</v>
      </c>
      <c r="BX19">
        <v>0.56925499999999996</v>
      </c>
      <c r="BY19">
        <v>0.16322400000000001</v>
      </c>
      <c r="BZ19">
        <v>-0.16110099999999999</v>
      </c>
      <c r="CA19">
        <v>-0.35</v>
      </c>
      <c r="CB19">
        <v>-0.18</v>
      </c>
      <c r="CC19">
        <v>-0.1</v>
      </c>
      <c r="CD19">
        <v>0.01</v>
      </c>
      <c r="CE19">
        <v>0.06</v>
      </c>
      <c r="CF19">
        <v>0.12</v>
      </c>
      <c r="CG19">
        <v>0.31</v>
      </c>
      <c r="CH19">
        <v>5.9749999999999996</v>
      </c>
      <c r="CI19">
        <v>19.700001</v>
      </c>
      <c r="CJ19">
        <v>26.655003000000001</v>
      </c>
      <c r="CK19">
        <v>29.692501</v>
      </c>
      <c r="CL19">
        <v>31.17</v>
      </c>
      <c r="CM19">
        <v>32.580002</v>
      </c>
      <c r="CN19">
        <v>33.270499999999998</v>
      </c>
      <c r="CO19">
        <v>34.189999</v>
      </c>
      <c r="CP19">
        <v>0.39579700000000001</v>
      </c>
      <c r="CQ19">
        <v>19.420662</v>
      </c>
      <c r="CR19">
        <v>22.363481</v>
      </c>
      <c r="CS19">
        <v>1</v>
      </c>
      <c r="CT19">
        <v>51</v>
      </c>
      <c r="CU19">
        <v>11.329783000000001</v>
      </c>
      <c r="CV19">
        <v>1</v>
      </c>
      <c r="CW19">
        <v>10.472037</v>
      </c>
      <c r="CX19">
        <v>109.663562</v>
      </c>
      <c r="CY19">
        <v>0.92429300000000003</v>
      </c>
      <c r="CZ19">
        <v>13</v>
      </c>
      <c r="DA19">
        <v>1.178458</v>
      </c>
      <c r="DB19">
        <v>3.465144</v>
      </c>
      <c r="DC19">
        <v>8.4064460000000008</v>
      </c>
      <c r="DD19">
        <v>11.329783000000001</v>
      </c>
      <c r="DE19">
        <v>5.544384</v>
      </c>
      <c r="DF19">
        <v>1.730974</v>
      </c>
      <c r="DG19">
        <v>0.55067500000000003</v>
      </c>
      <c r="DH19">
        <v>0.48936400000000002</v>
      </c>
      <c r="DI19">
        <v>0.31220300000000001</v>
      </c>
      <c r="DJ19">
        <v>9.9321000000000007E-2</v>
      </c>
      <c r="DK19">
        <v>1</v>
      </c>
      <c r="DL19">
        <v>1</v>
      </c>
      <c r="DM19">
        <v>1</v>
      </c>
      <c r="DN19">
        <v>3</v>
      </c>
      <c r="DO19">
        <v>3</v>
      </c>
      <c r="DP19">
        <v>4</v>
      </c>
      <c r="DQ19">
        <v>6</v>
      </c>
      <c r="DR19">
        <v>7</v>
      </c>
      <c r="DS19">
        <v>10</v>
      </c>
      <c r="DT19">
        <v>14</v>
      </c>
      <c r="DU19">
        <v>16</v>
      </c>
      <c r="DV19">
        <v>20</v>
      </c>
      <c r="DW19">
        <v>29</v>
      </c>
      <c r="DX19">
        <v>34</v>
      </c>
      <c r="DY19">
        <v>40</v>
      </c>
      <c r="DZ19">
        <v>75.194704000000002</v>
      </c>
      <c r="EA19">
        <v>51.239130000000003</v>
      </c>
      <c r="EB19">
        <v>91.783489000000003</v>
      </c>
      <c r="EC19">
        <v>1931</v>
      </c>
      <c r="ED19">
        <v>2357</v>
      </c>
      <c r="EE19">
        <v>70.132399000000007</v>
      </c>
      <c r="EF19">
        <v>100</v>
      </c>
      <c r="EG19">
        <v>46.043478</v>
      </c>
      <c r="EH19">
        <v>97.826087000000001</v>
      </c>
      <c r="EI19">
        <v>82.476635999999999</v>
      </c>
      <c r="EJ19">
        <v>175.233645</v>
      </c>
      <c r="EK19">
        <v>1801</v>
      </c>
      <c r="EL19">
        <v>2568</v>
      </c>
      <c r="EM19">
        <v>2118</v>
      </c>
      <c r="EN19">
        <v>4500</v>
      </c>
      <c r="EO19">
        <v>2568</v>
      </c>
      <c r="EP19">
        <v>4600</v>
      </c>
      <c r="EQ19">
        <v>38.137816999999998</v>
      </c>
    </row>
    <row r="20" spans="1:147" x14ac:dyDescent="0.25">
      <c r="A20">
        <v>2022</v>
      </c>
      <c r="B20" t="str">
        <f t="shared" si="0"/>
        <v>RD</v>
      </c>
      <c r="C20" t="s">
        <v>270</v>
      </c>
      <c r="D20" t="s">
        <v>270</v>
      </c>
      <c r="E20">
        <v>20464</v>
      </c>
      <c r="F20" t="s">
        <v>258</v>
      </c>
      <c r="G20" t="s">
        <v>259</v>
      </c>
      <c r="H20" t="s">
        <v>260</v>
      </c>
      <c r="I20">
        <v>25.35</v>
      </c>
      <c r="J20">
        <v>25.35</v>
      </c>
      <c r="K20" t="s">
        <v>261</v>
      </c>
      <c r="L20">
        <v>1</v>
      </c>
      <c r="M20">
        <v>2012</v>
      </c>
      <c r="N20">
        <v>1</v>
      </c>
      <c r="O20" t="str">
        <f t="shared" si="1"/>
        <v>Talhadia</v>
      </c>
      <c r="P20" s="2">
        <v>41258</v>
      </c>
      <c r="Q20" t="s">
        <v>237</v>
      </c>
      <c r="R20" t="s">
        <v>262</v>
      </c>
      <c r="S20" t="s">
        <v>154</v>
      </c>
      <c r="T20" t="s">
        <v>221</v>
      </c>
      <c r="U20" t="s">
        <v>156</v>
      </c>
      <c r="V20" s="2">
        <v>44798</v>
      </c>
      <c r="W20" t="s">
        <v>263</v>
      </c>
      <c r="X20">
        <v>50.04</v>
      </c>
      <c r="Y20">
        <v>19.8</v>
      </c>
      <c r="Z20">
        <v>22</v>
      </c>
      <c r="AA20">
        <v>13.5</v>
      </c>
      <c r="AB20">
        <v>6</v>
      </c>
      <c r="AC20">
        <v>267.3</v>
      </c>
      <c r="AD20">
        <v>246.47857144775199</v>
      </c>
      <c r="AE20" s="2">
        <v>44798</v>
      </c>
      <c r="AF20">
        <v>116</v>
      </c>
      <c r="AG20">
        <v>9.6919917864476393</v>
      </c>
      <c r="AH20">
        <v>27.7485609877271</v>
      </c>
      <c r="AI20">
        <v>16.973684210526301</v>
      </c>
      <c r="AJ20">
        <v>18.050273825988</v>
      </c>
      <c r="AK20">
        <v>19</v>
      </c>
      <c r="AL20">
        <v>770.85808670501797</v>
      </c>
      <c r="AM20">
        <v>227.384626664189</v>
      </c>
      <c r="AN20">
        <v>0.29497598920720802</v>
      </c>
      <c r="AO20" t="s">
        <v>262</v>
      </c>
      <c r="AP20" t="s">
        <v>264</v>
      </c>
      <c r="AQ20" t="s">
        <v>166</v>
      </c>
      <c r="AR20">
        <v>7.5</v>
      </c>
      <c r="AS20">
        <v>0.57814356502876307</v>
      </c>
      <c r="AT20" t="s">
        <v>271</v>
      </c>
      <c r="AU20" t="s">
        <v>272</v>
      </c>
      <c r="AV20">
        <v>1760</v>
      </c>
      <c r="AW20">
        <v>956</v>
      </c>
      <c r="AX20">
        <v>704</v>
      </c>
      <c r="AY20">
        <v>99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-0.54</v>
      </c>
      <c r="BH20">
        <v>28.719999000000001</v>
      </c>
      <c r="BI20">
        <v>12.249364</v>
      </c>
      <c r="BJ20">
        <v>-7.5555999999999998E-2</v>
      </c>
      <c r="BK20">
        <v>11.536039000000001</v>
      </c>
      <c r="BL20">
        <v>133.08020500000001</v>
      </c>
      <c r="BM20">
        <v>0.94176599999999999</v>
      </c>
      <c r="BN20">
        <v>24.02</v>
      </c>
      <c r="BO20">
        <v>2.955E-2</v>
      </c>
      <c r="BP20">
        <v>1.151221</v>
      </c>
      <c r="BQ20">
        <v>11.128949</v>
      </c>
      <c r="BR20">
        <v>12.549999</v>
      </c>
      <c r="BS20">
        <v>13.840555999999999</v>
      </c>
      <c r="BT20">
        <v>12.249364</v>
      </c>
      <c r="BU20">
        <v>6.2483560000000002</v>
      </c>
      <c r="BV20">
        <v>0.30165900000000001</v>
      </c>
      <c r="BW20">
        <v>-1.1751780000000001</v>
      </c>
      <c r="BX20">
        <v>0.51009599999999999</v>
      </c>
      <c r="BY20">
        <v>4.8278000000000001E-2</v>
      </c>
      <c r="BZ20">
        <v>-0.188078</v>
      </c>
      <c r="CA20">
        <v>-0.33</v>
      </c>
      <c r="CB20">
        <v>-0.17</v>
      </c>
      <c r="CC20">
        <v>-0.09</v>
      </c>
      <c r="CD20">
        <v>7.0000000000000007E-2</v>
      </c>
      <c r="CE20">
        <v>0.13</v>
      </c>
      <c r="CF20">
        <v>0.23</v>
      </c>
      <c r="CG20">
        <v>0.72599999999999998</v>
      </c>
      <c r="CH20">
        <v>13.765000000000001</v>
      </c>
      <c r="CI20">
        <v>20.988001000000001</v>
      </c>
      <c r="CJ20">
        <v>23.552999</v>
      </c>
      <c r="CK20">
        <v>24.15</v>
      </c>
      <c r="CL20">
        <v>24.731998000000001</v>
      </c>
      <c r="CM20">
        <v>25.959999</v>
      </c>
      <c r="CN20">
        <v>26.701001999999999</v>
      </c>
      <c r="CO20">
        <v>27.73</v>
      </c>
      <c r="CP20">
        <v>0.43709399999999998</v>
      </c>
      <c r="CQ20">
        <v>16.824134000000001</v>
      </c>
      <c r="CR20">
        <v>18.918374</v>
      </c>
      <c r="CS20">
        <v>1</v>
      </c>
      <c r="CT20">
        <v>60</v>
      </c>
      <c r="CU20">
        <v>13.521591000000001</v>
      </c>
      <c r="CV20">
        <v>3.8095240000000001</v>
      </c>
      <c r="CW20">
        <v>11.787032999999999</v>
      </c>
      <c r="CX20">
        <v>138.934156</v>
      </c>
      <c r="CY20">
        <v>0.87171900000000002</v>
      </c>
      <c r="CZ20">
        <v>13</v>
      </c>
      <c r="DA20">
        <v>1.4257850000000001</v>
      </c>
      <c r="DB20">
        <v>4.540597</v>
      </c>
      <c r="DC20">
        <v>8.9953140000000005</v>
      </c>
      <c r="DD20">
        <v>13.521591000000001</v>
      </c>
      <c r="DE20">
        <v>6.1129379999999998</v>
      </c>
      <c r="DF20">
        <v>1.9438439999999999</v>
      </c>
      <c r="DG20">
        <v>0.95912600000000003</v>
      </c>
      <c r="DH20">
        <v>0.45208700000000002</v>
      </c>
      <c r="DI20">
        <v>0.31798799999999999</v>
      </c>
      <c r="DJ20">
        <v>0.15690100000000001</v>
      </c>
      <c r="DK20">
        <v>1</v>
      </c>
      <c r="DL20">
        <v>1</v>
      </c>
      <c r="DM20">
        <v>2</v>
      </c>
      <c r="DN20">
        <v>4</v>
      </c>
      <c r="DO20">
        <v>5</v>
      </c>
      <c r="DP20">
        <v>6</v>
      </c>
      <c r="DQ20">
        <v>8</v>
      </c>
      <c r="DR20">
        <v>10</v>
      </c>
      <c r="DS20">
        <v>12</v>
      </c>
      <c r="DT20">
        <v>16</v>
      </c>
      <c r="DU20">
        <v>18</v>
      </c>
      <c r="DV20">
        <v>21</v>
      </c>
      <c r="DW20">
        <v>32</v>
      </c>
      <c r="DX20">
        <v>40</v>
      </c>
      <c r="DY20">
        <v>51</v>
      </c>
      <c r="DZ20">
        <v>85.251046000000002</v>
      </c>
      <c r="EA20">
        <v>54.772727000000003</v>
      </c>
      <c r="EB20">
        <v>100.83682</v>
      </c>
      <c r="EC20">
        <v>815</v>
      </c>
      <c r="ED20">
        <v>964</v>
      </c>
      <c r="EE20">
        <v>84.100418000000005</v>
      </c>
      <c r="EF20">
        <v>99.267781999999997</v>
      </c>
      <c r="EG20">
        <v>51.363636</v>
      </c>
      <c r="EH20">
        <v>89.261364</v>
      </c>
      <c r="EI20">
        <v>94.560669000000004</v>
      </c>
      <c r="EJ20">
        <v>164.330544</v>
      </c>
      <c r="EK20">
        <v>804</v>
      </c>
      <c r="EL20">
        <v>949</v>
      </c>
      <c r="EM20">
        <v>904</v>
      </c>
      <c r="EN20">
        <v>1571</v>
      </c>
      <c r="EO20">
        <v>956</v>
      </c>
      <c r="EP20">
        <v>1760</v>
      </c>
      <c r="EQ20">
        <v>43.254823000000002</v>
      </c>
    </row>
    <row r="21" spans="1:147" x14ac:dyDescent="0.25">
      <c r="A21">
        <v>2022</v>
      </c>
      <c r="B21" t="str">
        <f t="shared" si="0"/>
        <v>GN</v>
      </c>
      <c r="C21" t="s">
        <v>273</v>
      </c>
      <c r="D21" t="s">
        <v>273</v>
      </c>
      <c r="E21">
        <v>20581</v>
      </c>
      <c r="F21" t="s">
        <v>274</v>
      </c>
      <c r="G21" t="s">
        <v>275</v>
      </c>
      <c r="H21" t="s">
        <v>276</v>
      </c>
      <c r="I21">
        <v>17.5</v>
      </c>
      <c r="J21">
        <v>17.5</v>
      </c>
      <c r="K21" t="s">
        <v>277</v>
      </c>
      <c r="L21">
        <v>1</v>
      </c>
      <c r="M21">
        <v>2012</v>
      </c>
      <c r="N21">
        <v>3</v>
      </c>
      <c r="O21" t="str">
        <f t="shared" si="1"/>
        <v>Alto fuste</v>
      </c>
      <c r="P21" s="2">
        <v>40939</v>
      </c>
      <c r="Q21" t="s">
        <v>174</v>
      </c>
      <c r="R21" t="s">
        <v>278</v>
      </c>
      <c r="S21" t="s">
        <v>154</v>
      </c>
      <c r="T21" t="s">
        <v>279</v>
      </c>
      <c r="U21" t="s">
        <v>156</v>
      </c>
      <c r="V21" s="2">
        <v>44728</v>
      </c>
      <c r="W21" t="s">
        <v>280</v>
      </c>
      <c r="X21">
        <v>57.58</v>
      </c>
      <c r="Y21">
        <v>20.9</v>
      </c>
      <c r="Z21">
        <v>14</v>
      </c>
      <c r="AA21">
        <v>15.5</v>
      </c>
      <c r="AB21">
        <v>0</v>
      </c>
      <c r="AC21">
        <v>323.95</v>
      </c>
      <c r="AD21">
        <v>314.327300527109</v>
      </c>
      <c r="AE21" s="2">
        <v>44728</v>
      </c>
      <c r="AF21">
        <v>125</v>
      </c>
      <c r="AG21">
        <v>10.3737166324435</v>
      </c>
      <c r="AH21">
        <v>33.5923274477543</v>
      </c>
      <c r="AI21">
        <v>18.877777777777801</v>
      </c>
      <c r="AJ21">
        <v>32.462386764574497</v>
      </c>
      <c r="AK21">
        <v>36</v>
      </c>
      <c r="AL21">
        <v>1145.3029991232099</v>
      </c>
      <c r="AM21">
        <v>493.27795749212697</v>
      </c>
      <c r="AN21">
        <v>0.43069646885562801</v>
      </c>
      <c r="AO21" t="s">
        <v>278</v>
      </c>
      <c r="AP21" t="s">
        <v>158</v>
      </c>
      <c r="AQ21" t="s">
        <v>281</v>
      </c>
      <c r="AR21">
        <v>9</v>
      </c>
      <c r="AS21">
        <v>1.0307726992108881</v>
      </c>
      <c r="AT21" t="s">
        <v>282</v>
      </c>
      <c r="AU21" t="s">
        <v>283</v>
      </c>
      <c r="AV21">
        <v>5534</v>
      </c>
      <c r="AW21">
        <v>3095</v>
      </c>
      <c r="AX21">
        <v>2252</v>
      </c>
      <c r="AY21">
        <v>176</v>
      </c>
      <c r="AZ21">
        <v>11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-1.2290000000000001</v>
      </c>
      <c r="BH21">
        <v>33.195</v>
      </c>
      <c r="BI21">
        <v>17.961919999999999</v>
      </c>
      <c r="BJ21">
        <v>-0.13617499999999999</v>
      </c>
      <c r="BK21">
        <v>14.855717</v>
      </c>
      <c r="BL21">
        <v>220.69232</v>
      </c>
      <c r="BM21">
        <v>0.827067</v>
      </c>
      <c r="BN21">
        <v>30.850999999999999</v>
      </c>
      <c r="BO21">
        <v>-0.33899800000000002</v>
      </c>
      <c r="BP21">
        <v>1.1664699999999999</v>
      </c>
      <c r="BQ21">
        <v>14.425466</v>
      </c>
      <c r="BR21">
        <v>2.4885009999999999</v>
      </c>
      <c r="BS21">
        <v>29.731173999999999</v>
      </c>
      <c r="BT21">
        <v>17.961919999999999</v>
      </c>
      <c r="BU21">
        <v>7.6564300000000003</v>
      </c>
      <c r="BV21">
        <v>-1.0483990000000001</v>
      </c>
      <c r="BW21">
        <v>-1.494283</v>
      </c>
      <c r="BX21">
        <v>0.426259</v>
      </c>
      <c r="BY21">
        <v>-0.136931</v>
      </c>
      <c r="BZ21">
        <v>-0.19516700000000001</v>
      </c>
      <c r="CA21">
        <v>-0.44634000000000001</v>
      </c>
      <c r="CB21">
        <v>-0.20399999999999999</v>
      </c>
      <c r="CC21">
        <v>-0.09</v>
      </c>
      <c r="CD21">
        <v>2.9000000000000001E-2</v>
      </c>
      <c r="CE21">
        <v>7.1999999999999995E-2</v>
      </c>
      <c r="CF21">
        <v>0.126</v>
      </c>
      <c r="CG21">
        <v>8.032394</v>
      </c>
      <c r="CH21">
        <v>29.594999000000001</v>
      </c>
      <c r="CI21">
        <v>30.226799</v>
      </c>
      <c r="CJ21">
        <v>30.639199999999999</v>
      </c>
      <c r="CK21">
        <v>30.922999999999998</v>
      </c>
      <c r="CL21">
        <v>31.174999</v>
      </c>
      <c r="CM21">
        <v>31.728999999999999</v>
      </c>
      <c r="CN21">
        <v>32.073700000000002</v>
      </c>
      <c r="CO21">
        <v>32.63335</v>
      </c>
      <c r="CP21">
        <v>0.55748699999999995</v>
      </c>
      <c r="CQ21">
        <v>23.308432</v>
      </c>
      <c r="CR21">
        <v>25.496144000000001</v>
      </c>
      <c r="CS21">
        <v>1</v>
      </c>
      <c r="CT21">
        <v>75</v>
      </c>
      <c r="CU21">
        <v>20.732924000000001</v>
      </c>
      <c r="CV21">
        <v>1</v>
      </c>
      <c r="CW21">
        <v>13.649609</v>
      </c>
      <c r="CX21">
        <v>186.311813</v>
      </c>
      <c r="CY21">
        <v>0.65835399999999999</v>
      </c>
      <c r="CZ21">
        <v>24</v>
      </c>
      <c r="DA21">
        <v>0.243255</v>
      </c>
      <c r="DB21">
        <v>2.3710249999999999</v>
      </c>
      <c r="DC21">
        <v>11.858696</v>
      </c>
      <c r="DD21">
        <v>20.732924000000001</v>
      </c>
      <c r="DE21">
        <v>7.7497290000000003</v>
      </c>
      <c r="DF21">
        <v>0.26629999999999998</v>
      </c>
      <c r="DG21">
        <v>1.1603E-2</v>
      </c>
      <c r="DH21">
        <v>0.37378899999999998</v>
      </c>
      <c r="DI21">
        <v>3.4362999999999998E-2</v>
      </c>
      <c r="DJ21">
        <v>1.4970000000000001E-3</v>
      </c>
      <c r="DK21">
        <v>1</v>
      </c>
      <c r="DL21">
        <v>2</v>
      </c>
      <c r="DM21">
        <v>3</v>
      </c>
      <c r="DN21">
        <v>6</v>
      </c>
      <c r="DO21">
        <v>7</v>
      </c>
      <c r="DP21">
        <v>9</v>
      </c>
      <c r="DQ21">
        <v>15</v>
      </c>
      <c r="DR21">
        <v>22</v>
      </c>
      <c r="DS21">
        <v>27</v>
      </c>
      <c r="DT21">
        <v>30</v>
      </c>
      <c r="DU21">
        <v>31</v>
      </c>
      <c r="DV21">
        <v>33</v>
      </c>
      <c r="DW21">
        <v>37</v>
      </c>
      <c r="DX21">
        <v>41</v>
      </c>
      <c r="DY21">
        <v>53</v>
      </c>
      <c r="DZ21">
        <v>99.224556000000007</v>
      </c>
      <c r="EA21">
        <v>60.462595</v>
      </c>
      <c r="EB21">
        <v>108.109855</v>
      </c>
      <c r="EC21">
        <v>3071</v>
      </c>
      <c r="ED21">
        <v>3346</v>
      </c>
      <c r="EE21">
        <v>99.095314999999999</v>
      </c>
      <c r="EF21">
        <v>100</v>
      </c>
      <c r="EG21">
        <v>58.836284999999997</v>
      </c>
      <c r="EH21">
        <v>92.573183999999998</v>
      </c>
      <c r="EI21">
        <v>105.201939</v>
      </c>
      <c r="EJ21">
        <v>165.52503999999999</v>
      </c>
      <c r="EK21">
        <v>3067</v>
      </c>
      <c r="EL21">
        <v>3095</v>
      </c>
      <c r="EM21">
        <v>3256</v>
      </c>
      <c r="EN21">
        <v>5123</v>
      </c>
      <c r="EO21">
        <v>3095</v>
      </c>
      <c r="EP21">
        <v>5534</v>
      </c>
      <c r="EQ21">
        <v>54.13456</v>
      </c>
    </row>
    <row r="22" spans="1:147" x14ac:dyDescent="0.25">
      <c r="A22">
        <v>2022</v>
      </c>
      <c r="B22" t="str">
        <f t="shared" si="0"/>
        <v>GN</v>
      </c>
      <c r="C22" t="s">
        <v>284</v>
      </c>
      <c r="D22" t="s">
        <v>284</v>
      </c>
      <c r="E22">
        <v>20582</v>
      </c>
      <c r="F22" t="s">
        <v>274</v>
      </c>
      <c r="G22" t="s">
        <v>275</v>
      </c>
      <c r="H22" t="s">
        <v>285</v>
      </c>
      <c r="I22">
        <v>19.760000000000002</v>
      </c>
      <c r="J22">
        <v>19.760000000000002</v>
      </c>
      <c r="K22" t="s">
        <v>277</v>
      </c>
      <c r="L22">
        <v>1</v>
      </c>
      <c r="M22">
        <v>2012</v>
      </c>
      <c r="N22">
        <v>3</v>
      </c>
      <c r="O22" t="str">
        <f t="shared" si="1"/>
        <v>Alto fuste</v>
      </c>
      <c r="P22" s="2">
        <v>40941</v>
      </c>
      <c r="Q22" t="s">
        <v>174</v>
      </c>
      <c r="R22" t="s">
        <v>164</v>
      </c>
      <c r="S22" t="s">
        <v>154</v>
      </c>
      <c r="T22" t="s">
        <v>279</v>
      </c>
      <c r="U22" t="s">
        <v>156</v>
      </c>
      <c r="V22" s="2">
        <v>44728</v>
      </c>
      <c r="W22" t="s">
        <v>280</v>
      </c>
      <c r="X22">
        <v>57.58</v>
      </c>
      <c r="Y22">
        <v>20.2</v>
      </c>
      <c r="Z22">
        <v>30</v>
      </c>
      <c r="AA22">
        <v>14</v>
      </c>
      <c r="AB22">
        <v>2</v>
      </c>
      <c r="AC22">
        <v>282.8</v>
      </c>
      <c r="AD22">
        <v>244.76279042677101</v>
      </c>
      <c r="AE22" s="2">
        <v>44728</v>
      </c>
      <c r="AF22">
        <v>124</v>
      </c>
      <c r="AG22">
        <v>10.3682409308693</v>
      </c>
      <c r="AH22">
        <v>27.584083532776301</v>
      </c>
      <c r="AI22">
        <v>15.559259259259299</v>
      </c>
      <c r="AJ22">
        <v>21.904997927854801</v>
      </c>
      <c r="AK22">
        <v>27</v>
      </c>
      <c r="AL22">
        <v>1103.1088488949899</v>
      </c>
      <c r="AM22">
        <v>281.96830755260601</v>
      </c>
      <c r="AN22">
        <v>0.25561240654996198</v>
      </c>
      <c r="AO22" t="s">
        <v>164</v>
      </c>
      <c r="AP22" t="s">
        <v>158</v>
      </c>
      <c r="AQ22" t="s">
        <v>286</v>
      </c>
      <c r="AR22">
        <v>9</v>
      </c>
      <c r="AS22">
        <v>0.99279796400548714</v>
      </c>
      <c r="AT22" t="s">
        <v>287</v>
      </c>
      <c r="AU22" t="s">
        <v>288</v>
      </c>
      <c r="AV22">
        <v>8272</v>
      </c>
      <c r="AW22">
        <v>4624</v>
      </c>
      <c r="AX22">
        <v>3142</v>
      </c>
      <c r="AY22">
        <v>465</v>
      </c>
      <c r="AZ22">
        <v>41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-0.876</v>
      </c>
      <c r="BH22">
        <v>33.162998000000002</v>
      </c>
      <c r="BI22">
        <v>13.432815</v>
      </c>
      <c r="BJ22">
        <v>-0.335698</v>
      </c>
      <c r="BK22">
        <v>12.620233000000001</v>
      </c>
      <c r="BL22">
        <v>159.270276</v>
      </c>
      <c r="BM22">
        <v>0.93950800000000001</v>
      </c>
      <c r="BN22">
        <v>25.803000000000001</v>
      </c>
      <c r="BO22">
        <v>0.287968</v>
      </c>
      <c r="BP22">
        <v>1.233382</v>
      </c>
      <c r="BQ22">
        <v>12.151123999999999</v>
      </c>
      <c r="BR22">
        <v>4.806</v>
      </c>
      <c r="BS22">
        <v>5.0961990000000004</v>
      </c>
      <c r="BT22">
        <v>13.432815</v>
      </c>
      <c r="BU22">
        <v>6.8287690000000003</v>
      </c>
      <c r="BV22">
        <v>0.79549700000000001</v>
      </c>
      <c r="BW22">
        <v>-1.022659</v>
      </c>
      <c r="BX22">
        <v>0.50836499999999996</v>
      </c>
      <c r="BY22">
        <v>0.116492</v>
      </c>
      <c r="BZ22">
        <v>-0.149757</v>
      </c>
      <c r="CA22">
        <v>-0.24099999999999999</v>
      </c>
      <c r="CB22">
        <v>-4.4999999999999998E-2</v>
      </c>
      <c r="CC22">
        <v>0.123</v>
      </c>
      <c r="CD22">
        <v>0.92</v>
      </c>
      <c r="CE22">
        <v>2.4609999999999999</v>
      </c>
      <c r="CF22">
        <v>3.1676000000000002</v>
      </c>
      <c r="CG22">
        <v>3.8843999999999999</v>
      </c>
      <c r="CH22">
        <v>4.7605000000000004</v>
      </c>
      <c r="CI22">
        <v>19.738001000000001</v>
      </c>
      <c r="CJ22">
        <v>27.412201</v>
      </c>
      <c r="CK22">
        <v>28.263999999999999</v>
      </c>
      <c r="CL22">
        <v>28.799599000000001</v>
      </c>
      <c r="CM22">
        <v>29.587198000000001</v>
      </c>
      <c r="CN22">
        <v>30.058001000000001</v>
      </c>
      <c r="CO22">
        <v>31.798999999999999</v>
      </c>
      <c r="CP22">
        <v>0.42036499999999999</v>
      </c>
      <c r="CQ22">
        <v>18.430723</v>
      </c>
      <c r="CR22">
        <v>21.119603000000001</v>
      </c>
      <c r="CS22">
        <v>1</v>
      </c>
      <c r="CT22">
        <v>63</v>
      </c>
      <c r="CU22">
        <v>21.834502000000001</v>
      </c>
      <c r="CV22">
        <v>1</v>
      </c>
      <c r="CW22">
        <v>14.706291</v>
      </c>
      <c r="CX22">
        <v>216.27498900000001</v>
      </c>
      <c r="CY22">
        <v>0.67353499999999999</v>
      </c>
      <c r="CZ22">
        <v>26</v>
      </c>
      <c r="DA22">
        <v>0.32571899999999998</v>
      </c>
      <c r="DB22">
        <v>2.0666470000000001</v>
      </c>
      <c r="DC22">
        <v>12.64377</v>
      </c>
      <c r="DD22">
        <v>21.834502000000001</v>
      </c>
      <c r="DE22">
        <v>8.4147909999999992</v>
      </c>
      <c r="DF22">
        <v>0.71586700000000003</v>
      </c>
      <c r="DG22">
        <v>8.5389999999999994E-2</v>
      </c>
      <c r="DH22">
        <v>0.38539000000000001</v>
      </c>
      <c r="DI22">
        <v>8.5071999999999995E-2</v>
      </c>
      <c r="DJ22">
        <v>1.0148000000000001E-2</v>
      </c>
      <c r="DK22">
        <v>1</v>
      </c>
      <c r="DL22">
        <v>2</v>
      </c>
      <c r="DM22">
        <v>3</v>
      </c>
      <c r="DN22">
        <v>6</v>
      </c>
      <c r="DO22">
        <v>8</v>
      </c>
      <c r="DP22">
        <v>11</v>
      </c>
      <c r="DQ22">
        <v>15</v>
      </c>
      <c r="DR22">
        <v>21</v>
      </c>
      <c r="DS22">
        <v>26</v>
      </c>
      <c r="DT22">
        <v>31</v>
      </c>
      <c r="DU22">
        <v>34</v>
      </c>
      <c r="DV22">
        <v>36</v>
      </c>
      <c r="DW22">
        <v>42</v>
      </c>
      <c r="DX22">
        <v>47</v>
      </c>
      <c r="DY22">
        <v>55</v>
      </c>
      <c r="DZ22">
        <v>86.959343000000004</v>
      </c>
      <c r="EA22">
        <v>71.264506999999995</v>
      </c>
      <c r="EB22">
        <v>127.48702400000001</v>
      </c>
      <c r="EC22">
        <v>4021</v>
      </c>
      <c r="ED22">
        <v>5895</v>
      </c>
      <c r="EE22">
        <v>71.907438999999997</v>
      </c>
      <c r="EF22">
        <v>100</v>
      </c>
      <c r="EG22">
        <v>44.185203000000001</v>
      </c>
      <c r="EH22">
        <v>99.504351999999997</v>
      </c>
      <c r="EI22">
        <v>79.044117999999997</v>
      </c>
      <c r="EJ22">
        <v>178.006055</v>
      </c>
      <c r="EK22">
        <v>3325</v>
      </c>
      <c r="EL22">
        <v>4624</v>
      </c>
      <c r="EM22">
        <v>3655</v>
      </c>
      <c r="EN22">
        <v>8231</v>
      </c>
      <c r="EO22">
        <v>4624</v>
      </c>
      <c r="EP22">
        <v>8272</v>
      </c>
      <c r="EQ22">
        <v>41.275562000000001</v>
      </c>
    </row>
    <row r="23" spans="1:147" x14ac:dyDescent="0.25">
      <c r="A23">
        <v>2022</v>
      </c>
      <c r="B23" t="str">
        <f t="shared" si="0"/>
        <v>RD</v>
      </c>
      <c r="C23" t="s">
        <v>289</v>
      </c>
      <c r="D23" t="s">
        <v>289</v>
      </c>
      <c r="E23">
        <v>20766</v>
      </c>
      <c r="F23" t="s">
        <v>290</v>
      </c>
      <c r="G23" t="s">
        <v>291</v>
      </c>
      <c r="H23" t="s">
        <v>292</v>
      </c>
      <c r="I23">
        <v>45.11</v>
      </c>
      <c r="J23">
        <v>45.11</v>
      </c>
      <c r="K23" t="s">
        <v>219</v>
      </c>
      <c r="L23">
        <v>1</v>
      </c>
      <c r="M23">
        <v>2012</v>
      </c>
      <c r="N23">
        <v>3</v>
      </c>
      <c r="O23" t="str">
        <f t="shared" si="1"/>
        <v>Alto fuste</v>
      </c>
      <c r="P23" s="2">
        <v>40915</v>
      </c>
      <c r="Q23" t="s">
        <v>237</v>
      </c>
      <c r="R23" t="s">
        <v>165</v>
      </c>
      <c r="S23" t="s">
        <v>154</v>
      </c>
      <c r="T23" t="s">
        <v>221</v>
      </c>
      <c r="U23" t="s">
        <v>156</v>
      </c>
      <c r="V23" s="2">
        <v>44683</v>
      </c>
      <c r="W23" t="s">
        <v>293</v>
      </c>
      <c r="X23">
        <v>74.459999999999994</v>
      </c>
      <c r="Y23">
        <v>19.3</v>
      </c>
      <c r="Z23">
        <v>12</v>
      </c>
      <c r="AA23">
        <v>14.8</v>
      </c>
      <c r="AB23">
        <v>3</v>
      </c>
      <c r="AC23">
        <v>285.64</v>
      </c>
      <c r="AD23">
        <v>279.01517531440197</v>
      </c>
      <c r="AE23" s="2">
        <v>44683</v>
      </c>
      <c r="AF23">
        <v>124</v>
      </c>
      <c r="AG23">
        <v>10.3162217659138</v>
      </c>
      <c r="AH23">
        <v>25.378241551296099</v>
      </c>
      <c r="AI23">
        <v>16.727272727272702</v>
      </c>
      <c r="AJ23">
        <v>17.8407986399084</v>
      </c>
      <c r="AK23">
        <v>22</v>
      </c>
      <c r="AL23">
        <v>788.48757868491498</v>
      </c>
      <c r="AM23">
        <v>208.443587603238</v>
      </c>
      <c r="AN23">
        <v>0.26435874608309301</v>
      </c>
      <c r="AO23" t="s">
        <v>165</v>
      </c>
      <c r="AP23" t="s">
        <v>158</v>
      </c>
      <c r="AQ23" t="s">
        <v>294</v>
      </c>
      <c r="AR23">
        <v>7.5</v>
      </c>
      <c r="AS23">
        <v>0.59136568401368661</v>
      </c>
      <c r="AT23" t="s">
        <v>295</v>
      </c>
      <c r="AU23" t="s">
        <v>296</v>
      </c>
      <c r="AV23">
        <v>4255</v>
      </c>
      <c r="AW23">
        <v>2503</v>
      </c>
      <c r="AX23">
        <v>1465</v>
      </c>
      <c r="AY23">
        <v>274</v>
      </c>
      <c r="AZ23">
        <v>13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-1.17</v>
      </c>
      <c r="BH23">
        <v>29.93</v>
      </c>
      <c r="BI23">
        <v>10.639576999999999</v>
      </c>
      <c r="BJ23">
        <v>-0.182698</v>
      </c>
      <c r="BK23">
        <v>10.246169</v>
      </c>
      <c r="BL23">
        <v>104.98398299999999</v>
      </c>
      <c r="BM23">
        <v>0.96302399999999999</v>
      </c>
      <c r="BN23">
        <v>20.335000999999998</v>
      </c>
      <c r="BO23">
        <v>0.21770200000000001</v>
      </c>
      <c r="BP23">
        <v>1.421457</v>
      </c>
      <c r="BQ23">
        <v>9.5135149999999999</v>
      </c>
      <c r="BR23">
        <v>10.549999</v>
      </c>
      <c r="BS23">
        <v>10.912698000000001</v>
      </c>
      <c r="BT23">
        <v>10.639576999999999</v>
      </c>
      <c r="BU23">
        <v>5.6835459999999998</v>
      </c>
      <c r="BV23">
        <v>0.70779999999999998</v>
      </c>
      <c r="BW23">
        <v>-0.69083899999999998</v>
      </c>
      <c r="BX23">
        <v>0.53418900000000002</v>
      </c>
      <c r="BY23">
        <v>0.12453500000000001</v>
      </c>
      <c r="BZ23">
        <v>-0.12155100000000001</v>
      </c>
      <c r="CA23">
        <v>-0.39460000000000001</v>
      </c>
      <c r="CB23">
        <v>-0.17</v>
      </c>
      <c r="CC23">
        <v>-0.06</v>
      </c>
      <c r="CD23">
        <v>7.0000000000000007E-2</v>
      </c>
      <c r="CE23">
        <v>0.15</v>
      </c>
      <c r="CF23">
        <v>0.23</v>
      </c>
      <c r="CG23">
        <v>0.64600000000000002</v>
      </c>
      <c r="CH23">
        <v>10.73</v>
      </c>
      <c r="CI23">
        <v>15.72</v>
      </c>
      <c r="CJ23">
        <v>18.766000999999999</v>
      </c>
      <c r="CK23">
        <v>20.485001</v>
      </c>
      <c r="CL23">
        <v>21.911999000000002</v>
      </c>
      <c r="CM23">
        <v>24.52</v>
      </c>
      <c r="CN23">
        <v>26.073</v>
      </c>
      <c r="CO23">
        <v>28.794599999999999</v>
      </c>
      <c r="CP23">
        <v>0.37972899999999998</v>
      </c>
      <c r="CQ23">
        <v>14.770237</v>
      </c>
      <c r="CR23">
        <v>16.855398000000001</v>
      </c>
      <c r="CS23">
        <v>1</v>
      </c>
      <c r="CT23">
        <v>54</v>
      </c>
      <c r="CU23">
        <v>14.090952</v>
      </c>
      <c r="CV23">
        <v>1</v>
      </c>
      <c r="CW23">
        <v>11.070550000000001</v>
      </c>
      <c r="CX23">
        <v>122.557076</v>
      </c>
      <c r="CY23">
        <v>0.78564999999999996</v>
      </c>
      <c r="CZ23">
        <v>13</v>
      </c>
      <c r="DA23">
        <v>1.086751</v>
      </c>
      <c r="DB23">
        <v>3.4924179999999998</v>
      </c>
      <c r="DC23">
        <v>8.6555389999999992</v>
      </c>
      <c r="DD23">
        <v>14.090952</v>
      </c>
      <c r="DE23">
        <v>5.9704050000000004</v>
      </c>
      <c r="DF23">
        <v>1.486132</v>
      </c>
      <c r="DG23">
        <v>0.72670500000000005</v>
      </c>
      <c r="DH23">
        <v>0.423705</v>
      </c>
      <c r="DI23">
        <v>0.248917</v>
      </c>
      <c r="DJ23">
        <v>0.12171800000000001</v>
      </c>
      <c r="DK23">
        <v>1</v>
      </c>
      <c r="DL23">
        <v>1</v>
      </c>
      <c r="DM23">
        <v>2</v>
      </c>
      <c r="DN23">
        <v>5</v>
      </c>
      <c r="DO23">
        <v>6</v>
      </c>
      <c r="DP23">
        <v>7</v>
      </c>
      <c r="DQ23">
        <v>9</v>
      </c>
      <c r="DR23">
        <v>11</v>
      </c>
      <c r="DS23">
        <v>14</v>
      </c>
      <c r="DT23">
        <v>17</v>
      </c>
      <c r="DU23">
        <v>19</v>
      </c>
      <c r="DV23">
        <v>22</v>
      </c>
      <c r="DW23">
        <v>33</v>
      </c>
      <c r="DX23">
        <v>38</v>
      </c>
      <c r="DY23">
        <v>45</v>
      </c>
      <c r="DZ23">
        <v>79.025170000000003</v>
      </c>
      <c r="EA23">
        <v>56.686250999999999</v>
      </c>
      <c r="EB23">
        <v>96.364362999999997</v>
      </c>
      <c r="EC23">
        <v>1978</v>
      </c>
      <c r="ED23">
        <v>2412</v>
      </c>
      <c r="EE23">
        <v>73.951257999999996</v>
      </c>
      <c r="EF23">
        <v>99.960048</v>
      </c>
      <c r="EG23">
        <v>50.129260000000002</v>
      </c>
      <c r="EH23">
        <v>95.511162999999996</v>
      </c>
      <c r="EI23">
        <v>85.217738999999995</v>
      </c>
      <c r="EJ23">
        <v>162.365162</v>
      </c>
      <c r="EK23">
        <v>1851</v>
      </c>
      <c r="EL23">
        <v>2502</v>
      </c>
      <c r="EM23">
        <v>2133</v>
      </c>
      <c r="EN23">
        <v>4064</v>
      </c>
      <c r="EO23">
        <v>2503</v>
      </c>
      <c r="EP23">
        <v>4255</v>
      </c>
      <c r="EQ23">
        <v>36.016764000000002</v>
      </c>
    </row>
    <row r="24" spans="1:147" x14ac:dyDescent="0.25">
      <c r="A24">
        <v>2022</v>
      </c>
      <c r="B24" t="str">
        <f t="shared" si="0"/>
        <v>NE</v>
      </c>
      <c r="C24" t="s">
        <v>297</v>
      </c>
      <c r="D24" t="s">
        <v>297</v>
      </c>
      <c r="E24">
        <v>21196</v>
      </c>
      <c r="F24" t="s">
        <v>298</v>
      </c>
      <c r="G24" t="s">
        <v>299</v>
      </c>
      <c r="H24" t="s">
        <v>300</v>
      </c>
      <c r="I24">
        <v>5.48</v>
      </c>
      <c r="J24">
        <v>5.48</v>
      </c>
      <c r="K24" t="s">
        <v>301</v>
      </c>
      <c r="L24">
        <v>1</v>
      </c>
      <c r="M24">
        <v>2013</v>
      </c>
      <c r="N24">
        <v>2</v>
      </c>
      <c r="O24" t="str">
        <f t="shared" si="1"/>
        <v>Alto fuste</v>
      </c>
      <c r="P24" s="2">
        <v>41481</v>
      </c>
      <c r="Q24" t="s">
        <v>174</v>
      </c>
      <c r="R24" t="s">
        <v>302</v>
      </c>
      <c r="S24" t="s">
        <v>154</v>
      </c>
      <c r="T24" t="s">
        <v>175</v>
      </c>
      <c r="U24" t="s">
        <v>156</v>
      </c>
      <c r="V24" s="2">
        <v>44715</v>
      </c>
      <c r="W24" t="s">
        <v>303</v>
      </c>
      <c r="X24">
        <v>92.67</v>
      </c>
      <c r="Y24">
        <v>19.3</v>
      </c>
      <c r="Z24">
        <v>6</v>
      </c>
      <c r="AA24">
        <v>15.3</v>
      </c>
      <c r="AB24">
        <v>3</v>
      </c>
      <c r="AC24">
        <v>295.29000000000002</v>
      </c>
      <c r="AD24">
        <v>293.269902706008</v>
      </c>
      <c r="AE24" s="2">
        <v>44715</v>
      </c>
      <c r="AF24">
        <v>107</v>
      </c>
      <c r="AG24">
        <v>8.8542094455852194</v>
      </c>
      <c r="AH24">
        <v>30.028026884797601</v>
      </c>
      <c r="AI24">
        <v>17.9838709677419</v>
      </c>
      <c r="AJ24">
        <v>27.414976470058999</v>
      </c>
      <c r="AK24">
        <v>31</v>
      </c>
      <c r="AL24">
        <v>1057.0467584284099</v>
      </c>
      <c r="AM24">
        <v>361.94277782950002</v>
      </c>
      <c r="AN24">
        <v>0.34240942980387001</v>
      </c>
      <c r="AO24" t="s">
        <v>302</v>
      </c>
      <c r="AP24" t="s">
        <v>158</v>
      </c>
      <c r="AQ24" t="s">
        <v>304</v>
      </c>
      <c r="AR24">
        <v>9</v>
      </c>
      <c r="AS24">
        <v>0.95134208258556607</v>
      </c>
      <c r="AT24" t="s">
        <v>305</v>
      </c>
      <c r="AU24" t="s">
        <v>306</v>
      </c>
      <c r="AV24">
        <v>2153</v>
      </c>
      <c r="AW24">
        <v>1356</v>
      </c>
      <c r="AX24">
        <v>743</v>
      </c>
      <c r="AY24">
        <v>53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-0.91</v>
      </c>
      <c r="BH24">
        <v>33.860000999999997</v>
      </c>
      <c r="BI24">
        <v>19.416353999999998</v>
      </c>
      <c r="BJ24">
        <v>-0.358095</v>
      </c>
      <c r="BK24">
        <v>15.135146000000001</v>
      </c>
      <c r="BL24">
        <v>229.07263900000001</v>
      </c>
      <c r="BM24">
        <v>0.779505</v>
      </c>
      <c r="BN24">
        <v>31.86</v>
      </c>
      <c r="BO24">
        <v>-0.45869199999999999</v>
      </c>
      <c r="BP24">
        <v>1.257477</v>
      </c>
      <c r="BQ24">
        <v>14.583354</v>
      </c>
      <c r="BR24">
        <v>2.0399989999999999</v>
      </c>
      <c r="BS24">
        <v>31.238094</v>
      </c>
      <c r="BT24">
        <v>19.416353999999998</v>
      </c>
      <c r="BU24">
        <v>7.726661</v>
      </c>
      <c r="BV24">
        <v>-1.4868729999999999</v>
      </c>
      <c r="BW24">
        <v>-1.3370200000000001</v>
      </c>
      <c r="BX24">
        <v>0.39794600000000002</v>
      </c>
      <c r="BY24">
        <v>-0.19243399999999999</v>
      </c>
      <c r="BZ24">
        <v>-0.17304</v>
      </c>
      <c r="CA24">
        <v>-0.46</v>
      </c>
      <c r="CB24">
        <v>-0.19</v>
      </c>
      <c r="CC24">
        <v>-0.08</v>
      </c>
      <c r="CD24">
        <v>7.0000000000000007E-2</v>
      </c>
      <c r="CE24">
        <v>0.14000000000000001</v>
      </c>
      <c r="CF24">
        <v>0.21</v>
      </c>
      <c r="CG24">
        <v>24.117999999999999</v>
      </c>
      <c r="CH24">
        <v>30.879999000000002</v>
      </c>
      <c r="CI24">
        <v>31.42</v>
      </c>
      <c r="CJ24">
        <v>31.809999000000001</v>
      </c>
      <c r="CK24">
        <v>32</v>
      </c>
      <c r="CL24">
        <v>32.189999</v>
      </c>
      <c r="CM24">
        <v>32.648003000000003</v>
      </c>
      <c r="CN24">
        <v>32.959999000000003</v>
      </c>
      <c r="CO24">
        <v>33.394801999999999</v>
      </c>
      <c r="CP24">
        <v>0.58459499999999998</v>
      </c>
      <c r="CQ24">
        <v>24.616275999999999</v>
      </c>
      <c r="CR24">
        <v>26.715506999999999</v>
      </c>
      <c r="CS24">
        <v>1</v>
      </c>
      <c r="CT24">
        <v>54</v>
      </c>
      <c r="CU24">
        <v>22.733395000000002</v>
      </c>
      <c r="CV24">
        <v>1</v>
      </c>
      <c r="CW24">
        <v>14.431207000000001</v>
      </c>
      <c r="CX24">
        <v>208.25974400000001</v>
      </c>
      <c r="CY24">
        <v>0.63480199999999998</v>
      </c>
      <c r="CZ24">
        <v>28</v>
      </c>
      <c r="DA24">
        <v>-0.18063100000000001</v>
      </c>
      <c r="DB24">
        <v>1.6804060000000001</v>
      </c>
      <c r="DC24">
        <v>12.814049000000001</v>
      </c>
      <c r="DD24">
        <v>22.733395000000002</v>
      </c>
      <c r="DE24">
        <v>8.2213189999999994</v>
      </c>
      <c r="DF24">
        <v>-0.43867600000000001</v>
      </c>
      <c r="DG24">
        <v>-0.26398700000000003</v>
      </c>
      <c r="DH24">
        <v>0.36164099999999999</v>
      </c>
      <c r="DI24">
        <v>-5.3358000000000003E-2</v>
      </c>
      <c r="DJ24">
        <v>-3.211E-2</v>
      </c>
      <c r="DK24">
        <v>1</v>
      </c>
      <c r="DL24">
        <v>1</v>
      </c>
      <c r="DM24">
        <v>2</v>
      </c>
      <c r="DN24">
        <v>5</v>
      </c>
      <c r="DO24">
        <v>7</v>
      </c>
      <c r="DP24">
        <v>11</v>
      </c>
      <c r="DQ24">
        <v>21</v>
      </c>
      <c r="DR24">
        <v>27</v>
      </c>
      <c r="DS24">
        <v>30</v>
      </c>
      <c r="DT24">
        <v>33</v>
      </c>
      <c r="DU24">
        <v>35</v>
      </c>
      <c r="DV24">
        <v>36</v>
      </c>
      <c r="DW24">
        <v>40</v>
      </c>
      <c r="DX24">
        <v>43</v>
      </c>
      <c r="DY24">
        <v>49</v>
      </c>
      <c r="DZ24">
        <v>95.648967999999996</v>
      </c>
      <c r="EA24">
        <v>63.353459999999998</v>
      </c>
      <c r="EB24">
        <v>100.58997100000001</v>
      </c>
      <c r="EC24">
        <v>1297</v>
      </c>
      <c r="ED24">
        <v>1364</v>
      </c>
      <c r="EE24">
        <v>94.026549000000003</v>
      </c>
      <c r="EF24">
        <v>100</v>
      </c>
      <c r="EG24">
        <v>61.402693999999997</v>
      </c>
      <c r="EH24">
        <v>97.863445999999996</v>
      </c>
      <c r="EI24">
        <v>97.492625000000004</v>
      </c>
      <c r="EJ24">
        <v>155.38348099999999</v>
      </c>
      <c r="EK24">
        <v>1275</v>
      </c>
      <c r="EL24">
        <v>1356</v>
      </c>
      <c r="EM24">
        <v>1322</v>
      </c>
      <c r="EN24">
        <v>2107</v>
      </c>
      <c r="EO24">
        <v>1356</v>
      </c>
      <c r="EP24">
        <v>2153</v>
      </c>
      <c r="EQ24">
        <v>57.196452999999998</v>
      </c>
    </row>
    <row r="25" spans="1:147" x14ac:dyDescent="0.25">
      <c r="A25">
        <v>2022</v>
      </c>
      <c r="B25" t="str">
        <f t="shared" si="0"/>
        <v>NE</v>
      </c>
      <c r="C25" t="s">
        <v>307</v>
      </c>
      <c r="D25" t="s">
        <v>307</v>
      </c>
      <c r="E25">
        <v>21197</v>
      </c>
      <c r="F25" t="s">
        <v>298</v>
      </c>
      <c r="G25" t="s">
        <v>299</v>
      </c>
      <c r="H25" t="s">
        <v>308</v>
      </c>
      <c r="I25">
        <v>16.760000000000002</v>
      </c>
      <c r="J25">
        <v>16.760000000000002</v>
      </c>
      <c r="K25" t="s">
        <v>301</v>
      </c>
      <c r="L25">
        <v>1</v>
      </c>
      <c r="M25">
        <v>2013</v>
      </c>
      <c r="N25">
        <v>2</v>
      </c>
      <c r="O25" t="str">
        <f t="shared" si="1"/>
        <v>Alto fuste</v>
      </c>
      <c r="P25" s="2">
        <v>41481</v>
      </c>
      <c r="Q25" t="s">
        <v>174</v>
      </c>
      <c r="R25" t="s">
        <v>309</v>
      </c>
      <c r="S25" t="s">
        <v>154</v>
      </c>
      <c r="T25" t="s">
        <v>175</v>
      </c>
      <c r="U25" t="s">
        <v>156</v>
      </c>
      <c r="V25" s="2">
        <v>44715</v>
      </c>
      <c r="W25" t="s">
        <v>303</v>
      </c>
      <c r="X25">
        <v>92.67</v>
      </c>
      <c r="Y25">
        <v>20</v>
      </c>
      <c r="Z25">
        <v>12</v>
      </c>
      <c r="AA25">
        <v>15.7</v>
      </c>
      <c r="AB25">
        <v>2</v>
      </c>
      <c r="AC25">
        <v>314</v>
      </c>
      <c r="AD25">
        <v>306.95124624824803</v>
      </c>
      <c r="AE25" s="2">
        <v>44715</v>
      </c>
      <c r="AF25">
        <v>107</v>
      </c>
      <c r="AG25">
        <v>8.8542094455852194</v>
      </c>
      <c r="AH25">
        <v>35.836169553544202</v>
      </c>
      <c r="AI25">
        <v>19.690000000000001</v>
      </c>
      <c r="AJ25">
        <v>30.257856340643801</v>
      </c>
      <c r="AK25">
        <v>30</v>
      </c>
      <c r="AL25">
        <v>977.35390771918799</v>
      </c>
      <c r="AM25">
        <v>468.73472457767201</v>
      </c>
      <c r="AN25">
        <v>0.47959569289648601</v>
      </c>
      <c r="AO25" t="s">
        <v>309</v>
      </c>
      <c r="AP25" t="s">
        <v>158</v>
      </c>
      <c r="AQ25" t="s">
        <v>304</v>
      </c>
      <c r="AR25">
        <v>9</v>
      </c>
      <c r="AS25">
        <v>0.87961851694726934</v>
      </c>
      <c r="AT25" t="s">
        <v>310</v>
      </c>
      <c r="AU25" t="s">
        <v>311</v>
      </c>
      <c r="AV25">
        <v>9095</v>
      </c>
      <c r="AW25">
        <v>6101</v>
      </c>
      <c r="AX25">
        <v>2743</v>
      </c>
      <c r="AY25">
        <v>238</v>
      </c>
      <c r="AZ25">
        <v>13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-1.33</v>
      </c>
      <c r="BH25">
        <v>37.619999</v>
      </c>
      <c r="BI25">
        <v>20.138355000000001</v>
      </c>
      <c r="BJ25">
        <v>-9.3492000000000006E-2</v>
      </c>
      <c r="BK25">
        <v>16.153493999999998</v>
      </c>
      <c r="BL25">
        <v>260.93536399999999</v>
      </c>
      <c r="BM25">
        <v>0.80212600000000001</v>
      </c>
      <c r="BN25">
        <v>33.85</v>
      </c>
      <c r="BO25">
        <v>-0.39151399999999997</v>
      </c>
      <c r="BP25">
        <v>1.228073</v>
      </c>
      <c r="BQ25">
        <v>15.558236000000001</v>
      </c>
      <c r="BR25">
        <v>4.619999</v>
      </c>
      <c r="BS25">
        <v>31.293493000000002</v>
      </c>
      <c r="BT25">
        <v>20.138355000000001</v>
      </c>
      <c r="BU25">
        <v>8.4205629999999996</v>
      </c>
      <c r="BV25">
        <v>-1.173103</v>
      </c>
      <c r="BW25">
        <v>-1.4533229999999999</v>
      </c>
      <c r="BX25">
        <v>0.41813600000000001</v>
      </c>
      <c r="BY25">
        <v>-0.13931399999999999</v>
      </c>
      <c r="BZ25">
        <v>-0.172592</v>
      </c>
      <c r="CA25">
        <v>-0.4</v>
      </c>
      <c r="CB25">
        <v>-0.16</v>
      </c>
      <c r="CC25">
        <v>-0.08</v>
      </c>
      <c r="CD25">
        <v>0.04</v>
      </c>
      <c r="CE25">
        <v>0.08</v>
      </c>
      <c r="CF25">
        <v>0.14000000000000001</v>
      </c>
      <c r="CG25">
        <v>20.536000999999999</v>
      </c>
      <c r="CH25">
        <v>31.200001</v>
      </c>
      <c r="CI25">
        <v>32.700001</v>
      </c>
      <c r="CJ25">
        <v>33.509998000000003</v>
      </c>
      <c r="CK25">
        <v>33.93</v>
      </c>
      <c r="CL25">
        <v>34.380001</v>
      </c>
      <c r="CM25">
        <v>35.520000000000003</v>
      </c>
      <c r="CN25">
        <v>36.252997999999998</v>
      </c>
      <c r="CO25">
        <v>37.150596999999998</v>
      </c>
      <c r="CP25">
        <v>0.55117700000000003</v>
      </c>
      <c r="CQ25">
        <v>25.815887</v>
      </c>
      <c r="CR25">
        <v>28.138680000000001</v>
      </c>
      <c r="CS25">
        <v>1</v>
      </c>
      <c r="CT25">
        <v>66</v>
      </c>
      <c r="CU25">
        <v>22.981638</v>
      </c>
      <c r="CV25">
        <v>1</v>
      </c>
      <c r="CW25">
        <v>14.51132</v>
      </c>
      <c r="CX25">
        <v>210.578396</v>
      </c>
      <c r="CY25">
        <v>0.63143099999999996</v>
      </c>
      <c r="CZ25">
        <v>25</v>
      </c>
      <c r="DA25">
        <v>0.10126</v>
      </c>
      <c r="DB25">
        <v>2.040651</v>
      </c>
      <c r="DC25">
        <v>12.369991000000001</v>
      </c>
      <c r="DD25">
        <v>22.981638</v>
      </c>
      <c r="DE25">
        <v>8.3250150000000005</v>
      </c>
      <c r="DF25">
        <v>0.14841199999999999</v>
      </c>
      <c r="DG25">
        <v>0.16630900000000001</v>
      </c>
      <c r="DH25">
        <v>0.36224600000000001</v>
      </c>
      <c r="DI25">
        <v>1.7826999999999999E-2</v>
      </c>
      <c r="DJ25">
        <v>1.9977000000000002E-2</v>
      </c>
      <c r="DK25">
        <v>1</v>
      </c>
      <c r="DL25">
        <v>1</v>
      </c>
      <c r="DM25">
        <v>3</v>
      </c>
      <c r="DN25">
        <v>7</v>
      </c>
      <c r="DO25">
        <v>9</v>
      </c>
      <c r="DP25">
        <v>13</v>
      </c>
      <c r="DQ25">
        <v>19</v>
      </c>
      <c r="DR25">
        <v>24</v>
      </c>
      <c r="DS25">
        <v>28</v>
      </c>
      <c r="DT25">
        <v>32</v>
      </c>
      <c r="DU25">
        <v>34</v>
      </c>
      <c r="DV25">
        <v>36</v>
      </c>
      <c r="DW25">
        <v>42</v>
      </c>
      <c r="DX25">
        <v>46</v>
      </c>
      <c r="DY25">
        <v>54</v>
      </c>
      <c r="DZ25">
        <v>86.871004999999997</v>
      </c>
      <c r="EA25">
        <v>61.902144</v>
      </c>
      <c r="EB25">
        <v>92.279954000000004</v>
      </c>
      <c r="EC25">
        <v>5300</v>
      </c>
      <c r="ED25">
        <v>5630</v>
      </c>
      <c r="EE25">
        <v>86.149811999999997</v>
      </c>
      <c r="EF25">
        <v>99.967218000000003</v>
      </c>
      <c r="EG25">
        <v>60.076965000000001</v>
      </c>
      <c r="EH25">
        <v>91.434854000000001</v>
      </c>
      <c r="EI25">
        <v>89.559089</v>
      </c>
      <c r="EJ25">
        <v>136.30552399999999</v>
      </c>
      <c r="EK25">
        <v>5256</v>
      </c>
      <c r="EL25">
        <v>6099</v>
      </c>
      <c r="EM25">
        <v>5464</v>
      </c>
      <c r="EN25">
        <v>8316</v>
      </c>
      <c r="EO25">
        <v>6101</v>
      </c>
      <c r="EP25">
        <v>9095</v>
      </c>
      <c r="EQ25">
        <v>53.207439000000001</v>
      </c>
    </row>
    <row r="26" spans="1:147" x14ac:dyDescent="0.25">
      <c r="A26">
        <v>2022</v>
      </c>
      <c r="B26" t="str">
        <f t="shared" si="0"/>
        <v>NE</v>
      </c>
      <c r="C26" t="s">
        <v>312</v>
      </c>
      <c r="D26" t="s">
        <v>312</v>
      </c>
      <c r="E26">
        <v>21198</v>
      </c>
      <c r="F26" t="s">
        <v>298</v>
      </c>
      <c r="G26" t="s">
        <v>299</v>
      </c>
      <c r="H26" t="s">
        <v>313</v>
      </c>
      <c r="I26">
        <v>23.77</v>
      </c>
      <c r="J26">
        <v>23.77</v>
      </c>
      <c r="K26" t="s">
        <v>301</v>
      </c>
      <c r="L26">
        <v>1</v>
      </c>
      <c r="M26">
        <v>2013</v>
      </c>
      <c r="N26">
        <v>2</v>
      </c>
      <c r="O26" t="str">
        <f t="shared" si="1"/>
        <v>Alto fuste</v>
      </c>
      <c r="P26" s="2">
        <v>41449</v>
      </c>
      <c r="Q26" t="s">
        <v>174</v>
      </c>
      <c r="R26" t="s">
        <v>314</v>
      </c>
      <c r="S26" t="s">
        <v>154</v>
      </c>
      <c r="T26" t="s">
        <v>175</v>
      </c>
      <c r="U26" t="s">
        <v>156</v>
      </c>
      <c r="V26" s="2">
        <v>44715</v>
      </c>
      <c r="W26" t="s">
        <v>303</v>
      </c>
      <c r="X26">
        <v>92.67</v>
      </c>
      <c r="Y26">
        <v>21.2</v>
      </c>
      <c r="Z26">
        <v>22</v>
      </c>
      <c r="AA26">
        <v>15</v>
      </c>
      <c r="AB26">
        <v>3</v>
      </c>
      <c r="AC26">
        <v>318</v>
      </c>
      <c r="AD26">
        <v>294.44039165911897</v>
      </c>
      <c r="AE26" s="2">
        <v>44715</v>
      </c>
      <c r="AF26">
        <v>108</v>
      </c>
      <c r="AG26">
        <v>8.9418206707734402</v>
      </c>
      <c r="AH26">
        <v>32.383914519216198</v>
      </c>
      <c r="AI26">
        <v>17.9096774193548</v>
      </c>
      <c r="AJ26">
        <v>26.889154937063001</v>
      </c>
      <c r="AK26">
        <v>31</v>
      </c>
      <c r="AL26">
        <v>1052.84468021933</v>
      </c>
      <c r="AM26">
        <v>380.22476446584699</v>
      </c>
      <c r="AN26">
        <v>0.36114041473490399</v>
      </c>
      <c r="AO26" t="s">
        <v>314</v>
      </c>
      <c r="AP26" t="s">
        <v>158</v>
      </c>
      <c r="AQ26" t="s">
        <v>315</v>
      </c>
      <c r="AR26">
        <v>9</v>
      </c>
      <c r="AS26">
        <v>0.94756021219739894</v>
      </c>
      <c r="AT26" t="s">
        <v>316</v>
      </c>
      <c r="AU26" t="s">
        <v>317</v>
      </c>
      <c r="AV26">
        <v>5292</v>
      </c>
      <c r="AW26">
        <v>2726</v>
      </c>
      <c r="AX26">
        <v>1922</v>
      </c>
      <c r="AY26">
        <v>578</v>
      </c>
      <c r="AZ26">
        <v>66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-1.49</v>
      </c>
      <c r="BH26">
        <v>33.959999000000003</v>
      </c>
      <c r="BI26">
        <v>16.540742999999999</v>
      </c>
      <c r="BJ26">
        <v>-0.36460300000000001</v>
      </c>
      <c r="BK26">
        <v>13.606526000000001</v>
      </c>
      <c r="BL26">
        <v>185.137553</v>
      </c>
      <c r="BM26">
        <v>0.82260699999999998</v>
      </c>
      <c r="BN26">
        <v>28.645</v>
      </c>
      <c r="BO26">
        <v>-0.21557599999999999</v>
      </c>
      <c r="BP26">
        <v>1.297615</v>
      </c>
      <c r="BQ26">
        <v>12.703697</v>
      </c>
      <c r="BR26">
        <v>10.869999</v>
      </c>
      <c r="BS26">
        <v>21.884604</v>
      </c>
      <c r="BT26">
        <v>16.540742999999999</v>
      </c>
      <c r="BU26">
        <v>7.4726559999999997</v>
      </c>
      <c r="BV26">
        <v>-0.307448</v>
      </c>
      <c r="BW26">
        <v>-1.123864</v>
      </c>
      <c r="BX26">
        <v>0.45177299999999998</v>
      </c>
      <c r="BY26">
        <v>-4.1142999999999999E-2</v>
      </c>
      <c r="BZ26">
        <v>-0.150397</v>
      </c>
      <c r="CA26">
        <v>-0.41</v>
      </c>
      <c r="CB26">
        <v>-0.16</v>
      </c>
      <c r="CC26">
        <v>-0.06</v>
      </c>
      <c r="CD26">
        <v>0.08</v>
      </c>
      <c r="CE26">
        <v>0.16</v>
      </c>
      <c r="CF26">
        <v>0.27</v>
      </c>
      <c r="CG26">
        <v>14.615996000000001</v>
      </c>
      <c r="CH26">
        <v>21.52</v>
      </c>
      <c r="CI26">
        <v>25.306000000000001</v>
      </c>
      <c r="CJ26">
        <v>27.540001</v>
      </c>
      <c r="CK26">
        <v>28.805</v>
      </c>
      <c r="CL26">
        <v>30.959999</v>
      </c>
      <c r="CM26">
        <v>32.529998999999997</v>
      </c>
      <c r="CN26">
        <v>32.909999999999997</v>
      </c>
      <c r="CO26">
        <v>33.390900000000002</v>
      </c>
      <c r="CP26">
        <v>0.50862499999999999</v>
      </c>
      <c r="CQ26">
        <v>21.417252999999999</v>
      </c>
      <c r="CR26">
        <v>23.614035999999999</v>
      </c>
      <c r="CS26">
        <v>1</v>
      </c>
      <c r="CT26">
        <v>56</v>
      </c>
      <c r="CU26">
        <v>13.474679</v>
      </c>
      <c r="CV26">
        <v>1</v>
      </c>
      <c r="CW26">
        <v>10.370108</v>
      </c>
      <c r="CX26">
        <v>107.539143</v>
      </c>
      <c r="CY26">
        <v>0.76959999999999995</v>
      </c>
      <c r="CZ26">
        <v>13</v>
      </c>
      <c r="DA26">
        <v>1.138585</v>
      </c>
      <c r="DB26">
        <v>3.9966889999999999</v>
      </c>
      <c r="DC26">
        <v>8.1723870000000005</v>
      </c>
      <c r="DD26">
        <v>13.474679</v>
      </c>
      <c r="DE26">
        <v>5.5950899999999999</v>
      </c>
      <c r="DF26">
        <v>1.332265</v>
      </c>
      <c r="DG26">
        <v>0.66039599999999998</v>
      </c>
      <c r="DH26">
        <v>0.41522999999999999</v>
      </c>
      <c r="DI26">
        <v>0.23811299999999999</v>
      </c>
      <c r="DJ26">
        <v>0.118031</v>
      </c>
      <c r="DK26">
        <v>1</v>
      </c>
      <c r="DL26">
        <v>1</v>
      </c>
      <c r="DM26">
        <v>2</v>
      </c>
      <c r="DN26">
        <v>4</v>
      </c>
      <c r="DO26">
        <v>6</v>
      </c>
      <c r="DP26">
        <v>7</v>
      </c>
      <c r="DQ26">
        <v>9</v>
      </c>
      <c r="DR26">
        <v>11</v>
      </c>
      <c r="DS26">
        <v>14</v>
      </c>
      <c r="DT26">
        <v>17</v>
      </c>
      <c r="DU26">
        <v>19</v>
      </c>
      <c r="DV26">
        <v>21</v>
      </c>
      <c r="DW26">
        <v>28</v>
      </c>
      <c r="DX26">
        <v>35</v>
      </c>
      <c r="DY26">
        <v>46</v>
      </c>
      <c r="DZ26">
        <v>91.892882999999998</v>
      </c>
      <c r="EA26">
        <v>62.244897999999999</v>
      </c>
      <c r="EB26">
        <v>120.83638999999999</v>
      </c>
      <c r="EC26">
        <v>2505</v>
      </c>
      <c r="ED26">
        <v>3294</v>
      </c>
      <c r="EE26">
        <v>89.361701999999994</v>
      </c>
      <c r="EF26">
        <v>100</v>
      </c>
      <c r="EG26">
        <v>57.671957999999997</v>
      </c>
      <c r="EH26">
        <v>98.790627000000001</v>
      </c>
      <c r="EI26">
        <v>111.95891399999999</v>
      </c>
      <c r="EJ26">
        <v>191.78283200000001</v>
      </c>
      <c r="EK26">
        <v>2436</v>
      </c>
      <c r="EL26">
        <v>2726</v>
      </c>
      <c r="EM26">
        <v>3052</v>
      </c>
      <c r="EN26">
        <v>5228</v>
      </c>
      <c r="EO26">
        <v>2726</v>
      </c>
      <c r="EP26">
        <v>5292</v>
      </c>
      <c r="EQ26">
        <v>48.659672</v>
      </c>
    </row>
    <row r="27" spans="1:147" x14ac:dyDescent="0.25">
      <c r="A27">
        <v>2022</v>
      </c>
      <c r="B27" t="str">
        <f t="shared" si="0"/>
        <v>RD</v>
      </c>
      <c r="C27" t="s">
        <v>318</v>
      </c>
      <c r="D27" t="s">
        <v>318</v>
      </c>
      <c r="E27">
        <v>21394</v>
      </c>
      <c r="F27" t="s">
        <v>319</v>
      </c>
      <c r="G27" t="s">
        <v>320</v>
      </c>
      <c r="H27" t="s">
        <v>321</v>
      </c>
      <c r="I27">
        <v>34.07</v>
      </c>
      <c r="J27">
        <v>34.07</v>
      </c>
      <c r="K27" t="s">
        <v>236</v>
      </c>
      <c r="L27">
        <v>1</v>
      </c>
      <c r="M27">
        <v>2013</v>
      </c>
      <c r="N27">
        <v>2</v>
      </c>
      <c r="O27" t="str">
        <f t="shared" si="1"/>
        <v>Talhadia</v>
      </c>
      <c r="P27" s="2">
        <v>41316</v>
      </c>
      <c r="Q27" t="s">
        <v>322</v>
      </c>
      <c r="R27" t="s">
        <v>323</v>
      </c>
      <c r="S27" t="s">
        <v>154</v>
      </c>
      <c r="T27" t="s">
        <v>238</v>
      </c>
      <c r="U27" t="s">
        <v>156</v>
      </c>
      <c r="V27" s="2">
        <v>44672</v>
      </c>
      <c r="W27" t="s">
        <v>324</v>
      </c>
      <c r="X27">
        <v>34.07</v>
      </c>
      <c r="Y27">
        <v>20.5</v>
      </c>
      <c r="Z27">
        <v>13</v>
      </c>
      <c r="AA27">
        <v>15.3</v>
      </c>
      <c r="AB27">
        <v>3</v>
      </c>
      <c r="AC27">
        <v>313.64999999999998</v>
      </c>
      <c r="AD27">
        <v>305.192341331666</v>
      </c>
      <c r="AE27" s="2">
        <v>44672</v>
      </c>
      <c r="AF27">
        <v>110</v>
      </c>
      <c r="AG27">
        <v>9.1882272416153299</v>
      </c>
      <c r="AH27">
        <v>26.0686987701107</v>
      </c>
      <c r="AI27">
        <v>14.8958333333333</v>
      </c>
      <c r="AJ27">
        <v>28.686744437959199</v>
      </c>
      <c r="AK27">
        <v>48</v>
      </c>
      <c r="AL27">
        <v>1572.7786546201801</v>
      </c>
      <c r="AM27">
        <v>351.80740231135701</v>
      </c>
      <c r="AN27">
        <v>0.223685260019197</v>
      </c>
      <c r="AO27" t="s">
        <v>323</v>
      </c>
      <c r="AP27" t="s">
        <v>264</v>
      </c>
      <c r="AQ27" t="s">
        <v>166</v>
      </c>
      <c r="AR27">
        <v>9.99</v>
      </c>
      <c r="AS27">
        <v>1.5712058759655581</v>
      </c>
      <c r="AT27" t="s">
        <v>325</v>
      </c>
      <c r="AU27" t="s">
        <v>326</v>
      </c>
      <c r="AV27">
        <v>6544</v>
      </c>
      <c r="AW27">
        <v>3332</v>
      </c>
      <c r="AX27">
        <v>2446</v>
      </c>
      <c r="AY27">
        <v>718</v>
      </c>
      <c r="AZ27">
        <v>48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-0.87</v>
      </c>
      <c r="BH27">
        <v>35.470001000000003</v>
      </c>
      <c r="BI27">
        <v>10.371866000000001</v>
      </c>
      <c r="BJ27">
        <v>-0.29317500000000002</v>
      </c>
      <c r="BK27">
        <v>11.435772</v>
      </c>
      <c r="BL27">
        <v>130.77687700000001</v>
      </c>
      <c r="BM27">
        <v>1.102576</v>
      </c>
      <c r="BN27">
        <v>20.425000000000001</v>
      </c>
      <c r="BO27">
        <v>0.52170499999999997</v>
      </c>
      <c r="BP27">
        <v>1.7371570000000001</v>
      </c>
      <c r="BQ27">
        <v>10.402255</v>
      </c>
      <c r="BR27">
        <v>6.14</v>
      </c>
      <c r="BS27">
        <v>6.283175</v>
      </c>
      <c r="BT27">
        <v>10.371866000000001</v>
      </c>
      <c r="BU27">
        <v>6.2057029999999997</v>
      </c>
      <c r="BV27">
        <v>1.48123</v>
      </c>
      <c r="BW27">
        <v>-0.49055700000000002</v>
      </c>
      <c r="BX27">
        <v>0.59832099999999999</v>
      </c>
      <c r="BY27">
        <v>0.23868800000000001</v>
      </c>
      <c r="BZ27">
        <v>-7.9048999999999994E-2</v>
      </c>
      <c r="CA27">
        <v>-0.42</v>
      </c>
      <c r="CB27">
        <v>-0.2</v>
      </c>
      <c r="CC27">
        <v>-0.11</v>
      </c>
      <c r="CD27">
        <v>-0.01</v>
      </c>
      <c r="CE27">
        <v>0.03</v>
      </c>
      <c r="CF27">
        <v>7.0000000000000007E-2</v>
      </c>
      <c r="CG27">
        <v>0.17</v>
      </c>
      <c r="CH27">
        <v>5.99</v>
      </c>
      <c r="CI27">
        <v>13.62</v>
      </c>
      <c r="CJ27">
        <v>18.601002000000001</v>
      </c>
      <c r="CK27">
        <v>20.454999999999998</v>
      </c>
      <c r="CL27">
        <v>22.51</v>
      </c>
      <c r="CM27">
        <v>27.481005</v>
      </c>
      <c r="CN27">
        <v>30.578500999999999</v>
      </c>
      <c r="CO27">
        <v>33.400002000000001</v>
      </c>
      <c r="CP27">
        <v>0.30935200000000002</v>
      </c>
      <c r="CQ27">
        <v>15.438021000000001</v>
      </c>
      <c r="CR27">
        <v>18.135238999999999</v>
      </c>
      <c r="CS27">
        <v>1</v>
      </c>
      <c r="CT27">
        <v>53</v>
      </c>
      <c r="CU27">
        <v>10.539578000000001</v>
      </c>
      <c r="CV27">
        <v>1</v>
      </c>
      <c r="CW27">
        <v>10.768483</v>
      </c>
      <c r="CX27">
        <v>115.96022499999999</v>
      </c>
      <c r="CY27">
        <v>1.021719</v>
      </c>
      <c r="CZ27">
        <v>11</v>
      </c>
      <c r="DA27">
        <v>1.491417</v>
      </c>
      <c r="DB27">
        <v>4.413926</v>
      </c>
      <c r="DC27">
        <v>8.2947380000000006</v>
      </c>
      <c r="DD27">
        <v>10.539578000000001</v>
      </c>
      <c r="DE27">
        <v>5.4525680000000003</v>
      </c>
      <c r="DF27">
        <v>2.055847</v>
      </c>
      <c r="DG27">
        <v>0.82991499999999996</v>
      </c>
      <c r="DH27">
        <v>0.51734199999999997</v>
      </c>
      <c r="DI27">
        <v>0.37704199999999999</v>
      </c>
      <c r="DJ27">
        <v>0.15220600000000001</v>
      </c>
      <c r="DK27">
        <v>1</v>
      </c>
      <c r="DL27">
        <v>1</v>
      </c>
      <c r="DM27">
        <v>1</v>
      </c>
      <c r="DN27">
        <v>2</v>
      </c>
      <c r="DO27">
        <v>3</v>
      </c>
      <c r="DP27">
        <v>4</v>
      </c>
      <c r="DQ27">
        <v>5</v>
      </c>
      <c r="DR27">
        <v>6</v>
      </c>
      <c r="DS27">
        <v>8</v>
      </c>
      <c r="DT27">
        <v>12</v>
      </c>
      <c r="DU27">
        <v>14</v>
      </c>
      <c r="DV27">
        <v>18</v>
      </c>
      <c r="DW27">
        <v>29</v>
      </c>
      <c r="DX27">
        <v>35</v>
      </c>
      <c r="DY27">
        <v>43</v>
      </c>
      <c r="DZ27">
        <v>78.211285000000004</v>
      </c>
      <c r="EA27">
        <v>51.466993000000002</v>
      </c>
      <c r="EB27">
        <v>101.080432</v>
      </c>
      <c r="EC27">
        <v>2606</v>
      </c>
      <c r="ED27">
        <v>3368</v>
      </c>
      <c r="EE27">
        <v>71.518607000000003</v>
      </c>
      <c r="EF27">
        <v>99.969988000000001</v>
      </c>
      <c r="EG27">
        <v>44.651589000000001</v>
      </c>
      <c r="EH27">
        <v>97.677261999999999</v>
      </c>
      <c r="EI27">
        <v>87.695077999999995</v>
      </c>
      <c r="EJ27">
        <v>191.836735</v>
      </c>
      <c r="EK27">
        <v>2383</v>
      </c>
      <c r="EL27">
        <v>3331</v>
      </c>
      <c r="EM27">
        <v>2922</v>
      </c>
      <c r="EN27">
        <v>6392</v>
      </c>
      <c r="EO27">
        <v>3332</v>
      </c>
      <c r="EP27">
        <v>6544</v>
      </c>
      <c r="EQ27">
        <v>30.128855000000001</v>
      </c>
    </row>
    <row r="28" spans="1:147" x14ac:dyDescent="0.25">
      <c r="A28">
        <v>2022</v>
      </c>
      <c r="B28" t="str">
        <f t="shared" si="0"/>
        <v>RD</v>
      </c>
      <c r="C28" t="s">
        <v>327</v>
      </c>
      <c r="D28" t="s">
        <v>327</v>
      </c>
      <c r="E28">
        <v>21395</v>
      </c>
      <c r="F28" t="s">
        <v>319</v>
      </c>
      <c r="G28" t="s">
        <v>320</v>
      </c>
      <c r="H28" t="s">
        <v>321</v>
      </c>
      <c r="I28">
        <v>34.07</v>
      </c>
      <c r="J28">
        <v>34.07</v>
      </c>
      <c r="K28" t="s">
        <v>236</v>
      </c>
      <c r="L28">
        <v>1</v>
      </c>
      <c r="M28">
        <v>2013</v>
      </c>
      <c r="N28">
        <v>2</v>
      </c>
      <c r="O28" t="str">
        <f t="shared" si="1"/>
        <v>Talhadia</v>
      </c>
      <c r="P28" s="2">
        <v>41316</v>
      </c>
      <c r="Q28" t="s">
        <v>322</v>
      </c>
      <c r="R28" t="s">
        <v>323</v>
      </c>
      <c r="S28" t="s">
        <v>154</v>
      </c>
      <c r="T28" t="s">
        <v>238</v>
      </c>
      <c r="U28" t="s">
        <v>156</v>
      </c>
      <c r="V28" s="2">
        <v>44672</v>
      </c>
      <c r="W28" t="s">
        <v>324</v>
      </c>
      <c r="X28">
        <v>34.07</v>
      </c>
      <c r="Y28">
        <v>21.4</v>
      </c>
      <c r="Z28">
        <v>20</v>
      </c>
      <c r="AA28">
        <v>16.3</v>
      </c>
      <c r="AB28">
        <v>4</v>
      </c>
      <c r="AC28">
        <v>348.82</v>
      </c>
      <c r="AD28">
        <v>326.98511565604798</v>
      </c>
      <c r="AE28" s="2">
        <v>44672</v>
      </c>
      <c r="AF28">
        <v>110</v>
      </c>
      <c r="AG28">
        <v>9.1882272416153299</v>
      </c>
      <c r="AH28">
        <v>27.981873741344401</v>
      </c>
      <c r="AI28">
        <v>18.519230769230798</v>
      </c>
      <c r="AJ28">
        <v>22.147675136718899</v>
      </c>
      <c r="AK28">
        <v>26</v>
      </c>
      <c r="AL28">
        <v>795.14322686629896</v>
      </c>
      <c r="AM28">
        <v>278.46897507223201</v>
      </c>
      <c r="AN28">
        <v>0.35021234623313402</v>
      </c>
      <c r="AO28" t="s">
        <v>323</v>
      </c>
      <c r="AP28" t="s">
        <v>264</v>
      </c>
      <c r="AQ28" t="s">
        <v>166</v>
      </c>
      <c r="AR28">
        <v>9.99</v>
      </c>
      <c r="AS28">
        <v>0.79434808363943277</v>
      </c>
      <c r="AT28" t="s">
        <v>328</v>
      </c>
      <c r="AU28" t="s">
        <v>329</v>
      </c>
      <c r="AV28">
        <v>5111</v>
      </c>
      <c r="AW28">
        <v>2925</v>
      </c>
      <c r="AX28">
        <v>1776</v>
      </c>
      <c r="AY28">
        <v>382</v>
      </c>
      <c r="AZ28">
        <v>28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-0.93</v>
      </c>
      <c r="BH28">
        <v>37.009998000000003</v>
      </c>
      <c r="BI28">
        <v>12.461608</v>
      </c>
      <c r="BJ28">
        <v>-0.32777800000000001</v>
      </c>
      <c r="BK28">
        <v>13.463391</v>
      </c>
      <c r="BL28">
        <v>181.2629</v>
      </c>
      <c r="BM28">
        <v>1.08039</v>
      </c>
      <c r="BN28">
        <v>26.45</v>
      </c>
      <c r="BO28">
        <v>0.389737</v>
      </c>
      <c r="BP28">
        <v>1.4471039999999999</v>
      </c>
      <c r="BQ28">
        <v>12.576527</v>
      </c>
      <c r="BR28">
        <v>6.42</v>
      </c>
      <c r="BS28">
        <v>6.5577779999999999</v>
      </c>
      <c r="BT28">
        <v>12.461608</v>
      </c>
      <c r="BU28">
        <v>7.2926349999999998</v>
      </c>
      <c r="BV28">
        <v>1.476721</v>
      </c>
      <c r="BW28">
        <v>-0.90637500000000004</v>
      </c>
      <c r="BX28">
        <v>0.58520799999999995</v>
      </c>
      <c r="BY28">
        <v>0.20249500000000001</v>
      </c>
      <c r="BZ28">
        <v>-0.12428599999999999</v>
      </c>
      <c r="CA28">
        <v>-0.38</v>
      </c>
      <c r="CB28">
        <v>-0.19</v>
      </c>
      <c r="CC28">
        <v>-0.1</v>
      </c>
      <c r="CD28">
        <v>0</v>
      </c>
      <c r="CE28">
        <v>0.04</v>
      </c>
      <c r="CF28">
        <v>0.09</v>
      </c>
      <c r="CG28">
        <v>0.2</v>
      </c>
      <c r="CH28">
        <v>6.23</v>
      </c>
      <c r="CI28">
        <v>17.690000999999999</v>
      </c>
      <c r="CJ28">
        <v>23.940000999999999</v>
      </c>
      <c r="CK28">
        <v>26.49</v>
      </c>
      <c r="CL28">
        <v>28.610001</v>
      </c>
      <c r="CM28">
        <v>31.76</v>
      </c>
      <c r="CN28">
        <v>33.520000000000003</v>
      </c>
      <c r="CO28">
        <v>35.909999999999997</v>
      </c>
      <c r="CP28">
        <v>0.352968</v>
      </c>
      <c r="CQ28">
        <v>18.344456999999998</v>
      </c>
      <c r="CR28">
        <v>21.298286999999998</v>
      </c>
      <c r="CS28">
        <v>1</v>
      </c>
      <c r="CT28">
        <v>50</v>
      </c>
      <c r="CU28">
        <v>13.023479</v>
      </c>
      <c r="CV28">
        <v>1</v>
      </c>
      <c r="CW28">
        <v>11.925561999999999</v>
      </c>
      <c r="CX28">
        <v>142.21901800000001</v>
      </c>
      <c r="CY28">
        <v>0.91569699999999998</v>
      </c>
      <c r="CZ28">
        <v>16</v>
      </c>
      <c r="DA28">
        <v>1.049158</v>
      </c>
      <c r="DB28">
        <v>2.9383140000000001</v>
      </c>
      <c r="DC28">
        <v>9.7691549999999996</v>
      </c>
      <c r="DD28">
        <v>13.023479</v>
      </c>
      <c r="DE28">
        <v>6.3755810000000004</v>
      </c>
      <c r="DF28">
        <v>1.908228</v>
      </c>
      <c r="DG28">
        <v>0.50266900000000003</v>
      </c>
      <c r="DH28">
        <v>0.48954500000000001</v>
      </c>
      <c r="DI28">
        <v>0.29930299999999999</v>
      </c>
      <c r="DJ28">
        <v>7.8842999999999996E-2</v>
      </c>
      <c r="DK28">
        <v>1</v>
      </c>
      <c r="DL28">
        <v>1</v>
      </c>
      <c r="DM28">
        <v>1</v>
      </c>
      <c r="DN28">
        <v>3</v>
      </c>
      <c r="DO28">
        <v>4</v>
      </c>
      <c r="DP28">
        <v>5</v>
      </c>
      <c r="DQ28">
        <v>6</v>
      </c>
      <c r="DR28">
        <v>8</v>
      </c>
      <c r="DS28">
        <v>11</v>
      </c>
      <c r="DT28">
        <v>16</v>
      </c>
      <c r="DU28">
        <v>20</v>
      </c>
      <c r="DV28">
        <v>24</v>
      </c>
      <c r="DW28">
        <v>33</v>
      </c>
      <c r="DX28">
        <v>38</v>
      </c>
      <c r="DY28">
        <v>43</v>
      </c>
      <c r="DZ28">
        <v>73.128204999999994</v>
      </c>
      <c r="EA28">
        <v>51.261983999999998</v>
      </c>
      <c r="EB28">
        <v>89.572649999999996</v>
      </c>
      <c r="EC28">
        <v>2139</v>
      </c>
      <c r="ED28">
        <v>2620</v>
      </c>
      <c r="EE28">
        <v>67.692307999999997</v>
      </c>
      <c r="EF28">
        <v>99.931623999999999</v>
      </c>
      <c r="EG28">
        <v>45.431421999999998</v>
      </c>
      <c r="EH28">
        <v>98.571708000000001</v>
      </c>
      <c r="EI28">
        <v>79.384614999999997</v>
      </c>
      <c r="EJ28">
        <v>172.239316</v>
      </c>
      <c r="EK28">
        <v>1980</v>
      </c>
      <c r="EL28">
        <v>2923</v>
      </c>
      <c r="EM28">
        <v>2322</v>
      </c>
      <c r="EN28">
        <v>5038</v>
      </c>
      <c r="EO28">
        <v>2925</v>
      </c>
      <c r="EP28">
        <v>5111</v>
      </c>
      <c r="EQ28">
        <v>33.789864000000001</v>
      </c>
    </row>
    <row r="29" spans="1:147" x14ac:dyDescent="0.25">
      <c r="A29">
        <v>2022</v>
      </c>
      <c r="B29" t="str">
        <f t="shared" si="0"/>
        <v>RD</v>
      </c>
      <c r="C29" t="s">
        <v>330</v>
      </c>
      <c r="D29" t="s">
        <v>330</v>
      </c>
      <c r="E29">
        <v>21396</v>
      </c>
      <c r="F29" t="s">
        <v>319</v>
      </c>
      <c r="G29" t="s">
        <v>320</v>
      </c>
      <c r="H29" t="s">
        <v>321</v>
      </c>
      <c r="I29">
        <v>34.07</v>
      </c>
      <c r="J29">
        <v>34.07</v>
      </c>
      <c r="K29" t="s">
        <v>236</v>
      </c>
      <c r="L29">
        <v>1</v>
      </c>
      <c r="M29">
        <v>2013</v>
      </c>
      <c r="N29">
        <v>2</v>
      </c>
      <c r="O29" t="str">
        <f t="shared" si="1"/>
        <v>Talhadia</v>
      </c>
      <c r="P29" s="2">
        <v>41316</v>
      </c>
      <c r="Q29" t="s">
        <v>322</v>
      </c>
      <c r="R29" t="s">
        <v>323</v>
      </c>
      <c r="S29" t="s">
        <v>154</v>
      </c>
      <c r="T29" t="s">
        <v>238</v>
      </c>
      <c r="U29" t="s">
        <v>156</v>
      </c>
      <c r="V29" s="2">
        <v>44672</v>
      </c>
      <c r="W29" t="s">
        <v>324</v>
      </c>
      <c r="X29">
        <v>34.07</v>
      </c>
      <c r="Y29">
        <v>18.7</v>
      </c>
      <c r="Z29">
        <v>17</v>
      </c>
      <c r="AA29">
        <v>14.9</v>
      </c>
      <c r="AB29">
        <v>4</v>
      </c>
      <c r="AC29">
        <v>278.63</v>
      </c>
      <c r="AD29">
        <v>265.80612269301298</v>
      </c>
      <c r="AE29" s="2">
        <v>44672</v>
      </c>
      <c r="AF29">
        <v>110</v>
      </c>
      <c r="AG29">
        <v>9.1882272416153299</v>
      </c>
      <c r="AH29">
        <v>29.618522188851401</v>
      </c>
      <c r="AI29">
        <v>17.977419354838698</v>
      </c>
      <c r="AJ29">
        <v>30.832786541150501</v>
      </c>
      <c r="AK29">
        <v>31</v>
      </c>
      <c r="AL29">
        <v>1166.26357910509</v>
      </c>
      <c r="AM29">
        <v>419.911707369174</v>
      </c>
      <c r="AN29">
        <v>0.360048718739365</v>
      </c>
      <c r="AO29" t="s">
        <v>323</v>
      </c>
      <c r="AP29" t="s">
        <v>264</v>
      </c>
      <c r="AQ29" t="s">
        <v>166</v>
      </c>
      <c r="AR29">
        <v>9.99</v>
      </c>
      <c r="AS29">
        <v>1.1650973155259849</v>
      </c>
      <c r="AT29" t="s">
        <v>331</v>
      </c>
      <c r="AU29" t="s">
        <v>332</v>
      </c>
      <c r="AV29">
        <v>11045</v>
      </c>
      <c r="AW29">
        <v>5345</v>
      </c>
      <c r="AX29">
        <v>4063</v>
      </c>
      <c r="AY29">
        <v>1464</v>
      </c>
      <c r="AZ29">
        <v>173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-1</v>
      </c>
      <c r="BH29">
        <v>38.560001</v>
      </c>
      <c r="BI29">
        <v>16.773223000000002</v>
      </c>
      <c r="BJ29">
        <v>-0.37206299999999998</v>
      </c>
      <c r="BK29">
        <v>14.275675</v>
      </c>
      <c r="BL29">
        <v>203.79490699999999</v>
      </c>
      <c r="BM29">
        <v>0.85109900000000005</v>
      </c>
      <c r="BN29">
        <v>29.949998999999998</v>
      </c>
      <c r="BO29">
        <v>-9.5861000000000002E-2</v>
      </c>
      <c r="BP29">
        <v>1.3288599999999999</v>
      </c>
      <c r="BQ29">
        <v>13.260138</v>
      </c>
      <c r="BR29">
        <v>13.540001</v>
      </c>
      <c r="BS29">
        <v>20.892063</v>
      </c>
      <c r="BT29">
        <v>16.773223000000002</v>
      </c>
      <c r="BU29">
        <v>7.9301089999999999</v>
      </c>
      <c r="BV29">
        <v>6.4644999999999994E-2</v>
      </c>
      <c r="BW29">
        <v>-1.0787359999999999</v>
      </c>
      <c r="BX29">
        <v>0.47278399999999998</v>
      </c>
      <c r="BY29">
        <v>8.1519999999999995E-3</v>
      </c>
      <c r="BZ29">
        <v>-0.13603000000000001</v>
      </c>
      <c r="CA29">
        <v>-0.41</v>
      </c>
      <c r="CB29">
        <v>-0.19</v>
      </c>
      <c r="CC29">
        <v>-0.09</v>
      </c>
      <c r="CD29">
        <v>0.05</v>
      </c>
      <c r="CE29">
        <v>0.11</v>
      </c>
      <c r="CF29">
        <v>0.19</v>
      </c>
      <c r="CG29">
        <v>10.42</v>
      </c>
      <c r="CH29">
        <v>20.52</v>
      </c>
      <c r="CI29">
        <v>25.209999</v>
      </c>
      <c r="CJ29">
        <v>28.637996999999999</v>
      </c>
      <c r="CK29">
        <v>30.059999000000001</v>
      </c>
      <c r="CL29">
        <v>31.462001999999998</v>
      </c>
      <c r="CM29">
        <v>34.5</v>
      </c>
      <c r="CN29">
        <v>35.990001999999997</v>
      </c>
      <c r="CO29">
        <v>37.349997999999999</v>
      </c>
      <c r="CP29">
        <v>0.44927299999999998</v>
      </c>
      <c r="CQ29">
        <v>22.025382</v>
      </c>
      <c r="CR29">
        <v>24.493310000000001</v>
      </c>
      <c r="CS29">
        <v>1</v>
      </c>
      <c r="CT29">
        <v>51</v>
      </c>
      <c r="CU29">
        <v>8.6852870000000006</v>
      </c>
      <c r="CV29">
        <v>1</v>
      </c>
      <c r="CW29">
        <v>7.9784550000000003</v>
      </c>
      <c r="CX29">
        <v>63.655746000000001</v>
      </c>
      <c r="CY29">
        <v>0.91861700000000002</v>
      </c>
      <c r="CZ29">
        <v>8</v>
      </c>
      <c r="DA29">
        <v>1.7934049999999999</v>
      </c>
      <c r="DB29">
        <v>6.5913719999999998</v>
      </c>
      <c r="DC29">
        <v>5.8311349999999997</v>
      </c>
      <c r="DD29">
        <v>8.6852870000000006</v>
      </c>
      <c r="DE29">
        <v>4.009118</v>
      </c>
      <c r="DF29">
        <v>1.3280190000000001</v>
      </c>
      <c r="DG29">
        <v>0.71918899999999997</v>
      </c>
      <c r="DH29">
        <v>0.46159899999999998</v>
      </c>
      <c r="DI29">
        <v>0.33124999999999999</v>
      </c>
      <c r="DJ29">
        <v>0.17938799999999999</v>
      </c>
      <c r="DK29">
        <v>1</v>
      </c>
      <c r="DL29">
        <v>1</v>
      </c>
      <c r="DM29">
        <v>1</v>
      </c>
      <c r="DN29">
        <v>2</v>
      </c>
      <c r="DO29">
        <v>3</v>
      </c>
      <c r="DP29">
        <v>4</v>
      </c>
      <c r="DQ29">
        <v>5</v>
      </c>
      <c r="DR29">
        <v>6</v>
      </c>
      <c r="DS29">
        <v>8</v>
      </c>
      <c r="DT29">
        <v>10</v>
      </c>
      <c r="DU29">
        <v>11</v>
      </c>
      <c r="DV29">
        <v>13</v>
      </c>
      <c r="DW29">
        <v>19</v>
      </c>
      <c r="DX29">
        <v>26</v>
      </c>
      <c r="DY29">
        <v>37</v>
      </c>
      <c r="DZ29">
        <v>91.861553000000001</v>
      </c>
      <c r="EA29">
        <v>62.308737000000001</v>
      </c>
      <c r="EB29">
        <v>128.75584699999999</v>
      </c>
      <c r="EC29">
        <v>4910</v>
      </c>
      <c r="ED29">
        <v>6882</v>
      </c>
      <c r="EE29">
        <v>87.539756999999994</v>
      </c>
      <c r="EF29">
        <v>99.962581999999998</v>
      </c>
      <c r="EG29">
        <v>56.061565999999999</v>
      </c>
      <c r="EH29">
        <v>98.705297000000002</v>
      </c>
      <c r="EI29">
        <v>115.846586</v>
      </c>
      <c r="EJ29">
        <v>203.96632399999999</v>
      </c>
      <c r="EK29">
        <v>4679</v>
      </c>
      <c r="EL29">
        <v>5343</v>
      </c>
      <c r="EM29">
        <v>6192</v>
      </c>
      <c r="EN29">
        <v>10902</v>
      </c>
      <c r="EO29">
        <v>5345</v>
      </c>
      <c r="EP29">
        <v>11045</v>
      </c>
      <c r="EQ29">
        <v>43.996580000000002</v>
      </c>
    </row>
    <row r="30" spans="1:147" x14ac:dyDescent="0.25">
      <c r="A30">
        <v>2022</v>
      </c>
      <c r="B30" t="str">
        <f t="shared" si="0"/>
        <v>NE</v>
      </c>
      <c r="C30" t="s">
        <v>333</v>
      </c>
      <c r="D30" t="s">
        <v>333</v>
      </c>
      <c r="E30">
        <v>21451</v>
      </c>
      <c r="F30" t="s">
        <v>334</v>
      </c>
      <c r="G30" t="s">
        <v>335</v>
      </c>
      <c r="H30" t="s">
        <v>336</v>
      </c>
      <c r="I30">
        <v>21.16</v>
      </c>
      <c r="J30">
        <v>21.16</v>
      </c>
      <c r="K30" t="s">
        <v>190</v>
      </c>
      <c r="L30">
        <v>1</v>
      </c>
      <c r="M30">
        <v>2013</v>
      </c>
      <c r="N30">
        <v>2</v>
      </c>
      <c r="O30" t="str">
        <f t="shared" si="1"/>
        <v>Talhadia</v>
      </c>
      <c r="P30" s="2">
        <v>41609</v>
      </c>
      <c r="Q30" t="s">
        <v>322</v>
      </c>
      <c r="R30" t="s">
        <v>164</v>
      </c>
      <c r="S30" t="s">
        <v>154</v>
      </c>
      <c r="T30" t="s">
        <v>175</v>
      </c>
      <c r="U30" t="s">
        <v>156</v>
      </c>
      <c r="V30" s="2">
        <v>44796</v>
      </c>
      <c r="W30" t="s">
        <v>337</v>
      </c>
      <c r="X30">
        <v>43.44</v>
      </c>
      <c r="Y30">
        <v>20.6</v>
      </c>
      <c r="Z30">
        <v>12</v>
      </c>
      <c r="AA30">
        <v>13.6</v>
      </c>
      <c r="AB30">
        <v>1</v>
      </c>
      <c r="AC30">
        <v>280.16000000000003</v>
      </c>
      <c r="AD30">
        <v>273.99609453246501</v>
      </c>
      <c r="AE30" s="2">
        <v>44796</v>
      </c>
      <c r="AF30">
        <v>104</v>
      </c>
      <c r="AG30">
        <v>8.7255304585900095</v>
      </c>
      <c r="AH30">
        <v>32.780300843955096</v>
      </c>
      <c r="AI30">
        <v>19.9086956521739</v>
      </c>
      <c r="AJ30">
        <v>27.336000730156201</v>
      </c>
      <c r="AK30">
        <v>23</v>
      </c>
      <c r="AL30">
        <v>839.42802320763894</v>
      </c>
      <c r="AM30">
        <v>404.768249042099</v>
      </c>
      <c r="AN30">
        <v>0.48219530186208298</v>
      </c>
      <c r="AO30" t="s">
        <v>164</v>
      </c>
      <c r="AP30" t="s">
        <v>264</v>
      </c>
      <c r="AQ30" t="s">
        <v>338</v>
      </c>
      <c r="AR30">
        <v>9.99</v>
      </c>
      <c r="AS30">
        <v>0.83858859518442963</v>
      </c>
      <c r="AT30" t="s">
        <v>339</v>
      </c>
      <c r="AU30" t="s">
        <v>340</v>
      </c>
      <c r="AV30">
        <v>2537</v>
      </c>
      <c r="AW30">
        <v>1257</v>
      </c>
      <c r="AX30">
        <v>952</v>
      </c>
      <c r="AY30">
        <v>283</v>
      </c>
      <c r="AZ30">
        <v>45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-0.878</v>
      </c>
      <c r="BH30">
        <v>37.573002000000002</v>
      </c>
      <c r="BI30">
        <v>17.665851</v>
      </c>
      <c r="BJ30">
        <v>-0.26766699999999999</v>
      </c>
      <c r="BK30">
        <v>15.218484999999999</v>
      </c>
      <c r="BL30">
        <v>231.60230000000001</v>
      </c>
      <c r="BM30">
        <v>0.86146299999999998</v>
      </c>
      <c r="BN30">
        <v>33.274000999999998</v>
      </c>
      <c r="BO30">
        <v>-0.11798</v>
      </c>
      <c r="BP30">
        <v>1.2283390000000001</v>
      </c>
      <c r="BQ30">
        <v>14.339309999999999</v>
      </c>
      <c r="BR30">
        <v>14.095001</v>
      </c>
      <c r="BS30">
        <v>21.162666000000002</v>
      </c>
      <c r="BT30">
        <v>17.665851</v>
      </c>
      <c r="BU30">
        <v>8.3414439999999992</v>
      </c>
      <c r="BV30">
        <v>-0.14093900000000001</v>
      </c>
      <c r="BW30">
        <v>-1.504848</v>
      </c>
      <c r="BX30">
        <v>0.47217900000000002</v>
      </c>
      <c r="BY30">
        <v>-1.6896000000000001E-2</v>
      </c>
      <c r="BZ30">
        <v>-0.18040600000000001</v>
      </c>
      <c r="CA30">
        <v>-0.34544000000000002</v>
      </c>
      <c r="CB30">
        <v>-0.16300000000000001</v>
      </c>
      <c r="CC30">
        <v>-9.1999999999999998E-2</v>
      </c>
      <c r="CD30">
        <v>1.6199999999999999E-2</v>
      </c>
      <c r="CE30">
        <v>6.5000000000000002E-2</v>
      </c>
      <c r="CF30">
        <v>0.115</v>
      </c>
      <c r="CG30">
        <v>8.8658020000000004</v>
      </c>
      <c r="CH30">
        <v>20.895</v>
      </c>
      <c r="CI30">
        <v>28.0242</v>
      </c>
      <c r="CJ30">
        <v>32.659199000000001</v>
      </c>
      <c r="CK30">
        <v>33.339001000000003</v>
      </c>
      <c r="CL30">
        <v>33.813400000000001</v>
      </c>
      <c r="CM30">
        <v>35.1008</v>
      </c>
      <c r="CN30">
        <v>35.688800999999998</v>
      </c>
      <c r="CO30">
        <v>36.464438999999999</v>
      </c>
      <c r="CP30">
        <v>0.48227199999999998</v>
      </c>
      <c r="CQ30">
        <v>23.315086999999998</v>
      </c>
      <c r="CR30">
        <v>25.896545</v>
      </c>
      <c r="CS30">
        <v>1</v>
      </c>
      <c r="CT30">
        <v>61</v>
      </c>
      <c r="CU30">
        <v>16.156483999999999</v>
      </c>
      <c r="CV30">
        <v>1</v>
      </c>
      <c r="CW30">
        <v>12.658037</v>
      </c>
      <c r="CX30">
        <v>160.225897</v>
      </c>
      <c r="CY30">
        <v>0.78346499999999997</v>
      </c>
      <c r="CZ30">
        <v>20</v>
      </c>
      <c r="DA30">
        <v>0.84603600000000001</v>
      </c>
      <c r="DB30">
        <v>3.0410620000000002</v>
      </c>
      <c r="DC30">
        <v>10.548971999999999</v>
      </c>
      <c r="DD30">
        <v>16.156483999999999</v>
      </c>
      <c r="DE30">
        <v>6.9990769999999998</v>
      </c>
      <c r="DF30">
        <v>1.419257</v>
      </c>
      <c r="DG30">
        <v>0.38375999999999999</v>
      </c>
      <c r="DH30">
        <v>0.43320500000000001</v>
      </c>
      <c r="DI30">
        <v>0.20277800000000001</v>
      </c>
      <c r="DJ30">
        <v>5.4829999999999997E-2</v>
      </c>
      <c r="DK30">
        <v>1</v>
      </c>
      <c r="DL30">
        <v>1</v>
      </c>
      <c r="DM30">
        <v>2</v>
      </c>
      <c r="DN30">
        <v>4</v>
      </c>
      <c r="DO30">
        <v>5</v>
      </c>
      <c r="DP30">
        <v>7</v>
      </c>
      <c r="DQ30">
        <v>9</v>
      </c>
      <c r="DR30">
        <v>13</v>
      </c>
      <c r="DS30">
        <v>18</v>
      </c>
      <c r="DT30">
        <v>22</v>
      </c>
      <c r="DU30">
        <v>25</v>
      </c>
      <c r="DV30">
        <v>27</v>
      </c>
      <c r="DW30">
        <v>33</v>
      </c>
      <c r="DX30">
        <v>41</v>
      </c>
      <c r="DY30">
        <v>51</v>
      </c>
      <c r="DZ30">
        <v>93.953857999999997</v>
      </c>
      <c r="EA30">
        <v>61.647615000000002</v>
      </c>
      <c r="EB30">
        <v>124.42323</v>
      </c>
      <c r="EC30">
        <v>1181</v>
      </c>
      <c r="ED30">
        <v>1564</v>
      </c>
      <c r="EE30">
        <v>88.623706999999996</v>
      </c>
      <c r="EF30">
        <v>100</v>
      </c>
      <c r="EG30">
        <v>53.448954999999998</v>
      </c>
      <c r="EH30">
        <v>98.265668000000005</v>
      </c>
      <c r="EI30">
        <v>107.875895</v>
      </c>
      <c r="EJ30">
        <v>198.32935599999999</v>
      </c>
      <c r="EK30">
        <v>1114</v>
      </c>
      <c r="EL30">
        <v>1257</v>
      </c>
      <c r="EM30">
        <v>1356</v>
      </c>
      <c r="EN30">
        <v>2493</v>
      </c>
      <c r="EO30">
        <v>1257</v>
      </c>
      <c r="EP30">
        <v>2537</v>
      </c>
      <c r="EQ30">
        <v>47.510075999999998</v>
      </c>
    </row>
    <row r="31" spans="1:147" x14ac:dyDescent="0.25">
      <c r="A31">
        <v>2022</v>
      </c>
      <c r="B31" t="str">
        <f t="shared" si="0"/>
        <v>NE</v>
      </c>
      <c r="C31" t="s">
        <v>341</v>
      </c>
      <c r="D31" t="s">
        <v>341</v>
      </c>
      <c r="E31">
        <v>21452</v>
      </c>
      <c r="F31" t="s">
        <v>334</v>
      </c>
      <c r="G31" t="s">
        <v>335</v>
      </c>
      <c r="H31" t="s">
        <v>336</v>
      </c>
      <c r="I31">
        <v>21.16</v>
      </c>
      <c r="J31">
        <v>21.16</v>
      </c>
      <c r="K31" t="s">
        <v>190</v>
      </c>
      <c r="L31">
        <v>1</v>
      </c>
      <c r="M31">
        <v>2013</v>
      </c>
      <c r="N31">
        <v>2</v>
      </c>
      <c r="O31" t="str">
        <f t="shared" si="1"/>
        <v>Talhadia</v>
      </c>
      <c r="P31" s="2">
        <v>41609</v>
      </c>
      <c r="Q31" t="s">
        <v>322</v>
      </c>
      <c r="R31" t="s">
        <v>164</v>
      </c>
      <c r="S31" t="s">
        <v>154</v>
      </c>
      <c r="T31" t="s">
        <v>175</v>
      </c>
      <c r="U31" t="s">
        <v>156</v>
      </c>
      <c r="V31" s="2">
        <v>44796</v>
      </c>
      <c r="W31" t="s">
        <v>337</v>
      </c>
      <c r="X31">
        <v>43.44</v>
      </c>
      <c r="Y31">
        <v>20.9</v>
      </c>
      <c r="Z31">
        <v>15</v>
      </c>
      <c r="AA31">
        <v>14</v>
      </c>
      <c r="AB31">
        <v>2</v>
      </c>
      <c r="AC31">
        <v>292.60000000000002</v>
      </c>
      <c r="AD31">
        <v>282.457726275472</v>
      </c>
      <c r="AE31" s="2">
        <v>44796</v>
      </c>
      <c r="AF31">
        <v>104</v>
      </c>
      <c r="AG31">
        <v>8.7255304585900095</v>
      </c>
      <c r="AH31">
        <v>30.6443922255113</v>
      </c>
      <c r="AI31">
        <v>20.278260869565202</v>
      </c>
      <c r="AJ31">
        <v>28.542721258276998</v>
      </c>
      <c r="AK31">
        <v>23</v>
      </c>
      <c r="AL31">
        <v>814.28114228919503</v>
      </c>
      <c r="AM31">
        <v>409.49556213408499</v>
      </c>
      <c r="AN31">
        <v>0.50289211043604398</v>
      </c>
      <c r="AO31" t="s">
        <v>164</v>
      </c>
      <c r="AP31" t="s">
        <v>264</v>
      </c>
      <c r="AQ31" t="s">
        <v>338</v>
      </c>
      <c r="AR31">
        <v>9.99</v>
      </c>
      <c r="AS31">
        <v>0.81346686114690547</v>
      </c>
      <c r="AT31" t="s">
        <v>342</v>
      </c>
      <c r="AU31" t="s">
        <v>343</v>
      </c>
      <c r="AV31">
        <v>11889</v>
      </c>
      <c r="AW31">
        <v>5486</v>
      </c>
      <c r="AX31">
        <v>4152</v>
      </c>
      <c r="AY31">
        <v>1863</v>
      </c>
      <c r="AZ31">
        <v>388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-0.92100000000000004</v>
      </c>
      <c r="BH31">
        <v>40.233001999999999</v>
      </c>
      <c r="BI31">
        <v>20.437474999999999</v>
      </c>
      <c r="BJ31">
        <v>-0.267762</v>
      </c>
      <c r="BK31">
        <v>15.499686000000001</v>
      </c>
      <c r="BL31">
        <v>240.24025700000001</v>
      </c>
      <c r="BM31">
        <v>0.75839500000000004</v>
      </c>
      <c r="BN31">
        <v>35.520999000000003</v>
      </c>
      <c r="BO31">
        <v>-0.27173399999999998</v>
      </c>
      <c r="BP31">
        <v>1.3921239999999999</v>
      </c>
      <c r="BQ31">
        <v>14.272307</v>
      </c>
      <c r="BR31">
        <v>11.938000000000001</v>
      </c>
      <c r="BS31">
        <v>25.447762000000001</v>
      </c>
      <c r="BT31">
        <v>20.437474999999999</v>
      </c>
      <c r="BU31">
        <v>8.6231960000000001</v>
      </c>
      <c r="BV31">
        <v>-0.70498000000000005</v>
      </c>
      <c r="BW31">
        <v>-1.166377</v>
      </c>
      <c r="BX31">
        <v>0.421931</v>
      </c>
      <c r="BY31">
        <v>-8.1753999999999993E-2</v>
      </c>
      <c r="BZ31">
        <v>-0.13525999999999999</v>
      </c>
      <c r="CA31">
        <v>-0.34936</v>
      </c>
      <c r="CB31">
        <v>-0.1236</v>
      </c>
      <c r="CC31">
        <v>-2.5000000000000001E-2</v>
      </c>
      <c r="CD31">
        <v>0.12759999999999999</v>
      </c>
      <c r="CE31">
        <v>0.23699999999999999</v>
      </c>
      <c r="CF31">
        <v>0.83340000000000003</v>
      </c>
      <c r="CG31">
        <v>15.845000000000001</v>
      </c>
      <c r="CH31">
        <v>25.18</v>
      </c>
      <c r="CI31">
        <v>30.716797</v>
      </c>
      <c r="CJ31">
        <v>34.546196000000002</v>
      </c>
      <c r="CK31">
        <v>35.757998999999998</v>
      </c>
      <c r="CL31">
        <v>36.399399000000003</v>
      </c>
      <c r="CM31">
        <v>37.682602000000003</v>
      </c>
      <c r="CN31">
        <v>38.5396</v>
      </c>
      <c r="CO31">
        <v>39.455359999999999</v>
      </c>
      <c r="CP31">
        <v>0.51898900000000003</v>
      </c>
      <c r="CQ31">
        <v>25.649764999999999</v>
      </c>
      <c r="CR31">
        <v>28.127493999999999</v>
      </c>
      <c r="CS31">
        <v>1</v>
      </c>
      <c r="CT31">
        <v>55</v>
      </c>
      <c r="CU31">
        <v>12.491042</v>
      </c>
      <c r="CV31">
        <v>1</v>
      </c>
      <c r="CW31">
        <v>9.9034250000000004</v>
      </c>
      <c r="CX31">
        <v>98.077833999999996</v>
      </c>
      <c r="CY31">
        <v>0.79284200000000005</v>
      </c>
      <c r="CZ31">
        <v>15</v>
      </c>
      <c r="DA31">
        <v>0.97816800000000004</v>
      </c>
      <c r="DB31">
        <v>3.4385249999999998</v>
      </c>
      <c r="DC31">
        <v>8.1112300000000008</v>
      </c>
      <c r="DD31">
        <v>12.491042</v>
      </c>
      <c r="DE31">
        <v>5.4173850000000003</v>
      </c>
      <c r="DF31">
        <v>1.2355290000000001</v>
      </c>
      <c r="DG31">
        <v>0.39399499999999998</v>
      </c>
      <c r="DH31">
        <v>0.43370199999999998</v>
      </c>
      <c r="DI31">
        <v>0.22806699999999999</v>
      </c>
      <c r="DJ31">
        <v>7.2728000000000001E-2</v>
      </c>
      <c r="DK31">
        <v>1</v>
      </c>
      <c r="DL31">
        <v>1</v>
      </c>
      <c r="DM31">
        <v>2</v>
      </c>
      <c r="DN31">
        <v>4</v>
      </c>
      <c r="DO31">
        <v>4</v>
      </c>
      <c r="DP31">
        <v>5</v>
      </c>
      <c r="DQ31">
        <v>7</v>
      </c>
      <c r="DR31">
        <v>10</v>
      </c>
      <c r="DS31">
        <v>13</v>
      </c>
      <c r="DT31">
        <v>17</v>
      </c>
      <c r="DU31">
        <v>19</v>
      </c>
      <c r="DV31">
        <v>21</v>
      </c>
      <c r="DW31">
        <v>27</v>
      </c>
      <c r="DX31">
        <v>32</v>
      </c>
      <c r="DY31">
        <v>41</v>
      </c>
      <c r="DZ31">
        <v>96.099162000000007</v>
      </c>
      <c r="EA31">
        <v>69.332997000000006</v>
      </c>
      <c r="EB31">
        <v>150.25519499999999</v>
      </c>
      <c r="EC31">
        <v>5272</v>
      </c>
      <c r="ED31">
        <v>8243</v>
      </c>
      <c r="EE31">
        <v>89.063069999999996</v>
      </c>
      <c r="EF31">
        <v>100</v>
      </c>
      <c r="EG31">
        <v>55.80789</v>
      </c>
      <c r="EH31">
        <v>98.208427999999998</v>
      </c>
      <c r="EI31">
        <v>120.944222</v>
      </c>
      <c r="EJ31">
        <v>212.83266499999999</v>
      </c>
      <c r="EK31">
        <v>4886</v>
      </c>
      <c r="EL31">
        <v>5486</v>
      </c>
      <c r="EM31">
        <v>6635</v>
      </c>
      <c r="EN31">
        <v>11676</v>
      </c>
      <c r="EO31">
        <v>5486</v>
      </c>
      <c r="EP31">
        <v>11889</v>
      </c>
      <c r="EQ31">
        <v>50.838701999999998</v>
      </c>
    </row>
    <row r="32" spans="1:147" x14ac:dyDescent="0.25">
      <c r="A32">
        <v>2022</v>
      </c>
      <c r="B32" t="str">
        <f t="shared" si="0"/>
        <v>NE</v>
      </c>
      <c r="C32" t="s">
        <v>344</v>
      </c>
      <c r="D32" t="s">
        <v>344</v>
      </c>
      <c r="E32">
        <v>21453</v>
      </c>
      <c r="F32" t="s">
        <v>334</v>
      </c>
      <c r="G32" t="s">
        <v>335</v>
      </c>
      <c r="H32" t="s">
        <v>345</v>
      </c>
      <c r="I32">
        <v>22.28</v>
      </c>
      <c r="J32">
        <v>22.28</v>
      </c>
      <c r="K32" t="s">
        <v>190</v>
      </c>
      <c r="L32">
        <v>1</v>
      </c>
      <c r="M32">
        <v>2013</v>
      </c>
      <c r="N32">
        <v>2</v>
      </c>
      <c r="O32" t="str">
        <f t="shared" si="1"/>
        <v>Talhadia</v>
      </c>
      <c r="P32" s="2">
        <v>41548</v>
      </c>
      <c r="Q32" t="s">
        <v>174</v>
      </c>
      <c r="R32" t="s">
        <v>164</v>
      </c>
      <c r="S32" t="s">
        <v>154</v>
      </c>
      <c r="T32" t="s">
        <v>175</v>
      </c>
      <c r="U32" t="s">
        <v>156</v>
      </c>
      <c r="V32" s="2">
        <v>44796</v>
      </c>
      <c r="W32" t="s">
        <v>337</v>
      </c>
      <c r="X32">
        <v>43.44</v>
      </c>
      <c r="Y32">
        <v>19.2</v>
      </c>
      <c r="Z32">
        <v>34</v>
      </c>
      <c r="AA32">
        <v>13.7</v>
      </c>
      <c r="AB32">
        <v>2</v>
      </c>
      <c r="AC32">
        <v>263.04000000000002</v>
      </c>
      <c r="AD32">
        <v>217.93720070668601</v>
      </c>
      <c r="AE32" s="2">
        <v>44796</v>
      </c>
      <c r="AF32">
        <v>106</v>
      </c>
      <c r="AG32">
        <v>8.8925393566050595</v>
      </c>
      <c r="AH32">
        <v>30.4805689975619</v>
      </c>
      <c r="AI32">
        <v>18.676190476190499</v>
      </c>
      <c r="AJ32">
        <v>26.640021535218001</v>
      </c>
      <c r="AK32">
        <v>21</v>
      </c>
      <c r="AL32">
        <v>963.58033102678701</v>
      </c>
      <c r="AM32">
        <v>351.401147122135</v>
      </c>
      <c r="AN32">
        <v>0.36468277299483998</v>
      </c>
      <c r="AO32" t="s">
        <v>164</v>
      </c>
      <c r="AP32" t="s">
        <v>264</v>
      </c>
      <c r="AQ32" t="s">
        <v>346</v>
      </c>
      <c r="AR32">
        <v>9</v>
      </c>
      <c r="AS32">
        <v>0.8672222979241091</v>
      </c>
      <c r="AT32" t="s">
        <v>347</v>
      </c>
      <c r="AU32" t="s">
        <v>348</v>
      </c>
      <c r="AV32">
        <v>3850</v>
      </c>
      <c r="AW32">
        <v>1903</v>
      </c>
      <c r="AX32">
        <v>1503</v>
      </c>
      <c r="AY32">
        <v>413</v>
      </c>
      <c r="AZ32">
        <v>31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-0.84</v>
      </c>
      <c r="BH32">
        <v>31.114000000000001</v>
      </c>
      <c r="BI32">
        <v>14.858796</v>
      </c>
      <c r="BJ32">
        <v>-0.33279399999999998</v>
      </c>
      <c r="BK32">
        <v>12.986875</v>
      </c>
      <c r="BL32">
        <v>168.658929</v>
      </c>
      <c r="BM32">
        <v>0.87401899999999999</v>
      </c>
      <c r="BN32">
        <v>28.289249999999999</v>
      </c>
      <c r="BO32">
        <v>-0.122617</v>
      </c>
      <c r="BP32">
        <v>1.202814</v>
      </c>
      <c r="BQ32">
        <v>12.304746</v>
      </c>
      <c r="BR32">
        <v>10.977501</v>
      </c>
      <c r="BS32">
        <v>19.105293</v>
      </c>
      <c r="BT32">
        <v>14.858796</v>
      </c>
      <c r="BU32">
        <v>7.0608680000000001</v>
      </c>
      <c r="BV32">
        <v>-0.10739700000000001</v>
      </c>
      <c r="BW32">
        <v>-1.3144119999999999</v>
      </c>
      <c r="BX32">
        <v>0.47519800000000001</v>
      </c>
      <c r="BY32">
        <v>-1.521E-2</v>
      </c>
      <c r="BZ32">
        <v>-0.18615399999999999</v>
      </c>
      <c r="CA32">
        <v>-0.34055000000000002</v>
      </c>
      <c r="CB32">
        <v>-0.18</v>
      </c>
      <c r="CC32">
        <v>-8.8999999999999996E-2</v>
      </c>
      <c r="CD32">
        <v>5.8000000000000003E-2</v>
      </c>
      <c r="CE32">
        <v>0.14549999999999999</v>
      </c>
      <c r="CF32">
        <v>0.24299999999999999</v>
      </c>
      <c r="CG32">
        <v>0.92259999999999998</v>
      </c>
      <c r="CH32">
        <v>18.772499</v>
      </c>
      <c r="CI32">
        <v>22.945999</v>
      </c>
      <c r="CJ32">
        <v>27.984400000000001</v>
      </c>
      <c r="CK32">
        <v>28.434750000000001</v>
      </c>
      <c r="CL32">
        <v>28.7164</v>
      </c>
      <c r="CM32">
        <v>29.543099999999999</v>
      </c>
      <c r="CN32">
        <v>30.0152</v>
      </c>
      <c r="CO32">
        <v>30.449100000000001</v>
      </c>
      <c r="CP32">
        <v>0.49129400000000001</v>
      </c>
      <c r="CQ32">
        <v>19.733194000000001</v>
      </c>
      <c r="CR32">
        <v>21.917266000000001</v>
      </c>
      <c r="CS32">
        <v>1</v>
      </c>
      <c r="CT32">
        <v>67</v>
      </c>
      <c r="CU32">
        <v>17.838961000000001</v>
      </c>
      <c r="CV32">
        <v>1</v>
      </c>
      <c r="CW32">
        <v>13.438969999999999</v>
      </c>
      <c r="CX32">
        <v>180.60591199999999</v>
      </c>
      <c r="CY32">
        <v>0.75334900000000005</v>
      </c>
      <c r="CZ32">
        <v>20.5</v>
      </c>
      <c r="DA32">
        <v>0.83902699999999997</v>
      </c>
      <c r="DB32">
        <v>3.0807310000000001</v>
      </c>
      <c r="DC32">
        <v>11.065182999999999</v>
      </c>
      <c r="DD32">
        <v>17.838961000000001</v>
      </c>
      <c r="DE32">
        <v>7.4466359999999998</v>
      </c>
      <c r="DF32">
        <v>1.442118</v>
      </c>
      <c r="DG32">
        <v>0.51296699999999995</v>
      </c>
      <c r="DH32">
        <v>0.417437</v>
      </c>
      <c r="DI32">
        <v>0.19366</v>
      </c>
      <c r="DJ32">
        <v>6.8886000000000003E-2</v>
      </c>
      <c r="DK32">
        <v>1</v>
      </c>
      <c r="DL32">
        <v>2</v>
      </c>
      <c r="DM32">
        <v>3</v>
      </c>
      <c r="DN32">
        <v>5</v>
      </c>
      <c r="DO32">
        <v>6.25</v>
      </c>
      <c r="DP32">
        <v>8</v>
      </c>
      <c r="DQ32">
        <v>11</v>
      </c>
      <c r="DR32">
        <v>15</v>
      </c>
      <c r="DS32">
        <v>19</v>
      </c>
      <c r="DT32">
        <v>24</v>
      </c>
      <c r="DU32">
        <v>26.75</v>
      </c>
      <c r="DV32">
        <v>29</v>
      </c>
      <c r="DW32">
        <v>36.100098000000003</v>
      </c>
      <c r="DX32">
        <v>45</v>
      </c>
      <c r="DY32">
        <v>55</v>
      </c>
      <c r="DZ32">
        <v>89.858119000000002</v>
      </c>
      <c r="EA32">
        <v>58.623376999999998</v>
      </c>
      <c r="EB32">
        <v>118.60220700000001</v>
      </c>
      <c r="EC32">
        <v>1710</v>
      </c>
      <c r="ED32">
        <v>2257</v>
      </c>
      <c r="EE32">
        <v>88.649501000000001</v>
      </c>
      <c r="EF32">
        <v>100</v>
      </c>
      <c r="EG32">
        <v>56.675325000000001</v>
      </c>
      <c r="EH32">
        <v>98.857142999999994</v>
      </c>
      <c r="EI32">
        <v>114.661061</v>
      </c>
      <c r="EJ32">
        <v>200</v>
      </c>
      <c r="EK32">
        <v>1687</v>
      </c>
      <c r="EL32">
        <v>1903</v>
      </c>
      <c r="EM32">
        <v>2182</v>
      </c>
      <c r="EN32">
        <v>3806</v>
      </c>
      <c r="EO32">
        <v>1903</v>
      </c>
      <c r="EP32">
        <v>3850</v>
      </c>
      <c r="EQ32">
        <v>47.901409000000001</v>
      </c>
    </row>
    <row r="33" spans="1:147" x14ac:dyDescent="0.25">
      <c r="A33">
        <v>2022</v>
      </c>
      <c r="B33" t="str">
        <f t="shared" si="0"/>
        <v>NE</v>
      </c>
      <c r="C33" t="s">
        <v>349</v>
      </c>
      <c r="D33" t="s">
        <v>349</v>
      </c>
      <c r="E33">
        <v>21586</v>
      </c>
      <c r="F33" t="s">
        <v>350</v>
      </c>
      <c r="G33" t="s">
        <v>351</v>
      </c>
      <c r="H33" t="s">
        <v>352</v>
      </c>
      <c r="I33">
        <v>21.56</v>
      </c>
      <c r="J33">
        <v>21.56</v>
      </c>
      <c r="K33" t="s">
        <v>151</v>
      </c>
      <c r="L33">
        <v>1</v>
      </c>
      <c r="M33">
        <v>2013</v>
      </c>
      <c r="N33">
        <v>1</v>
      </c>
      <c r="O33" t="str">
        <f t="shared" si="1"/>
        <v>Talhadia</v>
      </c>
      <c r="P33" s="2">
        <v>41585</v>
      </c>
      <c r="Q33" t="s">
        <v>322</v>
      </c>
      <c r="R33" t="s">
        <v>207</v>
      </c>
      <c r="S33" t="s">
        <v>154</v>
      </c>
      <c r="T33" t="s">
        <v>155</v>
      </c>
      <c r="U33" t="s">
        <v>156</v>
      </c>
      <c r="V33" s="2">
        <v>44769</v>
      </c>
      <c r="W33" t="s">
        <v>353</v>
      </c>
      <c r="X33">
        <v>56.93</v>
      </c>
      <c r="Y33">
        <v>19</v>
      </c>
      <c r="Z33">
        <v>15</v>
      </c>
      <c r="AA33">
        <v>13.5</v>
      </c>
      <c r="AB33">
        <v>5</v>
      </c>
      <c r="AC33">
        <v>256.5</v>
      </c>
      <c r="AD33">
        <v>246.81717293960801</v>
      </c>
      <c r="AE33" s="2">
        <v>44769</v>
      </c>
      <c r="AF33">
        <v>104</v>
      </c>
      <c r="AG33">
        <v>8.7173169062286107</v>
      </c>
      <c r="AH33">
        <v>30.070290030946602</v>
      </c>
      <c r="AI33">
        <v>21.2090909090909</v>
      </c>
      <c r="AJ33">
        <v>33.653306204814498</v>
      </c>
      <c r="AK33">
        <v>22</v>
      </c>
      <c r="AL33">
        <v>891.34802647557206</v>
      </c>
      <c r="AM33">
        <v>475.07780014352198</v>
      </c>
      <c r="AN33">
        <v>0.53298799798996499</v>
      </c>
      <c r="AO33" t="s">
        <v>207</v>
      </c>
      <c r="AP33" t="s">
        <v>264</v>
      </c>
      <c r="AQ33" t="s">
        <v>315</v>
      </c>
      <c r="AR33">
        <v>9.99</v>
      </c>
      <c r="AS33">
        <v>0.89045667844909826</v>
      </c>
      <c r="AT33" t="s">
        <v>354</v>
      </c>
      <c r="AU33" t="s">
        <v>355</v>
      </c>
      <c r="AV33">
        <v>5548</v>
      </c>
      <c r="AW33">
        <v>3470</v>
      </c>
      <c r="AX33">
        <v>1732</v>
      </c>
      <c r="AY33">
        <v>322</v>
      </c>
      <c r="AZ33">
        <v>24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-0.879</v>
      </c>
      <c r="BH33">
        <v>34.897998999999999</v>
      </c>
      <c r="BI33">
        <v>19.295756000000001</v>
      </c>
      <c r="BJ33">
        <v>-0.31111100000000003</v>
      </c>
      <c r="BK33">
        <v>14.339439</v>
      </c>
      <c r="BL33">
        <v>205.619518</v>
      </c>
      <c r="BM33">
        <v>0.74314000000000002</v>
      </c>
      <c r="BN33">
        <v>31.09225</v>
      </c>
      <c r="BO33">
        <v>-0.50453099999999995</v>
      </c>
      <c r="BP33">
        <v>1.3655299999999999</v>
      </c>
      <c r="BQ33">
        <v>13.533913999999999</v>
      </c>
      <c r="BR33">
        <v>3.5405000000000002</v>
      </c>
      <c r="BS33">
        <v>29.164111999999999</v>
      </c>
      <c r="BT33">
        <v>19.295756000000001</v>
      </c>
      <c r="BU33">
        <v>7.488518</v>
      </c>
      <c r="BV33">
        <v>-1.4422759999999999</v>
      </c>
      <c r="BW33">
        <v>-1.0707789999999999</v>
      </c>
      <c r="BX33">
        <v>0.38809100000000002</v>
      </c>
      <c r="BY33">
        <v>-0.19259799999999999</v>
      </c>
      <c r="BZ33">
        <v>-0.142989</v>
      </c>
      <c r="CA33">
        <v>-0.42299999999999999</v>
      </c>
      <c r="CB33">
        <v>-0.16600000000000001</v>
      </c>
      <c r="CC33">
        <v>-5.2999999999999999E-2</v>
      </c>
      <c r="CD33">
        <v>7.8399999999999997E-2</v>
      </c>
      <c r="CE33">
        <v>0.151</v>
      </c>
      <c r="CF33">
        <v>0.27010000000000001</v>
      </c>
      <c r="CG33">
        <v>21.143599999999999</v>
      </c>
      <c r="CH33">
        <v>28.853000999999999</v>
      </c>
      <c r="CI33">
        <v>30.055401</v>
      </c>
      <c r="CJ33">
        <v>30.901599999999998</v>
      </c>
      <c r="CK33">
        <v>31.24325</v>
      </c>
      <c r="CL33">
        <v>31.5016</v>
      </c>
      <c r="CM33">
        <v>32.300899999999999</v>
      </c>
      <c r="CN33">
        <v>32.810248999999999</v>
      </c>
      <c r="CO33">
        <v>34.222178999999997</v>
      </c>
      <c r="CP33">
        <v>0.56390300000000004</v>
      </c>
      <c r="CQ33">
        <v>24.039731</v>
      </c>
      <c r="CR33">
        <v>26.010636999999999</v>
      </c>
      <c r="CS33">
        <v>1</v>
      </c>
      <c r="CT33">
        <v>70</v>
      </c>
      <c r="CU33">
        <v>21.245674000000001</v>
      </c>
      <c r="CV33">
        <v>1</v>
      </c>
      <c r="CW33">
        <v>13.468978999999999</v>
      </c>
      <c r="CX33">
        <v>181.41340299999999</v>
      </c>
      <c r="CY33">
        <v>0.63396300000000005</v>
      </c>
      <c r="CZ33">
        <v>23</v>
      </c>
      <c r="DA33">
        <v>8.2909999999999998E-2</v>
      </c>
      <c r="DB33">
        <v>2.1362230000000002</v>
      </c>
      <c r="DC33">
        <v>11.51951</v>
      </c>
      <c r="DD33">
        <v>21.245674000000001</v>
      </c>
      <c r="DE33">
        <v>7.6931159999999998</v>
      </c>
      <c r="DF33">
        <v>4.0384000000000003E-2</v>
      </c>
      <c r="DG33">
        <v>0.151923</v>
      </c>
      <c r="DH33">
        <v>0.36210300000000001</v>
      </c>
      <c r="DI33">
        <v>5.2490000000000002E-3</v>
      </c>
      <c r="DJ33">
        <v>1.9748000000000002E-2</v>
      </c>
      <c r="DK33">
        <v>1</v>
      </c>
      <c r="DL33">
        <v>1</v>
      </c>
      <c r="DM33">
        <v>2</v>
      </c>
      <c r="DN33">
        <v>5</v>
      </c>
      <c r="DO33">
        <v>8</v>
      </c>
      <c r="DP33">
        <v>12</v>
      </c>
      <c r="DQ33">
        <v>18</v>
      </c>
      <c r="DR33">
        <v>23</v>
      </c>
      <c r="DS33">
        <v>27</v>
      </c>
      <c r="DT33">
        <v>30</v>
      </c>
      <c r="DU33">
        <v>31</v>
      </c>
      <c r="DV33">
        <v>33</v>
      </c>
      <c r="DW33">
        <v>38</v>
      </c>
      <c r="DX33">
        <v>42</v>
      </c>
      <c r="DY33">
        <v>52</v>
      </c>
      <c r="DZ33">
        <v>95.619596999999999</v>
      </c>
      <c r="EA33">
        <v>66.456380999999993</v>
      </c>
      <c r="EB33">
        <v>106.253602</v>
      </c>
      <c r="EC33">
        <v>3318</v>
      </c>
      <c r="ED33">
        <v>3687</v>
      </c>
      <c r="EE33">
        <v>93.861671000000001</v>
      </c>
      <c r="EF33">
        <v>100</v>
      </c>
      <c r="EG33">
        <v>60.472242000000001</v>
      </c>
      <c r="EH33">
        <v>98.071376999999998</v>
      </c>
      <c r="EI33">
        <v>96.685879</v>
      </c>
      <c r="EJ33">
        <v>156.801153</v>
      </c>
      <c r="EK33">
        <v>3257</v>
      </c>
      <c r="EL33">
        <v>3470</v>
      </c>
      <c r="EM33">
        <v>3355</v>
      </c>
      <c r="EN33">
        <v>5441</v>
      </c>
      <c r="EO33">
        <v>3470</v>
      </c>
      <c r="EP33">
        <v>5548</v>
      </c>
      <c r="EQ33">
        <v>55.454870999999997</v>
      </c>
    </row>
    <row r="34" spans="1:147" x14ac:dyDescent="0.25">
      <c r="A34">
        <v>2022</v>
      </c>
      <c r="B34" t="str">
        <f t="shared" si="0"/>
        <v>NE</v>
      </c>
      <c r="C34" t="s">
        <v>356</v>
      </c>
      <c r="D34" t="s">
        <v>356</v>
      </c>
      <c r="E34">
        <v>21587</v>
      </c>
      <c r="F34" t="s">
        <v>350</v>
      </c>
      <c r="G34" t="s">
        <v>351</v>
      </c>
      <c r="H34" t="s">
        <v>352</v>
      </c>
      <c r="I34">
        <v>21.56</v>
      </c>
      <c r="J34">
        <v>21.56</v>
      </c>
      <c r="K34" t="s">
        <v>151</v>
      </c>
      <c r="L34">
        <v>1</v>
      </c>
      <c r="M34">
        <v>2013</v>
      </c>
      <c r="N34">
        <v>1</v>
      </c>
      <c r="O34" t="str">
        <f t="shared" si="1"/>
        <v>Talhadia</v>
      </c>
      <c r="P34" s="2">
        <v>41585</v>
      </c>
      <c r="Q34" t="s">
        <v>322</v>
      </c>
      <c r="R34" t="s">
        <v>207</v>
      </c>
      <c r="S34" t="s">
        <v>154</v>
      </c>
      <c r="T34" t="s">
        <v>155</v>
      </c>
      <c r="U34" t="s">
        <v>156</v>
      </c>
      <c r="V34" s="2">
        <v>44769</v>
      </c>
      <c r="W34" t="s">
        <v>353</v>
      </c>
      <c r="X34">
        <v>56.93</v>
      </c>
      <c r="Y34">
        <v>21.4</v>
      </c>
      <c r="Z34">
        <v>15</v>
      </c>
      <c r="AA34">
        <v>13.4</v>
      </c>
      <c r="AB34">
        <v>1</v>
      </c>
      <c r="AC34">
        <v>286.76</v>
      </c>
      <c r="AD34">
        <v>276.94670319708899</v>
      </c>
      <c r="AE34" s="2">
        <v>44769</v>
      </c>
      <c r="AF34">
        <v>104</v>
      </c>
      <c r="AG34">
        <v>8.7173169062286107</v>
      </c>
      <c r="AH34">
        <v>30.354073315003301</v>
      </c>
      <c r="AI34">
        <v>20.9190476190476</v>
      </c>
      <c r="AJ34">
        <v>27.529362835392</v>
      </c>
      <c r="AK34">
        <v>21</v>
      </c>
      <c r="AL34">
        <v>758.26864005149002</v>
      </c>
      <c r="AM34">
        <v>386.77832548724803</v>
      </c>
      <c r="AN34">
        <v>0.51008086719896994</v>
      </c>
      <c r="AO34" t="s">
        <v>207</v>
      </c>
      <c r="AP34" t="s">
        <v>264</v>
      </c>
      <c r="AQ34" t="s">
        <v>315</v>
      </c>
      <c r="AR34">
        <v>9.99</v>
      </c>
      <c r="AS34">
        <v>0.7575103714114374</v>
      </c>
      <c r="AT34" t="s">
        <v>357</v>
      </c>
      <c r="AU34" t="s">
        <v>358</v>
      </c>
      <c r="AV34">
        <v>4317</v>
      </c>
      <c r="AW34">
        <v>2505</v>
      </c>
      <c r="AX34">
        <v>1700</v>
      </c>
      <c r="AY34">
        <v>110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-0.94899999999999995</v>
      </c>
      <c r="BH34">
        <v>33.105998999999997</v>
      </c>
      <c r="BI34">
        <v>16.118587000000002</v>
      </c>
      <c r="BJ34">
        <v>-0.40844399999999997</v>
      </c>
      <c r="BK34">
        <v>14.142355999999999</v>
      </c>
      <c r="BL34">
        <v>200.00623899999999</v>
      </c>
      <c r="BM34">
        <v>0.87739400000000001</v>
      </c>
      <c r="BN34">
        <v>29.045999999999999</v>
      </c>
      <c r="BO34">
        <v>-0.22666700000000001</v>
      </c>
      <c r="BP34">
        <v>1.1005259999999999</v>
      </c>
      <c r="BQ34">
        <v>13.904401999999999</v>
      </c>
      <c r="BR34">
        <v>4.3440000000000003</v>
      </c>
      <c r="BS34">
        <v>26.765446000000001</v>
      </c>
      <c r="BT34">
        <v>16.118587000000002</v>
      </c>
      <c r="BU34">
        <v>7.3695269999999997</v>
      </c>
      <c r="BV34">
        <v>-0.53123799999999999</v>
      </c>
      <c r="BW34">
        <v>-1.4969410000000001</v>
      </c>
      <c r="BX34">
        <v>0.45720699999999997</v>
      </c>
      <c r="BY34">
        <v>-7.2085999999999997E-2</v>
      </c>
      <c r="BZ34">
        <v>-0.203126</v>
      </c>
      <c r="CA34">
        <v>-0.44084000000000001</v>
      </c>
      <c r="CB34">
        <v>-0.2142</v>
      </c>
      <c r="CC34">
        <v>-0.10299999999999999</v>
      </c>
      <c r="CD34">
        <v>1.2E-2</v>
      </c>
      <c r="CE34">
        <v>6.6000000000000003E-2</v>
      </c>
      <c r="CF34">
        <v>0.121</v>
      </c>
      <c r="CG34">
        <v>0.29099999999999998</v>
      </c>
      <c r="CH34">
        <v>26.356999999999999</v>
      </c>
      <c r="CI34">
        <v>27.760999999999999</v>
      </c>
      <c r="CJ34">
        <v>28.784200999999999</v>
      </c>
      <c r="CK34">
        <v>29.111999999999998</v>
      </c>
      <c r="CL34">
        <v>29.486000000000001</v>
      </c>
      <c r="CM34">
        <v>30.212399999999999</v>
      </c>
      <c r="CN34">
        <v>30.672602000000001</v>
      </c>
      <c r="CO34">
        <v>31.784839999999999</v>
      </c>
      <c r="CP34">
        <v>0.50117699999999998</v>
      </c>
      <c r="CQ34">
        <v>21.442219000000001</v>
      </c>
      <c r="CR34">
        <v>23.642835000000002</v>
      </c>
      <c r="CS34">
        <v>1</v>
      </c>
      <c r="CT34">
        <v>58</v>
      </c>
      <c r="CU34">
        <v>17.924948000000001</v>
      </c>
      <c r="CV34">
        <v>1</v>
      </c>
      <c r="CW34">
        <v>11.791808</v>
      </c>
      <c r="CX34">
        <v>139.046729</v>
      </c>
      <c r="CY34">
        <v>0.65784299999999996</v>
      </c>
      <c r="CZ34">
        <v>19</v>
      </c>
      <c r="DA34">
        <v>0.38353500000000001</v>
      </c>
      <c r="DB34">
        <v>2.6659310000000001</v>
      </c>
      <c r="DC34">
        <v>9.8715170000000008</v>
      </c>
      <c r="DD34">
        <v>17.924948000000001</v>
      </c>
      <c r="DE34">
        <v>6.6735470000000001</v>
      </c>
      <c r="DF34">
        <v>0.40444000000000002</v>
      </c>
      <c r="DG34">
        <v>0.28457399999999999</v>
      </c>
      <c r="DH34">
        <v>0.372305</v>
      </c>
      <c r="DI34">
        <v>6.0602999999999997E-2</v>
      </c>
      <c r="DJ34">
        <v>4.2641999999999999E-2</v>
      </c>
      <c r="DK34">
        <v>1</v>
      </c>
      <c r="DL34">
        <v>1</v>
      </c>
      <c r="DM34">
        <v>2</v>
      </c>
      <c r="DN34">
        <v>5</v>
      </c>
      <c r="DO34">
        <v>7</v>
      </c>
      <c r="DP34">
        <v>9</v>
      </c>
      <c r="DQ34">
        <v>14</v>
      </c>
      <c r="DR34">
        <v>18</v>
      </c>
      <c r="DS34">
        <v>22</v>
      </c>
      <c r="DT34">
        <v>25</v>
      </c>
      <c r="DU34">
        <v>26</v>
      </c>
      <c r="DV34">
        <v>28</v>
      </c>
      <c r="DW34">
        <v>32</v>
      </c>
      <c r="DX34">
        <v>37</v>
      </c>
      <c r="DY34">
        <v>49.839843999999999</v>
      </c>
      <c r="DZ34">
        <v>95.449101999999996</v>
      </c>
      <c r="EA34">
        <v>57.192495000000001</v>
      </c>
      <c r="EB34">
        <v>98.562873999999994</v>
      </c>
      <c r="EC34">
        <v>2391</v>
      </c>
      <c r="ED34">
        <v>2469</v>
      </c>
      <c r="EE34">
        <v>95.129740999999996</v>
      </c>
      <c r="EF34">
        <v>100</v>
      </c>
      <c r="EG34">
        <v>56.451239000000001</v>
      </c>
      <c r="EH34">
        <v>98.633309999999994</v>
      </c>
      <c r="EI34">
        <v>97.285428999999993</v>
      </c>
      <c r="EJ34">
        <v>169.98004</v>
      </c>
      <c r="EK34">
        <v>2383</v>
      </c>
      <c r="EL34">
        <v>2505</v>
      </c>
      <c r="EM34">
        <v>2437</v>
      </c>
      <c r="EN34">
        <v>4258</v>
      </c>
      <c r="EO34">
        <v>2505</v>
      </c>
      <c r="EP34">
        <v>4317</v>
      </c>
      <c r="EQ34">
        <v>49.809589000000003</v>
      </c>
    </row>
    <row r="35" spans="1:147" x14ac:dyDescent="0.25">
      <c r="A35">
        <v>2022</v>
      </c>
      <c r="B35" t="str">
        <f t="shared" si="0"/>
        <v>NE</v>
      </c>
      <c r="C35" t="s">
        <v>359</v>
      </c>
      <c r="D35" t="s">
        <v>359</v>
      </c>
      <c r="E35">
        <v>21588</v>
      </c>
      <c r="F35" t="s">
        <v>350</v>
      </c>
      <c r="G35" t="s">
        <v>351</v>
      </c>
      <c r="H35" t="s">
        <v>360</v>
      </c>
      <c r="I35">
        <v>10.43</v>
      </c>
      <c r="J35">
        <v>10.43</v>
      </c>
      <c r="K35" t="s">
        <v>151</v>
      </c>
      <c r="L35">
        <v>1</v>
      </c>
      <c r="M35">
        <v>2013</v>
      </c>
      <c r="N35">
        <v>1</v>
      </c>
      <c r="O35" t="str">
        <f t="shared" si="1"/>
        <v>Talhadia</v>
      </c>
      <c r="P35" s="2">
        <v>41572</v>
      </c>
      <c r="Q35" t="s">
        <v>322</v>
      </c>
      <c r="R35" t="s">
        <v>207</v>
      </c>
      <c r="S35" t="s">
        <v>154</v>
      </c>
      <c r="T35" t="s">
        <v>155</v>
      </c>
      <c r="U35" t="s">
        <v>156</v>
      </c>
      <c r="V35" s="2">
        <v>44767</v>
      </c>
      <c r="W35" t="s">
        <v>353</v>
      </c>
      <c r="X35">
        <v>56.93</v>
      </c>
      <c r="Y35">
        <v>20.5</v>
      </c>
      <c r="Z35">
        <v>16</v>
      </c>
      <c r="AA35">
        <v>13.2</v>
      </c>
      <c r="AB35">
        <v>3</v>
      </c>
      <c r="AC35">
        <v>270.60000000000002</v>
      </c>
      <c r="AD35">
        <v>259.76093304403003</v>
      </c>
      <c r="AE35" s="2">
        <v>44767</v>
      </c>
      <c r="AF35">
        <v>105</v>
      </c>
      <c r="AG35">
        <v>8.7474332648870607</v>
      </c>
      <c r="AH35">
        <v>27.348471572546298</v>
      </c>
      <c r="AI35">
        <v>19.527999999999999</v>
      </c>
      <c r="AJ35">
        <v>30.898183257906499</v>
      </c>
      <c r="AK35">
        <v>25</v>
      </c>
      <c r="AL35">
        <v>962.42339858559296</v>
      </c>
      <c r="AM35">
        <v>400.43962958714502</v>
      </c>
      <c r="AN35">
        <v>0.41607428723744999</v>
      </c>
      <c r="AO35" t="s">
        <v>207</v>
      </c>
      <c r="AP35" t="s">
        <v>264</v>
      </c>
      <c r="AQ35" t="s">
        <v>315</v>
      </c>
      <c r="AR35">
        <v>9.99</v>
      </c>
      <c r="AS35">
        <v>0.96146097518700724</v>
      </c>
      <c r="AT35" t="s">
        <v>361</v>
      </c>
      <c r="AU35" t="s">
        <v>362</v>
      </c>
      <c r="AV35">
        <v>4382</v>
      </c>
      <c r="AW35">
        <v>2503</v>
      </c>
      <c r="AX35">
        <v>1664</v>
      </c>
      <c r="AY35">
        <v>209</v>
      </c>
      <c r="AZ35">
        <v>6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-1.024</v>
      </c>
      <c r="BH35">
        <v>35.046000999999997</v>
      </c>
      <c r="BI35">
        <v>17.331918000000002</v>
      </c>
      <c r="BJ35">
        <v>-0.45145999999999997</v>
      </c>
      <c r="BK35">
        <v>14.465289</v>
      </c>
      <c r="BL35">
        <v>209.244596</v>
      </c>
      <c r="BM35">
        <v>0.83460400000000001</v>
      </c>
      <c r="BN35">
        <v>31.140250000000002</v>
      </c>
      <c r="BO35">
        <v>-0.214671</v>
      </c>
      <c r="BP35">
        <v>1.192766</v>
      </c>
      <c r="BQ35">
        <v>13.859734</v>
      </c>
      <c r="BR35">
        <v>8.012499</v>
      </c>
      <c r="BS35">
        <v>25.336960000000001</v>
      </c>
      <c r="BT35">
        <v>17.331918000000002</v>
      </c>
      <c r="BU35">
        <v>7.7862169999999997</v>
      </c>
      <c r="BV35">
        <v>-0.57294900000000004</v>
      </c>
      <c r="BW35">
        <v>-1.49082</v>
      </c>
      <c r="BX35">
        <v>0.44924199999999997</v>
      </c>
      <c r="BY35">
        <v>-7.3584999999999998E-2</v>
      </c>
      <c r="BZ35">
        <v>-0.191469</v>
      </c>
      <c r="CA35">
        <v>-0.42899999999999999</v>
      </c>
      <c r="CB35">
        <v>-0.1729</v>
      </c>
      <c r="CC35">
        <v>-6.4899999999999999E-2</v>
      </c>
      <c r="CD35">
        <v>7.0999999999999994E-2</v>
      </c>
      <c r="CE35">
        <v>0.152</v>
      </c>
      <c r="CF35">
        <v>0.25600000000000001</v>
      </c>
      <c r="CG35">
        <v>11.262600000000001</v>
      </c>
      <c r="CH35">
        <v>24.8855</v>
      </c>
      <c r="CI35">
        <v>29.555599000000001</v>
      </c>
      <c r="CJ35">
        <v>30.700800000000001</v>
      </c>
      <c r="CK35">
        <v>31.292249999999999</v>
      </c>
      <c r="CL35">
        <v>31.6738</v>
      </c>
      <c r="CM35">
        <v>32.381900999999999</v>
      </c>
      <c r="CN35">
        <v>32.782803000000001</v>
      </c>
      <c r="CO35">
        <v>33.495800000000003</v>
      </c>
      <c r="CP35">
        <v>0.50889700000000004</v>
      </c>
      <c r="CQ35">
        <v>22.574149999999999</v>
      </c>
      <c r="CR35">
        <v>24.897794999999999</v>
      </c>
      <c r="CS35">
        <v>1</v>
      </c>
      <c r="CT35">
        <v>59</v>
      </c>
      <c r="CU35">
        <v>13.214513999999999</v>
      </c>
      <c r="CV35">
        <v>1</v>
      </c>
      <c r="CW35">
        <v>9.7611790000000003</v>
      </c>
      <c r="CX35">
        <v>95.280610999999993</v>
      </c>
      <c r="CY35">
        <v>0.73867099999999997</v>
      </c>
      <c r="CZ35">
        <v>15</v>
      </c>
      <c r="DA35">
        <v>0.78130999999999995</v>
      </c>
      <c r="DB35">
        <v>3.208027</v>
      </c>
      <c r="DC35">
        <v>8.0784950000000002</v>
      </c>
      <c r="DD35">
        <v>13.214513999999999</v>
      </c>
      <c r="DE35">
        <v>5.4343310000000002</v>
      </c>
      <c r="DF35">
        <v>0.90615100000000004</v>
      </c>
      <c r="DG35">
        <v>0.31535200000000002</v>
      </c>
      <c r="DH35">
        <v>0.41123999999999999</v>
      </c>
      <c r="DI35">
        <v>0.16674600000000001</v>
      </c>
      <c r="DJ35">
        <v>5.8029999999999998E-2</v>
      </c>
      <c r="DK35">
        <v>1</v>
      </c>
      <c r="DL35">
        <v>1</v>
      </c>
      <c r="DM35">
        <v>2</v>
      </c>
      <c r="DN35">
        <v>4</v>
      </c>
      <c r="DO35">
        <v>5</v>
      </c>
      <c r="DP35">
        <v>6</v>
      </c>
      <c r="DQ35">
        <v>9</v>
      </c>
      <c r="DR35">
        <v>12</v>
      </c>
      <c r="DS35">
        <v>15</v>
      </c>
      <c r="DT35">
        <v>18</v>
      </c>
      <c r="DU35">
        <v>20</v>
      </c>
      <c r="DV35">
        <v>21</v>
      </c>
      <c r="DW35">
        <v>27</v>
      </c>
      <c r="DX35">
        <v>31.950195000000001</v>
      </c>
      <c r="DY35">
        <v>40</v>
      </c>
      <c r="DZ35">
        <v>94.007191000000006</v>
      </c>
      <c r="EA35">
        <v>62.072113000000002</v>
      </c>
      <c r="EB35">
        <v>108.669596</v>
      </c>
      <c r="EC35">
        <v>2353</v>
      </c>
      <c r="ED35">
        <v>2720</v>
      </c>
      <c r="EE35">
        <v>89.093087999999995</v>
      </c>
      <c r="EF35">
        <v>100</v>
      </c>
      <c r="EG35">
        <v>53.947969000000001</v>
      </c>
      <c r="EH35">
        <v>99.178456999999995</v>
      </c>
      <c r="EI35">
        <v>94.446663999999998</v>
      </c>
      <c r="EJ35">
        <v>173.631642</v>
      </c>
      <c r="EK35">
        <v>2230</v>
      </c>
      <c r="EL35">
        <v>2503</v>
      </c>
      <c r="EM35">
        <v>2364</v>
      </c>
      <c r="EN35">
        <v>4346</v>
      </c>
      <c r="EO35">
        <v>2503</v>
      </c>
      <c r="EP35">
        <v>4382</v>
      </c>
      <c r="EQ35">
        <v>50.775731</v>
      </c>
    </row>
    <row r="36" spans="1:147" x14ac:dyDescent="0.25">
      <c r="A36">
        <v>2022</v>
      </c>
      <c r="B36" t="str">
        <f t="shared" si="0"/>
        <v>RD</v>
      </c>
      <c r="C36" t="s">
        <v>363</v>
      </c>
      <c r="D36" t="s">
        <v>363</v>
      </c>
      <c r="E36">
        <v>21774</v>
      </c>
      <c r="F36" t="s">
        <v>364</v>
      </c>
      <c r="G36" t="s">
        <v>365</v>
      </c>
      <c r="H36" t="s">
        <v>366</v>
      </c>
      <c r="I36">
        <v>11.08</v>
      </c>
      <c r="J36">
        <v>11.08</v>
      </c>
      <c r="K36" t="s">
        <v>236</v>
      </c>
      <c r="L36">
        <v>1</v>
      </c>
      <c r="M36">
        <v>2013</v>
      </c>
      <c r="N36">
        <v>2</v>
      </c>
      <c r="O36" t="str">
        <f t="shared" si="1"/>
        <v>Alto fuste</v>
      </c>
      <c r="P36" s="2">
        <v>41457</v>
      </c>
      <c r="Q36" t="s">
        <v>237</v>
      </c>
      <c r="R36" t="s">
        <v>367</v>
      </c>
      <c r="S36" t="s">
        <v>154</v>
      </c>
      <c r="T36" t="s">
        <v>238</v>
      </c>
      <c r="U36" t="s">
        <v>156</v>
      </c>
      <c r="V36" s="2">
        <v>44680</v>
      </c>
      <c r="W36" t="s">
        <v>368</v>
      </c>
      <c r="X36">
        <v>96.19</v>
      </c>
      <c r="Y36">
        <v>20.399999999999999</v>
      </c>
      <c r="Z36">
        <v>26</v>
      </c>
      <c r="AA36">
        <v>15.6</v>
      </c>
      <c r="AB36">
        <v>3</v>
      </c>
      <c r="AC36">
        <v>318.24</v>
      </c>
      <c r="AD36">
        <v>285.640220081373</v>
      </c>
      <c r="AE36" s="2">
        <v>44680</v>
      </c>
      <c r="AF36">
        <v>105</v>
      </c>
      <c r="AG36">
        <v>8.8240930869267604</v>
      </c>
      <c r="AH36">
        <v>24.566951998246001</v>
      </c>
      <c r="AI36">
        <v>16.03125</v>
      </c>
      <c r="AJ36">
        <v>24.009232712216399</v>
      </c>
      <c r="AK36">
        <v>32</v>
      </c>
      <c r="AL36">
        <v>1120.29041256458</v>
      </c>
      <c r="AM36">
        <v>282.06322156344402</v>
      </c>
      <c r="AN36">
        <v>0.25177687713826002</v>
      </c>
      <c r="AO36" t="s">
        <v>367</v>
      </c>
      <c r="AP36" t="s">
        <v>158</v>
      </c>
      <c r="AQ36" t="s">
        <v>294</v>
      </c>
      <c r="AR36">
        <v>7.5</v>
      </c>
      <c r="AS36">
        <v>0.84021780942343816</v>
      </c>
      <c r="AT36" t="s">
        <v>369</v>
      </c>
      <c r="AU36" t="s">
        <v>370</v>
      </c>
      <c r="AV36">
        <v>5247</v>
      </c>
      <c r="AW36">
        <v>2080</v>
      </c>
      <c r="AX36">
        <v>2092</v>
      </c>
      <c r="AY36">
        <v>927</v>
      </c>
      <c r="AZ36">
        <v>148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-0.85</v>
      </c>
      <c r="BH36">
        <v>31.700001</v>
      </c>
      <c r="BI36">
        <v>12.172439000000001</v>
      </c>
      <c r="BJ36">
        <v>-0.33333299999999999</v>
      </c>
      <c r="BK36">
        <v>11.820693</v>
      </c>
      <c r="BL36">
        <v>139.72878700000001</v>
      </c>
      <c r="BM36">
        <v>0.97110300000000005</v>
      </c>
      <c r="BN36">
        <v>24.479998999999999</v>
      </c>
      <c r="BO36">
        <v>0.23114699999999999</v>
      </c>
      <c r="BP36">
        <v>1.4114530000000001</v>
      </c>
      <c r="BQ36">
        <v>10.838373000000001</v>
      </c>
      <c r="BR36">
        <v>11.639999</v>
      </c>
      <c r="BS36">
        <v>12.033333000000001</v>
      </c>
      <c r="BT36">
        <v>12.172439000000001</v>
      </c>
      <c r="BU36">
        <v>6.5518900000000002</v>
      </c>
      <c r="BV36">
        <v>0.83802399999999999</v>
      </c>
      <c r="BW36">
        <v>-0.86346199999999995</v>
      </c>
      <c r="BX36">
        <v>0.53825599999999996</v>
      </c>
      <c r="BY36">
        <v>0.12790599999999999</v>
      </c>
      <c r="BZ36">
        <v>-0.13178799999999999</v>
      </c>
      <c r="CA36">
        <v>-0.4</v>
      </c>
      <c r="CB36">
        <v>-0.18</v>
      </c>
      <c r="CC36">
        <v>-0.09</v>
      </c>
      <c r="CD36">
        <v>0.03</v>
      </c>
      <c r="CE36">
        <v>0.08</v>
      </c>
      <c r="CF36">
        <v>0.14000000000000001</v>
      </c>
      <c r="CG36">
        <v>0.38</v>
      </c>
      <c r="CH36">
        <v>11.7</v>
      </c>
      <c r="CI36">
        <v>16.652002</v>
      </c>
      <c r="CJ36">
        <v>21.74</v>
      </c>
      <c r="CK36">
        <v>24.559999000000001</v>
      </c>
      <c r="CL36">
        <v>26.4</v>
      </c>
      <c r="CM36">
        <v>28.82</v>
      </c>
      <c r="CN36">
        <v>29.767002000000002</v>
      </c>
      <c r="CO36">
        <v>30.57</v>
      </c>
      <c r="CP36">
        <v>0.40007500000000001</v>
      </c>
      <c r="CQ36">
        <v>16.966745</v>
      </c>
      <c r="CR36">
        <v>19.387094000000001</v>
      </c>
      <c r="CS36">
        <v>1</v>
      </c>
      <c r="CT36">
        <v>58</v>
      </c>
      <c r="CU36">
        <v>12.081379999999999</v>
      </c>
      <c r="CV36">
        <v>1</v>
      </c>
      <c r="CW36">
        <v>10.104376</v>
      </c>
      <c r="CX36">
        <v>102.09840800000001</v>
      </c>
      <c r="CY36">
        <v>0.83635899999999996</v>
      </c>
      <c r="CZ36">
        <v>13</v>
      </c>
      <c r="DA36">
        <v>1.435959</v>
      </c>
      <c r="DB36">
        <v>5.1847890000000003</v>
      </c>
      <c r="DC36">
        <v>7.6956959999999999</v>
      </c>
      <c r="DD36">
        <v>12.081379999999999</v>
      </c>
      <c r="DE36">
        <v>5.2983630000000002</v>
      </c>
      <c r="DF36">
        <v>1.4437</v>
      </c>
      <c r="DG36">
        <v>0.75051400000000001</v>
      </c>
      <c r="DH36">
        <v>0.438556</v>
      </c>
      <c r="DI36">
        <v>0.27248</v>
      </c>
      <c r="DJ36">
        <v>0.14165</v>
      </c>
      <c r="DK36">
        <v>1</v>
      </c>
      <c r="DL36">
        <v>1</v>
      </c>
      <c r="DM36">
        <v>2</v>
      </c>
      <c r="DN36">
        <v>4</v>
      </c>
      <c r="DO36">
        <v>4</v>
      </c>
      <c r="DP36">
        <v>5</v>
      </c>
      <c r="DQ36">
        <v>7</v>
      </c>
      <c r="DR36">
        <v>10</v>
      </c>
      <c r="DS36">
        <v>12</v>
      </c>
      <c r="DT36">
        <v>15</v>
      </c>
      <c r="DU36">
        <v>17</v>
      </c>
      <c r="DV36">
        <v>18</v>
      </c>
      <c r="DW36">
        <v>25</v>
      </c>
      <c r="DX36">
        <v>34</v>
      </c>
      <c r="DY36">
        <v>47</v>
      </c>
      <c r="DZ36">
        <v>89.567307999999997</v>
      </c>
      <c r="EA36">
        <v>57.023060999999998</v>
      </c>
      <c r="EB36">
        <v>143.84615400000001</v>
      </c>
      <c r="EC36">
        <v>1863</v>
      </c>
      <c r="ED36">
        <v>2992</v>
      </c>
      <c r="EE36">
        <v>83.942307999999997</v>
      </c>
      <c r="EF36">
        <v>100</v>
      </c>
      <c r="EG36">
        <v>49.209071999999999</v>
      </c>
      <c r="EH36">
        <v>98.322851</v>
      </c>
      <c r="EI36">
        <v>124.134615</v>
      </c>
      <c r="EJ36">
        <v>248.02884599999999</v>
      </c>
      <c r="EK36">
        <v>1746</v>
      </c>
      <c r="EL36">
        <v>2080</v>
      </c>
      <c r="EM36">
        <v>2582</v>
      </c>
      <c r="EN36">
        <v>5159</v>
      </c>
      <c r="EO36">
        <v>2080</v>
      </c>
      <c r="EP36">
        <v>5247</v>
      </c>
      <c r="EQ36">
        <v>38.909036</v>
      </c>
    </row>
    <row r="37" spans="1:147" x14ac:dyDescent="0.25">
      <c r="A37">
        <v>2022</v>
      </c>
      <c r="B37" t="str">
        <f t="shared" si="0"/>
        <v>RD</v>
      </c>
      <c r="C37" t="s">
        <v>371</v>
      </c>
      <c r="D37" t="s">
        <v>371</v>
      </c>
      <c r="E37">
        <v>21777</v>
      </c>
      <c r="F37" t="s">
        <v>364</v>
      </c>
      <c r="G37" t="s">
        <v>365</v>
      </c>
      <c r="H37" t="s">
        <v>372</v>
      </c>
      <c r="I37">
        <v>31.09</v>
      </c>
      <c r="J37">
        <v>31.09</v>
      </c>
      <c r="K37" t="s">
        <v>236</v>
      </c>
      <c r="L37">
        <v>1</v>
      </c>
      <c r="M37">
        <v>2013</v>
      </c>
      <c r="N37">
        <v>2</v>
      </c>
      <c r="O37" t="str">
        <f t="shared" si="1"/>
        <v>Alto fuste</v>
      </c>
      <c r="P37" s="2">
        <v>41459</v>
      </c>
      <c r="Q37" t="s">
        <v>237</v>
      </c>
      <c r="R37" t="s">
        <v>249</v>
      </c>
      <c r="S37" t="s">
        <v>154</v>
      </c>
      <c r="T37" t="s">
        <v>238</v>
      </c>
      <c r="U37" t="s">
        <v>156</v>
      </c>
      <c r="V37" s="2">
        <v>44680</v>
      </c>
      <c r="W37" t="s">
        <v>368</v>
      </c>
      <c r="X37">
        <v>96.19</v>
      </c>
      <c r="Y37">
        <v>21.4</v>
      </c>
      <c r="Z37">
        <v>14</v>
      </c>
      <c r="AA37">
        <v>15.8</v>
      </c>
      <c r="AB37">
        <v>3</v>
      </c>
      <c r="AC37">
        <v>338.12</v>
      </c>
      <c r="AD37">
        <v>327.62677367677298</v>
      </c>
      <c r="AE37" s="2">
        <v>44680</v>
      </c>
      <c r="AF37">
        <v>105</v>
      </c>
      <c r="AG37">
        <v>8.8186173853524998</v>
      </c>
      <c r="AH37">
        <v>21.831477932302299</v>
      </c>
      <c r="AI37">
        <v>14.824999999999999</v>
      </c>
      <c r="AJ37">
        <v>21.405864613726202</v>
      </c>
      <c r="AK37">
        <v>40</v>
      </c>
      <c r="AL37">
        <v>1220.9014407187301</v>
      </c>
      <c r="AM37">
        <v>211.257651516561</v>
      </c>
      <c r="AN37">
        <v>0.17303415695225699</v>
      </c>
      <c r="AO37" t="s">
        <v>249</v>
      </c>
      <c r="AP37" t="s">
        <v>158</v>
      </c>
      <c r="AQ37" t="s">
        <v>166</v>
      </c>
      <c r="AR37">
        <v>7.5</v>
      </c>
      <c r="AS37">
        <v>0.91567608053904415</v>
      </c>
      <c r="AT37" t="s">
        <v>373</v>
      </c>
      <c r="AU37" t="s">
        <v>374</v>
      </c>
      <c r="AV37">
        <v>7324</v>
      </c>
      <c r="AW37">
        <v>3632</v>
      </c>
      <c r="AX37">
        <v>2852</v>
      </c>
      <c r="AY37">
        <v>773</v>
      </c>
      <c r="AZ37">
        <v>67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-1.65</v>
      </c>
      <c r="BH37">
        <v>26.030000999999999</v>
      </c>
      <c r="BI37">
        <v>11.705759</v>
      </c>
      <c r="BJ37">
        <v>-0.33190500000000001</v>
      </c>
      <c r="BK37">
        <v>10.438088</v>
      </c>
      <c r="BL37">
        <v>108.953688</v>
      </c>
      <c r="BM37">
        <v>0.89170499999999997</v>
      </c>
      <c r="BN37">
        <v>22.489999000000001</v>
      </c>
      <c r="BO37">
        <v>-6.5457000000000001E-2</v>
      </c>
      <c r="BP37">
        <v>1.220242</v>
      </c>
      <c r="BQ37">
        <v>9.8833559999999991</v>
      </c>
      <c r="BR37">
        <v>9.6899990000000003</v>
      </c>
      <c r="BS37">
        <v>14.771903999999999</v>
      </c>
      <c r="BT37">
        <v>11.705759</v>
      </c>
      <c r="BU37">
        <v>5.7178449999999996</v>
      </c>
      <c r="BV37">
        <v>7.8658000000000006E-2</v>
      </c>
      <c r="BW37">
        <v>-1.003862</v>
      </c>
      <c r="BX37">
        <v>0.48846400000000001</v>
      </c>
      <c r="BY37">
        <v>1.3757E-2</v>
      </c>
      <c r="BZ37">
        <v>-0.175567</v>
      </c>
      <c r="CA37">
        <v>-0.37</v>
      </c>
      <c r="CB37">
        <v>-0.16</v>
      </c>
      <c r="CC37">
        <v>-0.08</v>
      </c>
      <c r="CD37">
        <v>0.01</v>
      </c>
      <c r="CE37">
        <v>0.06</v>
      </c>
      <c r="CF37">
        <v>0.12</v>
      </c>
      <c r="CG37">
        <v>0.41</v>
      </c>
      <c r="CH37">
        <v>14.440001000000001</v>
      </c>
      <c r="CI37">
        <v>18.459999</v>
      </c>
      <c r="CJ37">
        <v>21.389999</v>
      </c>
      <c r="CK37">
        <v>22.549999</v>
      </c>
      <c r="CL37">
        <v>23.24</v>
      </c>
      <c r="CM37">
        <v>24.01</v>
      </c>
      <c r="CN37">
        <v>24.588501000000001</v>
      </c>
      <c r="CO37">
        <v>25.317699000000001</v>
      </c>
      <c r="CP37">
        <v>0.48250599999999999</v>
      </c>
      <c r="CQ37">
        <v>15.683227</v>
      </c>
      <c r="CR37">
        <v>17.495429999999999</v>
      </c>
      <c r="CS37">
        <v>1</v>
      </c>
      <c r="CT37">
        <v>71</v>
      </c>
      <c r="CU37">
        <v>15.592572000000001</v>
      </c>
      <c r="CV37">
        <v>1</v>
      </c>
      <c r="CW37">
        <v>12.949372</v>
      </c>
      <c r="CX37">
        <v>167.686226</v>
      </c>
      <c r="CY37">
        <v>0.83048299999999997</v>
      </c>
      <c r="CZ37">
        <v>14</v>
      </c>
      <c r="DA37">
        <v>1.4791650000000001</v>
      </c>
      <c r="DB37">
        <v>5.0266250000000001</v>
      </c>
      <c r="DC37">
        <v>9.6521589999999993</v>
      </c>
      <c r="DD37">
        <v>15.592572000000001</v>
      </c>
      <c r="DE37">
        <v>6.7185389999999998</v>
      </c>
      <c r="DF37">
        <v>1.9349499999999999</v>
      </c>
      <c r="DG37">
        <v>1.1417900000000001</v>
      </c>
      <c r="DH37">
        <v>0.43088100000000001</v>
      </c>
      <c r="DI37">
        <v>0.28800199999999998</v>
      </c>
      <c r="DJ37">
        <v>0.16994600000000001</v>
      </c>
      <c r="DK37">
        <v>1</v>
      </c>
      <c r="DL37">
        <v>2</v>
      </c>
      <c r="DM37">
        <v>3</v>
      </c>
      <c r="DN37">
        <v>5</v>
      </c>
      <c r="DO37">
        <v>6</v>
      </c>
      <c r="DP37">
        <v>7</v>
      </c>
      <c r="DQ37">
        <v>10</v>
      </c>
      <c r="DR37">
        <v>12</v>
      </c>
      <c r="DS37">
        <v>15</v>
      </c>
      <c r="DT37">
        <v>18</v>
      </c>
      <c r="DU37">
        <v>20</v>
      </c>
      <c r="DV37">
        <v>23</v>
      </c>
      <c r="DW37">
        <v>33</v>
      </c>
      <c r="DX37">
        <v>46</v>
      </c>
      <c r="DY37">
        <v>58</v>
      </c>
      <c r="DZ37">
        <v>89.289648</v>
      </c>
      <c r="EA37">
        <v>58.724741000000002</v>
      </c>
      <c r="EB37">
        <v>118.41960400000001</v>
      </c>
      <c r="EC37">
        <v>3243</v>
      </c>
      <c r="ED37">
        <v>4301</v>
      </c>
      <c r="EE37">
        <v>86.866739999999993</v>
      </c>
      <c r="EF37">
        <v>99.944934000000003</v>
      </c>
      <c r="EG37">
        <v>54.055160999999998</v>
      </c>
      <c r="EH37">
        <v>98.825778</v>
      </c>
      <c r="EI37">
        <v>109.003304</v>
      </c>
      <c r="EJ37">
        <v>199.28414100000001</v>
      </c>
      <c r="EK37">
        <v>3155</v>
      </c>
      <c r="EL37">
        <v>3630</v>
      </c>
      <c r="EM37">
        <v>3959</v>
      </c>
      <c r="EN37">
        <v>7238</v>
      </c>
      <c r="EO37">
        <v>3632</v>
      </c>
      <c r="EP37">
        <v>7324</v>
      </c>
      <c r="EQ37">
        <v>45.279851000000001</v>
      </c>
    </row>
    <row r="38" spans="1:147" x14ac:dyDescent="0.25">
      <c r="A38">
        <v>2022</v>
      </c>
      <c r="B38" t="str">
        <f t="shared" si="0"/>
        <v>RD</v>
      </c>
      <c r="C38" t="s">
        <v>375</v>
      </c>
      <c r="D38" t="s">
        <v>375</v>
      </c>
      <c r="E38">
        <v>21778</v>
      </c>
      <c r="F38" t="s">
        <v>364</v>
      </c>
      <c r="G38" t="s">
        <v>365</v>
      </c>
      <c r="H38" t="s">
        <v>372</v>
      </c>
      <c r="I38">
        <v>31.09</v>
      </c>
      <c r="J38">
        <v>31.09</v>
      </c>
      <c r="K38" t="s">
        <v>236</v>
      </c>
      <c r="L38">
        <v>1</v>
      </c>
      <c r="M38">
        <v>2013</v>
      </c>
      <c r="N38">
        <v>2</v>
      </c>
      <c r="O38" t="str">
        <f t="shared" si="1"/>
        <v>Alto fuste</v>
      </c>
      <c r="P38" s="2">
        <v>41459</v>
      </c>
      <c r="Q38" t="s">
        <v>237</v>
      </c>
      <c r="R38" t="s">
        <v>249</v>
      </c>
      <c r="S38" t="s">
        <v>154</v>
      </c>
      <c r="T38" t="s">
        <v>238</v>
      </c>
      <c r="U38" t="s">
        <v>156</v>
      </c>
      <c r="V38" s="2">
        <v>44680</v>
      </c>
      <c r="W38" t="s">
        <v>368</v>
      </c>
      <c r="X38">
        <v>96.19</v>
      </c>
      <c r="Y38">
        <v>21</v>
      </c>
      <c r="Z38">
        <v>14</v>
      </c>
      <c r="AA38">
        <v>15.9</v>
      </c>
      <c r="AB38">
        <v>5</v>
      </c>
      <c r="AC38">
        <v>333.9</v>
      </c>
      <c r="AD38">
        <v>322.74889465866403</v>
      </c>
      <c r="AE38" s="2">
        <v>44680</v>
      </c>
      <c r="AF38">
        <v>105</v>
      </c>
      <c r="AG38">
        <v>8.8186173853524998</v>
      </c>
      <c r="AH38">
        <v>21.070983110057799</v>
      </c>
      <c r="AI38">
        <v>15.3789473684211</v>
      </c>
      <c r="AJ38">
        <v>22.440928238729299</v>
      </c>
      <c r="AK38">
        <v>38</v>
      </c>
      <c r="AL38">
        <v>1177.3859067802</v>
      </c>
      <c r="AM38">
        <v>211.11592683187101</v>
      </c>
      <c r="AN38">
        <v>0.179309031657437</v>
      </c>
      <c r="AO38" t="s">
        <v>249</v>
      </c>
      <c r="AP38" t="s">
        <v>158</v>
      </c>
      <c r="AQ38" t="s">
        <v>166</v>
      </c>
      <c r="AR38">
        <v>7.5</v>
      </c>
      <c r="AS38">
        <v>0.88303943008515373</v>
      </c>
      <c r="AT38" t="s">
        <v>376</v>
      </c>
      <c r="AU38" t="s">
        <v>377</v>
      </c>
      <c r="AV38">
        <v>12025</v>
      </c>
      <c r="AW38">
        <v>6146</v>
      </c>
      <c r="AX38">
        <v>4604</v>
      </c>
      <c r="AY38">
        <v>1160</v>
      </c>
      <c r="AZ38">
        <v>115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-0.96</v>
      </c>
      <c r="BH38">
        <v>28.33</v>
      </c>
      <c r="BI38">
        <v>11.661706000000001</v>
      </c>
      <c r="BJ38">
        <v>-3.0158999999999998E-2</v>
      </c>
      <c r="BK38">
        <v>11.354099</v>
      </c>
      <c r="BL38">
        <v>128.91557</v>
      </c>
      <c r="BM38">
        <v>0.97362300000000002</v>
      </c>
      <c r="BN38">
        <v>24.249998999999999</v>
      </c>
      <c r="BO38">
        <v>0.121896</v>
      </c>
      <c r="BP38">
        <v>1.2382759999999999</v>
      </c>
      <c r="BQ38">
        <v>10.766052</v>
      </c>
      <c r="BR38">
        <v>12.21</v>
      </c>
      <c r="BS38">
        <v>12.290158999999999</v>
      </c>
      <c r="BT38">
        <v>11.661706000000001</v>
      </c>
      <c r="BU38">
        <v>6.1968550000000002</v>
      </c>
      <c r="BV38">
        <v>0.578461</v>
      </c>
      <c r="BW38">
        <v>-1.0665910000000001</v>
      </c>
      <c r="BX38">
        <v>0.531385</v>
      </c>
      <c r="BY38">
        <v>9.3346999999999999E-2</v>
      </c>
      <c r="BZ38">
        <v>-0.17211799999999999</v>
      </c>
      <c r="CA38">
        <v>-0.36</v>
      </c>
      <c r="CB38">
        <v>-0.16</v>
      </c>
      <c r="CC38">
        <v>-0.09</v>
      </c>
      <c r="CD38">
        <v>0</v>
      </c>
      <c r="CE38">
        <v>0.05</v>
      </c>
      <c r="CF38">
        <v>0.09</v>
      </c>
      <c r="CG38">
        <v>0.23</v>
      </c>
      <c r="CH38">
        <v>12.26</v>
      </c>
      <c r="CI38">
        <v>18.25</v>
      </c>
      <c r="CJ38">
        <v>22.017997999999999</v>
      </c>
      <c r="CK38">
        <v>24.299999</v>
      </c>
      <c r="CL38">
        <v>24.950001</v>
      </c>
      <c r="CM38">
        <v>26.26</v>
      </c>
      <c r="CN38">
        <v>26.92</v>
      </c>
      <c r="CO38">
        <v>27.57</v>
      </c>
      <c r="CP38">
        <v>0.43092200000000003</v>
      </c>
      <c r="CQ38">
        <v>16.275756000000001</v>
      </c>
      <c r="CR38">
        <v>18.443795000000001</v>
      </c>
      <c r="CS38">
        <v>1</v>
      </c>
      <c r="CT38">
        <v>64</v>
      </c>
      <c r="CU38">
        <v>14.7121</v>
      </c>
      <c r="CV38">
        <v>1</v>
      </c>
      <c r="CW38">
        <v>12.929819999999999</v>
      </c>
      <c r="CX38">
        <v>167.18024700000001</v>
      </c>
      <c r="CY38">
        <v>0.87885599999999997</v>
      </c>
      <c r="CZ38">
        <v>14</v>
      </c>
      <c r="DA38">
        <v>1.278219</v>
      </c>
      <c r="DB38">
        <v>3.8420320000000001</v>
      </c>
      <c r="DC38">
        <v>9.9953430000000001</v>
      </c>
      <c r="DD38">
        <v>14.7121</v>
      </c>
      <c r="DE38">
        <v>6.7891050000000002</v>
      </c>
      <c r="DF38">
        <v>2.0797340000000002</v>
      </c>
      <c r="DG38">
        <v>0.94123500000000004</v>
      </c>
      <c r="DH38">
        <v>0.46146399999999999</v>
      </c>
      <c r="DI38">
        <v>0.306334</v>
      </c>
      <c r="DJ38">
        <v>0.13863900000000001</v>
      </c>
      <c r="DK38">
        <v>1</v>
      </c>
      <c r="DL38">
        <v>1</v>
      </c>
      <c r="DM38">
        <v>2</v>
      </c>
      <c r="DN38">
        <v>4</v>
      </c>
      <c r="DO38">
        <v>5</v>
      </c>
      <c r="DP38">
        <v>6</v>
      </c>
      <c r="DQ38">
        <v>8</v>
      </c>
      <c r="DR38">
        <v>11</v>
      </c>
      <c r="DS38">
        <v>13</v>
      </c>
      <c r="DT38">
        <v>17</v>
      </c>
      <c r="DU38">
        <v>19</v>
      </c>
      <c r="DV38">
        <v>23</v>
      </c>
      <c r="DW38">
        <v>37</v>
      </c>
      <c r="DX38">
        <v>44</v>
      </c>
      <c r="DY38">
        <v>52</v>
      </c>
      <c r="DZ38">
        <v>82.557760999999999</v>
      </c>
      <c r="EA38">
        <v>54.644491000000002</v>
      </c>
      <c r="EB38">
        <v>106.91506699999999</v>
      </c>
      <c r="EC38">
        <v>5074</v>
      </c>
      <c r="ED38">
        <v>6571</v>
      </c>
      <c r="EE38">
        <v>80.312398000000002</v>
      </c>
      <c r="EF38">
        <v>98.519362000000001</v>
      </c>
      <c r="EG38">
        <v>50.378377999999998</v>
      </c>
      <c r="EH38">
        <v>84.548856999999998</v>
      </c>
      <c r="EI38">
        <v>98.568173999999999</v>
      </c>
      <c r="EJ38">
        <v>165.424666</v>
      </c>
      <c r="EK38">
        <v>4936</v>
      </c>
      <c r="EL38">
        <v>6055</v>
      </c>
      <c r="EM38">
        <v>6058</v>
      </c>
      <c r="EN38">
        <v>10167</v>
      </c>
      <c r="EO38">
        <v>6146</v>
      </c>
      <c r="EP38">
        <v>12025</v>
      </c>
      <c r="EQ38">
        <v>41.380029999999998</v>
      </c>
    </row>
    <row r="39" spans="1:147" x14ac:dyDescent="0.25">
      <c r="A39">
        <v>2022</v>
      </c>
      <c r="B39" t="str">
        <f t="shared" si="0"/>
        <v>RD</v>
      </c>
      <c r="C39" t="s">
        <v>378</v>
      </c>
      <c r="D39" t="s">
        <v>378</v>
      </c>
      <c r="E39">
        <v>21780</v>
      </c>
      <c r="F39" t="s">
        <v>379</v>
      </c>
      <c r="G39" t="s">
        <v>365</v>
      </c>
      <c r="H39" t="s">
        <v>380</v>
      </c>
      <c r="I39">
        <v>33.81</v>
      </c>
      <c r="J39">
        <v>33.81</v>
      </c>
      <c r="K39" t="s">
        <v>236</v>
      </c>
      <c r="L39">
        <v>1</v>
      </c>
      <c r="M39">
        <v>2013</v>
      </c>
      <c r="N39">
        <v>1</v>
      </c>
      <c r="O39" t="str">
        <f t="shared" si="1"/>
        <v>Talhadia</v>
      </c>
      <c r="P39" s="2">
        <v>41519</v>
      </c>
      <c r="Q39" t="s">
        <v>322</v>
      </c>
      <c r="R39" t="s">
        <v>262</v>
      </c>
      <c r="S39" t="s">
        <v>154</v>
      </c>
      <c r="T39" t="s">
        <v>238</v>
      </c>
      <c r="U39" t="s">
        <v>156</v>
      </c>
      <c r="V39" s="2">
        <v>44680</v>
      </c>
      <c r="W39" t="s">
        <v>368</v>
      </c>
      <c r="X39">
        <v>33.81</v>
      </c>
      <c r="Y39">
        <v>19</v>
      </c>
      <c r="Z39">
        <v>10</v>
      </c>
      <c r="AA39">
        <v>16.5</v>
      </c>
      <c r="AB39">
        <v>3</v>
      </c>
      <c r="AC39">
        <v>313.5</v>
      </c>
      <c r="AD39">
        <v>308.31411692486301</v>
      </c>
      <c r="AE39" s="2">
        <v>44680</v>
      </c>
      <c r="AF39">
        <v>103</v>
      </c>
      <c r="AG39">
        <v>8.6543463381245704</v>
      </c>
      <c r="AH39">
        <v>27.913034980925499</v>
      </c>
      <c r="AI39">
        <v>16.696428571428601</v>
      </c>
      <c r="AJ39">
        <v>20.8827121741821</v>
      </c>
      <c r="AK39">
        <v>28</v>
      </c>
      <c r="AL39">
        <v>908.16470809942496</v>
      </c>
      <c r="AM39">
        <v>272.10126895997701</v>
      </c>
      <c r="AN39">
        <v>0.29961665161974999</v>
      </c>
      <c r="AO39" t="s">
        <v>262</v>
      </c>
      <c r="AP39" t="s">
        <v>264</v>
      </c>
      <c r="AQ39" t="s">
        <v>294</v>
      </c>
      <c r="AR39">
        <v>9.99</v>
      </c>
      <c r="AS39">
        <v>0.90725654339132489</v>
      </c>
      <c r="AT39" t="s">
        <v>381</v>
      </c>
      <c r="AU39" t="s">
        <v>382</v>
      </c>
      <c r="AV39">
        <v>1650</v>
      </c>
      <c r="AW39">
        <v>866</v>
      </c>
      <c r="AX39">
        <v>650</v>
      </c>
      <c r="AY39">
        <v>133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-0.6</v>
      </c>
      <c r="BH39">
        <v>34.25</v>
      </c>
      <c r="BI39">
        <v>14.097079000000001</v>
      </c>
      <c r="BJ39">
        <v>-4.6824999999999999E-2</v>
      </c>
      <c r="BK39">
        <v>14.162259000000001</v>
      </c>
      <c r="BL39">
        <v>200.56958399999999</v>
      </c>
      <c r="BM39">
        <v>1.004624</v>
      </c>
      <c r="BN39">
        <v>30.632498999999999</v>
      </c>
      <c r="BO39">
        <v>0.17592099999999999</v>
      </c>
      <c r="BP39">
        <v>1.2450159999999999</v>
      </c>
      <c r="BQ39">
        <v>13.412039</v>
      </c>
      <c r="BR39">
        <v>13.384999000000001</v>
      </c>
      <c r="BS39">
        <v>13.401825000000001</v>
      </c>
      <c r="BT39">
        <v>14.097079000000001</v>
      </c>
      <c r="BU39">
        <v>7.6770339999999999</v>
      </c>
      <c r="BV39">
        <v>0.87937600000000005</v>
      </c>
      <c r="BW39">
        <v>-1.373094</v>
      </c>
      <c r="BX39">
        <v>0.54458300000000004</v>
      </c>
      <c r="BY39">
        <v>0.114546</v>
      </c>
      <c r="BZ39">
        <v>-0.17885699999999999</v>
      </c>
      <c r="CA39">
        <v>-0.28999999999999998</v>
      </c>
      <c r="CB39">
        <v>-0.17</v>
      </c>
      <c r="CC39">
        <v>-9.0999999999999998E-2</v>
      </c>
      <c r="CD39">
        <v>-0.01</v>
      </c>
      <c r="CE39">
        <v>2.2499999999999999E-2</v>
      </c>
      <c r="CF39">
        <v>0.06</v>
      </c>
      <c r="CG39">
        <v>0.14000000000000001</v>
      </c>
      <c r="CH39">
        <v>13.355</v>
      </c>
      <c r="CI39">
        <v>20.844000000000001</v>
      </c>
      <c r="CJ39">
        <v>27.693000999999999</v>
      </c>
      <c r="CK39">
        <v>30.654999</v>
      </c>
      <c r="CL39">
        <v>31.441998999999999</v>
      </c>
      <c r="CM39">
        <v>32.451000000000001</v>
      </c>
      <c r="CN39">
        <v>32.869999</v>
      </c>
      <c r="CO39">
        <v>33.585101999999999</v>
      </c>
      <c r="CP39">
        <v>0.42172399999999999</v>
      </c>
      <c r="CQ39">
        <v>19.979381</v>
      </c>
      <c r="CR39">
        <v>22.752267</v>
      </c>
      <c r="CS39">
        <v>1</v>
      </c>
      <c r="CT39">
        <v>51</v>
      </c>
      <c r="CU39">
        <v>12.866667</v>
      </c>
      <c r="CV39">
        <v>1</v>
      </c>
      <c r="CW39">
        <v>11.150839</v>
      </c>
      <c r="CX39">
        <v>124.341217</v>
      </c>
      <c r="CY39">
        <v>0.86664600000000003</v>
      </c>
      <c r="CZ39">
        <v>12</v>
      </c>
      <c r="DA39">
        <v>1.2444930000000001</v>
      </c>
      <c r="DB39">
        <v>3.804897</v>
      </c>
      <c r="DC39">
        <v>8.6772530000000003</v>
      </c>
      <c r="DD39">
        <v>12.866667</v>
      </c>
      <c r="DE39">
        <v>5.8938100000000002</v>
      </c>
      <c r="DF39">
        <v>1.7485280000000001</v>
      </c>
      <c r="DG39">
        <v>0.76278900000000005</v>
      </c>
      <c r="DH39">
        <v>0.45806799999999998</v>
      </c>
      <c r="DI39">
        <v>0.29667199999999999</v>
      </c>
      <c r="DJ39">
        <v>0.12942200000000001</v>
      </c>
      <c r="DK39">
        <v>1</v>
      </c>
      <c r="DL39">
        <v>1</v>
      </c>
      <c r="DM39">
        <v>2</v>
      </c>
      <c r="DN39">
        <v>4</v>
      </c>
      <c r="DO39">
        <v>5</v>
      </c>
      <c r="DP39">
        <v>5</v>
      </c>
      <c r="DQ39">
        <v>7</v>
      </c>
      <c r="DR39">
        <v>10</v>
      </c>
      <c r="DS39">
        <v>12</v>
      </c>
      <c r="DT39">
        <v>15</v>
      </c>
      <c r="DU39">
        <v>17</v>
      </c>
      <c r="DV39">
        <v>20</v>
      </c>
      <c r="DW39">
        <v>31</v>
      </c>
      <c r="DX39">
        <v>38</v>
      </c>
      <c r="DY39">
        <v>44.510010000000001</v>
      </c>
      <c r="DZ39">
        <v>83.140878000000001</v>
      </c>
      <c r="EA39">
        <v>53.151515000000003</v>
      </c>
      <c r="EB39">
        <v>101.270208</v>
      </c>
      <c r="EC39">
        <v>720</v>
      </c>
      <c r="ED39">
        <v>877</v>
      </c>
      <c r="EE39">
        <v>80.369515000000007</v>
      </c>
      <c r="EF39">
        <v>99.191686000000004</v>
      </c>
      <c r="EG39">
        <v>49.636364</v>
      </c>
      <c r="EH39">
        <v>83.696969999999993</v>
      </c>
      <c r="EI39">
        <v>94.572748000000004</v>
      </c>
      <c r="EJ39">
        <v>159.46882199999999</v>
      </c>
      <c r="EK39">
        <v>696</v>
      </c>
      <c r="EL39">
        <v>859</v>
      </c>
      <c r="EM39">
        <v>819</v>
      </c>
      <c r="EN39">
        <v>1381</v>
      </c>
      <c r="EO39">
        <v>866</v>
      </c>
      <c r="EP39">
        <v>1650</v>
      </c>
      <c r="EQ39">
        <v>41.122689999999999</v>
      </c>
    </row>
    <row r="40" spans="1:147" x14ac:dyDescent="0.25">
      <c r="A40">
        <v>2022</v>
      </c>
      <c r="B40" t="str">
        <f t="shared" si="0"/>
        <v>RD</v>
      </c>
      <c r="C40" t="s">
        <v>383</v>
      </c>
      <c r="D40" t="s">
        <v>383</v>
      </c>
      <c r="E40">
        <v>21781</v>
      </c>
      <c r="F40" t="s">
        <v>379</v>
      </c>
      <c r="G40" t="s">
        <v>365</v>
      </c>
      <c r="H40" t="s">
        <v>380</v>
      </c>
      <c r="I40">
        <v>33.81</v>
      </c>
      <c r="J40">
        <v>33.81</v>
      </c>
      <c r="K40" t="s">
        <v>236</v>
      </c>
      <c r="L40">
        <v>1</v>
      </c>
      <c r="M40">
        <v>2013</v>
      </c>
      <c r="N40">
        <v>1</v>
      </c>
      <c r="O40" t="str">
        <f t="shared" si="1"/>
        <v>Talhadia</v>
      </c>
      <c r="P40" s="2">
        <v>41519</v>
      </c>
      <c r="Q40" t="s">
        <v>322</v>
      </c>
      <c r="R40" t="s">
        <v>262</v>
      </c>
      <c r="S40" t="s">
        <v>154</v>
      </c>
      <c r="T40" t="s">
        <v>238</v>
      </c>
      <c r="U40" t="s">
        <v>156</v>
      </c>
      <c r="V40" s="2">
        <v>44680</v>
      </c>
      <c r="W40" t="s">
        <v>368</v>
      </c>
      <c r="X40">
        <v>33.81</v>
      </c>
      <c r="Y40">
        <v>18.8</v>
      </c>
      <c r="Z40">
        <v>13</v>
      </c>
      <c r="AA40">
        <v>14.2</v>
      </c>
      <c r="AB40">
        <v>0</v>
      </c>
      <c r="AC40">
        <v>266.95999999999998</v>
      </c>
      <c r="AD40">
        <v>260.11783249506601</v>
      </c>
      <c r="AE40" s="2">
        <v>44680</v>
      </c>
      <c r="AF40">
        <v>103</v>
      </c>
      <c r="AG40">
        <v>8.6543463381245704</v>
      </c>
      <c r="AH40">
        <v>29.1432402436233</v>
      </c>
      <c r="AI40">
        <v>16.6636363636364</v>
      </c>
      <c r="AJ40">
        <v>19.248816462044299</v>
      </c>
      <c r="AK40">
        <v>22</v>
      </c>
      <c r="AL40">
        <v>845.77054133408103</v>
      </c>
      <c r="AM40">
        <v>260.99436812004598</v>
      </c>
      <c r="AN40">
        <v>0.30858767876729898</v>
      </c>
      <c r="AO40" t="s">
        <v>262</v>
      </c>
      <c r="AP40" t="s">
        <v>264</v>
      </c>
      <c r="AQ40" t="s">
        <v>294</v>
      </c>
      <c r="AR40">
        <v>9.99</v>
      </c>
      <c r="AS40">
        <v>0.84492477079274775</v>
      </c>
      <c r="AT40" t="s">
        <v>384</v>
      </c>
      <c r="AU40" t="s">
        <v>385</v>
      </c>
      <c r="AV40">
        <v>1735</v>
      </c>
      <c r="AW40">
        <v>992</v>
      </c>
      <c r="AX40">
        <v>626</v>
      </c>
      <c r="AY40">
        <v>113</v>
      </c>
      <c r="AZ40">
        <v>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-0.9</v>
      </c>
      <c r="BH40">
        <v>32.75</v>
      </c>
      <c r="BI40">
        <v>12.032408999999999</v>
      </c>
      <c r="BJ40">
        <v>-0.365873</v>
      </c>
      <c r="BK40">
        <v>13.637494999999999</v>
      </c>
      <c r="BL40">
        <v>185.98127400000001</v>
      </c>
      <c r="BM40">
        <v>1.133397</v>
      </c>
      <c r="BN40">
        <v>27.704999999999998</v>
      </c>
      <c r="BO40">
        <v>0.38145000000000001</v>
      </c>
      <c r="BP40">
        <v>1.301031</v>
      </c>
      <c r="BQ40">
        <v>13.033554000000001</v>
      </c>
      <c r="BR40">
        <v>0.45</v>
      </c>
      <c r="BS40">
        <v>0.58587299999999998</v>
      </c>
      <c r="BT40">
        <v>12.032408999999999</v>
      </c>
      <c r="BU40">
        <v>7.1982749999999998</v>
      </c>
      <c r="BV40">
        <v>1.4881409999999999</v>
      </c>
      <c r="BW40">
        <v>-1.1304000000000001</v>
      </c>
      <c r="BX40">
        <v>0.59824100000000002</v>
      </c>
      <c r="BY40">
        <v>0.206736</v>
      </c>
      <c r="BZ40">
        <v>-0.15703800000000001</v>
      </c>
      <c r="CA40">
        <v>-0.35</v>
      </c>
      <c r="CB40">
        <v>-0.17299999999999999</v>
      </c>
      <c r="CC40">
        <v>-0.11</v>
      </c>
      <c r="CD40">
        <v>-0.03</v>
      </c>
      <c r="CE40">
        <v>0</v>
      </c>
      <c r="CF40">
        <v>0.03</v>
      </c>
      <c r="CG40">
        <v>0.1</v>
      </c>
      <c r="CH40">
        <v>0.22</v>
      </c>
      <c r="CI40">
        <v>18.049999</v>
      </c>
      <c r="CJ40">
        <v>25.820004999999998</v>
      </c>
      <c r="CK40">
        <v>27.704999999999998</v>
      </c>
      <c r="CL40">
        <v>29.685998999999999</v>
      </c>
      <c r="CM40">
        <v>30.901999</v>
      </c>
      <c r="CN40">
        <v>31.533000999999999</v>
      </c>
      <c r="CO40">
        <v>32.360000999999997</v>
      </c>
      <c r="CP40">
        <v>0.38432100000000002</v>
      </c>
      <c r="CQ40">
        <v>18.183865000000001</v>
      </c>
      <c r="CR40">
        <v>21.118372000000001</v>
      </c>
      <c r="CS40">
        <v>1</v>
      </c>
      <c r="CT40">
        <v>53</v>
      </c>
      <c r="CU40">
        <v>15.858790000000001</v>
      </c>
      <c r="CV40">
        <v>1</v>
      </c>
      <c r="CW40">
        <v>14.128598999999999</v>
      </c>
      <c r="CX40">
        <v>199.61730299999999</v>
      </c>
      <c r="CY40">
        <v>0.89090000000000003</v>
      </c>
      <c r="CZ40">
        <v>20</v>
      </c>
      <c r="DA40">
        <v>0.90671400000000002</v>
      </c>
      <c r="DB40">
        <v>2.4726020000000002</v>
      </c>
      <c r="DC40">
        <v>11.829514</v>
      </c>
      <c r="DD40">
        <v>15.858790000000001</v>
      </c>
      <c r="DE40">
        <v>7.6386149999999997</v>
      </c>
      <c r="DF40">
        <v>2.1160420000000002</v>
      </c>
      <c r="DG40">
        <v>0.34966900000000001</v>
      </c>
      <c r="DH40">
        <v>0.48166399999999998</v>
      </c>
      <c r="DI40">
        <v>0.27701900000000002</v>
      </c>
      <c r="DJ40">
        <v>4.5775999999999997E-2</v>
      </c>
      <c r="DK40">
        <v>1</v>
      </c>
      <c r="DL40">
        <v>1</v>
      </c>
      <c r="DM40">
        <v>2</v>
      </c>
      <c r="DN40">
        <v>4</v>
      </c>
      <c r="DO40">
        <v>5</v>
      </c>
      <c r="DP40">
        <v>6</v>
      </c>
      <c r="DQ40">
        <v>8</v>
      </c>
      <c r="DR40">
        <v>10</v>
      </c>
      <c r="DS40">
        <v>14</v>
      </c>
      <c r="DT40">
        <v>20</v>
      </c>
      <c r="DU40">
        <v>25</v>
      </c>
      <c r="DV40">
        <v>31</v>
      </c>
      <c r="DW40">
        <v>40</v>
      </c>
      <c r="DX40">
        <v>44</v>
      </c>
      <c r="DY40">
        <v>48</v>
      </c>
      <c r="DZ40">
        <v>68.145161000000002</v>
      </c>
      <c r="EA40">
        <v>47.146974</v>
      </c>
      <c r="EB40">
        <v>82.459676999999999</v>
      </c>
      <c r="EC40">
        <v>676</v>
      </c>
      <c r="ED40">
        <v>818</v>
      </c>
      <c r="EE40">
        <v>64.012096999999997</v>
      </c>
      <c r="EF40">
        <v>100</v>
      </c>
      <c r="EG40">
        <v>43.112392</v>
      </c>
      <c r="EH40">
        <v>99.193083999999999</v>
      </c>
      <c r="EI40">
        <v>75.403226000000004</v>
      </c>
      <c r="EJ40">
        <v>173.48790299999999</v>
      </c>
      <c r="EK40">
        <v>635</v>
      </c>
      <c r="EL40">
        <v>992</v>
      </c>
      <c r="EM40">
        <v>748</v>
      </c>
      <c r="EN40">
        <v>1721</v>
      </c>
      <c r="EO40">
        <v>992</v>
      </c>
      <c r="EP40">
        <v>1735</v>
      </c>
      <c r="EQ40">
        <v>36.27901</v>
      </c>
    </row>
    <row r="41" spans="1:147" x14ac:dyDescent="0.25">
      <c r="A41">
        <v>2022</v>
      </c>
      <c r="B41" t="str">
        <f t="shared" si="0"/>
        <v>RD</v>
      </c>
      <c r="C41" t="s">
        <v>386</v>
      </c>
      <c r="D41" t="s">
        <v>386</v>
      </c>
      <c r="E41">
        <v>21782</v>
      </c>
      <c r="F41" t="s">
        <v>379</v>
      </c>
      <c r="G41" t="s">
        <v>365</v>
      </c>
      <c r="H41" t="s">
        <v>380</v>
      </c>
      <c r="I41">
        <v>33.81</v>
      </c>
      <c r="J41">
        <v>33.81</v>
      </c>
      <c r="K41" t="s">
        <v>236</v>
      </c>
      <c r="L41">
        <v>1</v>
      </c>
      <c r="M41">
        <v>2013</v>
      </c>
      <c r="N41">
        <v>1</v>
      </c>
      <c r="O41" t="str">
        <f t="shared" si="1"/>
        <v>Talhadia</v>
      </c>
      <c r="P41" s="2">
        <v>41519</v>
      </c>
      <c r="Q41" t="s">
        <v>322</v>
      </c>
      <c r="R41" t="s">
        <v>262</v>
      </c>
      <c r="S41" t="s">
        <v>154</v>
      </c>
      <c r="T41" t="s">
        <v>238</v>
      </c>
      <c r="U41" t="s">
        <v>156</v>
      </c>
      <c r="V41" s="2">
        <v>44680</v>
      </c>
      <c r="W41" t="s">
        <v>368</v>
      </c>
      <c r="X41">
        <v>33.81</v>
      </c>
      <c r="Y41">
        <v>20.100000000000001</v>
      </c>
      <c r="Z41">
        <v>11</v>
      </c>
      <c r="AA41">
        <v>16.5</v>
      </c>
      <c r="AB41">
        <v>0</v>
      </c>
      <c r="AC41">
        <v>331.65</v>
      </c>
      <c r="AD41">
        <v>325.55665539041797</v>
      </c>
      <c r="AE41" s="2">
        <v>44680</v>
      </c>
      <c r="AF41">
        <v>103</v>
      </c>
      <c r="AG41">
        <v>8.6543463381245704</v>
      </c>
      <c r="AH41">
        <v>24.170345703196698</v>
      </c>
      <c r="AI41">
        <v>15.3193548387097</v>
      </c>
      <c r="AJ41">
        <v>18.510000343949699</v>
      </c>
      <c r="AK41">
        <v>31</v>
      </c>
      <c r="AL41">
        <v>952.21521313467895</v>
      </c>
      <c r="AM41">
        <v>206.32024967123101</v>
      </c>
      <c r="AN41">
        <v>0.216673969104135</v>
      </c>
      <c r="AO41" t="s">
        <v>262</v>
      </c>
      <c r="AP41" t="s">
        <v>264</v>
      </c>
      <c r="AQ41" t="s">
        <v>294</v>
      </c>
      <c r="AR41">
        <v>9.99</v>
      </c>
      <c r="AS41">
        <v>0.95126299792154412</v>
      </c>
      <c r="AT41" t="s">
        <v>387</v>
      </c>
      <c r="AU41" t="s">
        <v>388</v>
      </c>
      <c r="AV41">
        <v>1616</v>
      </c>
      <c r="AW41">
        <v>874</v>
      </c>
      <c r="AX41">
        <v>649</v>
      </c>
      <c r="AY41">
        <v>90</v>
      </c>
      <c r="AZ41">
        <v>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-0.68</v>
      </c>
      <c r="BH41">
        <v>31.77</v>
      </c>
      <c r="BI41">
        <v>11.659219999999999</v>
      </c>
      <c r="BJ41">
        <v>-0.16492100000000001</v>
      </c>
      <c r="BK41">
        <v>11.864630999999999</v>
      </c>
      <c r="BL41">
        <v>140.769473</v>
      </c>
      <c r="BM41">
        <v>1.0176179999999999</v>
      </c>
      <c r="BN41">
        <v>24.259999000000001</v>
      </c>
      <c r="BO41">
        <v>0.14132800000000001</v>
      </c>
      <c r="BP41">
        <v>1.139224</v>
      </c>
      <c r="BQ41">
        <v>11.562462999999999</v>
      </c>
      <c r="BR41">
        <v>5.415</v>
      </c>
      <c r="BS41">
        <v>5.2349209999999999</v>
      </c>
      <c r="BT41">
        <v>11.659219999999999</v>
      </c>
      <c r="BU41">
        <v>6.3111730000000001</v>
      </c>
      <c r="BV41">
        <v>0.61555700000000002</v>
      </c>
      <c r="BW41">
        <v>-1.2049840000000001</v>
      </c>
      <c r="BX41">
        <v>0.54130299999999998</v>
      </c>
      <c r="BY41">
        <v>9.7533999999999996E-2</v>
      </c>
      <c r="BZ41">
        <v>-0.19092899999999999</v>
      </c>
      <c r="CA41">
        <v>-0.40849999999999997</v>
      </c>
      <c r="CB41">
        <v>-0.18</v>
      </c>
      <c r="CC41">
        <v>-0.09</v>
      </c>
      <c r="CD41">
        <v>0.01</v>
      </c>
      <c r="CE41">
        <v>0.05</v>
      </c>
      <c r="CF41">
        <v>0.1</v>
      </c>
      <c r="CG41">
        <v>0.23</v>
      </c>
      <c r="CH41">
        <v>5.07</v>
      </c>
      <c r="CI41">
        <v>21.1</v>
      </c>
      <c r="CJ41">
        <v>23.865002</v>
      </c>
      <c r="CK41">
        <v>24.309999000000001</v>
      </c>
      <c r="CL41">
        <v>24.65</v>
      </c>
      <c r="CM41">
        <v>25.715</v>
      </c>
      <c r="CN41">
        <v>26.345001</v>
      </c>
      <c r="CO41">
        <v>29.912497999999999</v>
      </c>
      <c r="CP41">
        <v>0.38025300000000001</v>
      </c>
      <c r="CQ41">
        <v>16.631891</v>
      </c>
      <c r="CR41">
        <v>18.890930999999998</v>
      </c>
      <c r="CS41">
        <v>1</v>
      </c>
      <c r="CT41">
        <v>50</v>
      </c>
      <c r="CU41">
        <v>12.781559</v>
      </c>
      <c r="CV41">
        <v>1</v>
      </c>
      <c r="CW41">
        <v>10.661522</v>
      </c>
      <c r="CX41">
        <v>113.66804399999999</v>
      </c>
      <c r="CY41">
        <v>0.83413300000000001</v>
      </c>
      <c r="CZ41">
        <v>11</v>
      </c>
      <c r="DA41">
        <v>1.2479880000000001</v>
      </c>
      <c r="DB41">
        <v>3.963527</v>
      </c>
      <c r="DC41">
        <v>8.1499760000000006</v>
      </c>
      <c r="DD41">
        <v>12.781559</v>
      </c>
      <c r="DE41">
        <v>5.6453790000000001</v>
      </c>
      <c r="DF41">
        <v>1.5706770000000001</v>
      </c>
      <c r="DG41">
        <v>0.80196999999999996</v>
      </c>
      <c r="DH41">
        <v>0.44168200000000002</v>
      </c>
      <c r="DI41">
        <v>0.278223</v>
      </c>
      <c r="DJ41">
        <v>0.14205799999999999</v>
      </c>
      <c r="DK41">
        <v>1</v>
      </c>
      <c r="DL41">
        <v>1</v>
      </c>
      <c r="DM41">
        <v>2</v>
      </c>
      <c r="DN41">
        <v>4</v>
      </c>
      <c r="DO41">
        <v>5</v>
      </c>
      <c r="DP41">
        <v>6</v>
      </c>
      <c r="DQ41">
        <v>8</v>
      </c>
      <c r="DR41">
        <v>10</v>
      </c>
      <c r="DS41">
        <v>12</v>
      </c>
      <c r="DT41">
        <v>15</v>
      </c>
      <c r="DU41">
        <v>16</v>
      </c>
      <c r="DV41">
        <v>19</v>
      </c>
      <c r="DW41">
        <v>30</v>
      </c>
      <c r="DX41">
        <v>36</v>
      </c>
      <c r="DY41">
        <v>44.849975999999998</v>
      </c>
      <c r="DZ41">
        <v>82.494279000000006</v>
      </c>
      <c r="EA41">
        <v>50.618811999999998</v>
      </c>
      <c r="EB41">
        <v>93.592676999999995</v>
      </c>
      <c r="EC41">
        <v>721</v>
      </c>
      <c r="ED41">
        <v>818</v>
      </c>
      <c r="EE41">
        <v>81.121280999999996</v>
      </c>
      <c r="EF41">
        <v>100</v>
      </c>
      <c r="EG41">
        <v>48.391089000000001</v>
      </c>
      <c r="EH41">
        <v>94.368812000000005</v>
      </c>
      <c r="EI41">
        <v>89.473684000000006</v>
      </c>
      <c r="EJ41">
        <v>174.48512600000001</v>
      </c>
      <c r="EK41">
        <v>709</v>
      </c>
      <c r="EL41">
        <v>874</v>
      </c>
      <c r="EM41">
        <v>782</v>
      </c>
      <c r="EN41">
        <v>1525</v>
      </c>
      <c r="EO41">
        <v>874</v>
      </c>
      <c r="EP41">
        <v>1616</v>
      </c>
      <c r="EQ41">
        <v>38.002232999999997</v>
      </c>
    </row>
    <row r="42" spans="1:147" x14ac:dyDescent="0.25">
      <c r="A42">
        <v>2022</v>
      </c>
      <c r="B42" t="str">
        <f t="shared" si="0"/>
        <v>GN</v>
      </c>
      <c r="C42" t="s">
        <v>389</v>
      </c>
      <c r="D42" t="s">
        <v>389</v>
      </c>
      <c r="E42">
        <v>22088</v>
      </c>
      <c r="F42" t="s">
        <v>390</v>
      </c>
      <c r="G42" t="s">
        <v>391</v>
      </c>
      <c r="H42" t="s">
        <v>392</v>
      </c>
      <c r="I42">
        <v>86.69</v>
      </c>
      <c r="J42">
        <v>86.69</v>
      </c>
      <c r="K42" t="s">
        <v>199</v>
      </c>
      <c r="L42">
        <v>1</v>
      </c>
      <c r="M42">
        <v>2014</v>
      </c>
      <c r="N42">
        <v>1</v>
      </c>
      <c r="O42" t="str">
        <f t="shared" si="1"/>
        <v>Talhadia</v>
      </c>
      <c r="P42" s="2">
        <v>41961</v>
      </c>
      <c r="Q42" t="s">
        <v>322</v>
      </c>
      <c r="R42" t="s">
        <v>153</v>
      </c>
      <c r="S42" t="s">
        <v>154</v>
      </c>
      <c r="T42" t="s">
        <v>199</v>
      </c>
      <c r="U42" t="s">
        <v>156</v>
      </c>
      <c r="V42" s="2">
        <v>44705</v>
      </c>
      <c r="W42" t="s">
        <v>393</v>
      </c>
      <c r="X42">
        <v>511.69</v>
      </c>
      <c r="Y42">
        <v>18.899999999999999</v>
      </c>
      <c r="Z42">
        <v>5</v>
      </c>
      <c r="AA42">
        <v>13.7</v>
      </c>
      <c r="AB42">
        <v>4</v>
      </c>
      <c r="AC42">
        <v>258.93</v>
      </c>
      <c r="AD42">
        <v>257.31635286857198</v>
      </c>
      <c r="AE42" s="2">
        <v>44705</v>
      </c>
      <c r="AF42">
        <v>90</v>
      </c>
      <c r="AG42">
        <v>7.5126625598904901</v>
      </c>
      <c r="AH42">
        <v>24.913753027405001</v>
      </c>
      <c r="AI42">
        <v>18.100000000000001</v>
      </c>
      <c r="AJ42">
        <v>24.5164174703146</v>
      </c>
      <c r="AK42">
        <v>22</v>
      </c>
      <c r="AL42">
        <v>854.97869664104996</v>
      </c>
      <c r="AM42">
        <v>296.275139595312</v>
      </c>
      <c r="AN42">
        <v>0.34652926530132999</v>
      </c>
      <c r="AO42" t="s">
        <v>153</v>
      </c>
      <c r="AP42" t="s">
        <v>264</v>
      </c>
      <c r="AQ42" t="s">
        <v>394</v>
      </c>
      <c r="AR42">
        <v>9.99</v>
      </c>
      <c r="AS42">
        <v>0.85412371794440822</v>
      </c>
      <c r="AT42" t="s">
        <v>395</v>
      </c>
      <c r="AU42" t="s">
        <v>396</v>
      </c>
      <c r="AV42">
        <v>1616</v>
      </c>
      <c r="AW42">
        <v>1616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-0.314</v>
      </c>
      <c r="BH42">
        <v>34.993000000000002</v>
      </c>
      <c r="BI42">
        <v>28.018782999999999</v>
      </c>
      <c r="BJ42">
        <v>33.311714000000002</v>
      </c>
      <c r="BK42">
        <v>5.71854</v>
      </c>
      <c r="BL42">
        <v>32.701695999999998</v>
      </c>
      <c r="BM42">
        <v>0.204097</v>
      </c>
      <c r="BN42">
        <v>6.3137470000000002</v>
      </c>
      <c r="BO42">
        <v>-2.0565869999999999</v>
      </c>
      <c r="BP42">
        <v>9.584149</v>
      </c>
      <c r="BQ42">
        <v>4.0843489999999996</v>
      </c>
      <c r="BR42">
        <v>3.1419999999999999</v>
      </c>
      <c r="BS42">
        <v>4.2557140000000002</v>
      </c>
      <c r="BT42">
        <v>28.018782999999999</v>
      </c>
      <c r="BU42">
        <v>2.8741110000000001</v>
      </c>
      <c r="BV42">
        <v>-0.77604799999999996</v>
      </c>
      <c r="BW42">
        <v>0.48837000000000003</v>
      </c>
      <c r="BX42">
        <v>0.102578</v>
      </c>
      <c r="BY42">
        <v>-0.270013</v>
      </c>
      <c r="BZ42">
        <v>0.16991999999999999</v>
      </c>
      <c r="CA42">
        <v>4.3549999999999998E-2</v>
      </c>
      <c r="CB42">
        <v>17.745999999999999</v>
      </c>
      <c r="CC42">
        <v>21.7575</v>
      </c>
      <c r="CD42">
        <v>23.947001</v>
      </c>
      <c r="CE42">
        <v>25.82225</v>
      </c>
      <c r="CF42">
        <v>26.829498000000001</v>
      </c>
      <c r="CG42">
        <v>28.082999999999998</v>
      </c>
      <c r="CH42">
        <v>29.056000000000001</v>
      </c>
      <c r="CI42">
        <v>30.207999999999998</v>
      </c>
      <c r="CJ42">
        <v>31.672001000000002</v>
      </c>
      <c r="CK42">
        <v>32.135998000000001</v>
      </c>
      <c r="CL42">
        <v>32.651001000000001</v>
      </c>
      <c r="CM42">
        <v>33.561000999999997</v>
      </c>
      <c r="CN42">
        <v>33.989750000000001</v>
      </c>
      <c r="CO42">
        <v>34.499099999999999</v>
      </c>
      <c r="CP42">
        <v>0.80246899999999999</v>
      </c>
      <c r="CQ42">
        <v>28.596043000000002</v>
      </c>
      <c r="CR42">
        <v>28.98807</v>
      </c>
      <c r="CS42">
        <v>1</v>
      </c>
      <c r="CT42">
        <v>44</v>
      </c>
      <c r="CU42">
        <v>14.470297</v>
      </c>
      <c r="CV42">
        <v>12.603175</v>
      </c>
      <c r="CW42">
        <v>8.0547880000000003</v>
      </c>
      <c r="CX42">
        <v>64.879613000000006</v>
      </c>
      <c r="CY42">
        <v>0.556643</v>
      </c>
      <c r="CZ42">
        <v>10</v>
      </c>
      <c r="DA42">
        <v>0.70067999999999997</v>
      </c>
      <c r="DB42">
        <v>3.4241329999999999</v>
      </c>
      <c r="DC42">
        <v>6.2922630000000002</v>
      </c>
      <c r="DD42">
        <v>14.470297</v>
      </c>
      <c r="DE42">
        <v>4.4684429999999997</v>
      </c>
      <c r="DF42">
        <v>0.55139700000000003</v>
      </c>
      <c r="DG42">
        <v>0.62585199999999996</v>
      </c>
      <c r="DH42">
        <v>0.30880099999999999</v>
      </c>
      <c r="DI42">
        <v>0.12339799999999999</v>
      </c>
      <c r="DJ42">
        <v>0.14005999999999999</v>
      </c>
      <c r="DK42">
        <v>1</v>
      </c>
      <c r="DL42">
        <v>3</v>
      </c>
      <c r="DM42">
        <v>5</v>
      </c>
      <c r="DN42">
        <v>8</v>
      </c>
      <c r="DO42">
        <v>9</v>
      </c>
      <c r="DP42">
        <v>10</v>
      </c>
      <c r="DQ42">
        <v>12</v>
      </c>
      <c r="DR42">
        <v>13</v>
      </c>
      <c r="DS42">
        <v>15</v>
      </c>
      <c r="DT42">
        <v>18</v>
      </c>
      <c r="DU42">
        <v>19</v>
      </c>
      <c r="DV42">
        <v>20</v>
      </c>
      <c r="DW42">
        <v>26</v>
      </c>
      <c r="DX42">
        <v>30</v>
      </c>
      <c r="DY42">
        <v>37</v>
      </c>
      <c r="DZ42">
        <v>98.638614000000004</v>
      </c>
      <c r="EA42">
        <v>98.638614000000004</v>
      </c>
      <c r="EB42">
        <v>98.638614000000004</v>
      </c>
      <c r="EC42">
        <v>1594</v>
      </c>
      <c r="ED42">
        <v>1594</v>
      </c>
      <c r="EE42">
        <v>60.643563999999998</v>
      </c>
      <c r="EF42">
        <v>12.933168</v>
      </c>
      <c r="EG42">
        <v>60.643563999999998</v>
      </c>
      <c r="EH42">
        <v>12.933168</v>
      </c>
      <c r="EI42">
        <v>60.643563999999998</v>
      </c>
      <c r="EJ42">
        <v>12.933168</v>
      </c>
      <c r="EK42">
        <v>980</v>
      </c>
      <c r="EL42">
        <v>209</v>
      </c>
      <c r="EM42">
        <v>980</v>
      </c>
      <c r="EN42">
        <v>209</v>
      </c>
      <c r="EO42">
        <v>1616</v>
      </c>
      <c r="EP42">
        <v>1616</v>
      </c>
      <c r="EQ42">
        <v>80.180195999999995</v>
      </c>
    </row>
    <row r="43" spans="1:147" x14ac:dyDescent="0.25">
      <c r="A43">
        <v>2022</v>
      </c>
      <c r="B43" t="str">
        <f t="shared" si="0"/>
        <v>GN</v>
      </c>
      <c r="C43" t="s">
        <v>397</v>
      </c>
      <c r="D43" t="s">
        <v>397</v>
      </c>
      <c r="E43">
        <v>22089</v>
      </c>
      <c r="F43" t="s">
        <v>390</v>
      </c>
      <c r="G43" t="s">
        <v>391</v>
      </c>
      <c r="H43" t="s">
        <v>392</v>
      </c>
      <c r="I43">
        <v>86.69</v>
      </c>
      <c r="J43">
        <v>86.69</v>
      </c>
      <c r="K43" t="s">
        <v>199</v>
      </c>
      <c r="L43">
        <v>1</v>
      </c>
      <c r="M43">
        <v>2014</v>
      </c>
      <c r="N43">
        <v>1</v>
      </c>
      <c r="O43" t="str">
        <f t="shared" si="1"/>
        <v>Talhadia</v>
      </c>
      <c r="P43" s="2">
        <v>41961</v>
      </c>
      <c r="Q43" t="s">
        <v>322</v>
      </c>
      <c r="R43" t="s">
        <v>153</v>
      </c>
      <c r="S43" t="s">
        <v>154</v>
      </c>
      <c r="T43" t="s">
        <v>199</v>
      </c>
      <c r="U43" t="s">
        <v>156</v>
      </c>
      <c r="V43" s="2">
        <v>44705</v>
      </c>
      <c r="W43" t="s">
        <v>393</v>
      </c>
      <c r="X43">
        <v>511.69</v>
      </c>
      <c r="Y43">
        <v>20</v>
      </c>
      <c r="Z43">
        <v>37</v>
      </c>
      <c r="AA43">
        <v>16</v>
      </c>
      <c r="AB43">
        <v>4</v>
      </c>
      <c r="AC43">
        <v>320</v>
      </c>
      <c r="AD43">
        <v>254.940823706911</v>
      </c>
      <c r="AE43" s="2">
        <v>44705</v>
      </c>
      <c r="AF43">
        <v>90</v>
      </c>
      <c r="AG43">
        <v>7.5126625598904901</v>
      </c>
      <c r="AH43">
        <v>20.404841093330301</v>
      </c>
      <c r="AI43">
        <v>11.5945945945946</v>
      </c>
      <c r="AJ43">
        <v>16.445988473330001</v>
      </c>
      <c r="AK43">
        <v>37</v>
      </c>
      <c r="AL43">
        <v>1451.31719047619</v>
      </c>
      <c r="AM43">
        <v>162.840086021367</v>
      </c>
      <c r="AN43">
        <v>0.11220158287241</v>
      </c>
      <c r="AO43" t="s">
        <v>153</v>
      </c>
      <c r="AP43" t="s">
        <v>264</v>
      </c>
      <c r="AQ43" t="s">
        <v>394</v>
      </c>
      <c r="AR43">
        <v>9.99</v>
      </c>
      <c r="AS43">
        <v>1.449865873285715</v>
      </c>
      <c r="AT43" t="s">
        <v>398</v>
      </c>
      <c r="AU43" t="s">
        <v>399</v>
      </c>
      <c r="AV43">
        <v>1611</v>
      </c>
      <c r="AW43">
        <v>1611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-1.02</v>
      </c>
      <c r="BH43">
        <v>22.365998999999999</v>
      </c>
      <c r="BI43">
        <v>16.843945999999999</v>
      </c>
      <c r="BJ43">
        <v>17.169111000000001</v>
      </c>
      <c r="BK43">
        <v>3.6200709999999998</v>
      </c>
      <c r="BL43">
        <v>13.104913</v>
      </c>
      <c r="BM43">
        <v>0.214918</v>
      </c>
      <c r="BN43">
        <v>2.8064990000000001</v>
      </c>
      <c r="BO43">
        <v>-2.5631300000000001</v>
      </c>
      <c r="BP43">
        <v>12.338443</v>
      </c>
      <c r="BQ43">
        <v>2.2652890000000001</v>
      </c>
      <c r="BR43">
        <v>1.4140010000000001</v>
      </c>
      <c r="BS43">
        <v>1.4438899999999999</v>
      </c>
      <c r="BT43">
        <v>16.843945999999999</v>
      </c>
      <c r="BU43">
        <v>1.689611</v>
      </c>
      <c r="BV43">
        <v>-0.43674499999999999</v>
      </c>
      <c r="BW43">
        <v>0.49903399999999998</v>
      </c>
      <c r="BX43">
        <v>0.10031</v>
      </c>
      <c r="BY43">
        <v>-0.25848900000000002</v>
      </c>
      <c r="BZ43">
        <v>0.29535499999999998</v>
      </c>
      <c r="CA43">
        <v>-0.21260000000000001</v>
      </c>
      <c r="CB43">
        <v>11.6195</v>
      </c>
      <c r="CC43">
        <v>13.589</v>
      </c>
      <c r="CD43">
        <v>15.497999999999999</v>
      </c>
      <c r="CE43">
        <v>15.981501</v>
      </c>
      <c r="CF43">
        <v>16.407</v>
      </c>
      <c r="CG43">
        <v>16.955998999999998</v>
      </c>
      <c r="CH43">
        <v>17.351998999999999</v>
      </c>
      <c r="CI43">
        <v>17.839001</v>
      </c>
      <c r="CJ43">
        <v>18.452000000000002</v>
      </c>
      <c r="CK43">
        <v>18.788</v>
      </c>
      <c r="CL43">
        <v>19.146000000000001</v>
      </c>
      <c r="CM43">
        <v>20.153998999999999</v>
      </c>
      <c r="CN43">
        <v>21.026001000000001</v>
      </c>
      <c r="CO43">
        <v>21.931301000000001</v>
      </c>
      <c r="CP43">
        <v>0.76387400000000005</v>
      </c>
      <c r="CQ43">
        <v>17.228328000000001</v>
      </c>
      <c r="CR43">
        <v>17.456181999999998</v>
      </c>
      <c r="CS43">
        <v>1</v>
      </c>
      <c r="CT43">
        <v>51</v>
      </c>
      <c r="CU43">
        <v>17.143388999999999</v>
      </c>
      <c r="CV43">
        <v>16.873016</v>
      </c>
      <c r="CW43">
        <v>8.2593019999999999</v>
      </c>
      <c r="CX43">
        <v>68.216072999999994</v>
      </c>
      <c r="CY43">
        <v>0.48177799999999998</v>
      </c>
      <c r="CZ43">
        <v>12</v>
      </c>
      <c r="DA43">
        <v>0.33998200000000001</v>
      </c>
      <c r="DB43">
        <v>3.2623090000000001</v>
      </c>
      <c r="DC43">
        <v>6.5962940000000003</v>
      </c>
      <c r="DD43">
        <v>17.143388999999999</v>
      </c>
      <c r="DE43">
        <v>4.6479559999999998</v>
      </c>
      <c r="DF43">
        <v>0.18460599999999999</v>
      </c>
      <c r="DG43">
        <v>0.53689399999999998</v>
      </c>
      <c r="DH43">
        <v>0.27112199999999997</v>
      </c>
      <c r="DI43">
        <v>3.9718000000000003E-2</v>
      </c>
      <c r="DJ43">
        <v>0.115512</v>
      </c>
      <c r="DK43">
        <v>1</v>
      </c>
      <c r="DL43">
        <v>4</v>
      </c>
      <c r="DM43">
        <v>6</v>
      </c>
      <c r="DN43">
        <v>10</v>
      </c>
      <c r="DO43">
        <v>11</v>
      </c>
      <c r="DP43">
        <v>13</v>
      </c>
      <c r="DQ43">
        <v>15</v>
      </c>
      <c r="DR43">
        <v>17</v>
      </c>
      <c r="DS43">
        <v>19</v>
      </c>
      <c r="DT43">
        <v>21</v>
      </c>
      <c r="DU43">
        <v>23</v>
      </c>
      <c r="DV43">
        <v>24</v>
      </c>
      <c r="DW43">
        <v>28</v>
      </c>
      <c r="DX43">
        <v>31</v>
      </c>
      <c r="DY43">
        <v>38</v>
      </c>
      <c r="DZ43">
        <v>97.703289999999996</v>
      </c>
      <c r="EA43">
        <v>97.703289999999996</v>
      </c>
      <c r="EB43">
        <v>97.703289999999996</v>
      </c>
      <c r="EC43">
        <v>1574</v>
      </c>
      <c r="ED43">
        <v>1574</v>
      </c>
      <c r="EE43">
        <v>62.507759</v>
      </c>
      <c r="EF43">
        <v>54.748603000000003</v>
      </c>
      <c r="EG43">
        <v>62.507759</v>
      </c>
      <c r="EH43">
        <v>54.748603000000003</v>
      </c>
      <c r="EI43">
        <v>62.507759</v>
      </c>
      <c r="EJ43">
        <v>54.748603000000003</v>
      </c>
      <c r="EK43">
        <v>1007</v>
      </c>
      <c r="EL43">
        <v>882</v>
      </c>
      <c r="EM43">
        <v>1007</v>
      </c>
      <c r="EN43">
        <v>882</v>
      </c>
      <c r="EO43">
        <v>1611</v>
      </c>
      <c r="EP43">
        <v>1611</v>
      </c>
      <c r="EQ43">
        <v>75.791113999999993</v>
      </c>
    </row>
    <row r="44" spans="1:147" x14ac:dyDescent="0.25">
      <c r="A44">
        <v>2022</v>
      </c>
      <c r="B44" t="str">
        <f t="shared" si="0"/>
        <v>GN</v>
      </c>
      <c r="C44" t="s">
        <v>400</v>
      </c>
      <c r="D44" t="s">
        <v>400</v>
      </c>
      <c r="E44">
        <v>22090</v>
      </c>
      <c r="F44" t="s">
        <v>390</v>
      </c>
      <c r="G44" t="s">
        <v>391</v>
      </c>
      <c r="H44" t="s">
        <v>392</v>
      </c>
      <c r="I44">
        <v>86.69</v>
      </c>
      <c r="J44">
        <v>86.69</v>
      </c>
      <c r="K44" t="s">
        <v>199</v>
      </c>
      <c r="L44">
        <v>1</v>
      </c>
      <c r="M44">
        <v>2014</v>
      </c>
      <c r="N44">
        <v>1</v>
      </c>
      <c r="O44" t="str">
        <f t="shared" si="1"/>
        <v>Talhadia</v>
      </c>
      <c r="P44" s="2">
        <v>41961</v>
      </c>
      <c r="Q44" t="s">
        <v>322</v>
      </c>
      <c r="R44" t="s">
        <v>153</v>
      </c>
      <c r="S44" t="s">
        <v>154</v>
      </c>
      <c r="T44" t="s">
        <v>199</v>
      </c>
      <c r="U44" t="s">
        <v>156</v>
      </c>
      <c r="V44" s="2">
        <v>44705</v>
      </c>
      <c r="W44" t="s">
        <v>393</v>
      </c>
      <c r="X44">
        <v>511.69</v>
      </c>
      <c r="Y44">
        <v>20.9</v>
      </c>
      <c r="Z44">
        <v>25</v>
      </c>
      <c r="AA44">
        <v>14.1</v>
      </c>
      <c r="AB44">
        <v>1</v>
      </c>
      <c r="AC44">
        <v>294.69</v>
      </c>
      <c r="AD44">
        <v>267.03916420830001</v>
      </c>
      <c r="AE44" s="2">
        <v>44705</v>
      </c>
      <c r="AF44">
        <v>90</v>
      </c>
      <c r="AG44">
        <v>7.5126625598904901</v>
      </c>
      <c r="AH44">
        <v>27.2737066368406</v>
      </c>
      <c r="AI44">
        <v>17.320689655172401</v>
      </c>
      <c r="AJ44">
        <v>28.1204539765588</v>
      </c>
      <c r="AK44">
        <v>29</v>
      </c>
      <c r="AL44">
        <v>1085.98302747005</v>
      </c>
      <c r="AM44">
        <v>374.104215656419</v>
      </c>
      <c r="AN44">
        <v>0.34448440370928202</v>
      </c>
      <c r="AO44" t="s">
        <v>153</v>
      </c>
      <c r="AP44" t="s">
        <v>264</v>
      </c>
      <c r="AQ44" t="s">
        <v>394</v>
      </c>
      <c r="AR44">
        <v>9.99</v>
      </c>
      <c r="AS44">
        <v>1.084897044442575</v>
      </c>
      <c r="AT44" t="s">
        <v>401</v>
      </c>
      <c r="AU44" t="s">
        <v>402</v>
      </c>
      <c r="AV44">
        <v>1750</v>
      </c>
      <c r="AW44">
        <v>1750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-0.68400000000000005</v>
      </c>
      <c r="BH44">
        <v>33.131000999999998</v>
      </c>
      <c r="BI44">
        <v>27.840354999999999</v>
      </c>
      <c r="BJ44">
        <v>28.837032000000001</v>
      </c>
      <c r="BK44">
        <v>5.6202180000000004</v>
      </c>
      <c r="BL44">
        <v>31.586846999999999</v>
      </c>
      <c r="BM44">
        <v>0.201873</v>
      </c>
      <c r="BN44">
        <v>2.6582509999999999</v>
      </c>
      <c r="BO44">
        <v>-3.2484169999999999</v>
      </c>
      <c r="BP44">
        <v>14.755829</v>
      </c>
      <c r="BQ44">
        <v>3.1616710000000001</v>
      </c>
      <c r="BR44">
        <v>1.3314999999999999</v>
      </c>
      <c r="BS44">
        <v>1.392468</v>
      </c>
      <c r="BT44">
        <v>27.840354999999999</v>
      </c>
      <c r="BU44">
        <v>2.2599260000000001</v>
      </c>
      <c r="BV44">
        <v>-1.0421819999999999</v>
      </c>
      <c r="BW44">
        <v>0.88207800000000003</v>
      </c>
      <c r="BX44">
        <v>8.1173999999999996E-2</v>
      </c>
      <c r="BY44">
        <v>-0.46115800000000001</v>
      </c>
      <c r="BZ44">
        <v>0.39031300000000002</v>
      </c>
      <c r="CA44">
        <v>-0.24299999999999999</v>
      </c>
      <c r="CB44">
        <v>16.460999999999999</v>
      </c>
      <c r="CC44">
        <v>24.471498</v>
      </c>
      <c r="CD44">
        <v>27.403600999999998</v>
      </c>
      <c r="CE44">
        <v>27.852499000000002</v>
      </c>
      <c r="CF44">
        <v>28.120100000000001</v>
      </c>
      <c r="CG44">
        <v>28.680599000000001</v>
      </c>
      <c r="CH44">
        <v>29.163499999999999</v>
      </c>
      <c r="CI44">
        <v>29.672201000000001</v>
      </c>
      <c r="CJ44">
        <v>30.200500000000002</v>
      </c>
      <c r="CK44">
        <v>30.510750000000002</v>
      </c>
      <c r="CL44">
        <v>30.815401000000001</v>
      </c>
      <c r="CM44">
        <v>31.7134</v>
      </c>
      <c r="CN44">
        <v>32.127997999999998</v>
      </c>
      <c r="CO44">
        <v>32.670527999999997</v>
      </c>
      <c r="CP44">
        <v>0.84354099999999999</v>
      </c>
      <c r="CQ44">
        <v>28.401658000000001</v>
      </c>
      <c r="CR44">
        <v>28.699611999999998</v>
      </c>
      <c r="CS44">
        <v>1</v>
      </c>
      <c r="CT44">
        <v>50</v>
      </c>
      <c r="CU44">
        <v>17.079999999999998</v>
      </c>
      <c r="CV44">
        <v>15.777778</v>
      </c>
      <c r="CW44">
        <v>7.7798030000000002</v>
      </c>
      <c r="CX44">
        <v>60.525328999999999</v>
      </c>
      <c r="CY44">
        <v>0.45549200000000001</v>
      </c>
      <c r="CZ44">
        <v>10</v>
      </c>
      <c r="DA44">
        <v>0.110125</v>
      </c>
      <c r="DB44">
        <v>3.2328540000000001</v>
      </c>
      <c r="DC44">
        <v>6.0673830000000004</v>
      </c>
      <c r="DD44">
        <v>17.079999999999998</v>
      </c>
      <c r="DE44">
        <v>4.3603800000000001</v>
      </c>
      <c r="DF44">
        <v>-3.4797000000000002E-2</v>
      </c>
      <c r="DG44">
        <v>0.60935099999999998</v>
      </c>
      <c r="DH44">
        <v>0.25529200000000002</v>
      </c>
      <c r="DI44">
        <v>-7.9799999999999992E-3</v>
      </c>
      <c r="DJ44">
        <v>0.13974700000000001</v>
      </c>
      <c r="DK44">
        <v>1</v>
      </c>
      <c r="DL44">
        <v>3</v>
      </c>
      <c r="DM44">
        <v>6</v>
      </c>
      <c r="DN44">
        <v>11</v>
      </c>
      <c r="DO44">
        <v>12</v>
      </c>
      <c r="DP44">
        <v>14</v>
      </c>
      <c r="DQ44">
        <v>16</v>
      </c>
      <c r="DR44">
        <v>17</v>
      </c>
      <c r="DS44">
        <v>19</v>
      </c>
      <c r="DT44">
        <v>21</v>
      </c>
      <c r="DU44">
        <v>22</v>
      </c>
      <c r="DV44">
        <v>23</v>
      </c>
      <c r="DW44">
        <v>27</v>
      </c>
      <c r="DX44">
        <v>30</v>
      </c>
      <c r="DY44">
        <v>36</v>
      </c>
      <c r="DZ44">
        <v>97.942857000000004</v>
      </c>
      <c r="EA44">
        <v>97.942857000000004</v>
      </c>
      <c r="EB44">
        <v>97.942857000000004</v>
      </c>
      <c r="EC44">
        <v>1714</v>
      </c>
      <c r="ED44">
        <v>1714</v>
      </c>
      <c r="EE44">
        <v>75.314285999999996</v>
      </c>
      <c r="EF44">
        <v>56.742857000000001</v>
      </c>
      <c r="EG44">
        <v>75.314285999999996</v>
      </c>
      <c r="EH44">
        <v>56.742857000000001</v>
      </c>
      <c r="EI44">
        <v>75.314285999999996</v>
      </c>
      <c r="EJ44">
        <v>56.742857000000001</v>
      </c>
      <c r="EK44">
        <v>1318</v>
      </c>
      <c r="EL44">
        <v>993</v>
      </c>
      <c r="EM44">
        <v>1318</v>
      </c>
      <c r="EN44">
        <v>993</v>
      </c>
      <c r="EO44">
        <v>1750</v>
      </c>
      <c r="EP44">
        <v>1750</v>
      </c>
      <c r="EQ44">
        <v>84.133011999999994</v>
      </c>
    </row>
    <row r="45" spans="1:147" x14ac:dyDescent="0.25">
      <c r="A45">
        <v>2022</v>
      </c>
      <c r="B45" t="str">
        <f t="shared" si="0"/>
        <v>GN</v>
      </c>
      <c r="C45" t="s">
        <v>403</v>
      </c>
      <c r="D45" t="s">
        <v>403</v>
      </c>
      <c r="E45">
        <v>22169</v>
      </c>
      <c r="F45" t="s">
        <v>404</v>
      </c>
      <c r="G45" t="s">
        <v>405</v>
      </c>
      <c r="H45" t="s">
        <v>406</v>
      </c>
      <c r="I45">
        <v>40.58</v>
      </c>
      <c r="J45">
        <v>40.58</v>
      </c>
      <c r="K45" t="s">
        <v>199</v>
      </c>
      <c r="L45">
        <v>1</v>
      </c>
      <c r="M45">
        <v>2014</v>
      </c>
      <c r="N45">
        <v>3</v>
      </c>
      <c r="O45" t="str">
        <f t="shared" si="1"/>
        <v>Alto fuste</v>
      </c>
      <c r="P45" s="2">
        <v>41947</v>
      </c>
      <c r="Q45" t="s">
        <v>174</v>
      </c>
      <c r="R45" t="s">
        <v>314</v>
      </c>
      <c r="S45" t="s">
        <v>154</v>
      </c>
      <c r="T45" t="s">
        <v>199</v>
      </c>
      <c r="U45" t="s">
        <v>156</v>
      </c>
      <c r="V45" s="2">
        <v>44714</v>
      </c>
      <c r="W45" t="s">
        <v>407</v>
      </c>
      <c r="X45">
        <v>74.77</v>
      </c>
      <c r="Y45">
        <v>19.5</v>
      </c>
      <c r="Z45">
        <v>27</v>
      </c>
      <c r="AA45">
        <v>16.2</v>
      </c>
      <c r="AB45">
        <v>1</v>
      </c>
      <c r="AC45">
        <v>315.89999999999998</v>
      </c>
      <c r="AD45">
        <v>281.426091905021</v>
      </c>
      <c r="AE45" s="2">
        <v>44714</v>
      </c>
      <c r="AF45">
        <v>91</v>
      </c>
      <c r="AG45">
        <v>7.5756331279945304</v>
      </c>
      <c r="AH45">
        <v>30.494901638348001</v>
      </c>
      <c r="AI45">
        <v>19.2222222222222</v>
      </c>
      <c r="AJ45">
        <v>20.373248387778201</v>
      </c>
      <c r="AK45">
        <v>18</v>
      </c>
      <c r="AL45">
        <v>639.59954381468106</v>
      </c>
      <c r="AM45">
        <v>294.98084766454099</v>
      </c>
      <c r="AN45">
        <v>0.46119615080590098</v>
      </c>
      <c r="AO45" t="s">
        <v>314</v>
      </c>
      <c r="AP45" t="s">
        <v>158</v>
      </c>
      <c r="AQ45" t="s">
        <v>408</v>
      </c>
      <c r="AR45">
        <v>9</v>
      </c>
      <c r="AS45">
        <v>0.57563958943321314</v>
      </c>
      <c r="AT45" t="s">
        <v>409</v>
      </c>
      <c r="AU45" t="s">
        <v>410</v>
      </c>
      <c r="AV45">
        <v>1359</v>
      </c>
      <c r="AW45">
        <v>1359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-0.11799999999999999</v>
      </c>
      <c r="BH45">
        <v>38.707999999999998</v>
      </c>
      <c r="BI45">
        <v>29.297291000000001</v>
      </c>
      <c r="BJ45">
        <v>35.010286000000001</v>
      </c>
      <c r="BK45">
        <v>11.191665</v>
      </c>
      <c r="BL45">
        <v>125.253366</v>
      </c>
      <c r="BM45">
        <v>0.38200299999999998</v>
      </c>
      <c r="BN45">
        <v>7.3419990000000004</v>
      </c>
      <c r="BO45">
        <v>-1.5625260000000001</v>
      </c>
      <c r="BP45">
        <v>4.0352560000000004</v>
      </c>
      <c r="BQ45">
        <v>8.7625130000000002</v>
      </c>
      <c r="BR45">
        <v>2.0240019999999999</v>
      </c>
      <c r="BS45">
        <v>1.878714</v>
      </c>
      <c r="BT45">
        <v>29.297291000000001</v>
      </c>
      <c r="BU45">
        <v>5.2915270000000003</v>
      </c>
      <c r="BV45">
        <v>-2.5401609999999999</v>
      </c>
      <c r="BW45">
        <v>1.0136449999999999</v>
      </c>
      <c r="BX45">
        <v>0.180615</v>
      </c>
      <c r="BY45">
        <v>-0.480043</v>
      </c>
      <c r="BZ45">
        <v>0.19156000000000001</v>
      </c>
      <c r="CA45">
        <v>1.0500000000000001E-2</v>
      </c>
      <c r="CB45">
        <v>0.25</v>
      </c>
      <c r="CC45">
        <v>10.0128</v>
      </c>
      <c r="CD45">
        <v>22.170601000000001</v>
      </c>
      <c r="CE45">
        <v>28.7775</v>
      </c>
      <c r="CF45">
        <v>31.666799999999999</v>
      </c>
      <c r="CG45">
        <v>33.755600000000001</v>
      </c>
      <c r="CH45">
        <v>34.709999000000003</v>
      </c>
      <c r="CI45">
        <v>35.269401999999999</v>
      </c>
      <c r="CJ45">
        <v>35.767398999999997</v>
      </c>
      <c r="CK45">
        <v>36.119498999999998</v>
      </c>
      <c r="CL45">
        <v>36.428798999999998</v>
      </c>
      <c r="CM45">
        <v>37.178199999999997</v>
      </c>
      <c r="CN45">
        <v>37.558498</v>
      </c>
      <c r="CO45">
        <v>38.087940000000003</v>
      </c>
      <c r="CP45">
        <v>0.75761800000000001</v>
      </c>
      <c r="CQ45">
        <v>31.360683999999999</v>
      </c>
      <c r="CR45">
        <v>32.382986000000002</v>
      </c>
      <c r="CS45">
        <v>1</v>
      </c>
      <c r="CT45">
        <v>48</v>
      </c>
      <c r="CU45">
        <v>13.308315</v>
      </c>
      <c r="CV45">
        <v>12.936508</v>
      </c>
      <c r="CW45">
        <v>9.0195260000000008</v>
      </c>
      <c r="CX45">
        <v>81.351853000000006</v>
      </c>
      <c r="CY45">
        <v>0.67773600000000001</v>
      </c>
      <c r="CZ45">
        <v>10</v>
      </c>
      <c r="DA45">
        <v>1.272351</v>
      </c>
      <c r="DB45">
        <v>5.2133289999999999</v>
      </c>
      <c r="DC45">
        <v>6.6446199999999997</v>
      </c>
      <c r="DD45">
        <v>13.308315</v>
      </c>
      <c r="DE45">
        <v>4.7767999999999997</v>
      </c>
      <c r="DF45">
        <v>0.84370000000000001</v>
      </c>
      <c r="DG45">
        <v>0.83389400000000002</v>
      </c>
      <c r="DH45">
        <v>0.35893399999999998</v>
      </c>
      <c r="DI45">
        <v>0.176625</v>
      </c>
      <c r="DJ45">
        <v>0.174572</v>
      </c>
      <c r="DK45">
        <v>1</v>
      </c>
      <c r="DL45">
        <v>1</v>
      </c>
      <c r="DM45">
        <v>3</v>
      </c>
      <c r="DN45">
        <v>6</v>
      </c>
      <c r="DO45">
        <v>7</v>
      </c>
      <c r="DP45">
        <v>8</v>
      </c>
      <c r="DQ45">
        <v>10</v>
      </c>
      <c r="DR45">
        <v>12</v>
      </c>
      <c r="DS45">
        <v>14</v>
      </c>
      <c r="DT45">
        <v>16</v>
      </c>
      <c r="DU45">
        <v>17</v>
      </c>
      <c r="DV45">
        <v>19</v>
      </c>
      <c r="DW45">
        <v>23</v>
      </c>
      <c r="DX45">
        <v>35</v>
      </c>
      <c r="DY45">
        <v>43</v>
      </c>
      <c r="DZ45">
        <v>93.745401000000001</v>
      </c>
      <c r="EA45">
        <v>93.745401000000001</v>
      </c>
      <c r="EB45">
        <v>93.745401000000001</v>
      </c>
      <c r="EC45">
        <v>1274</v>
      </c>
      <c r="ED45">
        <v>1274</v>
      </c>
      <c r="EE45">
        <v>74.834436999999994</v>
      </c>
      <c r="EF45">
        <v>44.885945999999997</v>
      </c>
      <c r="EG45">
        <v>74.834436999999994</v>
      </c>
      <c r="EH45">
        <v>44.885945999999997</v>
      </c>
      <c r="EI45">
        <v>74.834436999999994</v>
      </c>
      <c r="EJ45">
        <v>44.885945999999997</v>
      </c>
      <c r="EK45">
        <v>1017</v>
      </c>
      <c r="EL45">
        <v>610</v>
      </c>
      <c r="EM45">
        <v>1017</v>
      </c>
      <c r="EN45">
        <v>610</v>
      </c>
      <c r="EO45">
        <v>1359</v>
      </c>
      <c r="EP45">
        <v>1359</v>
      </c>
      <c r="EQ45">
        <v>75.901725999999996</v>
      </c>
    </row>
    <row r="46" spans="1:147" x14ac:dyDescent="0.25">
      <c r="A46">
        <v>2022</v>
      </c>
      <c r="B46" t="str">
        <f t="shared" si="0"/>
        <v>GN</v>
      </c>
      <c r="C46" t="s">
        <v>411</v>
      </c>
      <c r="D46" t="s">
        <v>411</v>
      </c>
      <c r="E46">
        <v>22425</v>
      </c>
      <c r="F46" t="s">
        <v>412</v>
      </c>
      <c r="G46" t="s">
        <v>413</v>
      </c>
      <c r="H46" t="s">
        <v>414</v>
      </c>
      <c r="I46">
        <v>48.06</v>
      </c>
      <c r="J46">
        <v>48.06</v>
      </c>
      <c r="K46" t="s">
        <v>415</v>
      </c>
      <c r="L46">
        <v>1</v>
      </c>
      <c r="M46">
        <v>2014</v>
      </c>
      <c r="N46">
        <v>2</v>
      </c>
      <c r="O46" t="str">
        <f t="shared" si="1"/>
        <v>Talhadia</v>
      </c>
      <c r="P46" s="2">
        <v>41708</v>
      </c>
      <c r="Q46" t="s">
        <v>322</v>
      </c>
      <c r="R46" t="s">
        <v>153</v>
      </c>
      <c r="S46" t="s">
        <v>154</v>
      </c>
      <c r="T46" t="s">
        <v>279</v>
      </c>
      <c r="U46" t="s">
        <v>156</v>
      </c>
      <c r="V46" s="2">
        <v>44686</v>
      </c>
      <c r="W46" t="s">
        <v>416</v>
      </c>
      <c r="X46">
        <v>74.41</v>
      </c>
      <c r="Y46">
        <v>21.5</v>
      </c>
      <c r="Z46">
        <v>12</v>
      </c>
      <c r="AA46">
        <v>13.5</v>
      </c>
      <c r="AB46">
        <v>1</v>
      </c>
      <c r="AC46">
        <v>290.25</v>
      </c>
      <c r="AD46">
        <v>283.86410064979998</v>
      </c>
      <c r="AE46" s="2">
        <v>44686</v>
      </c>
      <c r="AF46">
        <v>98</v>
      </c>
      <c r="AG46">
        <v>8.1533196440793994</v>
      </c>
      <c r="AH46">
        <v>31.8266044982587</v>
      </c>
      <c r="AI46">
        <v>20.02</v>
      </c>
      <c r="AJ46">
        <v>28.798374363148501</v>
      </c>
      <c r="AK46">
        <v>25</v>
      </c>
      <c r="AL46">
        <v>880.70312317661705</v>
      </c>
      <c r="AM46">
        <v>436.47515351237001</v>
      </c>
      <c r="AN46">
        <v>0.49559850763108898</v>
      </c>
      <c r="AO46" t="s">
        <v>153</v>
      </c>
      <c r="AP46" t="s">
        <v>264</v>
      </c>
      <c r="AQ46" t="s">
        <v>417</v>
      </c>
      <c r="AR46">
        <v>9.99</v>
      </c>
      <c r="AS46">
        <v>0.87982242005343902</v>
      </c>
      <c r="AT46" t="s">
        <v>418</v>
      </c>
      <c r="AU46" t="s">
        <v>419</v>
      </c>
      <c r="AV46">
        <v>3617</v>
      </c>
      <c r="AW46">
        <v>1830</v>
      </c>
      <c r="AX46">
        <v>1555</v>
      </c>
      <c r="AY46">
        <v>228</v>
      </c>
      <c r="AZ46">
        <v>4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-0.97199999999999998</v>
      </c>
      <c r="BH46">
        <v>31.532</v>
      </c>
      <c r="BI46">
        <v>14.603408999999999</v>
      </c>
      <c r="BJ46">
        <v>-0.45606400000000002</v>
      </c>
      <c r="BK46">
        <v>13.775788</v>
      </c>
      <c r="BL46">
        <v>189.772346</v>
      </c>
      <c r="BM46">
        <v>0.94332700000000003</v>
      </c>
      <c r="BN46">
        <v>28.568000000000001</v>
      </c>
      <c r="BO46">
        <v>-2.8379999999999999E-2</v>
      </c>
      <c r="BP46">
        <v>1.093761</v>
      </c>
      <c r="BQ46">
        <v>13.409625</v>
      </c>
      <c r="BR46">
        <v>13.730999000000001</v>
      </c>
      <c r="BS46">
        <v>16.948065</v>
      </c>
      <c r="BT46">
        <v>14.603408999999999</v>
      </c>
      <c r="BU46">
        <v>7.3072330000000001</v>
      </c>
      <c r="BV46">
        <v>9.1430999999999998E-2</v>
      </c>
      <c r="BW46">
        <v>-1.5621670000000001</v>
      </c>
      <c r="BX46">
        <v>0.50037900000000002</v>
      </c>
      <c r="BY46">
        <v>1.2512000000000001E-2</v>
      </c>
      <c r="BZ46">
        <v>-0.213784</v>
      </c>
      <c r="CA46">
        <v>-0.42668</v>
      </c>
      <c r="CB46">
        <v>-0.1832</v>
      </c>
      <c r="CC46">
        <v>-9.5399999999999999E-2</v>
      </c>
      <c r="CD46">
        <v>8.0000000000000002E-3</v>
      </c>
      <c r="CE46">
        <v>5.7000000000000002E-2</v>
      </c>
      <c r="CF46">
        <v>0.106</v>
      </c>
      <c r="CG46">
        <v>0.24299999999999999</v>
      </c>
      <c r="CH46">
        <v>16.492000999999998</v>
      </c>
      <c r="CI46">
        <v>27.120999999999999</v>
      </c>
      <c r="CJ46">
        <v>28.265999000000001</v>
      </c>
      <c r="CK46">
        <v>28.625</v>
      </c>
      <c r="CL46">
        <v>28.955998999999998</v>
      </c>
      <c r="CM46">
        <v>29.753201000000001</v>
      </c>
      <c r="CN46">
        <v>30.239401000000001</v>
      </c>
      <c r="CO46">
        <v>31.12088</v>
      </c>
      <c r="CP46">
        <v>0.479184</v>
      </c>
      <c r="CQ46">
        <v>20.074348000000001</v>
      </c>
      <c r="CR46">
        <v>22.474411</v>
      </c>
      <c r="CS46">
        <v>1</v>
      </c>
      <c r="CT46">
        <v>91</v>
      </c>
      <c r="CU46">
        <v>19.169477000000001</v>
      </c>
      <c r="CV46">
        <v>1</v>
      </c>
      <c r="CW46">
        <v>14.737894000000001</v>
      </c>
      <c r="CX46">
        <v>217.20550600000001</v>
      </c>
      <c r="CY46">
        <v>0.76882099999999998</v>
      </c>
      <c r="CZ46">
        <v>20</v>
      </c>
      <c r="DA46">
        <v>1.333558</v>
      </c>
      <c r="DB46">
        <v>5.6300350000000003</v>
      </c>
      <c r="DC46">
        <v>11.329703</v>
      </c>
      <c r="DD46">
        <v>19.169477000000001</v>
      </c>
      <c r="DE46">
        <v>7.8518600000000003</v>
      </c>
      <c r="DF46">
        <v>1.5800129999999999</v>
      </c>
      <c r="DG46">
        <v>0.97721800000000003</v>
      </c>
      <c r="DH46">
        <v>0.40960200000000002</v>
      </c>
      <c r="DI46">
        <v>0.20122799999999999</v>
      </c>
      <c r="DJ46">
        <v>0.124457</v>
      </c>
      <c r="DK46">
        <v>1</v>
      </c>
      <c r="DL46">
        <v>2</v>
      </c>
      <c r="DM46">
        <v>3</v>
      </c>
      <c r="DN46">
        <v>6</v>
      </c>
      <c r="DO46">
        <v>7</v>
      </c>
      <c r="DP46">
        <v>9</v>
      </c>
      <c r="DQ46">
        <v>13</v>
      </c>
      <c r="DR46">
        <v>17</v>
      </c>
      <c r="DS46">
        <v>22</v>
      </c>
      <c r="DT46">
        <v>25</v>
      </c>
      <c r="DU46">
        <v>27</v>
      </c>
      <c r="DV46">
        <v>29</v>
      </c>
      <c r="DW46">
        <v>36</v>
      </c>
      <c r="DX46">
        <v>48</v>
      </c>
      <c r="DY46">
        <v>71</v>
      </c>
      <c r="DZ46">
        <v>96.229507999999996</v>
      </c>
      <c r="EA46">
        <v>55.183853999999997</v>
      </c>
      <c r="EB46">
        <v>109.071038</v>
      </c>
      <c r="EC46">
        <v>1761</v>
      </c>
      <c r="ED46">
        <v>1996</v>
      </c>
      <c r="EE46">
        <v>93.989070999999996</v>
      </c>
      <c r="EF46">
        <v>100</v>
      </c>
      <c r="EG46">
        <v>50.870887000000003</v>
      </c>
      <c r="EH46">
        <v>99.336466999999999</v>
      </c>
      <c r="EI46">
        <v>100.546448</v>
      </c>
      <c r="EJ46">
        <v>196.338798</v>
      </c>
      <c r="EK46">
        <v>1720</v>
      </c>
      <c r="EL46">
        <v>1830</v>
      </c>
      <c r="EM46">
        <v>1840</v>
      </c>
      <c r="EN46">
        <v>3593</v>
      </c>
      <c r="EO46">
        <v>1830</v>
      </c>
      <c r="EP46">
        <v>3617</v>
      </c>
      <c r="EQ46">
        <v>46.042419000000002</v>
      </c>
    </row>
    <row r="47" spans="1:147" x14ac:dyDescent="0.25">
      <c r="A47">
        <v>2022</v>
      </c>
      <c r="B47" t="str">
        <f t="shared" si="0"/>
        <v>GN</v>
      </c>
      <c r="C47" t="s">
        <v>420</v>
      </c>
      <c r="D47" t="s">
        <v>420</v>
      </c>
      <c r="E47">
        <v>22426</v>
      </c>
      <c r="F47" t="s">
        <v>412</v>
      </c>
      <c r="G47" t="s">
        <v>413</v>
      </c>
      <c r="H47" t="s">
        <v>414</v>
      </c>
      <c r="I47">
        <v>48.06</v>
      </c>
      <c r="J47">
        <v>48.06</v>
      </c>
      <c r="K47" t="s">
        <v>415</v>
      </c>
      <c r="L47">
        <v>1</v>
      </c>
      <c r="M47">
        <v>2014</v>
      </c>
      <c r="N47">
        <v>2</v>
      </c>
      <c r="O47" t="str">
        <f t="shared" si="1"/>
        <v>Talhadia</v>
      </c>
      <c r="P47" s="2">
        <v>41708</v>
      </c>
      <c r="Q47" t="s">
        <v>322</v>
      </c>
      <c r="R47" t="s">
        <v>153</v>
      </c>
      <c r="S47" t="s">
        <v>154</v>
      </c>
      <c r="T47" t="s">
        <v>279</v>
      </c>
      <c r="U47" t="s">
        <v>156</v>
      </c>
      <c r="V47" s="2">
        <v>44686</v>
      </c>
      <c r="W47" t="s">
        <v>416</v>
      </c>
      <c r="X47">
        <v>74.41</v>
      </c>
      <c r="Y47">
        <v>18.8</v>
      </c>
      <c r="Z47">
        <v>13</v>
      </c>
      <c r="AA47">
        <v>16.399999999999999</v>
      </c>
      <c r="AB47">
        <v>5</v>
      </c>
      <c r="AC47">
        <v>308.32</v>
      </c>
      <c r="AD47">
        <v>299.27459802926103</v>
      </c>
      <c r="AE47" s="2">
        <v>44686</v>
      </c>
      <c r="AF47">
        <v>98</v>
      </c>
      <c r="AG47">
        <v>8.1533196440793994</v>
      </c>
      <c r="AH47">
        <v>30.305833822811501</v>
      </c>
      <c r="AI47">
        <v>19.899999999999999</v>
      </c>
      <c r="AJ47">
        <v>28.963812105490501</v>
      </c>
      <c r="AK47">
        <v>27</v>
      </c>
      <c r="AL47">
        <v>902.18148074699297</v>
      </c>
      <c r="AM47">
        <v>419.28059974617997</v>
      </c>
      <c r="AN47">
        <v>0.46474086277965099</v>
      </c>
      <c r="AO47" t="s">
        <v>153</v>
      </c>
      <c r="AP47" t="s">
        <v>264</v>
      </c>
      <c r="AQ47" t="s">
        <v>417</v>
      </c>
      <c r="AR47">
        <v>9.99</v>
      </c>
      <c r="AS47">
        <v>0.90127929926624661</v>
      </c>
      <c r="AT47" t="s">
        <v>421</v>
      </c>
      <c r="AU47" t="s">
        <v>422</v>
      </c>
      <c r="AV47">
        <v>2957</v>
      </c>
      <c r="AW47">
        <v>1585</v>
      </c>
      <c r="AX47">
        <v>1123</v>
      </c>
      <c r="AY47">
        <v>237</v>
      </c>
      <c r="AZ47">
        <v>12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-0.91800000000000004</v>
      </c>
      <c r="BH47">
        <v>32.049999</v>
      </c>
      <c r="BI47">
        <v>15.299613000000001</v>
      </c>
      <c r="BJ47">
        <v>-0.39469799999999999</v>
      </c>
      <c r="BK47">
        <v>13.655184999999999</v>
      </c>
      <c r="BL47">
        <v>186.464066</v>
      </c>
      <c r="BM47">
        <v>0.89251800000000003</v>
      </c>
      <c r="BN47">
        <v>28.826000000000001</v>
      </c>
      <c r="BO47">
        <v>-0.120861</v>
      </c>
      <c r="BP47">
        <v>1.1359269999999999</v>
      </c>
      <c r="BQ47">
        <v>13.168763</v>
      </c>
      <c r="BR47">
        <v>10.851000000000001</v>
      </c>
      <c r="BS47">
        <v>19.823699999999999</v>
      </c>
      <c r="BT47">
        <v>15.299613000000001</v>
      </c>
      <c r="BU47">
        <v>7.3161120000000004</v>
      </c>
      <c r="BV47">
        <v>-0.20305000000000001</v>
      </c>
      <c r="BW47">
        <v>-1.4950220000000001</v>
      </c>
      <c r="BX47">
        <v>0.47818899999999998</v>
      </c>
      <c r="BY47">
        <v>-2.7754000000000001E-2</v>
      </c>
      <c r="BZ47">
        <v>-0.204347</v>
      </c>
      <c r="CA47">
        <v>-0.41195999999999999</v>
      </c>
      <c r="CB47">
        <v>-0.23019999999999999</v>
      </c>
      <c r="CC47">
        <v>-0.14899999999999999</v>
      </c>
      <c r="CD47">
        <v>-5.1999999999999998E-2</v>
      </c>
      <c r="CE47">
        <v>-6.0000000000000001E-3</v>
      </c>
      <c r="CF47">
        <v>4.6800000000000001E-2</v>
      </c>
      <c r="CG47">
        <v>0.32940000000000003</v>
      </c>
      <c r="CH47">
        <v>19.429001</v>
      </c>
      <c r="CI47">
        <v>27.0366</v>
      </c>
      <c r="CJ47">
        <v>28.321199</v>
      </c>
      <c r="CK47">
        <v>28.82</v>
      </c>
      <c r="CL47">
        <v>29.253</v>
      </c>
      <c r="CM47">
        <v>29.974198999999999</v>
      </c>
      <c r="CN47">
        <v>30.482400999999999</v>
      </c>
      <c r="CO47">
        <v>31.22344</v>
      </c>
      <c r="CP47">
        <v>0.49192000000000002</v>
      </c>
      <c r="CQ47">
        <v>20.505589000000001</v>
      </c>
      <c r="CR47">
        <v>22.785177999999998</v>
      </c>
      <c r="CS47">
        <v>1</v>
      </c>
      <c r="CT47">
        <v>93</v>
      </c>
      <c r="CU47">
        <v>25.445722</v>
      </c>
      <c r="CV47">
        <v>1</v>
      </c>
      <c r="CW47">
        <v>18.948602999999999</v>
      </c>
      <c r="CX47">
        <v>359.04957300000001</v>
      </c>
      <c r="CY47">
        <v>0.744668</v>
      </c>
      <c r="CZ47">
        <v>29</v>
      </c>
      <c r="DA47">
        <v>0.84200600000000003</v>
      </c>
      <c r="DB47">
        <v>3.3889930000000001</v>
      </c>
      <c r="DC47">
        <v>15.489615000000001</v>
      </c>
      <c r="DD47">
        <v>25.445722</v>
      </c>
      <c r="DE47">
        <v>10.493532999999999</v>
      </c>
      <c r="DF47">
        <v>1.7660530000000001</v>
      </c>
      <c r="DG47">
        <v>0.76099499999999998</v>
      </c>
      <c r="DH47">
        <v>0.41238900000000001</v>
      </c>
      <c r="DI47">
        <v>0.168299</v>
      </c>
      <c r="DJ47">
        <v>7.2520000000000001E-2</v>
      </c>
      <c r="DK47">
        <v>1</v>
      </c>
      <c r="DL47">
        <v>2</v>
      </c>
      <c r="DM47">
        <v>4</v>
      </c>
      <c r="DN47">
        <v>7</v>
      </c>
      <c r="DO47">
        <v>9</v>
      </c>
      <c r="DP47">
        <v>11</v>
      </c>
      <c r="DQ47">
        <v>17</v>
      </c>
      <c r="DR47">
        <v>23</v>
      </c>
      <c r="DS47">
        <v>29</v>
      </c>
      <c r="DT47">
        <v>35</v>
      </c>
      <c r="DU47">
        <v>38</v>
      </c>
      <c r="DV47">
        <v>40</v>
      </c>
      <c r="DW47">
        <v>49</v>
      </c>
      <c r="DX47">
        <v>61</v>
      </c>
      <c r="DY47">
        <v>81.439941000000005</v>
      </c>
      <c r="DZ47">
        <v>94.384857999999994</v>
      </c>
      <c r="EA47">
        <v>59.046331000000002</v>
      </c>
      <c r="EB47">
        <v>110.157729</v>
      </c>
      <c r="EC47">
        <v>1496</v>
      </c>
      <c r="ED47">
        <v>1746</v>
      </c>
      <c r="EE47">
        <v>91.608833000000004</v>
      </c>
      <c r="EF47">
        <v>100</v>
      </c>
      <c r="EG47">
        <v>53.533987000000003</v>
      </c>
      <c r="EH47">
        <v>98.816367999999997</v>
      </c>
      <c r="EI47">
        <v>99.873817000000003</v>
      </c>
      <c r="EJ47">
        <v>184.35331199999999</v>
      </c>
      <c r="EK47">
        <v>1452</v>
      </c>
      <c r="EL47">
        <v>1585</v>
      </c>
      <c r="EM47">
        <v>1583</v>
      </c>
      <c r="EN47">
        <v>2922</v>
      </c>
      <c r="EO47">
        <v>1585</v>
      </c>
      <c r="EP47">
        <v>2957</v>
      </c>
      <c r="EQ47">
        <v>48.153584000000002</v>
      </c>
    </row>
    <row r="48" spans="1:147" x14ac:dyDescent="0.25">
      <c r="A48">
        <v>2022</v>
      </c>
      <c r="B48" t="str">
        <f t="shared" si="0"/>
        <v>NE</v>
      </c>
      <c r="C48" t="s">
        <v>423</v>
      </c>
      <c r="D48" t="s">
        <v>423</v>
      </c>
      <c r="E48">
        <v>22450</v>
      </c>
      <c r="F48" t="s">
        <v>424</v>
      </c>
      <c r="G48" t="s">
        <v>425</v>
      </c>
      <c r="H48" t="s">
        <v>426</v>
      </c>
      <c r="I48">
        <v>6.95</v>
      </c>
      <c r="J48">
        <v>6.95</v>
      </c>
      <c r="K48" t="s">
        <v>173</v>
      </c>
      <c r="L48">
        <v>1</v>
      </c>
      <c r="M48">
        <v>2014</v>
      </c>
      <c r="N48">
        <v>2</v>
      </c>
      <c r="O48" t="str">
        <f t="shared" si="1"/>
        <v>Talhadia</v>
      </c>
      <c r="P48" s="2">
        <v>41666</v>
      </c>
      <c r="Q48" t="s">
        <v>152</v>
      </c>
      <c r="R48" t="s">
        <v>427</v>
      </c>
      <c r="S48" t="s">
        <v>154</v>
      </c>
      <c r="T48" t="s">
        <v>175</v>
      </c>
      <c r="U48" t="s">
        <v>156</v>
      </c>
      <c r="V48" s="2">
        <v>44588</v>
      </c>
      <c r="W48" t="s">
        <v>428</v>
      </c>
      <c r="X48">
        <v>30.59</v>
      </c>
      <c r="Y48">
        <v>19.399999999999999</v>
      </c>
      <c r="Z48">
        <v>22</v>
      </c>
      <c r="AA48">
        <v>14.1</v>
      </c>
      <c r="AB48">
        <v>2</v>
      </c>
      <c r="AC48">
        <v>273.54000000000002</v>
      </c>
      <c r="AD48">
        <v>253.46737198666699</v>
      </c>
      <c r="AE48" s="2">
        <v>44588</v>
      </c>
      <c r="AF48">
        <v>96</v>
      </c>
      <c r="AG48">
        <v>8</v>
      </c>
      <c r="AH48">
        <v>30.755408344864399</v>
      </c>
      <c r="AI48">
        <v>20.322727272727299</v>
      </c>
      <c r="AJ48">
        <v>29.461304175879601</v>
      </c>
      <c r="AK48">
        <v>22</v>
      </c>
      <c r="AL48">
        <v>867.961814081429</v>
      </c>
      <c r="AM48">
        <v>403.62017708030498</v>
      </c>
      <c r="AN48">
        <v>0.465020661660628</v>
      </c>
      <c r="AO48" t="s">
        <v>427</v>
      </c>
      <c r="AP48" t="s">
        <v>264</v>
      </c>
      <c r="AQ48" t="s">
        <v>294</v>
      </c>
      <c r="AR48">
        <v>9.99</v>
      </c>
      <c r="AS48">
        <v>0.86709385226734825</v>
      </c>
      <c r="AT48" t="s">
        <v>429</v>
      </c>
      <c r="AU48" t="s">
        <v>430</v>
      </c>
      <c r="AV48">
        <v>5351</v>
      </c>
      <c r="AW48">
        <v>3078</v>
      </c>
      <c r="AX48">
        <v>2073</v>
      </c>
      <c r="AY48">
        <v>196</v>
      </c>
      <c r="AZ48">
        <v>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-0.95099999999999996</v>
      </c>
      <c r="BH48">
        <v>35.650002000000001</v>
      </c>
      <c r="BI48">
        <v>17.610385999999998</v>
      </c>
      <c r="BJ48">
        <v>-0.37003200000000003</v>
      </c>
      <c r="BK48">
        <v>16.070309000000002</v>
      </c>
      <c r="BL48">
        <v>258.25483600000001</v>
      </c>
      <c r="BM48">
        <v>0.912547</v>
      </c>
      <c r="BN48">
        <v>33.478999000000002</v>
      </c>
      <c r="BO48">
        <v>-8.5267999999999997E-2</v>
      </c>
      <c r="BP48">
        <v>1.0873539999999999</v>
      </c>
      <c r="BQ48">
        <v>15.693834000000001</v>
      </c>
      <c r="BR48">
        <v>11.880998999999999</v>
      </c>
      <c r="BS48">
        <v>23.442032000000001</v>
      </c>
      <c r="BT48">
        <v>17.610385999999998</v>
      </c>
      <c r="BU48">
        <v>8.4816330000000004</v>
      </c>
      <c r="BV48">
        <v>-0.19547500000000001</v>
      </c>
      <c r="BW48">
        <v>-1.8634839999999999</v>
      </c>
      <c r="BX48">
        <v>0.48162700000000003</v>
      </c>
      <c r="BY48">
        <v>-2.3047000000000002E-2</v>
      </c>
      <c r="BZ48">
        <v>-0.21970799999999999</v>
      </c>
      <c r="CA48">
        <v>-0.40600000000000003</v>
      </c>
      <c r="CB48">
        <v>-0.155</v>
      </c>
      <c r="CC48">
        <v>-4.1000000000000002E-2</v>
      </c>
      <c r="CD48">
        <v>8.8999999999999996E-2</v>
      </c>
      <c r="CE48">
        <v>0.16200000000000001</v>
      </c>
      <c r="CF48">
        <v>0.249</v>
      </c>
      <c r="CG48">
        <v>0.72899999999999998</v>
      </c>
      <c r="CH48">
        <v>23.072001</v>
      </c>
      <c r="CI48">
        <v>32.455002</v>
      </c>
      <c r="CJ48">
        <v>33.259998000000003</v>
      </c>
      <c r="CK48">
        <v>33.640999000000001</v>
      </c>
      <c r="CL48">
        <v>33.979999999999997</v>
      </c>
      <c r="CM48">
        <v>34.623001000000002</v>
      </c>
      <c r="CN48">
        <v>34.951999999999998</v>
      </c>
      <c r="CO48">
        <v>35.318001000000002</v>
      </c>
      <c r="CP48">
        <v>0.50712800000000002</v>
      </c>
      <c r="CQ48">
        <v>23.83972</v>
      </c>
      <c r="CR48">
        <v>26.565968000000002</v>
      </c>
      <c r="CS48">
        <v>1</v>
      </c>
      <c r="CT48">
        <v>70</v>
      </c>
      <c r="CU48">
        <v>19.054756000000001</v>
      </c>
      <c r="CV48">
        <v>1</v>
      </c>
      <c r="CW48">
        <v>13.369619</v>
      </c>
      <c r="CX48">
        <v>178.74672100000001</v>
      </c>
      <c r="CY48">
        <v>0.70164199999999999</v>
      </c>
      <c r="CZ48">
        <v>21</v>
      </c>
      <c r="DA48">
        <v>0.64792799999999995</v>
      </c>
      <c r="DB48">
        <v>2.8451810000000002</v>
      </c>
      <c r="DC48">
        <v>11.061871999999999</v>
      </c>
      <c r="DD48">
        <v>19.054756000000001</v>
      </c>
      <c r="DE48">
        <v>7.5137489999999998</v>
      </c>
      <c r="DF48">
        <v>1.0576110000000001</v>
      </c>
      <c r="DG48">
        <v>0.42573699999999998</v>
      </c>
      <c r="DH48">
        <v>0.39432400000000001</v>
      </c>
      <c r="DI48">
        <v>0.14075699999999999</v>
      </c>
      <c r="DJ48">
        <v>5.6661000000000003E-2</v>
      </c>
      <c r="DK48">
        <v>1</v>
      </c>
      <c r="DL48">
        <v>2</v>
      </c>
      <c r="DM48">
        <v>3</v>
      </c>
      <c r="DN48">
        <v>6</v>
      </c>
      <c r="DO48">
        <v>7</v>
      </c>
      <c r="DP48">
        <v>9</v>
      </c>
      <c r="DQ48">
        <v>13</v>
      </c>
      <c r="DR48">
        <v>18</v>
      </c>
      <c r="DS48">
        <v>22</v>
      </c>
      <c r="DT48">
        <v>26</v>
      </c>
      <c r="DU48">
        <v>28</v>
      </c>
      <c r="DV48">
        <v>31</v>
      </c>
      <c r="DW48">
        <v>38</v>
      </c>
      <c r="DX48">
        <v>44</v>
      </c>
      <c r="DY48">
        <v>55</v>
      </c>
      <c r="DZ48">
        <v>87.784276000000006</v>
      </c>
      <c r="EA48">
        <v>56.064287</v>
      </c>
      <c r="EB48">
        <v>97.465886999999995</v>
      </c>
      <c r="EC48">
        <v>2702</v>
      </c>
      <c r="ED48">
        <v>3000</v>
      </c>
      <c r="EE48">
        <v>85.022741999999994</v>
      </c>
      <c r="EF48">
        <v>100</v>
      </c>
      <c r="EG48">
        <v>52.681742</v>
      </c>
      <c r="EH48">
        <v>98.729208999999997</v>
      </c>
      <c r="EI48">
        <v>91.585445000000007</v>
      </c>
      <c r="EJ48">
        <v>171.637427</v>
      </c>
      <c r="EK48">
        <v>2617</v>
      </c>
      <c r="EL48">
        <v>3078</v>
      </c>
      <c r="EM48">
        <v>2819</v>
      </c>
      <c r="EN48">
        <v>5283</v>
      </c>
      <c r="EO48">
        <v>3078</v>
      </c>
      <c r="EP48">
        <v>5351</v>
      </c>
      <c r="EQ48">
        <v>48.909832999999999</v>
      </c>
    </row>
    <row r="49" spans="1:147" x14ac:dyDescent="0.25">
      <c r="A49">
        <v>2022</v>
      </c>
      <c r="B49" t="str">
        <f t="shared" si="0"/>
        <v>NE</v>
      </c>
      <c r="C49" t="s">
        <v>431</v>
      </c>
      <c r="D49" t="s">
        <v>431</v>
      </c>
      <c r="E49">
        <v>22453</v>
      </c>
      <c r="F49" t="s">
        <v>432</v>
      </c>
      <c r="G49" t="s">
        <v>299</v>
      </c>
      <c r="H49" t="s">
        <v>433</v>
      </c>
      <c r="I49">
        <v>23.99</v>
      </c>
      <c r="J49">
        <v>23.99</v>
      </c>
      <c r="K49" t="s">
        <v>301</v>
      </c>
      <c r="L49">
        <v>1</v>
      </c>
      <c r="M49">
        <v>2014</v>
      </c>
      <c r="N49">
        <v>2</v>
      </c>
      <c r="O49" t="str">
        <f t="shared" si="1"/>
        <v>Alto fuste</v>
      </c>
      <c r="P49" s="2">
        <v>41880</v>
      </c>
      <c r="Q49" t="s">
        <v>174</v>
      </c>
      <c r="R49" t="s">
        <v>302</v>
      </c>
      <c r="S49" t="s">
        <v>154</v>
      </c>
      <c r="T49" t="s">
        <v>175</v>
      </c>
      <c r="U49" t="s">
        <v>156</v>
      </c>
      <c r="V49" s="2">
        <v>44714</v>
      </c>
      <c r="W49" t="s">
        <v>303</v>
      </c>
      <c r="X49">
        <v>44.38</v>
      </c>
      <c r="Y49">
        <v>20.7</v>
      </c>
      <c r="Z49">
        <v>22</v>
      </c>
      <c r="AA49">
        <v>15.7</v>
      </c>
      <c r="AB49">
        <v>1</v>
      </c>
      <c r="AC49">
        <v>324.99</v>
      </c>
      <c r="AD49">
        <v>301.27958756541699</v>
      </c>
      <c r="AE49" s="2">
        <v>44714</v>
      </c>
      <c r="AF49">
        <v>94</v>
      </c>
      <c r="AG49">
        <v>7.7590691307323798</v>
      </c>
      <c r="AH49">
        <v>30.1250909730737</v>
      </c>
      <c r="AI49">
        <v>18.6076923076923</v>
      </c>
      <c r="AJ49">
        <v>24.625790626882502</v>
      </c>
      <c r="AK49">
        <v>26</v>
      </c>
      <c r="AL49">
        <v>862.98578042080601</v>
      </c>
      <c r="AM49">
        <v>335.12237974814798</v>
      </c>
      <c r="AN49">
        <v>0.388328970594089</v>
      </c>
      <c r="AO49" t="s">
        <v>302</v>
      </c>
      <c r="AP49" t="s">
        <v>158</v>
      </c>
      <c r="AQ49" t="s">
        <v>315</v>
      </c>
      <c r="AR49">
        <v>9</v>
      </c>
      <c r="AS49">
        <v>0.77668720237872568</v>
      </c>
      <c r="AT49" t="s">
        <v>434</v>
      </c>
      <c r="AU49" t="s">
        <v>435</v>
      </c>
      <c r="AV49">
        <v>2991</v>
      </c>
      <c r="AW49">
        <v>1676</v>
      </c>
      <c r="AX49">
        <v>1126</v>
      </c>
      <c r="AY49">
        <v>180</v>
      </c>
      <c r="AZ49">
        <v>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-0.97</v>
      </c>
      <c r="BH49">
        <v>36.759998000000003</v>
      </c>
      <c r="BI49">
        <v>18.649753</v>
      </c>
      <c r="BJ49">
        <v>-0.37111100000000002</v>
      </c>
      <c r="BK49">
        <v>15.15583</v>
      </c>
      <c r="BL49">
        <v>229.69918200000001</v>
      </c>
      <c r="BM49">
        <v>0.81265600000000004</v>
      </c>
      <c r="BN49">
        <v>33.130000000000003</v>
      </c>
      <c r="BO49">
        <v>-0.25856800000000002</v>
      </c>
      <c r="BP49">
        <v>1.2521659999999999</v>
      </c>
      <c r="BQ49">
        <v>14.206422999999999</v>
      </c>
      <c r="BR49">
        <v>11.959999</v>
      </c>
      <c r="BS49">
        <v>22.921109999999999</v>
      </c>
      <c r="BT49">
        <v>18.649753</v>
      </c>
      <c r="BU49">
        <v>8.2128340000000009</v>
      </c>
      <c r="BV49">
        <v>-0.64605100000000004</v>
      </c>
      <c r="BW49">
        <v>-1.4533510000000001</v>
      </c>
      <c r="BX49">
        <v>0.44037199999999999</v>
      </c>
      <c r="BY49">
        <v>-7.8663999999999998E-2</v>
      </c>
      <c r="BZ49">
        <v>-0.17696100000000001</v>
      </c>
      <c r="CA49">
        <v>-0.371</v>
      </c>
      <c r="CB49">
        <v>-0.125</v>
      </c>
      <c r="CC49">
        <v>-0.03</v>
      </c>
      <c r="CD49">
        <v>0.12</v>
      </c>
      <c r="CE49">
        <v>0.21</v>
      </c>
      <c r="CF49">
        <v>0.47</v>
      </c>
      <c r="CG49">
        <v>17.399999999999999</v>
      </c>
      <c r="CH49">
        <v>22.549999</v>
      </c>
      <c r="CI49">
        <v>31.030000999999999</v>
      </c>
      <c r="CJ49">
        <v>32.959999000000003</v>
      </c>
      <c r="CK49">
        <v>33.340000000000003</v>
      </c>
      <c r="CL49">
        <v>33.790000999999997</v>
      </c>
      <c r="CM49">
        <v>34.650002000000001</v>
      </c>
      <c r="CN49">
        <v>35.154998999999997</v>
      </c>
      <c r="CO49">
        <v>35.852001000000001</v>
      </c>
      <c r="CP49">
        <v>0.52000400000000002</v>
      </c>
      <c r="CQ49">
        <v>24.029890999999999</v>
      </c>
      <c r="CR49">
        <v>26.416357999999999</v>
      </c>
      <c r="CS49">
        <v>1</v>
      </c>
      <c r="CT49">
        <v>62</v>
      </c>
      <c r="CU49">
        <v>19.159144000000001</v>
      </c>
      <c r="CV49">
        <v>1</v>
      </c>
      <c r="CW49">
        <v>13.042204</v>
      </c>
      <c r="CX49">
        <v>170.09907899999999</v>
      </c>
      <c r="CY49">
        <v>0.68072999999999995</v>
      </c>
      <c r="CZ49">
        <v>22</v>
      </c>
      <c r="DA49">
        <v>0.38394699999999998</v>
      </c>
      <c r="DB49">
        <v>2.3314789999999999</v>
      </c>
      <c r="DC49">
        <v>11.132604000000001</v>
      </c>
      <c r="DD49">
        <v>19.159144000000001</v>
      </c>
      <c r="DE49">
        <v>7.4234790000000004</v>
      </c>
      <c r="DF49">
        <v>0.63299099999999997</v>
      </c>
      <c r="DG49">
        <v>0.197105</v>
      </c>
      <c r="DH49">
        <v>0.38746399999999998</v>
      </c>
      <c r="DI49">
        <v>8.5268999999999998E-2</v>
      </c>
      <c r="DJ49">
        <v>2.6551999999999999E-2</v>
      </c>
      <c r="DK49">
        <v>1</v>
      </c>
      <c r="DL49">
        <v>1</v>
      </c>
      <c r="DM49">
        <v>2</v>
      </c>
      <c r="DN49">
        <v>5</v>
      </c>
      <c r="DO49">
        <v>7</v>
      </c>
      <c r="DP49">
        <v>9</v>
      </c>
      <c r="DQ49">
        <v>14</v>
      </c>
      <c r="DR49">
        <v>19</v>
      </c>
      <c r="DS49">
        <v>23</v>
      </c>
      <c r="DT49">
        <v>27</v>
      </c>
      <c r="DU49">
        <v>29</v>
      </c>
      <c r="DV49">
        <v>31</v>
      </c>
      <c r="DW49">
        <v>36</v>
      </c>
      <c r="DX49">
        <v>42</v>
      </c>
      <c r="DY49">
        <v>51</v>
      </c>
      <c r="DZ49">
        <v>91.885441999999998</v>
      </c>
      <c r="EA49">
        <v>62.019392000000003</v>
      </c>
      <c r="EB49">
        <v>110.68019099999999</v>
      </c>
      <c r="EC49">
        <v>1540</v>
      </c>
      <c r="ED49">
        <v>1855</v>
      </c>
      <c r="EE49">
        <v>89.916467999999995</v>
      </c>
      <c r="EF49">
        <v>100</v>
      </c>
      <c r="EG49">
        <v>58.910063999999998</v>
      </c>
      <c r="EH49">
        <v>98.996990999999994</v>
      </c>
      <c r="EI49">
        <v>105.131265</v>
      </c>
      <c r="EJ49">
        <v>176.67064400000001</v>
      </c>
      <c r="EK49">
        <v>1507</v>
      </c>
      <c r="EL49">
        <v>1676</v>
      </c>
      <c r="EM49">
        <v>1762</v>
      </c>
      <c r="EN49">
        <v>2961</v>
      </c>
      <c r="EO49">
        <v>1676</v>
      </c>
      <c r="EP49">
        <v>2991</v>
      </c>
      <c r="EQ49">
        <v>51.062226000000003</v>
      </c>
    </row>
    <row r="50" spans="1:147" x14ac:dyDescent="0.25">
      <c r="A50">
        <v>2022</v>
      </c>
      <c r="B50" t="str">
        <f t="shared" si="0"/>
        <v>NE</v>
      </c>
      <c r="C50" t="s">
        <v>436</v>
      </c>
      <c r="D50" t="s">
        <v>436</v>
      </c>
      <c r="E50">
        <v>22454</v>
      </c>
      <c r="F50" t="s">
        <v>432</v>
      </c>
      <c r="G50" t="s">
        <v>299</v>
      </c>
      <c r="H50" t="s">
        <v>433</v>
      </c>
      <c r="I50">
        <v>23.99</v>
      </c>
      <c r="J50">
        <v>23.99</v>
      </c>
      <c r="K50" t="s">
        <v>301</v>
      </c>
      <c r="L50">
        <v>1</v>
      </c>
      <c r="M50">
        <v>2014</v>
      </c>
      <c r="N50">
        <v>2</v>
      </c>
      <c r="O50" t="str">
        <f t="shared" si="1"/>
        <v>Alto fuste</v>
      </c>
      <c r="P50" s="2">
        <v>41880</v>
      </c>
      <c r="Q50" t="s">
        <v>174</v>
      </c>
      <c r="R50" t="s">
        <v>302</v>
      </c>
      <c r="S50" t="s">
        <v>154</v>
      </c>
      <c r="T50" t="s">
        <v>175</v>
      </c>
      <c r="U50" t="s">
        <v>156</v>
      </c>
      <c r="V50" s="2">
        <v>44714</v>
      </c>
      <c r="W50" t="s">
        <v>303</v>
      </c>
      <c r="X50">
        <v>44.38</v>
      </c>
      <c r="Y50">
        <v>20</v>
      </c>
      <c r="Z50">
        <v>12</v>
      </c>
      <c r="AA50">
        <v>15.5</v>
      </c>
      <c r="AB50">
        <v>0</v>
      </c>
      <c r="AC50">
        <v>310</v>
      </c>
      <c r="AD50">
        <v>303.22575622748002</v>
      </c>
      <c r="AE50" s="2">
        <v>44714</v>
      </c>
      <c r="AF50">
        <v>94</v>
      </c>
      <c r="AG50">
        <v>7.7590691307323798</v>
      </c>
      <c r="AH50">
        <v>29.3470999843186</v>
      </c>
      <c r="AI50">
        <v>17.187096774193499</v>
      </c>
      <c r="AJ50">
        <v>24.262442203561498</v>
      </c>
      <c r="AK50">
        <v>31</v>
      </c>
      <c r="AL50">
        <v>1022.34059486503</v>
      </c>
      <c r="AM50">
        <v>315.76021432254902</v>
      </c>
      <c r="AN50">
        <v>0.30886009604679399</v>
      </c>
      <c r="AO50" t="s">
        <v>302</v>
      </c>
      <c r="AP50" t="s">
        <v>158</v>
      </c>
      <c r="AQ50" t="s">
        <v>315</v>
      </c>
      <c r="AR50">
        <v>9</v>
      </c>
      <c r="AS50">
        <v>0.92010653537852549</v>
      </c>
      <c r="AT50" t="s">
        <v>437</v>
      </c>
      <c r="AU50" t="s">
        <v>438</v>
      </c>
      <c r="AV50">
        <v>4806</v>
      </c>
      <c r="AW50">
        <v>2663</v>
      </c>
      <c r="AX50">
        <v>2044</v>
      </c>
      <c r="AY50">
        <v>98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-0.97</v>
      </c>
      <c r="BH50">
        <v>32.810001</v>
      </c>
      <c r="BI50">
        <v>16.315697</v>
      </c>
      <c r="BJ50">
        <v>-0.43380999999999997</v>
      </c>
      <c r="BK50">
        <v>14.728456</v>
      </c>
      <c r="BL50">
        <v>216.92740900000001</v>
      </c>
      <c r="BM50">
        <v>0.90271699999999999</v>
      </c>
      <c r="BN50">
        <v>30.249998999999999</v>
      </c>
      <c r="BO50">
        <v>-0.171599</v>
      </c>
      <c r="BP50">
        <v>1.074897</v>
      </c>
      <c r="BQ50">
        <v>14.527642</v>
      </c>
      <c r="BR50">
        <v>4.5300010000000004</v>
      </c>
      <c r="BS50">
        <v>27.773809</v>
      </c>
      <c r="BT50">
        <v>16.315697</v>
      </c>
      <c r="BU50">
        <v>7.6754550000000004</v>
      </c>
      <c r="BV50">
        <v>-0.37080299999999999</v>
      </c>
      <c r="BW50">
        <v>-1.620533</v>
      </c>
      <c r="BX50">
        <v>0.47043400000000002</v>
      </c>
      <c r="BY50">
        <v>-4.8309999999999999E-2</v>
      </c>
      <c r="BZ50">
        <v>-0.21113199999999999</v>
      </c>
      <c r="CA50">
        <v>-0.48899999999999999</v>
      </c>
      <c r="CB50">
        <v>-0.2175</v>
      </c>
      <c r="CC50">
        <v>-0.11</v>
      </c>
      <c r="CD50">
        <v>0.01</v>
      </c>
      <c r="CE50">
        <v>0.06</v>
      </c>
      <c r="CF50">
        <v>0.11</v>
      </c>
      <c r="CG50">
        <v>0.25</v>
      </c>
      <c r="CH50">
        <v>27.34</v>
      </c>
      <c r="CI50">
        <v>28.6</v>
      </c>
      <c r="CJ50">
        <v>29.629999000000002</v>
      </c>
      <c r="CK50">
        <v>30.309999000000001</v>
      </c>
      <c r="CL50">
        <v>30.77</v>
      </c>
      <c r="CM50">
        <v>31.43</v>
      </c>
      <c r="CN50">
        <v>31.807499</v>
      </c>
      <c r="CO50">
        <v>32.359501000000002</v>
      </c>
      <c r="CP50">
        <v>0.511714</v>
      </c>
      <c r="CQ50">
        <v>21.979177</v>
      </c>
      <c r="CR50">
        <v>24.334927</v>
      </c>
      <c r="CS50">
        <v>1</v>
      </c>
      <c r="CT50">
        <v>64</v>
      </c>
      <c r="CU50">
        <v>23.074074</v>
      </c>
      <c r="CV50">
        <v>1</v>
      </c>
      <c r="CW50">
        <v>16.227336999999999</v>
      </c>
      <c r="CX50">
        <v>263.326458</v>
      </c>
      <c r="CY50">
        <v>0.70327099999999998</v>
      </c>
      <c r="CZ50">
        <v>31</v>
      </c>
      <c r="DA50">
        <v>9.8063999999999998E-2</v>
      </c>
      <c r="DB50">
        <v>1.6537740000000001</v>
      </c>
      <c r="DC50">
        <v>14.636519</v>
      </c>
      <c r="DD50">
        <v>23.074074</v>
      </c>
      <c r="DE50">
        <v>9.2667199999999994</v>
      </c>
      <c r="DF50">
        <v>0.329594</v>
      </c>
      <c r="DG50">
        <v>-0.47267399999999998</v>
      </c>
      <c r="DH50">
        <v>0.40160699999999999</v>
      </c>
      <c r="DI50">
        <v>3.5567000000000001E-2</v>
      </c>
      <c r="DJ50">
        <v>-5.1007999999999998E-2</v>
      </c>
      <c r="DK50">
        <v>1</v>
      </c>
      <c r="DL50">
        <v>1</v>
      </c>
      <c r="DM50">
        <v>2</v>
      </c>
      <c r="DN50">
        <v>5</v>
      </c>
      <c r="DO50">
        <v>6</v>
      </c>
      <c r="DP50">
        <v>8</v>
      </c>
      <c r="DQ50">
        <v>15</v>
      </c>
      <c r="DR50">
        <v>25</v>
      </c>
      <c r="DS50">
        <v>31</v>
      </c>
      <c r="DT50">
        <v>35</v>
      </c>
      <c r="DU50">
        <v>37</v>
      </c>
      <c r="DV50">
        <v>39</v>
      </c>
      <c r="DW50">
        <v>44</v>
      </c>
      <c r="DX50">
        <v>48</v>
      </c>
      <c r="DY50">
        <v>55</v>
      </c>
      <c r="DZ50">
        <v>96.620352999999994</v>
      </c>
      <c r="EA50">
        <v>55.826051</v>
      </c>
      <c r="EB50">
        <v>100.75103300000001</v>
      </c>
      <c r="EC50">
        <v>2573</v>
      </c>
      <c r="ED50">
        <v>2683</v>
      </c>
      <c r="EE50">
        <v>96.282387999999997</v>
      </c>
      <c r="EF50">
        <v>100</v>
      </c>
      <c r="EG50">
        <v>54.952143</v>
      </c>
      <c r="EH50">
        <v>98.626716999999999</v>
      </c>
      <c r="EI50">
        <v>99.173863999999995</v>
      </c>
      <c r="EJ50">
        <v>177.994743</v>
      </c>
      <c r="EK50">
        <v>2564</v>
      </c>
      <c r="EL50">
        <v>2663</v>
      </c>
      <c r="EM50">
        <v>2641</v>
      </c>
      <c r="EN50">
        <v>4740</v>
      </c>
      <c r="EO50">
        <v>2663</v>
      </c>
      <c r="EP50">
        <v>4806</v>
      </c>
      <c r="EQ50">
        <v>49.497247999999999</v>
      </c>
    </row>
    <row r="51" spans="1:147" x14ac:dyDescent="0.25">
      <c r="A51">
        <v>2022</v>
      </c>
      <c r="B51" t="str">
        <f t="shared" si="0"/>
        <v>NE</v>
      </c>
      <c r="C51" t="s">
        <v>439</v>
      </c>
      <c r="D51" t="s">
        <v>439</v>
      </c>
      <c r="E51">
        <v>22455</v>
      </c>
      <c r="F51" t="s">
        <v>432</v>
      </c>
      <c r="G51" t="s">
        <v>299</v>
      </c>
      <c r="H51" t="s">
        <v>440</v>
      </c>
      <c r="I51">
        <v>20.39</v>
      </c>
      <c r="J51">
        <v>20.39</v>
      </c>
      <c r="K51" t="s">
        <v>301</v>
      </c>
      <c r="L51">
        <v>1</v>
      </c>
      <c r="M51">
        <v>2014</v>
      </c>
      <c r="N51">
        <v>2</v>
      </c>
      <c r="O51" t="str">
        <f t="shared" si="1"/>
        <v>Alto fuste</v>
      </c>
      <c r="P51" s="2">
        <v>41991</v>
      </c>
      <c r="Q51" t="s">
        <v>174</v>
      </c>
      <c r="R51" t="s">
        <v>309</v>
      </c>
      <c r="S51" t="s">
        <v>154</v>
      </c>
      <c r="T51" t="s">
        <v>175</v>
      </c>
      <c r="U51" t="s">
        <v>156</v>
      </c>
      <c r="V51" s="2">
        <v>44714</v>
      </c>
      <c r="W51" t="s">
        <v>303</v>
      </c>
      <c r="X51">
        <v>44.38</v>
      </c>
      <c r="Y51">
        <v>19.7</v>
      </c>
      <c r="Z51">
        <v>31</v>
      </c>
      <c r="AA51">
        <v>15</v>
      </c>
      <c r="AB51">
        <v>12</v>
      </c>
      <c r="AC51">
        <v>295.5</v>
      </c>
      <c r="AD51">
        <v>247.75787895903201</v>
      </c>
      <c r="AE51" s="2">
        <v>44714</v>
      </c>
      <c r="AF51">
        <v>90</v>
      </c>
      <c r="AG51">
        <v>7.4551676933607096</v>
      </c>
      <c r="AH51">
        <v>28.529957750632999</v>
      </c>
      <c r="AI51">
        <v>16.260000000000002</v>
      </c>
      <c r="AJ51">
        <v>31.126930895328901</v>
      </c>
      <c r="AK51">
        <v>35</v>
      </c>
      <c r="AL51">
        <v>1412.6695040760901</v>
      </c>
      <c r="AM51">
        <v>410.76946481490802</v>
      </c>
      <c r="AN51">
        <v>0.29077534669622301</v>
      </c>
      <c r="AO51" t="s">
        <v>309</v>
      </c>
      <c r="AP51" t="s">
        <v>158</v>
      </c>
      <c r="AQ51" t="s">
        <v>286</v>
      </c>
      <c r="AR51">
        <v>9</v>
      </c>
      <c r="AS51">
        <v>1.2714025536684821</v>
      </c>
      <c r="AT51" t="s">
        <v>441</v>
      </c>
      <c r="AU51" t="s">
        <v>442</v>
      </c>
      <c r="AV51">
        <v>4117</v>
      </c>
      <c r="AW51">
        <v>2674</v>
      </c>
      <c r="AX51">
        <v>1192</v>
      </c>
      <c r="AY51">
        <v>232</v>
      </c>
      <c r="AZ51">
        <v>19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-1.03</v>
      </c>
      <c r="BH51">
        <v>38.860000999999997</v>
      </c>
      <c r="BI51">
        <v>21.274656</v>
      </c>
      <c r="BJ51">
        <v>-0.39682499999999998</v>
      </c>
      <c r="BK51">
        <v>14.476896</v>
      </c>
      <c r="BL51">
        <v>209.58053000000001</v>
      </c>
      <c r="BM51">
        <v>0.68047599999999997</v>
      </c>
      <c r="BN51">
        <v>32.339998999999999</v>
      </c>
      <c r="BO51">
        <v>-0.631714</v>
      </c>
      <c r="BP51">
        <v>1.612527</v>
      </c>
      <c r="BQ51">
        <v>13.049657</v>
      </c>
      <c r="BR51">
        <v>5.2400019999999996</v>
      </c>
      <c r="BS51">
        <v>30.236826000000001</v>
      </c>
      <c r="BT51">
        <v>21.274656</v>
      </c>
      <c r="BU51">
        <v>7.6696600000000004</v>
      </c>
      <c r="BV51">
        <v>-1.6502220000000001</v>
      </c>
      <c r="BW51">
        <v>-0.65474299999999996</v>
      </c>
      <c r="BX51">
        <v>0.36050700000000002</v>
      </c>
      <c r="BY51">
        <v>-0.21516199999999999</v>
      </c>
      <c r="BZ51">
        <v>-8.5367999999999999E-2</v>
      </c>
      <c r="CA51">
        <v>-0.43</v>
      </c>
      <c r="CB51">
        <v>-0.15</v>
      </c>
      <c r="CC51">
        <v>-0.02</v>
      </c>
      <c r="CD51">
        <v>0.17</v>
      </c>
      <c r="CE51">
        <v>0.37</v>
      </c>
      <c r="CF51">
        <v>8.0400030000000005</v>
      </c>
      <c r="CG51">
        <v>23.450001</v>
      </c>
      <c r="CH51">
        <v>29.84</v>
      </c>
      <c r="CI51">
        <v>31.385999999999999</v>
      </c>
      <c r="CJ51">
        <v>32.290000999999997</v>
      </c>
      <c r="CK51">
        <v>32.709999000000003</v>
      </c>
      <c r="CL51">
        <v>33.150002000000001</v>
      </c>
      <c r="CM51">
        <v>34.700001</v>
      </c>
      <c r="CN51">
        <v>35.921996999999998</v>
      </c>
      <c r="CO51">
        <v>37.439999</v>
      </c>
      <c r="CP51">
        <v>0.55915400000000004</v>
      </c>
      <c r="CQ51">
        <v>25.732092999999999</v>
      </c>
      <c r="CR51">
        <v>27.626823000000002</v>
      </c>
      <c r="CS51">
        <v>1</v>
      </c>
      <c r="CT51">
        <v>42</v>
      </c>
      <c r="CU51">
        <v>12.021375000000001</v>
      </c>
      <c r="CV51">
        <v>1</v>
      </c>
      <c r="CW51">
        <v>8.4977579999999993</v>
      </c>
      <c r="CX51">
        <v>72.211884999999995</v>
      </c>
      <c r="CY51">
        <v>0.70688700000000004</v>
      </c>
      <c r="CZ51">
        <v>13</v>
      </c>
      <c r="DA51">
        <v>0.63132200000000005</v>
      </c>
      <c r="DB51">
        <v>2.7552660000000002</v>
      </c>
      <c r="DC51">
        <v>7.0354020000000004</v>
      </c>
      <c r="DD51">
        <v>12.021375000000001</v>
      </c>
      <c r="DE51">
        <v>4.7799459999999998</v>
      </c>
      <c r="DF51">
        <v>0.67982100000000001</v>
      </c>
      <c r="DG51">
        <v>0.252722</v>
      </c>
      <c r="DH51">
        <v>0.397621</v>
      </c>
      <c r="DI51">
        <v>0.14222399999999999</v>
      </c>
      <c r="DJ51">
        <v>5.2871000000000001E-2</v>
      </c>
      <c r="DK51">
        <v>1</v>
      </c>
      <c r="DL51">
        <v>1</v>
      </c>
      <c r="DM51">
        <v>2</v>
      </c>
      <c r="DN51">
        <v>4</v>
      </c>
      <c r="DO51">
        <v>5</v>
      </c>
      <c r="DP51">
        <v>6</v>
      </c>
      <c r="DQ51">
        <v>8</v>
      </c>
      <c r="DR51">
        <v>11</v>
      </c>
      <c r="DS51">
        <v>13</v>
      </c>
      <c r="DT51">
        <v>16</v>
      </c>
      <c r="DU51">
        <v>18</v>
      </c>
      <c r="DV51">
        <v>19</v>
      </c>
      <c r="DW51">
        <v>24</v>
      </c>
      <c r="DX51">
        <v>28</v>
      </c>
      <c r="DY51">
        <v>34</v>
      </c>
      <c r="DZ51">
        <v>92.520567999999997</v>
      </c>
      <c r="EA51">
        <v>70.561087999999998</v>
      </c>
      <c r="EB51">
        <v>108.63874300000001</v>
      </c>
      <c r="EC51">
        <v>2474</v>
      </c>
      <c r="ED51">
        <v>2905</v>
      </c>
      <c r="EE51">
        <v>89.267015999999998</v>
      </c>
      <c r="EF51">
        <v>100</v>
      </c>
      <c r="EG51">
        <v>65.363128000000003</v>
      </c>
      <c r="EH51">
        <v>98.785522999999998</v>
      </c>
      <c r="EI51">
        <v>100.635752</v>
      </c>
      <c r="EJ51">
        <v>152.09424100000001</v>
      </c>
      <c r="EK51">
        <v>2387</v>
      </c>
      <c r="EL51">
        <v>2674</v>
      </c>
      <c r="EM51">
        <v>2691</v>
      </c>
      <c r="EN51">
        <v>4067</v>
      </c>
      <c r="EO51">
        <v>2674</v>
      </c>
      <c r="EP51">
        <v>4117</v>
      </c>
      <c r="EQ51">
        <v>55.877992999999996</v>
      </c>
    </row>
    <row r="52" spans="1:147" x14ac:dyDescent="0.25">
      <c r="A52">
        <v>2022</v>
      </c>
      <c r="B52" t="str">
        <f t="shared" si="0"/>
        <v>NE</v>
      </c>
      <c r="C52" t="s">
        <v>443</v>
      </c>
      <c r="D52" t="s">
        <v>443</v>
      </c>
      <c r="E52">
        <v>22474</v>
      </c>
      <c r="F52" t="s">
        <v>444</v>
      </c>
      <c r="G52" t="s">
        <v>445</v>
      </c>
      <c r="H52" t="s">
        <v>446</v>
      </c>
      <c r="I52">
        <v>16.760000000000002</v>
      </c>
      <c r="J52">
        <v>16.760000000000002</v>
      </c>
      <c r="K52" t="s">
        <v>173</v>
      </c>
      <c r="L52">
        <v>1</v>
      </c>
      <c r="M52">
        <v>2014</v>
      </c>
      <c r="N52">
        <v>2</v>
      </c>
      <c r="O52" t="str">
        <f t="shared" si="1"/>
        <v>Alto fuste</v>
      </c>
      <c r="P52" s="2">
        <v>41880</v>
      </c>
      <c r="Q52" t="s">
        <v>174</v>
      </c>
      <c r="R52" t="s">
        <v>427</v>
      </c>
      <c r="S52" t="s">
        <v>154</v>
      </c>
      <c r="T52" t="s">
        <v>175</v>
      </c>
      <c r="U52" t="s">
        <v>156</v>
      </c>
      <c r="V52" s="2">
        <v>44713</v>
      </c>
      <c r="W52" t="s">
        <v>447</v>
      </c>
      <c r="X52">
        <v>32.86</v>
      </c>
      <c r="Y52">
        <v>21</v>
      </c>
      <c r="Z52">
        <v>11</v>
      </c>
      <c r="AA52">
        <v>15.5</v>
      </c>
      <c r="AB52">
        <v>13</v>
      </c>
      <c r="AC52">
        <v>325.5</v>
      </c>
      <c r="AD52">
        <v>311.33038032869098</v>
      </c>
      <c r="AE52" s="2">
        <v>44713</v>
      </c>
      <c r="AF52">
        <v>94</v>
      </c>
      <c r="AG52">
        <v>7.7563312799452397</v>
      </c>
      <c r="AH52">
        <v>27.8144827873877</v>
      </c>
      <c r="AI52">
        <v>18.205714285714301</v>
      </c>
      <c r="AJ52">
        <v>30.3490819763296</v>
      </c>
      <c r="AK52">
        <v>35</v>
      </c>
      <c r="AL52">
        <v>1124.2076652798301</v>
      </c>
      <c r="AM52">
        <v>377.04072298313201</v>
      </c>
      <c r="AN52">
        <v>0.335383519102123</v>
      </c>
      <c r="AO52" t="s">
        <v>427</v>
      </c>
      <c r="AP52" t="s">
        <v>158</v>
      </c>
      <c r="AQ52" t="s">
        <v>294</v>
      </c>
      <c r="AR52">
        <v>9</v>
      </c>
      <c r="AS52">
        <v>1.011786898751849</v>
      </c>
      <c r="AT52" t="s">
        <v>448</v>
      </c>
      <c r="AU52" t="s">
        <v>449</v>
      </c>
      <c r="AV52">
        <v>6392</v>
      </c>
      <c r="AW52">
        <v>3284</v>
      </c>
      <c r="AX52">
        <v>2639</v>
      </c>
      <c r="AY52">
        <v>434</v>
      </c>
      <c r="AZ52">
        <v>35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-1.071</v>
      </c>
      <c r="BH52">
        <v>33.088000999999998</v>
      </c>
      <c r="BI52">
        <v>16.480125999999998</v>
      </c>
      <c r="BJ52">
        <v>1.3413E-2</v>
      </c>
      <c r="BK52">
        <v>14.095628</v>
      </c>
      <c r="BL52">
        <v>198.68673100000001</v>
      </c>
      <c r="BM52">
        <v>0.85531100000000004</v>
      </c>
      <c r="BN52">
        <v>29.785001000000001</v>
      </c>
      <c r="BO52">
        <v>-0.21987799999999999</v>
      </c>
      <c r="BP52">
        <v>1.1575789999999999</v>
      </c>
      <c r="BQ52">
        <v>13.604817000000001</v>
      </c>
      <c r="BR52">
        <v>7.8765000000000001</v>
      </c>
      <c r="BS52">
        <v>23.233087999999999</v>
      </c>
      <c r="BT52">
        <v>16.480125999999998</v>
      </c>
      <c r="BU52">
        <v>7.4981169999999997</v>
      </c>
      <c r="BV52">
        <v>-0.52654800000000002</v>
      </c>
      <c r="BW52">
        <v>-1.488356</v>
      </c>
      <c r="BX52">
        <v>0.45497900000000002</v>
      </c>
      <c r="BY52">
        <v>-7.0223999999999995E-2</v>
      </c>
      <c r="BZ52">
        <v>-0.19849700000000001</v>
      </c>
      <c r="CA52">
        <v>-0.437</v>
      </c>
      <c r="CB52">
        <v>-0.17845</v>
      </c>
      <c r="CC52">
        <v>-8.5999999999999993E-2</v>
      </c>
      <c r="CD52">
        <v>3.32E-2</v>
      </c>
      <c r="CE52">
        <v>8.2000000000000003E-2</v>
      </c>
      <c r="CF52">
        <v>0.14099999999999999</v>
      </c>
      <c r="CG52">
        <v>3.9619979999999999</v>
      </c>
      <c r="CH52">
        <v>23.246500000000001</v>
      </c>
      <c r="CI52">
        <v>28.627200999999999</v>
      </c>
      <c r="CJ52">
        <v>29.460799999999999</v>
      </c>
      <c r="CK52">
        <v>29.867000999999998</v>
      </c>
      <c r="CL52">
        <v>30.146598999999998</v>
      </c>
      <c r="CM52">
        <v>30.901700999999999</v>
      </c>
      <c r="CN52">
        <v>31.388451</v>
      </c>
      <c r="CO52">
        <v>32.411437999999997</v>
      </c>
      <c r="CP52">
        <v>0.51380700000000001</v>
      </c>
      <c r="CQ52">
        <v>21.685252999999999</v>
      </c>
      <c r="CR52">
        <v>23.917431000000001</v>
      </c>
      <c r="CS52">
        <v>1</v>
      </c>
      <c r="CT52">
        <v>80</v>
      </c>
      <c r="CU52">
        <v>21.142209000000001</v>
      </c>
      <c r="CV52">
        <v>4.7619049999999996</v>
      </c>
      <c r="CW52">
        <v>15.249871000000001</v>
      </c>
      <c r="CX52">
        <v>232.55855600000001</v>
      </c>
      <c r="CY52">
        <v>0.72130000000000005</v>
      </c>
      <c r="CZ52">
        <v>27</v>
      </c>
      <c r="DA52">
        <v>0.49513800000000002</v>
      </c>
      <c r="DB52">
        <v>2.3903789999999998</v>
      </c>
      <c r="DC52">
        <v>13.318765000000001</v>
      </c>
      <c r="DD52">
        <v>21.142209000000001</v>
      </c>
      <c r="DE52">
        <v>8.6133550000000003</v>
      </c>
      <c r="DF52">
        <v>1.0444100000000001</v>
      </c>
      <c r="DG52">
        <v>-2.7557000000000002E-2</v>
      </c>
      <c r="DH52">
        <v>0.40740100000000001</v>
      </c>
      <c r="DI52">
        <v>0.121255</v>
      </c>
      <c r="DJ52">
        <v>-3.199E-3</v>
      </c>
      <c r="DK52">
        <v>1</v>
      </c>
      <c r="DL52">
        <v>2</v>
      </c>
      <c r="DM52">
        <v>3</v>
      </c>
      <c r="DN52">
        <v>6</v>
      </c>
      <c r="DO52">
        <v>7</v>
      </c>
      <c r="DP52">
        <v>9</v>
      </c>
      <c r="DQ52">
        <v>13</v>
      </c>
      <c r="DR52">
        <v>19</v>
      </c>
      <c r="DS52">
        <v>26</v>
      </c>
      <c r="DT52">
        <v>32</v>
      </c>
      <c r="DU52">
        <v>34</v>
      </c>
      <c r="DV52">
        <v>36</v>
      </c>
      <c r="DW52">
        <v>41</v>
      </c>
      <c r="DX52">
        <v>46</v>
      </c>
      <c r="DY52">
        <v>60</v>
      </c>
      <c r="DZ52">
        <v>97.959805000000003</v>
      </c>
      <c r="EA52">
        <v>60.075094</v>
      </c>
      <c r="EB52">
        <v>116.930572</v>
      </c>
      <c r="EC52">
        <v>3217</v>
      </c>
      <c r="ED52">
        <v>3840</v>
      </c>
      <c r="EE52">
        <v>96.711327999999995</v>
      </c>
      <c r="EF52">
        <v>99.939098999999999</v>
      </c>
      <c r="EG52">
        <v>56.805382000000002</v>
      </c>
      <c r="EH52">
        <v>81.977472000000006</v>
      </c>
      <c r="EI52">
        <v>110.566382</v>
      </c>
      <c r="EJ52">
        <v>159.56151</v>
      </c>
      <c r="EK52">
        <v>3176</v>
      </c>
      <c r="EL52">
        <v>3282</v>
      </c>
      <c r="EM52">
        <v>3631</v>
      </c>
      <c r="EN52">
        <v>5240</v>
      </c>
      <c r="EO52">
        <v>3284</v>
      </c>
      <c r="EP52">
        <v>6392</v>
      </c>
      <c r="EQ52">
        <v>49.986823999999999</v>
      </c>
    </row>
    <row r="53" spans="1:147" x14ac:dyDescent="0.25">
      <c r="A53">
        <v>2022</v>
      </c>
      <c r="B53" t="str">
        <f t="shared" si="0"/>
        <v>NE</v>
      </c>
      <c r="C53" t="s">
        <v>450</v>
      </c>
      <c r="D53" t="s">
        <v>450</v>
      </c>
      <c r="E53">
        <v>22475</v>
      </c>
      <c r="F53" t="s">
        <v>444</v>
      </c>
      <c r="G53" t="s">
        <v>445</v>
      </c>
      <c r="H53" t="s">
        <v>446</v>
      </c>
      <c r="I53">
        <v>16.760000000000002</v>
      </c>
      <c r="J53">
        <v>16.760000000000002</v>
      </c>
      <c r="K53" t="s">
        <v>173</v>
      </c>
      <c r="L53">
        <v>1</v>
      </c>
      <c r="M53">
        <v>2014</v>
      </c>
      <c r="N53">
        <v>2</v>
      </c>
      <c r="O53" t="str">
        <f t="shared" si="1"/>
        <v>Alto fuste</v>
      </c>
      <c r="P53" s="2">
        <v>41880</v>
      </c>
      <c r="Q53" t="s">
        <v>174</v>
      </c>
      <c r="R53" t="s">
        <v>427</v>
      </c>
      <c r="S53" t="s">
        <v>154</v>
      </c>
      <c r="T53" t="s">
        <v>175</v>
      </c>
      <c r="U53" t="s">
        <v>156</v>
      </c>
      <c r="V53" s="2">
        <v>44713</v>
      </c>
      <c r="W53" t="s">
        <v>447</v>
      </c>
      <c r="X53">
        <v>32.86</v>
      </c>
      <c r="Y53">
        <v>20</v>
      </c>
      <c r="Z53">
        <v>18</v>
      </c>
      <c r="AA53">
        <v>15</v>
      </c>
      <c r="AB53">
        <v>2</v>
      </c>
      <c r="AC53">
        <v>300</v>
      </c>
      <c r="AD53">
        <v>285.143147508634</v>
      </c>
      <c r="AE53" s="2">
        <v>44713</v>
      </c>
      <c r="AF53">
        <v>94</v>
      </c>
      <c r="AG53">
        <v>7.7563312799452397</v>
      </c>
      <c r="AH53">
        <v>28.1975394339484</v>
      </c>
      <c r="AI53">
        <v>16.762499999999999</v>
      </c>
      <c r="AJ53">
        <v>32.637238602379398</v>
      </c>
      <c r="AK53">
        <v>40</v>
      </c>
      <c r="AL53">
        <v>1402.8041827233001</v>
      </c>
      <c r="AM53">
        <v>422.323630120117</v>
      </c>
      <c r="AN53">
        <v>0.30105672289930602</v>
      </c>
      <c r="AO53" t="s">
        <v>427</v>
      </c>
      <c r="AP53" t="s">
        <v>158</v>
      </c>
      <c r="AQ53" t="s">
        <v>294</v>
      </c>
      <c r="AR53">
        <v>9</v>
      </c>
      <c r="AS53">
        <v>1.2625237644509739</v>
      </c>
      <c r="AT53" t="s">
        <v>451</v>
      </c>
      <c r="AU53" t="s">
        <v>452</v>
      </c>
      <c r="AV53">
        <v>4283</v>
      </c>
      <c r="AW53">
        <v>2306</v>
      </c>
      <c r="AX53">
        <v>1778</v>
      </c>
      <c r="AY53">
        <v>195</v>
      </c>
      <c r="AZ53">
        <v>4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-0.72899999999999998</v>
      </c>
      <c r="BH53">
        <v>32.374001</v>
      </c>
      <c r="BI53">
        <v>16.36589</v>
      </c>
      <c r="BJ53">
        <v>-0.20355599999999999</v>
      </c>
      <c r="BK53">
        <v>14.31892</v>
      </c>
      <c r="BL53">
        <v>205.03146100000001</v>
      </c>
      <c r="BM53">
        <v>0.87492499999999995</v>
      </c>
      <c r="BN53">
        <v>30.080998999999998</v>
      </c>
      <c r="BO53">
        <v>-0.19729099999999999</v>
      </c>
      <c r="BP53">
        <v>1.1233770000000001</v>
      </c>
      <c r="BQ53">
        <v>13.905063</v>
      </c>
      <c r="BR53">
        <v>6.6989989999999997</v>
      </c>
      <c r="BS53">
        <v>24.702556999999999</v>
      </c>
      <c r="BT53">
        <v>16.36589</v>
      </c>
      <c r="BU53">
        <v>7.5529700000000002</v>
      </c>
      <c r="BV53">
        <v>-0.47720600000000002</v>
      </c>
      <c r="BW53">
        <v>-1.587712</v>
      </c>
      <c r="BX53">
        <v>0.461507</v>
      </c>
      <c r="BY53">
        <v>-6.3181000000000001E-2</v>
      </c>
      <c r="BZ53">
        <v>-0.21021000000000001</v>
      </c>
      <c r="CA53">
        <v>-0.38090000000000002</v>
      </c>
      <c r="CB53">
        <v>-0.18890000000000001</v>
      </c>
      <c r="CC53">
        <v>-8.7999999999999995E-2</v>
      </c>
      <c r="CD53">
        <v>1.7399999999999999E-2</v>
      </c>
      <c r="CE53">
        <v>6.6000000000000003E-2</v>
      </c>
      <c r="CF53">
        <v>0.115</v>
      </c>
      <c r="CG53">
        <v>0.37419999999999998</v>
      </c>
      <c r="CH53">
        <v>24.499001</v>
      </c>
      <c r="CI53">
        <v>28.7514</v>
      </c>
      <c r="CJ53">
        <v>29.752001</v>
      </c>
      <c r="CK53">
        <v>30.146999000000001</v>
      </c>
      <c r="CL53">
        <v>30.488001000000001</v>
      </c>
      <c r="CM53">
        <v>30.936800000000002</v>
      </c>
      <c r="CN53">
        <v>31.218800000000002</v>
      </c>
      <c r="CO53">
        <v>31.886178999999998</v>
      </c>
      <c r="CP53">
        <v>0.51641499999999996</v>
      </c>
      <c r="CQ53">
        <v>21.744561000000001</v>
      </c>
      <c r="CR53">
        <v>24.025784999999999</v>
      </c>
      <c r="CS53">
        <v>1</v>
      </c>
      <c r="CT53">
        <v>52</v>
      </c>
      <c r="CU53">
        <v>15.56339</v>
      </c>
      <c r="CV53">
        <v>2.6190479999999998</v>
      </c>
      <c r="CW53">
        <v>10.42192</v>
      </c>
      <c r="CX53">
        <v>108.616427</v>
      </c>
      <c r="CY53">
        <v>0.66964299999999999</v>
      </c>
      <c r="CZ53">
        <v>18</v>
      </c>
      <c r="DA53">
        <v>0.40586899999999998</v>
      </c>
      <c r="DB53">
        <v>2.2975159999999999</v>
      </c>
      <c r="DC53">
        <v>8.9975930000000002</v>
      </c>
      <c r="DD53">
        <v>15.56339</v>
      </c>
      <c r="DE53">
        <v>5.9268689999999999</v>
      </c>
      <c r="DF53">
        <v>0.56376199999999999</v>
      </c>
      <c r="DG53">
        <v>7.2289999999999993E-2</v>
      </c>
      <c r="DH53">
        <v>0.38082100000000002</v>
      </c>
      <c r="DI53">
        <v>9.5119999999999996E-2</v>
      </c>
      <c r="DJ53">
        <v>1.2197E-2</v>
      </c>
      <c r="DK53">
        <v>1</v>
      </c>
      <c r="DL53">
        <v>2</v>
      </c>
      <c r="DM53">
        <v>3</v>
      </c>
      <c r="DN53">
        <v>5</v>
      </c>
      <c r="DO53">
        <v>6</v>
      </c>
      <c r="DP53">
        <v>7</v>
      </c>
      <c r="DQ53">
        <v>11</v>
      </c>
      <c r="DR53">
        <v>15</v>
      </c>
      <c r="DS53">
        <v>19</v>
      </c>
      <c r="DT53">
        <v>22</v>
      </c>
      <c r="DU53">
        <v>24</v>
      </c>
      <c r="DV53">
        <v>25</v>
      </c>
      <c r="DW53">
        <v>29</v>
      </c>
      <c r="DX53">
        <v>33</v>
      </c>
      <c r="DY53">
        <v>41</v>
      </c>
      <c r="DZ53">
        <v>95.750217000000006</v>
      </c>
      <c r="EA53">
        <v>57.926687000000001</v>
      </c>
      <c r="EB53">
        <v>107.588899</v>
      </c>
      <c r="EC53">
        <v>2208</v>
      </c>
      <c r="ED53">
        <v>2481</v>
      </c>
      <c r="EE53">
        <v>95.273200000000003</v>
      </c>
      <c r="EF53">
        <v>100</v>
      </c>
      <c r="EG53">
        <v>55.988793000000001</v>
      </c>
      <c r="EH53">
        <v>95.470465000000004</v>
      </c>
      <c r="EI53">
        <v>103.989592</v>
      </c>
      <c r="EJ53">
        <v>177.32003499999999</v>
      </c>
      <c r="EK53">
        <v>2197</v>
      </c>
      <c r="EL53">
        <v>2306</v>
      </c>
      <c r="EM53">
        <v>2398</v>
      </c>
      <c r="EN53">
        <v>4089</v>
      </c>
      <c r="EO53">
        <v>2306</v>
      </c>
      <c r="EP53">
        <v>4283</v>
      </c>
      <c r="EQ53">
        <v>50.365606999999997</v>
      </c>
    </row>
    <row r="54" spans="1:147" x14ac:dyDescent="0.25">
      <c r="A54">
        <v>2022</v>
      </c>
      <c r="B54" t="str">
        <f t="shared" si="0"/>
        <v>NE</v>
      </c>
      <c r="C54" t="s">
        <v>453</v>
      </c>
      <c r="D54" t="s">
        <v>453</v>
      </c>
      <c r="E54">
        <v>22476</v>
      </c>
      <c r="F54" t="s">
        <v>444</v>
      </c>
      <c r="G54" t="s">
        <v>445</v>
      </c>
      <c r="H54" t="s">
        <v>454</v>
      </c>
      <c r="I54">
        <v>11.59</v>
      </c>
      <c r="J54">
        <v>11.59</v>
      </c>
      <c r="K54" t="s">
        <v>173</v>
      </c>
      <c r="L54">
        <v>1</v>
      </c>
      <c r="M54">
        <v>2014</v>
      </c>
      <c r="N54">
        <v>2</v>
      </c>
      <c r="O54" t="str">
        <f t="shared" si="1"/>
        <v>Alto fuste</v>
      </c>
      <c r="P54" s="2">
        <v>41905</v>
      </c>
      <c r="Q54" t="s">
        <v>174</v>
      </c>
      <c r="R54" t="s">
        <v>309</v>
      </c>
      <c r="S54" t="s">
        <v>154</v>
      </c>
      <c r="T54" t="s">
        <v>175</v>
      </c>
      <c r="U54" t="s">
        <v>156</v>
      </c>
      <c r="V54" s="2">
        <v>44713</v>
      </c>
      <c r="W54" t="s">
        <v>447</v>
      </c>
      <c r="X54">
        <v>32.86</v>
      </c>
      <c r="Y54">
        <v>20</v>
      </c>
      <c r="Z54">
        <v>17</v>
      </c>
      <c r="AA54">
        <v>15.4</v>
      </c>
      <c r="AB54">
        <v>10</v>
      </c>
      <c r="AC54">
        <v>308</v>
      </c>
      <c r="AD54">
        <v>290.06711207777198</v>
      </c>
      <c r="AE54" s="2">
        <v>44713</v>
      </c>
      <c r="AF54">
        <v>93</v>
      </c>
      <c r="AG54">
        <v>7.6878850102669398</v>
      </c>
      <c r="AH54">
        <v>30.823758729077099</v>
      </c>
      <c r="AI54">
        <v>17.4606060606061</v>
      </c>
      <c r="AJ54">
        <v>28.027299281961302</v>
      </c>
      <c r="AK54">
        <v>33</v>
      </c>
      <c r="AL54">
        <v>1137.66775432136</v>
      </c>
      <c r="AM54">
        <v>388.91758451339501</v>
      </c>
      <c r="AN54">
        <v>0.34185515326079802</v>
      </c>
      <c r="AO54" t="s">
        <v>309</v>
      </c>
      <c r="AP54" t="s">
        <v>158</v>
      </c>
      <c r="AQ54" t="s">
        <v>294</v>
      </c>
      <c r="AR54">
        <v>9</v>
      </c>
      <c r="AS54">
        <v>1.023900978889221</v>
      </c>
      <c r="AT54" t="s">
        <v>455</v>
      </c>
      <c r="AU54" t="s">
        <v>456</v>
      </c>
      <c r="AV54">
        <v>8100</v>
      </c>
      <c r="AW54">
        <v>5313</v>
      </c>
      <c r="AX54">
        <v>2491</v>
      </c>
      <c r="AY54">
        <v>287</v>
      </c>
      <c r="AZ54">
        <v>9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-1.347</v>
      </c>
      <c r="BH54">
        <v>36.002997999999998</v>
      </c>
      <c r="BI54">
        <v>19.613917000000001</v>
      </c>
      <c r="BJ54">
        <v>-0.16128600000000001</v>
      </c>
      <c r="BK54">
        <v>15.273425</v>
      </c>
      <c r="BL54">
        <v>233.27751900000001</v>
      </c>
      <c r="BM54">
        <v>0.77870300000000003</v>
      </c>
      <c r="BN54">
        <v>32.542999000000002</v>
      </c>
      <c r="BO54">
        <v>-0.41884100000000002</v>
      </c>
      <c r="BP54">
        <v>1.267795</v>
      </c>
      <c r="BQ54">
        <v>14.643046</v>
      </c>
      <c r="BR54">
        <v>4.0099980000000004</v>
      </c>
      <c r="BS54">
        <v>30.410285999999999</v>
      </c>
      <c r="BT54">
        <v>19.613917000000001</v>
      </c>
      <c r="BU54">
        <v>7.9943679999999997</v>
      </c>
      <c r="BV54">
        <v>-1.2711980000000001</v>
      </c>
      <c r="BW54">
        <v>-1.3157859999999999</v>
      </c>
      <c r="BX54">
        <v>0.40758699999999998</v>
      </c>
      <c r="BY54">
        <v>-0.15901199999999999</v>
      </c>
      <c r="BZ54">
        <v>-0.16458900000000001</v>
      </c>
      <c r="CA54">
        <v>-0.45706000000000002</v>
      </c>
      <c r="CB54">
        <v>-0.1741</v>
      </c>
      <c r="CC54">
        <v>-7.3999999999999996E-2</v>
      </c>
      <c r="CD54">
        <v>4.3999999999999997E-2</v>
      </c>
      <c r="CE54">
        <v>0.105</v>
      </c>
      <c r="CF54">
        <v>0.17499999999999999</v>
      </c>
      <c r="CG54">
        <v>18.435403999999998</v>
      </c>
      <c r="CH54">
        <v>30.249001</v>
      </c>
      <c r="CI54">
        <v>31.288799000000001</v>
      </c>
      <c r="CJ54">
        <v>32.195999</v>
      </c>
      <c r="CK54">
        <v>32.647998999999999</v>
      </c>
      <c r="CL54">
        <v>33.1036</v>
      </c>
      <c r="CM54">
        <v>34.017097</v>
      </c>
      <c r="CN54">
        <v>34.571097999999999</v>
      </c>
      <c r="CO54">
        <v>35.134028999999998</v>
      </c>
      <c r="CP54">
        <v>0.56120300000000001</v>
      </c>
      <c r="CQ54">
        <v>24.858688999999998</v>
      </c>
      <c r="CR54">
        <v>27.043462999999999</v>
      </c>
      <c r="CS54">
        <v>1</v>
      </c>
      <c r="CT54">
        <v>69</v>
      </c>
      <c r="CU54">
        <v>23.745432000000001</v>
      </c>
      <c r="CV54">
        <v>1</v>
      </c>
      <c r="CW54">
        <v>15.979124000000001</v>
      </c>
      <c r="CX54">
        <v>255.33239699999999</v>
      </c>
      <c r="CY54">
        <v>0.67293499999999995</v>
      </c>
      <c r="CZ54">
        <v>27</v>
      </c>
      <c r="DA54">
        <v>0.23907200000000001</v>
      </c>
      <c r="DB54">
        <v>2.0168620000000002</v>
      </c>
      <c r="DC54">
        <v>13.656682999999999</v>
      </c>
      <c r="DD54">
        <v>23.745432000000001</v>
      </c>
      <c r="DE54">
        <v>9.1642860000000006</v>
      </c>
      <c r="DF54">
        <v>0.56842800000000004</v>
      </c>
      <c r="DG54">
        <v>0.11656900000000001</v>
      </c>
      <c r="DH54">
        <v>0.38593899999999998</v>
      </c>
      <c r="DI54">
        <v>6.2025999999999998E-2</v>
      </c>
      <c r="DJ54">
        <v>1.272E-2</v>
      </c>
      <c r="DK54">
        <v>1</v>
      </c>
      <c r="DL54">
        <v>1</v>
      </c>
      <c r="DM54">
        <v>3</v>
      </c>
      <c r="DN54">
        <v>6</v>
      </c>
      <c r="DO54">
        <v>9</v>
      </c>
      <c r="DP54">
        <v>12</v>
      </c>
      <c r="DQ54">
        <v>18</v>
      </c>
      <c r="DR54">
        <v>24</v>
      </c>
      <c r="DS54">
        <v>29</v>
      </c>
      <c r="DT54">
        <v>33</v>
      </c>
      <c r="DU54">
        <v>36</v>
      </c>
      <c r="DV54">
        <v>39</v>
      </c>
      <c r="DW54">
        <v>46</v>
      </c>
      <c r="DX54">
        <v>51</v>
      </c>
      <c r="DY54">
        <v>58</v>
      </c>
      <c r="DZ54">
        <v>91.078486999999996</v>
      </c>
      <c r="EA54">
        <v>64.679012</v>
      </c>
      <c r="EB54">
        <v>98.607190000000003</v>
      </c>
      <c r="EC54">
        <v>4839</v>
      </c>
      <c r="ED54">
        <v>5239</v>
      </c>
      <c r="EE54">
        <v>87.972897000000003</v>
      </c>
      <c r="EF54">
        <v>100</v>
      </c>
      <c r="EG54">
        <v>59.728394999999999</v>
      </c>
      <c r="EH54">
        <v>94.629630000000006</v>
      </c>
      <c r="EI54">
        <v>91.059664999999995</v>
      </c>
      <c r="EJ54">
        <v>144.26877500000001</v>
      </c>
      <c r="EK54">
        <v>4674</v>
      </c>
      <c r="EL54">
        <v>5313</v>
      </c>
      <c r="EM54">
        <v>4838</v>
      </c>
      <c r="EN54">
        <v>7665</v>
      </c>
      <c r="EO54">
        <v>5313</v>
      </c>
      <c r="EP54">
        <v>8100</v>
      </c>
      <c r="EQ54">
        <v>54.856076999999999</v>
      </c>
    </row>
    <row r="55" spans="1:147" x14ac:dyDescent="0.25">
      <c r="A55">
        <v>2022</v>
      </c>
      <c r="B55" t="str">
        <f t="shared" si="0"/>
        <v>NE</v>
      </c>
      <c r="C55" t="s">
        <v>457</v>
      </c>
      <c r="D55" t="s">
        <v>457</v>
      </c>
      <c r="E55">
        <v>22829</v>
      </c>
      <c r="F55" t="s">
        <v>458</v>
      </c>
      <c r="G55" t="s">
        <v>459</v>
      </c>
      <c r="H55" t="s">
        <v>460</v>
      </c>
      <c r="I55">
        <v>6.54</v>
      </c>
      <c r="J55">
        <v>6.54</v>
      </c>
      <c r="K55" t="s">
        <v>461</v>
      </c>
      <c r="L55">
        <v>1</v>
      </c>
      <c r="M55">
        <v>2014</v>
      </c>
      <c r="N55">
        <v>2</v>
      </c>
      <c r="O55" t="str">
        <f t="shared" si="1"/>
        <v>Talhadia</v>
      </c>
      <c r="P55" s="2">
        <v>41817</v>
      </c>
      <c r="Q55" t="s">
        <v>322</v>
      </c>
      <c r="R55" t="s">
        <v>164</v>
      </c>
      <c r="S55" t="s">
        <v>154</v>
      </c>
      <c r="T55" t="s">
        <v>155</v>
      </c>
      <c r="U55" t="s">
        <v>156</v>
      </c>
      <c r="V55" s="2">
        <v>44720</v>
      </c>
      <c r="W55" t="s">
        <v>462</v>
      </c>
      <c r="X55">
        <v>224.46</v>
      </c>
      <c r="Y55">
        <v>18.8</v>
      </c>
      <c r="Z55">
        <v>10</v>
      </c>
      <c r="AA55">
        <v>16</v>
      </c>
      <c r="AB55">
        <v>10</v>
      </c>
      <c r="AC55">
        <v>300.8</v>
      </c>
      <c r="AD55">
        <v>291.72977016620098</v>
      </c>
      <c r="AE55" s="2">
        <v>44720</v>
      </c>
      <c r="AF55">
        <v>96</v>
      </c>
      <c r="AG55">
        <v>7.9479808350444898</v>
      </c>
      <c r="AH55">
        <v>25.2706810073649</v>
      </c>
      <c r="AI55">
        <v>15.456</v>
      </c>
      <c r="AJ55">
        <v>16.719439404505302</v>
      </c>
      <c r="AK55">
        <v>25</v>
      </c>
      <c r="AL55">
        <v>856.95745023750305</v>
      </c>
      <c r="AM55">
        <v>181.589058376114</v>
      </c>
      <c r="AN55">
        <v>0.211899737059042</v>
      </c>
      <c r="AO55" t="s">
        <v>164</v>
      </c>
      <c r="AP55" t="s">
        <v>264</v>
      </c>
      <c r="AQ55" t="s">
        <v>463</v>
      </c>
      <c r="AR55">
        <v>9.99</v>
      </c>
      <c r="AS55">
        <v>0.8561004927872643</v>
      </c>
      <c r="AT55" t="s">
        <v>464</v>
      </c>
      <c r="AU55" t="s">
        <v>465</v>
      </c>
      <c r="AV55">
        <v>3852</v>
      </c>
      <c r="AW55">
        <v>2008</v>
      </c>
      <c r="AX55">
        <v>1594</v>
      </c>
      <c r="AY55">
        <v>246</v>
      </c>
      <c r="AZ55">
        <v>4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-0.878</v>
      </c>
      <c r="BH55">
        <v>28.834</v>
      </c>
      <c r="BI55">
        <v>11.556881000000001</v>
      </c>
      <c r="BJ55">
        <v>-0.40638099999999999</v>
      </c>
      <c r="BK55">
        <v>11.986848</v>
      </c>
      <c r="BL55">
        <v>143.68451400000001</v>
      </c>
      <c r="BM55">
        <v>1.037204</v>
      </c>
      <c r="BN55">
        <v>25.371998999999999</v>
      </c>
      <c r="BO55">
        <v>0.240951</v>
      </c>
      <c r="BP55">
        <v>1.2257610000000001</v>
      </c>
      <c r="BQ55">
        <v>11.444929</v>
      </c>
      <c r="BR55">
        <v>7.2454999999999998</v>
      </c>
      <c r="BS55">
        <v>7.5198809999999998</v>
      </c>
      <c r="BT55">
        <v>11.556881000000001</v>
      </c>
      <c r="BU55">
        <v>6.4469589999999997</v>
      </c>
      <c r="BV55">
        <v>0.874803</v>
      </c>
      <c r="BW55">
        <v>-1.1519299999999999</v>
      </c>
      <c r="BX55">
        <v>0.55784599999999995</v>
      </c>
      <c r="BY55">
        <v>0.13569200000000001</v>
      </c>
      <c r="BZ55">
        <v>-0.178678</v>
      </c>
      <c r="CA55">
        <v>-0.35099999999999998</v>
      </c>
      <c r="CB55">
        <v>-0.17299999999999999</v>
      </c>
      <c r="CC55">
        <v>-8.3900000000000002E-2</v>
      </c>
      <c r="CD55">
        <v>1.2999999999999999E-2</v>
      </c>
      <c r="CE55">
        <v>0.06</v>
      </c>
      <c r="CF55">
        <v>0.1143</v>
      </c>
      <c r="CG55">
        <v>0.35</v>
      </c>
      <c r="CH55">
        <v>7.1135000000000002</v>
      </c>
      <c r="CI55">
        <v>18.441998999999999</v>
      </c>
      <c r="CJ55">
        <v>24.405598000000001</v>
      </c>
      <c r="CK55">
        <v>25.431999000000001</v>
      </c>
      <c r="CL55">
        <v>26.149000000000001</v>
      </c>
      <c r="CM55">
        <v>27.087399000000001</v>
      </c>
      <c r="CN55">
        <v>27.738001000000001</v>
      </c>
      <c r="CO55">
        <v>28.365998999999999</v>
      </c>
      <c r="CP55">
        <v>0.418514</v>
      </c>
      <c r="CQ55">
        <v>16.649585999999999</v>
      </c>
      <c r="CR55">
        <v>19.073378999999999</v>
      </c>
      <c r="CS55">
        <v>1</v>
      </c>
      <c r="CT55">
        <v>51</v>
      </c>
      <c r="CU55">
        <v>18.468847</v>
      </c>
      <c r="CV55">
        <v>1.7936510000000001</v>
      </c>
      <c r="CW55">
        <v>13.133388999999999</v>
      </c>
      <c r="CX55">
        <v>172.485916</v>
      </c>
      <c r="CY55">
        <v>0.71111000000000002</v>
      </c>
      <c r="CZ55">
        <v>24</v>
      </c>
      <c r="DA55">
        <v>0.391289</v>
      </c>
      <c r="DB55">
        <v>1.9435169999999999</v>
      </c>
      <c r="DC55">
        <v>11.468757999999999</v>
      </c>
      <c r="DD55">
        <v>18.468847</v>
      </c>
      <c r="DE55">
        <v>7.4888130000000004</v>
      </c>
      <c r="DF55">
        <v>0.873861</v>
      </c>
      <c r="DG55">
        <v>-5.4528E-2</v>
      </c>
      <c r="DH55">
        <v>0.40548400000000001</v>
      </c>
      <c r="DI55">
        <v>0.116689</v>
      </c>
      <c r="DJ55">
        <v>-7.2810000000000001E-3</v>
      </c>
      <c r="DK55">
        <v>1</v>
      </c>
      <c r="DL55">
        <v>2</v>
      </c>
      <c r="DM55">
        <v>3</v>
      </c>
      <c r="DN55">
        <v>5</v>
      </c>
      <c r="DO55">
        <v>6</v>
      </c>
      <c r="DP55">
        <v>8</v>
      </c>
      <c r="DQ55">
        <v>12</v>
      </c>
      <c r="DR55">
        <v>16</v>
      </c>
      <c r="DS55">
        <v>22</v>
      </c>
      <c r="DT55">
        <v>27</v>
      </c>
      <c r="DU55">
        <v>30</v>
      </c>
      <c r="DV55">
        <v>32</v>
      </c>
      <c r="DW55">
        <v>37</v>
      </c>
      <c r="DX55">
        <v>42</v>
      </c>
      <c r="DY55">
        <v>46</v>
      </c>
      <c r="DZ55">
        <v>81.772908000000001</v>
      </c>
      <c r="EA55">
        <v>50.882657999999999</v>
      </c>
      <c r="EB55">
        <v>97.609561999999997</v>
      </c>
      <c r="EC55">
        <v>1642</v>
      </c>
      <c r="ED55">
        <v>1960</v>
      </c>
      <c r="EE55">
        <v>78.685259000000002</v>
      </c>
      <c r="EF55">
        <v>100</v>
      </c>
      <c r="EG55">
        <v>46.728971999999999</v>
      </c>
      <c r="EH55">
        <v>99.376947000000001</v>
      </c>
      <c r="EI55">
        <v>89.641434000000004</v>
      </c>
      <c r="EJ55">
        <v>190.63745</v>
      </c>
      <c r="EK55">
        <v>1580</v>
      </c>
      <c r="EL55">
        <v>2008</v>
      </c>
      <c r="EM55">
        <v>1800</v>
      </c>
      <c r="EN55">
        <v>3828</v>
      </c>
      <c r="EO55">
        <v>2008</v>
      </c>
      <c r="EP55">
        <v>3852</v>
      </c>
      <c r="EQ55">
        <v>39.76482</v>
      </c>
    </row>
    <row r="56" spans="1:147" x14ac:dyDescent="0.25">
      <c r="A56">
        <v>2022</v>
      </c>
      <c r="B56" t="str">
        <f t="shared" si="0"/>
        <v>NE</v>
      </c>
      <c r="C56" t="s">
        <v>466</v>
      </c>
      <c r="D56" t="s">
        <v>466</v>
      </c>
      <c r="E56">
        <v>22877</v>
      </c>
      <c r="F56" t="s">
        <v>467</v>
      </c>
      <c r="G56" t="s">
        <v>468</v>
      </c>
      <c r="H56" t="s">
        <v>469</v>
      </c>
      <c r="I56">
        <v>33.1</v>
      </c>
      <c r="J56">
        <v>33.1</v>
      </c>
      <c r="K56" t="s">
        <v>151</v>
      </c>
      <c r="L56">
        <v>1</v>
      </c>
      <c r="M56">
        <v>2014</v>
      </c>
      <c r="N56">
        <v>3</v>
      </c>
      <c r="O56" t="str">
        <f t="shared" si="1"/>
        <v>Alto fuste</v>
      </c>
      <c r="P56" s="2">
        <v>41828</v>
      </c>
      <c r="Q56" t="s">
        <v>174</v>
      </c>
      <c r="R56" t="s">
        <v>470</v>
      </c>
      <c r="S56" t="s">
        <v>154</v>
      </c>
      <c r="T56" t="s">
        <v>155</v>
      </c>
      <c r="U56" t="s">
        <v>156</v>
      </c>
      <c r="V56" s="2">
        <v>44818</v>
      </c>
      <c r="W56" t="s">
        <v>471</v>
      </c>
      <c r="X56">
        <v>44.29</v>
      </c>
      <c r="Y56">
        <v>20.6</v>
      </c>
      <c r="Z56">
        <v>28</v>
      </c>
      <c r="AA56">
        <v>15</v>
      </c>
      <c r="AB56">
        <v>0</v>
      </c>
      <c r="AC56">
        <v>309</v>
      </c>
      <c r="AD56">
        <v>272.83080619340802</v>
      </c>
      <c r="AE56" s="2">
        <v>44818</v>
      </c>
      <c r="AF56">
        <v>98</v>
      </c>
      <c r="AG56">
        <v>8.1861738535249806</v>
      </c>
      <c r="AH56">
        <v>27.3466226603637</v>
      </c>
      <c r="AI56">
        <v>17.3266666666667</v>
      </c>
      <c r="AJ56">
        <v>27.0490754277223</v>
      </c>
      <c r="AK56">
        <v>30</v>
      </c>
      <c r="AL56">
        <v>1099.5825734845</v>
      </c>
      <c r="AM56">
        <v>330.86741021335899</v>
      </c>
      <c r="AN56">
        <v>0.30090274090545399</v>
      </c>
      <c r="AO56" t="s">
        <v>470</v>
      </c>
      <c r="AP56" t="s">
        <v>158</v>
      </c>
      <c r="AQ56" t="s">
        <v>472</v>
      </c>
      <c r="AR56">
        <v>9</v>
      </c>
      <c r="AS56">
        <v>0.98962431613605506</v>
      </c>
      <c r="AT56" t="s">
        <v>473</v>
      </c>
      <c r="AU56" t="s">
        <v>474</v>
      </c>
      <c r="AV56">
        <v>2321</v>
      </c>
      <c r="AW56">
        <v>1223</v>
      </c>
      <c r="AX56">
        <v>856</v>
      </c>
      <c r="AY56">
        <v>226</v>
      </c>
      <c r="AZ56">
        <v>16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-0.91400000000000003</v>
      </c>
      <c r="BH56">
        <v>34.932999000000002</v>
      </c>
      <c r="BI56">
        <v>18.578506000000001</v>
      </c>
      <c r="BJ56">
        <v>-0.34499999999999997</v>
      </c>
      <c r="BK56">
        <v>13.843695</v>
      </c>
      <c r="BL56">
        <v>191.647886</v>
      </c>
      <c r="BM56">
        <v>0.74514599999999998</v>
      </c>
      <c r="BN56">
        <v>31.110001</v>
      </c>
      <c r="BO56">
        <v>-0.427649</v>
      </c>
      <c r="BP56">
        <v>1.409351</v>
      </c>
      <c r="BQ56">
        <v>12.607920999999999</v>
      </c>
      <c r="BR56">
        <v>8.1150000000000002</v>
      </c>
      <c r="BS56">
        <v>24.109998999999998</v>
      </c>
      <c r="BT56">
        <v>18.578506000000001</v>
      </c>
      <c r="BU56">
        <v>7.4664169999999999</v>
      </c>
      <c r="BV56">
        <v>-1.106897</v>
      </c>
      <c r="BW56">
        <v>-1.107172</v>
      </c>
      <c r="BX56">
        <v>0.40188499999999999</v>
      </c>
      <c r="BY56">
        <v>-0.14824999999999999</v>
      </c>
      <c r="BZ56">
        <v>-0.148287</v>
      </c>
      <c r="CA56">
        <v>-0.38900000000000001</v>
      </c>
      <c r="CB56">
        <v>-0.16300000000000001</v>
      </c>
      <c r="CC56">
        <v>-6.4000000000000001E-2</v>
      </c>
      <c r="CD56">
        <v>7.2999999999999995E-2</v>
      </c>
      <c r="CE56">
        <v>0.16300000000000001</v>
      </c>
      <c r="CF56">
        <v>0.311</v>
      </c>
      <c r="CG56">
        <v>18.853000999999999</v>
      </c>
      <c r="CH56">
        <v>23.764999</v>
      </c>
      <c r="CI56">
        <v>29.952998999999998</v>
      </c>
      <c r="CJ56">
        <v>30.917998999999998</v>
      </c>
      <c r="CK56">
        <v>31.273001000000001</v>
      </c>
      <c r="CL56">
        <v>31.568999999999999</v>
      </c>
      <c r="CM56">
        <v>32.205002</v>
      </c>
      <c r="CN56">
        <v>32.591999000000001</v>
      </c>
      <c r="CO56">
        <v>33.534405</v>
      </c>
      <c r="CP56">
        <v>0.54376999999999998</v>
      </c>
      <c r="CQ56">
        <v>23.167352000000001</v>
      </c>
      <c r="CR56">
        <v>25.175006</v>
      </c>
      <c r="CS56">
        <v>1</v>
      </c>
      <c r="CT56">
        <v>42</v>
      </c>
      <c r="CU56">
        <v>13.376131000000001</v>
      </c>
      <c r="CV56">
        <v>1</v>
      </c>
      <c r="CW56">
        <v>9.2283449999999991</v>
      </c>
      <c r="CX56">
        <v>85.162344000000004</v>
      </c>
      <c r="CY56">
        <v>0.68991100000000005</v>
      </c>
      <c r="CZ56">
        <v>16</v>
      </c>
      <c r="DA56">
        <v>0.38815</v>
      </c>
      <c r="DB56">
        <v>2.1049030000000002</v>
      </c>
      <c r="DC56">
        <v>8.0124110000000002</v>
      </c>
      <c r="DD56">
        <v>13.376131000000001</v>
      </c>
      <c r="DE56">
        <v>5.259137</v>
      </c>
      <c r="DF56">
        <v>0.54327000000000003</v>
      </c>
      <c r="DG56">
        <v>-1.632E-3</v>
      </c>
      <c r="DH56">
        <v>0.39317299999999999</v>
      </c>
      <c r="DI56">
        <v>0.1033</v>
      </c>
      <c r="DJ56">
        <v>-3.1E-4</v>
      </c>
      <c r="DK56">
        <v>1</v>
      </c>
      <c r="DL56">
        <v>1</v>
      </c>
      <c r="DM56">
        <v>2</v>
      </c>
      <c r="DN56">
        <v>4</v>
      </c>
      <c r="DO56">
        <v>5</v>
      </c>
      <c r="DP56">
        <v>6</v>
      </c>
      <c r="DQ56">
        <v>9</v>
      </c>
      <c r="DR56">
        <v>12</v>
      </c>
      <c r="DS56">
        <v>16</v>
      </c>
      <c r="DT56">
        <v>20</v>
      </c>
      <c r="DU56">
        <v>21</v>
      </c>
      <c r="DV56">
        <v>23</v>
      </c>
      <c r="DW56">
        <v>26</v>
      </c>
      <c r="DX56">
        <v>29</v>
      </c>
      <c r="DY56">
        <v>34.800049000000001</v>
      </c>
      <c r="DZ56">
        <v>97.138184999999993</v>
      </c>
      <c r="EA56">
        <v>67.126238999999998</v>
      </c>
      <c r="EB56">
        <v>127.39166</v>
      </c>
      <c r="EC56">
        <v>1188</v>
      </c>
      <c r="ED56">
        <v>1558</v>
      </c>
      <c r="EE56">
        <v>94.848732999999996</v>
      </c>
      <c r="EF56">
        <v>100</v>
      </c>
      <c r="EG56">
        <v>60.965100999999997</v>
      </c>
      <c r="EH56">
        <v>98.578198999999998</v>
      </c>
      <c r="EI56">
        <v>115.699101</v>
      </c>
      <c r="EJ56">
        <v>187.08094800000001</v>
      </c>
      <c r="EK56">
        <v>1160</v>
      </c>
      <c r="EL56">
        <v>1223</v>
      </c>
      <c r="EM56">
        <v>1415</v>
      </c>
      <c r="EN56">
        <v>2288</v>
      </c>
      <c r="EO56">
        <v>1223</v>
      </c>
      <c r="EP56">
        <v>2321</v>
      </c>
      <c r="EQ56">
        <v>54.473094000000003</v>
      </c>
    </row>
    <row r="57" spans="1:147" x14ac:dyDescent="0.25">
      <c r="A57">
        <v>2022</v>
      </c>
      <c r="B57" t="str">
        <f t="shared" si="0"/>
        <v>NE</v>
      </c>
      <c r="C57" t="s">
        <v>475</v>
      </c>
      <c r="D57" t="s">
        <v>475</v>
      </c>
      <c r="E57">
        <v>22878</v>
      </c>
      <c r="F57" t="s">
        <v>467</v>
      </c>
      <c r="G57" t="s">
        <v>468</v>
      </c>
      <c r="H57" t="s">
        <v>469</v>
      </c>
      <c r="I57">
        <v>33.1</v>
      </c>
      <c r="J57">
        <v>33.1</v>
      </c>
      <c r="K57" t="s">
        <v>151</v>
      </c>
      <c r="L57">
        <v>1</v>
      </c>
      <c r="M57">
        <v>2014</v>
      </c>
      <c r="N57">
        <v>3</v>
      </c>
      <c r="O57" t="str">
        <f t="shared" si="1"/>
        <v>Alto fuste</v>
      </c>
      <c r="P57" s="2">
        <v>41828</v>
      </c>
      <c r="Q57" t="s">
        <v>174</v>
      </c>
      <c r="R57" t="s">
        <v>470</v>
      </c>
      <c r="S57" t="s">
        <v>154</v>
      </c>
      <c r="T57" t="s">
        <v>155</v>
      </c>
      <c r="U57" t="s">
        <v>156</v>
      </c>
      <c r="V57" s="2">
        <v>44818</v>
      </c>
      <c r="W57" t="s">
        <v>471</v>
      </c>
      <c r="X57">
        <v>44.29</v>
      </c>
      <c r="Y57">
        <v>20.5</v>
      </c>
      <c r="Z57">
        <v>8</v>
      </c>
      <c r="AA57">
        <v>14.7</v>
      </c>
      <c r="AB57">
        <v>0</v>
      </c>
      <c r="AC57">
        <v>301.35000000000002</v>
      </c>
      <c r="AD57">
        <v>298.41728251527201</v>
      </c>
      <c r="AE57" s="2">
        <v>44818</v>
      </c>
      <c r="AF57">
        <v>98</v>
      </c>
      <c r="AG57">
        <v>8.1861738535249806</v>
      </c>
      <c r="AH57">
        <v>29.660394126293401</v>
      </c>
      <c r="AI57">
        <v>19.2862068965517</v>
      </c>
      <c r="AJ57">
        <v>29.543078057722798</v>
      </c>
      <c r="AK57">
        <v>29</v>
      </c>
      <c r="AL57">
        <v>971.79358231424999</v>
      </c>
      <c r="AM57">
        <v>387.81440228316302</v>
      </c>
      <c r="AN57">
        <v>0.39907075879181397</v>
      </c>
      <c r="AO57" t="s">
        <v>470</v>
      </c>
      <c r="AP57" t="s">
        <v>158</v>
      </c>
      <c r="AQ57" t="s">
        <v>472</v>
      </c>
      <c r="AR57">
        <v>9</v>
      </c>
      <c r="AS57">
        <v>0.87461422408282552</v>
      </c>
      <c r="AT57" t="s">
        <v>476</v>
      </c>
      <c r="AU57" t="s">
        <v>477</v>
      </c>
      <c r="AV57">
        <v>5439</v>
      </c>
      <c r="AW57">
        <v>2951</v>
      </c>
      <c r="AX57">
        <v>2137</v>
      </c>
      <c r="AY57">
        <v>329</v>
      </c>
      <c r="AZ57">
        <v>22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-1.002</v>
      </c>
      <c r="BH57">
        <v>34.945999</v>
      </c>
      <c r="BI57">
        <v>17.990957999999999</v>
      </c>
      <c r="BJ57">
        <v>-0.43139699999999997</v>
      </c>
      <c r="BK57">
        <v>15.017979</v>
      </c>
      <c r="BL57">
        <v>225.53969799999999</v>
      </c>
      <c r="BM57">
        <v>0.83475200000000005</v>
      </c>
      <c r="BN57">
        <v>31.650001</v>
      </c>
      <c r="BO57">
        <v>-0.267627</v>
      </c>
      <c r="BP57">
        <v>1.169815</v>
      </c>
      <c r="BQ57">
        <v>14.481999999999999</v>
      </c>
      <c r="BR57">
        <v>4.6570010000000002</v>
      </c>
      <c r="BS57">
        <v>29.391396</v>
      </c>
      <c r="BT57">
        <v>17.990957999999999</v>
      </c>
      <c r="BU57">
        <v>7.9369110000000003</v>
      </c>
      <c r="BV57">
        <v>-0.78600599999999998</v>
      </c>
      <c r="BW57">
        <v>-1.5453870000000001</v>
      </c>
      <c r="BX57">
        <v>0.44116100000000003</v>
      </c>
      <c r="BY57">
        <v>-9.9031999999999995E-2</v>
      </c>
      <c r="BZ57">
        <v>-0.19470899999999999</v>
      </c>
      <c r="CA57">
        <v>-0.44262000000000001</v>
      </c>
      <c r="CB57">
        <v>-0.188</v>
      </c>
      <c r="CC57">
        <v>-9.0999999999999998E-2</v>
      </c>
      <c r="CD57">
        <v>3.4000000000000002E-2</v>
      </c>
      <c r="CE57">
        <v>8.5000000000000006E-2</v>
      </c>
      <c r="CF57">
        <v>0.151</v>
      </c>
      <c r="CG57">
        <v>8.9967989999999993</v>
      </c>
      <c r="CH57">
        <v>28.959999</v>
      </c>
      <c r="CI57">
        <v>30.593800000000002</v>
      </c>
      <c r="CJ57">
        <v>31.442399999999999</v>
      </c>
      <c r="CK57">
        <v>31.735001</v>
      </c>
      <c r="CL57">
        <v>32.087401999999997</v>
      </c>
      <c r="CM57">
        <v>32.817000999999998</v>
      </c>
      <c r="CN57">
        <v>33.362301000000002</v>
      </c>
      <c r="CO57">
        <v>34.255099999999999</v>
      </c>
      <c r="CP57">
        <v>0.52834499999999995</v>
      </c>
      <c r="CQ57">
        <v>23.434436000000002</v>
      </c>
      <c r="CR57">
        <v>25.756936</v>
      </c>
      <c r="CS57">
        <v>1</v>
      </c>
      <c r="CT57">
        <v>63</v>
      </c>
      <c r="CU57">
        <v>15.760617999999999</v>
      </c>
      <c r="CV57">
        <v>1</v>
      </c>
      <c r="CW57">
        <v>10.926736999999999</v>
      </c>
      <c r="CX57">
        <v>119.393587</v>
      </c>
      <c r="CY57">
        <v>0.69329399999999997</v>
      </c>
      <c r="CZ57">
        <v>17</v>
      </c>
      <c r="DA57">
        <v>0.49310300000000001</v>
      </c>
      <c r="DB57">
        <v>2.5702289999999999</v>
      </c>
      <c r="DC57">
        <v>9.2095099999999999</v>
      </c>
      <c r="DD57">
        <v>15.760617999999999</v>
      </c>
      <c r="DE57">
        <v>6.1899119999999996</v>
      </c>
      <c r="DF57">
        <v>0.66846799999999995</v>
      </c>
      <c r="DG57">
        <v>0.21754200000000001</v>
      </c>
      <c r="DH57">
        <v>0.39274599999999998</v>
      </c>
      <c r="DI57">
        <v>0.10799300000000001</v>
      </c>
      <c r="DJ57">
        <v>3.5145000000000003E-2</v>
      </c>
      <c r="DK57">
        <v>1</v>
      </c>
      <c r="DL57">
        <v>1</v>
      </c>
      <c r="DM57">
        <v>2</v>
      </c>
      <c r="DN57">
        <v>4</v>
      </c>
      <c r="DO57">
        <v>6</v>
      </c>
      <c r="DP57">
        <v>7</v>
      </c>
      <c r="DQ57">
        <v>11</v>
      </c>
      <c r="DR57">
        <v>15</v>
      </c>
      <c r="DS57">
        <v>19</v>
      </c>
      <c r="DT57">
        <v>22</v>
      </c>
      <c r="DU57">
        <v>23</v>
      </c>
      <c r="DV57">
        <v>25</v>
      </c>
      <c r="DW57">
        <v>31</v>
      </c>
      <c r="DX57">
        <v>35</v>
      </c>
      <c r="DY57">
        <v>43</v>
      </c>
      <c r="DZ57">
        <v>97.390715</v>
      </c>
      <c r="EA57">
        <v>61.647362000000001</v>
      </c>
      <c r="EB57">
        <v>113.622501</v>
      </c>
      <c r="EC57">
        <v>2874</v>
      </c>
      <c r="ED57">
        <v>3353</v>
      </c>
      <c r="EE57">
        <v>95.798034999999999</v>
      </c>
      <c r="EF57">
        <v>100</v>
      </c>
      <c r="EG57">
        <v>55.874242000000002</v>
      </c>
      <c r="EH57">
        <v>98.860084999999998</v>
      </c>
      <c r="EI57">
        <v>102.98204</v>
      </c>
      <c r="EJ57">
        <v>182.20942099999999</v>
      </c>
      <c r="EK57">
        <v>2827</v>
      </c>
      <c r="EL57">
        <v>2951</v>
      </c>
      <c r="EM57">
        <v>3039</v>
      </c>
      <c r="EN57">
        <v>5377</v>
      </c>
      <c r="EO57">
        <v>2951</v>
      </c>
      <c r="EP57">
        <v>5439</v>
      </c>
      <c r="EQ57">
        <v>51.568392000000003</v>
      </c>
    </row>
    <row r="58" spans="1:147" x14ac:dyDescent="0.25">
      <c r="A58">
        <v>2022</v>
      </c>
      <c r="B58" t="str">
        <f t="shared" si="0"/>
        <v>NE</v>
      </c>
      <c r="C58" t="s">
        <v>478</v>
      </c>
      <c r="D58" t="s">
        <v>478</v>
      </c>
      <c r="E58">
        <v>22879</v>
      </c>
      <c r="F58" t="s">
        <v>467</v>
      </c>
      <c r="G58" t="s">
        <v>468</v>
      </c>
      <c r="H58" t="s">
        <v>479</v>
      </c>
      <c r="I58">
        <v>11.19</v>
      </c>
      <c r="J58">
        <v>11.19</v>
      </c>
      <c r="K58" t="s">
        <v>151</v>
      </c>
      <c r="L58">
        <v>1</v>
      </c>
      <c r="M58">
        <v>2014</v>
      </c>
      <c r="N58">
        <v>3</v>
      </c>
      <c r="O58" t="str">
        <f t="shared" si="1"/>
        <v>Alto fuste</v>
      </c>
      <c r="P58" s="2">
        <v>41824</v>
      </c>
      <c r="Q58" t="s">
        <v>174</v>
      </c>
      <c r="R58" t="s">
        <v>164</v>
      </c>
      <c r="S58" t="s">
        <v>154</v>
      </c>
      <c r="T58" t="s">
        <v>155</v>
      </c>
      <c r="U58" t="s">
        <v>156</v>
      </c>
      <c r="V58" s="2">
        <v>44818</v>
      </c>
      <c r="W58" t="s">
        <v>471</v>
      </c>
      <c r="X58">
        <v>44.29</v>
      </c>
      <c r="Y58">
        <v>20.8</v>
      </c>
      <c r="Z58">
        <v>19</v>
      </c>
      <c r="AA58">
        <v>15.7</v>
      </c>
      <c r="AB58">
        <v>0</v>
      </c>
      <c r="AC58">
        <v>326.56</v>
      </c>
      <c r="AD58">
        <v>308.76854604771302</v>
      </c>
      <c r="AE58" s="2">
        <v>44818</v>
      </c>
      <c r="AF58">
        <v>98</v>
      </c>
      <c r="AG58">
        <v>8.1971252566735107</v>
      </c>
      <c r="AH58">
        <v>26.869138378864299</v>
      </c>
      <c r="AI58">
        <v>17.587096774193601</v>
      </c>
      <c r="AJ58">
        <v>24.813682762442799</v>
      </c>
      <c r="AK58">
        <v>31</v>
      </c>
      <c r="AL58">
        <v>1003.98827525682</v>
      </c>
      <c r="AM58">
        <v>288.93179214294798</v>
      </c>
      <c r="AN58">
        <v>0.28778403021593002</v>
      </c>
      <c r="AO58" t="s">
        <v>164</v>
      </c>
      <c r="AP58" t="s">
        <v>158</v>
      </c>
      <c r="AQ58" t="s">
        <v>472</v>
      </c>
      <c r="AR58">
        <v>9</v>
      </c>
      <c r="AS58">
        <v>0.90358944773113981</v>
      </c>
      <c r="AT58" t="s">
        <v>480</v>
      </c>
      <c r="AU58" t="s">
        <v>481</v>
      </c>
      <c r="AV58">
        <v>5526</v>
      </c>
      <c r="AW58">
        <v>2966</v>
      </c>
      <c r="AX58">
        <v>2227</v>
      </c>
      <c r="AY58">
        <v>324</v>
      </c>
      <c r="AZ58">
        <v>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-1.1379999999999999</v>
      </c>
      <c r="BH58">
        <v>32.279998999999997</v>
      </c>
      <c r="BI58">
        <v>14.817473</v>
      </c>
      <c r="BJ58">
        <v>-7.7110999999999999E-2</v>
      </c>
      <c r="BK58">
        <v>13.88444</v>
      </c>
      <c r="BL58">
        <v>192.77766600000001</v>
      </c>
      <c r="BM58">
        <v>0.93703199999999998</v>
      </c>
      <c r="BN58">
        <v>29.209001000000001</v>
      </c>
      <c r="BO58">
        <v>-3.9602999999999999E-2</v>
      </c>
      <c r="BP58">
        <v>1.117885</v>
      </c>
      <c r="BQ58">
        <v>13.497263999999999</v>
      </c>
      <c r="BR58">
        <v>11.492001</v>
      </c>
      <c r="BS58">
        <v>19.591609999999999</v>
      </c>
      <c r="BT58">
        <v>14.817473</v>
      </c>
      <c r="BU58">
        <v>7.4232699999999996</v>
      </c>
      <c r="BV58">
        <v>0.13594600000000001</v>
      </c>
      <c r="BW58">
        <v>-1.5302519999999999</v>
      </c>
      <c r="BX58">
        <v>0.50098100000000001</v>
      </c>
      <c r="BY58">
        <v>1.8314E-2</v>
      </c>
      <c r="BZ58">
        <v>-0.20614299999999999</v>
      </c>
      <c r="CA58">
        <v>-0.39900000000000002</v>
      </c>
      <c r="CB58">
        <v>-0.20399999999999999</v>
      </c>
      <c r="CC58">
        <v>-0.11</v>
      </c>
      <c r="CD58">
        <v>-1E-3</v>
      </c>
      <c r="CE58">
        <v>4.2999999999999997E-2</v>
      </c>
      <c r="CF58">
        <v>9.1999999999999998E-2</v>
      </c>
      <c r="CG58">
        <v>0.23200000000000001</v>
      </c>
      <c r="CH58">
        <v>19.514500000000002</v>
      </c>
      <c r="CI58">
        <v>26.305</v>
      </c>
      <c r="CJ58">
        <v>28.758499</v>
      </c>
      <c r="CK58">
        <v>29.252001</v>
      </c>
      <c r="CL58">
        <v>29.677</v>
      </c>
      <c r="CM58">
        <v>30.464001</v>
      </c>
      <c r="CN58">
        <v>30.90325</v>
      </c>
      <c r="CO58">
        <v>31.734499</v>
      </c>
      <c r="CP58">
        <v>0.47745100000000001</v>
      </c>
      <c r="CQ58">
        <v>20.305178999999999</v>
      </c>
      <c r="CR58">
        <v>22.711697999999998</v>
      </c>
      <c r="CS58">
        <v>1</v>
      </c>
      <c r="CT58">
        <v>43</v>
      </c>
      <c r="CU58">
        <v>12.575279999999999</v>
      </c>
      <c r="CV58">
        <v>1</v>
      </c>
      <c r="CW58">
        <v>8.8049569999999999</v>
      </c>
      <c r="CX58">
        <v>77.527272999999994</v>
      </c>
      <c r="CY58">
        <v>0.70018000000000002</v>
      </c>
      <c r="CZ58">
        <v>13</v>
      </c>
      <c r="DA58">
        <v>0.71321800000000002</v>
      </c>
      <c r="DB58">
        <v>2.8801540000000001</v>
      </c>
      <c r="DC58">
        <v>7.250642</v>
      </c>
      <c r="DD58">
        <v>12.575279999999999</v>
      </c>
      <c r="DE58">
        <v>4.9260710000000003</v>
      </c>
      <c r="DF58">
        <v>0.78845299999999996</v>
      </c>
      <c r="DG58">
        <v>0.33585100000000001</v>
      </c>
      <c r="DH58">
        <v>0.39172699999999999</v>
      </c>
      <c r="DI58">
        <v>0.160057</v>
      </c>
      <c r="DJ58">
        <v>6.8178000000000002E-2</v>
      </c>
      <c r="DK58">
        <v>1</v>
      </c>
      <c r="DL58">
        <v>1</v>
      </c>
      <c r="DM58">
        <v>2</v>
      </c>
      <c r="DN58">
        <v>4</v>
      </c>
      <c r="DO58">
        <v>5</v>
      </c>
      <c r="DP58">
        <v>6</v>
      </c>
      <c r="DQ58">
        <v>9</v>
      </c>
      <c r="DR58">
        <v>11</v>
      </c>
      <c r="DS58">
        <v>14</v>
      </c>
      <c r="DT58">
        <v>17</v>
      </c>
      <c r="DU58">
        <v>18</v>
      </c>
      <c r="DV58">
        <v>20</v>
      </c>
      <c r="DW58">
        <v>25</v>
      </c>
      <c r="DX58">
        <v>29.75</v>
      </c>
      <c r="DY58">
        <v>36</v>
      </c>
      <c r="DZ58">
        <v>86.850977999999998</v>
      </c>
      <c r="EA58">
        <v>55.229823000000003</v>
      </c>
      <c r="EB58">
        <v>102.899528</v>
      </c>
      <c r="EC58">
        <v>2576</v>
      </c>
      <c r="ED58">
        <v>3052</v>
      </c>
      <c r="EE58">
        <v>85.333782999999997</v>
      </c>
      <c r="EF58">
        <v>99.831423000000001</v>
      </c>
      <c r="EG58">
        <v>52.913499999999999</v>
      </c>
      <c r="EH58">
        <v>87.350706000000002</v>
      </c>
      <c r="EI58">
        <v>98.583950999999999</v>
      </c>
      <c r="EJ58">
        <v>162.744437</v>
      </c>
      <c r="EK58">
        <v>2531</v>
      </c>
      <c r="EL58">
        <v>2961</v>
      </c>
      <c r="EM58">
        <v>2924</v>
      </c>
      <c r="EN58">
        <v>4827</v>
      </c>
      <c r="EO58">
        <v>2966</v>
      </c>
      <c r="EP58">
        <v>5526</v>
      </c>
      <c r="EQ58">
        <v>45.824174999999997</v>
      </c>
    </row>
    <row r="59" spans="1:147" x14ac:dyDescent="0.25">
      <c r="A59">
        <v>2022</v>
      </c>
      <c r="B59" t="str">
        <f t="shared" si="0"/>
        <v>NE</v>
      </c>
      <c r="C59" t="s">
        <v>482</v>
      </c>
      <c r="D59" t="s">
        <v>482</v>
      </c>
      <c r="E59">
        <v>22886</v>
      </c>
      <c r="F59" t="s">
        <v>483</v>
      </c>
      <c r="G59" t="s">
        <v>151</v>
      </c>
      <c r="H59" t="s">
        <v>484</v>
      </c>
      <c r="I59">
        <v>21.15</v>
      </c>
      <c r="J59">
        <v>21.15</v>
      </c>
      <c r="K59" t="s">
        <v>151</v>
      </c>
      <c r="L59">
        <v>1</v>
      </c>
      <c r="M59">
        <v>2014</v>
      </c>
      <c r="N59">
        <v>2</v>
      </c>
      <c r="O59" t="str">
        <f t="shared" si="1"/>
        <v>Talhadia</v>
      </c>
      <c r="P59" s="2">
        <v>41907</v>
      </c>
      <c r="Q59" t="s">
        <v>322</v>
      </c>
      <c r="R59" t="s">
        <v>153</v>
      </c>
      <c r="S59" t="s">
        <v>154</v>
      </c>
      <c r="T59" t="s">
        <v>155</v>
      </c>
      <c r="U59" t="s">
        <v>156</v>
      </c>
      <c r="V59" s="2">
        <v>44818</v>
      </c>
      <c r="W59" t="s">
        <v>485</v>
      </c>
      <c r="X59">
        <v>70.510000000000005</v>
      </c>
      <c r="Y59">
        <v>19.899999999999999</v>
      </c>
      <c r="Z59">
        <v>9</v>
      </c>
      <c r="AA59">
        <v>14.2</v>
      </c>
      <c r="AB59">
        <v>1</v>
      </c>
      <c r="AC59">
        <v>282.58</v>
      </c>
      <c r="AD59">
        <v>279.05846285559102</v>
      </c>
      <c r="AE59" s="2">
        <v>44818</v>
      </c>
      <c r="AF59">
        <v>96</v>
      </c>
      <c r="AG59">
        <v>7.9698836413415499</v>
      </c>
      <c r="AH59">
        <v>27.6486305019294</v>
      </c>
      <c r="AI59">
        <v>19.341666666666701</v>
      </c>
      <c r="AJ59">
        <v>27.5259565327631</v>
      </c>
      <c r="AK59">
        <v>24</v>
      </c>
      <c r="AL59">
        <v>860.03483837792305</v>
      </c>
      <c r="AM59">
        <v>364.07163040453798</v>
      </c>
      <c r="AN59">
        <v>0.42332195645841397</v>
      </c>
      <c r="AO59" t="s">
        <v>153</v>
      </c>
      <c r="AP59" t="s">
        <v>264</v>
      </c>
      <c r="AQ59" t="s">
        <v>486</v>
      </c>
      <c r="AR59">
        <v>9.99</v>
      </c>
      <c r="AS59">
        <v>0.85917480353954556</v>
      </c>
      <c r="AT59" t="s">
        <v>487</v>
      </c>
      <c r="AU59" t="s">
        <v>488</v>
      </c>
      <c r="AV59">
        <v>2822</v>
      </c>
      <c r="AW59">
        <v>1532</v>
      </c>
      <c r="AX59">
        <v>1070</v>
      </c>
      <c r="AY59">
        <v>210</v>
      </c>
      <c r="AZ59">
        <v>10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-0.66400000000000003</v>
      </c>
      <c r="BH59">
        <v>33.264000000000003</v>
      </c>
      <c r="BI59">
        <v>15.793953999999999</v>
      </c>
      <c r="BJ59">
        <v>-0.12545999999999999</v>
      </c>
      <c r="BK59">
        <v>13.468062</v>
      </c>
      <c r="BL59">
        <v>181.38869600000001</v>
      </c>
      <c r="BM59">
        <v>0.85273500000000002</v>
      </c>
      <c r="BN59">
        <v>28.27975</v>
      </c>
      <c r="BO59">
        <v>-0.206317</v>
      </c>
      <c r="BP59">
        <v>1.2070590000000001</v>
      </c>
      <c r="BQ59">
        <v>12.842355</v>
      </c>
      <c r="BR59">
        <v>9.3854989999999994</v>
      </c>
      <c r="BS59">
        <v>21.566959000000001</v>
      </c>
      <c r="BT59">
        <v>15.793953999999999</v>
      </c>
      <c r="BU59">
        <v>7.2793380000000001</v>
      </c>
      <c r="BV59">
        <v>-0.306506</v>
      </c>
      <c r="BW59">
        <v>-1.2681610000000001</v>
      </c>
      <c r="BX59">
        <v>0.46089400000000003</v>
      </c>
      <c r="BY59">
        <v>-4.2105999999999998E-2</v>
      </c>
      <c r="BZ59">
        <v>-0.17421400000000001</v>
      </c>
      <c r="CA59">
        <v>-0.35558000000000001</v>
      </c>
      <c r="CB59">
        <v>-0.16289999999999999</v>
      </c>
      <c r="CC59">
        <v>-9.3899999999999997E-2</v>
      </c>
      <c r="CD59">
        <v>1.6199999999999999E-2</v>
      </c>
      <c r="CE59">
        <v>6.0249999999999998E-2</v>
      </c>
      <c r="CF59">
        <v>0.10929999999999999</v>
      </c>
      <c r="CG59">
        <v>2.2274069999999999</v>
      </c>
      <c r="CH59">
        <v>21.441502</v>
      </c>
      <c r="CI59">
        <v>25.935198</v>
      </c>
      <c r="CJ59">
        <v>27.710999999999999</v>
      </c>
      <c r="CK59">
        <v>28.34</v>
      </c>
      <c r="CL59">
        <v>29.024999999999999</v>
      </c>
      <c r="CM59">
        <v>30.621199000000001</v>
      </c>
      <c r="CN59">
        <v>31.452499</v>
      </c>
      <c r="CO59">
        <v>32.641159000000002</v>
      </c>
      <c r="CP59">
        <v>0.48508499999999999</v>
      </c>
      <c r="CQ59">
        <v>20.755081000000001</v>
      </c>
      <c r="CR59">
        <v>22.911708000000001</v>
      </c>
      <c r="CS59">
        <v>1</v>
      </c>
      <c r="CT59">
        <v>82</v>
      </c>
      <c r="CU59">
        <v>25.833451</v>
      </c>
      <c r="CV59">
        <v>1</v>
      </c>
      <c r="CW59">
        <v>18.361640999999999</v>
      </c>
      <c r="CX59">
        <v>337.14984800000002</v>
      </c>
      <c r="CY59">
        <v>0.71077000000000001</v>
      </c>
      <c r="CZ59">
        <v>30</v>
      </c>
      <c r="DA59">
        <v>0.48771900000000001</v>
      </c>
      <c r="DB59">
        <v>2.4179940000000002</v>
      </c>
      <c r="DC59">
        <v>15.653206000000001</v>
      </c>
      <c r="DD59">
        <v>25.833451</v>
      </c>
      <c r="DE59">
        <v>10.406807000000001</v>
      </c>
      <c r="DF59">
        <v>1.193865</v>
      </c>
      <c r="DG59">
        <v>0.27219399999999999</v>
      </c>
      <c r="DH59">
        <v>0.40284199999999998</v>
      </c>
      <c r="DI59">
        <v>0.11472</v>
      </c>
      <c r="DJ59">
        <v>2.6155000000000001E-2</v>
      </c>
      <c r="DK59">
        <v>1</v>
      </c>
      <c r="DL59">
        <v>2</v>
      </c>
      <c r="DM59">
        <v>3</v>
      </c>
      <c r="DN59">
        <v>7</v>
      </c>
      <c r="DO59">
        <v>9</v>
      </c>
      <c r="DP59">
        <v>12</v>
      </c>
      <c r="DQ59">
        <v>17</v>
      </c>
      <c r="DR59">
        <v>24</v>
      </c>
      <c r="DS59">
        <v>31</v>
      </c>
      <c r="DT59">
        <v>37</v>
      </c>
      <c r="DU59">
        <v>39</v>
      </c>
      <c r="DV59">
        <v>42</v>
      </c>
      <c r="DW59">
        <v>50</v>
      </c>
      <c r="DX59">
        <v>58</v>
      </c>
      <c r="DY59">
        <v>72</v>
      </c>
      <c r="DZ59">
        <v>93.211488000000003</v>
      </c>
      <c r="EA59">
        <v>59.957476999999997</v>
      </c>
      <c r="EB59">
        <v>110.443864</v>
      </c>
      <c r="EC59">
        <v>1428</v>
      </c>
      <c r="ED59">
        <v>1692</v>
      </c>
      <c r="EE59">
        <v>93.015665999999996</v>
      </c>
      <c r="EF59">
        <v>100</v>
      </c>
      <c r="EG59">
        <v>58.008505</v>
      </c>
      <c r="EH59">
        <v>92.523032999999998</v>
      </c>
      <c r="EI59">
        <v>106.853786</v>
      </c>
      <c r="EJ59">
        <v>170.43080900000001</v>
      </c>
      <c r="EK59">
        <v>1425</v>
      </c>
      <c r="EL59">
        <v>1532</v>
      </c>
      <c r="EM59">
        <v>1637</v>
      </c>
      <c r="EN59">
        <v>2611</v>
      </c>
      <c r="EO59">
        <v>1532</v>
      </c>
      <c r="EP59">
        <v>2822</v>
      </c>
      <c r="EQ59">
        <v>47.429361999999998</v>
      </c>
    </row>
    <row r="60" spans="1:147" x14ac:dyDescent="0.25">
      <c r="A60">
        <v>2022</v>
      </c>
      <c r="B60" t="str">
        <f t="shared" si="0"/>
        <v>NE</v>
      </c>
      <c r="C60" t="s">
        <v>489</v>
      </c>
      <c r="D60" t="s">
        <v>489</v>
      </c>
      <c r="E60">
        <v>22887</v>
      </c>
      <c r="F60" t="s">
        <v>483</v>
      </c>
      <c r="G60" t="s">
        <v>151</v>
      </c>
      <c r="H60" t="s">
        <v>484</v>
      </c>
      <c r="I60">
        <v>21.15</v>
      </c>
      <c r="J60">
        <v>21.15</v>
      </c>
      <c r="K60" t="s">
        <v>151</v>
      </c>
      <c r="L60">
        <v>1</v>
      </c>
      <c r="M60">
        <v>2014</v>
      </c>
      <c r="N60">
        <v>2</v>
      </c>
      <c r="O60" t="str">
        <f t="shared" si="1"/>
        <v>Talhadia</v>
      </c>
      <c r="P60" s="2">
        <v>41907</v>
      </c>
      <c r="Q60" t="s">
        <v>322</v>
      </c>
      <c r="R60" t="s">
        <v>153</v>
      </c>
      <c r="S60" t="s">
        <v>154</v>
      </c>
      <c r="T60" t="s">
        <v>155</v>
      </c>
      <c r="U60" t="s">
        <v>156</v>
      </c>
      <c r="V60" s="2">
        <v>44818</v>
      </c>
      <c r="W60" t="s">
        <v>485</v>
      </c>
      <c r="X60">
        <v>70.510000000000005</v>
      </c>
      <c r="Y60">
        <v>20.5</v>
      </c>
      <c r="Z60">
        <v>18</v>
      </c>
      <c r="AA60">
        <v>14.1</v>
      </c>
      <c r="AB60">
        <v>3</v>
      </c>
      <c r="AC60">
        <v>289.05</v>
      </c>
      <c r="AD60">
        <v>274.52614118393598</v>
      </c>
      <c r="AE60" s="2">
        <v>44818</v>
      </c>
      <c r="AF60">
        <v>96</v>
      </c>
      <c r="AG60">
        <v>7.9698836413415499</v>
      </c>
      <c r="AH60">
        <v>26.5639554586675</v>
      </c>
      <c r="AI60">
        <v>19.554545454545501</v>
      </c>
      <c r="AJ60">
        <v>24.769528404391099</v>
      </c>
      <c r="AK60">
        <v>22</v>
      </c>
      <c r="AL60">
        <v>801.38087779625198</v>
      </c>
      <c r="AM60">
        <v>290.60753925445903</v>
      </c>
      <c r="AN60">
        <v>0.36263348341129797</v>
      </c>
      <c r="AO60" t="s">
        <v>153</v>
      </c>
      <c r="AP60" t="s">
        <v>264</v>
      </c>
      <c r="AQ60" t="s">
        <v>486</v>
      </c>
      <c r="AR60">
        <v>9.99</v>
      </c>
      <c r="AS60">
        <v>0.8005794969184542</v>
      </c>
      <c r="AT60" t="s">
        <v>490</v>
      </c>
      <c r="AU60" t="s">
        <v>491</v>
      </c>
      <c r="AV60">
        <v>1796</v>
      </c>
      <c r="AW60">
        <v>1031</v>
      </c>
      <c r="AX60">
        <v>758</v>
      </c>
      <c r="AY60">
        <v>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-0.83899999999999997</v>
      </c>
      <c r="BH60">
        <v>27.827998999999998</v>
      </c>
      <c r="BI60">
        <v>13.228577</v>
      </c>
      <c r="BJ60">
        <v>-0.38396799999999998</v>
      </c>
      <c r="BK60">
        <v>12.441986</v>
      </c>
      <c r="BL60">
        <v>154.803009</v>
      </c>
      <c r="BM60">
        <v>0.94053799999999999</v>
      </c>
      <c r="BN60">
        <v>25.045499</v>
      </c>
      <c r="BO60">
        <v>-0.109734</v>
      </c>
      <c r="BP60">
        <v>1.0291189999999999</v>
      </c>
      <c r="BQ60">
        <v>12.383186</v>
      </c>
      <c r="BR60">
        <v>3.1884990000000002</v>
      </c>
      <c r="BS60">
        <v>23.591968999999999</v>
      </c>
      <c r="BT60">
        <v>13.228577</v>
      </c>
      <c r="BU60">
        <v>6.3907020000000001</v>
      </c>
      <c r="BV60">
        <v>-0.19300100000000001</v>
      </c>
      <c r="BW60">
        <v>-1.420466</v>
      </c>
      <c r="BX60">
        <v>0.48309800000000003</v>
      </c>
      <c r="BY60">
        <v>-3.0200000000000001E-2</v>
      </c>
      <c r="BZ60">
        <v>-0.222271</v>
      </c>
      <c r="CA60">
        <v>-0.40529999999999999</v>
      </c>
      <c r="CB60">
        <v>-0.19425000000000001</v>
      </c>
      <c r="CC60">
        <v>-9.9500000000000005E-2</v>
      </c>
      <c r="CD60">
        <v>-5.0000000000000001E-3</v>
      </c>
      <c r="CE60">
        <v>3.2750000000000001E-2</v>
      </c>
      <c r="CF60">
        <v>7.3499999999999996E-2</v>
      </c>
      <c r="CG60">
        <v>0.17299999999999999</v>
      </c>
      <c r="CH60">
        <v>23.207999999999998</v>
      </c>
      <c r="CI60">
        <v>24.370999999999999</v>
      </c>
      <c r="CJ60">
        <v>24.82</v>
      </c>
      <c r="CK60">
        <v>25.078249</v>
      </c>
      <c r="CL60">
        <v>25.306000000000001</v>
      </c>
      <c r="CM60">
        <v>25.7745</v>
      </c>
      <c r="CN60">
        <v>26.117249999999999</v>
      </c>
      <c r="CO60">
        <v>27.0289</v>
      </c>
      <c r="CP60">
        <v>0.49072399999999999</v>
      </c>
      <c r="CQ60">
        <v>18.157976000000001</v>
      </c>
      <c r="CR60">
        <v>20.201091000000002</v>
      </c>
      <c r="CS60">
        <v>1</v>
      </c>
      <c r="CT60">
        <v>55</v>
      </c>
      <c r="CU60">
        <v>17.182628000000001</v>
      </c>
      <c r="CV60">
        <v>2.714286</v>
      </c>
      <c r="CW60">
        <v>10.982186</v>
      </c>
      <c r="CX60">
        <v>120.608411</v>
      </c>
      <c r="CY60">
        <v>0.63914499999999996</v>
      </c>
      <c r="CZ60">
        <v>18</v>
      </c>
      <c r="DA60">
        <v>0.38381199999999999</v>
      </c>
      <c r="DB60">
        <v>2.5500569999999998</v>
      </c>
      <c r="DC60">
        <v>9.2635129999999997</v>
      </c>
      <c r="DD60">
        <v>17.182628000000001</v>
      </c>
      <c r="DE60">
        <v>6.2246969999999999</v>
      </c>
      <c r="DF60">
        <v>0.420209</v>
      </c>
      <c r="DG60">
        <v>0.26175500000000002</v>
      </c>
      <c r="DH60">
        <v>0.36226700000000001</v>
      </c>
      <c r="DI60">
        <v>6.7506999999999998E-2</v>
      </c>
      <c r="DJ60">
        <v>4.2050999999999998E-2</v>
      </c>
      <c r="DK60">
        <v>1</v>
      </c>
      <c r="DL60">
        <v>2</v>
      </c>
      <c r="DM60">
        <v>3</v>
      </c>
      <c r="DN60">
        <v>5</v>
      </c>
      <c r="DO60">
        <v>7</v>
      </c>
      <c r="DP60">
        <v>9</v>
      </c>
      <c r="DQ60">
        <v>13</v>
      </c>
      <c r="DR60">
        <v>18</v>
      </c>
      <c r="DS60">
        <v>21</v>
      </c>
      <c r="DT60">
        <v>24</v>
      </c>
      <c r="DU60">
        <v>25</v>
      </c>
      <c r="DV60">
        <v>26</v>
      </c>
      <c r="DW60">
        <v>30</v>
      </c>
      <c r="DX60">
        <v>37</v>
      </c>
      <c r="DY60">
        <v>45</v>
      </c>
      <c r="DZ60">
        <v>92.046557000000007</v>
      </c>
      <c r="EA60">
        <v>53.340757000000004</v>
      </c>
      <c r="EB60">
        <v>92.919495999999995</v>
      </c>
      <c r="EC60">
        <v>949</v>
      </c>
      <c r="ED60">
        <v>958</v>
      </c>
      <c r="EE60">
        <v>91.949563999999995</v>
      </c>
      <c r="EF60">
        <v>100</v>
      </c>
      <c r="EG60">
        <v>52.951002000000003</v>
      </c>
      <c r="EH60">
        <v>98.830735000000004</v>
      </c>
      <c r="EI60">
        <v>92.240543000000002</v>
      </c>
      <c r="EJ60">
        <v>172.162949</v>
      </c>
      <c r="EK60">
        <v>948</v>
      </c>
      <c r="EL60">
        <v>1031</v>
      </c>
      <c r="EM60">
        <v>951</v>
      </c>
      <c r="EN60">
        <v>1775</v>
      </c>
      <c r="EO60">
        <v>1031</v>
      </c>
      <c r="EP60">
        <v>1796</v>
      </c>
      <c r="EQ60">
        <v>47.860548999999999</v>
      </c>
    </row>
    <row r="61" spans="1:147" x14ac:dyDescent="0.25">
      <c r="A61">
        <v>2022</v>
      </c>
      <c r="B61" t="str">
        <f t="shared" si="0"/>
        <v>NE</v>
      </c>
      <c r="C61" t="s">
        <v>492</v>
      </c>
      <c r="D61" t="s">
        <v>492</v>
      </c>
      <c r="E61">
        <v>22888</v>
      </c>
      <c r="F61" t="s">
        <v>483</v>
      </c>
      <c r="G61" t="s">
        <v>151</v>
      </c>
      <c r="H61" t="s">
        <v>484</v>
      </c>
      <c r="I61">
        <v>21.15</v>
      </c>
      <c r="J61">
        <v>21.15</v>
      </c>
      <c r="K61" t="s">
        <v>151</v>
      </c>
      <c r="L61">
        <v>1</v>
      </c>
      <c r="M61">
        <v>2014</v>
      </c>
      <c r="N61">
        <v>2</v>
      </c>
      <c r="O61" t="str">
        <f t="shared" si="1"/>
        <v>Talhadia</v>
      </c>
      <c r="P61" s="2">
        <v>41907</v>
      </c>
      <c r="Q61" t="s">
        <v>322</v>
      </c>
      <c r="R61" t="s">
        <v>153</v>
      </c>
      <c r="S61" t="s">
        <v>154</v>
      </c>
      <c r="T61" t="s">
        <v>155</v>
      </c>
      <c r="U61" t="s">
        <v>156</v>
      </c>
      <c r="V61" s="2">
        <v>44818</v>
      </c>
      <c r="W61" t="s">
        <v>485</v>
      </c>
      <c r="X61">
        <v>70.510000000000005</v>
      </c>
      <c r="Y61">
        <v>20</v>
      </c>
      <c r="Z61">
        <v>18</v>
      </c>
      <c r="AA61">
        <v>14.3</v>
      </c>
      <c r="AB61">
        <v>3</v>
      </c>
      <c r="AC61">
        <v>286</v>
      </c>
      <c r="AD61">
        <v>271.62939414843697</v>
      </c>
      <c r="AE61" s="2">
        <v>44818</v>
      </c>
      <c r="AF61">
        <v>96</v>
      </c>
      <c r="AG61">
        <v>7.9698836413415499</v>
      </c>
      <c r="AH61">
        <v>23.0843038438245</v>
      </c>
      <c r="AI61">
        <v>16.134782608695701</v>
      </c>
      <c r="AJ61">
        <v>18.658503167152801</v>
      </c>
      <c r="AK61">
        <v>23</v>
      </c>
      <c r="AL61">
        <v>846.74193940259795</v>
      </c>
      <c r="AM61">
        <v>202.842798717882</v>
      </c>
      <c r="AN61">
        <v>0.23955681097004999</v>
      </c>
      <c r="AO61" t="s">
        <v>153</v>
      </c>
      <c r="AP61" t="s">
        <v>264</v>
      </c>
      <c r="AQ61" t="s">
        <v>486</v>
      </c>
      <c r="AR61">
        <v>9.99</v>
      </c>
      <c r="AS61">
        <v>0.84589519746319453</v>
      </c>
      <c r="AT61" t="s">
        <v>493</v>
      </c>
      <c r="AU61" t="s">
        <v>494</v>
      </c>
      <c r="AV61">
        <v>2760</v>
      </c>
      <c r="AW61">
        <v>1151</v>
      </c>
      <c r="AX61">
        <v>1033</v>
      </c>
      <c r="AY61">
        <v>525</v>
      </c>
      <c r="AZ61">
        <v>51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-0.81799999999999995</v>
      </c>
      <c r="BH61">
        <v>28.971001000000001</v>
      </c>
      <c r="BI61">
        <v>12.153707000000001</v>
      </c>
      <c r="BJ61">
        <v>-0.34515899999999999</v>
      </c>
      <c r="BK61">
        <v>10.746211000000001</v>
      </c>
      <c r="BL61">
        <v>115.48106</v>
      </c>
      <c r="BM61">
        <v>0.88419199999999998</v>
      </c>
      <c r="BN61">
        <v>22.263998999999998</v>
      </c>
      <c r="BO61">
        <v>-4.7737000000000002E-2</v>
      </c>
      <c r="BP61">
        <v>1.2779879999999999</v>
      </c>
      <c r="BQ61">
        <v>10.114525</v>
      </c>
      <c r="BR61">
        <v>10.836499</v>
      </c>
      <c r="BS61">
        <v>15.088158999999999</v>
      </c>
      <c r="BT61">
        <v>12.153707000000001</v>
      </c>
      <c r="BU61">
        <v>5.9275640000000003</v>
      </c>
      <c r="BV61">
        <v>0.157387</v>
      </c>
      <c r="BW61">
        <v>-0.87196300000000004</v>
      </c>
      <c r="BX61">
        <v>0.48771700000000001</v>
      </c>
      <c r="BY61">
        <v>2.6551999999999999E-2</v>
      </c>
      <c r="BZ61">
        <v>-0.14710300000000001</v>
      </c>
      <c r="CA61">
        <v>-0.36425000000000002</v>
      </c>
      <c r="CB61">
        <v>-0.15805</v>
      </c>
      <c r="CC61">
        <v>-7.8E-2</v>
      </c>
      <c r="CD61">
        <v>3.0200000000000001E-2</v>
      </c>
      <c r="CE61">
        <v>0.105</v>
      </c>
      <c r="CF61">
        <v>0.18</v>
      </c>
      <c r="CG61">
        <v>1.4490000000000001</v>
      </c>
      <c r="CH61">
        <v>14.743</v>
      </c>
      <c r="CI61">
        <v>19.132000000000001</v>
      </c>
      <c r="CJ61">
        <v>21.678301000000001</v>
      </c>
      <c r="CK61">
        <v>22.368998999999999</v>
      </c>
      <c r="CL61">
        <v>22.957999999999998</v>
      </c>
      <c r="CM61">
        <v>25.173999999999999</v>
      </c>
      <c r="CN61">
        <v>26.693999999999999</v>
      </c>
      <c r="CO61">
        <v>28.456738999999999</v>
      </c>
      <c r="CP61">
        <v>0.43545299999999998</v>
      </c>
      <c r="CQ61">
        <v>16.221955000000001</v>
      </c>
      <c r="CR61">
        <v>18.115587999999999</v>
      </c>
      <c r="CS61">
        <v>1</v>
      </c>
      <c r="CT61">
        <v>76</v>
      </c>
      <c r="CU61">
        <v>15.988768</v>
      </c>
      <c r="CV61">
        <v>6.9523809999999999</v>
      </c>
      <c r="CW61">
        <v>13.341101999999999</v>
      </c>
      <c r="CX61">
        <v>177.98501300000001</v>
      </c>
      <c r="CY61">
        <v>0.83440499999999995</v>
      </c>
      <c r="CZ61">
        <v>15</v>
      </c>
      <c r="DA61">
        <v>1.6052390000000001</v>
      </c>
      <c r="DB61">
        <v>5.7418880000000003</v>
      </c>
      <c r="DC61">
        <v>9.8619649999999996</v>
      </c>
      <c r="DD61">
        <v>15.988768</v>
      </c>
      <c r="DE61">
        <v>6.8550269999999998</v>
      </c>
      <c r="DF61">
        <v>2.0053100000000001</v>
      </c>
      <c r="DG61">
        <v>1.1996690000000001</v>
      </c>
      <c r="DH61">
        <v>0.42874000000000001</v>
      </c>
      <c r="DI61">
        <v>0.29253099999999999</v>
      </c>
      <c r="DJ61">
        <v>0.17500599999999999</v>
      </c>
      <c r="DK61">
        <v>1</v>
      </c>
      <c r="DL61">
        <v>2</v>
      </c>
      <c r="DM61">
        <v>3</v>
      </c>
      <c r="DN61">
        <v>5</v>
      </c>
      <c r="DO61">
        <v>6</v>
      </c>
      <c r="DP61">
        <v>8</v>
      </c>
      <c r="DQ61">
        <v>10</v>
      </c>
      <c r="DR61">
        <v>13</v>
      </c>
      <c r="DS61">
        <v>16</v>
      </c>
      <c r="DT61">
        <v>19</v>
      </c>
      <c r="DU61">
        <v>21</v>
      </c>
      <c r="DV61">
        <v>24</v>
      </c>
      <c r="DW61">
        <v>32.100098000000003</v>
      </c>
      <c r="DX61">
        <v>46</v>
      </c>
      <c r="DY61">
        <v>62</v>
      </c>
      <c r="DZ61">
        <v>92.354473999999996</v>
      </c>
      <c r="EA61">
        <v>58.731884000000001</v>
      </c>
      <c r="EB61">
        <v>140.834057</v>
      </c>
      <c r="EC61">
        <v>1063</v>
      </c>
      <c r="ED61">
        <v>1621</v>
      </c>
      <c r="EE61">
        <v>90.443093000000005</v>
      </c>
      <c r="EF61">
        <v>100</v>
      </c>
      <c r="EG61">
        <v>55.181159000000001</v>
      </c>
      <c r="EH61">
        <v>98.949275</v>
      </c>
      <c r="EI61">
        <v>132.31972200000001</v>
      </c>
      <c r="EJ61">
        <v>237.27193700000001</v>
      </c>
      <c r="EK61">
        <v>1041</v>
      </c>
      <c r="EL61">
        <v>1151</v>
      </c>
      <c r="EM61">
        <v>1523</v>
      </c>
      <c r="EN61">
        <v>2731</v>
      </c>
      <c r="EO61">
        <v>1151</v>
      </c>
      <c r="EP61">
        <v>2760</v>
      </c>
      <c r="EQ61">
        <v>41.783223999999997</v>
      </c>
    </row>
    <row r="62" spans="1:147" x14ac:dyDescent="0.25">
      <c r="A62">
        <v>2022</v>
      </c>
      <c r="B62" t="str">
        <f t="shared" si="0"/>
        <v>RD</v>
      </c>
      <c r="C62" t="s">
        <v>495</v>
      </c>
      <c r="D62" t="s">
        <v>495</v>
      </c>
      <c r="E62">
        <v>22945</v>
      </c>
      <c r="F62" t="s">
        <v>496</v>
      </c>
      <c r="G62" t="s">
        <v>497</v>
      </c>
      <c r="H62" t="s">
        <v>498</v>
      </c>
      <c r="I62">
        <v>22.43</v>
      </c>
      <c r="J62">
        <v>22.43</v>
      </c>
      <c r="K62" t="s">
        <v>261</v>
      </c>
      <c r="L62">
        <v>1</v>
      </c>
      <c r="M62">
        <v>2014</v>
      </c>
      <c r="N62">
        <v>1</v>
      </c>
      <c r="O62" t="str">
        <f t="shared" si="1"/>
        <v>Talhadia</v>
      </c>
      <c r="P62" s="2">
        <v>41814</v>
      </c>
      <c r="Q62" t="s">
        <v>152</v>
      </c>
      <c r="R62" t="s">
        <v>499</v>
      </c>
      <c r="S62" t="s">
        <v>154</v>
      </c>
      <c r="T62" t="s">
        <v>221</v>
      </c>
      <c r="U62" t="s">
        <v>156</v>
      </c>
      <c r="V62" s="2">
        <v>44641</v>
      </c>
      <c r="W62" t="s">
        <v>500</v>
      </c>
      <c r="X62">
        <v>86.89</v>
      </c>
      <c r="Y62">
        <v>20.100000000000001</v>
      </c>
      <c r="Z62">
        <v>6</v>
      </c>
      <c r="AA62">
        <v>13.7</v>
      </c>
      <c r="AB62">
        <v>4</v>
      </c>
      <c r="AC62">
        <v>275.37</v>
      </c>
      <c r="AD62">
        <v>273.19438149160999</v>
      </c>
      <c r="AE62" s="2">
        <v>44641</v>
      </c>
      <c r="AF62">
        <v>93</v>
      </c>
      <c r="AG62">
        <v>7.73990417522245</v>
      </c>
      <c r="AH62">
        <v>24.177598965709102</v>
      </c>
      <c r="AI62">
        <v>16.576470588235299</v>
      </c>
      <c r="AJ62">
        <v>13.546729526373101</v>
      </c>
      <c r="AK62">
        <v>17</v>
      </c>
      <c r="AL62">
        <v>622.26755569356703</v>
      </c>
      <c r="AM62">
        <v>142.465913600248</v>
      </c>
      <c r="AN62">
        <v>0.228946394997982</v>
      </c>
      <c r="AO62" t="s">
        <v>499</v>
      </c>
      <c r="AP62" t="s">
        <v>264</v>
      </c>
      <c r="AQ62" t="s">
        <v>286</v>
      </c>
      <c r="AR62">
        <v>9.99</v>
      </c>
      <c r="AS62">
        <v>0.62164528813787345</v>
      </c>
      <c r="AT62" t="s">
        <v>501</v>
      </c>
      <c r="AU62" t="s">
        <v>502</v>
      </c>
      <c r="AV62">
        <v>7580</v>
      </c>
      <c r="AW62">
        <v>4079</v>
      </c>
      <c r="AX62">
        <v>2954</v>
      </c>
      <c r="AY62">
        <v>524</v>
      </c>
      <c r="AZ62">
        <v>23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-1.4910000000000001</v>
      </c>
      <c r="BH62">
        <v>23.981999999999999</v>
      </c>
      <c r="BI62">
        <v>10.894114999999999</v>
      </c>
      <c r="BJ62">
        <v>-0.27800000000000002</v>
      </c>
      <c r="BK62">
        <v>10.100375</v>
      </c>
      <c r="BL62">
        <v>102.01757600000001</v>
      </c>
      <c r="BM62">
        <v>0.92713999999999996</v>
      </c>
      <c r="BN62">
        <v>21.087499999999999</v>
      </c>
      <c r="BO62">
        <v>-4.6606000000000002E-2</v>
      </c>
      <c r="BP62">
        <v>1.126538</v>
      </c>
      <c r="BQ62">
        <v>9.7790490000000005</v>
      </c>
      <c r="BR62">
        <v>8.7800010000000004</v>
      </c>
      <c r="BS62">
        <v>14.327999</v>
      </c>
      <c r="BT62">
        <v>10.894114999999999</v>
      </c>
      <c r="BU62">
        <v>5.4217690000000003</v>
      </c>
      <c r="BV62">
        <v>7.3991000000000001E-2</v>
      </c>
      <c r="BW62">
        <v>-1.0835429999999999</v>
      </c>
      <c r="BX62">
        <v>0.49767899999999998</v>
      </c>
      <c r="BY62">
        <v>1.3646999999999999E-2</v>
      </c>
      <c r="BZ62">
        <v>-0.199851</v>
      </c>
      <c r="CA62">
        <v>-0.39800000000000002</v>
      </c>
      <c r="CB62">
        <v>-0.183</v>
      </c>
      <c r="CC62">
        <v>-0.10100000000000001</v>
      </c>
      <c r="CD62">
        <v>2.3E-2</v>
      </c>
      <c r="CE62">
        <v>7.9000000000000001E-2</v>
      </c>
      <c r="CF62">
        <v>0.13</v>
      </c>
      <c r="CG62">
        <v>0.33300000000000002</v>
      </c>
      <c r="CH62">
        <v>14.049999</v>
      </c>
      <c r="CI62">
        <v>19.466799000000002</v>
      </c>
      <c r="CJ62">
        <v>20.706299000000001</v>
      </c>
      <c r="CK62">
        <v>21.166499999999999</v>
      </c>
      <c r="CL62">
        <v>21.507000000000001</v>
      </c>
      <c r="CM62">
        <v>22.322400999999999</v>
      </c>
      <c r="CN62">
        <v>22.83</v>
      </c>
      <c r="CO62">
        <v>23.306999000000001</v>
      </c>
      <c r="CP62">
        <v>0.48620600000000003</v>
      </c>
      <c r="CQ62">
        <v>14.855499</v>
      </c>
      <c r="CR62">
        <v>16.605259</v>
      </c>
      <c r="CS62">
        <v>1</v>
      </c>
      <c r="CT62">
        <v>57</v>
      </c>
      <c r="CU62">
        <v>14.959498999999999</v>
      </c>
      <c r="CV62">
        <v>1</v>
      </c>
      <c r="CW62">
        <v>10.911249</v>
      </c>
      <c r="CX62">
        <v>119.055359</v>
      </c>
      <c r="CY62">
        <v>0.72938599999999998</v>
      </c>
      <c r="CZ62">
        <v>15</v>
      </c>
      <c r="DA62">
        <v>0.98133199999999998</v>
      </c>
      <c r="DB62">
        <v>3.6800519999999999</v>
      </c>
      <c r="DC62">
        <v>8.6472119999999997</v>
      </c>
      <c r="DD62">
        <v>14.959498999999999</v>
      </c>
      <c r="DE62">
        <v>5.9750290000000001</v>
      </c>
      <c r="DF62">
        <v>1.1736660000000001</v>
      </c>
      <c r="DG62">
        <v>0.64418600000000004</v>
      </c>
      <c r="DH62">
        <v>0.39941399999999999</v>
      </c>
      <c r="DI62">
        <v>0.19642899999999999</v>
      </c>
      <c r="DJ62">
        <v>0.10781300000000001</v>
      </c>
      <c r="DK62">
        <v>1</v>
      </c>
      <c r="DL62">
        <v>1</v>
      </c>
      <c r="DM62">
        <v>3</v>
      </c>
      <c r="DN62">
        <v>5</v>
      </c>
      <c r="DO62">
        <v>6</v>
      </c>
      <c r="DP62">
        <v>8</v>
      </c>
      <c r="DQ62">
        <v>10</v>
      </c>
      <c r="DR62">
        <v>13</v>
      </c>
      <c r="DS62">
        <v>16</v>
      </c>
      <c r="DT62">
        <v>19</v>
      </c>
      <c r="DU62">
        <v>21</v>
      </c>
      <c r="DV62">
        <v>23</v>
      </c>
      <c r="DW62">
        <v>30</v>
      </c>
      <c r="DX62">
        <v>37</v>
      </c>
      <c r="DY62">
        <v>47</v>
      </c>
      <c r="DZ62">
        <v>86.785977000000003</v>
      </c>
      <c r="EA62">
        <v>55.646438000000003</v>
      </c>
      <c r="EB62">
        <v>103.407698</v>
      </c>
      <c r="EC62">
        <v>3540</v>
      </c>
      <c r="ED62">
        <v>4218</v>
      </c>
      <c r="EE62">
        <v>85.216965000000002</v>
      </c>
      <c r="EF62">
        <v>100</v>
      </c>
      <c r="EG62">
        <v>52.638522000000002</v>
      </c>
      <c r="EH62">
        <v>97.585751999999999</v>
      </c>
      <c r="EI62">
        <v>97.818093000000005</v>
      </c>
      <c r="EJ62">
        <v>181.343467</v>
      </c>
      <c r="EK62">
        <v>3476</v>
      </c>
      <c r="EL62">
        <v>4079</v>
      </c>
      <c r="EM62">
        <v>3990</v>
      </c>
      <c r="EN62">
        <v>7397</v>
      </c>
      <c r="EO62">
        <v>4079</v>
      </c>
      <c r="EP62">
        <v>7580</v>
      </c>
      <c r="EQ62">
        <v>45.823613999999999</v>
      </c>
    </row>
    <row r="63" spans="1:147" x14ac:dyDescent="0.25">
      <c r="A63">
        <v>2022</v>
      </c>
      <c r="B63" t="str">
        <f t="shared" si="0"/>
        <v>RD</v>
      </c>
      <c r="C63" t="s">
        <v>503</v>
      </c>
      <c r="D63" t="s">
        <v>503</v>
      </c>
      <c r="E63">
        <v>22946</v>
      </c>
      <c r="F63" t="s">
        <v>496</v>
      </c>
      <c r="G63" t="s">
        <v>497</v>
      </c>
      <c r="H63" t="s">
        <v>498</v>
      </c>
      <c r="I63">
        <v>22.43</v>
      </c>
      <c r="J63">
        <v>22.43</v>
      </c>
      <c r="K63" t="s">
        <v>261</v>
      </c>
      <c r="L63">
        <v>1</v>
      </c>
      <c r="M63">
        <v>2014</v>
      </c>
      <c r="N63">
        <v>1</v>
      </c>
      <c r="O63" t="str">
        <f t="shared" si="1"/>
        <v>Talhadia</v>
      </c>
      <c r="P63" s="2">
        <v>41814</v>
      </c>
      <c r="Q63" t="s">
        <v>152</v>
      </c>
      <c r="R63" t="s">
        <v>499</v>
      </c>
      <c r="S63" t="s">
        <v>154</v>
      </c>
      <c r="T63" t="s">
        <v>221</v>
      </c>
      <c r="U63" t="s">
        <v>156</v>
      </c>
      <c r="V63" s="2">
        <v>44641</v>
      </c>
      <c r="W63" t="s">
        <v>500</v>
      </c>
      <c r="X63">
        <v>86.89</v>
      </c>
      <c r="Y63">
        <v>21</v>
      </c>
      <c r="Z63">
        <v>5</v>
      </c>
      <c r="AA63">
        <v>16.3</v>
      </c>
      <c r="AB63">
        <v>0</v>
      </c>
      <c r="AC63">
        <v>342.3</v>
      </c>
      <c r="AD63">
        <v>340.99744515680402</v>
      </c>
      <c r="AE63" s="2">
        <v>44641</v>
      </c>
      <c r="AF63">
        <v>93</v>
      </c>
      <c r="AG63">
        <v>7.73990417522245</v>
      </c>
      <c r="AH63">
        <v>29.001208909816299</v>
      </c>
      <c r="AI63">
        <v>16.431999999999999</v>
      </c>
      <c r="AJ63">
        <v>15.9063897222255</v>
      </c>
      <c r="AK63">
        <v>25</v>
      </c>
      <c r="AL63">
        <v>733.14332277486699</v>
      </c>
      <c r="AM63">
        <v>210.82959672357799</v>
      </c>
      <c r="AN63">
        <v>0.28756941538471797</v>
      </c>
      <c r="AO63" t="s">
        <v>499</v>
      </c>
      <c r="AP63" t="s">
        <v>264</v>
      </c>
      <c r="AQ63" t="s">
        <v>286</v>
      </c>
      <c r="AR63">
        <v>9.99</v>
      </c>
      <c r="AS63">
        <v>0.73241017945209275</v>
      </c>
      <c r="AT63" t="s">
        <v>504</v>
      </c>
      <c r="AU63" t="s">
        <v>505</v>
      </c>
      <c r="AV63">
        <v>3941</v>
      </c>
      <c r="AW63">
        <v>2037</v>
      </c>
      <c r="AX63">
        <v>1405</v>
      </c>
      <c r="AY63">
        <v>455</v>
      </c>
      <c r="AZ63">
        <v>44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-1.0029999999999999</v>
      </c>
      <c r="BH63">
        <v>31.877001</v>
      </c>
      <c r="BI63">
        <v>11.785377</v>
      </c>
      <c r="BJ63">
        <v>-0.48109499999999999</v>
      </c>
      <c r="BK63">
        <v>11.446783</v>
      </c>
      <c r="BL63">
        <v>131.02883499999999</v>
      </c>
      <c r="BM63">
        <v>0.97126999999999997</v>
      </c>
      <c r="BN63">
        <v>22.884001000000001</v>
      </c>
      <c r="BO63">
        <v>0.17166200000000001</v>
      </c>
      <c r="BP63">
        <v>1.3304560000000001</v>
      </c>
      <c r="BQ63">
        <v>10.778242000000001</v>
      </c>
      <c r="BR63">
        <v>12.610001</v>
      </c>
      <c r="BS63">
        <v>13.213096</v>
      </c>
      <c r="BT63">
        <v>11.785377</v>
      </c>
      <c r="BU63">
        <v>6.3085110000000002</v>
      </c>
      <c r="BV63">
        <v>0.71932099999999999</v>
      </c>
      <c r="BW63">
        <v>-0.89674100000000001</v>
      </c>
      <c r="BX63">
        <v>0.53528299999999995</v>
      </c>
      <c r="BY63">
        <v>0.114024</v>
      </c>
      <c r="BZ63">
        <v>-0.142148</v>
      </c>
      <c r="CA63">
        <v>-0.36020000000000002</v>
      </c>
      <c r="CB63">
        <v>-0.17699999999999999</v>
      </c>
      <c r="CC63">
        <v>-9.1999999999999998E-2</v>
      </c>
      <c r="CD63">
        <v>6.0000000000000001E-3</v>
      </c>
      <c r="CE63">
        <v>5.1999999999999998E-2</v>
      </c>
      <c r="CF63">
        <v>9.9000000000000005E-2</v>
      </c>
      <c r="CG63">
        <v>0.28299999999999997</v>
      </c>
      <c r="CH63">
        <v>12.731999999999999</v>
      </c>
      <c r="CI63">
        <v>17.59</v>
      </c>
      <c r="CJ63">
        <v>21.437999999999999</v>
      </c>
      <c r="CK63">
        <v>22.936001000000001</v>
      </c>
      <c r="CL63">
        <v>24.663</v>
      </c>
      <c r="CM63">
        <v>27.361999999999998</v>
      </c>
      <c r="CN63">
        <v>28.325001</v>
      </c>
      <c r="CO63">
        <v>30.259001000000001</v>
      </c>
      <c r="CP63">
        <v>0.38894099999999998</v>
      </c>
      <c r="CQ63">
        <v>16.428349999999998</v>
      </c>
      <c r="CR63">
        <v>18.687239999999999</v>
      </c>
      <c r="CS63">
        <v>1</v>
      </c>
      <c r="CT63">
        <v>63</v>
      </c>
      <c r="CU63">
        <v>15.303984</v>
      </c>
      <c r="CV63">
        <v>1</v>
      </c>
      <c r="CW63">
        <v>14.266408999999999</v>
      </c>
      <c r="CX63">
        <v>203.53041300000001</v>
      </c>
      <c r="CY63">
        <v>0.93220199999999998</v>
      </c>
      <c r="CZ63">
        <v>15</v>
      </c>
      <c r="DA63">
        <v>1.283264</v>
      </c>
      <c r="DB63">
        <v>3.6336710000000001</v>
      </c>
      <c r="DC63">
        <v>11.184355999999999</v>
      </c>
      <c r="DD63">
        <v>15.303984</v>
      </c>
      <c r="DE63">
        <v>7.4203340000000004</v>
      </c>
      <c r="DF63">
        <v>2.4871799999999999</v>
      </c>
      <c r="DG63">
        <v>0.97608300000000003</v>
      </c>
      <c r="DH63">
        <v>0.48486299999999999</v>
      </c>
      <c r="DI63">
        <v>0.33518399999999998</v>
      </c>
      <c r="DJ63">
        <v>0.13154199999999999</v>
      </c>
      <c r="DK63">
        <v>1</v>
      </c>
      <c r="DL63">
        <v>1</v>
      </c>
      <c r="DM63">
        <v>2</v>
      </c>
      <c r="DN63">
        <v>4</v>
      </c>
      <c r="DO63">
        <v>5</v>
      </c>
      <c r="DP63">
        <v>6</v>
      </c>
      <c r="DQ63">
        <v>8</v>
      </c>
      <c r="DR63">
        <v>10</v>
      </c>
      <c r="DS63">
        <v>13</v>
      </c>
      <c r="DT63">
        <v>17</v>
      </c>
      <c r="DU63">
        <v>20</v>
      </c>
      <c r="DV63">
        <v>26</v>
      </c>
      <c r="DW63">
        <v>40</v>
      </c>
      <c r="DX63">
        <v>47</v>
      </c>
      <c r="DY63">
        <v>55</v>
      </c>
      <c r="DZ63">
        <v>77.859596999999994</v>
      </c>
      <c r="EA63">
        <v>56.609997</v>
      </c>
      <c r="EB63">
        <v>109.52381</v>
      </c>
      <c r="EC63">
        <v>1586</v>
      </c>
      <c r="ED63">
        <v>2231</v>
      </c>
      <c r="EE63">
        <v>73.932253000000003</v>
      </c>
      <c r="EF63">
        <v>100</v>
      </c>
      <c r="EG63">
        <v>50.621670000000002</v>
      </c>
      <c r="EH63">
        <v>99.594012000000006</v>
      </c>
      <c r="EI63">
        <v>97.938143999999994</v>
      </c>
      <c r="EJ63">
        <v>192.68532200000001</v>
      </c>
      <c r="EK63">
        <v>1506</v>
      </c>
      <c r="EL63">
        <v>2037</v>
      </c>
      <c r="EM63">
        <v>1995</v>
      </c>
      <c r="EN63">
        <v>3925</v>
      </c>
      <c r="EO63">
        <v>2037</v>
      </c>
      <c r="EP63">
        <v>3941</v>
      </c>
      <c r="EQ63">
        <v>37.996848999999997</v>
      </c>
    </row>
    <row r="64" spans="1:147" x14ac:dyDescent="0.25">
      <c r="A64">
        <v>2022</v>
      </c>
      <c r="B64" t="str">
        <f t="shared" si="0"/>
        <v>RD</v>
      </c>
      <c r="C64" t="s">
        <v>506</v>
      </c>
      <c r="D64" t="s">
        <v>506</v>
      </c>
      <c r="E64">
        <v>22947</v>
      </c>
      <c r="F64" t="s">
        <v>496</v>
      </c>
      <c r="G64" t="s">
        <v>497</v>
      </c>
      <c r="H64" t="s">
        <v>507</v>
      </c>
      <c r="I64">
        <v>7.33</v>
      </c>
      <c r="J64">
        <v>7.33</v>
      </c>
      <c r="K64" t="s">
        <v>261</v>
      </c>
      <c r="L64">
        <v>1</v>
      </c>
      <c r="M64">
        <v>2014</v>
      </c>
      <c r="N64">
        <v>2</v>
      </c>
      <c r="O64" t="str">
        <f t="shared" si="1"/>
        <v>Talhadia</v>
      </c>
      <c r="P64" s="2">
        <v>41708</v>
      </c>
      <c r="Q64" t="s">
        <v>322</v>
      </c>
      <c r="R64" t="s">
        <v>508</v>
      </c>
      <c r="S64" t="s">
        <v>154</v>
      </c>
      <c r="T64" t="s">
        <v>221</v>
      </c>
      <c r="U64" t="s">
        <v>156</v>
      </c>
      <c r="V64" s="2">
        <v>44642</v>
      </c>
      <c r="W64" t="s">
        <v>500</v>
      </c>
      <c r="X64">
        <v>86.89</v>
      </c>
      <c r="Y64">
        <v>20.5</v>
      </c>
      <c r="Z64">
        <v>17</v>
      </c>
      <c r="AA64">
        <v>13.7</v>
      </c>
      <c r="AB64">
        <v>0</v>
      </c>
      <c r="AC64">
        <v>280.85000000000002</v>
      </c>
      <c r="AD64">
        <v>268.57819071221797</v>
      </c>
      <c r="AE64" s="2">
        <v>44642</v>
      </c>
      <c r="AF64">
        <v>96</v>
      </c>
      <c r="AG64">
        <v>8.0328542094455795</v>
      </c>
      <c r="AH64">
        <v>26.158922812521599</v>
      </c>
      <c r="AI64">
        <v>17.803846153846202</v>
      </c>
      <c r="AJ64">
        <v>24.2871206778321</v>
      </c>
      <c r="AK64">
        <v>26</v>
      </c>
      <c r="AL64">
        <v>968.06073237193698</v>
      </c>
      <c r="AM64">
        <v>276.82424342545102</v>
      </c>
      <c r="AN64">
        <v>0.28595751709417799</v>
      </c>
      <c r="AO64" t="s">
        <v>508</v>
      </c>
      <c r="AP64" t="s">
        <v>264</v>
      </c>
      <c r="AQ64" t="s">
        <v>509</v>
      </c>
      <c r="AR64">
        <v>9.99</v>
      </c>
      <c r="AS64">
        <v>0.96709267163956691</v>
      </c>
      <c r="AT64" t="s">
        <v>510</v>
      </c>
      <c r="AU64" t="s">
        <v>511</v>
      </c>
      <c r="AV64">
        <v>3896</v>
      </c>
      <c r="AW64">
        <v>2296</v>
      </c>
      <c r="AX64">
        <v>1438</v>
      </c>
      <c r="AY64">
        <v>157</v>
      </c>
      <c r="AZ64">
        <v>5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-0.95399999999999996</v>
      </c>
      <c r="BH64">
        <v>27.801000999999999</v>
      </c>
      <c r="BI64">
        <v>10.722856999999999</v>
      </c>
      <c r="BJ64">
        <v>-4.1142999999999999E-2</v>
      </c>
      <c r="BK64">
        <v>11.176627999999999</v>
      </c>
      <c r="BL64">
        <v>124.91700400000001</v>
      </c>
      <c r="BM64">
        <v>1.0423180000000001</v>
      </c>
      <c r="BN64">
        <v>22.539000000000001</v>
      </c>
      <c r="BO64">
        <v>0.188806</v>
      </c>
      <c r="BP64">
        <v>1.1736850000000001</v>
      </c>
      <c r="BQ64">
        <v>10.852952</v>
      </c>
      <c r="BR64">
        <v>4.5994999999999999</v>
      </c>
      <c r="BS64">
        <v>4.3031430000000004</v>
      </c>
      <c r="BT64">
        <v>10.722856999999999</v>
      </c>
      <c r="BU64">
        <v>5.9675729999999998</v>
      </c>
      <c r="BV64">
        <v>0.76053899999999997</v>
      </c>
      <c r="BW64">
        <v>-1.0561290000000001</v>
      </c>
      <c r="BX64">
        <v>0.55652800000000002</v>
      </c>
      <c r="BY64">
        <v>0.127445</v>
      </c>
      <c r="BZ64">
        <v>-0.176978</v>
      </c>
      <c r="CA64">
        <v>-0.43525000000000003</v>
      </c>
      <c r="CB64">
        <v>-0.19625000000000001</v>
      </c>
      <c r="CC64">
        <v>-0.11799999999999999</v>
      </c>
      <c r="CD64">
        <v>-1.6E-2</v>
      </c>
      <c r="CE64">
        <v>2.3E-2</v>
      </c>
      <c r="CF64">
        <v>6.6000000000000003E-2</v>
      </c>
      <c r="CG64">
        <v>0.16600000000000001</v>
      </c>
      <c r="CH64">
        <v>4.2619999999999996</v>
      </c>
      <c r="CI64">
        <v>19.125</v>
      </c>
      <c r="CJ64">
        <v>21.443000999999999</v>
      </c>
      <c r="CK64">
        <v>22.562000000000001</v>
      </c>
      <c r="CL64">
        <v>23.497999</v>
      </c>
      <c r="CM64">
        <v>24.939499000000001</v>
      </c>
      <c r="CN64">
        <v>25.787001</v>
      </c>
      <c r="CO64">
        <v>26.987801000000001</v>
      </c>
      <c r="CP64">
        <v>0.40608100000000003</v>
      </c>
      <c r="CQ64">
        <v>15.487563</v>
      </c>
      <c r="CR64">
        <v>17.666502999999999</v>
      </c>
      <c r="CS64">
        <v>1</v>
      </c>
      <c r="CT64">
        <v>55</v>
      </c>
      <c r="CU64">
        <v>18.203541999999999</v>
      </c>
      <c r="CV64">
        <v>1</v>
      </c>
      <c r="CW64">
        <v>13.482396</v>
      </c>
      <c r="CX64">
        <v>181.774991</v>
      </c>
      <c r="CY64">
        <v>0.74064700000000006</v>
      </c>
      <c r="CZ64">
        <v>19</v>
      </c>
      <c r="DA64">
        <v>0.70690600000000003</v>
      </c>
      <c r="DB64">
        <v>2.515746</v>
      </c>
      <c r="DC64">
        <v>11.111426</v>
      </c>
      <c r="DD64">
        <v>18.203541999999999</v>
      </c>
      <c r="DE64">
        <v>7.5377890000000001</v>
      </c>
      <c r="DF64">
        <v>1.3825400000000001</v>
      </c>
      <c r="DG64">
        <v>0.45396500000000001</v>
      </c>
      <c r="DH64">
        <v>0.41408400000000001</v>
      </c>
      <c r="DI64">
        <v>0.18341499999999999</v>
      </c>
      <c r="DJ64">
        <v>6.0225000000000001E-2</v>
      </c>
      <c r="DK64">
        <v>1</v>
      </c>
      <c r="DL64">
        <v>1</v>
      </c>
      <c r="DM64">
        <v>3</v>
      </c>
      <c r="DN64">
        <v>6</v>
      </c>
      <c r="DO64">
        <v>7</v>
      </c>
      <c r="DP64">
        <v>8</v>
      </c>
      <c r="DQ64">
        <v>12</v>
      </c>
      <c r="DR64">
        <v>15.5</v>
      </c>
      <c r="DS64">
        <v>19</v>
      </c>
      <c r="DT64">
        <v>23</v>
      </c>
      <c r="DU64">
        <v>26</v>
      </c>
      <c r="DV64">
        <v>30</v>
      </c>
      <c r="DW64">
        <v>40.5</v>
      </c>
      <c r="DX64">
        <v>45</v>
      </c>
      <c r="DY64">
        <v>50</v>
      </c>
      <c r="DZ64">
        <v>76.132403999999994</v>
      </c>
      <c r="EA64">
        <v>50.205339000000002</v>
      </c>
      <c r="EB64">
        <v>85.191637999999998</v>
      </c>
      <c r="EC64">
        <v>1748</v>
      </c>
      <c r="ED64">
        <v>1956</v>
      </c>
      <c r="EE64">
        <v>73.257840000000002</v>
      </c>
      <c r="EF64">
        <v>99.390243999999996</v>
      </c>
      <c r="EG64">
        <v>47.202258999999998</v>
      </c>
      <c r="EH64">
        <v>82.802875</v>
      </c>
      <c r="EI64">
        <v>80.095819000000006</v>
      </c>
      <c r="EJ64">
        <v>140.50522599999999</v>
      </c>
      <c r="EK64">
        <v>1682</v>
      </c>
      <c r="EL64">
        <v>2282</v>
      </c>
      <c r="EM64">
        <v>1839</v>
      </c>
      <c r="EN64">
        <v>3226</v>
      </c>
      <c r="EO64">
        <v>2296</v>
      </c>
      <c r="EP64">
        <v>3896</v>
      </c>
      <c r="EQ64">
        <v>38.863866999999999</v>
      </c>
    </row>
    <row r="65" spans="1:147" x14ac:dyDescent="0.25">
      <c r="A65">
        <v>2022</v>
      </c>
      <c r="B65" t="str">
        <f t="shared" si="0"/>
        <v>RD</v>
      </c>
      <c r="C65" t="s">
        <v>512</v>
      </c>
      <c r="D65" t="s">
        <v>512</v>
      </c>
      <c r="E65">
        <v>22957</v>
      </c>
      <c r="F65" t="s">
        <v>513</v>
      </c>
      <c r="G65" t="s">
        <v>247</v>
      </c>
      <c r="H65" t="s">
        <v>514</v>
      </c>
      <c r="I65">
        <v>49.39</v>
      </c>
      <c r="J65">
        <v>49.39</v>
      </c>
      <c r="K65" t="s">
        <v>219</v>
      </c>
      <c r="L65">
        <v>1</v>
      </c>
      <c r="M65">
        <v>2014</v>
      </c>
      <c r="N65">
        <v>3</v>
      </c>
      <c r="O65" t="str">
        <f t="shared" si="1"/>
        <v>Alto fuste</v>
      </c>
      <c r="P65" s="2">
        <v>41991</v>
      </c>
      <c r="Q65" t="s">
        <v>237</v>
      </c>
      <c r="R65" t="s">
        <v>515</v>
      </c>
      <c r="S65" t="s">
        <v>154</v>
      </c>
      <c r="T65" t="s">
        <v>221</v>
      </c>
      <c r="U65" t="s">
        <v>156</v>
      </c>
      <c r="V65" s="2">
        <v>44818</v>
      </c>
      <c r="W65" t="s">
        <v>250</v>
      </c>
      <c r="X65">
        <v>302.33999999999997</v>
      </c>
      <c r="Y65">
        <v>20</v>
      </c>
      <c r="Z65">
        <v>2</v>
      </c>
      <c r="AA65">
        <v>13.7</v>
      </c>
      <c r="AB65">
        <v>0</v>
      </c>
      <c r="AC65">
        <v>274</v>
      </c>
      <c r="AD65">
        <v>273.833086603232</v>
      </c>
      <c r="AE65" s="2">
        <v>44818</v>
      </c>
      <c r="AF65">
        <v>93</v>
      </c>
      <c r="AG65">
        <v>7.73990417522245</v>
      </c>
      <c r="AH65">
        <v>26.502810039941298</v>
      </c>
      <c r="AI65">
        <v>14.991176470588201</v>
      </c>
      <c r="AJ65">
        <v>22.483278387620199</v>
      </c>
      <c r="AK65">
        <v>34</v>
      </c>
      <c r="AL65">
        <v>1241.6322812467099</v>
      </c>
      <c r="AM65">
        <v>286.36214766662101</v>
      </c>
      <c r="AN65">
        <v>0.23063361994671</v>
      </c>
      <c r="AO65" t="s">
        <v>515</v>
      </c>
      <c r="AP65" t="s">
        <v>158</v>
      </c>
      <c r="AQ65" t="s">
        <v>516</v>
      </c>
      <c r="AR65">
        <v>7.5</v>
      </c>
      <c r="AS65">
        <v>0.93122421093503571</v>
      </c>
      <c r="AT65" t="s">
        <v>517</v>
      </c>
      <c r="AU65" t="s">
        <v>518</v>
      </c>
      <c r="AV65">
        <v>5757</v>
      </c>
      <c r="AW65">
        <v>3111</v>
      </c>
      <c r="AX65">
        <v>2292</v>
      </c>
      <c r="AY65">
        <v>341</v>
      </c>
      <c r="AZ65">
        <v>13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-0.97499999999999998</v>
      </c>
      <c r="BH65">
        <v>28.260999999999999</v>
      </c>
      <c r="BI65">
        <v>12.213263</v>
      </c>
      <c r="BJ65">
        <v>-4.6872999999999998E-2</v>
      </c>
      <c r="BK65">
        <v>11.477285999999999</v>
      </c>
      <c r="BL65">
        <v>131.728092</v>
      </c>
      <c r="BM65">
        <v>0.93974000000000002</v>
      </c>
      <c r="BN65">
        <v>23.884</v>
      </c>
      <c r="BO65">
        <v>-3.2092000000000002E-2</v>
      </c>
      <c r="BP65">
        <v>1.129874</v>
      </c>
      <c r="BQ65">
        <v>11.116372</v>
      </c>
      <c r="BR65">
        <v>10.092999000000001</v>
      </c>
      <c r="BS65">
        <v>15.906872999999999</v>
      </c>
      <c r="BT65">
        <v>12.213263</v>
      </c>
      <c r="BU65">
        <v>6.1529920000000002</v>
      </c>
      <c r="BV65">
        <v>0.159969</v>
      </c>
      <c r="BW65">
        <v>-1.2157720000000001</v>
      </c>
      <c r="BX65">
        <v>0.50379600000000002</v>
      </c>
      <c r="BY65">
        <v>2.5998E-2</v>
      </c>
      <c r="BZ65">
        <v>-0.19758999999999999</v>
      </c>
      <c r="CA65">
        <v>-0.374</v>
      </c>
      <c r="CB65">
        <v>-0.182</v>
      </c>
      <c r="CC65">
        <v>-0.105</v>
      </c>
      <c r="CD65">
        <v>-1.2999999999999999E-2</v>
      </c>
      <c r="CE65">
        <v>0.03</v>
      </c>
      <c r="CF65">
        <v>7.3999999999999996E-2</v>
      </c>
      <c r="CG65">
        <v>0.1898</v>
      </c>
      <c r="CH65">
        <v>15.86</v>
      </c>
      <c r="CI65">
        <v>21.647203000000001</v>
      </c>
      <c r="CJ65">
        <v>23.434999000000001</v>
      </c>
      <c r="CK65">
        <v>23.914000000000001</v>
      </c>
      <c r="CL65">
        <v>24.308001000000001</v>
      </c>
      <c r="CM65">
        <v>25.155799999999999</v>
      </c>
      <c r="CN65">
        <v>25.936001000000001</v>
      </c>
      <c r="CO65">
        <v>27.086441000000001</v>
      </c>
      <c r="CP65">
        <v>0.45109700000000003</v>
      </c>
      <c r="CQ65">
        <v>16.759146999999999</v>
      </c>
      <c r="CR65">
        <v>18.756741999999999</v>
      </c>
      <c r="CS65">
        <v>1</v>
      </c>
      <c r="CT65">
        <v>46</v>
      </c>
      <c r="CU65">
        <v>13.179434000000001</v>
      </c>
      <c r="CV65">
        <v>1</v>
      </c>
      <c r="CW65">
        <v>9.7581919999999993</v>
      </c>
      <c r="CX65">
        <v>95.222314999999995</v>
      </c>
      <c r="CY65">
        <v>0.74041100000000004</v>
      </c>
      <c r="CZ65">
        <v>11</v>
      </c>
      <c r="DA65">
        <v>1.060732</v>
      </c>
      <c r="DB65">
        <v>3.555793</v>
      </c>
      <c r="DC65">
        <v>7.5737329999999998</v>
      </c>
      <c r="DD65">
        <v>13.179434000000001</v>
      </c>
      <c r="DE65">
        <v>5.2789910000000004</v>
      </c>
      <c r="DF65">
        <v>1.213924</v>
      </c>
      <c r="DG65">
        <v>0.69447099999999995</v>
      </c>
      <c r="DH65">
        <v>0.40054800000000002</v>
      </c>
      <c r="DI65">
        <v>0.22995399999999999</v>
      </c>
      <c r="DJ65">
        <v>0.131554</v>
      </c>
      <c r="DK65">
        <v>1</v>
      </c>
      <c r="DL65">
        <v>1</v>
      </c>
      <c r="DM65">
        <v>3</v>
      </c>
      <c r="DN65">
        <v>5</v>
      </c>
      <c r="DO65">
        <v>6</v>
      </c>
      <c r="DP65">
        <v>7</v>
      </c>
      <c r="DQ65">
        <v>9</v>
      </c>
      <c r="DR65">
        <v>11</v>
      </c>
      <c r="DS65">
        <v>13</v>
      </c>
      <c r="DT65">
        <v>16</v>
      </c>
      <c r="DU65">
        <v>17</v>
      </c>
      <c r="DV65">
        <v>19</v>
      </c>
      <c r="DW65">
        <v>29</v>
      </c>
      <c r="DX65">
        <v>34</v>
      </c>
      <c r="DY65">
        <v>41</v>
      </c>
      <c r="DZ65">
        <v>86.210222000000002</v>
      </c>
      <c r="EA65">
        <v>54.924439999999997</v>
      </c>
      <c r="EB65">
        <v>101.63934399999999</v>
      </c>
      <c r="EC65">
        <v>2682</v>
      </c>
      <c r="ED65">
        <v>3162</v>
      </c>
      <c r="EE65">
        <v>84.860174000000001</v>
      </c>
      <c r="EF65">
        <v>99.935711999999995</v>
      </c>
      <c r="EG65">
        <v>52.683689000000001</v>
      </c>
      <c r="EH65">
        <v>84.210526000000002</v>
      </c>
      <c r="EI65">
        <v>97.492767999999998</v>
      </c>
      <c r="EJ65">
        <v>155.834137</v>
      </c>
      <c r="EK65">
        <v>2640</v>
      </c>
      <c r="EL65">
        <v>3109</v>
      </c>
      <c r="EM65">
        <v>3033</v>
      </c>
      <c r="EN65">
        <v>4848</v>
      </c>
      <c r="EO65">
        <v>3111</v>
      </c>
      <c r="EP65">
        <v>5757</v>
      </c>
      <c r="EQ65">
        <v>44.091748000000003</v>
      </c>
    </row>
    <row r="66" spans="1:147" x14ac:dyDescent="0.25">
      <c r="A66">
        <v>2022</v>
      </c>
      <c r="B66" t="str">
        <f t="shared" si="0"/>
        <v>RD</v>
      </c>
      <c r="C66" t="s">
        <v>519</v>
      </c>
      <c r="D66" t="s">
        <v>519</v>
      </c>
      <c r="E66">
        <v>22958</v>
      </c>
      <c r="F66" t="s">
        <v>513</v>
      </c>
      <c r="G66" t="s">
        <v>247</v>
      </c>
      <c r="H66" t="s">
        <v>514</v>
      </c>
      <c r="I66">
        <v>49.39</v>
      </c>
      <c r="J66">
        <v>49.39</v>
      </c>
      <c r="K66" t="s">
        <v>219</v>
      </c>
      <c r="L66">
        <v>1</v>
      </c>
      <c r="M66">
        <v>2014</v>
      </c>
      <c r="N66">
        <v>3</v>
      </c>
      <c r="O66" t="str">
        <f t="shared" si="1"/>
        <v>Alto fuste</v>
      </c>
      <c r="P66" s="2">
        <v>41991</v>
      </c>
      <c r="Q66" t="s">
        <v>237</v>
      </c>
      <c r="R66" t="s">
        <v>515</v>
      </c>
      <c r="S66" t="s">
        <v>154</v>
      </c>
      <c r="T66" t="s">
        <v>221</v>
      </c>
      <c r="U66" t="s">
        <v>156</v>
      </c>
      <c r="V66" s="2">
        <v>44818</v>
      </c>
      <c r="W66" t="s">
        <v>250</v>
      </c>
      <c r="X66">
        <v>302.33999999999997</v>
      </c>
      <c r="Y66">
        <v>19.7</v>
      </c>
      <c r="Z66">
        <v>4</v>
      </c>
      <c r="AA66">
        <v>16.3</v>
      </c>
      <c r="AB66">
        <v>0</v>
      </c>
      <c r="AC66">
        <v>321.11</v>
      </c>
      <c r="AD66">
        <v>320.32779217893199</v>
      </c>
      <c r="AE66" s="2">
        <v>44817</v>
      </c>
      <c r="AF66">
        <v>93</v>
      </c>
      <c r="AG66">
        <v>7.7371663244353197</v>
      </c>
      <c r="AH66">
        <v>26.5343172282527</v>
      </c>
      <c r="AI66">
        <v>14.585416666666699</v>
      </c>
      <c r="AJ66">
        <v>25.4285839763571</v>
      </c>
      <c r="AK66">
        <v>48</v>
      </c>
      <c r="AL66">
        <v>1498.4650464917399</v>
      </c>
      <c r="AM66">
        <v>323.31715071957001</v>
      </c>
      <c r="AN66">
        <v>0.21576556054913101</v>
      </c>
      <c r="AO66" t="s">
        <v>515</v>
      </c>
      <c r="AP66" t="s">
        <v>158</v>
      </c>
      <c r="AQ66" t="s">
        <v>516</v>
      </c>
      <c r="AR66">
        <v>7.5</v>
      </c>
      <c r="AS66">
        <v>1.1238487848688059</v>
      </c>
      <c r="AT66" t="s">
        <v>520</v>
      </c>
      <c r="AU66" t="s">
        <v>521</v>
      </c>
      <c r="AV66">
        <v>8316</v>
      </c>
      <c r="AW66">
        <v>4315</v>
      </c>
      <c r="AX66">
        <v>3277</v>
      </c>
      <c r="AY66">
        <v>692</v>
      </c>
      <c r="AZ66">
        <v>32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-0.90500000000000003</v>
      </c>
      <c r="BH66">
        <v>26.416</v>
      </c>
      <c r="BI66">
        <v>11.926231</v>
      </c>
      <c r="BJ66">
        <v>-3.7666999999999999E-2</v>
      </c>
      <c r="BK66">
        <v>10.972692</v>
      </c>
      <c r="BL66">
        <v>120.39996499999999</v>
      </c>
      <c r="BM66">
        <v>0.92004699999999995</v>
      </c>
      <c r="BN66">
        <v>23.5825</v>
      </c>
      <c r="BO66">
        <v>-4.9528999999999997E-2</v>
      </c>
      <c r="BP66">
        <v>1.158563</v>
      </c>
      <c r="BQ66">
        <v>10.542960000000001</v>
      </c>
      <c r="BR66">
        <v>9.5574999999999992</v>
      </c>
      <c r="BS66">
        <v>15.169665999999999</v>
      </c>
      <c r="BT66">
        <v>11.926231</v>
      </c>
      <c r="BU66">
        <v>5.9302630000000001</v>
      </c>
      <c r="BV66">
        <v>9.2313000000000006E-2</v>
      </c>
      <c r="BW66">
        <v>-1.156566</v>
      </c>
      <c r="BX66">
        <v>0.49724499999999999</v>
      </c>
      <c r="BY66">
        <v>1.5566E-2</v>
      </c>
      <c r="BZ66">
        <v>-0.19502800000000001</v>
      </c>
      <c r="CA66">
        <v>-0.44355</v>
      </c>
      <c r="CB66">
        <v>-0.21725</v>
      </c>
      <c r="CC66">
        <v>-0.11799999999999999</v>
      </c>
      <c r="CD66">
        <v>3.0000000000000001E-3</v>
      </c>
      <c r="CE66">
        <v>5.7000000000000002E-2</v>
      </c>
      <c r="CF66">
        <v>0.112</v>
      </c>
      <c r="CG66">
        <v>0.25600000000000001</v>
      </c>
      <c r="CH66">
        <v>15.132</v>
      </c>
      <c r="CI66">
        <v>19.596001000000001</v>
      </c>
      <c r="CJ66">
        <v>23.047001000000002</v>
      </c>
      <c r="CK66">
        <v>23.639500000000002</v>
      </c>
      <c r="CL66">
        <v>23.975000000000001</v>
      </c>
      <c r="CM66">
        <v>24.495000999999998</v>
      </c>
      <c r="CN66">
        <v>24.79175</v>
      </c>
      <c r="CO66">
        <v>25.658045000000001</v>
      </c>
      <c r="CP66">
        <v>0.46964699999999998</v>
      </c>
      <c r="CQ66">
        <v>16.205569000000001</v>
      </c>
      <c r="CR66">
        <v>18.108533999999999</v>
      </c>
      <c r="CS66">
        <v>1</v>
      </c>
      <c r="CT66">
        <v>45</v>
      </c>
      <c r="CU66">
        <v>10.799182</v>
      </c>
      <c r="CV66">
        <v>1</v>
      </c>
      <c r="CW66">
        <v>8.2992629999999998</v>
      </c>
      <c r="CX66">
        <v>68.877767000000006</v>
      </c>
      <c r="CY66">
        <v>0.76850799999999997</v>
      </c>
      <c r="CZ66">
        <v>9</v>
      </c>
      <c r="DA66">
        <v>1.200617</v>
      </c>
      <c r="DB66">
        <v>4.1584269999999997</v>
      </c>
      <c r="DC66">
        <v>6.3954409999999999</v>
      </c>
      <c r="DD66">
        <v>10.799182</v>
      </c>
      <c r="DE66">
        <v>4.4426819999999996</v>
      </c>
      <c r="DF66">
        <v>1.0875109999999999</v>
      </c>
      <c r="DG66">
        <v>0.60082000000000002</v>
      </c>
      <c r="DH66">
        <v>0.41139100000000001</v>
      </c>
      <c r="DI66">
        <v>0.244787</v>
      </c>
      <c r="DJ66">
        <v>0.135238</v>
      </c>
      <c r="DK66">
        <v>1</v>
      </c>
      <c r="DL66">
        <v>1</v>
      </c>
      <c r="DM66">
        <v>2</v>
      </c>
      <c r="DN66">
        <v>4</v>
      </c>
      <c r="DO66">
        <v>5</v>
      </c>
      <c r="DP66">
        <v>5</v>
      </c>
      <c r="DQ66">
        <v>7</v>
      </c>
      <c r="DR66">
        <v>9</v>
      </c>
      <c r="DS66">
        <v>11</v>
      </c>
      <c r="DT66">
        <v>13</v>
      </c>
      <c r="DU66">
        <v>14</v>
      </c>
      <c r="DV66">
        <v>16</v>
      </c>
      <c r="DW66">
        <v>23</v>
      </c>
      <c r="DX66">
        <v>29</v>
      </c>
      <c r="DY66">
        <v>36</v>
      </c>
      <c r="DZ66">
        <v>87.972189999999998</v>
      </c>
      <c r="EA66">
        <v>56.553632</v>
      </c>
      <c r="EB66">
        <v>108.991889</v>
      </c>
      <c r="EC66">
        <v>3796</v>
      </c>
      <c r="ED66">
        <v>4703</v>
      </c>
      <c r="EE66">
        <v>86.025492</v>
      </c>
      <c r="EF66">
        <v>99.768249999999995</v>
      </c>
      <c r="EG66">
        <v>53.258778</v>
      </c>
      <c r="EH66">
        <v>83.706108999999998</v>
      </c>
      <c r="EI66">
        <v>102.641947</v>
      </c>
      <c r="EJ66">
        <v>161.32097300000001</v>
      </c>
      <c r="EK66">
        <v>3712</v>
      </c>
      <c r="EL66">
        <v>4305</v>
      </c>
      <c r="EM66">
        <v>4429</v>
      </c>
      <c r="EN66">
        <v>6961</v>
      </c>
      <c r="EO66">
        <v>4315</v>
      </c>
      <c r="EP66">
        <v>8316</v>
      </c>
      <c r="EQ66">
        <v>45.597237999999997</v>
      </c>
    </row>
    <row r="67" spans="1:147" x14ac:dyDescent="0.25">
      <c r="A67">
        <v>2022</v>
      </c>
      <c r="B67" t="str">
        <f t="shared" ref="B67:B130" si="2">LEFT(C67,2)</f>
        <v>RD</v>
      </c>
      <c r="C67" t="s">
        <v>522</v>
      </c>
      <c r="D67" t="s">
        <v>522</v>
      </c>
      <c r="E67">
        <v>22959</v>
      </c>
      <c r="F67" t="s">
        <v>513</v>
      </c>
      <c r="G67" t="s">
        <v>247</v>
      </c>
      <c r="H67" t="s">
        <v>514</v>
      </c>
      <c r="I67">
        <v>49.39</v>
      </c>
      <c r="J67">
        <v>49.39</v>
      </c>
      <c r="K67" t="s">
        <v>219</v>
      </c>
      <c r="L67">
        <v>1</v>
      </c>
      <c r="M67">
        <v>2014</v>
      </c>
      <c r="N67">
        <v>3</v>
      </c>
      <c r="O67" t="str">
        <f t="shared" ref="O67:O130" si="3">IF(MID(F67,12,1)="R","Talhadia","Alto fuste")</f>
        <v>Alto fuste</v>
      </c>
      <c r="P67" s="2">
        <v>41991</v>
      </c>
      <c r="Q67" t="s">
        <v>237</v>
      </c>
      <c r="R67" t="s">
        <v>515</v>
      </c>
      <c r="S67" t="s">
        <v>154</v>
      </c>
      <c r="T67" t="s">
        <v>221</v>
      </c>
      <c r="U67" t="s">
        <v>156</v>
      </c>
      <c r="V67" s="2">
        <v>44818</v>
      </c>
      <c r="W67" t="s">
        <v>250</v>
      </c>
      <c r="X67">
        <v>302.33999999999997</v>
      </c>
      <c r="Y67">
        <v>20.3</v>
      </c>
      <c r="Z67">
        <v>2</v>
      </c>
      <c r="AA67">
        <v>13.6</v>
      </c>
      <c r="AB67">
        <v>0</v>
      </c>
      <c r="AC67">
        <v>276.08</v>
      </c>
      <c r="AD67">
        <v>275.91181952343197</v>
      </c>
      <c r="AE67" s="2">
        <v>44817</v>
      </c>
      <c r="AF67">
        <v>93</v>
      </c>
      <c r="AG67">
        <v>7.7371663244353197</v>
      </c>
      <c r="AH67">
        <v>25.752931558114099</v>
      </c>
      <c r="AI67">
        <v>14.6444444444444</v>
      </c>
      <c r="AJ67">
        <v>22.4570984677271</v>
      </c>
      <c r="AK67">
        <v>36</v>
      </c>
      <c r="AL67">
        <v>1304.7646912039099</v>
      </c>
      <c r="AM67">
        <v>276.37767783088202</v>
      </c>
      <c r="AN67">
        <v>0.211821855461054</v>
      </c>
      <c r="AO67" t="s">
        <v>515</v>
      </c>
      <c r="AP67" t="s">
        <v>158</v>
      </c>
      <c r="AQ67" t="s">
        <v>516</v>
      </c>
      <c r="AR67">
        <v>7.5</v>
      </c>
      <c r="AS67">
        <v>0.9785735184029335</v>
      </c>
      <c r="AT67" t="s">
        <v>523</v>
      </c>
      <c r="AU67" t="s">
        <v>524</v>
      </c>
      <c r="AV67">
        <v>7107</v>
      </c>
      <c r="AW67">
        <v>3822</v>
      </c>
      <c r="AX67">
        <v>2568</v>
      </c>
      <c r="AY67">
        <v>673</v>
      </c>
      <c r="AZ67">
        <v>44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-1.0049999999999999</v>
      </c>
      <c r="BH67">
        <v>28.377001</v>
      </c>
      <c r="BI67">
        <v>12.403369</v>
      </c>
      <c r="BJ67">
        <v>-7.2237999999999997E-2</v>
      </c>
      <c r="BK67">
        <v>10.510046000000001</v>
      </c>
      <c r="BL67">
        <v>110.46106899999999</v>
      </c>
      <c r="BM67">
        <v>0.84735400000000005</v>
      </c>
      <c r="BN67">
        <v>22.519000999999999</v>
      </c>
      <c r="BO67">
        <v>-0.14548</v>
      </c>
      <c r="BP67">
        <v>1.2665470000000001</v>
      </c>
      <c r="BQ67">
        <v>9.8826640000000001</v>
      </c>
      <c r="BR67">
        <v>8.65</v>
      </c>
      <c r="BS67">
        <v>15.950238000000001</v>
      </c>
      <c r="BT67">
        <v>12.403369</v>
      </c>
      <c r="BU67">
        <v>5.7890839999999999</v>
      </c>
      <c r="BV67">
        <v>-0.112806</v>
      </c>
      <c r="BW67">
        <v>-0.90611299999999995</v>
      </c>
      <c r="BX67">
        <v>0.46673500000000001</v>
      </c>
      <c r="BY67">
        <v>-1.9486E-2</v>
      </c>
      <c r="BZ67">
        <v>-0.15652099999999999</v>
      </c>
      <c r="CA67">
        <v>-0.48399999999999999</v>
      </c>
      <c r="CB67">
        <v>-0.18870000000000001</v>
      </c>
      <c r="CC67">
        <v>-8.5000000000000006E-2</v>
      </c>
      <c r="CD67">
        <v>4.7E-2</v>
      </c>
      <c r="CE67">
        <v>0.105</v>
      </c>
      <c r="CF67">
        <v>0.17499999999999999</v>
      </c>
      <c r="CG67">
        <v>7.5969980000000001</v>
      </c>
      <c r="CH67">
        <v>15.878</v>
      </c>
      <c r="CI67">
        <v>19.146000000000001</v>
      </c>
      <c r="CJ67">
        <v>21.951201999999999</v>
      </c>
      <c r="CK67">
        <v>22.624001</v>
      </c>
      <c r="CL67">
        <v>23.190999999999999</v>
      </c>
      <c r="CM67">
        <v>24.538799000000001</v>
      </c>
      <c r="CN67">
        <v>25.263999999999999</v>
      </c>
      <c r="CO67">
        <v>26.85998</v>
      </c>
      <c r="CP67">
        <v>0.45634599999999997</v>
      </c>
      <c r="CQ67">
        <v>16.256971</v>
      </c>
      <c r="CR67">
        <v>18.017465000000001</v>
      </c>
      <c r="CS67">
        <v>1</v>
      </c>
      <c r="CT67">
        <v>40</v>
      </c>
      <c r="CU67">
        <v>9.1836219999999997</v>
      </c>
      <c r="CV67">
        <v>1</v>
      </c>
      <c r="CW67">
        <v>7.1910850000000002</v>
      </c>
      <c r="CX67">
        <v>51.711705000000002</v>
      </c>
      <c r="CY67">
        <v>0.78303400000000001</v>
      </c>
      <c r="CZ67">
        <v>8</v>
      </c>
      <c r="DA67">
        <v>1.4244270000000001</v>
      </c>
      <c r="DB67">
        <v>5.1393909999999998</v>
      </c>
      <c r="DC67">
        <v>5.3866750000000003</v>
      </c>
      <c r="DD67">
        <v>9.1836219999999997</v>
      </c>
      <c r="DE67">
        <v>3.7680539999999998</v>
      </c>
      <c r="DF67">
        <v>0.98203799999999997</v>
      </c>
      <c r="DG67">
        <v>0.60276700000000005</v>
      </c>
      <c r="DH67">
        <v>0.410302</v>
      </c>
      <c r="DI67">
        <v>0.26062200000000002</v>
      </c>
      <c r="DJ67">
        <v>0.159968</v>
      </c>
      <c r="DK67">
        <v>1</v>
      </c>
      <c r="DL67">
        <v>1</v>
      </c>
      <c r="DM67">
        <v>2</v>
      </c>
      <c r="DN67">
        <v>3</v>
      </c>
      <c r="DO67">
        <v>4</v>
      </c>
      <c r="DP67">
        <v>5</v>
      </c>
      <c r="DQ67">
        <v>6</v>
      </c>
      <c r="DR67">
        <v>8</v>
      </c>
      <c r="DS67">
        <v>9</v>
      </c>
      <c r="DT67">
        <v>11</v>
      </c>
      <c r="DU67">
        <v>12</v>
      </c>
      <c r="DV67">
        <v>13</v>
      </c>
      <c r="DW67">
        <v>19</v>
      </c>
      <c r="DX67">
        <v>25</v>
      </c>
      <c r="DY67">
        <v>33</v>
      </c>
      <c r="DZ67">
        <v>89.612768000000003</v>
      </c>
      <c r="EA67">
        <v>61.741945000000001</v>
      </c>
      <c r="EB67">
        <v>114.80900099999999</v>
      </c>
      <c r="EC67">
        <v>3425</v>
      </c>
      <c r="ED67">
        <v>4388</v>
      </c>
      <c r="EE67">
        <v>86.002093000000002</v>
      </c>
      <c r="EF67">
        <v>99.738356999999993</v>
      </c>
      <c r="EG67">
        <v>54.988039999999998</v>
      </c>
      <c r="EH67">
        <v>89.447023999999999</v>
      </c>
      <c r="EI67">
        <v>102.250131</v>
      </c>
      <c r="EJ67">
        <v>166.32653099999999</v>
      </c>
      <c r="EK67">
        <v>3287</v>
      </c>
      <c r="EL67">
        <v>3812</v>
      </c>
      <c r="EM67">
        <v>3908</v>
      </c>
      <c r="EN67">
        <v>6357</v>
      </c>
      <c r="EO67">
        <v>3822</v>
      </c>
      <c r="EP67">
        <v>7107</v>
      </c>
      <c r="EQ67">
        <v>45.223007000000003</v>
      </c>
    </row>
    <row r="68" spans="1:147" x14ac:dyDescent="0.25">
      <c r="A68">
        <v>2022</v>
      </c>
      <c r="B68" t="str">
        <f t="shared" si="2"/>
        <v>RD</v>
      </c>
      <c r="C68" t="s">
        <v>525</v>
      </c>
      <c r="D68" t="s">
        <v>525</v>
      </c>
      <c r="E68">
        <v>23061</v>
      </c>
      <c r="F68" t="s">
        <v>526</v>
      </c>
      <c r="G68" t="s">
        <v>527</v>
      </c>
      <c r="H68" t="s">
        <v>528</v>
      </c>
      <c r="I68">
        <v>30.32</v>
      </c>
      <c r="J68">
        <v>30.32</v>
      </c>
      <c r="K68" t="s">
        <v>527</v>
      </c>
      <c r="L68">
        <v>1</v>
      </c>
      <c r="M68">
        <v>2014</v>
      </c>
      <c r="N68">
        <v>3</v>
      </c>
      <c r="O68" t="str">
        <f t="shared" si="3"/>
        <v>Alto fuste</v>
      </c>
      <c r="P68" s="2">
        <v>41816</v>
      </c>
      <c r="Q68" t="s">
        <v>174</v>
      </c>
      <c r="R68" t="s">
        <v>314</v>
      </c>
      <c r="S68" t="s">
        <v>154</v>
      </c>
      <c r="T68" t="s">
        <v>527</v>
      </c>
      <c r="U68" t="s">
        <v>156</v>
      </c>
      <c r="V68" s="2">
        <v>44677</v>
      </c>
      <c r="W68" t="s">
        <v>529</v>
      </c>
      <c r="X68">
        <v>235.65</v>
      </c>
      <c r="Y68">
        <v>19.7</v>
      </c>
      <c r="Z68">
        <v>30</v>
      </c>
      <c r="AA68">
        <v>15.5</v>
      </c>
      <c r="AB68">
        <v>6</v>
      </c>
      <c r="AC68">
        <v>305.35000000000002</v>
      </c>
      <c r="AD68">
        <v>262.992222361779</v>
      </c>
      <c r="AE68" s="2">
        <v>44677</v>
      </c>
      <c r="AF68">
        <v>94</v>
      </c>
      <c r="AG68">
        <v>7.8329911019849403</v>
      </c>
      <c r="AH68">
        <v>29.190171676036101</v>
      </c>
      <c r="AI68">
        <v>17.719354838709702</v>
      </c>
      <c r="AJ68">
        <v>30.299735548976599</v>
      </c>
      <c r="AK68">
        <v>31</v>
      </c>
      <c r="AL68">
        <v>1178.74208300181</v>
      </c>
      <c r="AM68">
        <v>400.28949887122297</v>
      </c>
      <c r="AN68">
        <v>0.33959040289105102</v>
      </c>
      <c r="AO68" t="s">
        <v>314</v>
      </c>
      <c r="AP68" t="s">
        <v>158</v>
      </c>
      <c r="AQ68" t="s">
        <v>530</v>
      </c>
      <c r="AR68">
        <v>9</v>
      </c>
      <c r="AS68">
        <v>1.060867874701634</v>
      </c>
      <c r="AT68" t="s">
        <v>531</v>
      </c>
      <c r="AU68" t="s">
        <v>532</v>
      </c>
      <c r="AV68">
        <v>4190</v>
      </c>
      <c r="AW68">
        <v>2552</v>
      </c>
      <c r="AX68">
        <v>1249</v>
      </c>
      <c r="AY68">
        <v>359</v>
      </c>
      <c r="AZ68">
        <v>30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-0.83799999999999997</v>
      </c>
      <c r="BH68">
        <v>36.033000999999999</v>
      </c>
      <c r="BI68">
        <v>21.636783000000001</v>
      </c>
      <c r="BJ68">
        <v>-0.25274600000000003</v>
      </c>
      <c r="BK68">
        <v>14.58563</v>
      </c>
      <c r="BL68">
        <v>212.74060900000001</v>
      </c>
      <c r="BM68">
        <v>0.67411299999999996</v>
      </c>
      <c r="BN68">
        <v>33.104751999999998</v>
      </c>
      <c r="BO68">
        <v>-0.67345299999999997</v>
      </c>
      <c r="BP68">
        <v>1.6325499999999999</v>
      </c>
      <c r="BQ68">
        <v>13.179506999999999</v>
      </c>
      <c r="BR68">
        <v>3.105</v>
      </c>
      <c r="BS68">
        <v>31.781745999999998</v>
      </c>
      <c r="BT68">
        <v>21.636783000000001</v>
      </c>
      <c r="BU68">
        <v>7.5885090000000002</v>
      </c>
      <c r="BV68">
        <v>-1.9455469999999999</v>
      </c>
      <c r="BW68">
        <v>-0.77464</v>
      </c>
      <c r="BX68">
        <v>0.35072300000000001</v>
      </c>
      <c r="BY68">
        <v>-0.25638100000000003</v>
      </c>
      <c r="BZ68">
        <v>-0.10208100000000001</v>
      </c>
      <c r="CA68">
        <v>-0.42365999999999998</v>
      </c>
      <c r="CB68">
        <v>-0.16055</v>
      </c>
      <c r="CC68">
        <v>-3.5999999999999997E-2</v>
      </c>
      <c r="CD68">
        <v>0.128</v>
      </c>
      <c r="CE68">
        <v>0.22525000000000001</v>
      </c>
      <c r="CF68">
        <v>13.049199</v>
      </c>
      <c r="CG68">
        <v>23.836601000000002</v>
      </c>
      <c r="CH68">
        <v>31.528998999999999</v>
      </c>
      <c r="CI68">
        <v>32.4758</v>
      </c>
      <c r="CJ68">
        <v>33.065300000000001</v>
      </c>
      <c r="CK68">
        <v>33.330002</v>
      </c>
      <c r="CL68">
        <v>33.613197</v>
      </c>
      <c r="CM68">
        <v>34.216999000000001</v>
      </c>
      <c r="CN68">
        <v>34.648097999999997</v>
      </c>
      <c r="CO68">
        <v>35.308185999999999</v>
      </c>
      <c r="CP68">
        <v>0.60955199999999998</v>
      </c>
      <c r="CQ68">
        <v>26.092915000000001</v>
      </c>
      <c r="CR68">
        <v>27.954782999999999</v>
      </c>
      <c r="CS68">
        <v>1</v>
      </c>
      <c r="CT68">
        <v>62</v>
      </c>
      <c r="CU68">
        <v>19.14105</v>
      </c>
      <c r="CV68">
        <v>1</v>
      </c>
      <c r="CW68">
        <v>13.143528999999999</v>
      </c>
      <c r="CX68">
        <v>172.75236100000001</v>
      </c>
      <c r="CY68">
        <v>0.68666700000000003</v>
      </c>
      <c r="CZ68">
        <v>23</v>
      </c>
      <c r="DA68">
        <v>0.253631</v>
      </c>
      <c r="DB68">
        <v>1.959695</v>
      </c>
      <c r="DC68">
        <v>11.403347999999999</v>
      </c>
      <c r="DD68">
        <v>19.14105</v>
      </c>
      <c r="DE68">
        <v>7.52963</v>
      </c>
      <c r="DF68">
        <v>0.51765000000000005</v>
      </c>
      <c r="DG68">
        <v>-6.2066999999999997E-2</v>
      </c>
      <c r="DH68">
        <v>0.393376</v>
      </c>
      <c r="DI68">
        <v>6.8748000000000004E-2</v>
      </c>
      <c r="DJ68">
        <v>-8.2430000000000003E-3</v>
      </c>
      <c r="DK68">
        <v>1</v>
      </c>
      <c r="DL68">
        <v>1</v>
      </c>
      <c r="DM68">
        <v>2</v>
      </c>
      <c r="DN68">
        <v>5</v>
      </c>
      <c r="DO68">
        <v>7</v>
      </c>
      <c r="DP68">
        <v>9</v>
      </c>
      <c r="DQ68">
        <v>14</v>
      </c>
      <c r="DR68">
        <v>19</v>
      </c>
      <c r="DS68">
        <v>23</v>
      </c>
      <c r="DT68">
        <v>27</v>
      </c>
      <c r="DU68">
        <v>30</v>
      </c>
      <c r="DV68">
        <v>33</v>
      </c>
      <c r="DW68">
        <v>37</v>
      </c>
      <c r="DX68">
        <v>40</v>
      </c>
      <c r="DY68">
        <v>48</v>
      </c>
      <c r="DZ68">
        <v>96.630094</v>
      </c>
      <c r="EA68">
        <v>71.169450999999995</v>
      </c>
      <c r="EB68">
        <v>116.84953</v>
      </c>
      <c r="EC68">
        <v>2466</v>
      </c>
      <c r="ED68">
        <v>2982</v>
      </c>
      <c r="EE68">
        <v>93.730407999999997</v>
      </c>
      <c r="EF68">
        <v>100</v>
      </c>
      <c r="EG68">
        <v>64.272075999999998</v>
      </c>
      <c r="EH68">
        <v>96.992840000000001</v>
      </c>
      <c r="EI68">
        <v>105.52507799999999</v>
      </c>
      <c r="EJ68">
        <v>159.247649</v>
      </c>
      <c r="EK68">
        <v>2392</v>
      </c>
      <c r="EL68">
        <v>2552</v>
      </c>
      <c r="EM68">
        <v>2693</v>
      </c>
      <c r="EN68">
        <v>4064</v>
      </c>
      <c r="EO68">
        <v>2552</v>
      </c>
      <c r="EP68">
        <v>4190</v>
      </c>
      <c r="EQ68">
        <v>60.384236999999999</v>
      </c>
    </row>
    <row r="69" spans="1:147" x14ac:dyDescent="0.25">
      <c r="A69">
        <v>2022</v>
      </c>
      <c r="B69" t="str">
        <f t="shared" si="2"/>
        <v>RD</v>
      </c>
      <c r="C69" t="s">
        <v>533</v>
      </c>
      <c r="D69" t="s">
        <v>533</v>
      </c>
      <c r="E69">
        <v>23062</v>
      </c>
      <c r="F69" t="s">
        <v>526</v>
      </c>
      <c r="G69" t="s">
        <v>527</v>
      </c>
      <c r="H69" t="s">
        <v>528</v>
      </c>
      <c r="I69">
        <v>30.32</v>
      </c>
      <c r="J69">
        <v>30.32</v>
      </c>
      <c r="K69" t="s">
        <v>527</v>
      </c>
      <c r="L69">
        <v>1</v>
      </c>
      <c r="M69">
        <v>2014</v>
      </c>
      <c r="N69">
        <v>3</v>
      </c>
      <c r="O69" t="str">
        <f t="shared" si="3"/>
        <v>Alto fuste</v>
      </c>
      <c r="P69" s="2">
        <v>41816</v>
      </c>
      <c r="Q69" t="s">
        <v>174</v>
      </c>
      <c r="R69" t="s">
        <v>314</v>
      </c>
      <c r="S69" t="s">
        <v>154</v>
      </c>
      <c r="T69" t="s">
        <v>527</v>
      </c>
      <c r="U69" t="s">
        <v>156</v>
      </c>
      <c r="V69" s="2">
        <v>44677</v>
      </c>
      <c r="W69" t="s">
        <v>529</v>
      </c>
      <c r="X69">
        <v>235.65</v>
      </c>
      <c r="Y69">
        <v>20.2</v>
      </c>
      <c r="Z69">
        <v>25</v>
      </c>
      <c r="AA69">
        <v>15.6</v>
      </c>
      <c r="AB69">
        <v>11</v>
      </c>
      <c r="AC69">
        <v>315.12</v>
      </c>
      <c r="AD69">
        <v>280.34851226576302</v>
      </c>
      <c r="AE69" s="2">
        <v>44677</v>
      </c>
      <c r="AF69">
        <v>94</v>
      </c>
      <c r="AG69">
        <v>7.8329911019849403</v>
      </c>
      <c r="AH69">
        <v>29.8295257457997</v>
      </c>
      <c r="AI69">
        <v>18.322727272727299</v>
      </c>
      <c r="AJ69">
        <v>20.9654936948798</v>
      </c>
      <c r="AK69">
        <v>22</v>
      </c>
      <c r="AL69">
        <v>784.73753337219796</v>
      </c>
      <c r="AM69">
        <v>274.94479768048501</v>
      </c>
      <c r="AN69">
        <v>0.35036529538606898</v>
      </c>
      <c r="AO69" t="s">
        <v>314</v>
      </c>
      <c r="AP69" t="s">
        <v>158</v>
      </c>
      <c r="AQ69" t="s">
        <v>530</v>
      </c>
      <c r="AR69">
        <v>9</v>
      </c>
      <c r="AS69">
        <v>0.70626378003497736</v>
      </c>
      <c r="AT69" t="s">
        <v>534</v>
      </c>
      <c r="AU69" t="s">
        <v>535</v>
      </c>
      <c r="AV69">
        <v>3043</v>
      </c>
      <c r="AW69">
        <v>1750</v>
      </c>
      <c r="AX69">
        <v>1026</v>
      </c>
      <c r="AY69">
        <v>237</v>
      </c>
      <c r="AZ69">
        <v>30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-1.0249999999999999</v>
      </c>
      <c r="BH69">
        <v>36.349997999999999</v>
      </c>
      <c r="BI69">
        <v>14.919309</v>
      </c>
      <c r="BJ69">
        <v>-0.43174600000000002</v>
      </c>
      <c r="BK69">
        <v>15.157624999999999</v>
      </c>
      <c r="BL69">
        <v>229.75360800000001</v>
      </c>
      <c r="BM69">
        <v>1.0159739999999999</v>
      </c>
      <c r="BN69">
        <v>31.586001</v>
      </c>
      <c r="BO69">
        <v>0.19662099999999999</v>
      </c>
      <c r="BP69">
        <v>1.1871149999999999</v>
      </c>
      <c r="BQ69">
        <v>14.675882</v>
      </c>
      <c r="BR69">
        <v>5.3220000000000001</v>
      </c>
      <c r="BS69">
        <v>5.4807459999999999</v>
      </c>
      <c r="BT69">
        <v>14.919309</v>
      </c>
      <c r="BU69">
        <v>8.1481840000000005</v>
      </c>
      <c r="BV69">
        <v>0.97795699999999997</v>
      </c>
      <c r="BW69">
        <v>-1.482637</v>
      </c>
      <c r="BX69">
        <v>0.54615000000000002</v>
      </c>
      <c r="BY69">
        <v>0.120021</v>
      </c>
      <c r="BZ69">
        <v>-0.18195900000000001</v>
      </c>
      <c r="CA69">
        <v>-0.29558000000000001</v>
      </c>
      <c r="CB69">
        <v>-0.12280000000000001</v>
      </c>
      <c r="CC69">
        <v>-2.86E-2</v>
      </c>
      <c r="CD69">
        <v>9.8400000000000001E-2</v>
      </c>
      <c r="CE69">
        <v>0.16300000000000001</v>
      </c>
      <c r="CF69">
        <v>0.253</v>
      </c>
      <c r="CG69">
        <v>0.63959999999999995</v>
      </c>
      <c r="CH69">
        <v>5.0490000000000004</v>
      </c>
      <c r="CI69">
        <v>25.592400000000001</v>
      </c>
      <c r="CJ69">
        <v>28.8918</v>
      </c>
      <c r="CK69">
        <v>31.749001</v>
      </c>
      <c r="CL69">
        <v>33.509402999999999</v>
      </c>
      <c r="CM69">
        <v>34.442000999999998</v>
      </c>
      <c r="CN69">
        <v>34.881802</v>
      </c>
      <c r="CO69">
        <v>35.693961999999999</v>
      </c>
      <c r="CP69">
        <v>0.42660399999999998</v>
      </c>
      <c r="CQ69">
        <v>21.266497000000001</v>
      </c>
      <c r="CR69">
        <v>24.264005000000001</v>
      </c>
      <c r="CS69">
        <v>1</v>
      </c>
      <c r="CT69">
        <v>51</v>
      </c>
      <c r="CU69">
        <v>13.300689999999999</v>
      </c>
      <c r="CV69">
        <v>1</v>
      </c>
      <c r="CW69">
        <v>8.2167359999999992</v>
      </c>
      <c r="CX69">
        <v>67.514750000000006</v>
      </c>
      <c r="CY69">
        <v>0.61776799999999998</v>
      </c>
      <c r="CZ69">
        <v>14</v>
      </c>
      <c r="DA69">
        <v>0.23448099999999999</v>
      </c>
      <c r="DB69">
        <v>2.2897159999999999</v>
      </c>
      <c r="DC69">
        <v>7.0669360000000001</v>
      </c>
      <c r="DD69">
        <v>13.300689999999999</v>
      </c>
      <c r="DE69">
        <v>4.6945379999999997</v>
      </c>
      <c r="DF69">
        <v>0.187308</v>
      </c>
      <c r="DG69">
        <v>5.5655000000000003E-2</v>
      </c>
      <c r="DH69">
        <v>0.35295399999999999</v>
      </c>
      <c r="DI69">
        <v>3.9898999999999997E-2</v>
      </c>
      <c r="DJ69">
        <v>1.1854999999999999E-2</v>
      </c>
      <c r="DK69">
        <v>1</v>
      </c>
      <c r="DL69">
        <v>1</v>
      </c>
      <c r="DM69">
        <v>3</v>
      </c>
      <c r="DN69">
        <v>5</v>
      </c>
      <c r="DO69">
        <v>6</v>
      </c>
      <c r="DP69">
        <v>7</v>
      </c>
      <c r="DQ69">
        <v>10</v>
      </c>
      <c r="DR69">
        <v>14</v>
      </c>
      <c r="DS69">
        <v>16</v>
      </c>
      <c r="DT69">
        <v>19</v>
      </c>
      <c r="DU69">
        <v>20</v>
      </c>
      <c r="DV69">
        <v>21</v>
      </c>
      <c r="DW69">
        <v>24</v>
      </c>
      <c r="DX69">
        <v>26</v>
      </c>
      <c r="DY69">
        <v>32</v>
      </c>
      <c r="DZ69">
        <v>69.771428999999998</v>
      </c>
      <c r="EA69">
        <v>53.269799999999996</v>
      </c>
      <c r="EB69">
        <v>92.628570999999994</v>
      </c>
      <c r="EC69">
        <v>1221</v>
      </c>
      <c r="ED69">
        <v>1621</v>
      </c>
      <c r="EE69">
        <v>62.685713999999997</v>
      </c>
      <c r="EF69">
        <v>100</v>
      </c>
      <c r="EG69">
        <v>47.617483</v>
      </c>
      <c r="EH69">
        <v>99.671377000000007</v>
      </c>
      <c r="EI69">
        <v>82.8</v>
      </c>
      <c r="EJ69">
        <v>173.31428600000001</v>
      </c>
      <c r="EK69">
        <v>1097</v>
      </c>
      <c r="EL69">
        <v>1750</v>
      </c>
      <c r="EM69">
        <v>1449</v>
      </c>
      <c r="EN69">
        <v>3033</v>
      </c>
      <c r="EO69">
        <v>1750</v>
      </c>
      <c r="EP69">
        <v>3043</v>
      </c>
      <c r="EQ69">
        <v>40.837026999999999</v>
      </c>
    </row>
    <row r="70" spans="1:147" x14ac:dyDescent="0.25">
      <c r="A70">
        <v>2022</v>
      </c>
      <c r="B70" t="str">
        <f t="shared" si="2"/>
        <v>RD</v>
      </c>
      <c r="C70" t="s">
        <v>536</v>
      </c>
      <c r="D70" t="s">
        <v>536</v>
      </c>
      <c r="E70">
        <v>23065</v>
      </c>
      <c r="F70" t="s">
        <v>526</v>
      </c>
      <c r="G70" t="s">
        <v>527</v>
      </c>
      <c r="H70" t="s">
        <v>537</v>
      </c>
      <c r="I70">
        <v>21.87</v>
      </c>
      <c r="J70">
        <v>21.87</v>
      </c>
      <c r="K70" t="s">
        <v>527</v>
      </c>
      <c r="L70">
        <v>1</v>
      </c>
      <c r="M70">
        <v>2014</v>
      </c>
      <c r="N70">
        <v>3</v>
      </c>
      <c r="O70" t="str">
        <f t="shared" si="3"/>
        <v>Alto fuste</v>
      </c>
      <c r="P70" s="2">
        <v>41852</v>
      </c>
      <c r="Q70" t="s">
        <v>174</v>
      </c>
      <c r="R70" t="s">
        <v>367</v>
      </c>
      <c r="S70" t="s">
        <v>154</v>
      </c>
      <c r="T70" t="s">
        <v>527</v>
      </c>
      <c r="U70" t="s">
        <v>156</v>
      </c>
      <c r="V70" s="2">
        <v>44678</v>
      </c>
      <c r="W70" t="s">
        <v>529</v>
      </c>
      <c r="X70">
        <v>235.65</v>
      </c>
      <c r="Y70">
        <v>20.2</v>
      </c>
      <c r="Z70">
        <v>26</v>
      </c>
      <c r="AA70">
        <v>16</v>
      </c>
      <c r="AB70">
        <v>9</v>
      </c>
      <c r="AC70">
        <v>323.2</v>
      </c>
      <c r="AD70">
        <v>286.91381892072798</v>
      </c>
      <c r="AE70" s="2">
        <v>44678</v>
      </c>
      <c r="AF70">
        <v>92</v>
      </c>
      <c r="AG70">
        <v>7.7371663244353197</v>
      </c>
      <c r="AH70">
        <v>30.152899033528399</v>
      </c>
      <c r="AI70">
        <v>18.5454545454546</v>
      </c>
      <c r="AJ70">
        <v>32.322683061625497</v>
      </c>
      <c r="AK70">
        <v>33</v>
      </c>
      <c r="AL70">
        <v>1150.17116025066</v>
      </c>
      <c r="AM70">
        <v>441.17821183503497</v>
      </c>
      <c r="AN70">
        <v>0.38357613812790198</v>
      </c>
      <c r="AO70" t="s">
        <v>367</v>
      </c>
      <c r="AP70" t="s">
        <v>158</v>
      </c>
      <c r="AQ70" t="s">
        <v>166</v>
      </c>
      <c r="AR70">
        <v>9</v>
      </c>
      <c r="AS70">
        <v>1.0351540442255891</v>
      </c>
      <c r="AT70" t="s">
        <v>538</v>
      </c>
      <c r="AU70" t="s">
        <v>539</v>
      </c>
      <c r="AV70">
        <v>2875</v>
      </c>
      <c r="AW70">
        <v>1699</v>
      </c>
      <c r="AX70">
        <v>1066</v>
      </c>
      <c r="AY70">
        <v>110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-1.0209999999999999</v>
      </c>
      <c r="BH70">
        <v>36.342998999999999</v>
      </c>
      <c r="BI70">
        <v>17.567450999999998</v>
      </c>
      <c r="BJ70">
        <v>-0.427921</v>
      </c>
      <c r="BK70">
        <v>15.541435</v>
      </c>
      <c r="BL70">
        <v>241.53620599999999</v>
      </c>
      <c r="BM70">
        <v>0.88467200000000001</v>
      </c>
      <c r="BN70">
        <v>32.294998</v>
      </c>
      <c r="BO70">
        <v>-0.17577799999999999</v>
      </c>
      <c r="BP70">
        <v>1.124204</v>
      </c>
      <c r="BQ70">
        <v>15.038589999999999</v>
      </c>
      <c r="BR70">
        <v>8.2580010000000001</v>
      </c>
      <c r="BS70">
        <v>26.509922</v>
      </c>
      <c r="BT70">
        <v>17.567450999999998</v>
      </c>
      <c r="BU70">
        <v>8.2230670000000003</v>
      </c>
      <c r="BV70">
        <v>-0.38644499999999998</v>
      </c>
      <c r="BW70">
        <v>-1.6888030000000001</v>
      </c>
      <c r="BX70">
        <v>0.46808499999999997</v>
      </c>
      <c r="BY70">
        <v>-4.6995000000000002E-2</v>
      </c>
      <c r="BZ70">
        <v>-0.205374</v>
      </c>
      <c r="CA70">
        <v>-0.39129999999999998</v>
      </c>
      <c r="CB70">
        <v>-0.17399999999999999</v>
      </c>
      <c r="CC70">
        <v>-9.2999999999999999E-2</v>
      </c>
      <c r="CD70">
        <v>4.0000000000000001E-3</v>
      </c>
      <c r="CE70">
        <v>5.5E-2</v>
      </c>
      <c r="CF70">
        <v>9.9000000000000005E-2</v>
      </c>
      <c r="CG70">
        <v>0.27</v>
      </c>
      <c r="CH70">
        <v>26.082001000000002</v>
      </c>
      <c r="CI70">
        <v>31.069799</v>
      </c>
      <c r="CJ70">
        <v>32.023598</v>
      </c>
      <c r="CK70">
        <v>32.349997999999999</v>
      </c>
      <c r="CL70">
        <v>32.734200000000001</v>
      </c>
      <c r="CM70">
        <v>33.703400000000002</v>
      </c>
      <c r="CN70">
        <v>34.416103</v>
      </c>
      <c r="CO70">
        <v>35.317680000000003</v>
      </c>
      <c r="CP70">
        <v>0.49749599999999999</v>
      </c>
      <c r="CQ70">
        <v>23.453519</v>
      </c>
      <c r="CR70">
        <v>25.956067999999998</v>
      </c>
      <c r="CS70">
        <v>1</v>
      </c>
      <c r="CT70">
        <v>65</v>
      </c>
      <c r="CU70">
        <v>21.591652</v>
      </c>
      <c r="CV70">
        <v>1</v>
      </c>
      <c r="CW70">
        <v>14.40488</v>
      </c>
      <c r="CX70">
        <v>207.50055699999999</v>
      </c>
      <c r="CY70">
        <v>0.66715000000000002</v>
      </c>
      <c r="CZ70">
        <v>23</v>
      </c>
      <c r="DA70">
        <v>0.36827300000000002</v>
      </c>
      <c r="DB70">
        <v>2.3397380000000001</v>
      </c>
      <c r="DC70">
        <v>12.051012</v>
      </c>
      <c r="DD70">
        <v>21.591652</v>
      </c>
      <c r="DE70">
        <v>8.2017260000000007</v>
      </c>
      <c r="DF70">
        <v>0.66411399999999998</v>
      </c>
      <c r="DG70">
        <v>0.353354</v>
      </c>
      <c r="DH70">
        <v>0.37985600000000003</v>
      </c>
      <c r="DI70">
        <v>8.0973000000000003E-2</v>
      </c>
      <c r="DJ70">
        <v>4.3083000000000003E-2</v>
      </c>
      <c r="DK70">
        <v>1</v>
      </c>
      <c r="DL70">
        <v>2</v>
      </c>
      <c r="DM70">
        <v>3</v>
      </c>
      <c r="DN70">
        <v>6</v>
      </c>
      <c r="DO70">
        <v>8</v>
      </c>
      <c r="DP70">
        <v>11</v>
      </c>
      <c r="DQ70">
        <v>17</v>
      </c>
      <c r="DR70">
        <v>22</v>
      </c>
      <c r="DS70">
        <v>26</v>
      </c>
      <c r="DT70">
        <v>29</v>
      </c>
      <c r="DU70">
        <v>31</v>
      </c>
      <c r="DV70">
        <v>34</v>
      </c>
      <c r="DW70">
        <v>42</v>
      </c>
      <c r="DX70">
        <v>48</v>
      </c>
      <c r="DY70">
        <v>55</v>
      </c>
      <c r="DZ70">
        <v>88.816951000000003</v>
      </c>
      <c r="EA70">
        <v>57.391303999999998</v>
      </c>
      <c r="EB70">
        <v>97.115950999999995</v>
      </c>
      <c r="EC70">
        <v>1509</v>
      </c>
      <c r="ED70">
        <v>1650</v>
      </c>
      <c r="EE70">
        <v>88.228369999999998</v>
      </c>
      <c r="EF70">
        <v>100</v>
      </c>
      <c r="EG70">
        <v>55.860869999999998</v>
      </c>
      <c r="EH70">
        <v>99.2</v>
      </c>
      <c r="EI70">
        <v>94.526191999999995</v>
      </c>
      <c r="EJ70">
        <v>167.863449</v>
      </c>
      <c r="EK70">
        <v>1499</v>
      </c>
      <c r="EL70">
        <v>1699</v>
      </c>
      <c r="EM70">
        <v>1606</v>
      </c>
      <c r="EN70">
        <v>2852</v>
      </c>
      <c r="EO70">
        <v>1699</v>
      </c>
      <c r="EP70">
        <v>2875</v>
      </c>
      <c r="EQ70">
        <v>48.847794</v>
      </c>
    </row>
    <row r="71" spans="1:147" x14ac:dyDescent="0.25">
      <c r="A71">
        <v>2022</v>
      </c>
      <c r="B71" t="str">
        <f t="shared" si="2"/>
        <v>RD</v>
      </c>
      <c r="C71" t="s">
        <v>540</v>
      </c>
      <c r="D71" t="s">
        <v>540</v>
      </c>
      <c r="E71">
        <v>23066</v>
      </c>
      <c r="F71" t="s">
        <v>541</v>
      </c>
      <c r="G71" t="s">
        <v>542</v>
      </c>
      <c r="H71" t="s">
        <v>543</v>
      </c>
      <c r="I71">
        <v>6.16</v>
      </c>
      <c r="J71">
        <v>6.16</v>
      </c>
      <c r="K71" t="s">
        <v>527</v>
      </c>
      <c r="L71">
        <v>1</v>
      </c>
      <c r="M71">
        <v>2014</v>
      </c>
      <c r="N71">
        <v>2</v>
      </c>
      <c r="O71" t="str">
        <f t="shared" si="3"/>
        <v>Talhadia</v>
      </c>
      <c r="P71" s="2">
        <v>41927</v>
      </c>
      <c r="Q71" t="s">
        <v>322</v>
      </c>
      <c r="R71" t="s">
        <v>544</v>
      </c>
      <c r="S71" t="s">
        <v>154</v>
      </c>
      <c r="T71" t="s">
        <v>527</v>
      </c>
      <c r="U71" t="s">
        <v>156</v>
      </c>
      <c r="V71" s="2">
        <v>44678</v>
      </c>
      <c r="W71" t="s">
        <v>545</v>
      </c>
      <c r="X71">
        <v>48.56</v>
      </c>
      <c r="Y71">
        <v>18.5</v>
      </c>
      <c r="Z71">
        <v>26</v>
      </c>
      <c r="AA71">
        <v>14.1</v>
      </c>
      <c r="AB71">
        <v>9</v>
      </c>
      <c r="AC71">
        <v>260.85000000000002</v>
      </c>
      <c r="AD71">
        <v>231.56395317287101</v>
      </c>
      <c r="AE71" s="2">
        <v>44678</v>
      </c>
      <c r="AF71">
        <v>90</v>
      </c>
      <c r="AG71">
        <v>7.5318275154004102</v>
      </c>
      <c r="AH71">
        <v>26.8865437305985</v>
      </c>
      <c r="AI71">
        <v>17.4142857142857</v>
      </c>
      <c r="AJ71">
        <v>23.3472882378089</v>
      </c>
      <c r="AK71">
        <v>21</v>
      </c>
      <c r="AL71">
        <v>906.87689997772497</v>
      </c>
      <c r="AM71">
        <v>298.96237708446</v>
      </c>
      <c r="AN71">
        <v>0.32966147565540999</v>
      </c>
      <c r="AO71" t="s">
        <v>544</v>
      </c>
      <c r="AP71" t="s">
        <v>264</v>
      </c>
      <c r="AQ71" t="s">
        <v>166</v>
      </c>
      <c r="AR71">
        <v>9.99</v>
      </c>
      <c r="AS71">
        <v>0.90597002307774588</v>
      </c>
      <c r="AT71" t="s">
        <v>546</v>
      </c>
      <c r="AU71" t="s">
        <v>547</v>
      </c>
      <c r="AV71">
        <v>6811</v>
      </c>
      <c r="AW71">
        <v>4306</v>
      </c>
      <c r="AX71">
        <v>2308</v>
      </c>
      <c r="AY71">
        <v>190</v>
      </c>
      <c r="AZ71">
        <v>7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-0.98099999999999998</v>
      </c>
      <c r="BH71">
        <v>32.702998999999998</v>
      </c>
      <c r="BI71">
        <v>17.746469000000001</v>
      </c>
      <c r="BJ71">
        <v>-0.44633299999999998</v>
      </c>
      <c r="BK71">
        <v>13.844277</v>
      </c>
      <c r="BL71">
        <v>191.664018</v>
      </c>
      <c r="BM71">
        <v>0.78011399999999997</v>
      </c>
      <c r="BN71">
        <v>29.315501000000001</v>
      </c>
      <c r="BO71">
        <v>-0.43584800000000001</v>
      </c>
      <c r="BP71">
        <v>1.2574019999999999</v>
      </c>
      <c r="BQ71">
        <v>13.327958000000001</v>
      </c>
      <c r="BR71">
        <v>3.6379990000000002</v>
      </c>
      <c r="BS71">
        <v>27.420334</v>
      </c>
      <c r="BT71">
        <v>17.746469000000001</v>
      </c>
      <c r="BU71">
        <v>7.1941689999999996</v>
      </c>
      <c r="BV71">
        <v>-1.175775</v>
      </c>
      <c r="BW71">
        <v>-1.171062</v>
      </c>
      <c r="BX71">
        <v>0.40538600000000002</v>
      </c>
      <c r="BY71">
        <v>-0.163434</v>
      </c>
      <c r="BZ71">
        <v>-0.16277900000000001</v>
      </c>
      <c r="CA71">
        <v>-0.45469999999999999</v>
      </c>
      <c r="CB71">
        <v>-0.155</v>
      </c>
      <c r="CC71">
        <v>-5.1999999999999998E-2</v>
      </c>
      <c r="CD71">
        <v>8.4000000000000005E-2</v>
      </c>
      <c r="CE71">
        <v>0.14849999999999999</v>
      </c>
      <c r="CF71">
        <v>0.25900000000000001</v>
      </c>
      <c r="CG71">
        <v>22.059000000000001</v>
      </c>
      <c r="CH71">
        <v>26.974001000000001</v>
      </c>
      <c r="CI71">
        <v>28.285</v>
      </c>
      <c r="CJ71">
        <v>29.132000000000001</v>
      </c>
      <c r="CK71">
        <v>29.464001</v>
      </c>
      <c r="CL71">
        <v>29.818000999999999</v>
      </c>
      <c r="CM71">
        <v>30.57</v>
      </c>
      <c r="CN71">
        <v>31.0075</v>
      </c>
      <c r="CO71">
        <v>32.174999</v>
      </c>
      <c r="CP71">
        <v>0.555975</v>
      </c>
      <c r="CQ71">
        <v>22.507176999999999</v>
      </c>
      <c r="CR71">
        <v>24.460581999999999</v>
      </c>
      <c r="CS71">
        <v>1</v>
      </c>
      <c r="CT71">
        <v>52</v>
      </c>
      <c r="CU71">
        <v>17.944208</v>
      </c>
      <c r="CV71">
        <v>1</v>
      </c>
      <c r="CW71">
        <v>11.013066999999999</v>
      </c>
      <c r="CX71">
        <v>121.28763600000001</v>
      </c>
      <c r="CY71">
        <v>0.61373900000000003</v>
      </c>
      <c r="CZ71">
        <v>18</v>
      </c>
      <c r="DA71">
        <v>0.13540199999999999</v>
      </c>
      <c r="DB71">
        <v>2.2314379999999998</v>
      </c>
      <c r="DC71">
        <v>9.3865259999999999</v>
      </c>
      <c r="DD71">
        <v>17.944208</v>
      </c>
      <c r="DE71">
        <v>6.2861209999999996</v>
      </c>
      <c r="DF71">
        <v>7.7826000000000006E-2</v>
      </c>
      <c r="DG71">
        <v>0.17207</v>
      </c>
      <c r="DH71">
        <v>0.35031499999999999</v>
      </c>
      <c r="DI71">
        <v>1.2381E-2</v>
      </c>
      <c r="DJ71">
        <v>2.7373000000000001E-2</v>
      </c>
      <c r="DK71">
        <v>1</v>
      </c>
      <c r="DL71">
        <v>1</v>
      </c>
      <c r="DM71">
        <v>3</v>
      </c>
      <c r="DN71">
        <v>6</v>
      </c>
      <c r="DO71">
        <v>8</v>
      </c>
      <c r="DP71">
        <v>10</v>
      </c>
      <c r="DQ71">
        <v>15</v>
      </c>
      <c r="DR71">
        <v>19</v>
      </c>
      <c r="DS71">
        <v>22</v>
      </c>
      <c r="DT71">
        <v>25</v>
      </c>
      <c r="DU71">
        <v>26</v>
      </c>
      <c r="DV71">
        <v>27</v>
      </c>
      <c r="DW71">
        <v>31</v>
      </c>
      <c r="DX71">
        <v>35</v>
      </c>
      <c r="DY71">
        <v>45</v>
      </c>
      <c r="DZ71">
        <v>93.706456000000003</v>
      </c>
      <c r="EA71">
        <v>62.912934999999997</v>
      </c>
      <c r="EB71">
        <v>99.512308000000004</v>
      </c>
      <c r="EC71">
        <v>4035</v>
      </c>
      <c r="ED71">
        <v>4285</v>
      </c>
      <c r="EE71">
        <v>93.079424000000003</v>
      </c>
      <c r="EF71">
        <v>100</v>
      </c>
      <c r="EG71">
        <v>61.209808000000002</v>
      </c>
      <c r="EH71">
        <v>98.898840000000007</v>
      </c>
      <c r="EI71">
        <v>96.818393</v>
      </c>
      <c r="EJ71">
        <v>156.432884</v>
      </c>
      <c r="EK71">
        <v>4008</v>
      </c>
      <c r="EL71">
        <v>4306</v>
      </c>
      <c r="EM71">
        <v>4169</v>
      </c>
      <c r="EN71">
        <v>6736</v>
      </c>
      <c r="EO71">
        <v>4306</v>
      </c>
      <c r="EP71">
        <v>6811</v>
      </c>
      <c r="EQ71">
        <v>54.260084999999997</v>
      </c>
    </row>
    <row r="72" spans="1:147" x14ac:dyDescent="0.25">
      <c r="A72">
        <v>2022</v>
      </c>
      <c r="B72" t="str">
        <f t="shared" si="2"/>
        <v>RD</v>
      </c>
      <c r="C72" t="s">
        <v>548</v>
      </c>
      <c r="D72" t="s">
        <v>548</v>
      </c>
      <c r="E72">
        <v>23067</v>
      </c>
      <c r="F72" t="s">
        <v>541</v>
      </c>
      <c r="G72" t="s">
        <v>542</v>
      </c>
      <c r="H72" t="s">
        <v>549</v>
      </c>
      <c r="I72">
        <v>28.35</v>
      </c>
      <c r="J72">
        <v>28.35</v>
      </c>
      <c r="K72" t="s">
        <v>527</v>
      </c>
      <c r="L72">
        <v>1</v>
      </c>
      <c r="M72">
        <v>2014</v>
      </c>
      <c r="N72">
        <v>2</v>
      </c>
      <c r="O72" t="str">
        <f t="shared" si="3"/>
        <v>Talhadia</v>
      </c>
      <c r="P72" s="2">
        <v>41927</v>
      </c>
      <c r="Q72" t="s">
        <v>322</v>
      </c>
      <c r="R72" t="s">
        <v>544</v>
      </c>
      <c r="S72" t="s">
        <v>154</v>
      </c>
      <c r="T72" t="s">
        <v>527</v>
      </c>
      <c r="U72" t="s">
        <v>156</v>
      </c>
      <c r="V72" s="2">
        <v>44678</v>
      </c>
      <c r="W72" t="s">
        <v>545</v>
      </c>
      <c r="X72">
        <v>48.56</v>
      </c>
      <c r="Y72">
        <v>19.7</v>
      </c>
      <c r="Z72">
        <v>14</v>
      </c>
      <c r="AA72">
        <v>15.9</v>
      </c>
      <c r="AB72">
        <v>7</v>
      </c>
      <c r="AC72">
        <v>313.23</v>
      </c>
      <c r="AD72">
        <v>301.66031403516502</v>
      </c>
      <c r="AE72" s="2">
        <v>44678</v>
      </c>
      <c r="AF72">
        <v>90</v>
      </c>
      <c r="AG72">
        <v>7.5318275154004102</v>
      </c>
      <c r="AH72">
        <v>29.4015363010828</v>
      </c>
      <c r="AI72">
        <v>18.661290322580601</v>
      </c>
      <c r="AJ72">
        <v>30.087727197194798</v>
      </c>
      <c r="AK72">
        <v>31</v>
      </c>
      <c r="AL72">
        <v>1027.6459500200001</v>
      </c>
      <c r="AM72">
        <v>426.69277272922199</v>
      </c>
      <c r="AN72">
        <v>0.41521379296139499</v>
      </c>
      <c r="AO72" t="s">
        <v>544</v>
      </c>
      <c r="AP72" t="s">
        <v>264</v>
      </c>
      <c r="AQ72" t="s">
        <v>166</v>
      </c>
      <c r="AR72">
        <v>9.99</v>
      </c>
      <c r="AS72">
        <v>1.0266183040699839</v>
      </c>
      <c r="AT72" t="s">
        <v>550</v>
      </c>
      <c r="AU72" t="s">
        <v>551</v>
      </c>
      <c r="AV72">
        <v>4149</v>
      </c>
      <c r="AW72">
        <v>2469</v>
      </c>
      <c r="AX72">
        <v>1342</v>
      </c>
      <c r="AY72">
        <v>313</v>
      </c>
      <c r="AZ72">
        <v>25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-0.99199999999999999</v>
      </c>
      <c r="BH72">
        <v>36.862999000000002</v>
      </c>
      <c r="BI72">
        <v>19.804870999999999</v>
      </c>
      <c r="BJ72">
        <v>-0.391127</v>
      </c>
      <c r="BK72">
        <v>15.065595</v>
      </c>
      <c r="BL72">
        <v>226.97215700000001</v>
      </c>
      <c r="BM72">
        <v>0.76070199999999999</v>
      </c>
      <c r="BN72">
        <v>33.183</v>
      </c>
      <c r="BO72">
        <v>-0.39752100000000001</v>
      </c>
      <c r="BP72">
        <v>1.3534299999999999</v>
      </c>
      <c r="BQ72">
        <v>13.969702</v>
      </c>
      <c r="BR72">
        <v>8.6190010000000008</v>
      </c>
      <c r="BS72">
        <v>26.213127</v>
      </c>
      <c r="BT72">
        <v>19.804870999999999</v>
      </c>
      <c r="BU72">
        <v>8.10365</v>
      </c>
      <c r="BV72">
        <v>-1.1325339999999999</v>
      </c>
      <c r="BW72">
        <v>-1.270742</v>
      </c>
      <c r="BX72">
        <v>0.40917500000000001</v>
      </c>
      <c r="BY72">
        <v>-0.13975599999999999</v>
      </c>
      <c r="BZ72">
        <v>-0.15681100000000001</v>
      </c>
      <c r="CA72">
        <v>-0.36499999999999999</v>
      </c>
      <c r="CB72">
        <v>-0.15</v>
      </c>
      <c r="CC72">
        <v>-5.0999999999999997E-2</v>
      </c>
      <c r="CD72">
        <v>6.4000000000000001E-2</v>
      </c>
      <c r="CE72">
        <v>0.11600000000000001</v>
      </c>
      <c r="CF72">
        <v>0.20200000000000001</v>
      </c>
      <c r="CG72">
        <v>18.974997999999999</v>
      </c>
      <c r="CH72">
        <v>25.822001</v>
      </c>
      <c r="CI72">
        <v>32.137402000000002</v>
      </c>
      <c r="CJ72">
        <v>32.943001000000002</v>
      </c>
      <c r="CK72">
        <v>33.298999999999999</v>
      </c>
      <c r="CL72">
        <v>33.754401999999999</v>
      </c>
      <c r="CM72">
        <v>34.749001</v>
      </c>
      <c r="CN72">
        <v>35.370800000000003</v>
      </c>
      <c r="CO72">
        <v>36.064799999999998</v>
      </c>
      <c r="CP72">
        <v>0.54938200000000004</v>
      </c>
      <c r="CQ72">
        <v>24.882732000000001</v>
      </c>
      <c r="CR72">
        <v>27.094923999999999</v>
      </c>
      <c r="CS72">
        <v>1</v>
      </c>
      <c r="CT72">
        <v>67</v>
      </c>
      <c r="CU72">
        <v>20.146540999999999</v>
      </c>
      <c r="CV72">
        <v>1</v>
      </c>
      <c r="CW72">
        <v>14.085998999999999</v>
      </c>
      <c r="CX72">
        <v>198.415357</v>
      </c>
      <c r="CY72">
        <v>0.69917700000000005</v>
      </c>
      <c r="CZ72">
        <v>23</v>
      </c>
      <c r="DA72">
        <v>0.40367599999999998</v>
      </c>
      <c r="DB72">
        <v>2.2905799999999998</v>
      </c>
      <c r="DC72">
        <v>11.99066</v>
      </c>
      <c r="DD72">
        <v>20.146540999999999</v>
      </c>
      <c r="DE72">
        <v>8.0158919999999991</v>
      </c>
      <c r="DF72">
        <v>0.771814</v>
      </c>
      <c r="DG72">
        <v>0.18592900000000001</v>
      </c>
      <c r="DH72">
        <v>0.39787899999999998</v>
      </c>
      <c r="DI72">
        <v>9.6284999999999996E-2</v>
      </c>
      <c r="DJ72">
        <v>2.3195E-2</v>
      </c>
      <c r="DK72">
        <v>1</v>
      </c>
      <c r="DL72">
        <v>1</v>
      </c>
      <c r="DM72">
        <v>2</v>
      </c>
      <c r="DN72">
        <v>5</v>
      </c>
      <c r="DO72">
        <v>7</v>
      </c>
      <c r="DP72">
        <v>9</v>
      </c>
      <c r="DQ72">
        <v>14</v>
      </c>
      <c r="DR72">
        <v>20</v>
      </c>
      <c r="DS72">
        <v>24</v>
      </c>
      <c r="DT72">
        <v>28</v>
      </c>
      <c r="DU72">
        <v>30</v>
      </c>
      <c r="DV72">
        <v>33</v>
      </c>
      <c r="DW72">
        <v>39</v>
      </c>
      <c r="DX72">
        <v>45</v>
      </c>
      <c r="DY72">
        <v>54</v>
      </c>
      <c r="DZ72">
        <v>92.385581000000002</v>
      </c>
      <c r="EA72">
        <v>66.401543000000004</v>
      </c>
      <c r="EB72">
        <v>111.583637</v>
      </c>
      <c r="EC72">
        <v>2281</v>
      </c>
      <c r="ED72">
        <v>2755</v>
      </c>
      <c r="EE72">
        <v>88.983394000000004</v>
      </c>
      <c r="EF72">
        <v>100</v>
      </c>
      <c r="EG72">
        <v>58.857556000000002</v>
      </c>
      <c r="EH72">
        <v>99.132321000000005</v>
      </c>
      <c r="EI72">
        <v>98.906440000000003</v>
      </c>
      <c r="EJ72">
        <v>166.58566200000001</v>
      </c>
      <c r="EK72">
        <v>2197</v>
      </c>
      <c r="EL72">
        <v>2469</v>
      </c>
      <c r="EM72">
        <v>2442</v>
      </c>
      <c r="EN72">
        <v>4113</v>
      </c>
      <c r="EO72">
        <v>2469</v>
      </c>
      <c r="EP72">
        <v>4149</v>
      </c>
      <c r="EQ72">
        <v>53.977558999999999</v>
      </c>
    </row>
    <row r="73" spans="1:147" x14ac:dyDescent="0.25">
      <c r="A73">
        <v>2022</v>
      </c>
      <c r="B73" t="str">
        <f t="shared" si="2"/>
        <v>RD</v>
      </c>
      <c r="C73" t="s">
        <v>552</v>
      </c>
      <c r="D73" t="s">
        <v>552</v>
      </c>
      <c r="E73">
        <v>23187</v>
      </c>
      <c r="F73" t="s">
        <v>553</v>
      </c>
      <c r="G73" t="s">
        <v>554</v>
      </c>
      <c r="H73" t="s">
        <v>555</v>
      </c>
      <c r="I73">
        <v>75.45</v>
      </c>
      <c r="J73">
        <v>75.45</v>
      </c>
      <c r="K73" t="s">
        <v>236</v>
      </c>
      <c r="L73">
        <v>1</v>
      </c>
      <c r="M73">
        <v>2014</v>
      </c>
      <c r="N73">
        <v>2</v>
      </c>
      <c r="O73" t="str">
        <f t="shared" si="3"/>
        <v>Alto fuste</v>
      </c>
      <c r="P73" s="2">
        <v>41913</v>
      </c>
      <c r="Q73" t="s">
        <v>237</v>
      </c>
      <c r="R73" t="s">
        <v>249</v>
      </c>
      <c r="S73" t="s">
        <v>154</v>
      </c>
      <c r="T73" t="s">
        <v>238</v>
      </c>
      <c r="U73" t="s">
        <v>156</v>
      </c>
      <c r="V73" s="2">
        <v>44749</v>
      </c>
      <c r="W73" t="s">
        <v>556</v>
      </c>
      <c r="X73">
        <v>75.45</v>
      </c>
      <c r="Y73">
        <v>19.600000000000001</v>
      </c>
      <c r="Z73">
        <v>19</v>
      </c>
      <c r="AA73">
        <v>15.5</v>
      </c>
      <c r="AB73">
        <v>1</v>
      </c>
      <c r="AC73">
        <v>303.8</v>
      </c>
      <c r="AD73">
        <v>287.20479392261302</v>
      </c>
      <c r="AE73" s="2">
        <v>44749</v>
      </c>
      <c r="AF73">
        <v>93</v>
      </c>
      <c r="AG73">
        <v>7.7645448323066404</v>
      </c>
      <c r="AH73">
        <v>25.298516098078998</v>
      </c>
      <c r="AI73">
        <v>15.0966666666667</v>
      </c>
      <c r="AJ73">
        <v>19.438471508126799</v>
      </c>
      <c r="AK73">
        <v>30</v>
      </c>
      <c r="AL73">
        <v>1044.5508095552</v>
      </c>
      <c r="AM73">
        <v>233.08553134630401</v>
      </c>
      <c r="AN73">
        <v>0.223144273322194</v>
      </c>
      <c r="AO73" t="s">
        <v>249</v>
      </c>
      <c r="AP73" t="s">
        <v>158</v>
      </c>
      <c r="AQ73" t="s">
        <v>286</v>
      </c>
      <c r="AR73">
        <v>7.5</v>
      </c>
      <c r="AS73">
        <v>0.78341310716640045</v>
      </c>
      <c r="AT73" t="s">
        <v>557</v>
      </c>
      <c r="AU73" t="s">
        <v>558</v>
      </c>
      <c r="AV73">
        <v>10286</v>
      </c>
      <c r="AW73">
        <v>5308</v>
      </c>
      <c r="AX73">
        <v>3926</v>
      </c>
      <c r="AY73">
        <v>958</v>
      </c>
      <c r="AZ73">
        <v>94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-1.66</v>
      </c>
      <c r="BH73">
        <v>29.51</v>
      </c>
      <c r="BI73">
        <v>13.663574000000001</v>
      </c>
      <c r="BJ73">
        <v>-0.17571400000000001</v>
      </c>
      <c r="BK73">
        <v>11.129882</v>
      </c>
      <c r="BL73">
        <v>123.874278</v>
      </c>
      <c r="BM73">
        <v>0.81456600000000001</v>
      </c>
      <c r="BN73">
        <v>24.18</v>
      </c>
      <c r="BO73">
        <v>-0.17172499999999999</v>
      </c>
      <c r="BP73">
        <v>1.353043</v>
      </c>
      <c r="BQ73">
        <v>10.208881999999999</v>
      </c>
      <c r="BR73">
        <v>10.174998</v>
      </c>
      <c r="BS73">
        <v>16.560714999999998</v>
      </c>
      <c r="BT73">
        <v>13.663574000000001</v>
      </c>
      <c r="BU73">
        <v>6.1952410000000002</v>
      </c>
      <c r="BV73">
        <v>-0.175344</v>
      </c>
      <c r="BW73">
        <v>-0.85089300000000001</v>
      </c>
      <c r="BX73">
        <v>0.45341300000000001</v>
      </c>
      <c r="BY73">
        <v>-2.8302999999999998E-2</v>
      </c>
      <c r="BZ73">
        <v>-0.137346</v>
      </c>
      <c r="CA73">
        <v>-0.46</v>
      </c>
      <c r="CB73">
        <v>-0.19</v>
      </c>
      <c r="CC73">
        <v>-7.0000000000000007E-2</v>
      </c>
      <c r="CD73">
        <v>7.0000000000000007E-2</v>
      </c>
      <c r="CE73">
        <v>0.14000000000000001</v>
      </c>
      <c r="CF73">
        <v>0.22500000000000001</v>
      </c>
      <c r="CG73">
        <v>11.19</v>
      </c>
      <c r="CH73">
        <v>16.384998</v>
      </c>
      <c r="CI73">
        <v>20.059999000000001</v>
      </c>
      <c r="CJ73">
        <v>23.540001</v>
      </c>
      <c r="CK73">
        <v>24.32</v>
      </c>
      <c r="CL73">
        <v>25.219999000000001</v>
      </c>
      <c r="CM73">
        <v>26.945</v>
      </c>
      <c r="CN73">
        <v>27.58</v>
      </c>
      <c r="CO73">
        <v>28.549999</v>
      </c>
      <c r="CP73">
        <v>0.49161300000000002</v>
      </c>
      <c r="CQ73">
        <v>17.622584</v>
      </c>
      <c r="CR73">
        <v>19.479361999999998</v>
      </c>
      <c r="CS73">
        <v>1</v>
      </c>
      <c r="CT73">
        <v>45</v>
      </c>
      <c r="CU73">
        <v>9.4097799999999996</v>
      </c>
      <c r="CV73">
        <v>1</v>
      </c>
      <c r="CW73">
        <v>7.5227589999999998</v>
      </c>
      <c r="CX73">
        <v>56.591907999999997</v>
      </c>
      <c r="CY73">
        <v>0.79946200000000001</v>
      </c>
      <c r="CZ73">
        <v>9</v>
      </c>
      <c r="DA73">
        <v>1.4721740000000001</v>
      </c>
      <c r="DB73">
        <v>5.5555500000000002</v>
      </c>
      <c r="DC73">
        <v>5.6585739999999998</v>
      </c>
      <c r="DD73">
        <v>9.4097799999999996</v>
      </c>
      <c r="DE73">
        <v>3.9380500000000001</v>
      </c>
      <c r="DF73">
        <v>1.0187330000000001</v>
      </c>
      <c r="DG73">
        <v>0.59951600000000005</v>
      </c>
      <c r="DH73">
        <v>0.41850599999999999</v>
      </c>
      <c r="DI73">
        <v>0.25868999999999998</v>
      </c>
      <c r="DJ73">
        <v>0.15223700000000001</v>
      </c>
      <c r="DK73">
        <v>1</v>
      </c>
      <c r="DL73">
        <v>1</v>
      </c>
      <c r="DM73">
        <v>2</v>
      </c>
      <c r="DN73">
        <v>3</v>
      </c>
      <c r="DO73">
        <v>4</v>
      </c>
      <c r="DP73">
        <v>5</v>
      </c>
      <c r="DQ73">
        <v>6</v>
      </c>
      <c r="DR73">
        <v>8</v>
      </c>
      <c r="DS73">
        <v>9</v>
      </c>
      <c r="DT73">
        <v>11</v>
      </c>
      <c r="DU73">
        <v>13</v>
      </c>
      <c r="DV73">
        <v>14</v>
      </c>
      <c r="DW73">
        <v>19</v>
      </c>
      <c r="DX73">
        <v>25</v>
      </c>
      <c r="DY73">
        <v>36</v>
      </c>
      <c r="DZ73">
        <v>92.030896999999996</v>
      </c>
      <c r="EA73">
        <v>64.320436000000001</v>
      </c>
      <c r="EB73">
        <v>124.64205</v>
      </c>
      <c r="EC73">
        <v>4885</v>
      </c>
      <c r="ED73">
        <v>6616</v>
      </c>
      <c r="EE73">
        <v>85.305199999999999</v>
      </c>
      <c r="EF73">
        <v>99.868123999999995</v>
      </c>
      <c r="EG73">
        <v>55.580401000000002</v>
      </c>
      <c r="EH73">
        <v>94.487652999999995</v>
      </c>
      <c r="EI73">
        <v>107.70535</v>
      </c>
      <c r="EJ73">
        <v>183.10097999999999</v>
      </c>
      <c r="EK73">
        <v>4528</v>
      </c>
      <c r="EL73">
        <v>5301</v>
      </c>
      <c r="EM73">
        <v>5717</v>
      </c>
      <c r="EN73">
        <v>9719</v>
      </c>
      <c r="EO73">
        <v>5308</v>
      </c>
      <c r="EP73">
        <v>10286</v>
      </c>
      <c r="EQ73">
        <v>46.953941999999998</v>
      </c>
    </row>
    <row r="74" spans="1:147" x14ac:dyDescent="0.25">
      <c r="A74">
        <v>2022</v>
      </c>
      <c r="B74" t="str">
        <f t="shared" si="2"/>
        <v>RD</v>
      </c>
      <c r="C74" t="s">
        <v>559</v>
      </c>
      <c r="D74" t="s">
        <v>559</v>
      </c>
      <c r="E74">
        <v>23188</v>
      </c>
      <c r="F74" t="s">
        <v>553</v>
      </c>
      <c r="G74" t="s">
        <v>554</v>
      </c>
      <c r="H74" t="s">
        <v>555</v>
      </c>
      <c r="I74">
        <v>75.45</v>
      </c>
      <c r="J74">
        <v>75.45</v>
      </c>
      <c r="K74" t="s">
        <v>236</v>
      </c>
      <c r="L74">
        <v>1</v>
      </c>
      <c r="M74">
        <v>2014</v>
      </c>
      <c r="N74">
        <v>2</v>
      </c>
      <c r="O74" t="str">
        <f t="shared" si="3"/>
        <v>Alto fuste</v>
      </c>
      <c r="P74" s="2">
        <v>41913</v>
      </c>
      <c r="Q74" t="s">
        <v>237</v>
      </c>
      <c r="R74" t="s">
        <v>249</v>
      </c>
      <c r="S74" t="s">
        <v>154</v>
      </c>
      <c r="T74" t="s">
        <v>238</v>
      </c>
      <c r="U74" t="s">
        <v>156</v>
      </c>
      <c r="V74" s="2">
        <v>44749</v>
      </c>
      <c r="W74" t="s">
        <v>556</v>
      </c>
      <c r="X74">
        <v>75.45</v>
      </c>
      <c r="Y74">
        <v>20</v>
      </c>
      <c r="Z74">
        <v>14</v>
      </c>
      <c r="AA74">
        <v>15.1</v>
      </c>
      <c r="AB74">
        <v>2</v>
      </c>
      <c r="AC74">
        <v>302</v>
      </c>
      <c r="AD74">
        <v>292.85080379749098</v>
      </c>
      <c r="AE74" s="2">
        <v>44749</v>
      </c>
      <c r="AF74">
        <v>93</v>
      </c>
      <c r="AG74">
        <v>7.7645448323066404</v>
      </c>
      <c r="AH74">
        <v>17.5335886148934</v>
      </c>
      <c r="AI74">
        <v>12.3581395348837</v>
      </c>
      <c r="AJ74">
        <v>18.2391025090865</v>
      </c>
      <c r="AK74">
        <v>43</v>
      </c>
      <c r="AL74">
        <v>1468.32446564616</v>
      </c>
      <c r="AM74">
        <v>146.264257602089</v>
      </c>
      <c r="AN74">
        <v>9.9613035827012003E-2</v>
      </c>
      <c r="AO74" t="s">
        <v>249</v>
      </c>
      <c r="AP74" t="s">
        <v>158</v>
      </c>
      <c r="AQ74" t="s">
        <v>286</v>
      </c>
      <c r="AR74">
        <v>7.5</v>
      </c>
      <c r="AS74">
        <v>1.1012433492346221</v>
      </c>
      <c r="AT74" t="s">
        <v>560</v>
      </c>
      <c r="AU74" t="s">
        <v>561</v>
      </c>
      <c r="AV74">
        <v>5699</v>
      </c>
      <c r="AW74">
        <v>2961</v>
      </c>
      <c r="AX74">
        <v>2490</v>
      </c>
      <c r="AY74">
        <v>242</v>
      </c>
      <c r="AZ74">
        <v>6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-0.77</v>
      </c>
      <c r="BH74">
        <v>19.309999000000001</v>
      </c>
      <c r="BI74">
        <v>8.5485170000000004</v>
      </c>
      <c r="BJ74">
        <v>-0.13253999999999999</v>
      </c>
      <c r="BK74">
        <v>8.3425189999999994</v>
      </c>
      <c r="BL74">
        <v>69.597632000000004</v>
      </c>
      <c r="BM74">
        <v>0.97590299999999996</v>
      </c>
      <c r="BN74">
        <v>17.300001000000002</v>
      </c>
      <c r="BO74">
        <v>4.4611999999999999E-2</v>
      </c>
      <c r="BP74">
        <v>1.0924290000000001</v>
      </c>
      <c r="BQ74">
        <v>8.1620100000000004</v>
      </c>
      <c r="BR74">
        <v>8.77</v>
      </c>
      <c r="BS74">
        <v>9.0125399999999996</v>
      </c>
      <c r="BT74">
        <v>8.5485170000000004</v>
      </c>
      <c r="BU74">
        <v>4.4347760000000003</v>
      </c>
      <c r="BV74">
        <v>0.211392</v>
      </c>
      <c r="BW74">
        <v>-0.92233299999999996</v>
      </c>
      <c r="BX74">
        <v>0.51877700000000004</v>
      </c>
      <c r="BY74">
        <v>4.7667000000000001E-2</v>
      </c>
      <c r="BZ74">
        <v>-0.207977</v>
      </c>
      <c r="CA74">
        <v>-0.37</v>
      </c>
      <c r="CB74">
        <v>-0.17</v>
      </c>
      <c r="CC74">
        <v>-0.09</v>
      </c>
      <c r="CD74">
        <v>0.02</v>
      </c>
      <c r="CE74">
        <v>0.06</v>
      </c>
      <c r="CF74">
        <v>0.11</v>
      </c>
      <c r="CG74">
        <v>0.3</v>
      </c>
      <c r="CH74">
        <v>8.8800000000000008</v>
      </c>
      <c r="CI74">
        <v>15.66</v>
      </c>
      <c r="CJ74">
        <v>17.030000999999999</v>
      </c>
      <c r="CK74">
        <v>17.360001</v>
      </c>
      <c r="CL74">
        <v>17.649999999999999</v>
      </c>
      <c r="CM74">
        <v>18.16</v>
      </c>
      <c r="CN74">
        <v>18.450001</v>
      </c>
      <c r="CO74">
        <v>18.82</v>
      </c>
      <c r="CP74">
        <v>0.46406999999999998</v>
      </c>
      <c r="CQ74">
        <v>11.944144</v>
      </c>
      <c r="CR74">
        <v>13.453711999999999</v>
      </c>
      <c r="CS74">
        <v>1</v>
      </c>
      <c r="CT74">
        <v>44</v>
      </c>
      <c r="CU74">
        <v>12.132479</v>
      </c>
      <c r="CV74">
        <v>8.5079370000000001</v>
      </c>
      <c r="CW74">
        <v>7.7933000000000003</v>
      </c>
      <c r="CX74">
        <v>60.735517000000002</v>
      </c>
      <c r="CY74">
        <v>0.64234999999999998</v>
      </c>
      <c r="CZ74">
        <v>10</v>
      </c>
      <c r="DA74">
        <v>0.91271800000000003</v>
      </c>
      <c r="DB74">
        <v>3.6905730000000001</v>
      </c>
      <c r="DC74">
        <v>6.0957939999999997</v>
      </c>
      <c r="DD74">
        <v>12.132479</v>
      </c>
      <c r="DE74">
        <v>4.2824150000000003</v>
      </c>
      <c r="DF74">
        <v>0.72904400000000003</v>
      </c>
      <c r="DG74">
        <v>0.54108100000000003</v>
      </c>
      <c r="DH74">
        <v>0.35297099999999998</v>
      </c>
      <c r="DI74">
        <v>0.170241</v>
      </c>
      <c r="DJ74">
        <v>0.12634899999999999</v>
      </c>
      <c r="DK74">
        <v>1</v>
      </c>
      <c r="DL74">
        <v>2</v>
      </c>
      <c r="DM74">
        <v>3</v>
      </c>
      <c r="DN74">
        <v>5</v>
      </c>
      <c r="DO74">
        <v>6</v>
      </c>
      <c r="DP74">
        <v>7</v>
      </c>
      <c r="DQ74">
        <v>9</v>
      </c>
      <c r="DR74">
        <v>11</v>
      </c>
      <c r="DS74">
        <v>13</v>
      </c>
      <c r="DT74">
        <v>15</v>
      </c>
      <c r="DU74">
        <v>16</v>
      </c>
      <c r="DV74">
        <v>18</v>
      </c>
      <c r="DW74">
        <v>23</v>
      </c>
      <c r="DX74">
        <v>27</v>
      </c>
      <c r="DY74">
        <v>35</v>
      </c>
      <c r="DZ74">
        <v>91.691996000000003</v>
      </c>
      <c r="EA74">
        <v>51.886296000000002</v>
      </c>
      <c r="EB74">
        <v>99.864911000000006</v>
      </c>
      <c r="EC74">
        <v>2715</v>
      </c>
      <c r="ED74">
        <v>2957</v>
      </c>
      <c r="EE74">
        <v>90.982776000000001</v>
      </c>
      <c r="EF74">
        <v>100</v>
      </c>
      <c r="EG74">
        <v>50.271977999999997</v>
      </c>
      <c r="EH74">
        <v>93.332164000000006</v>
      </c>
      <c r="EI74">
        <v>96.757852</v>
      </c>
      <c r="EJ74">
        <v>179.63525799999999</v>
      </c>
      <c r="EK74">
        <v>2694</v>
      </c>
      <c r="EL74">
        <v>2961</v>
      </c>
      <c r="EM74">
        <v>2865</v>
      </c>
      <c r="EN74">
        <v>5319</v>
      </c>
      <c r="EO74">
        <v>2961</v>
      </c>
      <c r="EP74">
        <v>5699</v>
      </c>
      <c r="EQ74">
        <v>44.453454000000001</v>
      </c>
    </row>
    <row r="75" spans="1:147" x14ac:dyDescent="0.25">
      <c r="A75">
        <v>2022</v>
      </c>
      <c r="B75" t="str">
        <f t="shared" si="2"/>
        <v>NE</v>
      </c>
      <c r="C75" t="s">
        <v>562</v>
      </c>
      <c r="D75" t="s">
        <v>562</v>
      </c>
      <c r="E75">
        <v>23211</v>
      </c>
      <c r="F75" t="s">
        <v>563</v>
      </c>
      <c r="G75" t="s">
        <v>564</v>
      </c>
      <c r="H75" t="s">
        <v>565</v>
      </c>
      <c r="I75">
        <v>46.51</v>
      </c>
      <c r="J75">
        <v>46.51</v>
      </c>
      <c r="K75" t="s">
        <v>190</v>
      </c>
      <c r="L75">
        <v>1</v>
      </c>
      <c r="M75">
        <v>2015</v>
      </c>
      <c r="N75">
        <v>3</v>
      </c>
      <c r="O75" t="str">
        <f t="shared" si="3"/>
        <v>Alto fuste</v>
      </c>
      <c r="P75" s="2">
        <v>42177</v>
      </c>
      <c r="Q75" t="s">
        <v>174</v>
      </c>
      <c r="R75" t="s">
        <v>200</v>
      </c>
      <c r="S75" t="s">
        <v>154</v>
      </c>
      <c r="T75" t="s">
        <v>175</v>
      </c>
      <c r="U75" t="s">
        <v>156</v>
      </c>
      <c r="V75" s="2">
        <v>44790</v>
      </c>
      <c r="W75" t="s">
        <v>566</v>
      </c>
      <c r="X75">
        <v>158.63</v>
      </c>
      <c r="Y75">
        <v>21</v>
      </c>
      <c r="Z75">
        <v>28</v>
      </c>
      <c r="AA75">
        <v>15.2</v>
      </c>
      <c r="AB75">
        <v>6</v>
      </c>
      <c r="AC75">
        <v>319.2</v>
      </c>
      <c r="AD75">
        <v>280.29293976864398</v>
      </c>
      <c r="AE75" s="2">
        <v>44790</v>
      </c>
      <c r="AF75">
        <v>86</v>
      </c>
      <c r="AG75">
        <v>7.1540041067761804</v>
      </c>
      <c r="AH75">
        <v>23.888774394583699</v>
      </c>
      <c r="AI75">
        <v>16.6823529411765</v>
      </c>
      <c r="AJ75">
        <v>27.4732080520285</v>
      </c>
      <c r="AK75">
        <v>34</v>
      </c>
      <c r="AL75">
        <v>1213.0166399504701</v>
      </c>
      <c r="AM75">
        <v>286.58695698527902</v>
      </c>
      <c r="AN75">
        <v>0.23625970786104</v>
      </c>
      <c r="AO75" t="s">
        <v>200</v>
      </c>
      <c r="AP75" t="s">
        <v>158</v>
      </c>
      <c r="AQ75" t="s">
        <v>463</v>
      </c>
      <c r="AR75">
        <v>9</v>
      </c>
      <c r="AS75">
        <v>1.091714975955423</v>
      </c>
      <c r="AT75" t="s">
        <v>567</v>
      </c>
      <c r="AU75" t="s">
        <v>568</v>
      </c>
      <c r="AV75">
        <v>4678</v>
      </c>
      <c r="AW75">
        <v>2733</v>
      </c>
      <c r="AX75">
        <v>1699</v>
      </c>
      <c r="AY75">
        <v>238</v>
      </c>
      <c r="AZ75">
        <v>8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-1.6619999999999999</v>
      </c>
      <c r="BH75">
        <v>28.728000999999999</v>
      </c>
      <c r="BI75">
        <v>14.689473</v>
      </c>
      <c r="BJ75">
        <v>-0.21485699999999999</v>
      </c>
      <c r="BK75">
        <v>11.863664</v>
      </c>
      <c r="BL75">
        <v>140.74651399999999</v>
      </c>
      <c r="BM75">
        <v>0.80762999999999996</v>
      </c>
      <c r="BN75">
        <v>24.920000999999999</v>
      </c>
      <c r="BO75">
        <v>-0.30432900000000002</v>
      </c>
      <c r="BP75">
        <v>1.186863</v>
      </c>
      <c r="BQ75">
        <v>11.468584999999999</v>
      </c>
      <c r="BR75">
        <v>4.109</v>
      </c>
      <c r="BS75">
        <v>23.023857</v>
      </c>
      <c r="BT75">
        <v>14.689473</v>
      </c>
      <c r="BU75">
        <v>6.292116</v>
      </c>
      <c r="BV75">
        <v>-0.68917099999999998</v>
      </c>
      <c r="BW75">
        <v>-1.1018330000000001</v>
      </c>
      <c r="BX75">
        <v>0.428342</v>
      </c>
      <c r="BY75">
        <v>-0.109529</v>
      </c>
      <c r="BZ75">
        <v>-0.17511299999999999</v>
      </c>
      <c r="CA75">
        <v>-0.39091999999999999</v>
      </c>
      <c r="CB75">
        <v>-0.1013</v>
      </c>
      <c r="CC75">
        <v>0.01</v>
      </c>
      <c r="CD75">
        <v>0.216</v>
      </c>
      <c r="CE75">
        <v>0.33925</v>
      </c>
      <c r="CF75">
        <v>0.57099999999999995</v>
      </c>
      <c r="CG75">
        <v>6.9938039999999999</v>
      </c>
      <c r="CH75">
        <v>22.809000000000001</v>
      </c>
      <c r="CI75">
        <v>24</v>
      </c>
      <c r="CJ75">
        <v>24.8339</v>
      </c>
      <c r="CK75">
        <v>25.259250999999999</v>
      </c>
      <c r="CL75">
        <v>25.650599</v>
      </c>
      <c r="CM75">
        <v>26.503299999999999</v>
      </c>
      <c r="CN75">
        <v>27.014999</v>
      </c>
      <c r="CO75">
        <v>28.031230999999998</v>
      </c>
      <c r="CP75">
        <v>0.53805400000000003</v>
      </c>
      <c r="CQ75">
        <v>18.881129000000001</v>
      </c>
      <c r="CR75">
        <v>20.694593000000001</v>
      </c>
      <c r="CS75">
        <v>1</v>
      </c>
      <c r="CT75">
        <v>74</v>
      </c>
      <c r="CU75">
        <v>23.656690999999999</v>
      </c>
      <c r="CV75">
        <v>1</v>
      </c>
      <c r="CW75">
        <v>15.883803</v>
      </c>
      <c r="CX75">
        <v>252.295199</v>
      </c>
      <c r="CY75">
        <v>0.67142999999999997</v>
      </c>
      <c r="CZ75">
        <v>28</v>
      </c>
      <c r="DA75">
        <v>0.227045</v>
      </c>
      <c r="DB75">
        <v>1.9366540000000001</v>
      </c>
      <c r="DC75">
        <v>13.868109</v>
      </c>
      <c r="DD75">
        <v>23.656690999999999</v>
      </c>
      <c r="DE75">
        <v>9.1068960000000008</v>
      </c>
      <c r="DF75">
        <v>0.55463499999999999</v>
      </c>
      <c r="DG75">
        <v>-5.2034999999999998E-2</v>
      </c>
      <c r="DH75">
        <v>0.384961</v>
      </c>
      <c r="DI75">
        <v>6.0902999999999999E-2</v>
      </c>
      <c r="DJ75">
        <v>-5.7140000000000003E-3</v>
      </c>
      <c r="DK75">
        <v>1</v>
      </c>
      <c r="DL75">
        <v>2</v>
      </c>
      <c r="DM75">
        <v>3</v>
      </c>
      <c r="DN75">
        <v>6</v>
      </c>
      <c r="DO75">
        <v>8</v>
      </c>
      <c r="DP75">
        <v>11</v>
      </c>
      <c r="DQ75">
        <v>17</v>
      </c>
      <c r="DR75">
        <v>23</v>
      </c>
      <c r="DS75">
        <v>30</v>
      </c>
      <c r="DT75">
        <v>34</v>
      </c>
      <c r="DU75">
        <v>36</v>
      </c>
      <c r="DV75">
        <v>39</v>
      </c>
      <c r="DW75">
        <v>45</v>
      </c>
      <c r="DX75">
        <v>50</v>
      </c>
      <c r="DY75">
        <v>57</v>
      </c>
      <c r="DZ75">
        <v>96.121477999999996</v>
      </c>
      <c r="EA75">
        <v>61.329628</v>
      </c>
      <c r="EB75">
        <v>104.97621700000001</v>
      </c>
      <c r="EC75">
        <v>2627</v>
      </c>
      <c r="ED75">
        <v>2869</v>
      </c>
      <c r="EE75">
        <v>94.731065000000001</v>
      </c>
      <c r="EF75">
        <v>100</v>
      </c>
      <c r="EG75">
        <v>57.61009</v>
      </c>
      <c r="EH75">
        <v>97.498930999999999</v>
      </c>
      <c r="EI75">
        <v>98.609587000000005</v>
      </c>
      <c r="EJ75">
        <v>166.88620599999999</v>
      </c>
      <c r="EK75">
        <v>2589</v>
      </c>
      <c r="EL75">
        <v>2733</v>
      </c>
      <c r="EM75">
        <v>2695</v>
      </c>
      <c r="EN75">
        <v>4561</v>
      </c>
      <c r="EO75">
        <v>2733</v>
      </c>
      <c r="EP75">
        <v>4678</v>
      </c>
      <c r="EQ75">
        <v>51.449877999999998</v>
      </c>
    </row>
    <row r="76" spans="1:147" x14ac:dyDescent="0.25">
      <c r="A76">
        <v>2022</v>
      </c>
      <c r="B76" t="str">
        <f t="shared" si="2"/>
        <v>NE</v>
      </c>
      <c r="C76" t="s">
        <v>569</v>
      </c>
      <c r="D76" t="s">
        <v>569</v>
      </c>
      <c r="E76">
        <v>23212</v>
      </c>
      <c r="F76" t="s">
        <v>563</v>
      </c>
      <c r="G76" t="s">
        <v>564</v>
      </c>
      <c r="H76" t="s">
        <v>565</v>
      </c>
      <c r="I76">
        <v>46.51</v>
      </c>
      <c r="J76">
        <v>46.51</v>
      </c>
      <c r="K76" t="s">
        <v>190</v>
      </c>
      <c r="L76">
        <v>1</v>
      </c>
      <c r="M76">
        <v>2015</v>
      </c>
      <c r="N76">
        <v>3</v>
      </c>
      <c r="O76" t="str">
        <f t="shared" si="3"/>
        <v>Alto fuste</v>
      </c>
      <c r="P76" s="2">
        <v>42177</v>
      </c>
      <c r="Q76" t="s">
        <v>174</v>
      </c>
      <c r="R76" t="s">
        <v>200</v>
      </c>
      <c r="S76" t="s">
        <v>154</v>
      </c>
      <c r="T76" t="s">
        <v>175</v>
      </c>
      <c r="U76" t="s">
        <v>156</v>
      </c>
      <c r="V76" s="2">
        <v>44790</v>
      </c>
      <c r="W76" t="s">
        <v>566</v>
      </c>
      <c r="X76">
        <v>158.63</v>
      </c>
      <c r="Y76">
        <v>20</v>
      </c>
      <c r="Z76">
        <v>10</v>
      </c>
      <c r="AA76">
        <v>15.2</v>
      </c>
      <c r="AB76">
        <v>2</v>
      </c>
      <c r="AC76">
        <v>304</v>
      </c>
      <c r="AD76">
        <v>299.19918176025698</v>
      </c>
      <c r="AE76" s="2">
        <v>44790</v>
      </c>
      <c r="AF76">
        <v>86</v>
      </c>
      <c r="AG76">
        <v>7.1540041067761804</v>
      </c>
      <c r="AH76">
        <v>23.6228740179392</v>
      </c>
      <c r="AI76">
        <v>16.362857142857099</v>
      </c>
      <c r="AJ76">
        <v>25.2640862662115</v>
      </c>
      <c r="AK76">
        <v>35</v>
      </c>
      <c r="AL76">
        <v>1169.7892953479</v>
      </c>
      <c r="AM76">
        <v>259.55628127692199</v>
      </c>
      <c r="AN76">
        <v>0.22188293422511501</v>
      </c>
      <c r="AO76" t="s">
        <v>200</v>
      </c>
      <c r="AP76" t="s">
        <v>158</v>
      </c>
      <c r="AQ76" t="s">
        <v>463</v>
      </c>
      <c r="AR76">
        <v>9</v>
      </c>
      <c r="AS76">
        <v>1.052810365813112</v>
      </c>
      <c r="AT76" t="s">
        <v>570</v>
      </c>
      <c r="AU76" t="s">
        <v>571</v>
      </c>
      <c r="AV76">
        <v>3345</v>
      </c>
      <c r="AW76">
        <v>1619</v>
      </c>
      <c r="AX76">
        <v>1259</v>
      </c>
      <c r="AY76">
        <v>425</v>
      </c>
      <c r="AZ76">
        <v>42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-0.83399999999999996</v>
      </c>
      <c r="BH76">
        <v>29.414000000000001</v>
      </c>
      <c r="BI76">
        <v>13.613587000000001</v>
      </c>
      <c r="BJ76">
        <v>-0.35387299999999999</v>
      </c>
      <c r="BK76">
        <v>10.630547</v>
      </c>
      <c r="BL76">
        <v>113.00851900000001</v>
      </c>
      <c r="BM76">
        <v>0.78087799999999996</v>
      </c>
      <c r="BN76">
        <v>21.330998999999998</v>
      </c>
      <c r="BO76">
        <v>-0.287414</v>
      </c>
      <c r="BP76">
        <v>1.449586</v>
      </c>
      <c r="BQ76">
        <v>9.6714830000000003</v>
      </c>
      <c r="BR76">
        <v>7.7519989999999996</v>
      </c>
      <c r="BS76">
        <v>18.119872999999998</v>
      </c>
      <c r="BT76">
        <v>13.613587000000001</v>
      </c>
      <c r="BU76">
        <v>5.856325</v>
      </c>
      <c r="BV76">
        <v>-0.32641399999999998</v>
      </c>
      <c r="BW76">
        <v>-0.56177200000000005</v>
      </c>
      <c r="BX76">
        <v>0.43018200000000001</v>
      </c>
      <c r="BY76">
        <v>-5.5737000000000002E-2</v>
      </c>
      <c r="BZ76">
        <v>-9.5925999999999997E-2</v>
      </c>
      <c r="CA76">
        <v>-0.33900000000000002</v>
      </c>
      <c r="CB76">
        <v>-0.155</v>
      </c>
      <c r="CC76">
        <v>-7.6600000000000001E-2</v>
      </c>
      <c r="CD76">
        <v>4.3999999999999997E-2</v>
      </c>
      <c r="CE76">
        <v>0.104</v>
      </c>
      <c r="CF76">
        <v>0.188</v>
      </c>
      <c r="CG76">
        <v>14.4924</v>
      </c>
      <c r="CH76">
        <v>17.766000999999999</v>
      </c>
      <c r="CI76">
        <v>19.421999</v>
      </c>
      <c r="CJ76">
        <v>20.630400000000002</v>
      </c>
      <c r="CK76">
        <v>21.434999000000001</v>
      </c>
      <c r="CL76">
        <v>24.388998000000001</v>
      </c>
      <c r="CM76">
        <v>26.290600000000001</v>
      </c>
      <c r="CN76">
        <v>27.404001000000001</v>
      </c>
      <c r="CO76">
        <v>28.490601000000002</v>
      </c>
      <c r="CP76">
        <v>0.47763800000000001</v>
      </c>
      <c r="CQ76">
        <v>17.271494000000001</v>
      </c>
      <c r="CR76">
        <v>18.937739000000001</v>
      </c>
      <c r="CS76">
        <v>1</v>
      </c>
      <c r="CT76">
        <v>48</v>
      </c>
      <c r="CU76">
        <v>11.606876</v>
      </c>
      <c r="CV76">
        <v>4.7301589999999996</v>
      </c>
      <c r="CW76">
        <v>7.8096759999999996</v>
      </c>
      <c r="CX76">
        <v>60.991041000000003</v>
      </c>
      <c r="CY76">
        <v>0.67284900000000003</v>
      </c>
      <c r="CZ76">
        <v>11</v>
      </c>
      <c r="DA76">
        <v>0.91005000000000003</v>
      </c>
      <c r="DB76">
        <v>3.706728</v>
      </c>
      <c r="DC76">
        <v>6.282572</v>
      </c>
      <c r="DD76">
        <v>11.606876</v>
      </c>
      <c r="DE76">
        <v>4.3079270000000003</v>
      </c>
      <c r="DF76">
        <v>0.76377700000000004</v>
      </c>
      <c r="DG76">
        <v>0.41070800000000002</v>
      </c>
      <c r="DH76">
        <v>0.37115300000000001</v>
      </c>
      <c r="DI76">
        <v>0.17729600000000001</v>
      </c>
      <c r="DJ76">
        <v>9.5338000000000006E-2</v>
      </c>
      <c r="DK76">
        <v>1</v>
      </c>
      <c r="DL76">
        <v>2</v>
      </c>
      <c r="DM76">
        <v>3</v>
      </c>
      <c r="DN76">
        <v>5</v>
      </c>
      <c r="DO76">
        <v>5</v>
      </c>
      <c r="DP76">
        <v>6</v>
      </c>
      <c r="DQ76">
        <v>8</v>
      </c>
      <c r="DR76">
        <v>10</v>
      </c>
      <c r="DS76">
        <v>12</v>
      </c>
      <c r="DT76">
        <v>15</v>
      </c>
      <c r="DU76">
        <v>16</v>
      </c>
      <c r="DV76">
        <v>18</v>
      </c>
      <c r="DW76">
        <v>22</v>
      </c>
      <c r="DX76">
        <v>26</v>
      </c>
      <c r="DY76">
        <v>34</v>
      </c>
      <c r="DZ76">
        <v>97.158739999999995</v>
      </c>
      <c r="EA76">
        <v>64.962631000000002</v>
      </c>
      <c r="EB76">
        <v>134.21865299999999</v>
      </c>
      <c r="EC76">
        <v>1573</v>
      </c>
      <c r="ED76">
        <v>2173</v>
      </c>
      <c r="EE76">
        <v>96.232241999999999</v>
      </c>
      <c r="EF76">
        <v>100</v>
      </c>
      <c r="EG76">
        <v>61.644244999999998</v>
      </c>
      <c r="EH76">
        <v>99.162930000000003</v>
      </c>
      <c r="EI76">
        <v>127.36256899999999</v>
      </c>
      <c r="EJ76">
        <v>204.87955500000001</v>
      </c>
      <c r="EK76">
        <v>1558</v>
      </c>
      <c r="EL76">
        <v>1619</v>
      </c>
      <c r="EM76">
        <v>2062</v>
      </c>
      <c r="EN76">
        <v>3317</v>
      </c>
      <c r="EO76">
        <v>1619</v>
      </c>
      <c r="EP76">
        <v>3345</v>
      </c>
      <c r="EQ76">
        <v>46.835209999999996</v>
      </c>
    </row>
    <row r="77" spans="1:147" x14ac:dyDescent="0.25">
      <c r="A77">
        <v>2022</v>
      </c>
      <c r="B77" t="str">
        <f t="shared" si="2"/>
        <v>NE</v>
      </c>
      <c r="C77" t="s">
        <v>572</v>
      </c>
      <c r="D77" t="s">
        <v>572</v>
      </c>
      <c r="E77">
        <v>23213</v>
      </c>
      <c r="F77" t="s">
        <v>563</v>
      </c>
      <c r="G77" t="s">
        <v>564</v>
      </c>
      <c r="H77" t="s">
        <v>565</v>
      </c>
      <c r="I77">
        <v>46.51</v>
      </c>
      <c r="J77">
        <v>46.51</v>
      </c>
      <c r="K77" t="s">
        <v>190</v>
      </c>
      <c r="L77">
        <v>1</v>
      </c>
      <c r="M77">
        <v>2015</v>
      </c>
      <c r="N77">
        <v>3</v>
      </c>
      <c r="O77" t="str">
        <f t="shared" si="3"/>
        <v>Alto fuste</v>
      </c>
      <c r="P77" s="2">
        <v>42177</v>
      </c>
      <c r="Q77" t="s">
        <v>174</v>
      </c>
      <c r="R77" t="s">
        <v>200</v>
      </c>
      <c r="S77" t="s">
        <v>154</v>
      </c>
      <c r="T77" t="s">
        <v>175</v>
      </c>
      <c r="U77" t="s">
        <v>156</v>
      </c>
      <c r="V77" s="2">
        <v>44790</v>
      </c>
      <c r="W77" t="s">
        <v>566</v>
      </c>
      <c r="X77">
        <v>158.63</v>
      </c>
      <c r="Y77">
        <v>21</v>
      </c>
      <c r="Z77">
        <v>9</v>
      </c>
      <c r="AA77">
        <v>15</v>
      </c>
      <c r="AB77">
        <v>2</v>
      </c>
      <c r="AC77">
        <v>315</v>
      </c>
      <c r="AD77">
        <v>310.93230027651498</v>
      </c>
      <c r="AE77" s="2">
        <v>44790</v>
      </c>
      <c r="AF77">
        <v>86</v>
      </c>
      <c r="AG77">
        <v>7.1540041067761804</v>
      </c>
      <c r="AH77">
        <v>26.516268511765698</v>
      </c>
      <c r="AI77">
        <v>17.102777777777799</v>
      </c>
      <c r="AJ77">
        <v>27.4550867602605</v>
      </c>
      <c r="AK77">
        <v>36</v>
      </c>
      <c r="AL77">
        <v>1157.80830643792</v>
      </c>
      <c r="AM77">
        <v>319.76499313851002</v>
      </c>
      <c r="AN77">
        <v>0.27618129129016999</v>
      </c>
      <c r="AO77" t="s">
        <v>200</v>
      </c>
      <c r="AP77" t="s">
        <v>158</v>
      </c>
      <c r="AQ77" t="s">
        <v>463</v>
      </c>
      <c r="AR77">
        <v>9</v>
      </c>
      <c r="AS77">
        <v>1.0420274757941319</v>
      </c>
      <c r="AT77" t="s">
        <v>573</v>
      </c>
      <c r="AU77" t="s">
        <v>574</v>
      </c>
      <c r="AV77">
        <v>8287</v>
      </c>
      <c r="AW77">
        <v>4128</v>
      </c>
      <c r="AX77">
        <v>3057</v>
      </c>
      <c r="AY77">
        <v>933</v>
      </c>
      <c r="AZ77">
        <v>169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-0.86799999999999999</v>
      </c>
      <c r="BH77">
        <v>30.585999999999999</v>
      </c>
      <c r="BI77">
        <v>14.24846</v>
      </c>
      <c r="BJ77">
        <v>-0.36873</v>
      </c>
      <c r="BK77">
        <v>12.535486000000001</v>
      </c>
      <c r="BL77">
        <v>157.13841500000001</v>
      </c>
      <c r="BM77">
        <v>0.87977799999999995</v>
      </c>
      <c r="BN77">
        <v>26.253001000000001</v>
      </c>
      <c r="BO77">
        <v>-0.14447199999999999</v>
      </c>
      <c r="BP77">
        <v>1.1785810000000001</v>
      </c>
      <c r="BQ77">
        <v>12.042033</v>
      </c>
      <c r="BR77">
        <v>9.1469989999999992</v>
      </c>
      <c r="BS77">
        <v>19.982731000000001</v>
      </c>
      <c r="BT77">
        <v>14.24846</v>
      </c>
      <c r="BU77">
        <v>6.7779740000000004</v>
      </c>
      <c r="BV77">
        <v>-0.110651</v>
      </c>
      <c r="BW77">
        <v>-1.2254350000000001</v>
      </c>
      <c r="BX77">
        <v>0.47569899999999998</v>
      </c>
      <c r="BY77">
        <v>-1.6324999999999999E-2</v>
      </c>
      <c r="BZ77">
        <v>-0.18079700000000001</v>
      </c>
      <c r="CA77">
        <v>-0.40300000000000002</v>
      </c>
      <c r="CB77">
        <v>-0.1794</v>
      </c>
      <c r="CC77">
        <v>-0.09</v>
      </c>
      <c r="CD77">
        <v>1.9E-2</v>
      </c>
      <c r="CE77">
        <v>6.5000000000000002E-2</v>
      </c>
      <c r="CF77">
        <v>0.11799999999999999</v>
      </c>
      <c r="CG77">
        <v>0.442</v>
      </c>
      <c r="CH77">
        <v>19.614000000000001</v>
      </c>
      <c r="CI77">
        <v>23.733999000000001</v>
      </c>
      <c r="CJ77">
        <v>25.257200000000001</v>
      </c>
      <c r="CK77">
        <v>26.318000999999999</v>
      </c>
      <c r="CL77">
        <v>27.238197</v>
      </c>
      <c r="CM77">
        <v>28.459</v>
      </c>
      <c r="CN77">
        <v>29.021000000000001</v>
      </c>
      <c r="CO77">
        <v>29.955998999999998</v>
      </c>
      <c r="CP77">
        <v>0.48058899999999999</v>
      </c>
      <c r="CQ77">
        <v>18.977304</v>
      </c>
      <c r="CR77">
        <v>21.047720000000002</v>
      </c>
      <c r="CS77">
        <v>1</v>
      </c>
      <c r="CT77">
        <v>53</v>
      </c>
      <c r="CU77">
        <v>16.469289</v>
      </c>
      <c r="CV77">
        <v>1</v>
      </c>
      <c r="CW77">
        <v>11.715645</v>
      </c>
      <c r="CX77">
        <v>137.256328</v>
      </c>
      <c r="CY77">
        <v>0.71136299999999997</v>
      </c>
      <c r="CZ77">
        <v>19</v>
      </c>
      <c r="DA77">
        <v>0.520347</v>
      </c>
      <c r="DB77">
        <v>2.2481239999999998</v>
      </c>
      <c r="DC77">
        <v>10.002507</v>
      </c>
      <c r="DD77">
        <v>16.469289</v>
      </c>
      <c r="DE77">
        <v>6.640314</v>
      </c>
      <c r="DF77">
        <v>0.92764500000000005</v>
      </c>
      <c r="DG77">
        <v>0.154777</v>
      </c>
      <c r="DH77">
        <v>0.403194</v>
      </c>
      <c r="DI77">
        <v>0.13969899999999999</v>
      </c>
      <c r="DJ77">
        <v>2.3309E-2</v>
      </c>
      <c r="DK77">
        <v>1</v>
      </c>
      <c r="DL77">
        <v>1</v>
      </c>
      <c r="DM77">
        <v>3</v>
      </c>
      <c r="DN77">
        <v>5</v>
      </c>
      <c r="DO77">
        <v>6</v>
      </c>
      <c r="DP77">
        <v>8</v>
      </c>
      <c r="DQ77">
        <v>11</v>
      </c>
      <c r="DR77">
        <v>14</v>
      </c>
      <c r="DS77">
        <v>18</v>
      </c>
      <c r="DT77">
        <v>23</v>
      </c>
      <c r="DU77">
        <v>25</v>
      </c>
      <c r="DV77">
        <v>28</v>
      </c>
      <c r="DW77">
        <v>34</v>
      </c>
      <c r="DX77">
        <v>37</v>
      </c>
      <c r="DY77">
        <v>44</v>
      </c>
      <c r="DZ77">
        <v>95.494185999999999</v>
      </c>
      <c r="EA77">
        <v>58.259925000000003</v>
      </c>
      <c r="EB77">
        <v>116.957364</v>
      </c>
      <c r="EC77">
        <v>3942</v>
      </c>
      <c r="ED77">
        <v>4828</v>
      </c>
      <c r="EE77">
        <v>94.573643000000004</v>
      </c>
      <c r="EF77">
        <v>100</v>
      </c>
      <c r="EG77">
        <v>56.280921999999997</v>
      </c>
      <c r="EH77">
        <v>98.708821</v>
      </c>
      <c r="EI77">
        <v>112.98449599999999</v>
      </c>
      <c r="EJ77">
        <v>198.15891500000001</v>
      </c>
      <c r="EK77">
        <v>3904</v>
      </c>
      <c r="EL77">
        <v>4128</v>
      </c>
      <c r="EM77">
        <v>4664</v>
      </c>
      <c r="EN77">
        <v>8180</v>
      </c>
      <c r="EO77">
        <v>4128</v>
      </c>
      <c r="EP77">
        <v>8287</v>
      </c>
      <c r="EQ77">
        <v>46.642111</v>
      </c>
    </row>
    <row r="78" spans="1:147" x14ac:dyDescent="0.25">
      <c r="A78">
        <v>2022</v>
      </c>
      <c r="B78" t="str">
        <f t="shared" si="2"/>
        <v>NE</v>
      </c>
      <c r="C78" t="s">
        <v>575</v>
      </c>
      <c r="D78" t="s">
        <v>575</v>
      </c>
      <c r="E78">
        <v>23257</v>
      </c>
      <c r="F78" t="s">
        <v>576</v>
      </c>
      <c r="G78" t="s">
        <v>577</v>
      </c>
      <c r="H78" t="s">
        <v>578</v>
      </c>
      <c r="I78">
        <v>21.43</v>
      </c>
      <c r="J78">
        <v>21.43</v>
      </c>
      <c r="K78" t="s">
        <v>173</v>
      </c>
      <c r="L78">
        <v>1</v>
      </c>
      <c r="M78">
        <v>2015</v>
      </c>
      <c r="N78">
        <v>2</v>
      </c>
      <c r="O78" t="str">
        <f t="shared" si="3"/>
        <v>Alto fuste</v>
      </c>
      <c r="P78" s="2">
        <v>42055</v>
      </c>
      <c r="Q78" t="s">
        <v>174</v>
      </c>
      <c r="R78" t="s">
        <v>470</v>
      </c>
      <c r="S78" t="s">
        <v>154</v>
      </c>
      <c r="T78" t="s">
        <v>175</v>
      </c>
      <c r="U78" t="s">
        <v>156</v>
      </c>
      <c r="V78" s="2">
        <v>44565</v>
      </c>
      <c r="W78" t="s">
        <v>579</v>
      </c>
      <c r="X78">
        <v>125.87</v>
      </c>
      <c r="Y78">
        <v>21.8</v>
      </c>
      <c r="Z78">
        <v>15</v>
      </c>
      <c r="AA78">
        <v>14.4</v>
      </c>
      <c r="AB78">
        <v>0</v>
      </c>
      <c r="AC78">
        <v>313.92</v>
      </c>
      <c r="AD78">
        <v>303.22343538866397</v>
      </c>
      <c r="AE78" s="2">
        <v>44565</v>
      </c>
      <c r="AF78">
        <v>83</v>
      </c>
      <c r="AG78">
        <v>6.8720054757015703</v>
      </c>
      <c r="AH78">
        <v>29.9177530060173</v>
      </c>
      <c r="AI78">
        <v>15.9739130434783</v>
      </c>
      <c r="AJ78">
        <v>15.5381814236894</v>
      </c>
      <c r="AK78">
        <v>23</v>
      </c>
      <c r="AL78">
        <v>758.51656949005803</v>
      </c>
      <c r="AM78">
        <v>209.09793406239399</v>
      </c>
      <c r="AN78">
        <v>0.27566692999596398</v>
      </c>
      <c r="AO78" t="s">
        <v>470</v>
      </c>
      <c r="AP78" t="s">
        <v>158</v>
      </c>
      <c r="AQ78" t="s">
        <v>315</v>
      </c>
      <c r="AR78">
        <v>9</v>
      </c>
      <c r="AS78">
        <v>0.68266491254105321</v>
      </c>
      <c r="AT78" t="s">
        <v>580</v>
      </c>
      <c r="AU78" t="s">
        <v>581</v>
      </c>
      <c r="AV78">
        <v>2991</v>
      </c>
      <c r="AW78">
        <v>1833</v>
      </c>
      <c r="AX78">
        <v>899</v>
      </c>
      <c r="AY78">
        <v>236</v>
      </c>
      <c r="AZ78">
        <v>23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-0.88800000000000001</v>
      </c>
      <c r="BH78">
        <v>34.706001000000001</v>
      </c>
      <c r="BI78">
        <v>18.932503000000001</v>
      </c>
      <c r="BJ78">
        <v>-0.32301600000000003</v>
      </c>
      <c r="BK78">
        <v>13.254507</v>
      </c>
      <c r="BL78">
        <v>175.68194299999999</v>
      </c>
      <c r="BM78">
        <v>0.70009299999999997</v>
      </c>
      <c r="BN78">
        <v>30.126002</v>
      </c>
      <c r="BO78">
        <v>-0.52441899999999997</v>
      </c>
      <c r="BP78">
        <v>1.5716889999999999</v>
      </c>
      <c r="BQ78">
        <v>11.907742000000001</v>
      </c>
      <c r="BR78">
        <v>7.306</v>
      </c>
      <c r="BS78">
        <v>25.135014999999999</v>
      </c>
      <c r="BT78">
        <v>18.932503000000001</v>
      </c>
      <c r="BU78">
        <v>7.2100429999999998</v>
      </c>
      <c r="BV78">
        <v>-1.151491</v>
      </c>
      <c r="BW78">
        <v>-0.68378000000000005</v>
      </c>
      <c r="BX78">
        <v>0.38082899999999997</v>
      </c>
      <c r="BY78">
        <v>-0.15970699999999999</v>
      </c>
      <c r="BZ78">
        <v>-9.4837000000000005E-2</v>
      </c>
      <c r="CA78">
        <v>-0.38009999999999999</v>
      </c>
      <c r="CB78">
        <v>-0.14149999999999999</v>
      </c>
      <c r="CC78">
        <v>-3.9E-2</v>
      </c>
      <c r="CD78">
        <v>0.11799999999999999</v>
      </c>
      <c r="CE78">
        <v>0.218</v>
      </c>
      <c r="CF78">
        <v>5.1660000000000004</v>
      </c>
      <c r="CG78">
        <v>20.466000000000001</v>
      </c>
      <c r="CH78">
        <v>24.812000000000001</v>
      </c>
      <c r="CI78">
        <v>27.452998999999998</v>
      </c>
      <c r="CJ78">
        <v>29.099001000000001</v>
      </c>
      <c r="CK78">
        <v>30.344002</v>
      </c>
      <c r="CL78">
        <v>31.414000000000001</v>
      </c>
      <c r="CM78">
        <v>32.737999000000002</v>
      </c>
      <c r="CN78">
        <v>33.428001000000002</v>
      </c>
      <c r="CO78">
        <v>34.125503999999999</v>
      </c>
      <c r="CP78">
        <v>0.55684999999999996</v>
      </c>
      <c r="CQ78">
        <v>23.109801000000001</v>
      </c>
      <c r="CR78">
        <v>24.954778999999998</v>
      </c>
      <c r="CS78">
        <v>1</v>
      </c>
      <c r="CT78">
        <v>52</v>
      </c>
      <c r="CU78">
        <v>11.199598999999999</v>
      </c>
      <c r="CV78">
        <v>1</v>
      </c>
      <c r="CW78">
        <v>9.6550170000000008</v>
      </c>
      <c r="CX78">
        <v>93.219344000000007</v>
      </c>
      <c r="CY78">
        <v>0.86208600000000002</v>
      </c>
      <c r="CZ78">
        <v>12</v>
      </c>
      <c r="DA78">
        <v>1.441352</v>
      </c>
      <c r="DB78">
        <v>5.0593180000000002</v>
      </c>
      <c r="DC78">
        <v>7.4347310000000002</v>
      </c>
      <c r="DD78">
        <v>11.199598999999999</v>
      </c>
      <c r="DE78">
        <v>5.0484179999999999</v>
      </c>
      <c r="DF78">
        <v>1.4551130000000001</v>
      </c>
      <c r="DG78">
        <v>0.69441900000000001</v>
      </c>
      <c r="DH78">
        <v>0.450768</v>
      </c>
      <c r="DI78">
        <v>0.28823100000000001</v>
      </c>
      <c r="DJ78">
        <v>0.13755200000000001</v>
      </c>
      <c r="DK78">
        <v>1</v>
      </c>
      <c r="DL78">
        <v>1</v>
      </c>
      <c r="DM78">
        <v>2</v>
      </c>
      <c r="DN78">
        <v>3</v>
      </c>
      <c r="DO78">
        <v>4</v>
      </c>
      <c r="DP78">
        <v>5</v>
      </c>
      <c r="DQ78">
        <v>7</v>
      </c>
      <c r="DR78">
        <v>8</v>
      </c>
      <c r="DS78">
        <v>11</v>
      </c>
      <c r="DT78">
        <v>14</v>
      </c>
      <c r="DU78">
        <v>16</v>
      </c>
      <c r="DV78">
        <v>18</v>
      </c>
      <c r="DW78">
        <v>24</v>
      </c>
      <c r="DX78">
        <v>32</v>
      </c>
      <c r="DY78">
        <v>44</v>
      </c>
      <c r="DZ78">
        <v>88.979815000000002</v>
      </c>
      <c r="EA78">
        <v>70.244066000000004</v>
      </c>
      <c r="EB78">
        <v>114.62084</v>
      </c>
      <c r="EC78">
        <v>1631</v>
      </c>
      <c r="ED78">
        <v>2101</v>
      </c>
      <c r="EE78">
        <v>84.997271999999995</v>
      </c>
      <c r="EF78">
        <v>100</v>
      </c>
      <c r="EG78">
        <v>62.153126</v>
      </c>
      <c r="EH78">
        <v>98.562353999999999</v>
      </c>
      <c r="EI78">
        <v>101.41844</v>
      </c>
      <c r="EJ78">
        <v>160.82924199999999</v>
      </c>
      <c r="EK78">
        <v>1558</v>
      </c>
      <c r="EL78">
        <v>1833</v>
      </c>
      <c r="EM78">
        <v>1859</v>
      </c>
      <c r="EN78">
        <v>2948</v>
      </c>
      <c r="EO78">
        <v>1833</v>
      </c>
      <c r="EP78">
        <v>2991</v>
      </c>
      <c r="EQ78">
        <v>54.546132999999998</v>
      </c>
    </row>
    <row r="79" spans="1:147" x14ac:dyDescent="0.25">
      <c r="A79">
        <v>2022</v>
      </c>
      <c r="B79" t="str">
        <f t="shared" si="2"/>
        <v>NE</v>
      </c>
      <c r="C79" t="s">
        <v>582</v>
      </c>
      <c r="D79" t="s">
        <v>582</v>
      </c>
      <c r="E79">
        <v>23260</v>
      </c>
      <c r="F79" t="s">
        <v>576</v>
      </c>
      <c r="G79" t="s">
        <v>577</v>
      </c>
      <c r="H79" t="s">
        <v>583</v>
      </c>
      <c r="I79">
        <v>36.15</v>
      </c>
      <c r="J79">
        <v>36.15</v>
      </c>
      <c r="K79" t="s">
        <v>173</v>
      </c>
      <c r="L79">
        <v>1</v>
      </c>
      <c r="M79">
        <v>2015</v>
      </c>
      <c r="N79">
        <v>2</v>
      </c>
      <c r="O79" t="str">
        <f t="shared" si="3"/>
        <v>Alto fuste</v>
      </c>
      <c r="P79" s="2">
        <v>42083</v>
      </c>
      <c r="Q79" t="s">
        <v>174</v>
      </c>
      <c r="R79" t="s">
        <v>165</v>
      </c>
      <c r="S79" t="s">
        <v>154</v>
      </c>
      <c r="T79" t="s">
        <v>175</v>
      </c>
      <c r="U79" t="s">
        <v>156</v>
      </c>
      <c r="V79" s="2">
        <v>44588</v>
      </c>
      <c r="W79" t="s">
        <v>579</v>
      </c>
      <c r="X79">
        <v>125.87</v>
      </c>
      <c r="Y79">
        <v>21.6</v>
      </c>
      <c r="Z79">
        <v>18</v>
      </c>
      <c r="AA79">
        <v>16.3</v>
      </c>
      <c r="AB79">
        <v>7</v>
      </c>
      <c r="AC79">
        <v>352.08</v>
      </c>
      <c r="AD79">
        <v>332.35207220405903</v>
      </c>
      <c r="AE79" s="2">
        <v>44588</v>
      </c>
      <c r="AF79">
        <v>82</v>
      </c>
      <c r="AG79">
        <v>6.8583162217659099</v>
      </c>
      <c r="AH79">
        <v>28.9680106842786</v>
      </c>
      <c r="AI79">
        <v>17.926666666666701</v>
      </c>
      <c r="AJ79">
        <v>22.930411287382199</v>
      </c>
      <c r="AK79">
        <v>30</v>
      </c>
      <c r="AL79">
        <v>902.65722735077497</v>
      </c>
      <c r="AM79">
        <v>287.79411840618098</v>
      </c>
      <c r="AN79">
        <v>0.31882990540144801</v>
      </c>
      <c r="AO79" t="s">
        <v>165</v>
      </c>
      <c r="AP79" t="s">
        <v>158</v>
      </c>
      <c r="AQ79" t="s">
        <v>315</v>
      </c>
      <c r="AR79">
        <v>9</v>
      </c>
      <c r="AS79">
        <v>0.8123915046156962</v>
      </c>
      <c r="AT79" t="s">
        <v>584</v>
      </c>
      <c r="AU79" t="s">
        <v>585</v>
      </c>
      <c r="AV79">
        <v>11283</v>
      </c>
      <c r="AW79">
        <v>6355</v>
      </c>
      <c r="AX79">
        <v>4058</v>
      </c>
      <c r="AY79">
        <v>809</v>
      </c>
      <c r="AZ79">
        <v>61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-1.601</v>
      </c>
      <c r="BH79">
        <v>31.518999000000001</v>
      </c>
      <c r="BI79">
        <v>14.933350000000001</v>
      </c>
      <c r="BJ79">
        <v>-2.3857E-2</v>
      </c>
      <c r="BK79">
        <v>12.657607</v>
      </c>
      <c r="BL79">
        <v>160.215011</v>
      </c>
      <c r="BM79">
        <v>0.847607</v>
      </c>
      <c r="BN79">
        <v>27.133500000000002</v>
      </c>
      <c r="BO79">
        <v>-0.206204</v>
      </c>
      <c r="BP79">
        <v>1.228586</v>
      </c>
      <c r="BQ79">
        <v>12.03736</v>
      </c>
      <c r="BR79">
        <v>8.9030000000000005</v>
      </c>
      <c r="BS79">
        <v>20.316856000000001</v>
      </c>
      <c r="BT79">
        <v>14.933350000000001</v>
      </c>
      <c r="BU79">
        <v>6.8722779999999997</v>
      </c>
      <c r="BV79">
        <v>-0.27254800000000001</v>
      </c>
      <c r="BW79">
        <v>-1.1611560000000001</v>
      </c>
      <c r="BX79">
        <v>0.46019700000000002</v>
      </c>
      <c r="BY79">
        <v>-3.9659E-2</v>
      </c>
      <c r="BZ79">
        <v>-0.168962</v>
      </c>
      <c r="CA79">
        <v>-0.43036000000000002</v>
      </c>
      <c r="CB79">
        <v>-0.18290000000000001</v>
      </c>
      <c r="CC79">
        <v>-7.9799999999999996E-2</v>
      </c>
      <c r="CD79">
        <v>2.9399999999999999E-2</v>
      </c>
      <c r="CE79">
        <v>8.7999999999999995E-2</v>
      </c>
      <c r="CF79">
        <v>0.14899999999999999</v>
      </c>
      <c r="CG79">
        <v>5.9383629999999998</v>
      </c>
      <c r="CH79">
        <v>20.292998999999998</v>
      </c>
      <c r="CI79">
        <v>23.119599999999998</v>
      </c>
      <c r="CJ79">
        <v>26.462999</v>
      </c>
      <c r="CK79">
        <v>27.221499999999999</v>
      </c>
      <c r="CL79">
        <v>27.8736</v>
      </c>
      <c r="CM79">
        <v>29.0718</v>
      </c>
      <c r="CN79">
        <v>29.745901</v>
      </c>
      <c r="CO79">
        <v>30.643999000000001</v>
      </c>
      <c r="CP79">
        <v>0.499226</v>
      </c>
      <c r="CQ79">
        <v>19.575641000000001</v>
      </c>
      <c r="CR79">
        <v>21.608125999999999</v>
      </c>
      <c r="CS79">
        <v>1</v>
      </c>
      <c r="CT79">
        <v>88</v>
      </c>
      <c r="CU79">
        <v>23.611184999999999</v>
      </c>
      <c r="CV79">
        <v>1</v>
      </c>
      <c r="CW79">
        <v>17.118748</v>
      </c>
      <c r="CX79">
        <v>293.05152199999998</v>
      </c>
      <c r="CY79">
        <v>0.72502699999999998</v>
      </c>
      <c r="CZ79">
        <v>24</v>
      </c>
      <c r="DA79">
        <v>0.83334799999999998</v>
      </c>
      <c r="DB79">
        <v>3.2405910000000002</v>
      </c>
      <c r="DC79">
        <v>13.728629</v>
      </c>
      <c r="DD79">
        <v>23.611184999999999</v>
      </c>
      <c r="DE79">
        <v>9.4771970000000003</v>
      </c>
      <c r="DF79">
        <v>1.6186480000000001</v>
      </c>
      <c r="DG79">
        <v>0.87836999999999998</v>
      </c>
      <c r="DH79">
        <v>0.40138600000000002</v>
      </c>
      <c r="DI79">
        <v>0.170794</v>
      </c>
      <c r="DJ79">
        <v>9.2683000000000001E-2</v>
      </c>
      <c r="DK79">
        <v>1</v>
      </c>
      <c r="DL79">
        <v>2</v>
      </c>
      <c r="DM79">
        <v>4</v>
      </c>
      <c r="DN79">
        <v>7</v>
      </c>
      <c r="DO79">
        <v>9</v>
      </c>
      <c r="DP79">
        <v>12</v>
      </c>
      <c r="DQ79">
        <v>16</v>
      </c>
      <c r="DR79">
        <v>22</v>
      </c>
      <c r="DS79">
        <v>26</v>
      </c>
      <c r="DT79">
        <v>31</v>
      </c>
      <c r="DU79">
        <v>33</v>
      </c>
      <c r="DV79">
        <v>36</v>
      </c>
      <c r="DW79">
        <v>47</v>
      </c>
      <c r="DX79">
        <v>60</v>
      </c>
      <c r="DY79">
        <v>71</v>
      </c>
      <c r="DZ79">
        <v>89.284028000000006</v>
      </c>
      <c r="EA79">
        <v>60.276522</v>
      </c>
      <c r="EB79">
        <v>107.018096</v>
      </c>
      <c r="EC79">
        <v>5674</v>
      </c>
      <c r="ED79">
        <v>6801</v>
      </c>
      <c r="EE79">
        <v>87.474429999999998</v>
      </c>
      <c r="EF79">
        <v>99.826908000000003</v>
      </c>
      <c r="EG79">
        <v>58.087387999999997</v>
      </c>
      <c r="EH79">
        <v>85.216697999999994</v>
      </c>
      <c r="EI79">
        <v>103.131393</v>
      </c>
      <c r="EJ79">
        <v>151.29819000000001</v>
      </c>
      <c r="EK79">
        <v>5559</v>
      </c>
      <c r="EL79">
        <v>6344</v>
      </c>
      <c r="EM79">
        <v>6554</v>
      </c>
      <c r="EN79">
        <v>9615</v>
      </c>
      <c r="EO79">
        <v>6355</v>
      </c>
      <c r="EP79">
        <v>11283</v>
      </c>
      <c r="EQ79">
        <v>47.826044000000003</v>
      </c>
    </row>
    <row r="80" spans="1:147" x14ac:dyDescent="0.25">
      <c r="A80">
        <v>2022</v>
      </c>
      <c r="B80" t="str">
        <f t="shared" si="2"/>
        <v>NE</v>
      </c>
      <c r="C80" t="s">
        <v>586</v>
      </c>
      <c r="D80" t="s">
        <v>586</v>
      </c>
      <c r="E80">
        <v>23263</v>
      </c>
      <c r="F80" t="s">
        <v>587</v>
      </c>
      <c r="G80" t="s">
        <v>588</v>
      </c>
      <c r="H80" t="s">
        <v>589</v>
      </c>
      <c r="I80">
        <v>13.76</v>
      </c>
      <c r="J80">
        <v>13.76</v>
      </c>
      <c r="K80" t="s">
        <v>190</v>
      </c>
      <c r="L80">
        <v>1</v>
      </c>
      <c r="M80">
        <v>2015</v>
      </c>
      <c r="N80">
        <v>2</v>
      </c>
      <c r="O80" t="str">
        <f t="shared" si="3"/>
        <v>Alto fuste</v>
      </c>
      <c r="P80" s="2">
        <v>42153</v>
      </c>
      <c r="Q80" t="s">
        <v>174</v>
      </c>
      <c r="R80" t="s">
        <v>314</v>
      </c>
      <c r="S80" t="s">
        <v>154</v>
      </c>
      <c r="T80" t="s">
        <v>175</v>
      </c>
      <c r="U80" t="s">
        <v>156</v>
      </c>
      <c r="V80" s="2">
        <v>44599</v>
      </c>
      <c r="W80" t="s">
        <v>590</v>
      </c>
      <c r="X80">
        <v>58.17</v>
      </c>
      <c r="Y80">
        <v>19.5</v>
      </c>
      <c r="Z80">
        <v>20</v>
      </c>
      <c r="AA80">
        <v>15</v>
      </c>
      <c r="AB80">
        <v>3</v>
      </c>
      <c r="AC80">
        <v>292.5</v>
      </c>
      <c r="AD80">
        <v>274.48340537701301</v>
      </c>
      <c r="AE80" s="2">
        <v>44599</v>
      </c>
      <c r="AF80">
        <v>81</v>
      </c>
      <c r="AG80">
        <v>6.6967830253251197</v>
      </c>
      <c r="AH80">
        <v>35.606236979632499</v>
      </c>
      <c r="AI80">
        <v>18.862500000000001</v>
      </c>
      <c r="AJ80">
        <v>32.849254067355801</v>
      </c>
      <c r="AK80">
        <v>32</v>
      </c>
      <c r="AL80">
        <v>1165.8263987233299</v>
      </c>
      <c r="AM80">
        <v>507.336994613608</v>
      </c>
      <c r="AN80">
        <v>0.43517370611025802</v>
      </c>
      <c r="AO80" t="s">
        <v>314</v>
      </c>
      <c r="AP80" t="s">
        <v>158</v>
      </c>
      <c r="AQ80" t="s">
        <v>315</v>
      </c>
      <c r="AR80">
        <v>9</v>
      </c>
      <c r="AS80">
        <v>1.049243758851</v>
      </c>
      <c r="AT80" t="s">
        <v>591</v>
      </c>
      <c r="AU80" t="s">
        <v>592</v>
      </c>
      <c r="AV80">
        <v>1806</v>
      </c>
      <c r="AW80">
        <v>1806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-0.13300000000000001</v>
      </c>
      <c r="BH80">
        <v>35.806998999999998</v>
      </c>
      <c r="BI80">
        <v>31.741327999999999</v>
      </c>
      <c r="BJ80">
        <v>32.384141999999997</v>
      </c>
      <c r="BK80">
        <v>5.2176790000000004</v>
      </c>
      <c r="BL80">
        <v>27.224173</v>
      </c>
      <c r="BM80">
        <v>0.164381</v>
      </c>
      <c r="BN80">
        <v>1.7064969999999999</v>
      </c>
      <c r="BO80">
        <v>-5.152952</v>
      </c>
      <c r="BP80">
        <v>30.563732999999999</v>
      </c>
      <c r="BQ80">
        <v>2.1607479999999999</v>
      </c>
      <c r="BR80">
        <v>0.86049799999999999</v>
      </c>
      <c r="BS80">
        <v>0.91785799999999995</v>
      </c>
      <c r="BT80">
        <v>31.741327999999999</v>
      </c>
      <c r="BU80">
        <v>1.559024</v>
      </c>
      <c r="BV80">
        <v>-0.82432000000000005</v>
      </c>
      <c r="BW80">
        <v>0.79025599999999996</v>
      </c>
      <c r="BX80">
        <v>4.9117000000000001E-2</v>
      </c>
      <c r="BY80">
        <v>-0.52874100000000002</v>
      </c>
      <c r="BZ80">
        <v>0.50689200000000001</v>
      </c>
      <c r="CA80">
        <v>-8.6E-3</v>
      </c>
      <c r="CB80">
        <v>29.689499000000001</v>
      </c>
      <c r="CC80">
        <v>30.695499000000002</v>
      </c>
      <c r="CD80">
        <v>31.504000000000001</v>
      </c>
      <c r="CE80">
        <v>31.790001</v>
      </c>
      <c r="CF80">
        <v>32.024002000000003</v>
      </c>
      <c r="CG80">
        <v>32.408000999999999</v>
      </c>
      <c r="CH80">
        <v>32.716999000000001</v>
      </c>
      <c r="CI80">
        <v>33.000999</v>
      </c>
      <c r="CJ80">
        <v>33.313999000000003</v>
      </c>
      <c r="CK80">
        <v>33.496498000000003</v>
      </c>
      <c r="CL80">
        <v>33.673000000000002</v>
      </c>
      <c r="CM80">
        <v>34.175499000000002</v>
      </c>
      <c r="CN80">
        <v>34.617752000000003</v>
      </c>
      <c r="CO80">
        <v>35.276347999999999</v>
      </c>
      <c r="CP80">
        <v>0.886876</v>
      </c>
      <c r="CQ80">
        <v>32.167079999999999</v>
      </c>
      <c r="CR80">
        <v>32.344945000000003</v>
      </c>
      <c r="CS80">
        <v>1</v>
      </c>
      <c r="CT80">
        <v>76</v>
      </c>
      <c r="CU80">
        <v>32.908084000000002</v>
      </c>
      <c r="CV80">
        <v>37.904761999999998</v>
      </c>
      <c r="CW80">
        <v>12.142887999999999</v>
      </c>
      <c r="CX80">
        <v>147.44971899999999</v>
      </c>
      <c r="CY80">
        <v>0.36899399999999999</v>
      </c>
      <c r="CZ80">
        <v>14</v>
      </c>
      <c r="DA80">
        <v>-0.549763</v>
      </c>
      <c r="DB80">
        <v>3.6715149999999999</v>
      </c>
      <c r="DC80">
        <v>9.1907859999999992</v>
      </c>
      <c r="DD80">
        <v>32.908084000000002</v>
      </c>
      <c r="DE80">
        <v>6.5929789999999997</v>
      </c>
      <c r="DF80">
        <v>-0.94928699999999999</v>
      </c>
      <c r="DG80">
        <v>1.1960820000000001</v>
      </c>
      <c r="DH80">
        <v>0.200345</v>
      </c>
      <c r="DI80">
        <v>-0.143984</v>
      </c>
      <c r="DJ80">
        <v>0.181418</v>
      </c>
      <c r="DK80">
        <v>2</v>
      </c>
      <c r="DL80">
        <v>7</v>
      </c>
      <c r="DM80">
        <v>15</v>
      </c>
      <c r="DN80">
        <v>24</v>
      </c>
      <c r="DO80">
        <v>27</v>
      </c>
      <c r="DP80">
        <v>30</v>
      </c>
      <c r="DQ80">
        <v>33</v>
      </c>
      <c r="DR80">
        <v>35</v>
      </c>
      <c r="DS80">
        <v>37</v>
      </c>
      <c r="DT80">
        <v>39</v>
      </c>
      <c r="DU80">
        <v>41</v>
      </c>
      <c r="DV80">
        <v>42</v>
      </c>
      <c r="DW80">
        <v>45</v>
      </c>
      <c r="DX80">
        <v>49</v>
      </c>
      <c r="DY80">
        <v>62.949950999999999</v>
      </c>
      <c r="DZ80">
        <v>97.840531999999996</v>
      </c>
      <c r="EA80">
        <v>97.840531999999996</v>
      </c>
      <c r="EB80">
        <v>97.840531999999996</v>
      </c>
      <c r="EC80">
        <v>1767</v>
      </c>
      <c r="ED80">
        <v>1767</v>
      </c>
      <c r="EE80">
        <v>75.581395000000001</v>
      </c>
      <c r="EF80">
        <v>60.797342</v>
      </c>
      <c r="EG80">
        <v>75.581395000000001</v>
      </c>
      <c r="EH80">
        <v>60.797342</v>
      </c>
      <c r="EI80">
        <v>75.581395000000001</v>
      </c>
      <c r="EJ80">
        <v>60.797342</v>
      </c>
      <c r="EK80">
        <v>1365</v>
      </c>
      <c r="EL80">
        <v>1098</v>
      </c>
      <c r="EM80">
        <v>1365</v>
      </c>
      <c r="EN80">
        <v>1098</v>
      </c>
      <c r="EO80">
        <v>1806</v>
      </c>
      <c r="EP80">
        <v>1806</v>
      </c>
      <c r="EQ80">
        <v>88.915857000000003</v>
      </c>
    </row>
    <row r="81" spans="1:147" x14ac:dyDescent="0.25">
      <c r="A81">
        <v>2022</v>
      </c>
      <c r="B81" t="str">
        <f t="shared" si="2"/>
        <v>NE</v>
      </c>
      <c r="C81" t="s">
        <v>593</v>
      </c>
      <c r="D81" t="s">
        <v>593</v>
      </c>
      <c r="E81">
        <v>23264</v>
      </c>
      <c r="F81" t="s">
        <v>587</v>
      </c>
      <c r="G81" t="s">
        <v>588</v>
      </c>
      <c r="H81" t="s">
        <v>594</v>
      </c>
      <c r="I81">
        <v>28.21</v>
      </c>
      <c r="J81">
        <v>28.21</v>
      </c>
      <c r="K81" t="s">
        <v>190</v>
      </c>
      <c r="L81">
        <v>1</v>
      </c>
      <c r="M81">
        <v>2015</v>
      </c>
      <c r="N81">
        <v>2</v>
      </c>
      <c r="O81" t="str">
        <f t="shared" si="3"/>
        <v>Alto fuste</v>
      </c>
      <c r="P81" s="2">
        <v>42150</v>
      </c>
      <c r="Q81" t="s">
        <v>174</v>
      </c>
      <c r="R81" t="s">
        <v>302</v>
      </c>
      <c r="S81" t="s">
        <v>154</v>
      </c>
      <c r="T81" t="s">
        <v>175</v>
      </c>
      <c r="U81" t="s">
        <v>156</v>
      </c>
      <c r="V81" s="2">
        <v>44599</v>
      </c>
      <c r="W81" t="s">
        <v>590</v>
      </c>
      <c r="X81">
        <v>58.17</v>
      </c>
      <c r="Y81">
        <v>21.3</v>
      </c>
      <c r="Z81">
        <v>19</v>
      </c>
      <c r="AA81">
        <v>15</v>
      </c>
      <c r="AB81">
        <v>0</v>
      </c>
      <c r="AC81">
        <v>319.5</v>
      </c>
      <c r="AD81">
        <v>302.09318490398198</v>
      </c>
      <c r="AE81" s="2">
        <v>44599</v>
      </c>
      <c r="AF81">
        <v>81</v>
      </c>
      <c r="AG81">
        <v>6.7049965776865204</v>
      </c>
      <c r="AH81">
        <v>31.432309672922301</v>
      </c>
      <c r="AI81">
        <v>17.777142857142898</v>
      </c>
      <c r="AJ81">
        <v>29.3008741163463</v>
      </c>
      <c r="AK81">
        <v>35</v>
      </c>
      <c r="AL81">
        <v>1158.5829058382899</v>
      </c>
      <c r="AM81">
        <v>402.71479734318802</v>
      </c>
      <c r="AN81">
        <v>0.34759255924961502</v>
      </c>
      <c r="AO81" t="s">
        <v>302</v>
      </c>
      <c r="AP81" t="s">
        <v>158</v>
      </c>
      <c r="AQ81" t="s">
        <v>315</v>
      </c>
      <c r="AR81">
        <v>9</v>
      </c>
      <c r="AS81">
        <v>1.0427246152544629</v>
      </c>
      <c r="AT81" t="s">
        <v>595</v>
      </c>
      <c r="AU81" t="s">
        <v>596</v>
      </c>
      <c r="AV81">
        <v>1937</v>
      </c>
      <c r="AW81">
        <v>1937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-0.32300000000000001</v>
      </c>
      <c r="BH81">
        <v>34.276001000000001</v>
      </c>
      <c r="BI81">
        <v>29.479516</v>
      </c>
      <c r="BJ81">
        <v>30.980858000000001</v>
      </c>
      <c r="BK81">
        <v>6.5078889999999996</v>
      </c>
      <c r="BL81">
        <v>42.352625000000003</v>
      </c>
      <c r="BM81">
        <v>0.22076000000000001</v>
      </c>
      <c r="BN81">
        <v>1.5739989999999999</v>
      </c>
      <c r="BO81">
        <v>-3.869129</v>
      </c>
      <c r="BP81">
        <v>17.446711000000001</v>
      </c>
      <c r="BQ81">
        <v>3.2729910000000002</v>
      </c>
      <c r="BR81">
        <v>0.78700099999999995</v>
      </c>
      <c r="BS81">
        <v>0.80214300000000005</v>
      </c>
      <c r="BT81">
        <v>29.479516</v>
      </c>
      <c r="BU81">
        <v>2.1537190000000002</v>
      </c>
      <c r="BV81">
        <v>-1.295153</v>
      </c>
      <c r="BW81">
        <v>1.097799</v>
      </c>
      <c r="BX81">
        <v>7.3057999999999998E-2</v>
      </c>
      <c r="BY81">
        <v>-0.60135700000000003</v>
      </c>
      <c r="BZ81">
        <v>0.50972300000000004</v>
      </c>
      <c r="CA81">
        <v>-6.9120000000000001E-2</v>
      </c>
      <c r="CB81">
        <v>19.430201</v>
      </c>
      <c r="CC81">
        <v>27.153998999999999</v>
      </c>
      <c r="CD81">
        <v>30.045601000000001</v>
      </c>
      <c r="CE81">
        <v>30.337</v>
      </c>
      <c r="CF81">
        <v>30.521799000000001</v>
      </c>
      <c r="CG81">
        <v>30.834399999999999</v>
      </c>
      <c r="CH81">
        <v>31.106000999999999</v>
      </c>
      <c r="CI81">
        <v>31.382000000000001</v>
      </c>
      <c r="CJ81">
        <v>31.702000000000002</v>
      </c>
      <c r="CK81">
        <v>31.910999</v>
      </c>
      <c r="CL81">
        <v>32.106400000000001</v>
      </c>
      <c r="CM81">
        <v>32.589801999999999</v>
      </c>
      <c r="CN81">
        <v>32.985199000000001</v>
      </c>
      <c r="CO81">
        <v>33.689922000000003</v>
      </c>
      <c r="CP81">
        <v>0.86136900000000005</v>
      </c>
      <c r="CQ81">
        <v>30.188948</v>
      </c>
      <c r="CR81">
        <v>30.472767000000001</v>
      </c>
      <c r="CS81">
        <v>1</v>
      </c>
      <c r="CT81">
        <v>33</v>
      </c>
      <c r="CU81">
        <v>12.833247</v>
      </c>
      <c r="CV81">
        <v>12.682539999999999</v>
      </c>
      <c r="CW81">
        <v>5.5587179999999998</v>
      </c>
      <c r="CX81">
        <v>30.899349000000001</v>
      </c>
      <c r="CY81">
        <v>0.43314999999999998</v>
      </c>
      <c r="CZ81">
        <v>7</v>
      </c>
      <c r="DA81">
        <v>-8.8371000000000005E-2</v>
      </c>
      <c r="DB81">
        <v>3.0565760000000002</v>
      </c>
      <c r="DC81">
        <v>4.3282689999999997</v>
      </c>
      <c r="DD81">
        <v>12.833247</v>
      </c>
      <c r="DE81">
        <v>3.1079330000000001</v>
      </c>
      <c r="DF81">
        <v>-0.13298499999999999</v>
      </c>
      <c r="DG81">
        <v>0.45707599999999998</v>
      </c>
      <c r="DH81">
        <v>0.242178</v>
      </c>
      <c r="DI81">
        <v>-4.2789000000000001E-2</v>
      </c>
      <c r="DJ81">
        <v>0.147067</v>
      </c>
      <c r="DK81">
        <v>1</v>
      </c>
      <c r="DL81">
        <v>2</v>
      </c>
      <c r="DM81">
        <v>5</v>
      </c>
      <c r="DN81">
        <v>8</v>
      </c>
      <c r="DO81">
        <v>9</v>
      </c>
      <c r="DP81">
        <v>10</v>
      </c>
      <c r="DQ81">
        <v>12</v>
      </c>
      <c r="DR81">
        <v>13</v>
      </c>
      <c r="DS81">
        <v>14</v>
      </c>
      <c r="DT81">
        <v>16</v>
      </c>
      <c r="DU81">
        <v>16</v>
      </c>
      <c r="DV81">
        <v>17</v>
      </c>
      <c r="DW81">
        <v>19</v>
      </c>
      <c r="DX81">
        <v>22</v>
      </c>
      <c r="DY81">
        <v>26</v>
      </c>
      <c r="DZ81">
        <v>95.921527999999995</v>
      </c>
      <c r="EA81">
        <v>95.921527999999995</v>
      </c>
      <c r="EB81">
        <v>95.921527999999995</v>
      </c>
      <c r="EC81">
        <v>1858</v>
      </c>
      <c r="ED81">
        <v>1858</v>
      </c>
      <c r="EE81">
        <v>83.582859999999997</v>
      </c>
      <c r="EF81">
        <v>54.878678000000001</v>
      </c>
      <c r="EG81">
        <v>83.582859999999997</v>
      </c>
      <c r="EH81">
        <v>54.878678000000001</v>
      </c>
      <c r="EI81">
        <v>83.582859999999997</v>
      </c>
      <c r="EJ81">
        <v>54.878678000000001</v>
      </c>
      <c r="EK81">
        <v>1619</v>
      </c>
      <c r="EL81">
        <v>1063</v>
      </c>
      <c r="EM81">
        <v>1619</v>
      </c>
      <c r="EN81">
        <v>1063</v>
      </c>
      <c r="EO81">
        <v>1937</v>
      </c>
      <c r="EP81">
        <v>1937</v>
      </c>
      <c r="EQ81">
        <v>86.323761000000005</v>
      </c>
    </row>
    <row r="82" spans="1:147" x14ac:dyDescent="0.25">
      <c r="A82">
        <v>2022</v>
      </c>
      <c r="B82" t="str">
        <f t="shared" si="2"/>
        <v>NE</v>
      </c>
      <c r="C82" t="s">
        <v>597</v>
      </c>
      <c r="D82" t="s">
        <v>597</v>
      </c>
      <c r="E82">
        <v>23266</v>
      </c>
      <c r="F82" t="s">
        <v>587</v>
      </c>
      <c r="G82" t="s">
        <v>588</v>
      </c>
      <c r="H82" t="s">
        <v>598</v>
      </c>
      <c r="I82">
        <v>11.16</v>
      </c>
      <c r="J82">
        <v>11.16</v>
      </c>
      <c r="K82" t="s">
        <v>190</v>
      </c>
      <c r="L82">
        <v>1</v>
      </c>
      <c r="M82">
        <v>2015</v>
      </c>
      <c r="N82">
        <v>2</v>
      </c>
      <c r="O82" t="str">
        <f t="shared" si="3"/>
        <v>Alto fuste</v>
      </c>
      <c r="P82" s="2">
        <v>42157</v>
      </c>
      <c r="Q82" t="s">
        <v>174</v>
      </c>
      <c r="R82" t="s">
        <v>470</v>
      </c>
      <c r="S82" t="s">
        <v>154</v>
      </c>
      <c r="T82" t="s">
        <v>175</v>
      </c>
      <c r="U82" t="s">
        <v>156</v>
      </c>
      <c r="V82" s="2">
        <v>44599</v>
      </c>
      <c r="W82" t="s">
        <v>590</v>
      </c>
      <c r="X82">
        <v>58.17</v>
      </c>
      <c r="Y82">
        <v>21</v>
      </c>
      <c r="Z82">
        <v>19</v>
      </c>
      <c r="AA82">
        <v>15</v>
      </c>
      <c r="AB82">
        <v>1</v>
      </c>
      <c r="AC82">
        <v>315</v>
      </c>
      <c r="AD82">
        <v>297.79298909026699</v>
      </c>
      <c r="AE82" s="2">
        <v>44599</v>
      </c>
      <c r="AF82">
        <v>80</v>
      </c>
      <c r="AG82">
        <v>6.6858316221765897</v>
      </c>
      <c r="AH82">
        <v>30.400234078700699</v>
      </c>
      <c r="AI82">
        <v>16.948571428571402</v>
      </c>
      <c r="AJ82">
        <v>26.748843733004598</v>
      </c>
      <c r="AK82">
        <v>35</v>
      </c>
      <c r="AL82">
        <v>1175.3130960847</v>
      </c>
      <c r="AM82">
        <v>351.49605443075001</v>
      </c>
      <c r="AN82">
        <v>0.29906588772105203</v>
      </c>
      <c r="AO82" t="s">
        <v>470</v>
      </c>
      <c r="AP82" t="s">
        <v>158</v>
      </c>
      <c r="AQ82" t="s">
        <v>599</v>
      </c>
      <c r="AR82">
        <v>9</v>
      </c>
      <c r="AS82">
        <v>1.0577817864762331</v>
      </c>
      <c r="AT82" t="s">
        <v>600</v>
      </c>
      <c r="AU82" t="s">
        <v>601</v>
      </c>
      <c r="AV82">
        <v>1783</v>
      </c>
      <c r="AW82">
        <v>1783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-0.161</v>
      </c>
      <c r="BH82">
        <v>31.153998999999999</v>
      </c>
      <c r="BI82">
        <v>23.545103000000001</v>
      </c>
      <c r="BJ82">
        <v>-0.161</v>
      </c>
      <c r="BK82">
        <v>8.7300020000000007</v>
      </c>
      <c r="BL82">
        <v>76.212933000000007</v>
      </c>
      <c r="BM82">
        <v>0.370778</v>
      </c>
      <c r="BN82">
        <v>5.0585000000000004</v>
      </c>
      <c r="BO82">
        <v>-1.9483889999999999</v>
      </c>
      <c r="BP82">
        <v>5.4951569999999998</v>
      </c>
      <c r="BQ82">
        <v>6.1280289999999997</v>
      </c>
      <c r="BR82">
        <v>2.0499990000000001</v>
      </c>
      <c r="BS82">
        <v>27.056000000000001</v>
      </c>
      <c r="BT82">
        <v>23.545103000000001</v>
      </c>
      <c r="BU82">
        <v>3.9373140000000002</v>
      </c>
      <c r="BV82">
        <v>-1.90455</v>
      </c>
      <c r="BW82">
        <v>1.034602</v>
      </c>
      <c r="BX82">
        <v>0.16722400000000001</v>
      </c>
      <c r="BY82">
        <v>-0.48371799999999998</v>
      </c>
      <c r="BZ82">
        <v>0.26276899999999997</v>
      </c>
      <c r="CA82">
        <v>-8.6360000000000006E-2</v>
      </c>
      <c r="CB82">
        <v>2E-3</v>
      </c>
      <c r="CC82">
        <v>4.4671989999999999</v>
      </c>
      <c r="CD82">
        <v>21.168399999999998</v>
      </c>
      <c r="CE82">
        <v>23.5625</v>
      </c>
      <c r="CF82">
        <v>24.698799000000001</v>
      </c>
      <c r="CG82">
        <v>26.3538</v>
      </c>
      <c r="CH82">
        <v>26.895</v>
      </c>
      <c r="CI82">
        <v>27.41</v>
      </c>
      <c r="CJ82">
        <v>28.159800000000001</v>
      </c>
      <c r="CK82">
        <v>28.620999999999999</v>
      </c>
      <c r="CL82">
        <v>28.915199000000001</v>
      </c>
      <c r="CM82">
        <v>29.537399000000001</v>
      </c>
      <c r="CN82">
        <v>30.050799999999999</v>
      </c>
      <c r="CO82">
        <v>30.700240999999998</v>
      </c>
      <c r="CP82">
        <v>0.75702100000000005</v>
      </c>
      <c r="CQ82">
        <v>25.110596999999999</v>
      </c>
      <c r="CR82">
        <v>25.781912999999999</v>
      </c>
      <c r="CS82">
        <v>1</v>
      </c>
      <c r="CT82">
        <v>66</v>
      </c>
      <c r="CU82">
        <v>22.794167000000002</v>
      </c>
      <c r="CV82">
        <v>1</v>
      </c>
      <c r="CW82">
        <v>13.461660999999999</v>
      </c>
      <c r="CX82">
        <v>181.216307</v>
      </c>
      <c r="CY82">
        <v>0.59057499999999996</v>
      </c>
      <c r="CZ82">
        <v>17</v>
      </c>
      <c r="DA82">
        <v>0.69466499999999998</v>
      </c>
      <c r="DB82">
        <v>3.3895490000000001</v>
      </c>
      <c r="DC82">
        <v>10.441112</v>
      </c>
      <c r="DD82">
        <v>22.794167000000002</v>
      </c>
      <c r="DE82">
        <v>7.4541190000000004</v>
      </c>
      <c r="DF82">
        <v>0.83843900000000005</v>
      </c>
      <c r="DG82">
        <v>1.05325</v>
      </c>
      <c r="DH82">
        <v>0.327019</v>
      </c>
      <c r="DI82">
        <v>0.11248</v>
      </c>
      <c r="DJ82">
        <v>0.14129800000000001</v>
      </c>
      <c r="DK82">
        <v>1</v>
      </c>
      <c r="DL82">
        <v>3</v>
      </c>
      <c r="DM82">
        <v>6</v>
      </c>
      <c r="DN82">
        <v>11</v>
      </c>
      <c r="DO82">
        <v>13</v>
      </c>
      <c r="DP82">
        <v>15</v>
      </c>
      <c r="DQ82">
        <v>18</v>
      </c>
      <c r="DR82">
        <v>22</v>
      </c>
      <c r="DS82">
        <v>25</v>
      </c>
      <c r="DT82">
        <v>28</v>
      </c>
      <c r="DU82">
        <v>30</v>
      </c>
      <c r="DV82">
        <v>32</v>
      </c>
      <c r="DW82">
        <v>40</v>
      </c>
      <c r="DX82">
        <v>52</v>
      </c>
      <c r="DY82">
        <v>60.180053999999998</v>
      </c>
      <c r="DZ82">
        <v>90.241167000000004</v>
      </c>
      <c r="EA82">
        <v>90.241167000000004</v>
      </c>
      <c r="EB82">
        <v>90.241167000000004</v>
      </c>
      <c r="EC82">
        <v>1609</v>
      </c>
      <c r="ED82">
        <v>1609</v>
      </c>
      <c r="EE82">
        <v>75.098149000000006</v>
      </c>
      <c r="EF82">
        <v>99.943915000000004</v>
      </c>
      <c r="EG82">
        <v>75.098149000000006</v>
      </c>
      <c r="EH82">
        <v>99.943915000000004</v>
      </c>
      <c r="EI82">
        <v>75.098149000000006</v>
      </c>
      <c r="EJ82">
        <v>99.943915000000004</v>
      </c>
      <c r="EK82">
        <v>1339</v>
      </c>
      <c r="EL82">
        <v>1782</v>
      </c>
      <c r="EM82">
        <v>1339</v>
      </c>
      <c r="EN82">
        <v>1782</v>
      </c>
      <c r="EO82">
        <v>1783</v>
      </c>
      <c r="EP82">
        <v>1783</v>
      </c>
      <c r="EQ82">
        <v>75.729082000000005</v>
      </c>
    </row>
    <row r="83" spans="1:147" x14ac:dyDescent="0.25">
      <c r="A83">
        <v>2022</v>
      </c>
      <c r="B83" t="str">
        <f t="shared" si="2"/>
        <v>NE</v>
      </c>
      <c r="C83" t="s">
        <v>602</v>
      </c>
      <c r="D83" t="s">
        <v>602</v>
      </c>
      <c r="E83">
        <v>23274</v>
      </c>
      <c r="F83" t="s">
        <v>603</v>
      </c>
      <c r="G83" t="s">
        <v>604</v>
      </c>
      <c r="H83" t="s">
        <v>605</v>
      </c>
      <c r="I83">
        <v>39.76</v>
      </c>
      <c r="J83">
        <v>39.76</v>
      </c>
      <c r="K83" t="s">
        <v>173</v>
      </c>
      <c r="L83">
        <v>1</v>
      </c>
      <c r="M83">
        <v>2015</v>
      </c>
      <c r="N83">
        <v>2</v>
      </c>
      <c r="O83" t="str">
        <f t="shared" si="3"/>
        <v>Talhadia</v>
      </c>
      <c r="P83" s="2">
        <v>42328</v>
      </c>
      <c r="Q83" t="s">
        <v>322</v>
      </c>
      <c r="R83" t="s">
        <v>153</v>
      </c>
      <c r="S83" t="s">
        <v>154</v>
      </c>
      <c r="T83" t="s">
        <v>175</v>
      </c>
      <c r="U83" t="s">
        <v>156</v>
      </c>
      <c r="V83" s="2">
        <v>44595</v>
      </c>
      <c r="W83" t="s">
        <v>606</v>
      </c>
      <c r="X83">
        <v>68.42</v>
      </c>
      <c r="Y83">
        <v>20.399999999999999</v>
      </c>
      <c r="Z83">
        <v>21</v>
      </c>
      <c r="AA83">
        <v>14</v>
      </c>
      <c r="AB83">
        <v>2</v>
      </c>
      <c r="AC83">
        <v>285.60000000000002</v>
      </c>
      <c r="AD83">
        <v>266.46814566859098</v>
      </c>
      <c r="AE83" s="2">
        <v>44595</v>
      </c>
      <c r="AF83">
        <v>75</v>
      </c>
      <c r="AG83">
        <v>6.2067077344284698</v>
      </c>
      <c r="AH83">
        <v>24.8165203277057</v>
      </c>
      <c r="AI83">
        <v>17.239999999999998</v>
      </c>
      <c r="AJ83">
        <v>23.541535758108999</v>
      </c>
      <c r="AK83">
        <v>25</v>
      </c>
      <c r="AL83">
        <v>938.19844534411095</v>
      </c>
      <c r="AM83">
        <v>264.41673366232601</v>
      </c>
      <c r="AN83">
        <v>0.28183454681098202</v>
      </c>
      <c r="AO83" t="s">
        <v>153</v>
      </c>
      <c r="AP83" t="s">
        <v>264</v>
      </c>
      <c r="AQ83" t="s">
        <v>607</v>
      </c>
      <c r="AR83">
        <v>9.99</v>
      </c>
      <c r="AS83">
        <v>0.9372602468987663</v>
      </c>
      <c r="AT83" t="s">
        <v>608</v>
      </c>
      <c r="AU83" t="s">
        <v>609</v>
      </c>
      <c r="AV83">
        <v>2328</v>
      </c>
      <c r="AW83">
        <v>2328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-0.255</v>
      </c>
      <c r="BH83">
        <v>31.760999999999999</v>
      </c>
      <c r="BI83">
        <v>25.021694</v>
      </c>
      <c r="BJ83">
        <v>28.711856999999998</v>
      </c>
      <c r="BK83">
        <v>7.3299560000000001</v>
      </c>
      <c r="BL83">
        <v>53.728257999999997</v>
      </c>
      <c r="BM83">
        <v>0.29294399999999998</v>
      </c>
      <c r="BN83">
        <v>4.5685010000000004</v>
      </c>
      <c r="BO83">
        <v>-2.3872339999999999</v>
      </c>
      <c r="BP83">
        <v>8.2050070000000002</v>
      </c>
      <c r="BQ83">
        <v>4.8029260000000003</v>
      </c>
      <c r="BR83">
        <v>1.9670000000000001</v>
      </c>
      <c r="BS83">
        <v>1.7544999999999999</v>
      </c>
      <c r="BT83">
        <v>25.021694</v>
      </c>
      <c r="BU83">
        <v>3.2404869999999999</v>
      </c>
      <c r="BV83">
        <v>-1.5212410000000001</v>
      </c>
      <c r="BW83">
        <v>0.97309800000000002</v>
      </c>
      <c r="BX83">
        <v>0.12950700000000001</v>
      </c>
      <c r="BY83">
        <v>-0.46944799999999998</v>
      </c>
      <c r="BZ83">
        <v>0.30029400000000001</v>
      </c>
      <c r="CA83">
        <v>-0.10473</v>
      </c>
      <c r="CB83">
        <v>0.19009999999999999</v>
      </c>
      <c r="CC83">
        <v>17.009701</v>
      </c>
      <c r="CD83">
        <v>23.6098</v>
      </c>
      <c r="CE83">
        <v>24.54175</v>
      </c>
      <c r="CF83">
        <v>25.423100000000002</v>
      </c>
      <c r="CG83">
        <v>26.665400000000002</v>
      </c>
      <c r="CH83">
        <v>27.461500000000001</v>
      </c>
      <c r="CI83">
        <v>28.180600999999999</v>
      </c>
      <c r="CJ83">
        <v>28.8325</v>
      </c>
      <c r="CK83">
        <v>29.110250000000001</v>
      </c>
      <c r="CL83">
        <v>29.390599999999999</v>
      </c>
      <c r="CM83">
        <v>30.156099000000001</v>
      </c>
      <c r="CN83">
        <v>30.640249000000001</v>
      </c>
      <c r="CO83">
        <v>31.243110999999999</v>
      </c>
      <c r="CP83">
        <v>0.78950200000000004</v>
      </c>
      <c r="CQ83">
        <v>26.072790000000001</v>
      </c>
      <c r="CR83">
        <v>26.569924</v>
      </c>
      <c r="CS83">
        <v>1</v>
      </c>
      <c r="CT83">
        <v>57</v>
      </c>
      <c r="CU83">
        <v>16.051117000000001</v>
      </c>
      <c r="CV83">
        <v>1</v>
      </c>
      <c r="CW83">
        <v>10.694349000000001</v>
      </c>
      <c r="CX83">
        <v>114.36910899999999</v>
      </c>
      <c r="CY83">
        <v>0.66626799999999997</v>
      </c>
      <c r="CZ83">
        <v>15</v>
      </c>
      <c r="DA83">
        <v>0.81454099999999996</v>
      </c>
      <c r="DB83">
        <v>3.6644800000000002</v>
      </c>
      <c r="DC83">
        <v>8.6532409999999995</v>
      </c>
      <c r="DD83">
        <v>16.051117000000001</v>
      </c>
      <c r="DE83">
        <v>5.9351789999999998</v>
      </c>
      <c r="DF83">
        <v>0.83617300000000006</v>
      </c>
      <c r="DG83">
        <v>0.51436700000000002</v>
      </c>
      <c r="DH83">
        <v>0.36976700000000001</v>
      </c>
      <c r="DI83">
        <v>0.14088400000000001</v>
      </c>
      <c r="DJ83">
        <v>8.6664000000000005E-2</v>
      </c>
      <c r="DK83">
        <v>1</v>
      </c>
      <c r="DL83">
        <v>2</v>
      </c>
      <c r="DM83">
        <v>3</v>
      </c>
      <c r="DN83">
        <v>6</v>
      </c>
      <c r="DO83">
        <v>8</v>
      </c>
      <c r="DP83">
        <v>9</v>
      </c>
      <c r="DQ83">
        <v>12</v>
      </c>
      <c r="DR83">
        <v>14.5</v>
      </c>
      <c r="DS83">
        <v>18</v>
      </c>
      <c r="DT83">
        <v>22</v>
      </c>
      <c r="DU83">
        <v>23</v>
      </c>
      <c r="DV83">
        <v>25</v>
      </c>
      <c r="DW83">
        <v>30</v>
      </c>
      <c r="DX83">
        <v>34</v>
      </c>
      <c r="DY83">
        <v>49</v>
      </c>
      <c r="DZ83">
        <v>94.415807999999998</v>
      </c>
      <c r="EA83">
        <v>94.415807999999998</v>
      </c>
      <c r="EB83">
        <v>94.415807999999998</v>
      </c>
      <c r="EC83">
        <v>2198</v>
      </c>
      <c r="ED83">
        <v>2198</v>
      </c>
      <c r="EE83">
        <v>71.778351000000001</v>
      </c>
      <c r="EF83">
        <v>32.259450000000001</v>
      </c>
      <c r="EG83">
        <v>71.778351000000001</v>
      </c>
      <c r="EH83">
        <v>32.259450000000001</v>
      </c>
      <c r="EI83">
        <v>71.778351000000001</v>
      </c>
      <c r="EJ83">
        <v>32.259450000000001</v>
      </c>
      <c r="EK83">
        <v>1671</v>
      </c>
      <c r="EL83">
        <v>751</v>
      </c>
      <c r="EM83">
        <v>1671</v>
      </c>
      <c r="EN83">
        <v>751</v>
      </c>
      <c r="EO83">
        <v>2328</v>
      </c>
      <c r="EP83">
        <v>2328</v>
      </c>
      <c r="EQ83">
        <v>79.120666</v>
      </c>
    </row>
    <row r="84" spans="1:147" x14ac:dyDescent="0.25">
      <c r="A84">
        <v>2022</v>
      </c>
      <c r="B84" t="str">
        <f t="shared" si="2"/>
        <v>NE</v>
      </c>
      <c r="C84" t="s">
        <v>610</v>
      </c>
      <c r="D84" t="s">
        <v>610</v>
      </c>
      <c r="E84">
        <v>23275</v>
      </c>
      <c r="F84" t="s">
        <v>603</v>
      </c>
      <c r="G84" t="s">
        <v>604</v>
      </c>
      <c r="H84" t="s">
        <v>605</v>
      </c>
      <c r="I84">
        <v>39.76</v>
      </c>
      <c r="J84">
        <v>39.76</v>
      </c>
      <c r="K84" t="s">
        <v>173</v>
      </c>
      <c r="L84">
        <v>1</v>
      </c>
      <c r="M84">
        <v>2015</v>
      </c>
      <c r="N84">
        <v>2</v>
      </c>
      <c r="O84" t="str">
        <f t="shared" si="3"/>
        <v>Talhadia</v>
      </c>
      <c r="P84" s="2">
        <v>42328</v>
      </c>
      <c r="Q84" t="s">
        <v>322</v>
      </c>
      <c r="R84" t="s">
        <v>153</v>
      </c>
      <c r="S84" t="s">
        <v>154</v>
      </c>
      <c r="T84" t="s">
        <v>175</v>
      </c>
      <c r="U84" t="s">
        <v>156</v>
      </c>
      <c r="V84" s="2">
        <v>44595</v>
      </c>
      <c r="W84" t="s">
        <v>606</v>
      </c>
      <c r="X84">
        <v>68.42</v>
      </c>
      <c r="Y84">
        <v>19.600000000000001</v>
      </c>
      <c r="Z84">
        <v>17</v>
      </c>
      <c r="AA84">
        <v>14.5</v>
      </c>
      <c r="AB84">
        <v>2</v>
      </c>
      <c r="AC84">
        <v>284.2</v>
      </c>
      <c r="AD84">
        <v>271.61624950833999</v>
      </c>
      <c r="AE84" s="2">
        <v>44595</v>
      </c>
      <c r="AF84">
        <v>75</v>
      </c>
      <c r="AG84">
        <v>6.2067077344284698</v>
      </c>
      <c r="AH84">
        <v>24.073881966240801</v>
      </c>
      <c r="AI84">
        <v>18.774999999999999</v>
      </c>
      <c r="AJ84">
        <v>21.628820086080498</v>
      </c>
      <c r="AK84">
        <v>20</v>
      </c>
      <c r="AL84">
        <v>736.33297110178705</v>
      </c>
      <c r="AM84">
        <v>227.03863612547701</v>
      </c>
      <c r="AN84">
        <v>0.30833691418945303</v>
      </c>
      <c r="AO84" t="s">
        <v>153</v>
      </c>
      <c r="AP84" t="s">
        <v>264</v>
      </c>
      <c r="AQ84" t="s">
        <v>607</v>
      </c>
      <c r="AR84">
        <v>9.99</v>
      </c>
      <c r="AS84">
        <v>0.73559663813068421</v>
      </c>
      <c r="AT84" t="s">
        <v>611</v>
      </c>
      <c r="AU84" t="s">
        <v>612</v>
      </c>
      <c r="AV84">
        <v>2798</v>
      </c>
      <c r="AW84">
        <v>2798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-0.371</v>
      </c>
      <c r="BH84">
        <v>29.285999</v>
      </c>
      <c r="BI84">
        <v>21.364411</v>
      </c>
      <c r="BJ84">
        <v>25.520030999999999</v>
      </c>
      <c r="BK84">
        <v>8.0111229999999995</v>
      </c>
      <c r="BL84">
        <v>64.178090999999995</v>
      </c>
      <c r="BM84">
        <v>0.374975</v>
      </c>
      <c r="BN84">
        <v>4.4632490000000002</v>
      </c>
      <c r="BO84">
        <v>-1.8846780000000001</v>
      </c>
      <c r="BP84">
        <v>5.2796719999999997</v>
      </c>
      <c r="BQ84">
        <v>5.6952809999999996</v>
      </c>
      <c r="BR84">
        <v>1.7969999999999999</v>
      </c>
      <c r="BS84">
        <v>1.7010000000000001</v>
      </c>
      <c r="BT84">
        <v>21.364411</v>
      </c>
      <c r="BU84">
        <v>3.666728</v>
      </c>
      <c r="BV84">
        <v>-1.7300489999999999</v>
      </c>
      <c r="BW84">
        <v>0.92008999999999996</v>
      </c>
      <c r="BX84">
        <v>0.171628</v>
      </c>
      <c r="BY84">
        <v>-0.47182400000000002</v>
      </c>
      <c r="BZ84">
        <v>0.25092999999999999</v>
      </c>
      <c r="CA84">
        <v>-0.108</v>
      </c>
      <c r="CB84">
        <v>8.8500000000000002E-3</v>
      </c>
      <c r="CC84">
        <v>2.6480030000000001</v>
      </c>
      <c r="CD84">
        <v>19.119399999999999</v>
      </c>
      <c r="CE84">
        <v>21.47175</v>
      </c>
      <c r="CF84">
        <v>22.587700000000002</v>
      </c>
      <c r="CG84">
        <v>23.595400000000001</v>
      </c>
      <c r="CH84">
        <v>24.556498999999999</v>
      </c>
      <c r="CI84">
        <v>25.18</v>
      </c>
      <c r="CJ84">
        <v>25.671901999999999</v>
      </c>
      <c r="CK84">
        <v>25.934999000000001</v>
      </c>
      <c r="CL84">
        <v>26.254598999999999</v>
      </c>
      <c r="CM84">
        <v>27.039300999999998</v>
      </c>
      <c r="CN84">
        <v>27.483000000000001</v>
      </c>
      <c r="CO84">
        <v>28.238602</v>
      </c>
      <c r="CP84">
        <v>0.73289300000000002</v>
      </c>
      <c r="CQ84">
        <v>22.816511999999999</v>
      </c>
      <c r="CR84">
        <v>23.449743000000002</v>
      </c>
      <c r="CS84">
        <v>1</v>
      </c>
      <c r="CT84">
        <v>84</v>
      </c>
      <c r="CU84">
        <v>29.031094</v>
      </c>
      <c r="CV84">
        <v>33.936508000000003</v>
      </c>
      <c r="CW84">
        <v>17.402183999999998</v>
      </c>
      <c r="CX84">
        <v>302.83600100000001</v>
      </c>
      <c r="CY84">
        <v>0.59943299999999999</v>
      </c>
      <c r="CZ84">
        <v>22</v>
      </c>
      <c r="DA84">
        <v>0.50283999999999995</v>
      </c>
      <c r="DB84">
        <v>2.882371</v>
      </c>
      <c r="DC84">
        <v>13.776686</v>
      </c>
      <c r="DD84">
        <v>29.031094</v>
      </c>
      <c r="DE84">
        <v>9.7792840000000005</v>
      </c>
      <c r="DF84">
        <v>0.87338000000000005</v>
      </c>
      <c r="DG84">
        <v>1.1378079999999999</v>
      </c>
      <c r="DH84">
        <v>0.33685599999999999</v>
      </c>
      <c r="DI84">
        <v>8.9308999999999999E-2</v>
      </c>
      <c r="DJ84">
        <v>0.11634899999999999</v>
      </c>
      <c r="DK84">
        <v>1</v>
      </c>
      <c r="DL84">
        <v>3</v>
      </c>
      <c r="DM84">
        <v>6</v>
      </c>
      <c r="DN84">
        <v>13</v>
      </c>
      <c r="DO84">
        <v>16</v>
      </c>
      <c r="DP84">
        <v>19</v>
      </c>
      <c r="DQ84">
        <v>24</v>
      </c>
      <c r="DR84">
        <v>28</v>
      </c>
      <c r="DS84">
        <v>32</v>
      </c>
      <c r="DT84">
        <v>36</v>
      </c>
      <c r="DU84">
        <v>38</v>
      </c>
      <c r="DV84">
        <v>41</v>
      </c>
      <c r="DW84">
        <v>54</v>
      </c>
      <c r="DX84">
        <v>63</v>
      </c>
      <c r="DY84">
        <v>74</v>
      </c>
      <c r="DZ84">
        <v>89.921372000000005</v>
      </c>
      <c r="EA84">
        <v>89.921372000000005</v>
      </c>
      <c r="EB84">
        <v>89.921372000000005</v>
      </c>
      <c r="EC84">
        <v>2516</v>
      </c>
      <c r="ED84">
        <v>2516</v>
      </c>
      <c r="EE84">
        <v>75.303787999999997</v>
      </c>
      <c r="EF84">
        <v>33.345247000000001</v>
      </c>
      <c r="EG84">
        <v>75.303787999999997</v>
      </c>
      <c r="EH84">
        <v>33.345247000000001</v>
      </c>
      <c r="EI84">
        <v>75.303787999999997</v>
      </c>
      <c r="EJ84">
        <v>33.345247000000001</v>
      </c>
      <c r="EK84">
        <v>2107</v>
      </c>
      <c r="EL84">
        <v>933</v>
      </c>
      <c r="EM84">
        <v>2107</v>
      </c>
      <c r="EN84">
        <v>933</v>
      </c>
      <c r="EO84">
        <v>2798</v>
      </c>
      <c r="EP84">
        <v>2798</v>
      </c>
      <c r="EQ84">
        <v>74.634688999999995</v>
      </c>
    </row>
    <row r="85" spans="1:147" x14ac:dyDescent="0.25">
      <c r="A85">
        <v>2022</v>
      </c>
      <c r="B85" t="str">
        <f t="shared" si="2"/>
        <v>NE</v>
      </c>
      <c r="C85" t="s">
        <v>613</v>
      </c>
      <c r="D85" t="s">
        <v>613</v>
      </c>
      <c r="E85">
        <v>23276</v>
      </c>
      <c r="F85" t="s">
        <v>603</v>
      </c>
      <c r="G85" t="s">
        <v>604</v>
      </c>
      <c r="H85" t="s">
        <v>605</v>
      </c>
      <c r="I85">
        <v>39.76</v>
      </c>
      <c r="J85">
        <v>39.76</v>
      </c>
      <c r="K85" t="s">
        <v>173</v>
      </c>
      <c r="L85">
        <v>1</v>
      </c>
      <c r="M85">
        <v>2015</v>
      </c>
      <c r="N85">
        <v>2</v>
      </c>
      <c r="O85" t="str">
        <f t="shared" si="3"/>
        <v>Talhadia</v>
      </c>
      <c r="P85" s="2">
        <v>42328</v>
      </c>
      <c r="Q85" t="s">
        <v>322</v>
      </c>
      <c r="R85" t="s">
        <v>153</v>
      </c>
      <c r="S85" t="s">
        <v>154</v>
      </c>
      <c r="T85" t="s">
        <v>175</v>
      </c>
      <c r="U85" t="s">
        <v>156</v>
      </c>
      <c r="V85" s="2">
        <v>44595</v>
      </c>
      <c r="W85" t="s">
        <v>606</v>
      </c>
      <c r="X85">
        <v>68.42</v>
      </c>
      <c r="Y85">
        <v>20</v>
      </c>
      <c r="Z85">
        <v>19</v>
      </c>
      <c r="AA85">
        <v>14.2</v>
      </c>
      <c r="AB85">
        <v>2</v>
      </c>
      <c r="AC85">
        <v>284</v>
      </c>
      <c r="AD85">
        <v>268.36369590935402</v>
      </c>
      <c r="AE85" s="2">
        <v>44595</v>
      </c>
      <c r="AF85">
        <v>75</v>
      </c>
      <c r="AG85">
        <v>6.2067077344284698</v>
      </c>
      <c r="AH85">
        <v>20.193912123776101</v>
      </c>
      <c r="AI85">
        <v>15.6458333333333</v>
      </c>
      <c r="AJ85">
        <v>19.2618032084935</v>
      </c>
      <c r="AK85">
        <v>24</v>
      </c>
      <c r="AL85">
        <v>894.30874465622901</v>
      </c>
      <c r="AM85">
        <v>178.84718583558299</v>
      </c>
      <c r="AN85">
        <v>0.19998371580759999</v>
      </c>
      <c r="AO85" t="s">
        <v>153</v>
      </c>
      <c r="AP85" t="s">
        <v>264</v>
      </c>
      <c r="AQ85" t="s">
        <v>607</v>
      </c>
      <c r="AR85">
        <v>9.99</v>
      </c>
      <c r="AS85">
        <v>0.89341443591157133</v>
      </c>
      <c r="AT85" t="s">
        <v>614</v>
      </c>
      <c r="AU85" t="s">
        <v>615</v>
      </c>
      <c r="AV85">
        <v>2524</v>
      </c>
      <c r="AW85">
        <v>2524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-0.24399999999999999</v>
      </c>
      <c r="BH85">
        <v>27.634001000000001</v>
      </c>
      <c r="BI85">
        <v>21.016359000000001</v>
      </c>
      <c r="BJ85">
        <v>-0.24399999999999999</v>
      </c>
      <c r="BK85">
        <v>7.5584170000000004</v>
      </c>
      <c r="BL85">
        <v>57.129669999999997</v>
      </c>
      <c r="BM85">
        <v>0.35964400000000002</v>
      </c>
      <c r="BN85">
        <v>3.1955010000000001</v>
      </c>
      <c r="BO85">
        <v>-2.1914639999999999</v>
      </c>
      <c r="BP85">
        <v>6.3065110000000004</v>
      </c>
      <c r="BQ85">
        <v>4.8788320000000001</v>
      </c>
      <c r="BR85">
        <v>1.4920009999999999</v>
      </c>
      <c r="BS85">
        <v>23.849499000000002</v>
      </c>
      <c r="BT85">
        <v>21.016359000000001</v>
      </c>
      <c r="BU85">
        <v>3.173972</v>
      </c>
      <c r="BV85">
        <v>-1.624798</v>
      </c>
      <c r="BW85">
        <v>1.036111</v>
      </c>
      <c r="BX85">
        <v>0.15102399999999999</v>
      </c>
      <c r="BY85">
        <v>-0.51191299999999995</v>
      </c>
      <c r="BZ85">
        <v>0.32644000000000001</v>
      </c>
      <c r="CA85">
        <v>-0.14462</v>
      </c>
      <c r="CB85">
        <v>-2.2550000000000001E-2</v>
      </c>
      <c r="CC85">
        <v>0.73729999999999996</v>
      </c>
      <c r="CD85">
        <v>21.156599</v>
      </c>
      <c r="CE85">
        <v>21.636748999999998</v>
      </c>
      <c r="CF85">
        <v>22.152398999999999</v>
      </c>
      <c r="CG85">
        <v>23.078199000000001</v>
      </c>
      <c r="CH85">
        <v>23.605498999999998</v>
      </c>
      <c r="CI85">
        <v>24.0868</v>
      </c>
      <c r="CJ85">
        <v>24.570098999999999</v>
      </c>
      <c r="CK85">
        <v>24.832250999999999</v>
      </c>
      <c r="CL85">
        <v>25.117999999999999</v>
      </c>
      <c r="CM85">
        <v>25.8368</v>
      </c>
      <c r="CN85">
        <v>26.368400999999999</v>
      </c>
      <c r="CO85">
        <v>26.943629999999999</v>
      </c>
      <c r="CP85">
        <v>0.76262099999999999</v>
      </c>
      <c r="CQ85">
        <v>22.333704999999998</v>
      </c>
      <c r="CR85">
        <v>22.854323999999998</v>
      </c>
      <c r="CS85">
        <v>1</v>
      </c>
      <c r="CT85">
        <v>83</v>
      </c>
      <c r="CU85">
        <v>28.151347000000001</v>
      </c>
      <c r="CV85">
        <v>25.730159</v>
      </c>
      <c r="CW85">
        <v>15.36103</v>
      </c>
      <c r="CX85">
        <v>235.961231</v>
      </c>
      <c r="CY85">
        <v>0.54565900000000001</v>
      </c>
      <c r="CZ85">
        <v>18</v>
      </c>
      <c r="DA85">
        <v>0.71479700000000002</v>
      </c>
      <c r="DB85">
        <v>3.7635339999999999</v>
      </c>
      <c r="DC85">
        <v>11.731026999999999</v>
      </c>
      <c r="DD85">
        <v>28.151347000000001</v>
      </c>
      <c r="DE85">
        <v>8.4562860000000004</v>
      </c>
      <c r="DF85">
        <v>0.89502400000000004</v>
      </c>
      <c r="DG85">
        <v>1.378803</v>
      </c>
      <c r="DH85">
        <v>0.30038700000000002</v>
      </c>
      <c r="DI85">
        <v>0.105841</v>
      </c>
      <c r="DJ85">
        <v>0.163051</v>
      </c>
      <c r="DK85">
        <v>1</v>
      </c>
      <c r="DL85">
        <v>5</v>
      </c>
      <c r="DM85">
        <v>9</v>
      </c>
      <c r="DN85">
        <v>15</v>
      </c>
      <c r="DO85">
        <v>18</v>
      </c>
      <c r="DP85">
        <v>20</v>
      </c>
      <c r="DQ85">
        <v>24</v>
      </c>
      <c r="DR85">
        <v>27</v>
      </c>
      <c r="DS85">
        <v>30</v>
      </c>
      <c r="DT85">
        <v>34</v>
      </c>
      <c r="DU85">
        <v>36</v>
      </c>
      <c r="DV85">
        <v>38.400024000000002</v>
      </c>
      <c r="DW85">
        <v>48</v>
      </c>
      <c r="DX85">
        <v>58</v>
      </c>
      <c r="DY85">
        <v>73</v>
      </c>
      <c r="DZ85">
        <v>89.659271000000004</v>
      </c>
      <c r="EA85">
        <v>89.659271000000004</v>
      </c>
      <c r="EB85">
        <v>89.659271000000004</v>
      </c>
      <c r="EC85">
        <v>2263</v>
      </c>
      <c r="ED85">
        <v>2263</v>
      </c>
      <c r="EE85">
        <v>80.744849000000002</v>
      </c>
      <c r="EF85">
        <v>99.920760999999999</v>
      </c>
      <c r="EG85">
        <v>80.744849000000002</v>
      </c>
      <c r="EH85">
        <v>99.920760999999999</v>
      </c>
      <c r="EI85">
        <v>80.744849000000002</v>
      </c>
      <c r="EJ85">
        <v>99.920760999999999</v>
      </c>
      <c r="EK85">
        <v>2038</v>
      </c>
      <c r="EL85">
        <v>2522</v>
      </c>
      <c r="EM85">
        <v>2038</v>
      </c>
      <c r="EN85">
        <v>2522</v>
      </c>
      <c r="EO85">
        <v>2524</v>
      </c>
      <c r="EP85">
        <v>2524</v>
      </c>
      <c r="EQ85">
        <v>77.019751999999997</v>
      </c>
    </row>
    <row r="86" spans="1:147" x14ac:dyDescent="0.25">
      <c r="A86">
        <v>2022</v>
      </c>
      <c r="B86" t="str">
        <f t="shared" si="2"/>
        <v>NE</v>
      </c>
      <c r="C86" t="s">
        <v>616</v>
      </c>
      <c r="D86" t="s">
        <v>616</v>
      </c>
      <c r="E86">
        <v>23277</v>
      </c>
      <c r="F86" t="s">
        <v>617</v>
      </c>
      <c r="G86" t="s">
        <v>604</v>
      </c>
      <c r="H86" t="s">
        <v>618</v>
      </c>
      <c r="I86">
        <v>38.909999999999997</v>
      </c>
      <c r="J86">
        <v>38.909999999999997</v>
      </c>
      <c r="K86" t="s">
        <v>173</v>
      </c>
      <c r="L86">
        <v>1</v>
      </c>
      <c r="M86">
        <v>2015</v>
      </c>
      <c r="N86">
        <v>2</v>
      </c>
      <c r="O86" t="str">
        <f t="shared" si="3"/>
        <v>Alto fuste</v>
      </c>
      <c r="P86" s="2">
        <v>42366</v>
      </c>
      <c r="Q86" t="s">
        <v>174</v>
      </c>
      <c r="R86" t="s">
        <v>302</v>
      </c>
      <c r="S86" t="s">
        <v>154</v>
      </c>
      <c r="T86" t="s">
        <v>175</v>
      </c>
      <c r="U86" t="s">
        <v>156</v>
      </c>
      <c r="V86" s="2">
        <v>44595</v>
      </c>
      <c r="W86" t="s">
        <v>606</v>
      </c>
      <c r="X86">
        <v>166.95</v>
      </c>
      <c r="Y86">
        <v>21.3</v>
      </c>
      <c r="Z86">
        <v>10</v>
      </c>
      <c r="AA86">
        <v>15</v>
      </c>
      <c r="AB86">
        <v>4</v>
      </c>
      <c r="AC86">
        <v>319.5</v>
      </c>
      <c r="AD86">
        <v>313.87961505767203</v>
      </c>
      <c r="AE86" s="2">
        <v>44595</v>
      </c>
      <c r="AF86">
        <v>74</v>
      </c>
      <c r="AG86">
        <v>6.1026694045174503</v>
      </c>
      <c r="AH86">
        <v>26.346818021325898</v>
      </c>
      <c r="AI86">
        <v>17.355882352941201</v>
      </c>
      <c r="AJ86">
        <v>26.551409861915399</v>
      </c>
      <c r="AK86">
        <v>34</v>
      </c>
      <c r="AL86">
        <v>1083.21784432394</v>
      </c>
      <c r="AM86">
        <v>310.18726225605099</v>
      </c>
      <c r="AN86">
        <v>0.286357230802125</v>
      </c>
      <c r="AO86" t="s">
        <v>302</v>
      </c>
      <c r="AP86" t="s">
        <v>158</v>
      </c>
      <c r="AQ86" t="s">
        <v>315</v>
      </c>
      <c r="AR86">
        <v>9</v>
      </c>
      <c r="AS86">
        <v>0.97489605989154715</v>
      </c>
      <c r="AT86" t="s">
        <v>619</v>
      </c>
      <c r="AU86" t="s">
        <v>620</v>
      </c>
      <c r="AV86">
        <v>3042</v>
      </c>
      <c r="AW86">
        <v>3042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-1.278</v>
      </c>
      <c r="BH86">
        <v>29.052</v>
      </c>
      <c r="BI86">
        <v>22.640868999999999</v>
      </c>
      <c r="BJ86">
        <v>26.163429000000001</v>
      </c>
      <c r="BK86">
        <v>4.6190550000000004</v>
      </c>
      <c r="BL86">
        <v>21.335673</v>
      </c>
      <c r="BM86">
        <v>0.204014</v>
      </c>
      <c r="BN86">
        <v>5.7905009999999999</v>
      </c>
      <c r="BO86">
        <v>-1.980213</v>
      </c>
      <c r="BP86">
        <v>9.1678929999999994</v>
      </c>
      <c r="BQ86">
        <v>3.386609</v>
      </c>
      <c r="BR86">
        <v>2.7835000000000001</v>
      </c>
      <c r="BS86">
        <v>2.6169280000000001</v>
      </c>
      <c r="BT86">
        <v>22.640868999999999</v>
      </c>
      <c r="BU86">
        <v>2.3349950000000002</v>
      </c>
      <c r="BV86">
        <v>-0.57731100000000002</v>
      </c>
      <c r="BW86">
        <v>0.358186</v>
      </c>
      <c r="BX86">
        <v>0.103132</v>
      </c>
      <c r="BY86">
        <v>-0.24724299999999999</v>
      </c>
      <c r="BZ86">
        <v>0.15339900000000001</v>
      </c>
      <c r="CA86">
        <v>1.4089799999999999</v>
      </c>
      <c r="CB86">
        <v>15.754149999999999</v>
      </c>
      <c r="CC86">
        <v>18.124300000000002</v>
      </c>
      <c r="CD86">
        <v>19.591999000000001</v>
      </c>
      <c r="CE86">
        <v>20.226998999999999</v>
      </c>
      <c r="CF86">
        <v>20.780901</v>
      </c>
      <c r="CG86">
        <v>22.489401000000001</v>
      </c>
      <c r="CH86">
        <v>23.57</v>
      </c>
      <c r="CI86">
        <v>24.6614</v>
      </c>
      <c r="CJ86">
        <v>25.650998999999999</v>
      </c>
      <c r="CK86">
        <v>26.017499999999998</v>
      </c>
      <c r="CL86">
        <v>26.344798999999998</v>
      </c>
      <c r="CM86">
        <v>27.086599</v>
      </c>
      <c r="CN86">
        <v>27.531649000000002</v>
      </c>
      <c r="CO86">
        <v>28.373981000000001</v>
      </c>
      <c r="CP86">
        <v>0.78862100000000002</v>
      </c>
      <c r="CQ86">
        <v>23.107089999999999</v>
      </c>
      <c r="CR86">
        <v>23.428338</v>
      </c>
      <c r="CS86">
        <v>1</v>
      </c>
      <c r="CT86">
        <v>69</v>
      </c>
      <c r="CU86">
        <v>32.117356999999998</v>
      </c>
      <c r="CV86">
        <v>27.984127000000001</v>
      </c>
      <c r="CW86">
        <v>10.813492999999999</v>
      </c>
      <c r="CX86">
        <v>116.931635</v>
      </c>
      <c r="CY86">
        <v>0.33668700000000001</v>
      </c>
      <c r="CZ86">
        <v>11</v>
      </c>
      <c r="DA86">
        <v>-0.82632399999999995</v>
      </c>
      <c r="DB86">
        <v>4.056737</v>
      </c>
      <c r="DC86">
        <v>7.9428530000000004</v>
      </c>
      <c r="DD86">
        <v>32.117356999999998</v>
      </c>
      <c r="DE86">
        <v>5.8050870000000003</v>
      </c>
      <c r="DF86">
        <v>-0.90020599999999995</v>
      </c>
      <c r="DG86">
        <v>1.1963509999999999</v>
      </c>
      <c r="DH86">
        <v>0.18074599999999999</v>
      </c>
      <c r="DI86">
        <v>-0.15507199999999999</v>
      </c>
      <c r="DJ86">
        <v>0.20608699999999999</v>
      </c>
      <c r="DK86">
        <v>1</v>
      </c>
      <c r="DL86">
        <v>8</v>
      </c>
      <c r="DM86">
        <v>17</v>
      </c>
      <c r="DN86">
        <v>26</v>
      </c>
      <c r="DO86">
        <v>28</v>
      </c>
      <c r="DP86">
        <v>29</v>
      </c>
      <c r="DQ86">
        <v>32</v>
      </c>
      <c r="DR86">
        <v>34</v>
      </c>
      <c r="DS86">
        <v>36</v>
      </c>
      <c r="DT86">
        <v>38</v>
      </c>
      <c r="DU86">
        <v>39</v>
      </c>
      <c r="DV86">
        <v>40</v>
      </c>
      <c r="DW86">
        <v>44</v>
      </c>
      <c r="DX86">
        <v>47</v>
      </c>
      <c r="DY86">
        <v>52</v>
      </c>
      <c r="DZ86">
        <v>98.849440999999999</v>
      </c>
      <c r="EA86">
        <v>98.849440999999999</v>
      </c>
      <c r="EB86">
        <v>98.849440999999999</v>
      </c>
      <c r="EC86">
        <v>3007</v>
      </c>
      <c r="ED86">
        <v>3007</v>
      </c>
      <c r="EE86">
        <v>58.547009000000003</v>
      </c>
      <c r="EF86">
        <v>23.208416</v>
      </c>
      <c r="EG86">
        <v>58.547009000000003</v>
      </c>
      <c r="EH86">
        <v>23.208416</v>
      </c>
      <c r="EI86">
        <v>58.547009000000003</v>
      </c>
      <c r="EJ86">
        <v>23.208416</v>
      </c>
      <c r="EK86">
        <v>1781</v>
      </c>
      <c r="EL86">
        <v>706</v>
      </c>
      <c r="EM86">
        <v>1781</v>
      </c>
      <c r="EN86">
        <v>706</v>
      </c>
      <c r="EO86">
        <v>3042</v>
      </c>
      <c r="EP86">
        <v>3042</v>
      </c>
      <c r="EQ86">
        <v>78.796583999999996</v>
      </c>
    </row>
    <row r="87" spans="1:147" x14ac:dyDescent="0.25">
      <c r="A87">
        <v>2022</v>
      </c>
      <c r="B87" t="str">
        <f t="shared" si="2"/>
        <v>NE</v>
      </c>
      <c r="C87" t="s">
        <v>621</v>
      </c>
      <c r="D87" t="s">
        <v>621</v>
      </c>
      <c r="E87">
        <v>23278</v>
      </c>
      <c r="F87" t="s">
        <v>617</v>
      </c>
      <c r="G87" t="s">
        <v>604</v>
      </c>
      <c r="H87" t="s">
        <v>618</v>
      </c>
      <c r="I87">
        <v>38.909999999999997</v>
      </c>
      <c r="J87">
        <v>38.909999999999997</v>
      </c>
      <c r="K87" t="s">
        <v>173</v>
      </c>
      <c r="L87">
        <v>1</v>
      </c>
      <c r="M87">
        <v>2015</v>
      </c>
      <c r="N87">
        <v>2</v>
      </c>
      <c r="O87" t="str">
        <f t="shared" si="3"/>
        <v>Alto fuste</v>
      </c>
      <c r="P87" s="2">
        <v>42366</v>
      </c>
      <c r="Q87" t="s">
        <v>174</v>
      </c>
      <c r="R87" t="s">
        <v>302</v>
      </c>
      <c r="S87" t="s">
        <v>154</v>
      </c>
      <c r="T87" t="s">
        <v>175</v>
      </c>
      <c r="U87" t="s">
        <v>156</v>
      </c>
      <c r="V87" s="2">
        <v>44595</v>
      </c>
      <c r="W87" t="s">
        <v>606</v>
      </c>
      <c r="X87">
        <v>166.95</v>
      </c>
      <c r="Y87">
        <v>19.5</v>
      </c>
      <c r="Z87">
        <v>22</v>
      </c>
      <c r="AA87">
        <v>14.5</v>
      </c>
      <c r="AB87">
        <v>3</v>
      </c>
      <c r="AC87">
        <v>282.75</v>
      </c>
      <c r="AD87">
        <v>261.80195201766003</v>
      </c>
      <c r="AE87" s="2">
        <v>44595</v>
      </c>
      <c r="AF87">
        <v>74</v>
      </c>
      <c r="AG87">
        <v>6.1026694045174503</v>
      </c>
      <c r="AH87">
        <v>28.418019617245498</v>
      </c>
      <c r="AI87">
        <v>17.306249999999999</v>
      </c>
      <c r="AJ87">
        <v>29.486891191745499</v>
      </c>
      <c r="AK87">
        <v>32</v>
      </c>
      <c r="AL87">
        <v>1222.2979910341301</v>
      </c>
      <c r="AM87">
        <v>371.31902169367902</v>
      </c>
      <c r="AN87">
        <v>0.30378763968966499</v>
      </c>
      <c r="AO87" t="s">
        <v>302</v>
      </c>
      <c r="AP87" t="s">
        <v>158</v>
      </c>
      <c r="AQ87" t="s">
        <v>315</v>
      </c>
      <c r="AR87">
        <v>9</v>
      </c>
      <c r="AS87">
        <v>1.100068191930718</v>
      </c>
      <c r="AT87" t="s">
        <v>622</v>
      </c>
      <c r="AU87" t="s">
        <v>623</v>
      </c>
      <c r="AV87">
        <v>2873</v>
      </c>
      <c r="AW87">
        <v>2873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-0.27900000000000003</v>
      </c>
      <c r="BH87">
        <v>31.079000000000001</v>
      </c>
      <c r="BI87">
        <v>26.576768999999999</v>
      </c>
      <c r="BJ87">
        <v>27.594778000000002</v>
      </c>
      <c r="BK87">
        <v>5.4819769999999997</v>
      </c>
      <c r="BL87">
        <v>30.052074000000001</v>
      </c>
      <c r="BM87">
        <v>0.20627000000000001</v>
      </c>
      <c r="BN87">
        <v>1.653</v>
      </c>
      <c r="BO87">
        <v>-3.6097160000000001</v>
      </c>
      <c r="BP87">
        <v>15.781103999999999</v>
      </c>
      <c r="BQ87">
        <v>2.7778260000000001</v>
      </c>
      <c r="BR87">
        <v>0.82599999999999996</v>
      </c>
      <c r="BS87">
        <v>0.87822100000000003</v>
      </c>
      <c r="BT87">
        <v>26.576768999999999</v>
      </c>
      <c r="BU87">
        <v>1.8876409999999999</v>
      </c>
      <c r="BV87">
        <v>-1.0915079999999999</v>
      </c>
      <c r="BW87">
        <v>0.93393999999999999</v>
      </c>
      <c r="BX87">
        <v>7.1026000000000006E-2</v>
      </c>
      <c r="BY87">
        <v>-0.57823999999999998</v>
      </c>
      <c r="BZ87">
        <v>0.49476599999999998</v>
      </c>
      <c r="CA87">
        <v>7.3639999999999997E-2</v>
      </c>
      <c r="CB87">
        <v>13.953601000000001</v>
      </c>
      <c r="CC87">
        <v>25.712800999999999</v>
      </c>
      <c r="CD87">
        <v>26.808001000000001</v>
      </c>
      <c r="CE87">
        <v>27.075001</v>
      </c>
      <c r="CF87">
        <v>27.305</v>
      </c>
      <c r="CG87">
        <v>27.648599999999998</v>
      </c>
      <c r="CH87">
        <v>27.920999999999999</v>
      </c>
      <c r="CI87">
        <v>28.194400999999999</v>
      </c>
      <c r="CJ87">
        <v>28.528998999999999</v>
      </c>
      <c r="CK87">
        <v>28.728000999999999</v>
      </c>
      <c r="CL87">
        <v>28.956202000000001</v>
      </c>
      <c r="CM87">
        <v>29.4238</v>
      </c>
      <c r="CN87">
        <v>29.7272</v>
      </c>
      <c r="CO87">
        <v>30.198640999999999</v>
      </c>
      <c r="CP87">
        <v>0.85642499999999999</v>
      </c>
      <c r="CQ87">
        <v>27.136068999999999</v>
      </c>
      <c r="CR87">
        <v>27.400770000000001</v>
      </c>
      <c r="CS87">
        <v>1</v>
      </c>
      <c r="CT87">
        <v>79</v>
      </c>
      <c r="CU87">
        <v>29.805778</v>
      </c>
      <c r="CV87">
        <v>36.904761999999998</v>
      </c>
      <c r="CW87">
        <v>14.681122999999999</v>
      </c>
      <c r="CX87">
        <v>215.53538399999999</v>
      </c>
      <c r="CY87">
        <v>0.49256</v>
      </c>
      <c r="CZ87">
        <v>21</v>
      </c>
      <c r="DA87">
        <v>-1.1297E-2</v>
      </c>
      <c r="DB87">
        <v>2.5616979999999998</v>
      </c>
      <c r="DC87">
        <v>12.092157</v>
      </c>
      <c r="DD87">
        <v>29.805778</v>
      </c>
      <c r="DE87">
        <v>8.3540010000000002</v>
      </c>
      <c r="DF87">
        <v>-0.18479100000000001</v>
      </c>
      <c r="DG87">
        <v>0.74402800000000002</v>
      </c>
      <c r="DH87">
        <v>0.280281</v>
      </c>
      <c r="DI87">
        <v>-2.2120000000000001E-2</v>
      </c>
      <c r="DJ87">
        <v>8.9063000000000003E-2</v>
      </c>
      <c r="DK87">
        <v>1</v>
      </c>
      <c r="DL87">
        <v>4</v>
      </c>
      <c r="DM87">
        <v>9</v>
      </c>
      <c r="DN87">
        <v>17</v>
      </c>
      <c r="DO87">
        <v>19</v>
      </c>
      <c r="DP87">
        <v>22</v>
      </c>
      <c r="DQ87">
        <v>26</v>
      </c>
      <c r="DR87">
        <v>31</v>
      </c>
      <c r="DS87">
        <v>35</v>
      </c>
      <c r="DT87">
        <v>38</v>
      </c>
      <c r="DU87">
        <v>40</v>
      </c>
      <c r="DV87">
        <v>42</v>
      </c>
      <c r="DW87">
        <v>48</v>
      </c>
      <c r="DX87">
        <v>53</v>
      </c>
      <c r="DY87">
        <v>63.280028999999999</v>
      </c>
      <c r="DZ87">
        <v>97.841977</v>
      </c>
      <c r="EA87">
        <v>97.841977</v>
      </c>
      <c r="EB87">
        <v>97.841977</v>
      </c>
      <c r="EC87">
        <v>2811</v>
      </c>
      <c r="ED87">
        <v>2811</v>
      </c>
      <c r="EE87">
        <v>83.605986999999999</v>
      </c>
      <c r="EF87">
        <v>61.782108999999998</v>
      </c>
      <c r="EG87">
        <v>83.605986999999999</v>
      </c>
      <c r="EH87">
        <v>61.782108999999998</v>
      </c>
      <c r="EI87">
        <v>83.605986999999999</v>
      </c>
      <c r="EJ87">
        <v>61.782108999999998</v>
      </c>
      <c r="EK87">
        <v>2402</v>
      </c>
      <c r="EL87">
        <v>1775</v>
      </c>
      <c r="EM87">
        <v>2402</v>
      </c>
      <c r="EN87">
        <v>1775</v>
      </c>
      <c r="EO87">
        <v>2873</v>
      </c>
      <c r="EP87">
        <v>2873</v>
      </c>
      <c r="EQ87">
        <v>87.025553000000002</v>
      </c>
    </row>
    <row r="88" spans="1:147" x14ac:dyDescent="0.25">
      <c r="A88">
        <v>2022</v>
      </c>
      <c r="B88" t="str">
        <f t="shared" si="2"/>
        <v>NE</v>
      </c>
      <c r="C88" t="s">
        <v>624</v>
      </c>
      <c r="D88" t="s">
        <v>624</v>
      </c>
      <c r="E88">
        <v>23279</v>
      </c>
      <c r="F88" t="s">
        <v>617</v>
      </c>
      <c r="G88" t="s">
        <v>604</v>
      </c>
      <c r="H88" t="s">
        <v>625</v>
      </c>
      <c r="I88">
        <v>12.98</v>
      </c>
      <c r="J88">
        <v>12.98</v>
      </c>
      <c r="K88" t="s">
        <v>173</v>
      </c>
      <c r="L88">
        <v>1</v>
      </c>
      <c r="M88">
        <v>2015</v>
      </c>
      <c r="N88">
        <v>2</v>
      </c>
      <c r="O88" t="str">
        <f t="shared" si="3"/>
        <v>Alto fuste</v>
      </c>
      <c r="P88" s="2">
        <v>42346</v>
      </c>
      <c r="Q88" t="s">
        <v>174</v>
      </c>
      <c r="R88" t="s">
        <v>164</v>
      </c>
      <c r="S88" t="s">
        <v>154</v>
      </c>
      <c r="T88" t="s">
        <v>175</v>
      </c>
      <c r="U88" t="s">
        <v>156</v>
      </c>
      <c r="V88" s="2">
        <v>44595</v>
      </c>
      <c r="W88" t="s">
        <v>606</v>
      </c>
      <c r="X88">
        <v>166.95</v>
      </c>
      <c r="Y88">
        <v>19.600000000000001</v>
      </c>
      <c r="Z88">
        <v>15</v>
      </c>
      <c r="AA88">
        <v>15</v>
      </c>
      <c r="AB88">
        <v>3</v>
      </c>
      <c r="AC88">
        <v>294</v>
      </c>
      <c r="AD88">
        <v>283.59300520325701</v>
      </c>
      <c r="AE88" s="2">
        <v>44595</v>
      </c>
      <c r="AF88">
        <v>74</v>
      </c>
      <c r="AG88">
        <v>6.1574264202600997</v>
      </c>
      <c r="AH88">
        <v>22.176912767254802</v>
      </c>
      <c r="AI88">
        <v>14.9034482758621</v>
      </c>
      <c r="AJ88">
        <v>18.033419244213601</v>
      </c>
      <c r="AK88">
        <v>29</v>
      </c>
      <c r="AL88">
        <v>1022.5922172944699</v>
      </c>
      <c r="AM88">
        <v>171.145375701239</v>
      </c>
      <c r="AN88">
        <v>0.16736424628191399</v>
      </c>
      <c r="AO88" t="s">
        <v>164</v>
      </c>
      <c r="AP88" t="s">
        <v>158</v>
      </c>
      <c r="AQ88" t="s">
        <v>315</v>
      </c>
      <c r="AR88">
        <v>9</v>
      </c>
      <c r="AS88">
        <v>0.92033299556502057</v>
      </c>
      <c r="AT88" t="s">
        <v>626</v>
      </c>
      <c r="AU88" t="s">
        <v>627</v>
      </c>
      <c r="AV88">
        <v>2799</v>
      </c>
      <c r="AW88">
        <v>2799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-0.192</v>
      </c>
      <c r="BH88">
        <v>24.49</v>
      </c>
      <c r="BI88">
        <v>19.612849000000001</v>
      </c>
      <c r="BJ88">
        <v>22.139333000000001</v>
      </c>
      <c r="BK88">
        <v>5.7306100000000004</v>
      </c>
      <c r="BL88">
        <v>32.839888999999999</v>
      </c>
      <c r="BM88">
        <v>0.29218699999999997</v>
      </c>
      <c r="BN88">
        <v>2.8380010000000002</v>
      </c>
      <c r="BO88">
        <v>-2.7413449999999999</v>
      </c>
      <c r="BP88">
        <v>9.5357769999999995</v>
      </c>
      <c r="BQ88">
        <v>3.4021520000000001</v>
      </c>
      <c r="BR88">
        <v>1.216</v>
      </c>
      <c r="BS88">
        <v>1.0956669999999999</v>
      </c>
      <c r="BT88">
        <v>19.612849000000001</v>
      </c>
      <c r="BU88">
        <v>2.3016019999999999</v>
      </c>
      <c r="BV88">
        <v>-1.185735</v>
      </c>
      <c r="BW88">
        <v>0.84759499999999999</v>
      </c>
      <c r="BX88">
        <v>0.117352</v>
      </c>
      <c r="BY88">
        <v>-0.51517800000000002</v>
      </c>
      <c r="BZ88">
        <v>0.36826300000000001</v>
      </c>
      <c r="CA88">
        <v>-9.9080000000000001E-2</v>
      </c>
      <c r="CB88">
        <v>7.5999999999999998E-2</v>
      </c>
      <c r="CC88">
        <v>16.994399999999999</v>
      </c>
      <c r="CD88">
        <v>18.9498</v>
      </c>
      <c r="CE88">
        <v>19.578499000000001</v>
      </c>
      <c r="CF88">
        <v>20.108801</v>
      </c>
      <c r="CG88">
        <v>20.963200000000001</v>
      </c>
      <c r="CH88">
        <v>21.391999999999999</v>
      </c>
      <c r="CI88">
        <v>21.797999999999998</v>
      </c>
      <c r="CJ88">
        <v>22.189001000000001</v>
      </c>
      <c r="CK88">
        <v>22.416499999999999</v>
      </c>
      <c r="CL88">
        <v>22.5884</v>
      </c>
      <c r="CM88">
        <v>23.093201000000001</v>
      </c>
      <c r="CN88">
        <v>23.528099000000001</v>
      </c>
      <c r="CO88">
        <v>24.148921999999999</v>
      </c>
      <c r="CP88">
        <v>0.8024</v>
      </c>
      <c r="CQ88">
        <v>20.432621000000001</v>
      </c>
      <c r="CR88">
        <v>20.770123000000002</v>
      </c>
      <c r="CS88">
        <v>1</v>
      </c>
      <c r="CT88">
        <v>70</v>
      </c>
      <c r="CU88">
        <v>27.797070000000001</v>
      </c>
      <c r="CV88">
        <v>34.952381000000003</v>
      </c>
      <c r="CW88">
        <v>14.715878999999999</v>
      </c>
      <c r="CX88">
        <v>216.55708899999999</v>
      </c>
      <c r="CY88">
        <v>0.52940399999999999</v>
      </c>
      <c r="CZ88">
        <v>22</v>
      </c>
      <c r="DA88">
        <v>-3.8804999999999999E-2</v>
      </c>
      <c r="DB88">
        <v>2.368398</v>
      </c>
      <c r="DC88">
        <v>12.188217</v>
      </c>
      <c r="DD88">
        <v>27.797070000000001</v>
      </c>
      <c r="DE88">
        <v>8.3958469999999998</v>
      </c>
      <c r="DF88">
        <v>-0.23134399999999999</v>
      </c>
      <c r="DG88">
        <v>0.63254299999999997</v>
      </c>
      <c r="DH88">
        <v>0.302041</v>
      </c>
      <c r="DI88">
        <v>-2.7555E-2</v>
      </c>
      <c r="DJ88">
        <v>7.5340000000000004E-2</v>
      </c>
      <c r="DK88">
        <v>1</v>
      </c>
      <c r="DL88">
        <v>3</v>
      </c>
      <c r="DM88">
        <v>6</v>
      </c>
      <c r="DN88">
        <v>14</v>
      </c>
      <c r="DO88">
        <v>17</v>
      </c>
      <c r="DP88">
        <v>20</v>
      </c>
      <c r="DQ88">
        <v>25</v>
      </c>
      <c r="DR88">
        <v>29</v>
      </c>
      <c r="DS88">
        <v>33</v>
      </c>
      <c r="DT88">
        <v>37</v>
      </c>
      <c r="DU88">
        <v>39</v>
      </c>
      <c r="DV88">
        <v>41</v>
      </c>
      <c r="DW88">
        <v>45</v>
      </c>
      <c r="DX88">
        <v>52</v>
      </c>
      <c r="DY88">
        <v>60.020020000000002</v>
      </c>
      <c r="DZ88">
        <v>92.997499000000005</v>
      </c>
      <c r="EA88">
        <v>92.997499000000005</v>
      </c>
      <c r="EB88">
        <v>92.997499000000005</v>
      </c>
      <c r="EC88">
        <v>2603</v>
      </c>
      <c r="ED88">
        <v>2603</v>
      </c>
      <c r="EE88">
        <v>74.848159999999993</v>
      </c>
      <c r="EF88">
        <v>31.797070000000001</v>
      </c>
      <c r="EG88">
        <v>74.848159999999993</v>
      </c>
      <c r="EH88">
        <v>31.797070000000001</v>
      </c>
      <c r="EI88">
        <v>74.848159999999993</v>
      </c>
      <c r="EJ88">
        <v>31.797070000000001</v>
      </c>
      <c r="EK88">
        <v>2095</v>
      </c>
      <c r="EL88">
        <v>890</v>
      </c>
      <c r="EM88">
        <v>2095</v>
      </c>
      <c r="EN88">
        <v>890</v>
      </c>
      <c r="EO88">
        <v>2799</v>
      </c>
      <c r="EP88">
        <v>2799</v>
      </c>
      <c r="EQ88">
        <v>80.273877999999996</v>
      </c>
    </row>
    <row r="89" spans="1:147" x14ac:dyDescent="0.25">
      <c r="A89">
        <v>2022</v>
      </c>
      <c r="B89" t="str">
        <f t="shared" si="2"/>
        <v>NE</v>
      </c>
      <c r="C89" t="s">
        <v>628</v>
      </c>
      <c r="D89" t="s">
        <v>628</v>
      </c>
      <c r="E89">
        <v>23557</v>
      </c>
      <c r="F89" t="s">
        <v>629</v>
      </c>
      <c r="G89" t="s">
        <v>459</v>
      </c>
      <c r="H89" t="s">
        <v>630</v>
      </c>
      <c r="I89">
        <v>37.29</v>
      </c>
      <c r="J89">
        <v>37.29</v>
      </c>
      <c r="K89" t="s">
        <v>461</v>
      </c>
      <c r="L89">
        <v>1</v>
      </c>
      <c r="M89">
        <v>2015</v>
      </c>
      <c r="N89">
        <v>3</v>
      </c>
      <c r="O89" t="str">
        <f t="shared" si="3"/>
        <v>Alto fuste</v>
      </c>
      <c r="P89" s="2">
        <v>42323</v>
      </c>
      <c r="Q89" t="s">
        <v>174</v>
      </c>
      <c r="R89" t="s">
        <v>164</v>
      </c>
      <c r="S89" t="s">
        <v>154</v>
      </c>
      <c r="T89" t="s">
        <v>155</v>
      </c>
      <c r="U89" t="s">
        <v>156</v>
      </c>
      <c r="V89" s="2">
        <v>44720</v>
      </c>
      <c r="W89" t="s">
        <v>462</v>
      </c>
      <c r="X89">
        <v>192.76</v>
      </c>
      <c r="Y89">
        <v>20.9</v>
      </c>
      <c r="Z89">
        <v>23</v>
      </c>
      <c r="AA89">
        <v>13.7</v>
      </c>
      <c r="AB89">
        <v>0</v>
      </c>
      <c r="AC89">
        <v>286.33</v>
      </c>
      <c r="AD89">
        <v>263.56815468903699</v>
      </c>
      <c r="AE89" s="2">
        <v>44720</v>
      </c>
      <c r="AF89">
        <v>79</v>
      </c>
      <c r="AG89">
        <v>6.5626283367556502</v>
      </c>
      <c r="AH89">
        <v>21.9969321959849</v>
      </c>
      <c r="AI89">
        <v>13.7692307692308</v>
      </c>
      <c r="AJ89">
        <v>15.2431543269887</v>
      </c>
      <c r="AK89">
        <v>26</v>
      </c>
      <c r="AL89">
        <v>986.46211757544495</v>
      </c>
      <c r="AM89">
        <v>153.79302364645301</v>
      </c>
      <c r="AN89">
        <v>0.15590362864054999</v>
      </c>
      <c r="AO89" t="s">
        <v>164</v>
      </c>
      <c r="AP89" t="s">
        <v>158</v>
      </c>
      <c r="AQ89" t="s">
        <v>631</v>
      </c>
      <c r="AR89">
        <v>9</v>
      </c>
      <c r="AS89">
        <v>0.88781590581790093</v>
      </c>
      <c r="AT89" t="s">
        <v>632</v>
      </c>
      <c r="AU89" t="s">
        <v>633</v>
      </c>
      <c r="AV89">
        <v>1064</v>
      </c>
      <c r="AW89">
        <v>631</v>
      </c>
      <c r="AX89">
        <v>428</v>
      </c>
      <c r="AY89">
        <v>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-0.626</v>
      </c>
      <c r="BH89">
        <v>25.138999999999999</v>
      </c>
      <c r="BI89">
        <v>9.6517009999999992</v>
      </c>
      <c r="BJ89">
        <v>-0.217032</v>
      </c>
      <c r="BK89">
        <v>10.817053</v>
      </c>
      <c r="BL89">
        <v>117.00864199999999</v>
      </c>
      <c r="BM89">
        <v>1.120741</v>
      </c>
      <c r="BN89">
        <v>22.004749</v>
      </c>
      <c r="BO89">
        <v>0.30501200000000001</v>
      </c>
      <c r="BP89">
        <v>1.1511990000000001</v>
      </c>
      <c r="BQ89">
        <v>10.550401000000001</v>
      </c>
      <c r="BR89">
        <v>0.70599999999999996</v>
      </c>
      <c r="BS89">
        <v>0.74903200000000003</v>
      </c>
      <c r="BT89">
        <v>9.6517009999999992</v>
      </c>
      <c r="BU89">
        <v>5.5985100000000001</v>
      </c>
      <c r="BV89">
        <v>0.92473099999999997</v>
      </c>
      <c r="BW89">
        <v>-1.0534859999999999</v>
      </c>
      <c r="BX89">
        <v>0.58005399999999996</v>
      </c>
      <c r="BY89">
        <v>0.16517499999999999</v>
      </c>
      <c r="BZ89">
        <v>-0.18817300000000001</v>
      </c>
      <c r="CA89">
        <v>-0.31</v>
      </c>
      <c r="CB89">
        <v>-0.15684999999999999</v>
      </c>
      <c r="CC89">
        <v>-7.9000000000000001E-2</v>
      </c>
      <c r="CD89">
        <v>1.9E-2</v>
      </c>
      <c r="CE89">
        <v>5.5500000000000001E-2</v>
      </c>
      <c r="CF89">
        <v>9.4899999999999998E-2</v>
      </c>
      <c r="CG89">
        <v>0.22539999999999999</v>
      </c>
      <c r="CH89">
        <v>0.53200000000000003</v>
      </c>
      <c r="CI89">
        <v>18.744999</v>
      </c>
      <c r="CJ89">
        <v>21.715600999999999</v>
      </c>
      <c r="CK89">
        <v>22.060248999999999</v>
      </c>
      <c r="CL89">
        <v>22.493400999999999</v>
      </c>
      <c r="CM89">
        <v>23.237499</v>
      </c>
      <c r="CN89">
        <v>23.669701</v>
      </c>
      <c r="CO89">
        <v>24.733740000000001</v>
      </c>
      <c r="CP89">
        <v>0.39890199999999998</v>
      </c>
      <c r="CQ89">
        <v>14.49324</v>
      </c>
      <c r="CR89">
        <v>16.714499</v>
      </c>
      <c r="CS89">
        <v>1</v>
      </c>
      <c r="CT89">
        <v>40</v>
      </c>
      <c r="CU89">
        <v>17.274436000000001</v>
      </c>
      <c r="CV89">
        <v>1</v>
      </c>
      <c r="CW89">
        <v>10.928394000000001</v>
      </c>
      <c r="CX89">
        <v>119.429788</v>
      </c>
      <c r="CY89">
        <v>0.63263400000000003</v>
      </c>
      <c r="CZ89">
        <v>19</v>
      </c>
      <c r="DA89">
        <v>0.16158400000000001</v>
      </c>
      <c r="DB89">
        <v>1.8388930000000001</v>
      </c>
      <c r="DC89">
        <v>9.5041620000000009</v>
      </c>
      <c r="DD89">
        <v>17.274436000000001</v>
      </c>
      <c r="DE89">
        <v>6.2928759999999997</v>
      </c>
      <c r="DF89">
        <v>0.292958</v>
      </c>
      <c r="DG89">
        <v>-1.6249E-2</v>
      </c>
      <c r="DH89">
        <v>0.364288</v>
      </c>
      <c r="DI89">
        <v>4.6553999999999998E-2</v>
      </c>
      <c r="DJ89">
        <v>-2.5820000000000001E-3</v>
      </c>
      <c r="DK89">
        <v>1</v>
      </c>
      <c r="DL89">
        <v>2</v>
      </c>
      <c r="DM89">
        <v>3</v>
      </c>
      <c r="DN89">
        <v>5</v>
      </c>
      <c r="DO89">
        <v>7</v>
      </c>
      <c r="DP89">
        <v>9</v>
      </c>
      <c r="DQ89">
        <v>13</v>
      </c>
      <c r="DR89">
        <v>17</v>
      </c>
      <c r="DS89">
        <v>21</v>
      </c>
      <c r="DT89">
        <v>24</v>
      </c>
      <c r="DU89">
        <v>26</v>
      </c>
      <c r="DV89">
        <v>28</v>
      </c>
      <c r="DW89">
        <v>32</v>
      </c>
      <c r="DX89">
        <v>36</v>
      </c>
      <c r="DY89">
        <v>38.369995000000003</v>
      </c>
      <c r="DZ89">
        <v>74.484944999999996</v>
      </c>
      <c r="EA89">
        <v>44.642856999999999</v>
      </c>
      <c r="EB89">
        <v>75.277338</v>
      </c>
      <c r="EC89">
        <v>470</v>
      </c>
      <c r="ED89">
        <v>475</v>
      </c>
      <c r="EE89">
        <v>72.266244</v>
      </c>
      <c r="EF89">
        <v>100</v>
      </c>
      <c r="EG89">
        <v>43.139097999999997</v>
      </c>
      <c r="EH89">
        <v>97.368420999999998</v>
      </c>
      <c r="EI89">
        <v>72.741680000000002</v>
      </c>
      <c r="EJ89">
        <v>164.18383499999999</v>
      </c>
      <c r="EK89">
        <v>456</v>
      </c>
      <c r="EL89">
        <v>631</v>
      </c>
      <c r="EM89">
        <v>459</v>
      </c>
      <c r="EN89">
        <v>1036</v>
      </c>
      <c r="EO89">
        <v>631</v>
      </c>
      <c r="EP89">
        <v>1064</v>
      </c>
      <c r="EQ89">
        <v>38.042656000000001</v>
      </c>
    </row>
    <row r="90" spans="1:147" x14ac:dyDescent="0.25">
      <c r="A90">
        <v>2022</v>
      </c>
      <c r="B90" t="str">
        <f t="shared" si="2"/>
        <v>NE</v>
      </c>
      <c r="C90" t="s">
        <v>634</v>
      </c>
      <c r="D90" t="s">
        <v>634</v>
      </c>
      <c r="E90">
        <v>23558</v>
      </c>
      <c r="F90" t="s">
        <v>629</v>
      </c>
      <c r="G90" t="s">
        <v>459</v>
      </c>
      <c r="H90" t="s">
        <v>630</v>
      </c>
      <c r="I90">
        <v>37.29</v>
      </c>
      <c r="J90">
        <v>37.29</v>
      </c>
      <c r="K90" t="s">
        <v>461</v>
      </c>
      <c r="L90">
        <v>1</v>
      </c>
      <c r="M90">
        <v>2015</v>
      </c>
      <c r="N90">
        <v>3</v>
      </c>
      <c r="O90" t="str">
        <f t="shared" si="3"/>
        <v>Alto fuste</v>
      </c>
      <c r="P90" s="2">
        <v>42323</v>
      </c>
      <c r="Q90" t="s">
        <v>174</v>
      </c>
      <c r="R90" t="s">
        <v>164</v>
      </c>
      <c r="S90" t="s">
        <v>154</v>
      </c>
      <c r="T90" t="s">
        <v>155</v>
      </c>
      <c r="U90" t="s">
        <v>156</v>
      </c>
      <c r="V90" s="2">
        <v>44720</v>
      </c>
      <c r="W90" t="s">
        <v>462</v>
      </c>
      <c r="X90">
        <v>192.76</v>
      </c>
      <c r="Y90">
        <v>19.399999999999999</v>
      </c>
      <c r="Z90">
        <v>34</v>
      </c>
      <c r="AA90">
        <v>15.5</v>
      </c>
      <c r="AB90">
        <v>4</v>
      </c>
      <c r="AC90">
        <v>300.7</v>
      </c>
      <c r="AD90">
        <v>248.684336263761</v>
      </c>
      <c r="AE90" s="2">
        <v>44720</v>
      </c>
      <c r="AF90">
        <v>79</v>
      </c>
      <c r="AG90">
        <v>6.5626283367556502</v>
      </c>
      <c r="AH90">
        <v>25.579938589750299</v>
      </c>
      <c r="AI90">
        <v>16.543749999999999</v>
      </c>
      <c r="AJ90">
        <v>14.1524904270546</v>
      </c>
      <c r="AK90">
        <v>16</v>
      </c>
      <c r="AL90">
        <v>643.38591808331603</v>
      </c>
      <c r="AM90">
        <v>161.06536187653199</v>
      </c>
      <c r="AN90">
        <v>0.25034020383342398</v>
      </c>
      <c r="AO90" t="s">
        <v>164</v>
      </c>
      <c r="AP90" t="s">
        <v>158</v>
      </c>
      <c r="AQ90" t="s">
        <v>631</v>
      </c>
      <c r="AR90">
        <v>9</v>
      </c>
      <c r="AS90">
        <v>0.57904732627498468</v>
      </c>
      <c r="AT90" t="s">
        <v>635</v>
      </c>
      <c r="AU90" t="s">
        <v>636</v>
      </c>
      <c r="AV90">
        <v>4539</v>
      </c>
      <c r="AW90">
        <v>2463</v>
      </c>
      <c r="AX90">
        <v>1756</v>
      </c>
      <c r="AY90">
        <v>298</v>
      </c>
      <c r="AZ90">
        <v>22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-1.0149999999999999</v>
      </c>
      <c r="BH90">
        <v>27.98</v>
      </c>
      <c r="BI90">
        <v>11.694691000000001</v>
      </c>
      <c r="BJ90">
        <v>-9.4523999999999997E-2</v>
      </c>
      <c r="BK90">
        <v>11.304774</v>
      </c>
      <c r="BL90">
        <v>127.797912</v>
      </c>
      <c r="BM90">
        <v>0.96665900000000005</v>
      </c>
      <c r="BN90">
        <v>23.606999999999999</v>
      </c>
      <c r="BO90">
        <v>0.114104</v>
      </c>
      <c r="BP90">
        <v>1.1565620000000001</v>
      </c>
      <c r="BQ90">
        <v>10.915506000000001</v>
      </c>
      <c r="BR90">
        <v>9.24</v>
      </c>
      <c r="BS90">
        <v>9.1815230000000003</v>
      </c>
      <c r="BT90">
        <v>11.694691000000001</v>
      </c>
      <c r="BU90">
        <v>6.1173450000000003</v>
      </c>
      <c r="BV90">
        <v>0.450519</v>
      </c>
      <c r="BW90">
        <v>-1.146849</v>
      </c>
      <c r="BX90">
        <v>0.52308699999999997</v>
      </c>
      <c r="BY90">
        <v>7.3646000000000003E-2</v>
      </c>
      <c r="BZ90">
        <v>-0.187475</v>
      </c>
      <c r="CA90">
        <v>-0.42133999999999999</v>
      </c>
      <c r="CB90">
        <v>-0.19500000000000001</v>
      </c>
      <c r="CC90">
        <v>-6.7000000000000004E-2</v>
      </c>
      <c r="CD90">
        <v>0.11600000000000001</v>
      </c>
      <c r="CE90">
        <v>0.2225</v>
      </c>
      <c r="CF90">
        <v>0.34599999999999997</v>
      </c>
      <c r="CG90">
        <v>0.86980000000000002</v>
      </c>
      <c r="CH90">
        <v>9.0869999999999997</v>
      </c>
      <c r="CI90">
        <v>19.799202000000001</v>
      </c>
      <c r="CJ90">
        <v>23.293800000000001</v>
      </c>
      <c r="CK90">
        <v>23.829499999999999</v>
      </c>
      <c r="CL90">
        <v>24.346599999999999</v>
      </c>
      <c r="CM90">
        <v>25.319799</v>
      </c>
      <c r="CN90">
        <v>26.115998999999999</v>
      </c>
      <c r="CO90">
        <v>27.009620999999999</v>
      </c>
      <c r="CP90">
        <v>0.43834099999999998</v>
      </c>
      <c r="CQ90">
        <v>16.264548999999999</v>
      </c>
      <c r="CR90">
        <v>18.417135999999999</v>
      </c>
      <c r="CS90">
        <v>1</v>
      </c>
      <c r="CT90">
        <v>68</v>
      </c>
      <c r="CU90">
        <v>20.976647</v>
      </c>
      <c r="CV90">
        <v>1</v>
      </c>
      <c r="CW90">
        <v>14.970129999999999</v>
      </c>
      <c r="CX90">
        <v>224.10478699999999</v>
      </c>
      <c r="CY90">
        <v>0.71365699999999999</v>
      </c>
      <c r="CZ90">
        <v>26</v>
      </c>
      <c r="DA90">
        <v>0.44065100000000001</v>
      </c>
      <c r="DB90">
        <v>2.13476</v>
      </c>
      <c r="DC90">
        <v>12.903846</v>
      </c>
      <c r="DD90">
        <v>20.976647</v>
      </c>
      <c r="DE90">
        <v>8.5181730000000009</v>
      </c>
      <c r="DF90">
        <v>1.026511</v>
      </c>
      <c r="DG90">
        <v>7.2669999999999998E-2</v>
      </c>
      <c r="DH90">
        <v>0.40607900000000002</v>
      </c>
      <c r="DI90">
        <v>0.120508</v>
      </c>
      <c r="DJ90">
        <v>8.5310000000000004E-3</v>
      </c>
      <c r="DK90">
        <v>1</v>
      </c>
      <c r="DL90">
        <v>2</v>
      </c>
      <c r="DM90">
        <v>3</v>
      </c>
      <c r="DN90">
        <v>6</v>
      </c>
      <c r="DO90">
        <v>7</v>
      </c>
      <c r="DP90">
        <v>9</v>
      </c>
      <c r="DQ90">
        <v>14</v>
      </c>
      <c r="DR90">
        <v>19</v>
      </c>
      <c r="DS90">
        <v>25</v>
      </c>
      <c r="DT90">
        <v>30</v>
      </c>
      <c r="DU90">
        <v>33</v>
      </c>
      <c r="DV90">
        <v>36</v>
      </c>
      <c r="DW90">
        <v>42</v>
      </c>
      <c r="DX90">
        <v>47</v>
      </c>
      <c r="DY90">
        <v>55</v>
      </c>
      <c r="DZ90">
        <v>86.682907</v>
      </c>
      <c r="EA90">
        <v>54.857897999999999</v>
      </c>
      <c r="EB90">
        <v>101.09622400000001</v>
      </c>
      <c r="EC90">
        <v>2135</v>
      </c>
      <c r="ED90">
        <v>2490</v>
      </c>
      <c r="EE90">
        <v>82.419813000000005</v>
      </c>
      <c r="EF90">
        <v>99.675192999999993</v>
      </c>
      <c r="EG90">
        <v>48.512887999999997</v>
      </c>
      <c r="EH90">
        <v>91.495924000000002</v>
      </c>
      <c r="EI90">
        <v>89.403166999999996</v>
      </c>
      <c r="EJ90">
        <v>168.61551</v>
      </c>
      <c r="EK90">
        <v>2030</v>
      </c>
      <c r="EL90">
        <v>2455</v>
      </c>
      <c r="EM90">
        <v>2202</v>
      </c>
      <c r="EN90">
        <v>4153</v>
      </c>
      <c r="EO90">
        <v>2463</v>
      </c>
      <c r="EP90">
        <v>4539</v>
      </c>
      <c r="EQ90">
        <v>42.369914000000001</v>
      </c>
    </row>
    <row r="91" spans="1:147" x14ac:dyDescent="0.25">
      <c r="A91">
        <v>2022</v>
      </c>
      <c r="B91" t="str">
        <f t="shared" si="2"/>
        <v>NE</v>
      </c>
      <c r="C91" t="s">
        <v>637</v>
      </c>
      <c r="D91" t="s">
        <v>637</v>
      </c>
      <c r="E91">
        <v>23559</v>
      </c>
      <c r="F91" t="s">
        <v>629</v>
      </c>
      <c r="G91" t="s">
        <v>459</v>
      </c>
      <c r="H91" t="s">
        <v>638</v>
      </c>
      <c r="I91">
        <v>42.65</v>
      </c>
      <c r="J91">
        <v>42.65</v>
      </c>
      <c r="K91" t="s">
        <v>461</v>
      </c>
      <c r="L91">
        <v>1</v>
      </c>
      <c r="M91">
        <v>2015</v>
      </c>
      <c r="N91">
        <v>3</v>
      </c>
      <c r="O91" t="str">
        <f t="shared" si="3"/>
        <v>Alto fuste</v>
      </c>
      <c r="P91" s="2">
        <v>42353</v>
      </c>
      <c r="Q91" t="s">
        <v>174</v>
      </c>
      <c r="R91" t="s">
        <v>314</v>
      </c>
      <c r="S91" t="s">
        <v>154</v>
      </c>
      <c r="T91" t="s">
        <v>155</v>
      </c>
      <c r="U91" t="s">
        <v>156</v>
      </c>
      <c r="V91" s="2">
        <v>44720</v>
      </c>
      <c r="W91" t="s">
        <v>462</v>
      </c>
      <c r="X91">
        <v>192.76</v>
      </c>
      <c r="Y91">
        <v>19.600000000000001</v>
      </c>
      <c r="Z91">
        <v>21</v>
      </c>
      <c r="AA91">
        <v>16</v>
      </c>
      <c r="AB91">
        <v>0</v>
      </c>
      <c r="AC91">
        <v>313.60000000000002</v>
      </c>
      <c r="AD91">
        <v>292.77082174952199</v>
      </c>
      <c r="AE91" s="2">
        <v>44720</v>
      </c>
      <c r="AF91">
        <v>78</v>
      </c>
      <c r="AG91">
        <v>6.4804928131416801</v>
      </c>
      <c r="AH91">
        <v>28.495913918749501</v>
      </c>
      <c r="AI91">
        <v>16.979310344827599</v>
      </c>
      <c r="AJ91">
        <v>23.085334937697699</v>
      </c>
      <c r="AK91">
        <v>29</v>
      </c>
      <c r="AL91">
        <v>990.53586784036497</v>
      </c>
      <c r="AM91">
        <v>294.19789239601897</v>
      </c>
      <c r="AN91">
        <v>0.29700882315089699</v>
      </c>
      <c r="AO91" t="s">
        <v>314</v>
      </c>
      <c r="AP91" t="s">
        <v>158</v>
      </c>
      <c r="AQ91" t="s">
        <v>631</v>
      </c>
      <c r="AR91">
        <v>9</v>
      </c>
      <c r="AS91">
        <v>0.89148228105632976</v>
      </c>
      <c r="AT91" t="s">
        <v>639</v>
      </c>
      <c r="AU91" t="s">
        <v>640</v>
      </c>
      <c r="AV91">
        <v>4112</v>
      </c>
      <c r="AW91">
        <v>2354</v>
      </c>
      <c r="AX91">
        <v>1476</v>
      </c>
      <c r="AY91">
        <v>273</v>
      </c>
      <c r="AZ91">
        <v>9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-0.94599999999999995</v>
      </c>
      <c r="BH91">
        <v>32.597000000000001</v>
      </c>
      <c r="BI91">
        <v>15.833796</v>
      </c>
      <c r="BJ91">
        <v>-0.41357100000000002</v>
      </c>
      <c r="BK91">
        <v>13.408106</v>
      </c>
      <c r="BL91">
        <v>179.77729500000001</v>
      </c>
      <c r="BM91">
        <v>0.84680299999999997</v>
      </c>
      <c r="BN91">
        <v>28.39725</v>
      </c>
      <c r="BO91">
        <v>-0.21440100000000001</v>
      </c>
      <c r="BP91">
        <v>1.1802790000000001</v>
      </c>
      <c r="BQ91">
        <v>12.879571</v>
      </c>
      <c r="BR91">
        <v>8.7505000000000006</v>
      </c>
      <c r="BS91">
        <v>22.025573999999999</v>
      </c>
      <c r="BT91">
        <v>15.833796</v>
      </c>
      <c r="BU91">
        <v>7.2083750000000002</v>
      </c>
      <c r="BV91">
        <v>-0.43744499999999997</v>
      </c>
      <c r="BW91">
        <v>-1.3424560000000001</v>
      </c>
      <c r="BX91">
        <v>0.45525199999999999</v>
      </c>
      <c r="BY91">
        <v>-6.0685999999999997E-2</v>
      </c>
      <c r="BZ91">
        <v>-0.18623600000000001</v>
      </c>
      <c r="CA91">
        <v>-0.38078000000000001</v>
      </c>
      <c r="CB91">
        <v>-0.17699999999999999</v>
      </c>
      <c r="CC91">
        <v>-8.8900000000000007E-2</v>
      </c>
      <c r="CD91">
        <v>5.5E-2</v>
      </c>
      <c r="CE91">
        <v>0.121</v>
      </c>
      <c r="CF91">
        <v>0.2266</v>
      </c>
      <c r="CG91">
        <v>5.3502020000000003</v>
      </c>
      <c r="CH91">
        <v>21.611999999999998</v>
      </c>
      <c r="CI91">
        <v>26.658000999999999</v>
      </c>
      <c r="CJ91">
        <v>28.025400000000001</v>
      </c>
      <c r="CK91">
        <v>28.518249999999998</v>
      </c>
      <c r="CL91">
        <v>28.992999999999999</v>
      </c>
      <c r="CM91">
        <v>30.125799000000001</v>
      </c>
      <c r="CN91">
        <v>30.713449000000001</v>
      </c>
      <c r="CO91">
        <v>31.432779</v>
      </c>
      <c r="CP91">
        <v>0.500247</v>
      </c>
      <c r="CQ91">
        <v>20.747112000000001</v>
      </c>
      <c r="CR91">
        <v>22.888290999999999</v>
      </c>
      <c r="CS91">
        <v>1</v>
      </c>
      <c r="CT91">
        <v>73</v>
      </c>
      <c r="CU91">
        <v>20.244406999999999</v>
      </c>
      <c r="CV91">
        <v>1</v>
      </c>
      <c r="CW91">
        <v>14.354898</v>
      </c>
      <c r="CX91">
        <v>206.06309200000001</v>
      </c>
      <c r="CY91">
        <v>0.70908000000000004</v>
      </c>
      <c r="CZ91">
        <v>24</v>
      </c>
      <c r="DA91">
        <v>0.44647900000000001</v>
      </c>
      <c r="DB91">
        <v>2.2701660000000001</v>
      </c>
      <c r="DC91">
        <v>12.283303999999999</v>
      </c>
      <c r="DD91">
        <v>20.244406999999999</v>
      </c>
      <c r="DE91">
        <v>8.1607199999999995</v>
      </c>
      <c r="DF91">
        <v>0.91872399999999999</v>
      </c>
      <c r="DG91">
        <v>0.15127699999999999</v>
      </c>
      <c r="DH91">
        <v>0.40311000000000002</v>
      </c>
      <c r="DI91">
        <v>0.112579</v>
      </c>
      <c r="DJ91">
        <v>1.8537000000000001E-2</v>
      </c>
      <c r="DK91">
        <v>1</v>
      </c>
      <c r="DL91">
        <v>2</v>
      </c>
      <c r="DM91">
        <v>3</v>
      </c>
      <c r="DN91">
        <v>5</v>
      </c>
      <c r="DO91">
        <v>7</v>
      </c>
      <c r="DP91">
        <v>9</v>
      </c>
      <c r="DQ91">
        <v>13</v>
      </c>
      <c r="DR91">
        <v>19</v>
      </c>
      <c r="DS91">
        <v>24</v>
      </c>
      <c r="DT91">
        <v>29</v>
      </c>
      <c r="DU91">
        <v>31</v>
      </c>
      <c r="DV91">
        <v>33</v>
      </c>
      <c r="DW91">
        <v>40</v>
      </c>
      <c r="DX91">
        <v>46</v>
      </c>
      <c r="DY91">
        <v>54</v>
      </c>
      <c r="DZ91">
        <v>90.909091000000004</v>
      </c>
      <c r="EA91">
        <v>60.432879</v>
      </c>
      <c r="EB91">
        <v>105.56499599999999</v>
      </c>
      <c r="EC91">
        <v>2140</v>
      </c>
      <c r="ED91">
        <v>2485</v>
      </c>
      <c r="EE91">
        <v>87.680543999999998</v>
      </c>
      <c r="EF91">
        <v>100</v>
      </c>
      <c r="EG91">
        <v>56.104086000000002</v>
      </c>
      <c r="EH91">
        <v>99.124514000000005</v>
      </c>
      <c r="EI91">
        <v>98.003398000000004</v>
      </c>
      <c r="EJ91">
        <v>173.15208200000001</v>
      </c>
      <c r="EK91">
        <v>2064</v>
      </c>
      <c r="EL91">
        <v>2354</v>
      </c>
      <c r="EM91">
        <v>2307</v>
      </c>
      <c r="EN91">
        <v>4076</v>
      </c>
      <c r="EO91">
        <v>2354</v>
      </c>
      <c r="EP91">
        <v>4112</v>
      </c>
      <c r="EQ91">
        <v>49.433199000000002</v>
      </c>
    </row>
    <row r="92" spans="1:147" x14ac:dyDescent="0.25">
      <c r="A92">
        <v>2022</v>
      </c>
      <c r="B92" t="str">
        <f t="shared" si="2"/>
        <v>NE</v>
      </c>
      <c r="C92" t="s">
        <v>641</v>
      </c>
      <c r="D92" t="s">
        <v>641</v>
      </c>
      <c r="E92">
        <v>23560</v>
      </c>
      <c r="F92" t="s">
        <v>629</v>
      </c>
      <c r="G92" t="s">
        <v>459</v>
      </c>
      <c r="H92" t="s">
        <v>638</v>
      </c>
      <c r="I92">
        <v>42.65</v>
      </c>
      <c r="J92">
        <v>42.65</v>
      </c>
      <c r="K92" t="s">
        <v>461</v>
      </c>
      <c r="L92">
        <v>1</v>
      </c>
      <c r="M92">
        <v>2015</v>
      </c>
      <c r="N92">
        <v>3</v>
      </c>
      <c r="O92" t="str">
        <f t="shared" si="3"/>
        <v>Alto fuste</v>
      </c>
      <c r="P92" s="2">
        <v>42353</v>
      </c>
      <c r="Q92" t="s">
        <v>174</v>
      </c>
      <c r="R92" t="s">
        <v>314</v>
      </c>
      <c r="S92" t="s">
        <v>154</v>
      </c>
      <c r="T92" t="s">
        <v>155</v>
      </c>
      <c r="U92" t="s">
        <v>156</v>
      </c>
      <c r="V92" s="2">
        <v>44720</v>
      </c>
      <c r="W92" t="s">
        <v>462</v>
      </c>
      <c r="X92">
        <v>192.76</v>
      </c>
      <c r="Y92">
        <v>21.1</v>
      </c>
      <c r="Z92">
        <v>10</v>
      </c>
      <c r="AA92">
        <v>14.6</v>
      </c>
      <c r="AB92">
        <v>1</v>
      </c>
      <c r="AC92">
        <v>308.06</v>
      </c>
      <c r="AD92">
        <v>303.33367016831301</v>
      </c>
      <c r="AE92" s="2">
        <v>44720</v>
      </c>
      <c r="AF92">
        <v>78</v>
      </c>
      <c r="AG92">
        <v>6.4804928131416801</v>
      </c>
      <c r="AH92">
        <v>27.140805495296298</v>
      </c>
      <c r="AI92">
        <v>17.829411764705899</v>
      </c>
      <c r="AJ92">
        <v>28.836163628145901</v>
      </c>
      <c r="AK92">
        <v>34</v>
      </c>
      <c r="AL92">
        <v>1120.8778762059001</v>
      </c>
      <c r="AM92">
        <v>351.83762378225998</v>
      </c>
      <c r="AN92">
        <v>0.31389469919167901</v>
      </c>
      <c r="AO92" t="s">
        <v>314</v>
      </c>
      <c r="AP92" t="s">
        <v>158</v>
      </c>
      <c r="AQ92" t="s">
        <v>631</v>
      </c>
      <c r="AR92">
        <v>9</v>
      </c>
      <c r="AS92">
        <v>1.0087900885853109</v>
      </c>
      <c r="AT92" t="s">
        <v>642</v>
      </c>
      <c r="AU92" t="s">
        <v>643</v>
      </c>
      <c r="AV92">
        <v>4844</v>
      </c>
      <c r="AW92">
        <v>2602</v>
      </c>
      <c r="AX92">
        <v>1724</v>
      </c>
      <c r="AY92">
        <v>487</v>
      </c>
      <c r="AZ92">
        <v>31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-0.98199999999999998</v>
      </c>
      <c r="BH92">
        <v>35.099997999999999</v>
      </c>
      <c r="BI92">
        <v>18.666114</v>
      </c>
      <c r="BJ92">
        <v>-0.40927000000000002</v>
      </c>
      <c r="BK92">
        <v>13.660562000000001</v>
      </c>
      <c r="BL92">
        <v>186.61094499999999</v>
      </c>
      <c r="BM92">
        <v>0.73183699999999996</v>
      </c>
      <c r="BN92">
        <v>31.407499999999999</v>
      </c>
      <c r="BO92">
        <v>-0.44282300000000002</v>
      </c>
      <c r="BP92">
        <v>1.47461</v>
      </c>
      <c r="BQ92">
        <v>12.342155999999999</v>
      </c>
      <c r="BR92">
        <v>8.9710009999999993</v>
      </c>
      <c r="BS92">
        <v>23.68927</v>
      </c>
      <c r="BT92">
        <v>18.666114</v>
      </c>
      <c r="BU92">
        <v>7.4386580000000002</v>
      </c>
      <c r="BV92">
        <v>-1.0195399999999999</v>
      </c>
      <c r="BW92">
        <v>-0.93283099999999997</v>
      </c>
      <c r="BX92">
        <v>0.398511</v>
      </c>
      <c r="BY92">
        <v>-0.13705999999999999</v>
      </c>
      <c r="BZ92">
        <v>-0.12540299999999999</v>
      </c>
      <c r="CA92">
        <v>-0.40014</v>
      </c>
      <c r="CB92">
        <v>-0.16300000000000001</v>
      </c>
      <c r="CC92">
        <v>-5.7000000000000002E-2</v>
      </c>
      <c r="CD92">
        <v>9.0999999999999998E-2</v>
      </c>
      <c r="CE92">
        <v>0.17274999999999999</v>
      </c>
      <c r="CF92">
        <v>0.33160000000000001</v>
      </c>
      <c r="CG92">
        <v>19.9298</v>
      </c>
      <c r="CH92">
        <v>23.279999</v>
      </c>
      <c r="CI92">
        <v>27.463200000000001</v>
      </c>
      <c r="CJ92">
        <v>31.012198999999999</v>
      </c>
      <c r="CK92">
        <v>31.580249999999999</v>
      </c>
      <c r="CL92">
        <v>31.954198999999999</v>
      </c>
      <c r="CM92">
        <v>32.688999000000003</v>
      </c>
      <c r="CN92">
        <v>33.230849999999997</v>
      </c>
      <c r="CO92">
        <v>34.099280999999998</v>
      </c>
      <c r="CP92">
        <v>0.54454100000000005</v>
      </c>
      <c r="CQ92">
        <v>23.129985000000001</v>
      </c>
      <c r="CR92">
        <v>25.105069</v>
      </c>
      <c r="CS92">
        <v>1</v>
      </c>
      <c r="CT92">
        <v>39</v>
      </c>
      <c r="CU92">
        <v>11.114368000000001</v>
      </c>
      <c r="CV92">
        <v>1</v>
      </c>
      <c r="CW92">
        <v>7.5448779999999998</v>
      </c>
      <c r="CX92">
        <v>56.925179</v>
      </c>
      <c r="CY92">
        <v>0.67884</v>
      </c>
      <c r="CZ92">
        <v>13</v>
      </c>
      <c r="DA92">
        <v>0.50241100000000005</v>
      </c>
      <c r="DB92">
        <v>2.462682</v>
      </c>
      <c r="DC92">
        <v>6.4120049999999997</v>
      </c>
      <c r="DD92">
        <v>11.114368000000001</v>
      </c>
      <c r="DE92">
        <v>4.2746000000000004</v>
      </c>
      <c r="DF92">
        <v>0.503274</v>
      </c>
      <c r="DG92">
        <v>0.12048499999999999</v>
      </c>
      <c r="DH92">
        <v>0.38460100000000003</v>
      </c>
      <c r="DI92">
        <v>0.11773599999999999</v>
      </c>
      <c r="DJ92">
        <v>2.8185999999999999E-2</v>
      </c>
      <c r="DK92">
        <v>1</v>
      </c>
      <c r="DL92">
        <v>1</v>
      </c>
      <c r="DM92">
        <v>2</v>
      </c>
      <c r="DN92">
        <v>3</v>
      </c>
      <c r="DO92">
        <v>4</v>
      </c>
      <c r="DP92">
        <v>5</v>
      </c>
      <c r="DQ92">
        <v>8</v>
      </c>
      <c r="DR92">
        <v>10</v>
      </c>
      <c r="DS92">
        <v>13</v>
      </c>
      <c r="DT92">
        <v>16</v>
      </c>
      <c r="DU92">
        <v>17</v>
      </c>
      <c r="DV92">
        <v>18</v>
      </c>
      <c r="DW92">
        <v>21</v>
      </c>
      <c r="DX92">
        <v>24</v>
      </c>
      <c r="DY92">
        <v>30</v>
      </c>
      <c r="DZ92">
        <v>96.233665999999999</v>
      </c>
      <c r="EA92">
        <v>68.063584000000006</v>
      </c>
      <c r="EB92">
        <v>126.710223</v>
      </c>
      <c r="EC92">
        <v>2504</v>
      </c>
      <c r="ED92">
        <v>3297</v>
      </c>
      <c r="EE92">
        <v>93.235972000000004</v>
      </c>
      <c r="EF92">
        <v>100</v>
      </c>
      <c r="EG92">
        <v>62.489677999999998</v>
      </c>
      <c r="EH92">
        <v>99.071016</v>
      </c>
      <c r="EI92">
        <v>116.33359</v>
      </c>
      <c r="EJ92">
        <v>184.43504999999999</v>
      </c>
      <c r="EK92">
        <v>2426</v>
      </c>
      <c r="EL92">
        <v>2602</v>
      </c>
      <c r="EM92">
        <v>3027</v>
      </c>
      <c r="EN92">
        <v>4799</v>
      </c>
      <c r="EO92">
        <v>2602</v>
      </c>
      <c r="EP92">
        <v>4844</v>
      </c>
      <c r="EQ92">
        <v>53.819432999999997</v>
      </c>
    </row>
    <row r="93" spans="1:147" x14ac:dyDescent="0.25">
      <c r="A93">
        <v>2022</v>
      </c>
      <c r="B93" t="str">
        <f t="shared" si="2"/>
        <v>NE</v>
      </c>
      <c r="C93" t="s">
        <v>644</v>
      </c>
      <c r="D93" t="s">
        <v>644</v>
      </c>
      <c r="E93">
        <v>23561</v>
      </c>
      <c r="F93" t="s">
        <v>629</v>
      </c>
      <c r="G93" t="s">
        <v>459</v>
      </c>
      <c r="H93" t="s">
        <v>638</v>
      </c>
      <c r="I93">
        <v>42.65</v>
      </c>
      <c r="J93">
        <v>42.65</v>
      </c>
      <c r="K93" t="s">
        <v>461</v>
      </c>
      <c r="L93">
        <v>1</v>
      </c>
      <c r="M93">
        <v>2015</v>
      </c>
      <c r="N93">
        <v>3</v>
      </c>
      <c r="O93" t="str">
        <f t="shared" si="3"/>
        <v>Alto fuste</v>
      </c>
      <c r="P93" s="2">
        <v>42353</v>
      </c>
      <c r="Q93" t="s">
        <v>174</v>
      </c>
      <c r="R93" t="s">
        <v>314</v>
      </c>
      <c r="S93" t="s">
        <v>154</v>
      </c>
      <c r="T93" t="s">
        <v>155</v>
      </c>
      <c r="U93" t="s">
        <v>156</v>
      </c>
      <c r="V93" s="2">
        <v>44720</v>
      </c>
      <c r="W93" t="s">
        <v>462</v>
      </c>
      <c r="X93">
        <v>192.76</v>
      </c>
      <c r="Y93">
        <v>20.7</v>
      </c>
      <c r="Z93">
        <v>21</v>
      </c>
      <c r="AA93">
        <v>15</v>
      </c>
      <c r="AB93">
        <v>2</v>
      </c>
      <c r="AC93">
        <v>310.5</v>
      </c>
      <c r="AD93">
        <v>289.700137360285</v>
      </c>
      <c r="AE93" s="2">
        <v>44720</v>
      </c>
      <c r="AF93">
        <v>78</v>
      </c>
      <c r="AG93">
        <v>6.4804928131416801</v>
      </c>
      <c r="AH93">
        <v>29.488279940623499</v>
      </c>
      <c r="AI93">
        <v>18.1666666666667</v>
      </c>
      <c r="AJ93">
        <v>28.048705001137801</v>
      </c>
      <c r="AK93">
        <v>30</v>
      </c>
      <c r="AL93">
        <v>1035.5535303972099</v>
      </c>
      <c r="AM93">
        <v>374.797169328319</v>
      </c>
      <c r="AN93">
        <v>0.36192930478886698</v>
      </c>
      <c r="AO93" t="s">
        <v>314</v>
      </c>
      <c r="AP93" t="s">
        <v>158</v>
      </c>
      <c r="AQ93" t="s">
        <v>631</v>
      </c>
      <c r="AR93">
        <v>9</v>
      </c>
      <c r="AS93">
        <v>0.93199817735748958</v>
      </c>
      <c r="AT93" t="s">
        <v>645</v>
      </c>
      <c r="AU93" t="s">
        <v>646</v>
      </c>
      <c r="AV93">
        <v>2917</v>
      </c>
      <c r="AW93">
        <v>1596</v>
      </c>
      <c r="AX93">
        <v>1123</v>
      </c>
      <c r="AY93">
        <v>180</v>
      </c>
      <c r="AZ93">
        <v>18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-0.84299999999999997</v>
      </c>
      <c r="BH93">
        <v>32.57</v>
      </c>
      <c r="BI93">
        <v>15.82765</v>
      </c>
      <c r="BJ93">
        <v>-0.312635</v>
      </c>
      <c r="BK93">
        <v>14.249812</v>
      </c>
      <c r="BL93">
        <v>203.057152</v>
      </c>
      <c r="BM93">
        <v>0.90031099999999997</v>
      </c>
      <c r="BN93">
        <v>29.902999999999999</v>
      </c>
      <c r="BO93">
        <v>-0.122069</v>
      </c>
      <c r="BP93">
        <v>1.120482</v>
      </c>
      <c r="BQ93">
        <v>13.768655000000001</v>
      </c>
      <c r="BR93">
        <v>11.696999</v>
      </c>
      <c r="BS93">
        <v>19.859635999999998</v>
      </c>
      <c r="BT93">
        <v>15.82765</v>
      </c>
      <c r="BU93">
        <v>7.5734399999999997</v>
      </c>
      <c r="BV93">
        <v>-0.21412200000000001</v>
      </c>
      <c r="BW93">
        <v>-1.5993360000000001</v>
      </c>
      <c r="BX93">
        <v>0.47849399999999997</v>
      </c>
      <c r="BY93">
        <v>-2.8273E-2</v>
      </c>
      <c r="BZ93">
        <v>-0.211177</v>
      </c>
      <c r="CA93">
        <v>-0.41588000000000003</v>
      </c>
      <c r="CB93">
        <v>-0.19620000000000001</v>
      </c>
      <c r="CC93">
        <v>-9.5399999999999999E-2</v>
      </c>
      <c r="CD93">
        <v>1.7999999999999999E-2</v>
      </c>
      <c r="CE93">
        <v>7.0000000000000007E-2</v>
      </c>
      <c r="CF93">
        <v>0.1148</v>
      </c>
      <c r="CG93">
        <v>0.28839999999999999</v>
      </c>
      <c r="CH93">
        <v>19.547001000000002</v>
      </c>
      <c r="CI93">
        <v>28.469000000000001</v>
      </c>
      <c r="CJ93">
        <v>29.605799000000001</v>
      </c>
      <c r="CK93">
        <v>29.972999999999999</v>
      </c>
      <c r="CL93">
        <v>30.277598999999999</v>
      </c>
      <c r="CM93">
        <v>30.943401000000001</v>
      </c>
      <c r="CN93">
        <v>31.419799999999999</v>
      </c>
      <c r="CO93">
        <v>32.075161000000001</v>
      </c>
      <c r="CP93">
        <v>0.49892700000000001</v>
      </c>
      <c r="CQ93">
        <v>21.295587000000001</v>
      </c>
      <c r="CR93">
        <v>23.663356</v>
      </c>
      <c r="CS93">
        <v>1</v>
      </c>
      <c r="CT93">
        <v>54</v>
      </c>
      <c r="CU93">
        <v>17.187864000000001</v>
      </c>
      <c r="CV93">
        <v>1</v>
      </c>
      <c r="CW93">
        <v>11.686712</v>
      </c>
      <c r="CX93">
        <v>136.57923500000001</v>
      </c>
      <c r="CY93">
        <v>0.67993999999999999</v>
      </c>
      <c r="CZ93">
        <v>18</v>
      </c>
      <c r="DA93">
        <v>0.51311200000000001</v>
      </c>
      <c r="DB93">
        <v>2.6985139999999999</v>
      </c>
      <c r="DC93">
        <v>9.8143069999999994</v>
      </c>
      <c r="DD93">
        <v>17.187864000000001</v>
      </c>
      <c r="DE93">
        <v>6.5937650000000003</v>
      </c>
      <c r="DF93">
        <v>0.66070899999999999</v>
      </c>
      <c r="DG93">
        <v>0.30158200000000002</v>
      </c>
      <c r="DH93">
        <v>0.383629</v>
      </c>
      <c r="DI93">
        <v>0.100202</v>
      </c>
      <c r="DJ93">
        <v>4.5737E-2</v>
      </c>
      <c r="DK93">
        <v>1</v>
      </c>
      <c r="DL93">
        <v>2</v>
      </c>
      <c r="DM93">
        <v>3</v>
      </c>
      <c r="DN93">
        <v>5</v>
      </c>
      <c r="DO93">
        <v>7</v>
      </c>
      <c r="DP93">
        <v>8</v>
      </c>
      <c r="DQ93">
        <v>12</v>
      </c>
      <c r="DR93">
        <v>17</v>
      </c>
      <c r="DS93">
        <v>21</v>
      </c>
      <c r="DT93">
        <v>24</v>
      </c>
      <c r="DU93">
        <v>25</v>
      </c>
      <c r="DV93">
        <v>27</v>
      </c>
      <c r="DW93">
        <v>31</v>
      </c>
      <c r="DX93">
        <v>39</v>
      </c>
      <c r="DY93">
        <v>48</v>
      </c>
      <c r="DZ93">
        <v>92.794486000000006</v>
      </c>
      <c r="EA93">
        <v>57.010626999999999</v>
      </c>
      <c r="EB93">
        <v>104.19799500000001</v>
      </c>
      <c r="EC93">
        <v>1481</v>
      </c>
      <c r="ED93">
        <v>1663</v>
      </c>
      <c r="EE93">
        <v>92.230575999999999</v>
      </c>
      <c r="EF93">
        <v>100</v>
      </c>
      <c r="EG93">
        <v>54.302365000000002</v>
      </c>
      <c r="EH93">
        <v>97.805965</v>
      </c>
      <c r="EI93">
        <v>99.24812</v>
      </c>
      <c r="EJ93">
        <v>178.759398</v>
      </c>
      <c r="EK93">
        <v>1472</v>
      </c>
      <c r="EL93">
        <v>1596</v>
      </c>
      <c r="EM93">
        <v>1584</v>
      </c>
      <c r="EN93">
        <v>2853</v>
      </c>
      <c r="EO93">
        <v>1596</v>
      </c>
      <c r="EP93">
        <v>2917</v>
      </c>
      <c r="EQ93">
        <v>48.392150000000001</v>
      </c>
    </row>
    <row r="94" spans="1:147" x14ac:dyDescent="0.25">
      <c r="A94">
        <v>2022</v>
      </c>
      <c r="B94" t="str">
        <f t="shared" si="2"/>
        <v>NE</v>
      </c>
      <c r="C94" t="s">
        <v>647</v>
      </c>
      <c r="D94" t="s">
        <v>647</v>
      </c>
      <c r="E94">
        <v>23562</v>
      </c>
      <c r="F94" t="s">
        <v>629</v>
      </c>
      <c r="G94" t="s">
        <v>459</v>
      </c>
      <c r="H94" t="s">
        <v>648</v>
      </c>
      <c r="I94">
        <v>42.42</v>
      </c>
      <c r="J94">
        <v>42.42</v>
      </c>
      <c r="K94" t="s">
        <v>461</v>
      </c>
      <c r="L94">
        <v>1</v>
      </c>
      <c r="M94">
        <v>2015</v>
      </c>
      <c r="N94">
        <v>3</v>
      </c>
      <c r="O94" t="str">
        <f t="shared" si="3"/>
        <v>Alto fuste</v>
      </c>
      <c r="P94" s="2">
        <v>42139</v>
      </c>
      <c r="Q94" t="s">
        <v>174</v>
      </c>
      <c r="R94" t="s">
        <v>302</v>
      </c>
      <c r="S94" t="s">
        <v>154</v>
      </c>
      <c r="T94" t="s">
        <v>155</v>
      </c>
      <c r="U94" t="s">
        <v>156</v>
      </c>
      <c r="V94" s="2">
        <v>44720</v>
      </c>
      <c r="W94" t="s">
        <v>462</v>
      </c>
      <c r="X94">
        <v>192.76</v>
      </c>
      <c r="Y94">
        <v>20</v>
      </c>
      <c r="Z94">
        <v>15</v>
      </c>
      <c r="AA94">
        <v>15.8</v>
      </c>
      <c r="AB94">
        <v>1</v>
      </c>
      <c r="AC94">
        <v>316</v>
      </c>
      <c r="AD94">
        <v>305.186072709862</v>
      </c>
      <c r="AE94" s="2">
        <v>44720</v>
      </c>
      <c r="AF94">
        <v>85</v>
      </c>
      <c r="AG94">
        <v>7.0663928815879498</v>
      </c>
      <c r="AH94">
        <v>29.409572709872901</v>
      </c>
      <c r="AI94">
        <v>18.8380952380952</v>
      </c>
      <c r="AJ94">
        <v>20.061508015041401</v>
      </c>
      <c r="AK94">
        <v>21</v>
      </c>
      <c r="AL94">
        <v>688.10479500368797</v>
      </c>
      <c r="AM94">
        <v>266.84949905170498</v>
      </c>
      <c r="AN94">
        <v>0.387803574381827</v>
      </c>
      <c r="AO94" t="s">
        <v>302</v>
      </c>
      <c r="AP94" t="s">
        <v>158</v>
      </c>
      <c r="AQ94" t="s">
        <v>649</v>
      </c>
      <c r="AR94">
        <v>9</v>
      </c>
      <c r="AS94">
        <v>0.61929431550331859</v>
      </c>
      <c r="AT94" t="s">
        <v>650</v>
      </c>
      <c r="AU94" t="s">
        <v>651</v>
      </c>
      <c r="AV94">
        <v>2707</v>
      </c>
      <c r="AW94">
        <v>1629</v>
      </c>
      <c r="AX94">
        <v>986</v>
      </c>
      <c r="AY94">
        <v>86</v>
      </c>
      <c r="AZ94">
        <v>6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-0.873</v>
      </c>
      <c r="BH94">
        <v>34.147998999999999</v>
      </c>
      <c r="BI94">
        <v>15.556649</v>
      </c>
      <c r="BJ94">
        <v>-0.31711099999999998</v>
      </c>
      <c r="BK94">
        <v>14.451955</v>
      </c>
      <c r="BL94">
        <v>208.85899800000001</v>
      </c>
      <c r="BM94">
        <v>0.92898899999999995</v>
      </c>
      <c r="BN94">
        <v>29.707999000000001</v>
      </c>
      <c r="BO94">
        <v>-7.5724E-2</v>
      </c>
      <c r="BP94">
        <v>1.099132</v>
      </c>
      <c r="BQ94">
        <v>14.118710999999999</v>
      </c>
      <c r="BR94">
        <v>11.989000000000001</v>
      </c>
      <c r="BS94">
        <v>20.555112999999999</v>
      </c>
      <c r="BT94">
        <v>15.556649</v>
      </c>
      <c r="BU94">
        <v>7.6727049999999997</v>
      </c>
      <c r="BV94">
        <v>2.5758E-2</v>
      </c>
      <c r="BW94">
        <v>-1.5724689999999999</v>
      </c>
      <c r="BX94">
        <v>0.49321100000000001</v>
      </c>
      <c r="BY94">
        <v>3.3570000000000002E-3</v>
      </c>
      <c r="BZ94">
        <v>-0.20494299999999999</v>
      </c>
      <c r="CA94">
        <v>-0.39300000000000002</v>
      </c>
      <c r="CB94">
        <v>-0.17469999999999999</v>
      </c>
      <c r="CC94">
        <v>-9.4799999999999995E-2</v>
      </c>
      <c r="CD94">
        <v>5.0000000000000001E-3</v>
      </c>
      <c r="CE94">
        <v>4.2999999999999997E-2</v>
      </c>
      <c r="CF94">
        <v>8.0799999999999997E-2</v>
      </c>
      <c r="CG94">
        <v>0.19040000000000001</v>
      </c>
      <c r="CH94">
        <v>20.238001000000001</v>
      </c>
      <c r="CI94">
        <v>27.852001000000001</v>
      </c>
      <c r="CJ94">
        <v>29.241599999999998</v>
      </c>
      <c r="CK94">
        <v>29.750999</v>
      </c>
      <c r="CL94">
        <v>30.352799999999998</v>
      </c>
      <c r="CM94">
        <v>31.380797999999999</v>
      </c>
      <c r="CN94">
        <v>32.209499000000001</v>
      </c>
      <c r="CO94">
        <v>33.198737999999999</v>
      </c>
      <c r="CP94">
        <v>0.46913700000000003</v>
      </c>
      <c r="CQ94">
        <v>21.231843999999999</v>
      </c>
      <c r="CR94">
        <v>23.681080999999999</v>
      </c>
      <c r="CS94">
        <v>1</v>
      </c>
      <c r="CT94">
        <v>63</v>
      </c>
      <c r="CU94">
        <v>20.117843000000001</v>
      </c>
      <c r="CV94">
        <v>1</v>
      </c>
      <c r="CW94">
        <v>14.288902</v>
      </c>
      <c r="CX94">
        <v>204.17273</v>
      </c>
      <c r="CY94">
        <v>0.71026</v>
      </c>
      <c r="CZ94">
        <v>20</v>
      </c>
      <c r="DA94">
        <v>0.62004099999999995</v>
      </c>
      <c r="DB94">
        <v>2.6888920000000001</v>
      </c>
      <c r="DC94">
        <v>11.574820000000001</v>
      </c>
      <c r="DD94">
        <v>20.117843000000001</v>
      </c>
      <c r="DE94">
        <v>8.0226559999999996</v>
      </c>
      <c r="DF94">
        <v>1.1002160000000001</v>
      </c>
      <c r="DG94">
        <v>0.60179000000000005</v>
      </c>
      <c r="DH94">
        <v>0.398783</v>
      </c>
      <c r="DI94">
        <v>0.13713900000000001</v>
      </c>
      <c r="DJ94">
        <v>7.5010999999999994E-2</v>
      </c>
      <c r="DK94">
        <v>1</v>
      </c>
      <c r="DL94">
        <v>1</v>
      </c>
      <c r="DM94">
        <v>3</v>
      </c>
      <c r="DN94">
        <v>5</v>
      </c>
      <c r="DO94">
        <v>8</v>
      </c>
      <c r="DP94">
        <v>10</v>
      </c>
      <c r="DQ94">
        <v>15</v>
      </c>
      <c r="DR94">
        <v>19</v>
      </c>
      <c r="DS94">
        <v>23</v>
      </c>
      <c r="DT94">
        <v>26</v>
      </c>
      <c r="DU94">
        <v>28</v>
      </c>
      <c r="DV94">
        <v>30</v>
      </c>
      <c r="DW94">
        <v>43</v>
      </c>
      <c r="DX94">
        <v>49</v>
      </c>
      <c r="DY94">
        <v>55</v>
      </c>
      <c r="DZ94">
        <v>84.898711000000006</v>
      </c>
      <c r="EA94">
        <v>55.227189000000003</v>
      </c>
      <c r="EB94">
        <v>91.774095000000003</v>
      </c>
      <c r="EC94">
        <v>1383</v>
      </c>
      <c r="ED94">
        <v>1495</v>
      </c>
      <c r="EE94">
        <v>84.100674999999995</v>
      </c>
      <c r="EF94">
        <v>100</v>
      </c>
      <c r="EG94">
        <v>53.084595</v>
      </c>
      <c r="EH94">
        <v>98.411525999999995</v>
      </c>
      <c r="EI94">
        <v>88.213628</v>
      </c>
      <c r="EJ94">
        <v>163.535912</v>
      </c>
      <c r="EK94">
        <v>1370</v>
      </c>
      <c r="EL94">
        <v>1629</v>
      </c>
      <c r="EM94">
        <v>1437</v>
      </c>
      <c r="EN94">
        <v>2664</v>
      </c>
      <c r="EO94">
        <v>1629</v>
      </c>
      <c r="EP94">
        <v>2707</v>
      </c>
      <c r="EQ94">
        <v>46.016601999999999</v>
      </c>
    </row>
    <row r="95" spans="1:147" x14ac:dyDescent="0.25">
      <c r="A95">
        <v>2022</v>
      </c>
      <c r="B95" t="str">
        <f t="shared" si="2"/>
        <v>NE</v>
      </c>
      <c r="C95" t="s">
        <v>652</v>
      </c>
      <c r="D95" t="s">
        <v>652</v>
      </c>
      <c r="E95">
        <v>23564</v>
      </c>
      <c r="F95" t="s">
        <v>653</v>
      </c>
      <c r="G95" t="s">
        <v>459</v>
      </c>
      <c r="H95" t="s">
        <v>654</v>
      </c>
      <c r="I95">
        <v>16.43</v>
      </c>
      <c r="J95">
        <v>16.43</v>
      </c>
      <c r="K95" t="s">
        <v>461</v>
      </c>
      <c r="L95">
        <v>1</v>
      </c>
      <c r="M95">
        <v>2015</v>
      </c>
      <c r="N95">
        <v>2</v>
      </c>
      <c r="O95" t="str">
        <f t="shared" si="3"/>
        <v>Talhadia</v>
      </c>
      <c r="P95" s="2">
        <v>42338</v>
      </c>
      <c r="Q95" t="s">
        <v>322</v>
      </c>
      <c r="R95" t="s">
        <v>655</v>
      </c>
      <c r="S95" t="s">
        <v>154</v>
      </c>
      <c r="T95" t="s">
        <v>155</v>
      </c>
      <c r="U95" t="s">
        <v>156</v>
      </c>
      <c r="V95" s="2">
        <v>44720</v>
      </c>
      <c r="W95" t="s">
        <v>462</v>
      </c>
      <c r="X95">
        <v>105.57</v>
      </c>
      <c r="Y95">
        <v>20.8</v>
      </c>
      <c r="Z95">
        <v>20</v>
      </c>
      <c r="AA95">
        <v>16.100000000000001</v>
      </c>
      <c r="AB95">
        <v>15</v>
      </c>
      <c r="AC95">
        <v>334.88</v>
      </c>
      <c r="AD95">
        <v>303.961658544231</v>
      </c>
      <c r="AE95" s="2">
        <v>44720</v>
      </c>
      <c r="AF95">
        <v>79</v>
      </c>
      <c r="AG95">
        <v>6.52156057494867</v>
      </c>
      <c r="AH95">
        <v>22.651257274665699</v>
      </c>
      <c r="AI95">
        <v>16.064516129032299</v>
      </c>
      <c r="AJ95">
        <v>22.606507008891999</v>
      </c>
      <c r="AK95">
        <v>31</v>
      </c>
      <c r="AL95">
        <v>1019.86547081197</v>
      </c>
      <c r="AM95">
        <v>224.12086114796799</v>
      </c>
      <c r="AN95">
        <v>0.219755318286766</v>
      </c>
      <c r="AO95" t="s">
        <v>655</v>
      </c>
      <c r="AP95" t="s">
        <v>264</v>
      </c>
      <c r="AQ95" t="s">
        <v>463</v>
      </c>
      <c r="AR95">
        <v>9.99</v>
      </c>
      <c r="AS95">
        <v>1.0188456053411601</v>
      </c>
      <c r="AT95" t="s">
        <v>656</v>
      </c>
      <c r="AU95" t="s">
        <v>657</v>
      </c>
      <c r="AV95">
        <v>3940</v>
      </c>
      <c r="AW95">
        <v>2214</v>
      </c>
      <c r="AX95">
        <v>1490</v>
      </c>
      <c r="AY95">
        <v>228</v>
      </c>
      <c r="AZ95">
        <v>8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-0.73199999999999998</v>
      </c>
      <c r="BH95">
        <v>29.823</v>
      </c>
      <c r="BI95">
        <v>14.198448000000001</v>
      </c>
      <c r="BJ95">
        <v>-0.247</v>
      </c>
      <c r="BK95">
        <v>12.396018</v>
      </c>
      <c r="BL95">
        <v>153.66126700000001</v>
      </c>
      <c r="BM95">
        <v>0.873054</v>
      </c>
      <c r="BN95">
        <v>26.042999999999999</v>
      </c>
      <c r="BO95">
        <v>-0.15543499999999999</v>
      </c>
      <c r="BP95">
        <v>1.155732</v>
      </c>
      <c r="BQ95">
        <v>11.949600999999999</v>
      </c>
      <c r="BR95">
        <v>8.0189990000000009</v>
      </c>
      <c r="BS95">
        <v>20.431999000000001</v>
      </c>
      <c r="BT95">
        <v>14.198448000000001</v>
      </c>
      <c r="BU95">
        <v>6.6638729999999997</v>
      </c>
      <c r="BV95">
        <v>-0.23755299999999999</v>
      </c>
      <c r="BW95">
        <v>-1.2865420000000001</v>
      </c>
      <c r="BX95">
        <v>0.46933799999999998</v>
      </c>
      <c r="BY95">
        <v>-3.5647999999999999E-2</v>
      </c>
      <c r="BZ95">
        <v>-0.19306200000000001</v>
      </c>
      <c r="CA95">
        <v>-0.35865999999999998</v>
      </c>
      <c r="CB95">
        <v>-0.16600000000000001</v>
      </c>
      <c r="CC95">
        <v>-7.3200000000000001E-2</v>
      </c>
      <c r="CD95">
        <v>3.1E-2</v>
      </c>
      <c r="CE95">
        <v>8.2000000000000003E-2</v>
      </c>
      <c r="CF95">
        <v>0.15079999999999999</v>
      </c>
      <c r="CG95">
        <v>0.74619999999999997</v>
      </c>
      <c r="CH95">
        <v>20.185001</v>
      </c>
      <c r="CI95">
        <v>24.522197999999999</v>
      </c>
      <c r="CJ95">
        <v>25.631799999999998</v>
      </c>
      <c r="CK95">
        <v>26.125</v>
      </c>
      <c r="CL95">
        <v>26.609200000000001</v>
      </c>
      <c r="CM95">
        <v>27.625402000000001</v>
      </c>
      <c r="CN95">
        <v>28.231000999999999</v>
      </c>
      <c r="CO95">
        <v>29.011050999999998</v>
      </c>
      <c r="CP95">
        <v>0.48864200000000002</v>
      </c>
      <c r="CQ95">
        <v>18.847232999999999</v>
      </c>
      <c r="CR95">
        <v>20.885193000000001</v>
      </c>
      <c r="CS95">
        <v>1</v>
      </c>
      <c r="CT95">
        <v>55</v>
      </c>
      <c r="CU95">
        <v>19.087817000000001</v>
      </c>
      <c r="CV95">
        <v>1.857143</v>
      </c>
      <c r="CW95">
        <v>13.026265</v>
      </c>
      <c r="CX95">
        <v>169.68357800000001</v>
      </c>
      <c r="CY95">
        <v>0.68243900000000002</v>
      </c>
      <c r="CZ95">
        <v>22</v>
      </c>
      <c r="DA95">
        <v>0.34956799999999999</v>
      </c>
      <c r="DB95">
        <v>2.1677870000000001</v>
      </c>
      <c r="DC95">
        <v>11.233605000000001</v>
      </c>
      <c r="DD95">
        <v>19.087817000000001</v>
      </c>
      <c r="DE95">
        <v>7.4324409999999999</v>
      </c>
      <c r="DF95">
        <v>0.63434800000000002</v>
      </c>
      <c r="DG95">
        <v>8.7251999999999996E-2</v>
      </c>
      <c r="DH95">
        <v>0.38938099999999998</v>
      </c>
      <c r="DI95">
        <v>8.5348999999999994E-2</v>
      </c>
      <c r="DJ95">
        <v>1.1738999999999999E-2</v>
      </c>
      <c r="DK95">
        <v>1</v>
      </c>
      <c r="DL95">
        <v>2</v>
      </c>
      <c r="DM95">
        <v>3</v>
      </c>
      <c r="DN95">
        <v>5</v>
      </c>
      <c r="DO95">
        <v>7</v>
      </c>
      <c r="DP95">
        <v>9</v>
      </c>
      <c r="DQ95">
        <v>14</v>
      </c>
      <c r="DR95">
        <v>18</v>
      </c>
      <c r="DS95">
        <v>23</v>
      </c>
      <c r="DT95">
        <v>27</v>
      </c>
      <c r="DU95">
        <v>29</v>
      </c>
      <c r="DV95">
        <v>31</v>
      </c>
      <c r="DW95">
        <v>36</v>
      </c>
      <c r="DX95">
        <v>41</v>
      </c>
      <c r="DY95">
        <v>50</v>
      </c>
      <c r="DZ95">
        <v>92.592592999999994</v>
      </c>
      <c r="EA95">
        <v>59.137056000000001</v>
      </c>
      <c r="EB95">
        <v>105.239386</v>
      </c>
      <c r="EC95">
        <v>2050</v>
      </c>
      <c r="ED95">
        <v>2330</v>
      </c>
      <c r="EE95">
        <v>89.701897000000002</v>
      </c>
      <c r="EF95">
        <v>100</v>
      </c>
      <c r="EG95">
        <v>54.314720999999999</v>
      </c>
      <c r="EH95">
        <v>97.715736000000007</v>
      </c>
      <c r="EI95">
        <v>96.657633000000004</v>
      </c>
      <c r="EJ95">
        <v>173.893406</v>
      </c>
      <c r="EK95">
        <v>1986</v>
      </c>
      <c r="EL95">
        <v>2214</v>
      </c>
      <c r="EM95">
        <v>2140</v>
      </c>
      <c r="EN95">
        <v>3850</v>
      </c>
      <c r="EO95">
        <v>2214</v>
      </c>
      <c r="EP95">
        <v>3940</v>
      </c>
      <c r="EQ95">
        <v>48.052095000000001</v>
      </c>
    </row>
    <row r="96" spans="1:147" x14ac:dyDescent="0.25">
      <c r="A96">
        <v>2022</v>
      </c>
      <c r="B96" t="str">
        <f t="shared" si="2"/>
        <v>NE</v>
      </c>
      <c r="C96" t="s">
        <v>658</v>
      </c>
      <c r="D96" t="s">
        <v>658</v>
      </c>
      <c r="E96">
        <v>23565</v>
      </c>
      <c r="F96" t="s">
        <v>653</v>
      </c>
      <c r="G96" t="s">
        <v>459</v>
      </c>
      <c r="H96" t="s">
        <v>659</v>
      </c>
      <c r="I96">
        <v>23.53</v>
      </c>
      <c r="J96">
        <v>23.53</v>
      </c>
      <c r="K96" t="s">
        <v>461</v>
      </c>
      <c r="L96">
        <v>1</v>
      </c>
      <c r="M96">
        <v>2015</v>
      </c>
      <c r="N96">
        <v>2</v>
      </c>
      <c r="O96" t="str">
        <f t="shared" si="3"/>
        <v>Talhadia</v>
      </c>
      <c r="P96" s="2">
        <v>42338</v>
      </c>
      <c r="Q96" t="s">
        <v>322</v>
      </c>
      <c r="R96" t="s">
        <v>660</v>
      </c>
      <c r="S96" t="s">
        <v>154</v>
      </c>
      <c r="T96" t="s">
        <v>155</v>
      </c>
      <c r="U96" t="s">
        <v>156</v>
      </c>
      <c r="V96" s="2">
        <v>44720</v>
      </c>
      <c r="W96" t="s">
        <v>462</v>
      </c>
      <c r="X96">
        <v>105.57</v>
      </c>
      <c r="Y96">
        <v>19.2</v>
      </c>
      <c r="Z96">
        <v>29</v>
      </c>
      <c r="AA96">
        <v>13.3</v>
      </c>
      <c r="AB96">
        <v>7</v>
      </c>
      <c r="AC96">
        <v>255.36</v>
      </c>
      <c r="AD96">
        <v>221.67812439288099</v>
      </c>
      <c r="AE96" s="2">
        <v>44720</v>
      </c>
      <c r="AF96">
        <v>79</v>
      </c>
      <c r="AG96">
        <v>6.52156057494867</v>
      </c>
      <c r="AH96">
        <v>22.821444693086701</v>
      </c>
      <c r="AI96">
        <v>13.862500000000001</v>
      </c>
      <c r="AJ96">
        <v>17.117027653336201</v>
      </c>
      <c r="AK96">
        <v>24</v>
      </c>
      <c r="AL96">
        <v>1082.6508057901401</v>
      </c>
      <c r="AM96">
        <v>167.97795276893501</v>
      </c>
      <c r="AN96">
        <v>0.15515432295488901</v>
      </c>
      <c r="AO96" t="s">
        <v>660</v>
      </c>
      <c r="AP96" t="s">
        <v>264</v>
      </c>
      <c r="AQ96" t="s">
        <v>463</v>
      </c>
      <c r="AR96">
        <v>9.99</v>
      </c>
      <c r="AS96">
        <v>1.0815681549843521</v>
      </c>
      <c r="AT96" t="s">
        <v>661</v>
      </c>
      <c r="AU96" t="s">
        <v>662</v>
      </c>
      <c r="AV96">
        <v>3101</v>
      </c>
      <c r="AW96">
        <v>1850</v>
      </c>
      <c r="AX96">
        <v>1205</v>
      </c>
      <c r="AY96">
        <v>46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-0.74199999999999999</v>
      </c>
      <c r="BH96">
        <v>26.483999000000001</v>
      </c>
      <c r="BI96">
        <v>12.592739999999999</v>
      </c>
      <c r="BJ96">
        <v>-0.30984099999999998</v>
      </c>
      <c r="BK96">
        <v>11.414161999999999</v>
      </c>
      <c r="BL96">
        <v>130.283083</v>
      </c>
      <c r="BM96">
        <v>0.90640799999999999</v>
      </c>
      <c r="BN96">
        <v>23.371001</v>
      </c>
      <c r="BO96">
        <v>-0.14730299999999999</v>
      </c>
      <c r="BP96">
        <v>1.085048</v>
      </c>
      <c r="BQ96">
        <v>11.201839</v>
      </c>
      <c r="BR96">
        <v>5.0680009999999998</v>
      </c>
      <c r="BS96">
        <v>20.552841000000001</v>
      </c>
      <c r="BT96">
        <v>12.592739999999999</v>
      </c>
      <c r="BU96">
        <v>5.9946109999999999</v>
      </c>
      <c r="BV96">
        <v>-0.22114200000000001</v>
      </c>
      <c r="BW96">
        <v>-1.239247</v>
      </c>
      <c r="BX96">
        <v>0.47603699999999999</v>
      </c>
      <c r="BY96">
        <v>-3.6889999999999999E-2</v>
      </c>
      <c r="BZ96">
        <v>-0.20672699999999999</v>
      </c>
      <c r="CA96">
        <v>-0.45200000000000001</v>
      </c>
      <c r="CB96">
        <v>-0.22800000000000001</v>
      </c>
      <c r="CC96">
        <v>-0.111</v>
      </c>
      <c r="CD96">
        <v>1.0999999999999999E-2</v>
      </c>
      <c r="CE96">
        <v>6.2E-2</v>
      </c>
      <c r="CF96">
        <v>0.112</v>
      </c>
      <c r="CG96">
        <v>0.252</v>
      </c>
      <c r="CH96">
        <v>20.242999999999999</v>
      </c>
      <c r="CI96">
        <v>22.356000999999999</v>
      </c>
      <c r="CJ96">
        <v>23.172999999999998</v>
      </c>
      <c r="CK96">
        <v>23.433001000000001</v>
      </c>
      <c r="CL96">
        <v>23.690000999999999</v>
      </c>
      <c r="CM96">
        <v>24.364000000000001</v>
      </c>
      <c r="CN96">
        <v>24.999001</v>
      </c>
      <c r="CO96">
        <v>25.91</v>
      </c>
      <c r="CP96">
        <v>0.48977999999999999</v>
      </c>
      <c r="CQ96">
        <v>16.994651000000001</v>
      </c>
      <c r="CR96">
        <v>18.850356999999999</v>
      </c>
      <c r="CS96">
        <v>1</v>
      </c>
      <c r="CT96">
        <v>46</v>
      </c>
      <c r="CU96">
        <v>13.470171000000001</v>
      </c>
      <c r="CV96">
        <v>1</v>
      </c>
      <c r="CW96">
        <v>8.9722240000000006</v>
      </c>
      <c r="CX96">
        <v>80.500803000000005</v>
      </c>
      <c r="CY96">
        <v>0.66608100000000003</v>
      </c>
      <c r="CZ96">
        <v>13</v>
      </c>
      <c r="DA96">
        <v>0.74526199999999998</v>
      </c>
      <c r="DB96">
        <v>3.4340519999999999</v>
      </c>
      <c r="DC96">
        <v>7.1184779999999996</v>
      </c>
      <c r="DD96">
        <v>13.470171000000001</v>
      </c>
      <c r="DE96">
        <v>4.9872649999999998</v>
      </c>
      <c r="DF96">
        <v>0.64127900000000004</v>
      </c>
      <c r="DG96">
        <v>0.50140600000000002</v>
      </c>
      <c r="DH96">
        <v>0.37024499999999999</v>
      </c>
      <c r="DI96">
        <v>0.128583</v>
      </c>
      <c r="DJ96">
        <v>0.100537</v>
      </c>
      <c r="DK96">
        <v>1</v>
      </c>
      <c r="DL96">
        <v>1</v>
      </c>
      <c r="DM96">
        <v>2</v>
      </c>
      <c r="DN96">
        <v>5</v>
      </c>
      <c r="DO96">
        <v>6</v>
      </c>
      <c r="DP96">
        <v>7</v>
      </c>
      <c r="DQ96">
        <v>11</v>
      </c>
      <c r="DR96">
        <v>13</v>
      </c>
      <c r="DS96">
        <v>15</v>
      </c>
      <c r="DT96">
        <v>17</v>
      </c>
      <c r="DU96">
        <v>19</v>
      </c>
      <c r="DV96">
        <v>20</v>
      </c>
      <c r="DW96">
        <v>25</v>
      </c>
      <c r="DX96">
        <v>30</v>
      </c>
      <c r="DY96">
        <v>40</v>
      </c>
      <c r="DZ96">
        <v>89.837838000000005</v>
      </c>
      <c r="EA96">
        <v>55.885198000000003</v>
      </c>
      <c r="EB96">
        <v>93.675675999999996</v>
      </c>
      <c r="EC96">
        <v>1662</v>
      </c>
      <c r="ED96">
        <v>1733</v>
      </c>
      <c r="EE96">
        <v>88.810811000000001</v>
      </c>
      <c r="EF96">
        <v>100</v>
      </c>
      <c r="EG96">
        <v>54.143825</v>
      </c>
      <c r="EH96">
        <v>97.355692000000005</v>
      </c>
      <c r="EI96">
        <v>90.756756999999993</v>
      </c>
      <c r="EJ96">
        <v>163.189189</v>
      </c>
      <c r="EK96">
        <v>1643</v>
      </c>
      <c r="EL96">
        <v>1850</v>
      </c>
      <c r="EM96">
        <v>1679</v>
      </c>
      <c r="EN96">
        <v>3019</v>
      </c>
      <c r="EO96">
        <v>1850</v>
      </c>
      <c r="EP96">
        <v>3101</v>
      </c>
      <c r="EQ96">
        <v>47.699613999999997</v>
      </c>
    </row>
    <row r="97" spans="1:147" x14ac:dyDescent="0.25">
      <c r="A97">
        <v>2022</v>
      </c>
      <c r="B97" t="str">
        <f t="shared" si="2"/>
        <v>NE</v>
      </c>
      <c r="C97" t="s">
        <v>663</v>
      </c>
      <c r="D97" t="s">
        <v>663</v>
      </c>
      <c r="E97">
        <v>23566</v>
      </c>
      <c r="F97" t="s">
        <v>653</v>
      </c>
      <c r="G97" t="s">
        <v>459</v>
      </c>
      <c r="H97" t="s">
        <v>659</v>
      </c>
      <c r="I97">
        <v>23.53</v>
      </c>
      <c r="J97">
        <v>23.53</v>
      </c>
      <c r="K97" t="s">
        <v>461</v>
      </c>
      <c r="L97">
        <v>1</v>
      </c>
      <c r="M97">
        <v>2015</v>
      </c>
      <c r="N97">
        <v>2</v>
      </c>
      <c r="O97" t="str">
        <f t="shared" si="3"/>
        <v>Talhadia</v>
      </c>
      <c r="P97" s="2">
        <v>42338</v>
      </c>
      <c r="Q97" t="s">
        <v>322</v>
      </c>
      <c r="R97" t="s">
        <v>660</v>
      </c>
      <c r="S97" t="s">
        <v>154</v>
      </c>
      <c r="T97" t="s">
        <v>155</v>
      </c>
      <c r="U97" t="s">
        <v>156</v>
      </c>
      <c r="V97" s="2">
        <v>44720</v>
      </c>
      <c r="W97" t="s">
        <v>462</v>
      </c>
      <c r="X97">
        <v>105.57</v>
      </c>
      <c r="Y97">
        <v>18.8</v>
      </c>
      <c r="Z97">
        <v>21</v>
      </c>
      <c r="AA97">
        <v>13.7</v>
      </c>
      <c r="AB97">
        <v>5</v>
      </c>
      <c r="AC97">
        <v>257.56</v>
      </c>
      <c r="AD97">
        <v>239.53797848534299</v>
      </c>
      <c r="AE97" s="2">
        <v>44720</v>
      </c>
      <c r="AF97">
        <v>79</v>
      </c>
      <c r="AG97">
        <v>6.52156057494867</v>
      </c>
      <c r="AH97">
        <v>23.807992029961198</v>
      </c>
      <c r="AI97">
        <v>15.1045454545455</v>
      </c>
      <c r="AJ97">
        <v>17.731019746792601</v>
      </c>
      <c r="AK97">
        <v>22</v>
      </c>
      <c r="AL97">
        <v>918.434735865741</v>
      </c>
      <c r="AM97">
        <v>188.56654349272301</v>
      </c>
      <c r="AN97">
        <v>0.20531294835552499</v>
      </c>
      <c r="AO97" t="s">
        <v>660</v>
      </c>
      <c r="AP97" t="s">
        <v>264</v>
      </c>
      <c r="AQ97" t="s">
        <v>463</v>
      </c>
      <c r="AR97">
        <v>9.99</v>
      </c>
      <c r="AS97">
        <v>0.91751630112987714</v>
      </c>
      <c r="AT97" t="s">
        <v>664</v>
      </c>
      <c r="AU97" t="s">
        <v>665</v>
      </c>
      <c r="AV97">
        <v>2965</v>
      </c>
      <c r="AW97">
        <v>1211</v>
      </c>
      <c r="AX97">
        <v>1624</v>
      </c>
      <c r="AY97">
        <v>128</v>
      </c>
      <c r="AZ97">
        <v>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-0.84199999999999997</v>
      </c>
      <c r="BH97">
        <v>28.954999999999998</v>
      </c>
      <c r="BI97">
        <v>6.257663</v>
      </c>
      <c r="BJ97">
        <v>-0.36903200000000003</v>
      </c>
      <c r="BK97">
        <v>10.654325</v>
      </c>
      <c r="BL97">
        <v>113.514644</v>
      </c>
      <c r="BM97">
        <v>1.702604</v>
      </c>
      <c r="BN97">
        <v>12.166</v>
      </c>
      <c r="BO97">
        <v>1.2190970000000001</v>
      </c>
      <c r="BP97">
        <v>2.5942810000000001</v>
      </c>
      <c r="BQ97">
        <v>9.1023599999999991</v>
      </c>
      <c r="BR97">
        <v>0.20699999999999999</v>
      </c>
      <c r="BS97">
        <v>0.52203200000000005</v>
      </c>
      <c r="BT97">
        <v>6.257663</v>
      </c>
      <c r="BU97">
        <v>4.7865380000000002</v>
      </c>
      <c r="BV97">
        <v>2.4673060000000002</v>
      </c>
      <c r="BW97">
        <v>0.52485000000000004</v>
      </c>
      <c r="BX97">
        <v>0.76490800000000003</v>
      </c>
      <c r="BY97">
        <v>0.51546800000000004</v>
      </c>
      <c r="BZ97">
        <v>0.109651</v>
      </c>
      <c r="CA97">
        <v>-0.43236000000000002</v>
      </c>
      <c r="CB97">
        <v>-0.21579999999999999</v>
      </c>
      <c r="CC97">
        <v>-0.1236</v>
      </c>
      <c r="CD97">
        <v>-3.3000000000000002E-2</v>
      </c>
      <c r="CE97">
        <v>2E-3</v>
      </c>
      <c r="CF97">
        <v>3.3000000000000002E-2</v>
      </c>
      <c r="CG97">
        <v>9.4E-2</v>
      </c>
      <c r="CH97">
        <v>0.153</v>
      </c>
      <c r="CI97">
        <v>0.24</v>
      </c>
      <c r="CJ97">
        <v>0.4698</v>
      </c>
      <c r="CK97">
        <v>12.167999999999999</v>
      </c>
      <c r="CL97">
        <v>22.742394999999998</v>
      </c>
      <c r="CM97">
        <v>26.058800000000002</v>
      </c>
      <c r="CN97">
        <v>27.065000999999999</v>
      </c>
      <c r="CO97">
        <v>28.108801</v>
      </c>
      <c r="CP97">
        <v>0.23826800000000001</v>
      </c>
      <c r="CQ97">
        <v>12.354542</v>
      </c>
      <c r="CR97">
        <v>15.67201</v>
      </c>
      <c r="CS97">
        <v>1</v>
      </c>
      <c r="CT97">
        <v>47</v>
      </c>
      <c r="CU97">
        <v>14.40371</v>
      </c>
      <c r="CV97">
        <v>2.4603169999999999</v>
      </c>
      <c r="CW97">
        <v>10.782159999999999</v>
      </c>
      <c r="CX97">
        <v>116.25497900000001</v>
      </c>
      <c r="CY97">
        <v>0.74856800000000001</v>
      </c>
      <c r="CZ97">
        <v>16</v>
      </c>
      <c r="DA97">
        <v>0.69183899999999998</v>
      </c>
      <c r="DB97">
        <v>2.4022899999999998</v>
      </c>
      <c r="DC97">
        <v>9.018497</v>
      </c>
      <c r="DD97">
        <v>14.40371</v>
      </c>
      <c r="DE97">
        <v>6.0298100000000003</v>
      </c>
      <c r="DF97">
        <v>1.1428659999999999</v>
      </c>
      <c r="DG97">
        <v>0.252606</v>
      </c>
      <c r="DH97">
        <v>0.41862899999999997</v>
      </c>
      <c r="DI97">
        <v>0.18953600000000001</v>
      </c>
      <c r="DJ97">
        <v>4.1893E-2</v>
      </c>
      <c r="DK97">
        <v>1</v>
      </c>
      <c r="DL97">
        <v>1</v>
      </c>
      <c r="DM97">
        <v>2</v>
      </c>
      <c r="DN97">
        <v>4</v>
      </c>
      <c r="DO97">
        <v>5</v>
      </c>
      <c r="DP97">
        <v>6</v>
      </c>
      <c r="DQ97">
        <v>9</v>
      </c>
      <c r="DR97">
        <v>12</v>
      </c>
      <c r="DS97">
        <v>15</v>
      </c>
      <c r="DT97">
        <v>19</v>
      </c>
      <c r="DU97">
        <v>21</v>
      </c>
      <c r="DV97">
        <v>24</v>
      </c>
      <c r="DW97">
        <v>32</v>
      </c>
      <c r="DX97">
        <v>35</v>
      </c>
      <c r="DY97">
        <v>39</v>
      </c>
      <c r="DZ97">
        <v>58.216349999999998</v>
      </c>
      <c r="EA97">
        <v>26.239460000000001</v>
      </c>
      <c r="EB97">
        <v>64.244426000000004</v>
      </c>
      <c r="EC97">
        <v>705</v>
      </c>
      <c r="ED97">
        <v>778</v>
      </c>
      <c r="EE97">
        <v>57.968620999999999</v>
      </c>
      <c r="EF97">
        <v>100</v>
      </c>
      <c r="EG97">
        <v>25.834738999999999</v>
      </c>
      <c r="EH97">
        <v>98.111298000000005</v>
      </c>
      <c r="EI97">
        <v>63.253509000000001</v>
      </c>
      <c r="EJ97">
        <v>240.214699</v>
      </c>
      <c r="EK97">
        <v>702</v>
      </c>
      <c r="EL97">
        <v>1211</v>
      </c>
      <c r="EM97">
        <v>766</v>
      </c>
      <c r="EN97">
        <v>2909</v>
      </c>
      <c r="EO97">
        <v>1211</v>
      </c>
      <c r="EP97">
        <v>2965</v>
      </c>
      <c r="EQ97">
        <v>21.400859000000001</v>
      </c>
    </row>
    <row r="98" spans="1:147" x14ac:dyDescent="0.25">
      <c r="A98">
        <v>2022</v>
      </c>
      <c r="B98" t="str">
        <f t="shared" si="2"/>
        <v>GN</v>
      </c>
      <c r="C98" t="s">
        <v>666</v>
      </c>
      <c r="D98" t="s">
        <v>666</v>
      </c>
      <c r="E98">
        <v>23808</v>
      </c>
      <c r="F98" t="s">
        <v>667</v>
      </c>
      <c r="G98" t="s">
        <v>668</v>
      </c>
      <c r="H98" t="s">
        <v>669</v>
      </c>
      <c r="I98">
        <v>48.56</v>
      </c>
      <c r="J98">
        <v>48.56</v>
      </c>
      <c r="K98" t="s">
        <v>199</v>
      </c>
      <c r="L98">
        <v>1</v>
      </c>
      <c r="M98">
        <v>2015</v>
      </c>
      <c r="N98">
        <v>3</v>
      </c>
      <c r="O98" t="str">
        <f t="shared" si="3"/>
        <v>Alto fuste</v>
      </c>
      <c r="P98" s="2">
        <v>42184</v>
      </c>
      <c r="Q98" t="s">
        <v>174</v>
      </c>
      <c r="R98" t="s">
        <v>302</v>
      </c>
      <c r="S98" t="s">
        <v>154</v>
      </c>
      <c r="T98" t="s">
        <v>199</v>
      </c>
      <c r="U98" t="s">
        <v>156</v>
      </c>
      <c r="V98" s="2">
        <v>44643</v>
      </c>
      <c r="W98" t="s">
        <v>670</v>
      </c>
      <c r="X98">
        <v>196.33</v>
      </c>
      <c r="Y98">
        <v>20.8</v>
      </c>
      <c r="Z98">
        <v>15</v>
      </c>
      <c r="AA98">
        <v>15.3</v>
      </c>
      <c r="AB98">
        <v>0</v>
      </c>
      <c r="AC98">
        <v>318.24</v>
      </c>
      <c r="AD98">
        <v>307.39623495823298</v>
      </c>
      <c r="AE98" s="2">
        <v>44636</v>
      </c>
      <c r="AF98">
        <v>81</v>
      </c>
      <c r="AG98">
        <v>6.7132101300479103</v>
      </c>
      <c r="AH98">
        <v>33.839990899158998</v>
      </c>
      <c r="AI98">
        <v>17.8</v>
      </c>
      <c r="AJ98">
        <v>23.984064416379699</v>
      </c>
      <c r="AK98">
        <v>29</v>
      </c>
      <c r="AL98">
        <v>943.40778129375303</v>
      </c>
      <c r="AM98">
        <v>367.37800280738901</v>
      </c>
      <c r="AN98">
        <v>0.38941591334298797</v>
      </c>
      <c r="AO98" t="s">
        <v>302</v>
      </c>
      <c r="AP98" t="s">
        <v>158</v>
      </c>
      <c r="AQ98" t="s">
        <v>671</v>
      </c>
      <c r="AR98">
        <v>9</v>
      </c>
      <c r="AS98">
        <v>0.84906700316437844</v>
      </c>
      <c r="AT98" t="s">
        <v>672</v>
      </c>
      <c r="AU98" t="s">
        <v>673</v>
      </c>
      <c r="AV98">
        <v>5059</v>
      </c>
      <c r="AW98">
        <v>2815</v>
      </c>
      <c r="AX98">
        <v>1852</v>
      </c>
      <c r="AY98">
        <v>367</v>
      </c>
      <c r="AZ98">
        <v>25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-0.91700000000000004</v>
      </c>
      <c r="BH98">
        <v>33.766998000000001</v>
      </c>
      <c r="BI98">
        <v>18.672146999999999</v>
      </c>
      <c r="BJ98">
        <v>-0.36646000000000001</v>
      </c>
      <c r="BK98">
        <v>13.797734</v>
      </c>
      <c r="BL98">
        <v>190.37747200000001</v>
      </c>
      <c r="BM98">
        <v>0.73894700000000002</v>
      </c>
      <c r="BN98">
        <v>30.832001000000002</v>
      </c>
      <c r="BO98">
        <v>-0.455208</v>
      </c>
      <c r="BP98">
        <v>1.4051670000000001</v>
      </c>
      <c r="BQ98">
        <v>12.680329</v>
      </c>
      <c r="BR98">
        <v>6.4969999999999999</v>
      </c>
      <c r="BS98">
        <v>25.884460000000001</v>
      </c>
      <c r="BT98">
        <v>18.672146999999999</v>
      </c>
      <c r="BU98">
        <v>7.3939599999999999</v>
      </c>
      <c r="BV98">
        <v>-1.221066</v>
      </c>
      <c r="BW98">
        <v>-1.100481</v>
      </c>
      <c r="BX98">
        <v>0.39598899999999998</v>
      </c>
      <c r="BY98">
        <v>-0.16514400000000001</v>
      </c>
      <c r="BZ98">
        <v>-0.148835</v>
      </c>
      <c r="CA98">
        <v>-0.40983999999999998</v>
      </c>
      <c r="CB98">
        <v>-0.15310000000000001</v>
      </c>
      <c r="CC98">
        <v>-4.2999999999999997E-2</v>
      </c>
      <c r="CD98">
        <v>0.111</v>
      </c>
      <c r="CE98">
        <v>0.1865</v>
      </c>
      <c r="CF98">
        <v>0.34599999999999997</v>
      </c>
      <c r="CG98">
        <v>18.7806</v>
      </c>
      <c r="CH98">
        <v>25.518000000000001</v>
      </c>
      <c r="CI98">
        <v>29.8916</v>
      </c>
      <c r="CJ98">
        <v>30.688199999999998</v>
      </c>
      <c r="CK98">
        <v>31.018501000000001</v>
      </c>
      <c r="CL98">
        <v>31.343800000000002</v>
      </c>
      <c r="CM98">
        <v>31.9802</v>
      </c>
      <c r="CN98">
        <v>32.311100000000003</v>
      </c>
      <c r="CO98">
        <v>32.987419000000003</v>
      </c>
      <c r="CP98">
        <v>0.56478899999999999</v>
      </c>
      <c r="CQ98">
        <v>23.216135000000001</v>
      </c>
      <c r="CR98">
        <v>25.186171999999999</v>
      </c>
      <c r="CS98">
        <v>1</v>
      </c>
      <c r="CT98">
        <v>60</v>
      </c>
      <c r="CU98">
        <v>12.252618999999999</v>
      </c>
      <c r="CV98">
        <v>1</v>
      </c>
      <c r="CW98">
        <v>8.9264510000000001</v>
      </c>
      <c r="CX98">
        <v>79.681524999999993</v>
      </c>
      <c r="CY98">
        <v>0.72853400000000001</v>
      </c>
      <c r="CZ98">
        <v>14</v>
      </c>
      <c r="DA98">
        <v>0.84310099999999999</v>
      </c>
      <c r="DB98">
        <v>3.891664</v>
      </c>
      <c r="DC98">
        <v>7.3021250000000002</v>
      </c>
      <c r="DD98">
        <v>12.252618999999999</v>
      </c>
      <c r="DE98">
        <v>4.9336960000000003</v>
      </c>
      <c r="DF98">
        <v>0.69478200000000001</v>
      </c>
      <c r="DG98">
        <v>0.30147800000000002</v>
      </c>
      <c r="DH98">
        <v>0.402665</v>
      </c>
      <c r="DI98">
        <v>0.140824</v>
      </c>
      <c r="DJ98">
        <v>6.1106000000000001E-2</v>
      </c>
      <c r="DK98">
        <v>1</v>
      </c>
      <c r="DL98">
        <v>1</v>
      </c>
      <c r="DM98">
        <v>2</v>
      </c>
      <c r="DN98">
        <v>3</v>
      </c>
      <c r="DO98">
        <v>4</v>
      </c>
      <c r="DP98">
        <v>5</v>
      </c>
      <c r="DQ98">
        <v>8</v>
      </c>
      <c r="DR98">
        <v>12</v>
      </c>
      <c r="DS98">
        <v>14</v>
      </c>
      <c r="DT98">
        <v>17</v>
      </c>
      <c r="DU98">
        <v>18</v>
      </c>
      <c r="DV98">
        <v>19</v>
      </c>
      <c r="DW98">
        <v>23</v>
      </c>
      <c r="DX98">
        <v>28</v>
      </c>
      <c r="DY98">
        <v>40</v>
      </c>
      <c r="DZ98">
        <v>95.346359000000007</v>
      </c>
      <c r="EA98">
        <v>67.602293000000003</v>
      </c>
      <c r="EB98">
        <v>121.492007</v>
      </c>
      <c r="EC98">
        <v>2684</v>
      </c>
      <c r="ED98">
        <v>3420</v>
      </c>
      <c r="EE98">
        <v>92.291297</v>
      </c>
      <c r="EF98">
        <v>100</v>
      </c>
      <c r="EG98">
        <v>60.288595000000001</v>
      </c>
      <c r="EH98">
        <v>98.616326999999998</v>
      </c>
      <c r="EI98">
        <v>108.348135</v>
      </c>
      <c r="EJ98">
        <v>177.22913</v>
      </c>
      <c r="EK98">
        <v>2598</v>
      </c>
      <c r="EL98">
        <v>2815</v>
      </c>
      <c r="EM98">
        <v>3050</v>
      </c>
      <c r="EN98">
        <v>4989</v>
      </c>
      <c r="EO98">
        <v>2815</v>
      </c>
      <c r="EP98">
        <v>5059</v>
      </c>
      <c r="EQ98">
        <v>55.663939999999997</v>
      </c>
    </row>
    <row r="99" spans="1:147" x14ac:dyDescent="0.25">
      <c r="A99">
        <v>2022</v>
      </c>
      <c r="B99" t="str">
        <f t="shared" si="2"/>
        <v>GN</v>
      </c>
      <c r="C99" t="s">
        <v>674</v>
      </c>
      <c r="D99" t="s">
        <v>674</v>
      </c>
      <c r="E99">
        <v>23809</v>
      </c>
      <c r="F99" t="s">
        <v>667</v>
      </c>
      <c r="G99" t="s">
        <v>668</v>
      </c>
      <c r="H99" t="s">
        <v>669</v>
      </c>
      <c r="I99">
        <v>48.56</v>
      </c>
      <c r="J99">
        <v>48.56</v>
      </c>
      <c r="K99" t="s">
        <v>199</v>
      </c>
      <c r="L99">
        <v>1</v>
      </c>
      <c r="M99">
        <v>2015</v>
      </c>
      <c r="N99">
        <v>3</v>
      </c>
      <c r="O99" t="str">
        <f t="shared" si="3"/>
        <v>Alto fuste</v>
      </c>
      <c r="P99" s="2">
        <v>42184</v>
      </c>
      <c r="Q99" t="s">
        <v>174</v>
      </c>
      <c r="R99" t="s">
        <v>302</v>
      </c>
      <c r="S99" t="s">
        <v>154</v>
      </c>
      <c r="T99" t="s">
        <v>199</v>
      </c>
      <c r="U99" t="s">
        <v>156</v>
      </c>
      <c r="V99" s="2">
        <v>44643</v>
      </c>
      <c r="W99" t="s">
        <v>670</v>
      </c>
      <c r="X99">
        <v>196.33</v>
      </c>
      <c r="Y99">
        <v>19</v>
      </c>
      <c r="Z99">
        <v>10</v>
      </c>
      <c r="AA99">
        <v>15.8</v>
      </c>
      <c r="AB99">
        <v>1</v>
      </c>
      <c r="AC99">
        <v>300.2</v>
      </c>
      <c r="AD99">
        <v>295.59426015882502</v>
      </c>
      <c r="AE99" s="2">
        <v>44636</v>
      </c>
      <c r="AF99">
        <v>81</v>
      </c>
      <c r="AG99">
        <v>6.7132101300479103</v>
      </c>
      <c r="AH99">
        <v>31.710861239014299</v>
      </c>
      <c r="AI99">
        <v>16.462499999999999</v>
      </c>
      <c r="AJ99">
        <v>23.700354610413399</v>
      </c>
      <c r="AK99">
        <v>32</v>
      </c>
      <c r="AL99">
        <v>1082.5649991581799</v>
      </c>
      <c r="AM99">
        <v>344.84037608273502</v>
      </c>
      <c r="AN99">
        <v>0.31854011200333399</v>
      </c>
      <c r="AO99" t="s">
        <v>302</v>
      </c>
      <c r="AP99" t="s">
        <v>158</v>
      </c>
      <c r="AQ99" t="s">
        <v>671</v>
      </c>
      <c r="AR99">
        <v>9</v>
      </c>
      <c r="AS99">
        <v>0.97430849924235818</v>
      </c>
      <c r="AT99" t="s">
        <v>675</v>
      </c>
      <c r="AU99" t="s">
        <v>676</v>
      </c>
      <c r="AV99">
        <v>1902</v>
      </c>
      <c r="AW99">
        <v>1051</v>
      </c>
      <c r="AX99">
        <v>788</v>
      </c>
      <c r="AY99">
        <v>63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-0.79900000000000004</v>
      </c>
      <c r="BH99">
        <v>32.691001999999997</v>
      </c>
      <c r="BI99">
        <v>16.030761999999999</v>
      </c>
      <c r="BJ99">
        <v>-0.26741300000000001</v>
      </c>
      <c r="BK99">
        <v>14.603676</v>
      </c>
      <c r="BL99">
        <v>213.26734500000001</v>
      </c>
      <c r="BM99">
        <v>0.91097799999999995</v>
      </c>
      <c r="BN99">
        <v>30.038501</v>
      </c>
      <c r="BO99">
        <v>-0.134024</v>
      </c>
      <c r="BP99">
        <v>1.068908</v>
      </c>
      <c r="BQ99">
        <v>14.379742999999999</v>
      </c>
      <c r="BR99">
        <v>5.4370010000000004</v>
      </c>
      <c r="BS99">
        <v>26.463913000000002</v>
      </c>
      <c r="BT99">
        <v>16.030761999999999</v>
      </c>
      <c r="BU99">
        <v>7.6177510000000002</v>
      </c>
      <c r="BV99">
        <v>-0.31879200000000002</v>
      </c>
      <c r="BW99">
        <v>-1.6692089999999999</v>
      </c>
      <c r="BX99">
        <v>0.47519600000000001</v>
      </c>
      <c r="BY99">
        <v>-4.1848999999999997E-2</v>
      </c>
      <c r="BZ99">
        <v>-0.21912100000000001</v>
      </c>
      <c r="CA99">
        <v>-0.40096999999999999</v>
      </c>
      <c r="CB99">
        <v>-0.1888</v>
      </c>
      <c r="CC99">
        <v>-9.5899999999999999E-2</v>
      </c>
      <c r="CD99">
        <v>4.0000000000000001E-3</v>
      </c>
      <c r="CE99">
        <v>4.3249999999999997E-2</v>
      </c>
      <c r="CF99">
        <v>9.0300000000000005E-2</v>
      </c>
      <c r="CG99">
        <v>0.2424</v>
      </c>
      <c r="CH99">
        <v>26.196498999999999</v>
      </c>
      <c r="CI99">
        <v>28.952000000000002</v>
      </c>
      <c r="CJ99">
        <v>29.729700000000001</v>
      </c>
      <c r="CK99">
        <v>30.081751000000001</v>
      </c>
      <c r="CL99">
        <v>30.3582</v>
      </c>
      <c r="CM99">
        <v>30.911701000000001</v>
      </c>
      <c r="CN99">
        <v>31.329649</v>
      </c>
      <c r="CO99">
        <v>31.958940999999999</v>
      </c>
      <c r="CP99">
        <v>0.50253099999999995</v>
      </c>
      <c r="CQ99">
        <v>21.682725000000001</v>
      </c>
      <c r="CR99">
        <v>24.074757000000002</v>
      </c>
      <c r="CS99">
        <v>1</v>
      </c>
      <c r="CT99">
        <v>51</v>
      </c>
      <c r="CU99">
        <v>13.850158</v>
      </c>
      <c r="CV99">
        <v>1</v>
      </c>
      <c r="CW99">
        <v>9.1354380000000006</v>
      </c>
      <c r="CX99">
        <v>83.456231000000002</v>
      </c>
      <c r="CY99">
        <v>0.65959100000000004</v>
      </c>
      <c r="CZ99">
        <v>14</v>
      </c>
      <c r="DA99">
        <v>0.56514600000000004</v>
      </c>
      <c r="DB99">
        <v>3.032686</v>
      </c>
      <c r="DC99">
        <v>7.5770730000000004</v>
      </c>
      <c r="DD99">
        <v>13.850158</v>
      </c>
      <c r="DE99">
        <v>5.1309230000000001</v>
      </c>
      <c r="DF99">
        <v>0.48707099999999998</v>
      </c>
      <c r="DG99">
        <v>0.29932399999999998</v>
      </c>
      <c r="DH99">
        <v>0.37046000000000001</v>
      </c>
      <c r="DI99">
        <v>9.4928999999999999E-2</v>
      </c>
      <c r="DJ99">
        <v>5.8337E-2</v>
      </c>
      <c r="DK99">
        <v>1</v>
      </c>
      <c r="DL99">
        <v>1</v>
      </c>
      <c r="DM99">
        <v>2</v>
      </c>
      <c r="DN99">
        <v>5</v>
      </c>
      <c r="DO99">
        <v>6</v>
      </c>
      <c r="DP99">
        <v>7</v>
      </c>
      <c r="DQ99">
        <v>10</v>
      </c>
      <c r="DR99">
        <v>14</v>
      </c>
      <c r="DS99">
        <v>17</v>
      </c>
      <c r="DT99">
        <v>19</v>
      </c>
      <c r="DU99">
        <v>20</v>
      </c>
      <c r="DV99">
        <v>21</v>
      </c>
      <c r="DW99">
        <v>25</v>
      </c>
      <c r="DX99">
        <v>30</v>
      </c>
      <c r="DY99">
        <v>40</v>
      </c>
      <c r="DZ99">
        <v>94.386298999999994</v>
      </c>
      <c r="EA99">
        <v>56.256571999999998</v>
      </c>
      <c r="EB99">
        <v>101.807802</v>
      </c>
      <c r="EC99">
        <v>992</v>
      </c>
      <c r="ED99">
        <v>1070</v>
      </c>
      <c r="EE99">
        <v>92.673643999999996</v>
      </c>
      <c r="EF99">
        <v>100</v>
      </c>
      <c r="EG99">
        <v>52.839117000000002</v>
      </c>
      <c r="EH99">
        <v>97.318612000000002</v>
      </c>
      <c r="EI99">
        <v>95.623215999999999</v>
      </c>
      <c r="EJ99">
        <v>176.11798300000001</v>
      </c>
      <c r="EK99">
        <v>974</v>
      </c>
      <c r="EL99">
        <v>1051</v>
      </c>
      <c r="EM99">
        <v>1005</v>
      </c>
      <c r="EN99">
        <v>1851</v>
      </c>
      <c r="EO99">
        <v>1051</v>
      </c>
      <c r="EP99">
        <v>1902</v>
      </c>
      <c r="EQ99">
        <v>49.267597000000002</v>
      </c>
    </row>
    <row r="100" spans="1:147" x14ac:dyDescent="0.25">
      <c r="A100">
        <v>2022</v>
      </c>
      <c r="B100" t="str">
        <f t="shared" si="2"/>
        <v>GN</v>
      </c>
      <c r="C100" t="s">
        <v>677</v>
      </c>
      <c r="D100" t="s">
        <v>677</v>
      </c>
      <c r="E100">
        <v>23810</v>
      </c>
      <c r="F100" t="s">
        <v>667</v>
      </c>
      <c r="G100" t="s">
        <v>668</v>
      </c>
      <c r="H100" t="s">
        <v>669</v>
      </c>
      <c r="I100">
        <v>48.56</v>
      </c>
      <c r="J100">
        <v>48.56</v>
      </c>
      <c r="K100" t="s">
        <v>199</v>
      </c>
      <c r="L100">
        <v>1</v>
      </c>
      <c r="M100">
        <v>2015</v>
      </c>
      <c r="N100">
        <v>3</v>
      </c>
      <c r="O100" t="str">
        <f t="shared" si="3"/>
        <v>Alto fuste</v>
      </c>
      <c r="P100" s="2">
        <v>42184</v>
      </c>
      <c r="Q100" t="s">
        <v>174</v>
      </c>
      <c r="R100" t="s">
        <v>302</v>
      </c>
      <c r="S100" t="s">
        <v>154</v>
      </c>
      <c r="T100" t="s">
        <v>199</v>
      </c>
      <c r="U100" t="s">
        <v>156</v>
      </c>
      <c r="V100" s="2">
        <v>44643</v>
      </c>
      <c r="W100" t="s">
        <v>670</v>
      </c>
      <c r="X100">
        <v>196.33</v>
      </c>
      <c r="Y100">
        <v>19</v>
      </c>
      <c r="Z100">
        <v>1</v>
      </c>
      <c r="AA100">
        <v>15.8</v>
      </c>
      <c r="AB100">
        <v>1</v>
      </c>
      <c r="AC100">
        <v>300.2</v>
      </c>
      <c r="AD100">
        <v>300.10856313556599</v>
      </c>
      <c r="AE100" s="2">
        <v>44643</v>
      </c>
      <c r="AF100">
        <v>81</v>
      </c>
      <c r="AG100">
        <v>6.7323750855578401</v>
      </c>
      <c r="AH100">
        <v>31.176536690361601</v>
      </c>
      <c r="AI100">
        <v>15.984375</v>
      </c>
      <c r="AJ100">
        <v>21.912349905668901</v>
      </c>
      <c r="AK100">
        <v>32</v>
      </c>
      <c r="AL100">
        <v>1066.2808040417301</v>
      </c>
      <c r="AM100">
        <v>312.62932121212202</v>
      </c>
      <c r="AN100">
        <v>0.29319605119692899</v>
      </c>
      <c r="AO100" t="s">
        <v>302</v>
      </c>
      <c r="AP100" t="s">
        <v>158</v>
      </c>
      <c r="AQ100" t="s">
        <v>671</v>
      </c>
      <c r="AR100">
        <v>9</v>
      </c>
      <c r="AS100">
        <v>0.95965272363755827</v>
      </c>
      <c r="AT100" t="s">
        <v>678</v>
      </c>
      <c r="AU100" t="s">
        <v>679</v>
      </c>
      <c r="AV100">
        <v>3175</v>
      </c>
      <c r="AW100">
        <v>1783</v>
      </c>
      <c r="AX100">
        <v>1286</v>
      </c>
      <c r="AY100">
        <v>100</v>
      </c>
      <c r="AZ100">
        <v>6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-0.75700000000000001</v>
      </c>
      <c r="BH100">
        <v>31.670999999999999</v>
      </c>
      <c r="BI100">
        <v>16.182729999999999</v>
      </c>
      <c r="BJ100">
        <v>-0.24227000000000001</v>
      </c>
      <c r="BK100">
        <v>13.75662</v>
      </c>
      <c r="BL100">
        <v>189.24459999999999</v>
      </c>
      <c r="BM100">
        <v>0.85007999999999995</v>
      </c>
      <c r="BN100">
        <v>28.428501000000001</v>
      </c>
      <c r="BO100">
        <v>-0.26809699999999997</v>
      </c>
      <c r="BP100">
        <v>1.125613</v>
      </c>
      <c r="BQ100">
        <v>13.463253999999999</v>
      </c>
      <c r="BR100">
        <v>2.8770009999999999</v>
      </c>
      <c r="BS100">
        <v>27.145268999999999</v>
      </c>
      <c r="BT100">
        <v>16.182729999999999</v>
      </c>
      <c r="BU100">
        <v>7.1397209999999998</v>
      </c>
      <c r="BV100">
        <v>-0.75980899999999996</v>
      </c>
      <c r="BW100">
        <v>-1.435692</v>
      </c>
      <c r="BX100">
        <v>0.44119399999999998</v>
      </c>
      <c r="BY100">
        <v>-0.10642</v>
      </c>
      <c r="BZ100">
        <v>-0.20108500000000001</v>
      </c>
      <c r="CA100">
        <v>-0.41399999999999998</v>
      </c>
      <c r="CB100">
        <v>-0.19600000000000001</v>
      </c>
      <c r="CC100">
        <v>-8.8999999999999996E-2</v>
      </c>
      <c r="CD100">
        <v>1.7999999999999999E-2</v>
      </c>
      <c r="CE100">
        <v>7.0000000000000007E-2</v>
      </c>
      <c r="CF100">
        <v>0.12520000000000001</v>
      </c>
      <c r="CG100">
        <v>0.45500000000000002</v>
      </c>
      <c r="CH100">
        <v>26.902999999999999</v>
      </c>
      <c r="CI100">
        <v>27.726400000000002</v>
      </c>
      <c r="CJ100">
        <v>28.241599999999998</v>
      </c>
      <c r="CK100">
        <v>28.498501000000001</v>
      </c>
      <c r="CL100">
        <v>28.753</v>
      </c>
      <c r="CM100">
        <v>29.316199999999998</v>
      </c>
      <c r="CN100">
        <v>29.773001000000001</v>
      </c>
      <c r="CO100">
        <v>30.588260999999999</v>
      </c>
      <c r="CP100">
        <v>0.52237999999999996</v>
      </c>
      <c r="CQ100">
        <v>21.238309000000001</v>
      </c>
      <c r="CR100">
        <v>23.346235</v>
      </c>
      <c r="CS100">
        <v>1</v>
      </c>
      <c r="CT100">
        <v>59</v>
      </c>
      <c r="CU100">
        <v>16.782361999999999</v>
      </c>
      <c r="CV100">
        <v>1</v>
      </c>
      <c r="CW100">
        <v>10.934943000000001</v>
      </c>
      <c r="CX100">
        <v>119.57297199999999</v>
      </c>
      <c r="CY100">
        <v>0.65157399999999999</v>
      </c>
      <c r="CZ100">
        <v>19</v>
      </c>
      <c r="DA100">
        <v>0.26303599999999999</v>
      </c>
      <c r="DB100">
        <v>2.3333879999999998</v>
      </c>
      <c r="DC100">
        <v>9.4240750000000002</v>
      </c>
      <c r="DD100">
        <v>16.782361999999999</v>
      </c>
      <c r="DE100">
        <v>6.2194279999999997</v>
      </c>
      <c r="DF100">
        <v>0.27570099999999997</v>
      </c>
      <c r="DG100">
        <v>7.8694E-2</v>
      </c>
      <c r="DH100">
        <v>0.37059300000000001</v>
      </c>
      <c r="DI100">
        <v>4.4329E-2</v>
      </c>
      <c r="DJ100">
        <v>1.2652999999999999E-2</v>
      </c>
      <c r="DK100">
        <v>1</v>
      </c>
      <c r="DL100">
        <v>1</v>
      </c>
      <c r="DM100">
        <v>2</v>
      </c>
      <c r="DN100">
        <v>5</v>
      </c>
      <c r="DO100">
        <v>6</v>
      </c>
      <c r="DP100">
        <v>8</v>
      </c>
      <c r="DQ100">
        <v>13</v>
      </c>
      <c r="DR100">
        <v>18</v>
      </c>
      <c r="DS100">
        <v>21</v>
      </c>
      <c r="DT100">
        <v>24</v>
      </c>
      <c r="DU100">
        <v>25</v>
      </c>
      <c r="DV100">
        <v>26</v>
      </c>
      <c r="DW100">
        <v>30</v>
      </c>
      <c r="DX100">
        <v>34</v>
      </c>
      <c r="DY100">
        <v>42.260010000000001</v>
      </c>
      <c r="DZ100">
        <v>99.383061999999995</v>
      </c>
      <c r="EA100">
        <v>59.905512000000002</v>
      </c>
      <c r="EB100">
        <v>106.674145</v>
      </c>
      <c r="EC100">
        <v>1772</v>
      </c>
      <c r="ED100">
        <v>1902</v>
      </c>
      <c r="EE100">
        <v>98.205271999999994</v>
      </c>
      <c r="EF100">
        <v>100</v>
      </c>
      <c r="EG100">
        <v>56.125984000000003</v>
      </c>
      <c r="EH100">
        <v>96.125984000000003</v>
      </c>
      <c r="EI100">
        <v>99.943915000000004</v>
      </c>
      <c r="EJ100">
        <v>171.17218199999999</v>
      </c>
      <c r="EK100">
        <v>1751</v>
      </c>
      <c r="EL100">
        <v>1783</v>
      </c>
      <c r="EM100">
        <v>1782</v>
      </c>
      <c r="EN100">
        <v>3052</v>
      </c>
      <c r="EO100">
        <v>1783</v>
      </c>
      <c r="EP100">
        <v>3175</v>
      </c>
      <c r="EQ100">
        <v>51.976281</v>
      </c>
    </row>
    <row r="101" spans="1:147" x14ac:dyDescent="0.25">
      <c r="A101">
        <v>2022</v>
      </c>
      <c r="B101" t="str">
        <f t="shared" si="2"/>
        <v>GN</v>
      </c>
      <c r="C101" t="s">
        <v>680</v>
      </c>
      <c r="D101" t="s">
        <v>680</v>
      </c>
      <c r="E101">
        <v>23818</v>
      </c>
      <c r="F101" t="s">
        <v>681</v>
      </c>
      <c r="G101" t="s">
        <v>668</v>
      </c>
      <c r="H101" t="s">
        <v>682</v>
      </c>
      <c r="I101">
        <v>43.8</v>
      </c>
      <c r="J101">
        <v>43.8</v>
      </c>
      <c r="K101" t="s">
        <v>199</v>
      </c>
      <c r="L101">
        <v>1</v>
      </c>
      <c r="M101">
        <v>2015</v>
      </c>
      <c r="N101">
        <v>2</v>
      </c>
      <c r="O101" t="str">
        <f t="shared" si="3"/>
        <v>Talhadia</v>
      </c>
      <c r="P101" s="2">
        <v>42200</v>
      </c>
      <c r="Q101" t="s">
        <v>322</v>
      </c>
      <c r="R101" t="s">
        <v>164</v>
      </c>
      <c r="S101" t="s">
        <v>154</v>
      </c>
      <c r="T101" t="s">
        <v>199</v>
      </c>
      <c r="U101" t="s">
        <v>156</v>
      </c>
      <c r="V101" s="2">
        <v>44642</v>
      </c>
      <c r="W101" t="s">
        <v>670</v>
      </c>
      <c r="X101">
        <v>185.52</v>
      </c>
      <c r="Y101">
        <v>21.8</v>
      </c>
      <c r="Z101">
        <v>19</v>
      </c>
      <c r="AA101">
        <v>13</v>
      </c>
      <c r="AB101">
        <v>2</v>
      </c>
      <c r="AC101">
        <v>283.39999999999998</v>
      </c>
      <c r="AD101">
        <v>267.79673035461599</v>
      </c>
      <c r="AE101" s="2">
        <v>44642</v>
      </c>
      <c r="AF101">
        <v>80</v>
      </c>
      <c r="AG101">
        <v>6.6858316221765897</v>
      </c>
      <c r="AH101">
        <v>29.600253612100399</v>
      </c>
      <c r="AI101">
        <v>17.431999999999999</v>
      </c>
      <c r="AJ101">
        <v>22.805742382211101</v>
      </c>
      <c r="AK101">
        <v>25</v>
      </c>
      <c r="AL101">
        <v>933.54388482992601</v>
      </c>
      <c r="AM101">
        <v>308.23131095807702</v>
      </c>
      <c r="AN101">
        <v>0.33017334906995899</v>
      </c>
      <c r="AO101" t="s">
        <v>164</v>
      </c>
      <c r="AP101" t="s">
        <v>264</v>
      </c>
      <c r="AQ101" t="s">
        <v>530</v>
      </c>
      <c r="AR101">
        <v>9.99</v>
      </c>
      <c r="AS101">
        <v>0.93261034094509465</v>
      </c>
      <c r="AT101" t="s">
        <v>683</v>
      </c>
      <c r="AU101" t="s">
        <v>684</v>
      </c>
      <c r="AV101">
        <v>4332</v>
      </c>
      <c r="AW101">
        <v>2315</v>
      </c>
      <c r="AX101">
        <v>1652</v>
      </c>
      <c r="AY101">
        <v>345</v>
      </c>
      <c r="AZ101">
        <v>20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-0.93600000000000005</v>
      </c>
      <c r="BH101">
        <v>33.691001999999997</v>
      </c>
      <c r="BI101">
        <v>15.858559</v>
      </c>
      <c r="BJ101">
        <v>-0.38636500000000001</v>
      </c>
      <c r="BK101">
        <v>13.280671999999999</v>
      </c>
      <c r="BL101">
        <v>176.376237</v>
      </c>
      <c r="BM101">
        <v>0.83744499999999999</v>
      </c>
      <c r="BN101">
        <v>29.406500000000001</v>
      </c>
      <c r="BO101">
        <v>-0.12667400000000001</v>
      </c>
      <c r="BP101">
        <v>1.24814</v>
      </c>
      <c r="BQ101">
        <v>12.480357</v>
      </c>
      <c r="BR101">
        <v>11.964001</v>
      </c>
      <c r="BS101">
        <v>19.327866</v>
      </c>
      <c r="BT101">
        <v>15.858559</v>
      </c>
      <c r="BU101">
        <v>7.3266010000000001</v>
      </c>
      <c r="BV101">
        <v>-0.201733</v>
      </c>
      <c r="BW101">
        <v>-1.254562</v>
      </c>
      <c r="BX101">
        <v>0.46199699999999999</v>
      </c>
      <c r="BY101">
        <v>-2.7533999999999999E-2</v>
      </c>
      <c r="BZ101">
        <v>-0.171234</v>
      </c>
      <c r="CA101">
        <v>-0.38545000000000001</v>
      </c>
      <c r="CB101">
        <v>-0.16200000000000001</v>
      </c>
      <c r="CC101">
        <v>-4.4999999999999998E-2</v>
      </c>
      <c r="CD101">
        <v>0.127</v>
      </c>
      <c r="CE101">
        <v>0.25</v>
      </c>
      <c r="CF101">
        <v>0.49559999999999998</v>
      </c>
      <c r="CG101">
        <v>7.4798010000000001</v>
      </c>
      <c r="CH101">
        <v>18.941500000000001</v>
      </c>
      <c r="CI101">
        <v>24.9498</v>
      </c>
      <c r="CJ101">
        <v>28.878401</v>
      </c>
      <c r="CK101">
        <v>29.656500000000001</v>
      </c>
      <c r="CL101">
        <v>30.148800000000001</v>
      </c>
      <c r="CM101">
        <v>30.942800999999999</v>
      </c>
      <c r="CN101">
        <v>31.559801</v>
      </c>
      <c r="CO101">
        <v>32.405281000000002</v>
      </c>
      <c r="CP101">
        <v>0.48501300000000003</v>
      </c>
      <c r="CQ101">
        <v>20.684038000000001</v>
      </c>
      <c r="CR101">
        <v>22.945650000000001</v>
      </c>
      <c r="CS101">
        <v>1</v>
      </c>
      <c r="CT101">
        <v>42</v>
      </c>
      <c r="CU101">
        <v>10.710295</v>
      </c>
      <c r="CV101">
        <v>1</v>
      </c>
      <c r="CW101">
        <v>7.9154419999999996</v>
      </c>
      <c r="CX101">
        <v>62.654218999999998</v>
      </c>
      <c r="CY101">
        <v>0.73904999999999998</v>
      </c>
      <c r="CZ101">
        <v>12</v>
      </c>
      <c r="DA101">
        <v>0.85333300000000001</v>
      </c>
      <c r="DB101">
        <v>3.2391580000000002</v>
      </c>
      <c r="DC101">
        <v>6.5058509999999998</v>
      </c>
      <c r="DD101">
        <v>10.710295</v>
      </c>
      <c r="DE101">
        <v>4.3819460000000001</v>
      </c>
      <c r="DF101">
        <v>0.83052499999999996</v>
      </c>
      <c r="DG101">
        <v>0.30613000000000001</v>
      </c>
      <c r="DH101">
        <v>0.409134</v>
      </c>
      <c r="DI101">
        <v>0.18953300000000001</v>
      </c>
      <c r="DJ101">
        <v>6.9861999999999994E-2</v>
      </c>
      <c r="DK101">
        <v>1</v>
      </c>
      <c r="DL101">
        <v>1</v>
      </c>
      <c r="DM101">
        <v>2</v>
      </c>
      <c r="DN101">
        <v>3</v>
      </c>
      <c r="DO101">
        <v>4</v>
      </c>
      <c r="DP101">
        <v>5</v>
      </c>
      <c r="DQ101">
        <v>7</v>
      </c>
      <c r="DR101">
        <v>9</v>
      </c>
      <c r="DS101">
        <v>11.600097999999999</v>
      </c>
      <c r="DT101">
        <v>14</v>
      </c>
      <c r="DU101">
        <v>16</v>
      </c>
      <c r="DV101">
        <v>18</v>
      </c>
      <c r="DW101">
        <v>22</v>
      </c>
      <c r="DX101">
        <v>26</v>
      </c>
      <c r="DY101">
        <v>33</v>
      </c>
      <c r="DZ101">
        <v>91.403887999999995</v>
      </c>
      <c r="EA101">
        <v>63.434902999999998</v>
      </c>
      <c r="EB101">
        <v>118.704104</v>
      </c>
      <c r="EC101">
        <v>2116</v>
      </c>
      <c r="ED101">
        <v>2748</v>
      </c>
      <c r="EE101">
        <v>86.436284999999998</v>
      </c>
      <c r="EF101">
        <v>100</v>
      </c>
      <c r="EG101">
        <v>55.193905999999998</v>
      </c>
      <c r="EH101">
        <v>98.984302999999997</v>
      </c>
      <c r="EI101">
        <v>103.282937</v>
      </c>
      <c r="EJ101">
        <v>185.22678199999999</v>
      </c>
      <c r="EK101">
        <v>2001</v>
      </c>
      <c r="EL101">
        <v>2315</v>
      </c>
      <c r="EM101">
        <v>2391</v>
      </c>
      <c r="EN101">
        <v>4288</v>
      </c>
      <c r="EO101">
        <v>2315</v>
      </c>
      <c r="EP101">
        <v>4332</v>
      </c>
      <c r="EQ101">
        <v>47.978737000000002</v>
      </c>
    </row>
    <row r="102" spans="1:147" x14ac:dyDescent="0.25">
      <c r="A102">
        <v>2022</v>
      </c>
      <c r="B102" t="str">
        <f t="shared" si="2"/>
        <v>GN</v>
      </c>
      <c r="C102" t="s">
        <v>685</v>
      </c>
      <c r="D102" t="s">
        <v>685</v>
      </c>
      <c r="E102">
        <v>23819</v>
      </c>
      <c r="F102" t="s">
        <v>681</v>
      </c>
      <c r="G102" t="s">
        <v>668</v>
      </c>
      <c r="H102" t="s">
        <v>682</v>
      </c>
      <c r="I102">
        <v>43.8</v>
      </c>
      <c r="J102">
        <v>43.8</v>
      </c>
      <c r="K102" t="s">
        <v>199</v>
      </c>
      <c r="L102">
        <v>1</v>
      </c>
      <c r="M102">
        <v>2015</v>
      </c>
      <c r="N102">
        <v>2</v>
      </c>
      <c r="O102" t="str">
        <f t="shared" si="3"/>
        <v>Talhadia</v>
      </c>
      <c r="P102" s="2">
        <v>42200</v>
      </c>
      <c r="Q102" t="s">
        <v>322</v>
      </c>
      <c r="R102" t="s">
        <v>164</v>
      </c>
      <c r="S102" t="s">
        <v>154</v>
      </c>
      <c r="T102" t="s">
        <v>199</v>
      </c>
      <c r="U102" t="s">
        <v>156</v>
      </c>
      <c r="V102" s="2">
        <v>44642</v>
      </c>
      <c r="W102" t="s">
        <v>670</v>
      </c>
      <c r="X102">
        <v>185.52</v>
      </c>
      <c r="Y102">
        <v>19.5</v>
      </c>
      <c r="Z102">
        <v>4</v>
      </c>
      <c r="AA102">
        <v>16.399999999999999</v>
      </c>
      <c r="AB102">
        <v>1</v>
      </c>
      <c r="AC102">
        <v>319.8</v>
      </c>
      <c r="AD102">
        <v>318.97239483212599</v>
      </c>
      <c r="AE102" s="2">
        <v>44642</v>
      </c>
      <c r="AF102">
        <v>80</v>
      </c>
      <c r="AG102">
        <v>6.6858316221765897</v>
      </c>
      <c r="AH102">
        <v>26.7960156254981</v>
      </c>
      <c r="AI102">
        <v>16.489655172413801</v>
      </c>
      <c r="AJ102">
        <v>20.170228647306601</v>
      </c>
      <c r="AK102">
        <v>29</v>
      </c>
      <c r="AL102">
        <v>909.16958551421203</v>
      </c>
      <c r="AM102">
        <v>250.855339378726</v>
      </c>
      <c r="AN102">
        <v>0.27591699433813099</v>
      </c>
      <c r="AO102" t="s">
        <v>164</v>
      </c>
      <c r="AP102" t="s">
        <v>264</v>
      </c>
      <c r="AQ102" t="s">
        <v>530</v>
      </c>
      <c r="AR102">
        <v>9.99</v>
      </c>
      <c r="AS102">
        <v>0.90826041592869922</v>
      </c>
      <c r="AT102" t="s">
        <v>686</v>
      </c>
      <c r="AU102" t="s">
        <v>687</v>
      </c>
      <c r="AV102">
        <v>2006</v>
      </c>
      <c r="AW102">
        <v>1216</v>
      </c>
      <c r="AX102">
        <v>661</v>
      </c>
      <c r="AY102">
        <v>123</v>
      </c>
      <c r="AZ102">
        <v>6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-0.72199999999999998</v>
      </c>
      <c r="BH102">
        <v>30.597999999999999</v>
      </c>
      <c r="BI102">
        <v>10.216431</v>
      </c>
      <c r="BJ102">
        <v>-0.224857</v>
      </c>
      <c r="BK102">
        <v>10.125729</v>
      </c>
      <c r="BL102">
        <v>102.530394</v>
      </c>
      <c r="BM102">
        <v>0.99112199999999995</v>
      </c>
      <c r="BN102">
        <v>18.30875</v>
      </c>
      <c r="BO102">
        <v>0.58127799999999996</v>
      </c>
      <c r="BP102">
        <v>1.9396880000000001</v>
      </c>
      <c r="BQ102">
        <v>8.6876060000000006</v>
      </c>
      <c r="BR102">
        <v>7.9995000000000003</v>
      </c>
      <c r="BS102">
        <v>8.2933570000000003</v>
      </c>
      <c r="BT102">
        <v>10.216431</v>
      </c>
      <c r="BU102">
        <v>5.6253970000000004</v>
      </c>
      <c r="BV102">
        <v>1.159896</v>
      </c>
      <c r="BW102">
        <v>-0.210259</v>
      </c>
      <c r="BX102">
        <v>0.55062199999999994</v>
      </c>
      <c r="BY102">
        <v>0.20618900000000001</v>
      </c>
      <c r="BZ102">
        <v>-3.7377000000000001E-2</v>
      </c>
      <c r="CA102">
        <v>-0.31759999999999999</v>
      </c>
      <c r="CB102">
        <v>-0.157</v>
      </c>
      <c r="CC102">
        <v>-7.5999999999999998E-2</v>
      </c>
      <c r="CD102">
        <v>6.3E-2</v>
      </c>
      <c r="CE102">
        <v>0.14924999999999999</v>
      </c>
      <c r="CF102">
        <v>0.28599999999999998</v>
      </c>
      <c r="CG102">
        <v>4.8019999999999996</v>
      </c>
      <c r="CH102">
        <v>8.0685000000000002</v>
      </c>
      <c r="CI102">
        <v>10.545999999999999</v>
      </c>
      <c r="CJ102">
        <v>15.643499</v>
      </c>
      <c r="CK102">
        <v>18.457999999999998</v>
      </c>
      <c r="CL102">
        <v>22.042998999999998</v>
      </c>
      <c r="CM102">
        <v>27.116001000000001</v>
      </c>
      <c r="CN102">
        <v>28.474001000000001</v>
      </c>
      <c r="CO102">
        <v>29.699745</v>
      </c>
      <c r="CP102">
        <v>0.34924699999999997</v>
      </c>
      <c r="CQ102">
        <v>14.382446</v>
      </c>
      <c r="CR102">
        <v>16.880870999999999</v>
      </c>
      <c r="CS102">
        <v>1</v>
      </c>
      <c r="CT102">
        <v>49</v>
      </c>
      <c r="CU102">
        <v>16.051345999999999</v>
      </c>
      <c r="CV102">
        <v>1</v>
      </c>
      <c r="CW102">
        <v>11.280237</v>
      </c>
      <c r="CX102">
        <v>127.243746</v>
      </c>
      <c r="CY102">
        <v>0.70276000000000005</v>
      </c>
      <c r="CZ102">
        <v>15</v>
      </c>
      <c r="DA102">
        <v>0.76522199999999996</v>
      </c>
      <c r="DB102">
        <v>2.9159999999999999</v>
      </c>
      <c r="DC102">
        <v>9.1028420000000008</v>
      </c>
      <c r="DD102">
        <v>16.051345999999999</v>
      </c>
      <c r="DE102">
        <v>6.2829139999999999</v>
      </c>
      <c r="DF102">
        <v>1.0863229999999999</v>
      </c>
      <c r="DG102">
        <v>0.55802300000000005</v>
      </c>
      <c r="DH102">
        <v>0.391426</v>
      </c>
      <c r="DI102">
        <v>0.172901</v>
      </c>
      <c r="DJ102">
        <v>8.8816000000000006E-2</v>
      </c>
      <c r="DK102">
        <v>1</v>
      </c>
      <c r="DL102">
        <v>1</v>
      </c>
      <c r="DM102">
        <v>3</v>
      </c>
      <c r="DN102">
        <v>5</v>
      </c>
      <c r="DO102">
        <v>7</v>
      </c>
      <c r="DP102">
        <v>9</v>
      </c>
      <c r="DQ102">
        <v>11</v>
      </c>
      <c r="DR102">
        <v>14</v>
      </c>
      <c r="DS102">
        <v>17</v>
      </c>
      <c r="DT102">
        <v>20</v>
      </c>
      <c r="DU102">
        <v>22</v>
      </c>
      <c r="DV102">
        <v>25</v>
      </c>
      <c r="DW102">
        <v>34</v>
      </c>
      <c r="DX102">
        <v>39</v>
      </c>
      <c r="DY102">
        <v>46</v>
      </c>
      <c r="DZ102">
        <v>83.223684000000006</v>
      </c>
      <c r="EA102">
        <v>63.260218999999999</v>
      </c>
      <c r="EB102">
        <v>104.358553</v>
      </c>
      <c r="EC102">
        <v>1012</v>
      </c>
      <c r="ED102">
        <v>1269</v>
      </c>
      <c r="EE102">
        <v>56.990132000000003</v>
      </c>
      <c r="EF102">
        <v>100</v>
      </c>
      <c r="EG102">
        <v>41.226320999999999</v>
      </c>
      <c r="EH102">
        <v>97.607178000000005</v>
      </c>
      <c r="EI102">
        <v>68.009867999999997</v>
      </c>
      <c r="EJ102">
        <v>161.01973699999999</v>
      </c>
      <c r="EK102">
        <v>693</v>
      </c>
      <c r="EL102">
        <v>1216</v>
      </c>
      <c r="EM102">
        <v>827</v>
      </c>
      <c r="EN102">
        <v>1958</v>
      </c>
      <c r="EO102">
        <v>1216</v>
      </c>
      <c r="EP102">
        <v>2006</v>
      </c>
      <c r="EQ102">
        <v>33.446387000000001</v>
      </c>
    </row>
    <row r="103" spans="1:147" x14ac:dyDescent="0.25">
      <c r="A103">
        <v>2022</v>
      </c>
      <c r="B103" t="str">
        <f t="shared" si="2"/>
        <v>GN</v>
      </c>
      <c r="C103" t="s">
        <v>688</v>
      </c>
      <c r="D103" t="s">
        <v>688</v>
      </c>
      <c r="E103">
        <v>23820</v>
      </c>
      <c r="F103" t="s">
        <v>681</v>
      </c>
      <c r="G103" t="s">
        <v>668</v>
      </c>
      <c r="H103" t="s">
        <v>682</v>
      </c>
      <c r="I103">
        <v>43.8</v>
      </c>
      <c r="J103">
        <v>43.8</v>
      </c>
      <c r="K103" t="s">
        <v>199</v>
      </c>
      <c r="L103">
        <v>1</v>
      </c>
      <c r="M103">
        <v>2015</v>
      </c>
      <c r="N103">
        <v>2</v>
      </c>
      <c r="O103" t="str">
        <f t="shared" si="3"/>
        <v>Talhadia</v>
      </c>
      <c r="P103" s="2">
        <v>42200</v>
      </c>
      <c r="Q103" t="s">
        <v>322</v>
      </c>
      <c r="R103" t="s">
        <v>164</v>
      </c>
      <c r="S103" t="s">
        <v>154</v>
      </c>
      <c r="T103" t="s">
        <v>199</v>
      </c>
      <c r="U103" t="s">
        <v>156</v>
      </c>
      <c r="V103" s="2">
        <v>44642</v>
      </c>
      <c r="W103" t="s">
        <v>670</v>
      </c>
      <c r="X103">
        <v>185.52</v>
      </c>
      <c r="Y103">
        <v>21.2</v>
      </c>
      <c r="Z103">
        <v>21</v>
      </c>
      <c r="AA103">
        <v>14</v>
      </c>
      <c r="AB103">
        <v>1</v>
      </c>
      <c r="AC103">
        <v>296.8</v>
      </c>
      <c r="AD103">
        <v>277.04446894234002</v>
      </c>
      <c r="AE103" s="2">
        <v>44636</v>
      </c>
      <c r="AF103">
        <v>80</v>
      </c>
      <c r="AG103">
        <v>6.6694045174537999</v>
      </c>
      <c r="AH103">
        <v>29.061816232327601</v>
      </c>
      <c r="AI103">
        <v>16.382608695652198</v>
      </c>
      <c r="AJ103">
        <v>17.906471761989501</v>
      </c>
      <c r="AK103">
        <v>23</v>
      </c>
      <c r="AL103">
        <v>830.19163269369903</v>
      </c>
      <c r="AM103">
        <v>241.63237077733501</v>
      </c>
      <c r="AN103">
        <v>0.29105613844037098</v>
      </c>
      <c r="AO103" t="s">
        <v>164</v>
      </c>
      <c r="AP103" t="s">
        <v>264</v>
      </c>
      <c r="AQ103" t="s">
        <v>530</v>
      </c>
      <c r="AR103">
        <v>9.99</v>
      </c>
      <c r="AS103">
        <v>0.82936144106100518</v>
      </c>
      <c r="AT103" t="s">
        <v>689</v>
      </c>
      <c r="AU103" t="s">
        <v>690</v>
      </c>
      <c r="AV103">
        <v>1979</v>
      </c>
      <c r="AW103">
        <v>1067</v>
      </c>
      <c r="AX103">
        <v>786</v>
      </c>
      <c r="AY103">
        <v>124</v>
      </c>
      <c r="AZ103">
        <v>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-0.55900000000000005</v>
      </c>
      <c r="BH103">
        <v>30.780999999999999</v>
      </c>
      <c r="BI103">
        <v>12.636882</v>
      </c>
      <c r="BJ103">
        <v>-6.1539999999999997E-2</v>
      </c>
      <c r="BK103">
        <v>12.612472</v>
      </c>
      <c r="BL103">
        <v>159.074455</v>
      </c>
      <c r="BM103">
        <v>0.99806799999999996</v>
      </c>
      <c r="BN103">
        <v>26.810998999999999</v>
      </c>
      <c r="BO103">
        <v>0.15631800000000001</v>
      </c>
      <c r="BP103">
        <v>1.202388</v>
      </c>
      <c r="BQ103">
        <v>12.062010000000001</v>
      </c>
      <c r="BR103">
        <v>11.13</v>
      </c>
      <c r="BS103">
        <v>11.128539999999999</v>
      </c>
      <c r="BT103">
        <v>12.636882</v>
      </c>
      <c r="BU103">
        <v>6.8272190000000004</v>
      </c>
      <c r="BV103">
        <v>0.70095300000000005</v>
      </c>
      <c r="BW103">
        <v>-1.256094</v>
      </c>
      <c r="BX103">
        <v>0.54026099999999999</v>
      </c>
      <c r="BY103">
        <v>0.10267</v>
      </c>
      <c r="BZ103">
        <v>-0.18398300000000001</v>
      </c>
      <c r="CA103">
        <v>-0.38988</v>
      </c>
      <c r="CB103">
        <v>-0.18110000000000001</v>
      </c>
      <c r="CC103">
        <v>-0.1032</v>
      </c>
      <c r="CD103">
        <v>8.9999999999999993E-3</v>
      </c>
      <c r="CE103">
        <v>5.1999999999999998E-2</v>
      </c>
      <c r="CF103">
        <v>0.10340000000000001</v>
      </c>
      <c r="CG103">
        <v>0.2702</v>
      </c>
      <c r="CH103">
        <v>11.067</v>
      </c>
      <c r="CI103">
        <v>20.064800000000002</v>
      </c>
      <c r="CJ103">
        <v>25.685199999999998</v>
      </c>
      <c r="CK103">
        <v>26.862998999999999</v>
      </c>
      <c r="CL103">
        <v>27.575800000000001</v>
      </c>
      <c r="CM103">
        <v>28.537201</v>
      </c>
      <c r="CN103">
        <v>29.092299000000001</v>
      </c>
      <c r="CO103">
        <v>30.045760999999999</v>
      </c>
      <c r="CP103">
        <v>0.42105599999999999</v>
      </c>
      <c r="CQ103">
        <v>17.851747</v>
      </c>
      <c r="CR103">
        <v>20.294815</v>
      </c>
      <c r="CS103">
        <v>1</v>
      </c>
      <c r="CT103">
        <v>58</v>
      </c>
      <c r="CU103">
        <v>14.691763999999999</v>
      </c>
      <c r="CV103">
        <v>1</v>
      </c>
      <c r="CW103">
        <v>11.059768999999999</v>
      </c>
      <c r="CX103">
        <v>122.31849099999999</v>
      </c>
      <c r="CY103">
        <v>0.75278699999999998</v>
      </c>
      <c r="CZ103">
        <v>15</v>
      </c>
      <c r="DA103">
        <v>0.88765899999999998</v>
      </c>
      <c r="DB103">
        <v>3.1759439999999999</v>
      </c>
      <c r="DC103">
        <v>8.93933</v>
      </c>
      <c r="DD103">
        <v>14.691763999999999</v>
      </c>
      <c r="DE103">
        <v>6.1017190000000001</v>
      </c>
      <c r="DF103">
        <v>1.2300489999999999</v>
      </c>
      <c r="DG103">
        <v>0.52513500000000002</v>
      </c>
      <c r="DH103">
        <v>0.41531600000000002</v>
      </c>
      <c r="DI103">
        <v>0.20159099999999999</v>
      </c>
      <c r="DJ103">
        <v>8.6063000000000001E-2</v>
      </c>
      <c r="DK103">
        <v>1</v>
      </c>
      <c r="DL103">
        <v>1</v>
      </c>
      <c r="DM103">
        <v>2</v>
      </c>
      <c r="DN103">
        <v>5</v>
      </c>
      <c r="DO103">
        <v>6</v>
      </c>
      <c r="DP103">
        <v>7</v>
      </c>
      <c r="DQ103">
        <v>9</v>
      </c>
      <c r="DR103">
        <v>12</v>
      </c>
      <c r="DS103">
        <v>15</v>
      </c>
      <c r="DT103">
        <v>19</v>
      </c>
      <c r="DU103">
        <v>21</v>
      </c>
      <c r="DV103">
        <v>23</v>
      </c>
      <c r="DW103">
        <v>31</v>
      </c>
      <c r="DX103">
        <v>38</v>
      </c>
      <c r="DY103">
        <v>44</v>
      </c>
      <c r="DZ103">
        <v>82.380505999999997</v>
      </c>
      <c r="EA103">
        <v>52.703386000000002</v>
      </c>
      <c r="EB103">
        <v>97.750703000000001</v>
      </c>
      <c r="EC103">
        <v>879</v>
      </c>
      <c r="ED103">
        <v>1043</v>
      </c>
      <c r="EE103">
        <v>78.912840000000003</v>
      </c>
      <c r="EF103">
        <v>99.343954999999994</v>
      </c>
      <c r="EG103">
        <v>48.812531999999997</v>
      </c>
      <c r="EH103">
        <v>86.407275999999996</v>
      </c>
      <c r="EI103">
        <v>90.534208000000007</v>
      </c>
      <c r="EJ103">
        <v>160.262418</v>
      </c>
      <c r="EK103">
        <v>842</v>
      </c>
      <c r="EL103">
        <v>1060</v>
      </c>
      <c r="EM103">
        <v>966</v>
      </c>
      <c r="EN103">
        <v>1710</v>
      </c>
      <c r="EO103">
        <v>1067</v>
      </c>
      <c r="EP103">
        <v>1979</v>
      </c>
      <c r="EQ103">
        <v>41.123621999999997</v>
      </c>
    </row>
    <row r="104" spans="1:147" x14ac:dyDescent="0.25">
      <c r="A104">
        <v>2022</v>
      </c>
      <c r="B104" t="str">
        <f t="shared" si="2"/>
        <v>GN</v>
      </c>
      <c r="C104" t="s">
        <v>691</v>
      </c>
      <c r="D104" t="s">
        <v>691</v>
      </c>
      <c r="E104">
        <v>23849</v>
      </c>
      <c r="F104" t="s">
        <v>692</v>
      </c>
      <c r="G104" t="s">
        <v>693</v>
      </c>
      <c r="H104" t="s">
        <v>694</v>
      </c>
      <c r="I104">
        <v>37.979999999999997</v>
      </c>
      <c r="J104">
        <v>37.979999999999997</v>
      </c>
      <c r="K104" t="s">
        <v>277</v>
      </c>
      <c r="L104">
        <v>1</v>
      </c>
      <c r="M104">
        <v>2015</v>
      </c>
      <c r="N104">
        <v>1</v>
      </c>
      <c r="O104" t="str">
        <f t="shared" si="3"/>
        <v>Alto fuste</v>
      </c>
      <c r="P104" s="2">
        <v>42213</v>
      </c>
      <c r="Q104" t="s">
        <v>174</v>
      </c>
      <c r="R104" t="s">
        <v>695</v>
      </c>
      <c r="S104" t="s">
        <v>154</v>
      </c>
      <c r="T104" t="s">
        <v>279</v>
      </c>
      <c r="U104" t="s">
        <v>156</v>
      </c>
      <c r="V104" s="2">
        <v>44697</v>
      </c>
      <c r="W104" t="s">
        <v>696</v>
      </c>
      <c r="X104">
        <v>223.71</v>
      </c>
      <c r="Y104">
        <v>19.7</v>
      </c>
      <c r="Z104">
        <v>4</v>
      </c>
      <c r="AA104">
        <v>15.3</v>
      </c>
      <c r="AB104">
        <v>0</v>
      </c>
      <c r="AC104">
        <v>301.41000000000003</v>
      </c>
      <c r="AD104">
        <v>300.67578038881402</v>
      </c>
      <c r="AE104" s="2">
        <v>44697</v>
      </c>
      <c r="AF104">
        <v>82</v>
      </c>
      <c r="AG104">
        <v>6.8008213552361401</v>
      </c>
      <c r="AH104">
        <v>30.6778117228417</v>
      </c>
      <c r="AI104">
        <v>19.9275862068965</v>
      </c>
      <c r="AJ104">
        <v>31.453537746486401</v>
      </c>
      <c r="AK104">
        <v>29</v>
      </c>
      <c r="AL104">
        <v>964.49404612832996</v>
      </c>
      <c r="AM104">
        <v>437.79927986876402</v>
      </c>
      <c r="AN104">
        <v>0.45391600044207397</v>
      </c>
      <c r="AO104" t="s">
        <v>695</v>
      </c>
      <c r="AP104" t="s">
        <v>697</v>
      </c>
      <c r="AQ104" t="s">
        <v>304</v>
      </c>
      <c r="AR104">
        <v>9</v>
      </c>
      <c r="AS104">
        <v>0.86804464151549576</v>
      </c>
      <c r="AT104" t="s">
        <v>698</v>
      </c>
      <c r="AU104" t="s">
        <v>699</v>
      </c>
      <c r="AV104">
        <v>4761</v>
      </c>
      <c r="AW104">
        <v>2685</v>
      </c>
      <c r="AX104">
        <v>1787</v>
      </c>
      <c r="AY104">
        <v>263</v>
      </c>
      <c r="AZ104">
        <v>26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-0.91500000000000004</v>
      </c>
      <c r="BH104">
        <v>37.953999000000003</v>
      </c>
      <c r="BI104">
        <v>19.165095999999998</v>
      </c>
      <c r="BJ104">
        <v>-0.29803200000000002</v>
      </c>
      <c r="BK104">
        <v>15.550371</v>
      </c>
      <c r="BL104">
        <v>241.81405100000001</v>
      </c>
      <c r="BM104">
        <v>0.81138999999999994</v>
      </c>
      <c r="BN104">
        <v>33.661000000000001</v>
      </c>
      <c r="BO104">
        <v>-0.27757100000000001</v>
      </c>
      <c r="BP104">
        <v>1.2460599999999999</v>
      </c>
      <c r="BQ104">
        <v>14.729227</v>
      </c>
      <c r="BR104">
        <v>9.5730000000000004</v>
      </c>
      <c r="BS104">
        <v>26.25403</v>
      </c>
      <c r="BT104">
        <v>19.165095999999998</v>
      </c>
      <c r="BU104">
        <v>8.3918160000000004</v>
      </c>
      <c r="BV104">
        <v>-0.76102499999999995</v>
      </c>
      <c r="BW104">
        <v>-1.4890559999999999</v>
      </c>
      <c r="BX104">
        <v>0.43786999999999998</v>
      </c>
      <c r="BY104">
        <v>-9.0687000000000004E-2</v>
      </c>
      <c r="BZ104">
        <v>-0.17744099999999999</v>
      </c>
      <c r="CA104">
        <v>-0.44919999999999999</v>
      </c>
      <c r="CB104">
        <v>-0.187</v>
      </c>
      <c r="CC104">
        <v>-8.2000000000000003E-2</v>
      </c>
      <c r="CD104">
        <v>3.9E-2</v>
      </c>
      <c r="CE104">
        <v>0.10199999999999999</v>
      </c>
      <c r="CF104">
        <v>0.17399999999999999</v>
      </c>
      <c r="CG104">
        <v>14.308999999999999</v>
      </c>
      <c r="CH104">
        <v>25.955998999999998</v>
      </c>
      <c r="CI104">
        <v>31.718</v>
      </c>
      <c r="CJ104">
        <v>33.279998999999997</v>
      </c>
      <c r="CK104">
        <v>33.762999999999998</v>
      </c>
      <c r="CL104">
        <v>34.207999999999998</v>
      </c>
      <c r="CM104">
        <v>35.243000000000002</v>
      </c>
      <c r="CN104">
        <v>35.976002000000001</v>
      </c>
      <c r="CO104">
        <v>36.830596999999997</v>
      </c>
      <c r="CP104">
        <v>0.51661000000000001</v>
      </c>
      <c r="CQ104">
        <v>24.679224999999999</v>
      </c>
      <c r="CR104">
        <v>27.097069999999999</v>
      </c>
      <c r="CS104">
        <v>1</v>
      </c>
      <c r="CT104">
        <v>55</v>
      </c>
      <c r="CU104">
        <v>17.092838</v>
      </c>
      <c r="CV104">
        <v>1</v>
      </c>
      <c r="CW104">
        <v>11.717051</v>
      </c>
      <c r="CX104">
        <v>137.28927899999999</v>
      </c>
      <c r="CY104">
        <v>0.68549499999999997</v>
      </c>
      <c r="CZ104">
        <v>20</v>
      </c>
      <c r="DA104">
        <v>0.403304</v>
      </c>
      <c r="DB104">
        <v>2.336112</v>
      </c>
      <c r="DC104">
        <v>10.007955000000001</v>
      </c>
      <c r="DD104">
        <v>17.092838</v>
      </c>
      <c r="DE104">
        <v>6.6641750000000002</v>
      </c>
      <c r="DF104">
        <v>0.61239900000000003</v>
      </c>
      <c r="DG104">
        <v>0.152062</v>
      </c>
      <c r="DH104">
        <v>0.38988099999999998</v>
      </c>
      <c r="DI104">
        <v>9.1894000000000003E-2</v>
      </c>
      <c r="DJ104">
        <v>2.2818000000000001E-2</v>
      </c>
      <c r="DK104">
        <v>1</v>
      </c>
      <c r="DL104">
        <v>1</v>
      </c>
      <c r="DM104">
        <v>2</v>
      </c>
      <c r="DN104">
        <v>5</v>
      </c>
      <c r="DO104">
        <v>6</v>
      </c>
      <c r="DP104">
        <v>8</v>
      </c>
      <c r="DQ104">
        <v>12</v>
      </c>
      <c r="DR104">
        <v>17</v>
      </c>
      <c r="DS104">
        <v>21</v>
      </c>
      <c r="DT104">
        <v>24</v>
      </c>
      <c r="DU104">
        <v>26</v>
      </c>
      <c r="DV104">
        <v>28</v>
      </c>
      <c r="DW104">
        <v>32</v>
      </c>
      <c r="DX104">
        <v>37</v>
      </c>
      <c r="DY104">
        <v>46</v>
      </c>
      <c r="DZ104">
        <v>94.264431999999999</v>
      </c>
      <c r="EA104">
        <v>63.411048000000001</v>
      </c>
      <c r="EB104">
        <v>112.43947900000001</v>
      </c>
      <c r="EC104">
        <v>2531</v>
      </c>
      <c r="ED104">
        <v>3019</v>
      </c>
      <c r="EE104">
        <v>90.689013000000003</v>
      </c>
      <c r="EF104">
        <v>100</v>
      </c>
      <c r="EG104">
        <v>55.954630999999999</v>
      </c>
      <c r="EH104">
        <v>97.353497000000004</v>
      </c>
      <c r="EI104">
        <v>99.217877000000001</v>
      </c>
      <c r="EJ104">
        <v>172.625698</v>
      </c>
      <c r="EK104">
        <v>2435</v>
      </c>
      <c r="EL104">
        <v>2685</v>
      </c>
      <c r="EM104">
        <v>2664</v>
      </c>
      <c r="EN104">
        <v>4635</v>
      </c>
      <c r="EO104">
        <v>2685</v>
      </c>
      <c r="EP104">
        <v>4761</v>
      </c>
      <c r="EQ104">
        <v>51.098300000000002</v>
      </c>
    </row>
    <row r="105" spans="1:147" x14ac:dyDescent="0.25">
      <c r="A105">
        <v>2022</v>
      </c>
      <c r="B105" t="str">
        <f t="shared" si="2"/>
        <v>GN</v>
      </c>
      <c r="C105" t="s">
        <v>700</v>
      </c>
      <c r="D105" t="s">
        <v>700</v>
      </c>
      <c r="E105">
        <v>23854</v>
      </c>
      <c r="F105" t="s">
        <v>692</v>
      </c>
      <c r="G105" t="s">
        <v>693</v>
      </c>
      <c r="H105" t="s">
        <v>701</v>
      </c>
      <c r="I105">
        <v>28.11</v>
      </c>
      <c r="J105">
        <v>28.11</v>
      </c>
      <c r="K105" t="s">
        <v>277</v>
      </c>
      <c r="L105">
        <v>1</v>
      </c>
      <c r="M105">
        <v>2015</v>
      </c>
      <c r="N105">
        <v>1</v>
      </c>
      <c r="O105" t="str">
        <f t="shared" si="3"/>
        <v>Alto fuste</v>
      </c>
      <c r="P105" s="2">
        <v>42244</v>
      </c>
      <c r="Q105" t="s">
        <v>174</v>
      </c>
      <c r="R105" t="s">
        <v>427</v>
      </c>
      <c r="S105" t="s">
        <v>154</v>
      </c>
      <c r="T105" t="s">
        <v>279</v>
      </c>
      <c r="U105" t="s">
        <v>156</v>
      </c>
      <c r="V105" s="2">
        <v>44697</v>
      </c>
      <c r="W105" t="s">
        <v>696</v>
      </c>
      <c r="X105">
        <v>223.71</v>
      </c>
      <c r="Y105">
        <v>20</v>
      </c>
      <c r="Z105">
        <v>13</v>
      </c>
      <c r="AA105">
        <v>15</v>
      </c>
      <c r="AB105">
        <v>0</v>
      </c>
      <c r="AC105">
        <v>300</v>
      </c>
      <c r="AD105">
        <v>292.31101943557098</v>
      </c>
      <c r="AE105" s="2">
        <v>44697</v>
      </c>
      <c r="AF105">
        <v>81</v>
      </c>
      <c r="AG105">
        <v>6.7159479808350504</v>
      </c>
      <c r="AH105">
        <v>28.069063299408199</v>
      </c>
      <c r="AI105">
        <v>16.940625000000001</v>
      </c>
      <c r="AJ105">
        <v>26.0440089029264</v>
      </c>
      <c r="AK105">
        <v>32</v>
      </c>
      <c r="AL105">
        <v>1094.7243816462801</v>
      </c>
      <c r="AM105">
        <v>341.62649053058902</v>
      </c>
      <c r="AN105">
        <v>0.312066211603727</v>
      </c>
      <c r="AO105" t="s">
        <v>427</v>
      </c>
      <c r="AP105" t="s">
        <v>697</v>
      </c>
      <c r="AQ105" t="s">
        <v>304</v>
      </c>
      <c r="AR105">
        <v>9</v>
      </c>
      <c r="AS105">
        <v>0.98525194348165457</v>
      </c>
      <c r="AT105" t="s">
        <v>702</v>
      </c>
      <c r="AU105" t="s">
        <v>703</v>
      </c>
      <c r="AV105">
        <v>5603</v>
      </c>
      <c r="AW105">
        <v>2996</v>
      </c>
      <c r="AX105">
        <v>1968</v>
      </c>
      <c r="AY105">
        <v>572</v>
      </c>
      <c r="AZ105">
        <v>67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-1.8460000000000001</v>
      </c>
      <c r="BH105">
        <v>32.182999000000002</v>
      </c>
      <c r="BI105">
        <v>18.253129999999999</v>
      </c>
      <c r="BJ105">
        <v>-0.22557099999999999</v>
      </c>
      <c r="BK105">
        <v>12.486587999999999</v>
      </c>
      <c r="BL105">
        <v>155.914883</v>
      </c>
      <c r="BM105">
        <v>0.68407899999999999</v>
      </c>
      <c r="BN105">
        <v>28.611501000000001</v>
      </c>
      <c r="BO105">
        <v>-0.57745800000000003</v>
      </c>
      <c r="BP105">
        <v>1.6041030000000001</v>
      </c>
      <c r="BQ105">
        <v>11.205468</v>
      </c>
      <c r="BR105">
        <v>6.1180000000000003</v>
      </c>
      <c r="BS105">
        <v>24.416571000000001</v>
      </c>
      <c r="BT105">
        <v>18.253129999999999</v>
      </c>
      <c r="BU105">
        <v>6.7311209999999999</v>
      </c>
      <c r="BV105">
        <v>-1.309601</v>
      </c>
      <c r="BW105">
        <v>-0.666767</v>
      </c>
      <c r="BX105">
        <v>0.36876500000000001</v>
      </c>
      <c r="BY105">
        <v>-0.19455900000000001</v>
      </c>
      <c r="BZ105">
        <v>-9.9057000000000006E-2</v>
      </c>
      <c r="CA105">
        <v>-0.44297999999999998</v>
      </c>
      <c r="CB105">
        <v>-0.16400000000000001</v>
      </c>
      <c r="CC105">
        <v>-5.0999999999999997E-2</v>
      </c>
      <c r="CD105">
        <v>0.113</v>
      </c>
      <c r="CE105">
        <v>0.23449999999999999</v>
      </c>
      <c r="CF105">
        <v>9.6717999999999993</v>
      </c>
      <c r="CG105">
        <v>19.301200999999999</v>
      </c>
      <c r="CH105">
        <v>24.190999999999999</v>
      </c>
      <c r="CI105">
        <v>27.210198999999999</v>
      </c>
      <c r="CJ105">
        <v>28.260200999999999</v>
      </c>
      <c r="CK105">
        <v>28.846001000000001</v>
      </c>
      <c r="CL105">
        <v>29.466598999999999</v>
      </c>
      <c r="CM105">
        <v>30.509001000000001</v>
      </c>
      <c r="CN105">
        <v>30.951799000000001</v>
      </c>
      <c r="CO105">
        <v>31.549918999999999</v>
      </c>
      <c r="CP105">
        <v>0.59064700000000003</v>
      </c>
      <c r="CQ105">
        <v>22.114787</v>
      </c>
      <c r="CR105">
        <v>23.80735</v>
      </c>
      <c r="CS105">
        <v>1</v>
      </c>
      <c r="CT105">
        <v>45</v>
      </c>
      <c r="CU105">
        <v>10.248081000000001</v>
      </c>
      <c r="CV105">
        <v>1</v>
      </c>
      <c r="CW105">
        <v>7.1054079999999997</v>
      </c>
      <c r="CX105">
        <v>50.486820000000002</v>
      </c>
      <c r="CY105">
        <v>0.69333999999999996</v>
      </c>
      <c r="CZ105">
        <v>11</v>
      </c>
      <c r="DA105">
        <v>0.82680900000000002</v>
      </c>
      <c r="DB105">
        <v>3.8385959999999999</v>
      </c>
      <c r="DC105">
        <v>5.8638479999999999</v>
      </c>
      <c r="DD105">
        <v>10.248081000000001</v>
      </c>
      <c r="DE105">
        <v>3.9454020000000001</v>
      </c>
      <c r="DF105">
        <v>0.57811299999999999</v>
      </c>
      <c r="DG105">
        <v>0.224332</v>
      </c>
      <c r="DH105">
        <v>0.38498900000000003</v>
      </c>
      <c r="DI105">
        <v>0.14652799999999999</v>
      </c>
      <c r="DJ105">
        <v>5.6859E-2</v>
      </c>
      <c r="DK105">
        <v>1</v>
      </c>
      <c r="DL105">
        <v>1</v>
      </c>
      <c r="DM105">
        <v>2</v>
      </c>
      <c r="DN105">
        <v>3</v>
      </c>
      <c r="DO105">
        <v>4</v>
      </c>
      <c r="DP105">
        <v>5</v>
      </c>
      <c r="DQ105">
        <v>7</v>
      </c>
      <c r="DR105">
        <v>9</v>
      </c>
      <c r="DS105">
        <v>12</v>
      </c>
      <c r="DT105">
        <v>14</v>
      </c>
      <c r="DU105">
        <v>15</v>
      </c>
      <c r="DV105">
        <v>16</v>
      </c>
      <c r="DW105">
        <v>20</v>
      </c>
      <c r="DX105">
        <v>22</v>
      </c>
      <c r="DY105">
        <v>31</v>
      </c>
      <c r="DZ105">
        <v>98.097463000000005</v>
      </c>
      <c r="EA105">
        <v>71.568802000000005</v>
      </c>
      <c r="EB105">
        <v>133.84512699999999</v>
      </c>
      <c r="EC105">
        <v>2939</v>
      </c>
      <c r="ED105">
        <v>4010</v>
      </c>
      <c r="EE105">
        <v>95.093457999999998</v>
      </c>
      <c r="EF105">
        <v>100</v>
      </c>
      <c r="EG105">
        <v>61.84187</v>
      </c>
      <c r="EH105">
        <v>96.448330999999996</v>
      </c>
      <c r="EI105">
        <v>115.654206</v>
      </c>
      <c r="EJ105">
        <v>180.37383199999999</v>
      </c>
      <c r="EK105">
        <v>2849</v>
      </c>
      <c r="EL105">
        <v>2996</v>
      </c>
      <c r="EM105">
        <v>3465</v>
      </c>
      <c r="EN105">
        <v>5404</v>
      </c>
      <c r="EO105">
        <v>2996</v>
      </c>
      <c r="EP105">
        <v>5603</v>
      </c>
      <c r="EQ105">
        <v>56.923605000000002</v>
      </c>
    </row>
    <row r="106" spans="1:147" x14ac:dyDescent="0.25">
      <c r="A106">
        <v>2022</v>
      </c>
      <c r="B106" t="str">
        <f t="shared" si="2"/>
        <v>GN</v>
      </c>
      <c r="C106" t="s">
        <v>704</v>
      </c>
      <c r="D106" t="s">
        <v>704</v>
      </c>
      <c r="E106">
        <v>23855</v>
      </c>
      <c r="F106" t="s">
        <v>705</v>
      </c>
      <c r="G106" t="s">
        <v>706</v>
      </c>
      <c r="H106" t="s">
        <v>707</v>
      </c>
      <c r="I106">
        <v>23.27</v>
      </c>
      <c r="J106">
        <v>23.27</v>
      </c>
      <c r="K106" t="s">
        <v>277</v>
      </c>
      <c r="L106">
        <v>1</v>
      </c>
      <c r="M106">
        <v>2015</v>
      </c>
      <c r="N106">
        <v>1</v>
      </c>
      <c r="O106" t="str">
        <f t="shared" si="3"/>
        <v>Alto fuste</v>
      </c>
      <c r="P106" s="2">
        <v>42325</v>
      </c>
      <c r="Q106" t="s">
        <v>174</v>
      </c>
      <c r="R106" t="s">
        <v>164</v>
      </c>
      <c r="S106" t="s">
        <v>154</v>
      </c>
      <c r="T106" t="s">
        <v>279</v>
      </c>
      <c r="U106" t="s">
        <v>156</v>
      </c>
      <c r="V106" s="2">
        <v>44697</v>
      </c>
      <c r="W106" t="s">
        <v>708</v>
      </c>
      <c r="X106">
        <v>218.15</v>
      </c>
      <c r="Y106">
        <v>22</v>
      </c>
      <c r="Z106">
        <v>15</v>
      </c>
      <c r="AA106">
        <v>12</v>
      </c>
      <c r="AB106">
        <v>1</v>
      </c>
      <c r="AC106">
        <v>264</v>
      </c>
      <c r="AD106">
        <v>254.96557973229</v>
      </c>
      <c r="AE106" s="2">
        <v>44697</v>
      </c>
      <c r="AF106">
        <v>78</v>
      </c>
      <c r="AG106">
        <v>6.4941820670773502</v>
      </c>
      <c r="AH106">
        <v>28.080281722763999</v>
      </c>
      <c r="AI106">
        <v>15.35</v>
      </c>
      <c r="AJ106">
        <v>22.3618873579594</v>
      </c>
      <c r="AK106">
        <v>30</v>
      </c>
      <c r="AL106">
        <v>1176.62941136994</v>
      </c>
      <c r="AM106">
        <v>291.49425394735601</v>
      </c>
      <c r="AN106">
        <v>0.24773667148772999</v>
      </c>
      <c r="AO106" t="s">
        <v>164</v>
      </c>
      <c r="AP106" t="s">
        <v>697</v>
      </c>
      <c r="AQ106" t="s">
        <v>286</v>
      </c>
      <c r="AR106">
        <v>9</v>
      </c>
      <c r="AS106">
        <v>1.058966470232946</v>
      </c>
      <c r="AT106" t="s">
        <v>709</v>
      </c>
      <c r="AU106" t="s">
        <v>710</v>
      </c>
      <c r="AV106">
        <v>2532</v>
      </c>
      <c r="AW106">
        <v>1387</v>
      </c>
      <c r="AX106">
        <v>1040</v>
      </c>
      <c r="AY106">
        <v>101</v>
      </c>
      <c r="AZ106">
        <v>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-0.78700000000000003</v>
      </c>
      <c r="BH106">
        <v>32.512999999999998</v>
      </c>
      <c r="BI106">
        <v>15.96175</v>
      </c>
      <c r="BJ106">
        <v>-0.25842900000000002</v>
      </c>
      <c r="BK106">
        <v>13.582627</v>
      </c>
      <c r="BL106">
        <v>184.48776000000001</v>
      </c>
      <c r="BM106">
        <v>0.85094800000000004</v>
      </c>
      <c r="BN106">
        <v>28.271249000000001</v>
      </c>
      <c r="BO106">
        <v>-0.24517</v>
      </c>
      <c r="BP106">
        <v>1.1622619999999999</v>
      </c>
      <c r="BQ106">
        <v>13.113991</v>
      </c>
      <c r="BR106">
        <v>5.5934999999999997</v>
      </c>
      <c r="BS106">
        <v>25.332927999999999</v>
      </c>
      <c r="BT106">
        <v>15.96175</v>
      </c>
      <c r="BU106">
        <v>7.2054239999999998</v>
      </c>
      <c r="BV106">
        <v>-0.53490199999999999</v>
      </c>
      <c r="BW106">
        <v>-1.3621259999999999</v>
      </c>
      <c r="BX106">
        <v>0.45141799999999999</v>
      </c>
      <c r="BY106">
        <v>-7.4235999999999996E-2</v>
      </c>
      <c r="BZ106">
        <v>-0.18904199999999999</v>
      </c>
      <c r="CA106">
        <v>-0.42169000000000001</v>
      </c>
      <c r="CB106">
        <v>-0.18690000000000001</v>
      </c>
      <c r="CC106">
        <v>-9.3899999999999997E-2</v>
      </c>
      <c r="CD106">
        <v>2.3E-2</v>
      </c>
      <c r="CE106">
        <v>6.7000000000000004E-2</v>
      </c>
      <c r="CF106">
        <v>0.124</v>
      </c>
      <c r="CG106">
        <v>0.44640000000000002</v>
      </c>
      <c r="CH106">
        <v>25.074501000000001</v>
      </c>
      <c r="CI106">
        <v>26.903199999999998</v>
      </c>
      <c r="CJ106">
        <v>27.832999999999998</v>
      </c>
      <c r="CK106">
        <v>28.338249000000001</v>
      </c>
      <c r="CL106">
        <v>28.857800000000001</v>
      </c>
      <c r="CM106">
        <v>29.892599000000001</v>
      </c>
      <c r="CN106">
        <v>30.560449999999999</v>
      </c>
      <c r="CO106">
        <v>31.657938000000001</v>
      </c>
      <c r="CP106">
        <v>0.502965</v>
      </c>
      <c r="CQ106">
        <v>20.956917000000001</v>
      </c>
      <c r="CR106">
        <v>23.073067000000002</v>
      </c>
      <c r="CS106">
        <v>1</v>
      </c>
      <c r="CT106">
        <v>43</v>
      </c>
      <c r="CU106">
        <v>14.349921</v>
      </c>
      <c r="CV106">
        <v>1</v>
      </c>
      <c r="CW106">
        <v>9.4236930000000001</v>
      </c>
      <c r="CX106">
        <v>88.805993999999998</v>
      </c>
      <c r="CY106">
        <v>0.65670700000000004</v>
      </c>
      <c r="CZ106">
        <v>17</v>
      </c>
      <c r="DA106">
        <v>0.27727299999999999</v>
      </c>
      <c r="DB106">
        <v>2.1104080000000001</v>
      </c>
      <c r="DC106">
        <v>8.141508</v>
      </c>
      <c r="DD106">
        <v>14.349921</v>
      </c>
      <c r="DE106">
        <v>5.3862940000000004</v>
      </c>
      <c r="DF106">
        <v>0.35323199999999999</v>
      </c>
      <c r="DG106">
        <v>3.2749E-2</v>
      </c>
      <c r="DH106">
        <v>0.37535400000000002</v>
      </c>
      <c r="DI106">
        <v>6.5579999999999999E-2</v>
      </c>
      <c r="DJ106">
        <v>6.0800000000000003E-3</v>
      </c>
      <c r="DK106">
        <v>1</v>
      </c>
      <c r="DL106">
        <v>1</v>
      </c>
      <c r="DM106">
        <v>2</v>
      </c>
      <c r="DN106">
        <v>4</v>
      </c>
      <c r="DO106">
        <v>5</v>
      </c>
      <c r="DP106">
        <v>7</v>
      </c>
      <c r="DQ106">
        <v>10</v>
      </c>
      <c r="DR106">
        <v>14</v>
      </c>
      <c r="DS106">
        <v>18</v>
      </c>
      <c r="DT106">
        <v>20</v>
      </c>
      <c r="DU106">
        <v>22</v>
      </c>
      <c r="DV106">
        <v>23</v>
      </c>
      <c r="DW106">
        <v>27</v>
      </c>
      <c r="DX106">
        <v>30</v>
      </c>
      <c r="DY106">
        <v>35</v>
      </c>
      <c r="DZ106">
        <v>97.332372000000007</v>
      </c>
      <c r="EA106">
        <v>59.597155999999998</v>
      </c>
      <c r="EB106">
        <v>108.795963</v>
      </c>
      <c r="EC106">
        <v>1350</v>
      </c>
      <c r="ED106">
        <v>1509</v>
      </c>
      <c r="EE106">
        <v>93.727468999999999</v>
      </c>
      <c r="EF106">
        <v>100</v>
      </c>
      <c r="EG106">
        <v>55.766193000000001</v>
      </c>
      <c r="EH106">
        <v>96.998419999999996</v>
      </c>
      <c r="EI106">
        <v>101.802451</v>
      </c>
      <c r="EJ106">
        <v>177.07281900000001</v>
      </c>
      <c r="EK106">
        <v>1300</v>
      </c>
      <c r="EL106">
        <v>1387</v>
      </c>
      <c r="EM106">
        <v>1412</v>
      </c>
      <c r="EN106">
        <v>2456</v>
      </c>
      <c r="EO106">
        <v>1387</v>
      </c>
      <c r="EP106">
        <v>2532</v>
      </c>
      <c r="EQ106">
        <v>49.486950999999998</v>
      </c>
    </row>
    <row r="107" spans="1:147" x14ac:dyDescent="0.25">
      <c r="A107">
        <v>2022</v>
      </c>
      <c r="B107" t="str">
        <f t="shared" si="2"/>
        <v>GN</v>
      </c>
      <c r="C107" t="s">
        <v>711</v>
      </c>
      <c r="D107" t="s">
        <v>711</v>
      </c>
      <c r="E107">
        <v>23857</v>
      </c>
      <c r="F107" t="s">
        <v>705</v>
      </c>
      <c r="G107" t="s">
        <v>706</v>
      </c>
      <c r="H107" t="s">
        <v>712</v>
      </c>
      <c r="I107">
        <v>41.35</v>
      </c>
      <c r="J107">
        <v>41.35</v>
      </c>
      <c r="K107" t="s">
        <v>277</v>
      </c>
      <c r="L107">
        <v>1</v>
      </c>
      <c r="M107">
        <v>2015</v>
      </c>
      <c r="N107">
        <v>1</v>
      </c>
      <c r="O107" t="str">
        <f t="shared" si="3"/>
        <v>Alto fuste</v>
      </c>
      <c r="P107" s="2">
        <v>42327</v>
      </c>
      <c r="Q107" t="s">
        <v>174</v>
      </c>
      <c r="R107" t="s">
        <v>367</v>
      </c>
      <c r="S107" t="s">
        <v>154</v>
      </c>
      <c r="T107" t="s">
        <v>279</v>
      </c>
      <c r="U107" t="s">
        <v>156</v>
      </c>
      <c r="V107" s="2">
        <v>44697</v>
      </c>
      <c r="W107" t="s">
        <v>708</v>
      </c>
      <c r="X107">
        <v>218.15</v>
      </c>
      <c r="Y107">
        <v>22</v>
      </c>
      <c r="Z107">
        <v>12</v>
      </c>
      <c r="AA107">
        <v>12</v>
      </c>
      <c r="AB107">
        <v>5</v>
      </c>
      <c r="AC107">
        <v>264</v>
      </c>
      <c r="AD107">
        <v>257.24831980377502</v>
      </c>
      <c r="AE107" s="2">
        <v>44697</v>
      </c>
      <c r="AF107">
        <v>78</v>
      </c>
      <c r="AG107">
        <v>6.4887063655030799</v>
      </c>
      <c r="AH107">
        <v>30.318299231271499</v>
      </c>
      <c r="AI107">
        <v>17.5814814814815</v>
      </c>
      <c r="AJ107">
        <v>26.3286418268275</v>
      </c>
      <c r="AK107">
        <v>27</v>
      </c>
      <c r="AL107">
        <v>1049.56953734801</v>
      </c>
      <c r="AM107">
        <v>366.326813704519</v>
      </c>
      <c r="AN107">
        <v>0.34902576786873302</v>
      </c>
      <c r="AO107" t="s">
        <v>367</v>
      </c>
      <c r="AP107" t="s">
        <v>697</v>
      </c>
      <c r="AQ107" t="s">
        <v>304</v>
      </c>
      <c r="AR107">
        <v>9</v>
      </c>
      <c r="AS107">
        <v>0.94461258361320521</v>
      </c>
      <c r="AT107" t="s">
        <v>713</v>
      </c>
      <c r="AU107" t="s">
        <v>714</v>
      </c>
      <c r="AV107">
        <v>2889</v>
      </c>
      <c r="AW107">
        <v>1616</v>
      </c>
      <c r="AX107">
        <v>1100</v>
      </c>
      <c r="AY107">
        <v>164</v>
      </c>
      <c r="AZ107">
        <v>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-1.4</v>
      </c>
      <c r="BH107">
        <v>33.692000999999998</v>
      </c>
      <c r="BI107">
        <v>16.964109000000001</v>
      </c>
      <c r="BJ107">
        <v>-0.285968</v>
      </c>
      <c r="BK107">
        <v>14.005309</v>
      </c>
      <c r="BL107">
        <v>196.14869400000001</v>
      </c>
      <c r="BM107">
        <v>0.82558500000000001</v>
      </c>
      <c r="BN107">
        <v>29.716000999999999</v>
      </c>
      <c r="BO107">
        <v>-0.30637799999999998</v>
      </c>
      <c r="BP107">
        <v>1.2126650000000001</v>
      </c>
      <c r="BQ107">
        <v>13.378133</v>
      </c>
      <c r="BR107">
        <v>6.6950000000000003</v>
      </c>
      <c r="BS107">
        <v>24.931968999999999</v>
      </c>
      <c r="BT107">
        <v>16.964109000000001</v>
      </c>
      <c r="BU107">
        <v>7.4479749999999996</v>
      </c>
      <c r="BV107">
        <v>-0.70885500000000001</v>
      </c>
      <c r="BW107">
        <v>-1.3533949999999999</v>
      </c>
      <c r="BX107">
        <v>0.43904300000000002</v>
      </c>
      <c r="BY107">
        <v>-9.5173999999999995E-2</v>
      </c>
      <c r="BZ107">
        <v>-0.18171300000000001</v>
      </c>
      <c r="CA107">
        <v>-0.38547999999999999</v>
      </c>
      <c r="CB107">
        <v>-0.192</v>
      </c>
      <c r="CC107">
        <v>-8.6999999999999994E-2</v>
      </c>
      <c r="CD107">
        <v>1.9E-2</v>
      </c>
      <c r="CE107">
        <v>6.7000000000000004E-2</v>
      </c>
      <c r="CF107">
        <v>0.128</v>
      </c>
      <c r="CG107">
        <v>15.832796999999999</v>
      </c>
      <c r="CH107">
        <v>24.646000000000001</v>
      </c>
      <c r="CI107">
        <v>28.058001000000001</v>
      </c>
      <c r="CJ107">
        <v>29.363600000000002</v>
      </c>
      <c r="CK107">
        <v>29.783000999999999</v>
      </c>
      <c r="CL107">
        <v>30.190598999999999</v>
      </c>
      <c r="CM107">
        <v>31.133400000000002</v>
      </c>
      <c r="CN107">
        <v>31.7118</v>
      </c>
      <c r="CO107">
        <v>32.546402</v>
      </c>
      <c r="CP107">
        <v>0.52331300000000003</v>
      </c>
      <c r="CQ107">
        <v>21.996858</v>
      </c>
      <c r="CR107">
        <v>24.112649999999999</v>
      </c>
      <c r="CS107">
        <v>1</v>
      </c>
      <c r="CT107">
        <v>48</v>
      </c>
      <c r="CU107">
        <v>14.564901000000001</v>
      </c>
      <c r="CV107">
        <v>1</v>
      </c>
      <c r="CW107">
        <v>9.9541550000000001</v>
      </c>
      <c r="CX107">
        <v>99.085207999999994</v>
      </c>
      <c r="CY107">
        <v>0.68343399999999999</v>
      </c>
      <c r="CZ107">
        <v>15</v>
      </c>
      <c r="DA107">
        <v>0.61229599999999995</v>
      </c>
      <c r="DB107">
        <v>2.8836430000000002</v>
      </c>
      <c r="DC107">
        <v>8.1601920000000003</v>
      </c>
      <c r="DD107">
        <v>14.564901000000001</v>
      </c>
      <c r="DE107">
        <v>5.5950230000000003</v>
      </c>
      <c r="DF107">
        <v>0.68819600000000003</v>
      </c>
      <c r="DG107">
        <v>0.38091799999999998</v>
      </c>
      <c r="DH107">
        <v>0.38414399999999999</v>
      </c>
      <c r="DI107">
        <v>0.123002</v>
      </c>
      <c r="DJ107">
        <v>6.8081000000000003E-2</v>
      </c>
      <c r="DK107">
        <v>1</v>
      </c>
      <c r="DL107">
        <v>1</v>
      </c>
      <c r="DM107">
        <v>2</v>
      </c>
      <c r="DN107">
        <v>5</v>
      </c>
      <c r="DO107">
        <v>6</v>
      </c>
      <c r="DP107">
        <v>7</v>
      </c>
      <c r="DQ107">
        <v>11</v>
      </c>
      <c r="DR107">
        <v>14</v>
      </c>
      <c r="DS107">
        <v>17</v>
      </c>
      <c r="DT107">
        <v>19</v>
      </c>
      <c r="DU107">
        <v>21</v>
      </c>
      <c r="DV107">
        <v>23</v>
      </c>
      <c r="DW107">
        <v>28</v>
      </c>
      <c r="DX107">
        <v>33</v>
      </c>
      <c r="DY107">
        <v>41.120117</v>
      </c>
      <c r="DZ107">
        <v>92.264850999999993</v>
      </c>
      <c r="EA107">
        <v>60.782277999999998</v>
      </c>
      <c r="EB107">
        <v>108.663366</v>
      </c>
      <c r="EC107">
        <v>1491</v>
      </c>
      <c r="ED107">
        <v>1756</v>
      </c>
      <c r="EE107">
        <v>91.398515000000003</v>
      </c>
      <c r="EF107">
        <v>100</v>
      </c>
      <c r="EG107">
        <v>59.397714999999998</v>
      </c>
      <c r="EH107">
        <v>97.577016</v>
      </c>
      <c r="EI107">
        <v>106.188119</v>
      </c>
      <c r="EJ107">
        <v>174.44306900000001</v>
      </c>
      <c r="EK107">
        <v>1477</v>
      </c>
      <c r="EL107">
        <v>1616</v>
      </c>
      <c r="EM107">
        <v>1716</v>
      </c>
      <c r="EN107">
        <v>2819</v>
      </c>
      <c r="EO107">
        <v>1616</v>
      </c>
      <c r="EP107">
        <v>2889</v>
      </c>
      <c r="EQ107">
        <v>51.133955999999998</v>
      </c>
    </row>
    <row r="108" spans="1:147" x14ac:dyDescent="0.25">
      <c r="A108">
        <v>2022</v>
      </c>
      <c r="B108" t="str">
        <f t="shared" si="2"/>
        <v>GN</v>
      </c>
      <c r="C108" t="s">
        <v>715</v>
      </c>
      <c r="D108" t="s">
        <v>715</v>
      </c>
      <c r="E108">
        <v>23858</v>
      </c>
      <c r="F108" t="s">
        <v>705</v>
      </c>
      <c r="G108" t="s">
        <v>706</v>
      </c>
      <c r="H108" t="s">
        <v>716</v>
      </c>
      <c r="I108">
        <v>27.7</v>
      </c>
      <c r="J108">
        <v>27.7</v>
      </c>
      <c r="K108" t="s">
        <v>277</v>
      </c>
      <c r="L108">
        <v>1</v>
      </c>
      <c r="M108">
        <v>2015</v>
      </c>
      <c r="N108">
        <v>1</v>
      </c>
      <c r="O108" t="str">
        <f t="shared" si="3"/>
        <v>Alto fuste</v>
      </c>
      <c r="P108" s="2">
        <v>42328</v>
      </c>
      <c r="Q108" t="s">
        <v>174</v>
      </c>
      <c r="R108" t="s">
        <v>695</v>
      </c>
      <c r="S108" t="s">
        <v>154</v>
      </c>
      <c r="T108" t="s">
        <v>279</v>
      </c>
      <c r="U108" t="s">
        <v>156</v>
      </c>
      <c r="V108" s="2">
        <v>44697</v>
      </c>
      <c r="W108" t="s">
        <v>708</v>
      </c>
      <c r="X108">
        <v>218.15</v>
      </c>
      <c r="Y108">
        <v>22</v>
      </c>
      <c r="Z108">
        <v>14</v>
      </c>
      <c r="AA108">
        <v>13.6</v>
      </c>
      <c r="AB108">
        <v>3</v>
      </c>
      <c r="AC108">
        <v>299.2</v>
      </c>
      <c r="AD108">
        <v>289.91461813584101</v>
      </c>
      <c r="AE108" s="2">
        <v>44697</v>
      </c>
      <c r="AF108">
        <v>78</v>
      </c>
      <c r="AG108">
        <v>6.4859685147159496</v>
      </c>
      <c r="AH108">
        <v>30.1093498674282</v>
      </c>
      <c r="AI108">
        <v>18.25</v>
      </c>
      <c r="AJ108">
        <v>18.535762415156</v>
      </c>
      <c r="AK108">
        <v>20</v>
      </c>
      <c r="AL108">
        <v>689.85828064140298</v>
      </c>
      <c r="AM108">
        <v>253.11108244017001</v>
      </c>
      <c r="AN108">
        <v>0.366903014057956</v>
      </c>
      <c r="AO108" t="s">
        <v>695</v>
      </c>
      <c r="AP108" t="s">
        <v>697</v>
      </c>
      <c r="AQ108" t="s">
        <v>304</v>
      </c>
      <c r="AR108">
        <v>9</v>
      </c>
      <c r="AS108">
        <v>0.6208724525772622</v>
      </c>
      <c r="AT108" t="s">
        <v>717</v>
      </c>
      <c r="AU108" t="s">
        <v>718</v>
      </c>
      <c r="AV108">
        <v>3493</v>
      </c>
      <c r="AW108">
        <v>1969</v>
      </c>
      <c r="AX108">
        <v>1405</v>
      </c>
      <c r="AY108">
        <v>117</v>
      </c>
      <c r="AZ108">
        <v>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-1.2649999999999999</v>
      </c>
      <c r="BH108">
        <v>29.724001000000001</v>
      </c>
      <c r="BI108">
        <v>14.423563</v>
      </c>
      <c r="BJ108">
        <v>-0.28122200000000003</v>
      </c>
      <c r="BK108">
        <v>12.456652</v>
      </c>
      <c r="BL108">
        <v>155.16817</v>
      </c>
      <c r="BM108">
        <v>0.86363199999999996</v>
      </c>
      <c r="BN108">
        <v>25.800001000000002</v>
      </c>
      <c r="BO108">
        <v>-0.22608800000000001</v>
      </c>
      <c r="BP108">
        <v>1.146738</v>
      </c>
      <c r="BQ108">
        <v>12.0838</v>
      </c>
      <c r="BR108">
        <v>5.4580000000000002</v>
      </c>
      <c r="BS108">
        <v>22.698221</v>
      </c>
      <c r="BT108">
        <v>14.423563</v>
      </c>
      <c r="BU108">
        <v>6.604959</v>
      </c>
      <c r="BV108">
        <v>-0.41467700000000002</v>
      </c>
      <c r="BW108">
        <v>-1.2549459999999999</v>
      </c>
      <c r="BX108">
        <v>0.457928</v>
      </c>
      <c r="BY108">
        <v>-6.2783000000000005E-2</v>
      </c>
      <c r="BZ108">
        <v>-0.190001</v>
      </c>
      <c r="CA108">
        <v>-0.49915999999999999</v>
      </c>
      <c r="CB108">
        <v>-0.1908</v>
      </c>
      <c r="CC108">
        <v>-8.5000000000000006E-2</v>
      </c>
      <c r="CD108">
        <v>2.1000000000000001E-2</v>
      </c>
      <c r="CE108">
        <v>7.0000000000000007E-2</v>
      </c>
      <c r="CF108">
        <v>0.12859999999999999</v>
      </c>
      <c r="CG108">
        <v>0.36659999999999998</v>
      </c>
      <c r="CH108">
        <v>22.417000000000002</v>
      </c>
      <c r="CI108">
        <v>24.503401</v>
      </c>
      <c r="CJ108">
        <v>25.367198999999999</v>
      </c>
      <c r="CK108">
        <v>25.870000999999998</v>
      </c>
      <c r="CL108">
        <v>26.3612</v>
      </c>
      <c r="CM108">
        <v>27.340799000000001</v>
      </c>
      <c r="CN108">
        <v>28.045400999999998</v>
      </c>
      <c r="CO108">
        <v>28.985641000000001</v>
      </c>
      <c r="CP108">
        <v>0.50626199999999999</v>
      </c>
      <c r="CQ108">
        <v>19.056833999999998</v>
      </c>
      <c r="CR108">
        <v>21.011403999999999</v>
      </c>
      <c r="CS108">
        <v>1</v>
      </c>
      <c r="CT108">
        <v>55</v>
      </c>
      <c r="CU108">
        <v>14.362152999999999</v>
      </c>
      <c r="CV108">
        <v>1</v>
      </c>
      <c r="CW108">
        <v>9.6657019999999996</v>
      </c>
      <c r="CX108">
        <v>93.425794999999994</v>
      </c>
      <c r="CY108">
        <v>0.67299799999999999</v>
      </c>
      <c r="CZ108">
        <v>14</v>
      </c>
      <c r="DA108">
        <v>0.67104900000000001</v>
      </c>
      <c r="DB108">
        <v>3.3601260000000002</v>
      </c>
      <c r="DC108">
        <v>7.8282959999999999</v>
      </c>
      <c r="DD108">
        <v>14.362152999999999</v>
      </c>
      <c r="DE108">
        <v>5.4006530000000001</v>
      </c>
      <c r="DF108">
        <v>0.60027699999999995</v>
      </c>
      <c r="DG108">
        <v>0.42654500000000001</v>
      </c>
      <c r="DH108">
        <v>0.37603399999999998</v>
      </c>
      <c r="DI108">
        <v>0.111149</v>
      </c>
      <c r="DJ108">
        <v>7.8979999999999995E-2</v>
      </c>
      <c r="DK108">
        <v>1</v>
      </c>
      <c r="DL108">
        <v>1</v>
      </c>
      <c r="DM108">
        <v>2</v>
      </c>
      <c r="DN108">
        <v>5</v>
      </c>
      <c r="DO108">
        <v>6</v>
      </c>
      <c r="DP108">
        <v>8</v>
      </c>
      <c r="DQ108">
        <v>11</v>
      </c>
      <c r="DR108">
        <v>14</v>
      </c>
      <c r="DS108">
        <v>17</v>
      </c>
      <c r="DT108">
        <v>19</v>
      </c>
      <c r="DU108">
        <v>20</v>
      </c>
      <c r="DV108">
        <v>22</v>
      </c>
      <c r="DW108">
        <v>26</v>
      </c>
      <c r="DX108">
        <v>31</v>
      </c>
      <c r="DY108">
        <v>43</v>
      </c>
      <c r="DZ108">
        <v>94.870492999999996</v>
      </c>
      <c r="EA108">
        <v>58.517034000000002</v>
      </c>
      <c r="EB108">
        <v>103.80904</v>
      </c>
      <c r="EC108">
        <v>1868</v>
      </c>
      <c r="ED108">
        <v>2044</v>
      </c>
      <c r="EE108">
        <v>94.210258999999994</v>
      </c>
      <c r="EF108">
        <v>100</v>
      </c>
      <c r="EG108">
        <v>56.799312999999998</v>
      </c>
      <c r="EH108">
        <v>96.993988000000002</v>
      </c>
      <c r="EI108">
        <v>100.761808</v>
      </c>
      <c r="EJ108">
        <v>172.06703899999999</v>
      </c>
      <c r="EK108">
        <v>1855</v>
      </c>
      <c r="EL108">
        <v>1969</v>
      </c>
      <c r="EM108">
        <v>1984</v>
      </c>
      <c r="EN108">
        <v>3388</v>
      </c>
      <c r="EO108">
        <v>1969</v>
      </c>
      <c r="EP108">
        <v>3493</v>
      </c>
      <c r="EQ108">
        <v>48.859442000000001</v>
      </c>
    </row>
    <row r="109" spans="1:147" x14ac:dyDescent="0.25">
      <c r="A109">
        <v>2022</v>
      </c>
      <c r="B109" t="str">
        <f t="shared" si="2"/>
        <v>GN</v>
      </c>
      <c r="C109" t="s">
        <v>719</v>
      </c>
      <c r="D109" t="s">
        <v>719</v>
      </c>
      <c r="E109">
        <v>23938</v>
      </c>
      <c r="F109" t="s">
        <v>720</v>
      </c>
      <c r="G109" t="s">
        <v>413</v>
      </c>
      <c r="H109" t="s">
        <v>721</v>
      </c>
      <c r="I109">
        <v>26.47</v>
      </c>
      <c r="J109">
        <v>26.47</v>
      </c>
      <c r="K109" t="s">
        <v>415</v>
      </c>
      <c r="L109">
        <v>1</v>
      </c>
      <c r="M109">
        <v>2015</v>
      </c>
      <c r="N109">
        <v>2</v>
      </c>
      <c r="O109" t="str">
        <f t="shared" si="3"/>
        <v>Talhadia</v>
      </c>
      <c r="P109" s="2">
        <v>42100</v>
      </c>
      <c r="Q109" t="s">
        <v>174</v>
      </c>
      <c r="R109" t="s">
        <v>660</v>
      </c>
      <c r="S109" t="s">
        <v>154</v>
      </c>
      <c r="T109" t="s">
        <v>279</v>
      </c>
      <c r="U109" t="s">
        <v>156</v>
      </c>
      <c r="V109" s="2">
        <v>44687</v>
      </c>
      <c r="W109" t="s">
        <v>416</v>
      </c>
      <c r="X109">
        <v>159.44999999999999</v>
      </c>
      <c r="Y109">
        <v>21</v>
      </c>
      <c r="Z109">
        <v>17</v>
      </c>
      <c r="AA109">
        <v>15.1</v>
      </c>
      <c r="AB109">
        <v>7</v>
      </c>
      <c r="AC109">
        <v>317.10000000000002</v>
      </c>
      <c r="AD109">
        <v>300.98390154932002</v>
      </c>
      <c r="AE109" s="2">
        <v>44687</v>
      </c>
      <c r="AF109">
        <v>85</v>
      </c>
      <c r="AG109">
        <v>7.0828199863107502</v>
      </c>
      <c r="AH109">
        <v>27.431273007996499</v>
      </c>
      <c r="AI109">
        <v>17.358620689655201</v>
      </c>
      <c r="AJ109">
        <v>24.125016665772399</v>
      </c>
      <c r="AK109">
        <v>29</v>
      </c>
      <c r="AL109">
        <v>963.50668094612297</v>
      </c>
      <c r="AM109">
        <v>326.26773629414703</v>
      </c>
      <c r="AN109">
        <v>0.33862529730854202</v>
      </c>
      <c r="AO109" t="s">
        <v>660</v>
      </c>
      <c r="AP109" t="s">
        <v>264</v>
      </c>
      <c r="AQ109" t="s">
        <v>315</v>
      </c>
      <c r="AR109">
        <v>9</v>
      </c>
      <c r="AS109">
        <v>0.86715601285151078</v>
      </c>
      <c r="AT109" t="s">
        <v>722</v>
      </c>
      <c r="AU109" t="s">
        <v>723</v>
      </c>
      <c r="AV109">
        <v>2939</v>
      </c>
      <c r="AW109">
        <v>1633</v>
      </c>
      <c r="AX109">
        <v>1171</v>
      </c>
      <c r="AY109">
        <v>128</v>
      </c>
      <c r="AZ109">
        <v>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-1.238</v>
      </c>
      <c r="BH109">
        <v>30.127001</v>
      </c>
      <c r="BI109">
        <v>13.284557</v>
      </c>
      <c r="BJ109">
        <v>-0.242286</v>
      </c>
      <c r="BK109">
        <v>13.050435</v>
      </c>
      <c r="BL109">
        <v>170.313852</v>
      </c>
      <c r="BM109">
        <v>0.98237600000000003</v>
      </c>
      <c r="BN109">
        <v>26.843999</v>
      </c>
      <c r="BO109">
        <v>2.147E-2</v>
      </c>
      <c r="BP109">
        <v>1.0840639999999999</v>
      </c>
      <c r="BQ109">
        <v>12.807803</v>
      </c>
      <c r="BR109">
        <v>12.721</v>
      </c>
      <c r="BS109">
        <v>12.692285999999999</v>
      </c>
      <c r="BT109">
        <v>13.284557</v>
      </c>
      <c r="BU109">
        <v>6.9269829999999999</v>
      </c>
      <c r="BV109">
        <v>0.26419399999999998</v>
      </c>
      <c r="BW109">
        <v>-1.4448730000000001</v>
      </c>
      <c r="BX109">
        <v>0.52143099999999998</v>
      </c>
      <c r="BY109">
        <v>3.814E-2</v>
      </c>
      <c r="BZ109">
        <v>-0.20858599999999999</v>
      </c>
      <c r="CA109">
        <v>-0.69381999999999999</v>
      </c>
      <c r="CB109">
        <v>-0.42920000000000003</v>
      </c>
      <c r="CC109">
        <v>-0.31440000000000001</v>
      </c>
      <c r="CD109">
        <v>-0.19</v>
      </c>
      <c r="CE109">
        <v>-0.13300000000000001</v>
      </c>
      <c r="CF109">
        <v>-7.3999999999999996E-2</v>
      </c>
      <c r="CG109">
        <v>8.2199999999999995E-2</v>
      </c>
      <c r="CH109">
        <v>12.45</v>
      </c>
      <c r="CI109">
        <v>24.623802000000001</v>
      </c>
      <c r="CJ109">
        <v>26.220400000000001</v>
      </c>
      <c r="CK109">
        <v>26.710999000000001</v>
      </c>
      <c r="CL109">
        <v>27.274000000000001</v>
      </c>
      <c r="CM109">
        <v>28.125601</v>
      </c>
      <c r="CN109">
        <v>28.650998999999999</v>
      </c>
      <c r="CO109">
        <v>29.370844000000002</v>
      </c>
      <c r="CP109">
        <v>0.46301799999999999</v>
      </c>
      <c r="CQ109">
        <v>18.620830999999999</v>
      </c>
      <c r="CR109">
        <v>20.936672999999999</v>
      </c>
      <c r="CS109">
        <v>1</v>
      </c>
      <c r="CT109">
        <v>60</v>
      </c>
      <c r="CU109">
        <v>18.733243000000002</v>
      </c>
      <c r="CV109">
        <v>1</v>
      </c>
      <c r="CW109">
        <v>12.910211</v>
      </c>
      <c r="CX109">
        <v>166.673541</v>
      </c>
      <c r="CY109">
        <v>0.68915999999999999</v>
      </c>
      <c r="CZ109">
        <v>22</v>
      </c>
      <c r="DA109">
        <v>0.31368499999999999</v>
      </c>
      <c r="DB109">
        <v>2.31778</v>
      </c>
      <c r="DC109">
        <v>11.100512999999999</v>
      </c>
      <c r="DD109">
        <v>18.733243000000002</v>
      </c>
      <c r="DE109">
        <v>7.3354150000000002</v>
      </c>
      <c r="DF109">
        <v>0.45477200000000001</v>
      </c>
      <c r="DG109">
        <v>0.10345699999999999</v>
      </c>
      <c r="DH109">
        <v>0.39157199999999998</v>
      </c>
      <c r="DI109">
        <v>6.1996999999999997E-2</v>
      </c>
      <c r="DJ109">
        <v>1.4104E-2</v>
      </c>
      <c r="DK109">
        <v>1</v>
      </c>
      <c r="DL109">
        <v>1</v>
      </c>
      <c r="DM109">
        <v>2</v>
      </c>
      <c r="DN109">
        <v>4</v>
      </c>
      <c r="DO109">
        <v>6</v>
      </c>
      <c r="DP109">
        <v>8</v>
      </c>
      <c r="DQ109">
        <v>14</v>
      </c>
      <c r="DR109">
        <v>19</v>
      </c>
      <c r="DS109">
        <v>24</v>
      </c>
      <c r="DT109">
        <v>27</v>
      </c>
      <c r="DU109">
        <v>28</v>
      </c>
      <c r="DV109">
        <v>30</v>
      </c>
      <c r="DW109">
        <v>35</v>
      </c>
      <c r="DX109">
        <v>39</v>
      </c>
      <c r="DY109">
        <v>51</v>
      </c>
      <c r="DZ109">
        <v>87.140232999999995</v>
      </c>
      <c r="EA109">
        <v>54.066009000000001</v>
      </c>
      <c r="EB109">
        <v>97.305572999999995</v>
      </c>
      <c r="EC109">
        <v>1423</v>
      </c>
      <c r="ED109">
        <v>1589</v>
      </c>
      <c r="EE109">
        <v>85.609307999999999</v>
      </c>
      <c r="EF109">
        <v>99.693815000000001</v>
      </c>
      <c r="EG109">
        <v>49.642735999999999</v>
      </c>
      <c r="EH109">
        <v>85.165021999999993</v>
      </c>
      <c r="EI109">
        <v>89.344763999999998</v>
      </c>
      <c r="EJ109">
        <v>153.27617900000001</v>
      </c>
      <c r="EK109">
        <v>1398</v>
      </c>
      <c r="EL109">
        <v>1628</v>
      </c>
      <c r="EM109">
        <v>1459</v>
      </c>
      <c r="EN109">
        <v>2503</v>
      </c>
      <c r="EO109">
        <v>1633</v>
      </c>
      <c r="EP109">
        <v>2939</v>
      </c>
      <c r="EQ109">
        <v>44.522888000000002</v>
      </c>
    </row>
    <row r="110" spans="1:147" x14ac:dyDescent="0.25">
      <c r="A110">
        <v>2022</v>
      </c>
      <c r="B110" t="str">
        <f t="shared" si="2"/>
        <v>RD</v>
      </c>
      <c r="C110" t="s">
        <v>724</v>
      </c>
      <c r="D110" t="s">
        <v>724</v>
      </c>
      <c r="E110">
        <v>24029</v>
      </c>
      <c r="F110" t="s">
        <v>725</v>
      </c>
      <c r="G110" t="s">
        <v>726</v>
      </c>
      <c r="H110" t="s">
        <v>727</v>
      </c>
      <c r="I110">
        <v>13.09</v>
      </c>
      <c r="J110">
        <v>13.09</v>
      </c>
      <c r="K110" t="s">
        <v>527</v>
      </c>
      <c r="L110">
        <v>1</v>
      </c>
      <c r="M110">
        <v>2015</v>
      </c>
      <c r="N110">
        <v>2</v>
      </c>
      <c r="O110" t="str">
        <f t="shared" si="3"/>
        <v>Alto fuste</v>
      </c>
      <c r="P110" s="2">
        <v>42304</v>
      </c>
      <c r="Q110" t="s">
        <v>174</v>
      </c>
      <c r="R110" t="s">
        <v>314</v>
      </c>
      <c r="S110" t="s">
        <v>154</v>
      </c>
      <c r="T110" t="s">
        <v>527</v>
      </c>
      <c r="U110" t="s">
        <v>156</v>
      </c>
      <c r="V110" s="2">
        <v>44676</v>
      </c>
      <c r="W110" t="s">
        <v>728</v>
      </c>
      <c r="X110">
        <v>56.34</v>
      </c>
      <c r="Y110">
        <v>21.2</v>
      </c>
      <c r="Z110">
        <v>8</v>
      </c>
      <c r="AA110">
        <v>16.100000000000001</v>
      </c>
      <c r="AB110">
        <v>10</v>
      </c>
      <c r="AC110">
        <v>341.32</v>
      </c>
      <c r="AD110">
        <v>332.86334361001002</v>
      </c>
      <c r="AE110" s="2">
        <v>44676</v>
      </c>
      <c r="AF110">
        <v>78</v>
      </c>
      <c r="AG110">
        <v>6.4941820670773502</v>
      </c>
      <c r="AH110">
        <v>30.673152673957699</v>
      </c>
      <c r="AI110">
        <v>17.5787878787879</v>
      </c>
      <c r="AJ110">
        <v>24.6262062792511</v>
      </c>
      <c r="AK110">
        <v>33</v>
      </c>
      <c r="AL110">
        <v>991.397840390125</v>
      </c>
      <c r="AM110">
        <v>335.84963864395002</v>
      </c>
      <c r="AN110">
        <v>0.33876373839163298</v>
      </c>
      <c r="AO110" t="s">
        <v>314</v>
      </c>
      <c r="AP110" t="s">
        <v>158</v>
      </c>
      <c r="AQ110" t="s">
        <v>286</v>
      </c>
      <c r="AR110">
        <v>9</v>
      </c>
      <c r="AS110">
        <v>0.89225805635111233</v>
      </c>
      <c r="AT110" t="s">
        <v>729</v>
      </c>
      <c r="AU110" t="s">
        <v>730</v>
      </c>
      <c r="AV110">
        <v>5015</v>
      </c>
      <c r="AW110">
        <v>2801</v>
      </c>
      <c r="AX110">
        <v>1710</v>
      </c>
      <c r="AY110">
        <v>474</v>
      </c>
      <c r="AZ110">
        <v>30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-0.91700000000000004</v>
      </c>
      <c r="BH110">
        <v>34.984000999999999</v>
      </c>
      <c r="BI110">
        <v>19.861851999999999</v>
      </c>
      <c r="BJ110">
        <v>-0.34714299999999998</v>
      </c>
      <c r="BK110">
        <v>13.409352999999999</v>
      </c>
      <c r="BL110">
        <v>179.810754</v>
      </c>
      <c r="BM110">
        <v>0.67513100000000004</v>
      </c>
      <c r="BN110">
        <v>30.9695</v>
      </c>
      <c r="BO110">
        <v>-0.62121700000000002</v>
      </c>
      <c r="BP110">
        <v>1.6512260000000001</v>
      </c>
      <c r="BQ110">
        <v>11.922184</v>
      </c>
      <c r="BR110">
        <v>6.1240019999999999</v>
      </c>
      <c r="BS110">
        <v>26.546143000000001</v>
      </c>
      <c r="BT110">
        <v>19.861851999999999</v>
      </c>
      <c r="BU110">
        <v>7.1813690000000001</v>
      </c>
      <c r="BV110">
        <v>-1.4873050000000001</v>
      </c>
      <c r="BW110">
        <v>-0.65629700000000002</v>
      </c>
      <c r="BX110">
        <v>0.361566</v>
      </c>
      <c r="BY110">
        <v>-0.20710600000000001</v>
      </c>
      <c r="BZ110">
        <v>-9.1388999999999998E-2</v>
      </c>
      <c r="CA110">
        <v>-0.39472000000000002</v>
      </c>
      <c r="CB110">
        <v>-0.14299999999999999</v>
      </c>
      <c r="CC110">
        <v>-2.9000000000000001E-2</v>
      </c>
      <c r="CD110">
        <v>0.13900000000000001</v>
      </c>
      <c r="CE110">
        <v>0.2555</v>
      </c>
      <c r="CF110">
        <v>13.898197</v>
      </c>
      <c r="CG110">
        <v>21.361000000000001</v>
      </c>
      <c r="CH110">
        <v>26.198999000000001</v>
      </c>
      <c r="CI110">
        <v>29.325400999999999</v>
      </c>
      <c r="CJ110">
        <v>30.694799</v>
      </c>
      <c r="CK110">
        <v>31.225000000000001</v>
      </c>
      <c r="CL110">
        <v>31.638200999999999</v>
      </c>
      <c r="CM110">
        <v>32.596600000000002</v>
      </c>
      <c r="CN110">
        <v>33.240901999999998</v>
      </c>
      <c r="CO110">
        <v>34.246861000000003</v>
      </c>
      <c r="CP110">
        <v>0.57878200000000002</v>
      </c>
      <c r="CQ110">
        <v>23.963891</v>
      </c>
      <c r="CR110">
        <v>25.737894000000001</v>
      </c>
      <c r="CS110">
        <v>1</v>
      </c>
      <c r="CT110">
        <v>44</v>
      </c>
      <c r="CU110">
        <v>11.236889</v>
      </c>
      <c r="CV110">
        <v>1</v>
      </c>
      <c r="CW110">
        <v>7.8279079999999999</v>
      </c>
      <c r="CX110">
        <v>61.276142</v>
      </c>
      <c r="CY110">
        <v>0.69662599999999997</v>
      </c>
      <c r="CZ110">
        <v>13</v>
      </c>
      <c r="DA110">
        <v>0.678898</v>
      </c>
      <c r="DB110">
        <v>3.0602719999999999</v>
      </c>
      <c r="DC110">
        <v>6.5343960000000001</v>
      </c>
      <c r="DD110">
        <v>11.236889</v>
      </c>
      <c r="DE110">
        <v>4.3882209999999997</v>
      </c>
      <c r="DF110">
        <v>0.61453000000000002</v>
      </c>
      <c r="DG110">
        <v>0.199654</v>
      </c>
      <c r="DH110">
        <v>0.39051900000000001</v>
      </c>
      <c r="DI110">
        <v>0.140041</v>
      </c>
      <c r="DJ110">
        <v>4.5497999999999997E-2</v>
      </c>
      <c r="DK110">
        <v>1</v>
      </c>
      <c r="DL110">
        <v>1</v>
      </c>
      <c r="DM110">
        <v>2</v>
      </c>
      <c r="DN110">
        <v>4</v>
      </c>
      <c r="DO110">
        <v>4</v>
      </c>
      <c r="DP110">
        <v>5</v>
      </c>
      <c r="DQ110">
        <v>8</v>
      </c>
      <c r="DR110">
        <v>10</v>
      </c>
      <c r="DS110">
        <v>13</v>
      </c>
      <c r="DT110">
        <v>16</v>
      </c>
      <c r="DU110">
        <v>17</v>
      </c>
      <c r="DV110">
        <v>18</v>
      </c>
      <c r="DW110">
        <v>22</v>
      </c>
      <c r="DX110">
        <v>25</v>
      </c>
      <c r="DY110">
        <v>33</v>
      </c>
      <c r="DZ110">
        <v>96.786861999999999</v>
      </c>
      <c r="EA110">
        <v>71.485543000000007</v>
      </c>
      <c r="EB110">
        <v>127.990004</v>
      </c>
      <c r="EC110">
        <v>2711</v>
      </c>
      <c r="ED110">
        <v>3585</v>
      </c>
      <c r="EE110">
        <v>94.109246999999996</v>
      </c>
      <c r="EF110">
        <v>99.964297999999999</v>
      </c>
      <c r="EG110">
        <v>63.629112999999997</v>
      </c>
      <c r="EH110">
        <v>98.524427000000003</v>
      </c>
      <c r="EI110">
        <v>113.923599</v>
      </c>
      <c r="EJ110">
        <v>176.401285</v>
      </c>
      <c r="EK110">
        <v>2636</v>
      </c>
      <c r="EL110">
        <v>2800</v>
      </c>
      <c r="EM110">
        <v>3191</v>
      </c>
      <c r="EN110">
        <v>4941</v>
      </c>
      <c r="EO110">
        <v>2801</v>
      </c>
      <c r="EP110">
        <v>5015</v>
      </c>
      <c r="EQ110">
        <v>57.089509999999997</v>
      </c>
    </row>
    <row r="111" spans="1:147" x14ac:dyDescent="0.25">
      <c r="A111">
        <v>2022</v>
      </c>
      <c r="B111" t="str">
        <f t="shared" si="2"/>
        <v>RD</v>
      </c>
      <c r="C111" t="s">
        <v>731</v>
      </c>
      <c r="D111" t="s">
        <v>731</v>
      </c>
      <c r="E111">
        <v>24030</v>
      </c>
      <c r="F111" t="s">
        <v>725</v>
      </c>
      <c r="G111" t="s">
        <v>726</v>
      </c>
      <c r="H111" t="s">
        <v>732</v>
      </c>
      <c r="I111">
        <v>18.690000000000001</v>
      </c>
      <c r="J111">
        <v>18.690000000000001</v>
      </c>
      <c r="K111" t="s">
        <v>527</v>
      </c>
      <c r="L111">
        <v>1</v>
      </c>
      <c r="M111">
        <v>2015</v>
      </c>
      <c r="N111">
        <v>2</v>
      </c>
      <c r="O111" t="str">
        <f t="shared" si="3"/>
        <v>Alto fuste</v>
      </c>
      <c r="P111" s="2">
        <v>42305</v>
      </c>
      <c r="Q111" t="s">
        <v>174</v>
      </c>
      <c r="R111" t="s">
        <v>470</v>
      </c>
      <c r="S111" t="s">
        <v>154</v>
      </c>
      <c r="T111" t="s">
        <v>527</v>
      </c>
      <c r="U111" t="s">
        <v>156</v>
      </c>
      <c r="V111" s="2">
        <v>44676</v>
      </c>
      <c r="W111" t="s">
        <v>728</v>
      </c>
      <c r="X111">
        <v>56.34</v>
      </c>
      <c r="Y111">
        <v>20.6</v>
      </c>
      <c r="Z111">
        <v>29</v>
      </c>
      <c r="AA111">
        <v>15</v>
      </c>
      <c r="AB111">
        <v>5</v>
      </c>
      <c r="AC111">
        <v>309</v>
      </c>
      <c r="AD111">
        <v>269.22907816553601</v>
      </c>
      <c r="AE111" s="2">
        <v>44676</v>
      </c>
      <c r="AF111">
        <v>78</v>
      </c>
      <c r="AG111">
        <v>6.4914442162902102</v>
      </c>
      <c r="AH111">
        <v>28.4230647704969</v>
      </c>
      <c r="AI111">
        <v>16.566666666666698</v>
      </c>
      <c r="AJ111">
        <v>19.5135194580938</v>
      </c>
      <c r="AK111">
        <v>24</v>
      </c>
      <c r="AL111">
        <v>891.43417061523996</v>
      </c>
      <c r="AM111">
        <v>246.19016555139501</v>
      </c>
      <c r="AN111">
        <v>0.27617313052009501</v>
      </c>
      <c r="AO111" t="s">
        <v>470</v>
      </c>
      <c r="AP111" t="s">
        <v>158</v>
      </c>
      <c r="AQ111" t="s">
        <v>599</v>
      </c>
      <c r="AR111">
        <v>9</v>
      </c>
      <c r="AS111">
        <v>0.80229075355371526</v>
      </c>
      <c r="AT111" t="s">
        <v>733</v>
      </c>
      <c r="AU111" t="s">
        <v>734</v>
      </c>
      <c r="AV111">
        <v>3318</v>
      </c>
      <c r="AW111">
        <v>2080</v>
      </c>
      <c r="AX111">
        <v>1158</v>
      </c>
      <c r="AY111">
        <v>79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-0.64500000000000002</v>
      </c>
      <c r="BH111">
        <v>33.582000999999998</v>
      </c>
      <c r="BI111">
        <v>16.738541000000001</v>
      </c>
      <c r="BJ111">
        <v>-0.101714</v>
      </c>
      <c r="BK111">
        <v>14.360469</v>
      </c>
      <c r="BL111">
        <v>206.22306499999999</v>
      </c>
      <c r="BM111">
        <v>0.85792800000000002</v>
      </c>
      <c r="BN111">
        <v>29.420749000000001</v>
      </c>
      <c r="BO111">
        <v>-0.125001</v>
      </c>
      <c r="BP111">
        <v>1.087615</v>
      </c>
      <c r="BQ111">
        <v>14.070491000000001</v>
      </c>
      <c r="BR111">
        <v>7.3955000000000002</v>
      </c>
      <c r="BS111">
        <v>25.039214999999999</v>
      </c>
      <c r="BT111">
        <v>16.738541000000001</v>
      </c>
      <c r="BU111">
        <v>7.6062110000000001</v>
      </c>
      <c r="BV111">
        <v>-0.36814799999999998</v>
      </c>
      <c r="BW111">
        <v>-1.548602</v>
      </c>
      <c r="BX111">
        <v>0.45441300000000001</v>
      </c>
      <c r="BY111">
        <v>-4.8401E-2</v>
      </c>
      <c r="BZ111">
        <v>-0.203597</v>
      </c>
      <c r="CA111">
        <v>-0.24</v>
      </c>
      <c r="CB111">
        <v>-8.9999999999999993E-3</v>
      </c>
      <c r="CC111">
        <v>0.1787</v>
      </c>
      <c r="CD111">
        <v>0.76859999999999995</v>
      </c>
      <c r="CE111">
        <v>1.2024999999999999</v>
      </c>
      <c r="CF111">
        <v>1.5980000000000001</v>
      </c>
      <c r="CG111">
        <v>2.4388000000000001</v>
      </c>
      <c r="CH111">
        <v>24.9375</v>
      </c>
      <c r="CI111">
        <v>29.444400999999999</v>
      </c>
      <c r="CJ111">
        <v>30.254899999999999</v>
      </c>
      <c r="CK111">
        <v>30.623249000000001</v>
      </c>
      <c r="CL111">
        <v>30.986401000000001</v>
      </c>
      <c r="CM111">
        <v>31.637501</v>
      </c>
      <c r="CN111">
        <v>32.125599000000001</v>
      </c>
      <c r="CO111">
        <v>32.766486999999998</v>
      </c>
      <c r="CP111">
        <v>0.50788999999999995</v>
      </c>
      <c r="CQ111">
        <v>22.05311</v>
      </c>
      <c r="CR111">
        <v>24.481142999999999</v>
      </c>
      <c r="CS111">
        <v>1</v>
      </c>
      <c r="CT111">
        <v>52</v>
      </c>
      <c r="CU111">
        <v>15.53918</v>
      </c>
      <c r="CV111">
        <v>1</v>
      </c>
      <c r="CW111">
        <v>10.401068</v>
      </c>
      <c r="CX111">
        <v>108.182215</v>
      </c>
      <c r="CY111">
        <v>0.66934499999999997</v>
      </c>
      <c r="CZ111">
        <v>15</v>
      </c>
      <c r="DA111">
        <v>0.56199600000000005</v>
      </c>
      <c r="DB111">
        <v>2.7868300000000001</v>
      </c>
      <c r="DC111">
        <v>8.5105419999999992</v>
      </c>
      <c r="DD111">
        <v>15.53918</v>
      </c>
      <c r="DE111">
        <v>5.8570650000000004</v>
      </c>
      <c r="DF111">
        <v>0.65453700000000004</v>
      </c>
      <c r="DG111">
        <v>0.43715300000000001</v>
      </c>
      <c r="DH111">
        <v>0.37692199999999998</v>
      </c>
      <c r="DI111">
        <v>0.111752</v>
      </c>
      <c r="DJ111">
        <v>7.4636999999999995E-2</v>
      </c>
      <c r="DK111">
        <v>1</v>
      </c>
      <c r="DL111">
        <v>1</v>
      </c>
      <c r="DM111">
        <v>2</v>
      </c>
      <c r="DN111">
        <v>5</v>
      </c>
      <c r="DO111">
        <v>7</v>
      </c>
      <c r="DP111">
        <v>8</v>
      </c>
      <c r="DQ111">
        <v>12</v>
      </c>
      <c r="DR111">
        <v>15</v>
      </c>
      <c r="DS111">
        <v>18</v>
      </c>
      <c r="DT111">
        <v>20</v>
      </c>
      <c r="DU111">
        <v>22</v>
      </c>
      <c r="DV111">
        <v>23</v>
      </c>
      <c r="DW111">
        <v>30</v>
      </c>
      <c r="DX111">
        <v>36</v>
      </c>
      <c r="DY111">
        <v>42</v>
      </c>
      <c r="DZ111">
        <v>84.182692000000003</v>
      </c>
      <c r="EA111">
        <v>56.509945999999999</v>
      </c>
      <c r="EB111">
        <v>90.144231000000005</v>
      </c>
      <c r="EC111">
        <v>1751</v>
      </c>
      <c r="ED111">
        <v>1875</v>
      </c>
      <c r="EE111">
        <v>82.115385000000003</v>
      </c>
      <c r="EF111">
        <v>99.903846000000001</v>
      </c>
      <c r="EG111">
        <v>53.465943000000003</v>
      </c>
      <c r="EH111">
        <v>97.347800000000007</v>
      </c>
      <c r="EI111">
        <v>85.288461999999996</v>
      </c>
      <c r="EJ111">
        <v>155.28846200000001</v>
      </c>
      <c r="EK111">
        <v>1708</v>
      </c>
      <c r="EL111">
        <v>2078</v>
      </c>
      <c r="EM111">
        <v>1774</v>
      </c>
      <c r="EN111">
        <v>3230</v>
      </c>
      <c r="EO111">
        <v>2080</v>
      </c>
      <c r="EP111">
        <v>3318</v>
      </c>
      <c r="EQ111">
        <v>50.085054</v>
      </c>
    </row>
    <row r="112" spans="1:147" x14ac:dyDescent="0.25">
      <c r="A112">
        <v>2022</v>
      </c>
      <c r="B112" t="str">
        <f t="shared" si="2"/>
        <v>RD</v>
      </c>
      <c r="C112" t="s">
        <v>735</v>
      </c>
      <c r="D112" t="s">
        <v>735</v>
      </c>
      <c r="E112">
        <v>24031</v>
      </c>
      <c r="F112" t="s">
        <v>725</v>
      </c>
      <c r="G112" t="s">
        <v>726</v>
      </c>
      <c r="H112" t="s">
        <v>736</v>
      </c>
      <c r="I112">
        <v>10.07</v>
      </c>
      <c r="J112">
        <v>10.07</v>
      </c>
      <c r="K112" t="s">
        <v>527</v>
      </c>
      <c r="L112">
        <v>1</v>
      </c>
      <c r="M112">
        <v>2015</v>
      </c>
      <c r="N112">
        <v>2</v>
      </c>
      <c r="O112" t="str">
        <f t="shared" si="3"/>
        <v>Alto fuste</v>
      </c>
      <c r="P112" s="2">
        <v>42305</v>
      </c>
      <c r="Q112" t="s">
        <v>174</v>
      </c>
      <c r="R112" t="s">
        <v>302</v>
      </c>
      <c r="S112" t="s">
        <v>154</v>
      </c>
      <c r="T112" t="s">
        <v>527</v>
      </c>
      <c r="U112" t="s">
        <v>156</v>
      </c>
      <c r="V112" s="2">
        <v>44676</v>
      </c>
      <c r="W112" t="s">
        <v>728</v>
      </c>
      <c r="X112">
        <v>56.34</v>
      </c>
      <c r="Y112">
        <v>19.3</v>
      </c>
      <c r="Z112">
        <v>5</v>
      </c>
      <c r="AA112">
        <v>16.100000000000001</v>
      </c>
      <c r="AB112">
        <v>4</v>
      </c>
      <c r="AC112">
        <v>310.73</v>
      </c>
      <c r="AD112">
        <v>308.79353619453599</v>
      </c>
      <c r="AE112" s="2">
        <v>44676</v>
      </c>
      <c r="AF112">
        <v>78</v>
      </c>
      <c r="AG112">
        <v>6.4914442162902102</v>
      </c>
      <c r="AH112">
        <v>30.331377872070501</v>
      </c>
      <c r="AI112">
        <v>19.218181818181801</v>
      </c>
      <c r="AJ112">
        <v>21.028102558787399</v>
      </c>
      <c r="AK112">
        <v>22</v>
      </c>
      <c r="AL112">
        <v>712.450146175996</v>
      </c>
      <c r="AM112">
        <v>280.14448592078003</v>
      </c>
      <c r="AN112">
        <v>0.39321275660399202</v>
      </c>
      <c r="AO112" t="s">
        <v>302</v>
      </c>
      <c r="AP112" t="s">
        <v>158</v>
      </c>
      <c r="AQ112" t="s">
        <v>599</v>
      </c>
      <c r="AR112">
        <v>9</v>
      </c>
      <c r="AS112">
        <v>0.64120513155839676</v>
      </c>
      <c r="AT112" t="s">
        <v>737</v>
      </c>
      <c r="AU112" t="s">
        <v>738</v>
      </c>
      <c r="AV112">
        <v>1194</v>
      </c>
      <c r="AW112">
        <v>755</v>
      </c>
      <c r="AX112">
        <v>403</v>
      </c>
      <c r="AY112">
        <v>36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-0.58799999999999997</v>
      </c>
      <c r="BH112">
        <v>35.597999999999999</v>
      </c>
      <c r="BI112">
        <v>19.203644000000001</v>
      </c>
      <c r="BJ112">
        <v>-1.3618999999999999E-2</v>
      </c>
      <c r="BK112">
        <v>14.833124</v>
      </c>
      <c r="BL112">
        <v>220.02157500000001</v>
      </c>
      <c r="BM112">
        <v>0.77241199999999999</v>
      </c>
      <c r="BN112">
        <v>31.844999999999999</v>
      </c>
      <c r="BO112">
        <v>-0.44639299999999998</v>
      </c>
      <c r="BP112">
        <v>1.306713</v>
      </c>
      <c r="BQ112">
        <v>14.018015999999999</v>
      </c>
      <c r="BR112">
        <v>5.3049999999999997</v>
      </c>
      <c r="BS112">
        <v>27.862617</v>
      </c>
      <c r="BT112">
        <v>19.203644000000001</v>
      </c>
      <c r="BU112">
        <v>7.7949109999999999</v>
      </c>
      <c r="BV112">
        <v>-1.227541</v>
      </c>
      <c r="BW112">
        <v>-1.251036</v>
      </c>
      <c r="BX112">
        <v>0.40590799999999999</v>
      </c>
      <c r="BY112">
        <v>-0.15748000000000001</v>
      </c>
      <c r="BZ112">
        <v>-0.160494</v>
      </c>
      <c r="CA112">
        <v>-0.32989000000000002</v>
      </c>
      <c r="CB112">
        <v>-0.15670000000000001</v>
      </c>
      <c r="CC112">
        <v>-6.5699999999999995E-2</v>
      </c>
      <c r="CD112">
        <v>6.8599999999999994E-2</v>
      </c>
      <c r="CE112">
        <v>0.13725000000000001</v>
      </c>
      <c r="CF112">
        <v>0.2525</v>
      </c>
      <c r="CG112">
        <v>20.993807</v>
      </c>
      <c r="CH112">
        <v>27.848998999999999</v>
      </c>
      <c r="CI112">
        <v>30.776399999999999</v>
      </c>
      <c r="CJ112">
        <v>31.635200999999999</v>
      </c>
      <c r="CK112">
        <v>31.982250000000001</v>
      </c>
      <c r="CL112">
        <v>32.389598999999997</v>
      </c>
      <c r="CM112">
        <v>33.099097999999998</v>
      </c>
      <c r="CN112">
        <v>33.790050999999998</v>
      </c>
      <c r="CO112">
        <v>34.745350000000002</v>
      </c>
      <c r="CP112">
        <v>0.54694200000000004</v>
      </c>
      <c r="CQ112">
        <v>24.261434999999999</v>
      </c>
      <c r="CR112">
        <v>26.348033000000001</v>
      </c>
      <c r="CS112">
        <v>1</v>
      </c>
      <c r="CT112">
        <v>36</v>
      </c>
      <c r="CU112">
        <v>13.284757000000001</v>
      </c>
      <c r="CV112">
        <v>1</v>
      </c>
      <c r="CW112">
        <v>8.1694739999999992</v>
      </c>
      <c r="CX112">
        <v>66.740303999999995</v>
      </c>
      <c r="CY112">
        <v>0.61495100000000003</v>
      </c>
      <c r="CZ112">
        <v>13</v>
      </c>
      <c r="DA112">
        <v>0.231128</v>
      </c>
      <c r="DB112">
        <v>2.1920790000000001</v>
      </c>
      <c r="DC112">
        <v>6.8947159999999998</v>
      </c>
      <c r="DD112">
        <v>13.284757000000001</v>
      </c>
      <c r="DE112">
        <v>4.6778259999999996</v>
      </c>
      <c r="DF112">
        <v>0.22800500000000001</v>
      </c>
      <c r="DG112">
        <v>0.179953</v>
      </c>
      <c r="DH112">
        <v>0.35211999999999999</v>
      </c>
      <c r="DI112">
        <v>4.8742000000000001E-2</v>
      </c>
      <c r="DJ112">
        <v>3.8469000000000003E-2</v>
      </c>
      <c r="DK112">
        <v>1</v>
      </c>
      <c r="DL112">
        <v>1</v>
      </c>
      <c r="DM112">
        <v>2</v>
      </c>
      <c r="DN112">
        <v>5</v>
      </c>
      <c r="DO112">
        <v>6</v>
      </c>
      <c r="DP112">
        <v>8</v>
      </c>
      <c r="DQ112">
        <v>11</v>
      </c>
      <c r="DR112">
        <v>14</v>
      </c>
      <c r="DS112">
        <v>16</v>
      </c>
      <c r="DT112">
        <v>18</v>
      </c>
      <c r="DU112">
        <v>19</v>
      </c>
      <c r="DV112">
        <v>21</v>
      </c>
      <c r="DW112">
        <v>24.699950999999999</v>
      </c>
      <c r="DX112">
        <v>27</v>
      </c>
      <c r="DY112">
        <v>32</v>
      </c>
      <c r="DZ112">
        <v>89.536423999999997</v>
      </c>
      <c r="EA112">
        <v>63.484087000000002</v>
      </c>
      <c r="EB112">
        <v>100.397351</v>
      </c>
      <c r="EC112">
        <v>676</v>
      </c>
      <c r="ED112">
        <v>758</v>
      </c>
      <c r="EE112">
        <v>89.139072999999996</v>
      </c>
      <c r="EF112">
        <v>99.072847999999993</v>
      </c>
      <c r="EG112">
        <v>61.306533000000002</v>
      </c>
      <c r="EH112">
        <v>86.850921</v>
      </c>
      <c r="EI112">
        <v>96.953642000000002</v>
      </c>
      <c r="EJ112">
        <v>137.35099299999999</v>
      </c>
      <c r="EK112">
        <v>673</v>
      </c>
      <c r="EL112">
        <v>748</v>
      </c>
      <c r="EM112">
        <v>732</v>
      </c>
      <c r="EN112">
        <v>1037</v>
      </c>
      <c r="EO112">
        <v>755</v>
      </c>
      <c r="EP112">
        <v>1194</v>
      </c>
      <c r="EQ112">
        <v>54.332515000000001</v>
      </c>
    </row>
    <row r="113" spans="1:147" x14ac:dyDescent="0.25">
      <c r="A113">
        <v>2022</v>
      </c>
      <c r="B113" t="str">
        <f t="shared" si="2"/>
        <v>RD</v>
      </c>
      <c r="C113" t="s">
        <v>739</v>
      </c>
      <c r="D113" t="s">
        <v>739</v>
      </c>
      <c r="E113">
        <v>24044</v>
      </c>
      <c r="F113" t="s">
        <v>740</v>
      </c>
      <c r="G113" t="s">
        <v>741</v>
      </c>
      <c r="H113" t="s">
        <v>742</v>
      </c>
      <c r="I113">
        <v>46.48</v>
      </c>
      <c r="J113">
        <v>46.48</v>
      </c>
      <c r="K113" t="s">
        <v>236</v>
      </c>
      <c r="L113">
        <v>1</v>
      </c>
      <c r="M113">
        <v>2015</v>
      </c>
      <c r="N113">
        <v>3</v>
      </c>
      <c r="O113" t="str">
        <f t="shared" si="3"/>
        <v>Alto fuste</v>
      </c>
      <c r="P113" s="2">
        <v>42214</v>
      </c>
      <c r="Q113" t="s">
        <v>237</v>
      </c>
      <c r="R113" t="s">
        <v>249</v>
      </c>
      <c r="S113" t="s">
        <v>154</v>
      </c>
      <c r="T113" t="s">
        <v>238</v>
      </c>
      <c r="U113" t="s">
        <v>156</v>
      </c>
      <c r="V113" s="2">
        <v>44627</v>
      </c>
      <c r="W113" t="s">
        <v>743</v>
      </c>
      <c r="X113">
        <v>137.96</v>
      </c>
      <c r="Y113">
        <v>19.7</v>
      </c>
      <c r="Z113">
        <v>18</v>
      </c>
      <c r="AA113">
        <v>15.1</v>
      </c>
      <c r="AB113">
        <v>3</v>
      </c>
      <c r="AC113">
        <v>297.47000000000003</v>
      </c>
      <c r="AD113">
        <v>282.52306250816599</v>
      </c>
      <c r="AE113" s="2">
        <v>44627</v>
      </c>
      <c r="AF113">
        <v>80</v>
      </c>
      <c r="AG113">
        <v>6.6064339493497597</v>
      </c>
      <c r="AH113">
        <v>22.074035797521798</v>
      </c>
      <c r="AI113">
        <v>13.494444444444399</v>
      </c>
      <c r="AJ113">
        <v>19.1152809969728</v>
      </c>
      <c r="AK113">
        <v>36</v>
      </c>
      <c r="AL113">
        <v>1274.2322584358801</v>
      </c>
      <c r="AM113">
        <v>201.16512766184201</v>
      </c>
      <c r="AN113">
        <v>0.15787163315797201</v>
      </c>
      <c r="AO113" t="s">
        <v>249</v>
      </c>
      <c r="AP113" t="s">
        <v>158</v>
      </c>
      <c r="AQ113" t="s">
        <v>166</v>
      </c>
      <c r="AR113">
        <v>7.5</v>
      </c>
      <c r="AS113">
        <v>0.95567419382690555</v>
      </c>
      <c r="AT113" t="s">
        <v>744</v>
      </c>
      <c r="AU113" t="s">
        <v>745</v>
      </c>
      <c r="AV113">
        <v>5272</v>
      </c>
      <c r="AW113">
        <v>2862</v>
      </c>
      <c r="AX113">
        <v>1947</v>
      </c>
      <c r="AY113">
        <v>438</v>
      </c>
      <c r="AZ113">
        <v>25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-1.1000000000000001</v>
      </c>
      <c r="BH113">
        <v>29.17</v>
      </c>
      <c r="BI113">
        <v>10.861559</v>
      </c>
      <c r="BJ113">
        <v>-0.139048</v>
      </c>
      <c r="BK113">
        <v>9.9551540000000003</v>
      </c>
      <c r="BL113">
        <v>99.105090000000004</v>
      </c>
      <c r="BM113">
        <v>0.91654899999999995</v>
      </c>
      <c r="BN113">
        <v>20.07</v>
      </c>
      <c r="BO113">
        <v>3.0317E-2</v>
      </c>
      <c r="BP113">
        <v>1.327942</v>
      </c>
      <c r="BQ113">
        <v>9.3087979999999995</v>
      </c>
      <c r="BR113">
        <v>10.845000000000001</v>
      </c>
      <c r="BS113">
        <v>13.549047</v>
      </c>
      <c r="BT113">
        <v>10.861559</v>
      </c>
      <c r="BU113">
        <v>5.4969979999999996</v>
      </c>
      <c r="BV113">
        <v>0.349713</v>
      </c>
      <c r="BW113">
        <v>-0.74162899999999998</v>
      </c>
      <c r="BX113">
        <v>0.50609700000000002</v>
      </c>
      <c r="BY113">
        <v>6.3618999999999995E-2</v>
      </c>
      <c r="BZ113">
        <v>-0.13491500000000001</v>
      </c>
      <c r="CA113">
        <v>-0.44</v>
      </c>
      <c r="CB113">
        <v>-0.21</v>
      </c>
      <c r="CC113">
        <v>-0.1</v>
      </c>
      <c r="CD113">
        <v>0.02</v>
      </c>
      <c r="CE113">
        <v>0.08</v>
      </c>
      <c r="CF113">
        <v>0.13</v>
      </c>
      <c r="CG113">
        <v>0.31</v>
      </c>
      <c r="CH113">
        <v>13.41</v>
      </c>
      <c r="CI113">
        <v>16.07</v>
      </c>
      <c r="CJ113">
        <v>19.059999000000001</v>
      </c>
      <c r="CK113">
        <v>20.149999999999999</v>
      </c>
      <c r="CL113">
        <v>21.18</v>
      </c>
      <c r="CM113">
        <v>23.628997999999999</v>
      </c>
      <c r="CN113">
        <v>24.719999000000001</v>
      </c>
      <c r="CO113">
        <v>27.112901999999998</v>
      </c>
      <c r="CP113">
        <v>0.39516200000000001</v>
      </c>
      <c r="CQ113">
        <v>14.732948</v>
      </c>
      <c r="CR113">
        <v>16.558375000000002</v>
      </c>
      <c r="CS113">
        <v>1</v>
      </c>
      <c r="CT113">
        <v>42</v>
      </c>
      <c r="CU113">
        <v>9.702769</v>
      </c>
      <c r="CV113">
        <v>1</v>
      </c>
      <c r="CW113">
        <v>7.9843710000000003</v>
      </c>
      <c r="CX113">
        <v>63.750188000000001</v>
      </c>
      <c r="CY113">
        <v>0.82289599999999996</v>
      </c>
      <c r="CZ113">
        <v>9</v>
      </c>
      <c r="DA113">
        <v>1.3645229999999999</v>
      </c>
      <c r="DB113">
        <v>4.583113</v>
      </c>
      <c r="DC113">
        <v>6.077871</v>
      </c>
      <c r="DD113">
        <v>9.702769</v>
      </c>
      <c r="DE113">
        <v>4.1935650000000004</v>
      </c>
      <c r="DF113">
        <v>1.1849449999999999</v>
      </c>
      <c r="DG113">
        <v>0.62490800000000002</v>
      </c>
      <c r="DH113">
        <v>0.432203</v>
      </c>
      <c r="DI113">
        <v>0.28256300000000001</v>
      </c>
      <c r="DJ113">
        <v>0.14901600000000001</v>
      </c>
      <c r="DK113">
        <v>1</v>
      </c>
      <c r="DL113">
        <v>1</v>
      </c>
      <c r="DM113">
        <v>2</v>
      </c>
      <c r="DN113">
        <v>3</v>
      </c>
      <c r="DO113">
        <v>4</v>
      </c>
      <c r="DP113">
        <v>5</v>
      </c>
      <c r="DQ113">
        <v>6</v>
      </c>
      <c r="DR113">
        <v>8</v>
      </c>
      <c r="DS113">
        <v>9</v>
      </c>
      <c r="DT113">
        <v>11</v>
      </c>
      <c r="DU113">
        <v>13</v>
      </c>
      <c r="DV113">
        <v>15</v>
      </c>
      <c r="DW113">
        <v>21.899902000000001</v>
      </c>
      <c r="DX113">
        <v>27</v>
      </c>
      <c r="DY113">
        <v>35</v>
      </c>
      <c r="DZ113">
        <v>85.918937999999997</v>
      </c>
      <c r="EA113">
        <v>57.454476</v>
      </c>
      <c r="EB113">
        <v>105.83508</v>
      </c>
      <c r="EC113">
        <v>2459</v>
      </c>
      <c r="ED113">
        <v>3029</v>
      </c>
      <c r="EE113">
        <v>84.346610999999996</v>
      </c>
      <c r="EF113">
        <v>99.790356000000003</v>
      </c>
      <c r="EG113">
        <v>54.969650999999999</v>
      </c>
      <c r="EH113">
        <v>91.691958</v>
      </c>
      <c r="EI113">
        <v>101.257862</v>
      </c>
      <c r="EJ113">
        <v>168.90286499999999</v>
      </c>
      <c r="EK113">
        <v>2414</v>
      </c>
      <c r="EL113">
        <v>2856</v>
      </c>
      <c r="EM113">
        <v>2898</v>
      </c>
      <c r="EN113">
        <v>4834</v>
      </c>
      <c r="EO113">
        <v>2862</v>
      </c>
      <c r="EP113">
        <v>5272</v>
      </c>
      <c r="EQ113">
        <v>39.176383999999999</v>
      </c>
    </row>
    <row r="114" spans="1:147" x14ac:dyDescent="0.25">
      <c r="A114">
        <v>2022</v>
      </c>
      <c r="B114" t="str">
        <f t="shared" si="2"/>
        <v>RD</v>
      </c>
      <c r="C114" t="s">
        <v>746</v>
      </c>
      <c r="D114" t="s">
        <v>746</v>
      </c>
      <c r="E114">
        <v>24045</v>
      </c>
      <c r="F114" t="s">
        <v>740</v>
      </c>
      <c r="G114" t="s">
        <v>741</v>
      </c>
      <c r="H114" t="s">
        <v>742</v>
      </c>
      <c r="I114">
        <v>46.48</v>
      </c>
      <c r="J114">
        <v>46.48</v>
      </c>
      <c r="K114" t="s">
        <v>236</v>
      </c>
      <c r="L114">
        <v>1</v>
      </c>
      <c r="M114">
        <v>2015</v>
      </c>
      <c r="N114">
        <v>3</v>
      </c>
      <c r="O114" t="str">
        <f t="shared" si="3"/>
        <v>Alto fuste</v>
      </c>
      <c r="P114" s="2">
        <v>42214</v>
      </c>
      <c r="Q114" t="s">
        <v>237</v>
      </c>
      <c r="R114" t="s">
        <v>249</v>
      </c>
      <c r="S114" t="s">
        <v>154</v>
      </c>
      <c r="T114" t="s">
        <v>238</v>
      </c>
      <c r="U114" t="s">
        <v>156</v>
      </c>
      <c r="V114" s="2">
        <v>44627</v>
      </c>
      <c r="W114" t="s">
        <v>743</v>
      </c>
      <c r="X114">
        <v>137.96</v>
      </c>
      <c r="Y114">
        <v>19.399999999999999</v>
      </c>
      <c r="Z114">
        <v>22</v>
      </c>
      <c r="AA114">
        <v>15.1</v>
      </c>
      <c r="AB114">
        <v>4</v>
      </c>
      <c r="AC114">
        <v>292.94</v>
      </c>
      <c r="AD114">
        <v>270.94761190319002</v>
      </c>
      <c r="AE114" s="2">
        <v>44627</v>
      </c>
      <c r="AF114">
        <v>80</v>
      </c>
      <c r="AG114">
        <v>6.6064339493497597</v>
      </c>
      <c r="AH114">
        <v>21.2869369136356</v>
      </c>
      <c r="AI114">
        <v>12.8472222222222</v>
      </c>
      <c r="AJ114">
        <v>17.8364205081824</v>
      </c>
      <c r="AK114">
        <v>36</v>
      </c>
      <c r="AL114">
        <v>1328.67013468503</v>
      </c>
      <c r="AM114">
        <v>179.25534092964099</v>
      </c>
      <c r="AN114">
        <v>0.13491335151605099</v>
      </c>
      <c r="AO114" t="s">
        <v>249</v>
      </c>
      <c r="AP114" t="s">
        <v>158</v>
      </c>
      <c r="AQ114" t="s">
        <v>166</v>
      </c>
      <c r="AR114">
        <v>7.5</v>
      </c>
      <c r="AS114">
        <v>0.99650260101377597</v>
      </c>
      <c r="AT114" t="s">
        <v>747</v>
      </c>
      <c r="AU114" t="s">
        <v>748</v>
      </c>
      <c r="AV114">
        <v>3115</v>
      </c>
      <c r="AW114">
        <v>1694</v>
      </c>
      <c r="AX114">
        <v>1206</v>
      </c>
      <c r="AY114">
        <v>205</v>
      </c>
      <c r="AZ114">
        <v>10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-1.02</v>
      </c>
      <c r="BH114">
        <v>21.5</v>
      </c>
      <c r="BI114">
        <v>10.062761</v>
      </c>
      <c r="BJ114">
        <v>-0.30507899999999999</v>
      </c>
      <c r="BK114">
        <v>9.0949349999999995</v>
      </c>
      <c r="BL114">
        <v>82.717842000000005</v>
      </c>
      <c r="BM114">
        <v>0.90382099999999999</v>
      </c>
      <c r="BN114">
        <v>19.074999999999999</v>
      </c>
      <c r="BO114">
        <v>-0.113521</v>
      </c>
      <c r="BP114">
        <v>1.137316</v>
      </c>
      <c r="BQ114">
        <v>8.7915720000000004</v>
      </c>
      <c r="BR114">
        <v>6.3200010000000004</v>
      </c>
      <c r="BS114">
        <v>14.435079999999999</v>
      </c>
      <c r="BT114">
        <v>10.062761</v>
      </c>
      <c r="BU114">
        <v>4.8796350000000004</v>
      </c>
      <c r="BV114">
        <v>-5.0192000000000001E-2</v>
      </c>
      <c r="BW114">
        <v>-0.95350999999999997</v>
      </c>
      <c r="BX114">
        <v>0.48492000000000002</v>
      </c>
      <c r="BY114">
        <v>-1.0286E-2</v>
      </c>
      <c r="BZ114">
        <v>-0.195406</v>
      </c>
      <c r="CA114">
        <v>-0.34</v>
      </c>
      <c r="CB114">
        <v>-0.18</v>
      </c>
      <c r="CC114">
        <v>-0.1</v>
      </c>
      <c r="CD114">
        <v>0</v>
      </c>
      <c r="CE114">
        <v>0.05</v>
      </c>
      <c r="CF114">
        <v>0.1</v>
      </c>
      <c r="CG114">
        <v>0.23</v>
      </c>
      <c r="CH114">
        <v>14.13</v>
      </c>
      <c r="CI114">
        <v>17.239999999999998</v>
      </c>
      <c r="CJ114">
        <v>18.57</v>
      </c>
      <c r="CK114">
        <v>19.125</v>
      </c>
      <c r="CL114">
        <v>19.5</v>
      </c>
      <c r="CM114">
        <v>20.149999999999999</v>
      </c>
      <c r="CN114">
        <v>20.552999</v>
      </c>
      <c r="CO114">
        <v>21.098602</v>
      </c>
      <c r="CP114">
        <v>0.49213000000000001</v>
      </c>
      <c r="CQ114">
        <v>13.562832999999999</v>
      </c>
      <c r="CR114">
        <v>15.080861000000001</v>
      </c>
      <c r="CS114">
        <v>1</v>
      </c>
      <c r="CT114">
        <v>51</v>
      </c>
      <c r="CU114">
        <v>16.595506</v>
      </c>
      <c r="CV114">
        <v>1</v>
      </c>
      <c r="CW114">
        <v>11.63823</v>
      </c>
      <c r="CX114">
        <v>135.44840600000001</v>
      </c>
      <c r="CY114">
        <v>0.70128800000000002</v>
      </c>
      <c r="CZ114">
        <v>19</v>
      </c>
      <c r="DA114">
        <v>0.57151600000000002</v>
      </c>
      <c r="DB114">
        <v>2.396385</v>
      </c>
      <c r="DC114">
        <v>9.7946869999999997</v>
      </c>
      <c r="DD114">
        <v>16.595506</v>
      </c>
      <c r="DE114">
        <v>6.5789879999999998</v>
      </c>
      <c r="DF114">
        <v>0.96148400000000001</v>
      </c>
      <c r="DG114">
        <v>0.27365400000000001</v>
      </c>
      <c r="DH114">
        <v>0.39643200000000001</v>
      </c>
      <c r="DI114">
        <v>0.146145</v>
      </c>
      <c r="DJ114">
        <v>4.1595E-2</v>
      </c>
      <c r="DK114">
        <v>1</v>
      </c>
      <c r="DL114">
        <v>2</v>
      </c>
      <c r="DM114">
        <v>3</v>
      </c>
      <c r="DN114">
        <v>5</v>
      </c>
      <c r="DO114">
        <v>6</v>
      </c>
      <c r="DP114">
        <v>8</v>
      </c>
      <c r="DQ114">
        <v>11</v>
      </c>
      <c r="DR114">
        <v>15</v>
      </c>
      <c r="DS114">
        <v>18.400023999999998</v>
      </c>
      <c r="DT114">
        <v>23</v>
      </c>
      <c r="DU114">
        <v>25</v>
      </c>
      <c r="DV114">
        <v>27</v>
      </c>
      <c r="DW114">
        <v>34</v>
      </c>
      <c r="DX114">
        <v>39</v>
      </c>
      <c r="DY114">
        <v>44</v>
      </c>
      <c r="DZ114">
        <v>90.731994999999998</v>
      </c>
      <c r="EA114">
        <v>56.532905</v>
      </c>
      <c r="EB114">
        <v>103.955136</v>
      </c>
      <c r="EC114">
        <v>1537</v>
      </c>
      <c r="ED114">
        <v>1761</v>
      </c>
      <c r="EE114">
        <v>89.787485000000004</v>
      </c>
      <c r="EF114">
        <v>100</v>
      </c>
      <c r="EG114">
        <v>54.606741999999997</v>
      </c>
      <c r="EH114">
        <v>98.523274000000001</v>
      </c>
      <c r="EI114">
        <v>100.413223</v>
      </c>
      <c r="EJ114">
        <v>181.16883100000001</v>
      </c>
      <c r="EK114">
        <v>1521</v>
      </c>
      <c r="EL114">
        <v>1694</v>
      </c>
      <c r="EM114">
        <v>1701</v>
      </c>
      <c r="EN114">
        <v>3069</v>
      </c>
      <c r="EO114">
        <v>1694</v>
      </c>
      <c r="EP114">
        <v>3115</v>
      </c>
      <c r="EQ114">
        <v>46.812793999999997</v>
      </c>
    </row>
    <row r="115" spans="1:147" x14ac:dyDescent="0.25">
      <c r="A115">
        <v>2022</v>
      </c>
      <c r="B115" t="str">
        <f t="shared" si="2"/>
        <v>RD</v>
      </c>
      <c r="C115" t="s">
        <v>749</v>
      </c>
      <c r="D115" t="s">
        <v>749</v>
      </c>
      <c r="E115">
        <v>24200</v>
      </c>
      <c r="F115" t="s">
        <v>750</v>
      </c>
      <c r="G115" t="s">
        <v>497</v>
      </c>
      <c r="H115" t="s">
        <v>751</v>
      </c>
      <c r="I115">
        <v>18.02</v>
      </c>
      <c r="J115">
        <v>18.02</v>
      </c>
      <c r="K115" t="s">
        <v>261</v>
      </c>
      <c r="L115">
        <v>1</v>
      </c>
      <c r="M115">
        <v>2015</v>
      </c>
      <c r="N115">
        <v>3</v>
      </c>
      <c r="O115" t="str">
        <f t="shared" si="3"/>
        <v>Alto fuste</v>
      </c>
      <c r="P115" s="2">
        <v>42076</v>
      </c>
      <c r="Q115" t="s">
        <v>237</v>
      </c>
      <c r="R115" t="s">
        <v>165</v>
      </c>
      <c r="S115" t="s">
        <v>154</v>
      </c>
      <c r="T115" t="s">
        <v>221</v>
      </c>
      <c r="U115" t="s">
        <v>156</v>
      </c>
      <c r="V115" s="2">
        <v>44641</v>
      </c>
      <c r="W115" t="s">
        <v>500</v>
      </c>
      <c r="X115">
        <v>170.85</v>
      </c>
      <c r="Y115">
        <v>19.7</v>
      </c>
      <c r="Z115">
        <v>14</v>
      </c>
      <c r="AA115">
        <v>15.4</v>
      </c>
      <c r="AB115">
        <v>2</v>
      </c>
      <c r="AC115">
        <v>303.38</v>
      </c>
      <c r="AD115">
        <v>294.18899621219401</v>
      </c>
      <c r="AE115" s="2">
        <v>44641</v>
      </c>
      <c r="AF115">
        <v>84</v>
      </c>
      <c r="AG115">
        <v>7.0225872689938402</v>
      </c>
      <c r="AH115">
        <v>24.6118475336276</v>
      </c>
      <c r="AI115">
        <v>14.592682926829299</v>
      </c>
      <c r="AJ115">
        <v>23.905055838857901</v>
      </c>
      <c r="AK115">
        <v>41</v>
      </c>
      <c r="AL115">
        <v>1393.6619155676101</v>
      </c>
      <c r="AM115">
        <v>281.46607413274</v>
      </c>
      <c r="AN115">
        <v>0.20196151662657999</v>
      </c>
      <c r="AO115" t="s">
        <v>165</v>
      </c>
      <c r="AP115" t="s">
        <v>158</v>
      </c>
      <c r="AQ115" t="s">
        <v>752</v>
      </c>
      <c r="AR115">
        <v>7.5</v>
      </c>
      <c r="AS115">
        <v>1.045246436675711</v>
      </c>
      <c r="AT115" t="s">
        <v>753</v>
      </c>
      <c r="AU115" t="s">
        <v>754</v>
      </c>
      <c r="AV115">
        <v>2681</v>
      </c>
      <c r="AW115">
        <v>1719</v>
      </c>
      <c r="AX115">
        <v>853</v>
      </c>
      <c r="AY115">
        <v>108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-0.89700000000000002</v>
      </c>
      <c r="BH115">
        <v>27.579000000000001</v>
      </c>
      <c r="BI115">
        <v>9.2760440000000006</v>
      </c>
      <c r="BJ115">
        <v>7.0000000000000001E-3</v>
      </c>
      <c r="BK115">
        <v>10.770619</v>
      </c>
      <c r="BL115">
        <v>116.00623</v>
      </c>
      <c r="BM115">
        <v>1.161122</v>
      </c>
      <c r="BN115">
        <v>21.248999999999999</v>
      </c>
      <c r="BO115">
        <v>0.43301099999999998</v>
      </c>
      <c r="BP115">
        <v>1.361515</v>
      </c>
      <c r="BQ115">
        <v>10.243707000000001</v>
      </c>
      <c r="BR115">
        <v>0.35799999999999998</v>
      </c>
      <c r="BS115">
        <v>0.23499999999999999</v>
      </c>
      <c r="BT115">
        <v>9.2760440000000006</v>
      </c>
      <c r="BU115">
        <v>5.6672940000000001</v>
      </c>
      <c r="BV115">
        <v>1.3175060000000001</v>
      </c>
      <c r="BW115">
        <v>-0.77337100000000003</v>
      </c>
      <c r="BX115">
        <v>0.61095999999999995</v>
      </c>
      <c r="BY115">
        <v>0.23247499999999999</v>
      </c>
      <c r="BZ115">
        <v>-0.136462</v>
      </c>
      <c r="CA115">
        <v>-0.32900000000000001</v>
      </c>
      <c r="CB115">
        <v>-0.16500000000000001</v>
      </c>
      <c r="CC115">
        <v>-0.10299999999999999</v>
      </c>
      <c r="CD115">
        <v>-1.9E-2</v>
      </c>
      <c r="CE115">
        <v>1.0999999999999999E-2</v>
      </c>
      <c r="CF115">
        <v>3.9E-2</v>
      </c>
      <c r="CG115">
        <v>9.2999999999999999E-2</v>
      </c>
      <c r="CH115">
        <v>0.184</v>
      </c>
      <c r="CI115">
        <v>13.034000000000001</v>
      </c>
      <c r="CJ115">
        <v>19.635000000000002</v>
      </c>
      <c r="CK115">
        <v>21.26</v>
      </c>
      <c r="CL115">
        <v>22.763999999999999</v>
      </c>
      <c r="CM115">
        <v>24.58</v>
      </c>
      <c r="CN115">
        <v>25.577000000000002</v>
      </c>
      <c r="CO115">
        <v>26.409400999999999</v>
      </c>
      <c r="CP115">
        <v>0.35725000000000001</v>
      </c>
      <c r="CQ115">
        <v>14.212949999999999</v>
      </c>
      <c r="CR115">
        <v>16.589974999999999</v>
      </c>
      <c r="CS115">
        <v>1</v>
      </c>
      <c r="CT115">
        <v>55</v>
      </c>
      <c r="CU115">
        <v>20.037673000000002</v>
      </c>
      <c r="CV115">
        <v>1</v>
      </c>
      <c r="CW115">
        <v>15.027949</v>
      </c>
      <c r="CX115">
        <v>225.83925199999999</v>
      </c>
      <c r="CY115">
        <v>0.74998500000000001</v>
      </c>
      <c r="CZ115">
        <v>28</v>
      </c>
      <c r="DA115">
        <v>0.50692899999999996</v>
      </c>
      <c r="DB115">
        <v>1.865745</v>
      </c>
      <c r="DC115">
        <v>13.084311</v>
      </c>
      <c r="DD115">
        <v>20.037673000000002</v>
      </c>
      <c r="DE115">
        <v>8.4650759999999998</v>
      </c>
      <c r="DF115">
        <v>1.3302419999999999</v>
      </c>
      <c r="DG115">
        <v>-8.2046999999999995E-2</v>
      </c>
      <c r="DH115">
        <v>0.422458</v>
      </c>
      <c r="DI115">
        <v>0.15714500000000001</v>
      </c>
      <c r="DJ115">
        <v>-9.6919999999999992E-3</v>
      </c>
      <c r="DK115">
        <v>1</v>
      </c>
      <c r="DL115">
        <v>1</v>
      </c>
      <c r="DM115">
        <v>3</v>
      </c>
      <c r="DN115">
        <v>6</v>
      </c>
      <c r="DO115">
        <v>7</v>
      </c>
      <c r="DP115">
        <v>9</v>
      </c>
      <c r="DQ115">
        <v>12</v>
      </c>
      <c r="DR115">
        <v>15</v>
      </c>
      <c r="DS115">
        <v>20</v>
      </c>
      <c r="DT115">
        <v>30</v>
      </c>
      <c r="DU115">
        <v>35</v>
      </c>
      <c r="DV115">
        <v>38</v>
      </c>
      <c r="DW115">
        <v>43</v>
      </c>
      <c r="DX115">
        <v>46</v>
      </c>
      <c r="DY115">
        <v>49</v>
      </c>
      <c r="DZ115">
        <v>61.838278000000003</v>
      </c>
      <c r="EA115">
        <v>45.356209999999997</v>
      </c>
      <c r="EB115">
        <v>70.738802000000007</v>
      </c>
      <c r="EC115">
        <v>1063</v>
      </c>
      <c r="ED115">
        <v>1216</v>
      </c>
      <c r="EE115">
        <v>59.744036999999999</v>
      </c>
      <c r="EF115">
        <v>91.972076999999999</v>
      </c>
      <c r="EG115">
        <v>42.969040999999997</v>
      </c>
      <c r="EH115">
        <v>75.531518000000005</v>
      </c>
      <c r="EI115">
        <v>67.015707000000006</v>
      </c>
      <c r="EJ115">
        <v>117.801047</v>
      </c>
      <c r="EK115">
        <v>1027</v>
      </c>
      <c r="EL115">
        <v>1581</v>
      </c>
      <c r="EM115">
        <v>1152</v>
      </c>
      <c r="EN115">
        <v>2025</v>
      </c>
      <c r="EO115">
        <v>1719</v>
      </c>
      <c r="EP115">
        <v>2681</v>
      </c>
      <c r="EQ115">
        <v>34.220984999999999</v>
      </c>
    </row>
    <row r="116" spans="1:147" x14ac:dyDescent="0.25">
      <c r="A116">
        <v>2022</v>
      </c>
      <c r="B116" t="str">
        <f t="shared" si="2"/>
        <v>RD</v>
      </c>
      <c r="C116" t="s">
        <v>755</v>
      </c>
      <c r="D116" t="s">
        <v>755</v>
      </c>
      <c r="E116">
        <v>24207</v>
      </c>
      <c r="F116" t="s">
        <v>750</v>
      </c>
      <c r="G116" t="s">
        <v>497</v>
      </c>
      <c r="H116" t="s">
        <v>756</v>
      </c>
      <c r="I116">
        <v>30.11</v>
      </c>
      <c r="J116">
        <v>30.11</v>
      </c>
      <c r="K116" t="s">
        <v>261</v>
      </c>
      <c r="L116">
        <v>1</v>
      </c>
      <c r="M116">
        <v>2015</v>
      </c>
      <c r="N116">
        <v>3</v>
      </c>
      <c r="O116" t="str">
        <f t="shared" si="3"/>
        <v>Alto fuste</v>
      </c>
      <c r="P116" s="2">
        <v>42045</v>
      </c>
      <c r="Q116" t="s">
        <v>237</v>
      </c>
      <c r="R116" t="s">
        <v>515</v>
      </c>
      <c r="S116" t="s">
        <v>154</v>
      </c>
      <c r="T116" t="s">
        <v>221</v>
      </c>
      <c r="U116" t="s">
        <v>156</v>
      </c>
      <c r="V116" s="2">
        <v>44641</v>
      </c>
      <c r="W116" t="s">
        <v>500</v>
      </c>
      <c r="X116">
        <v>170.85</v>
      </c>
      <c r="Y116">
        <v>20.7</v>
      </c>
      <c r="Z116">
        <v>23</v>
      </c>
      <c r="AA116">
        <v>14.9</v>
      </c>
      <c r="AB116">
        <v>2</v>
      </c>
      <c r="AC116">
        <v>308.43</v>
      </c>
      <c r="AD116">
        <v>283.738360850123</v>
      </c>
      <c r="AE116" s="2">
        <v>44641</v>
      </c>
      <c r="AF116">
        <v>85</v>
      </c>
      <c r="AG116">
        <v>7.1074606433949397</v>
      </c>
      <c r="AH116">
        <v>24.1380397217143</v>
      </c>
      <c r="AI116">
        <v>14.056410256410301</v>
      </c>
      <c r="AJ116">
        <v>21.888692184498201</v>
      </c>
      <c r="AK116">
        <v>39</v>
      </c>
      <c r="AL116">
        <v>1374.50572009897</v>
      </c>
      <c r="AM116">
        <v>254.26970221008301</v>
      </c>
      <c r="AN116">
        <v>0.18498991927932801</v>
      </c>
      <c r="AO116" t="s">
        <v>515</v>
      </c>
      <c r="AP116" t="s">
        <v>158</v>
      </c>
      <c r="AQ116" t="s">
        <v>752</v>
      </c>
      <c r="AR116">
        <v>7.5</v>
      </c>
      <c r="AS116">
        <v>1.0308792900742281</v>
      </c>
      <c r="AT116" t="s">
        <v>757</v>
      </c>
      <c r="AU116" t="s">
        <v>758</v>
      </c>
      <c r="AV116">
        <v>4046</v>
      </c>
      <c r="AW116">
        <v>2106</v>
      </c>
      <c r="AX116">
        <v>1542</v>
      </c>
      <c r="AY116">
        <v>362</v>
      </c>
      <c r="AZ116">
        <v>36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-0.78800000000000003</v>
      </c>
      <c r="BH116">
        <v>27.344000000000001</v>
      </c>
      <c r="BI116">
        <v>10.829124</v>
      </c>
      <c r="BJ116">
        <v>-0.34145999999999999</v>
      </c>
      <c r="BK116">
        <v>10.880736000000001</v>
      </c>
      <c r="BL116">
        <v>118.390424</v>
      </c>
      <c r="BM116">
        <v>1.004766</v>
      </c>
      <c r="BN116">
        <v>22.059000999999999</v>
      </c>
      <c r="BO116">
        <v>0.184194</v>
      </c>
      <c r="BP116">
        <v>1.2446699999999999</v>
      </c>
      <c r="BQ116">
        <v>10.35622</v>
      </c>
      <c r="BR116">
        <v>9.0860000000000003</v>
      </c>
      <c r="BS116">
        <v>9.3534600000000001</v>
      </c>
      <c r="BT116">
        <v>10.829124</v>
      </c>
      <c r="BU116">
        <v>5.9167180000000004</v>
      </c>
      <c r="BV116">
        <v>0.70097200000000004</v>
      </c>
      <c r="BW116">
        <v>-1.001085</v>
      </c>
      <c r="BX116">
        <v>0.54637100000000005</v>
      </c>
      <c r="BY116">
        <v>0.11847299999999999</v>
      </c>
      <c r="BZ116">
        <v>-0.16919600000000001</v>
      </c>
      <c r="CA116">
        <v>-0.37755</v>
      </c>
      <c r="CB116">
        <v>-0.17899999999999999</v>
      </c>
      <c r="CC116">
        <v>-9.5000000000000001E-2</v>
      </c>
      <c r="CD116">
        <v>6.0000000000000001E-3</v>
      </c>
      <c r="CE116">
        <v>4.7E-2</v>
      </c>
      <c r="CF116">
        <v>8.4000000000000005E-2</v>
      </c>
      <c r="CG116">
        <v>0.19600000000000001</v>
      </c>
      <c r="CH116">
        <v>9.0120000000000005</v>
      </c>
      <c r="CI116">
        <v>17.077000000000002</v>
      </c>
      <c r="CJ116">
        <v>21.117000999999998</v>
      </c>
      <c r="CK116">
        <v>22.106000999999999</v>
      </c>
      <c r="CL116">
        <v>23.882000000000001</v>
      </c>
      <c r="CM116">
        <v>25.195499000000002</v>
      </c>
      <c r="CN116">
        <v>25.669001000000002</v>
      </c>
      <c r="CO116">
        <v>26.448049999999999</v>
      </c>
      <c r="CP116">
        <v>0.41295100000000001</v>
      </c>
      <c r="CQ116">
        <v>15.35028</v>
      </c>
      <c r="CR116">
        <v>17.492387000000001</v>
      </c>
      <c r="CS116">
        <v>1</v>
      </c>
      <c r="CT116">
        <v>53</v>
      </c>
      <c r="CU116">
        <v>12.920909999999999</v>
      </c>
      <c r="CV116">
        <v>1</v>
      </c>
      <c r="CW116">
        <v>11.224693</v>
      </c>
      <c r="CX116">
        <v>125.99374299999999</v>
      </c>
      <c r="CY116">
        <v>0.86872300000000002</v>
      </c>
      <c r="CZ116">
        <v>12</v>
      </c>
      <c r="DA116">
        <v>1.2339869999999999</v>
      </c>
      <c r="DB116">
        <v>3.714378</v>
      </c>
      <c r="DC116">
        <v>8.7786010000000001</v>
      </c>
      <c r="DD116">
        <v>12.920909999999999</v>
      </c>
      <c r="DE116">
        <v>5.9292930000000004</v>
      </c>
      <c r="DF116">
        <v>1.7836909999999999</v>
      </c>
      <c r="DG116">
        <v>0.75518200000000002</v>
      </c>
      <c r="DH116">
        <v>0.45889099999999999</v>
      </c>
      <c r="DI116">
        <v>0.30082700000000001</v>
      </c>
      <c r="DJ116">
        <v>0.12736500000000001</v>
      </c>
      <c r="DK116">
        <v>1</v>
      </c>
      <c r="DL116">
        <v>1</v>
      </c>
      <c r="DM116">
        <v>2</v>
      </c>
      <c r="DN116">
        <v>4</v>
      </c>
      <c r="DO116">
        <v>5</v>
      </c>
      <c r="DP116">
        <v>5.5</v>
      </c>
      <c r="DQ116">
        <v>7</v>
      </c>
      <c r="DR116">
        <v>9</v>
      </c>
      <c r="DS116">
        <v>12</v>
      </c>
      <c r="DT116">
        <v>15</v>
      </c>
      <c r="DU116">
        <v>17</v>
      </c>
      <c r="DV116">
        <v>21</v>
      </c>
      <c r="DW116">
        <v>32</v>
      </c>
      <c r="DX116">
        <v>38</v>
      </c>
      <c r="DY116">
        <v>44</v>
      </c>
      <c r="DZ116">
        <v>79.867046999999999</v>
      </c>
      <c r="EA116">
        <v>53.781512999999997</v>
      </c>
      <c r="EB116">
        <v>103.323837</v>
      </c>
      <c r="EC116">
        <v>1682</v>
      </c>
      <c r="ED116">
        <v>2176</v>
      </c>
      <c r="EE116">
        <v>76.210825999999997</v>
      </c>
      <c r="EF116">
        <v>100</v>
      </c>
      <c r="EG116">
        <v>48.245179999999998</v>
      </c>
      <c r="EH116">
        <v>98.739496000000003</v>
      </c>
      <c r="EI116">
        <v>92.687558999999993</v>
      </c>
      <c r="EJ116">
        <v>189.69610599999999</v>
      </c>
      <c r="EK116">
        <v>1605</v>
      </c>
      <c r="EL116">
        <v>2106</v>
      </c>
      <c r="EM116">
        <v>1952</v>
      </c>
      <c r="EN116">
        <v>3995</v>
      </c>
      <c r="EO116">
        <v>2106</v>
      </c>
      <c r="EP116">
        <v>4046</v>
      </c>
      <c r="EQ116">
        <v>39.992460000000001</v>
      </c>
    </row>
    <row r="117" spans="1:147" x14ac:dyDescent="0.25">
      <c r="A117">
        <v>2022</v>
      </c>
      <c r="B117" t="str">
        <f t="shared" si="2"/>
        <v>RD</v>
      </c>
      <c r="C117" t="s">
        <v>759</v>
      </c>
      <c r="D117" t="s">
        <v>759</v>
      </c>
      <c r="E117">
        <v>24208</v>
      </c>
      <c r="F117" t="s">
        <v>750</v>
      </c>
      <c r="G117" t="s">
        <v>497</v>
      </c>
      <c r="H117" t="s">
        <v>756</v>
      </c>
      <c r="I117">
        <v>30.11</v>
      </c>
      <c r="J117">
        <v>30.11</v>
      </c>
      <c r="K117" t="s">
        <v>261</v>
      </c>
      <c r="L117">
        <v>1</v>
      </c>
      <c r="M117">
        <v>2015</v>
      </c>
      <c r="N117">
        <v>3</v>
      </c>
      <c r="O117" t="str">
        <f t="shared" si="3"/>
        <v>Alto fuste</v>
      </c>
      <c r="P117" s="2">
        <v>42045</v>
      </c>
      <c r="Q117" t="s">
        <v>237</v>
      </c>
      <c r="R117" t="s">
        <v>515</v>
      </c>
      <c r="S117" t="s">
        <v>154</v>
      </c>
      <c r="T117" t="s">
        <v>221</v>
      </c>
      <c r="U117" t="s">
        <v>156</v>
      </c>
      <c r="V117" s="2">
        <v>44641</v>
      </c>
      <c r="W117" t="s">
        <v>500</v>
      </c>
      <c r="X117">
        <v>170.85</v>
      </c>
      <c r="Y117">
        <v>21.3</v>
      </c>
      <c r="Z117">
        <v>22</v>
      </c>
      <c r="AA117">
        <v>14.2</v>
      </c>
      <c r="AB117">
        <v>1</v>
      </c>
      <c r="AC117">
        <v>302.45999999999998</v>
      </c>
      <c r="AD117">
        <v>280.39331688678402</v>
      </c>
      <c r="AE117" s="2">
        <v>44641</v>
      </c>
      <c r="AF117">
        <v>85</v>
      </c>
      <c r="AG117">
        <v>7.1074606433949397</v>
      </c>
      <c r="AH117">
        <v>24.381875378146098</v>
      </c>
      <c r="AI117">
        <v>13.466666666666701</v>
      </c>
      <c r="AJ117">
        <v>21.740081632141599</v>
      </c>
      <c r="AK117">
        <v>42</v>
      </c>
      <c r="AL117">
        <v>1497.89590088406</v>
      </c>
      <c r="AM117">
        <v>257.26359185625103</v>
      </c>
      <c r="AN117">
        <v>0.17174998055900501</v>
      </c>
      <c r="AO117" t="s">
        <v>515</v>
      </c>
      <c r="AP117" t="s">
        <v>158</v>
      </c>
      <c r="AQ117" t="s">
        <v>752</v>
      </c>
      <c r="AR117">
        <v>7.5</v>
      </c>
      <c r="AS117">
        <v>1.123421925663048</v>
      </c>
      <c r="AT117" t="s">
        <v>760</v>
      </c>
      <c r="AU117" t="s">
        <v>761</v>
      </c>
      <c r="AV117">
        <v>5944</v>
      </c>
      <c r="AW117">
        <v>2573</v>
      </c>
      <c r="AX117">
        <v>2543</v>
      </c>
      <c r="AY117">
        <v>768</v>
      </c>
      <c r="AZ117">
        <v>60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-0.99099999999999999</v>
      </c>
      <c r="BH117">
        <v>25.422001000000002</v>
      </c>
      <c r="BI117">
        <v>8.8157949999999996</v>
      </c>
      <c r="BJ117">
        <v>-0.15249199999999999</v>
      </c>
      <c r="BK117">
        <v>9.3080370000000006</v>
      </c>
      <c r="BL117">
        <v>86.639544000000001</v>
      </c>
      <c r="BM117">
        <v>1.055836</v>
      </c>
      <c r="BN117">
        <v>17.813500000000001</v>
      </c>
      <c r="BO117">
        <v>0.35268500000000003</v>
      </c>
      <c r="BP117">
        <v>1.4272309999999999</v>
      </c>
      <c r="BQ117">
        <v>8.6841019999999993</v>
      </c>
      <c r="BR117">
        <v>5.9550000000000001</v>
      </c>
      <c r="BS117">
        <v>6.0074920000000001</v>
      </c>
      <c r="BT117">
        <v>8.8157949999999996</v>
      </c>
      <c r="BU117">
        <v>5.0679439999999998</v>
      </c>
      <c r="BV117">
        <v>0.93509900000000001</v>
      </c>
      <c r="BW117">
        <v>-0.64509399999999995</v>
      </c>
      <c r="BX117">
        <v>0.57487100000000002</v>
      </c>
      <c r="BY117">
        <v>0.18451200000000001</v>
      </c>
      <c r="BZ117">
        <v>-0.12728900000000001</v>
      </c>
      <c r="CA117">
        <v>-0.36599999999999999</v>
      </c>
      <c r="CB117">
        <v>-0.16485</v>
      </c>
      <c r="CC117">
        <v>-8.2000000000000003E-2</v>
      </c>
      <c r="CD117">
        <v>2.8000000000000001E-2</v>
      </c>
      <c r="CE117">
        <v>7.9000000000000001E-2</v>
      </c>
      <c r="CF117">
        <v>0.13300000000000001</v>
      </c>
      <c r="CG117">
        <v>0.28299999999999997</v>
      </c>
      <c r="CH117">
        <v>5.8550000000000004</v>
      </c>
      <c r="CI117">
        <v>12.439601</v>
      </c>
      <c r="CJ117">
        <v>16.347000000000001</v>
      </c>
      <c r="CK117">
        <v>17.892499999999998</v>
      </c>
      <c r="CL117">
        <v>19.736999999999998</v>
      </c>
      <c r="CM117">
        <v>22.415001</v>
      </c>
      <c r="CN117">
        <v>23.114401000000001</v>
      </c>
      <c r="CO117">
        <v>23.992999999999999</v>
      </c>
      <c r="CP117">
        <v>0.37128699999999998</v>
      </c>
      <c r="CQ117">
        <v>12.819641000000001</v>
      </c>
      <c r="CR117">
        <v>14.828449000000001</v>
      </c>
      <c r="CS117">
        <v>1</v>
      </c>
      <c r="CT117">
        <v>51</v>
      </c>
      <c r="CU117">
        <v>10.445323</v>
      </c>
      <c r="CV117">
        <v>1</v>
      </c>
      <c r="CW117">
        <v>9.1042000000000005</v>
      </c>
      <c r="CX117">
        <v>82.88646</v>
      </c>
      <c r="CY117">
        <v>0.87160499999999996</v>
      </c>
      <c r="CZ117">
        <v>10</v>
      </c>
      <c r="DA117">
        <v>1.4605900000000001</v>
      </c>
      <c r="DB117">
        <v>4.7974300000000003</v>
      </c>
      <c r="DC117">
        <v>6.9055879999999998</v>
      </c>
      <c r="DD117">
        <v>10.445323</v>
      </c>
      <c r="DE117">
        <v>4.7166940000000004</v>
      </c>
      <c r="DF117">
        <v>1.475835</v>
      </c>
      <c r="DG117">
        <v>0.73178900000000002</v>
      </c>
      <c r="DH117">
        <v>0.45156000000000002</v>
      </c>
      <c r="DI117">
        <v>0.31289600000000001</v>
      </c>
      <c r="DJ117">
        <v>0.15514900000000001</v>
      </c>
      <c r="DK117">
        <v>1</v>
      </c>
      <c r="DL117">
        <v>1</v>
      </c>
      <c r="DM117">
        <v>2</v>
      </c>
      <c r="DN117">
        <v>3</v>
      </c>
      <c r="DO117">
        <v>4</v>
      </c>
      <c r="DP117">
        <v>4</v>
      </c>
      <c r="DQ117">
        <v>6</v>
      </c>
      <c r="DR117">
        <v>8</v>
      </c>
      <c r="DS117">
        <v>10</v>
      </c>
      <c r="DT117">
        <v>12</v>
      </c>
      <c r="DU117">
        <v>14</v>
      </c>
      <c r="DV117">
        <v>16</v>
      </c>
      <c r="DW117">
        <v>24</v>
      </c>
      <c r="DX117">
        <v>31</v>
      </c>
      <c r="DY117">
        <v>39</v>
      </c>
      <c r="DZ117">
        <v>83.793237000000005</v>
      </c>
      <c r="EA117">
        <v>51.228129000000003</v>
      </c>
      <c r="EB117">
        <v>118.344345</v>
      </c>
      <c r="EC117">
        <v>2156</v>
      </c>
      <c r="ED117">
        <v>3045</v>
      </c>
      <c r="EE117">
        <v>81.111542999999998</v>
      </c>
      <c r="EF117">
        <v>99.844538999999997</v>
      </c>
      <c r="EG117">
        <v>47.106326000000003</v>
      </c>
      <c r="EH117">
        <v>94.549125000000004</v>
      </c>
      <c r="EI117">
        <v>108.82238599999999</v>
      </c>
      <c r="EJ117">
        <v>218.42207500000001</v>
      </c>
      <c r="EK117">
        <v>2087</v>
      </c>
      <c r="EL117">
        <v>2569</v>
      </c>
      <c r="EM117">
        <v>2800</v>
      </c>
      <c r="EN117">
        <v>5620</v>
      </c>
      <c r="EO117">
        <v>2573</v>
      </c>
      <c r="EP117">
        <v>5944</v>
      </c>
      <c r="EQ117">
        <v>35.824390000000001</v>
      </c>
    </row>
    <row r="118" spans="1:147" x14ac:dyDescent="0.25">
      <c r="A118">
        <v>2022</v>
      </c>
      <c r="B118" t="str">
        <f t="shared" si="2"/>
        <v>RD</v>
      </c>
      <c r="C118" t="s">
        <v>762</v>
      </c>
      <c r="D118" t="s">
        <v>762</v>
      </c>
      <c r="E118">
        <v>24209</v>
      </c>
      <c r="F118" t="s">
        <v>763</v>
      </c>
      <c r="G118" t="s">
        <v>217</v>
      </c>
      <c r="H118" t="s">
        <v>764</v>
      </c>
      <c r="I118">
        <v>18.18</v>
      </c>
      <c r="J118">
        <v>18.18</v>
      </c>
      <c r="K118" t="s">
        <v>219</v>
      </c>
      <c r="L118">
        <v>1</v>
      </c>
      <c r="M118">
        <v>2015</v>
      </c>
      <c r="N118">
        <v>2</v>
      </c>
      <c r="O118" t="str">
        <f t="shared" si="3"/>
        <v>Talhadia</v>
      </c>
      <c r="P118" s="2">
        <v>42353</v>
      </c>
      <c r="Q118" t="s">
        <v>322</v>
      </c>
      <c r="R118" t="s">
        <v>165</v>
      </c>
      <c r="S118" t="s">
        <v>154</v>
      </c>
      <c r="T118" t="s">
        <v>221</v>
      </c>
      <c r="U118" t="s">
        <v>156</v>
      </c>
      <c r="V118" s="2">
        <v>44693</v>
      </c>
      <c r="W118" t="s">
        <v>222</v>
      </c>
      <c r="X118">
        <v>44.47</v>
      </c>
      <c r="Y118">
        <v>21</v>
      </c>
      <c r="Z118">
        <v>22</v>
      </c>
      <c r="AA118">
        <v>14.1</v>
      </c>
      <c r="AB118">
        <v>2</v>
      </c>
      <c r="AC118">
        <v>296.10000000000002</v>
      </c>
      <c r="AD118">
        <v>274.37189751134099</v>
      </c>
      <c r="AE118" s="2">
        <v>44693</v>
      </c>
      <c r="AF118">
        <v>77</v>
      </c>
      <c r="AG118">
        <v>6.4065708418891196</v>
      </c>
      <c r="AH118">
        <v>25.709020865482401</v>
      </c>
      <c r="AI118">
        <v>16.8818181818182</v>
      </c>
      <c r="AJ118">
        <v>18.844101255195302</v>
      </c>
      <c r="AK118">
        <v>22</v>
      </c>
      <c r="AL118">
        <v>801.83139015141501</v>
      </c>
      <c r="AM118">
        <v>221.08385030830999</v>
      </c>
      <c r="AN118">
        <v>0.27572361599183698</v>
      </c>
      <c r="AO118" t="s">
        <v>165</v>
      </c>
      <c r="AP118" t="s">
        <v>264</v>
      </c>
      <c r="AQ118" t="s">
        <v>251</v>
      </c>
      <c r="AR118">
        <v>9.99</v>
      </c>
      <c r="AS118">
        <v>0.80102955876126325</v>
      </c>
      <c r="AT118" t="s">
        <v>765</v>
      </c>
      <c r="AU118" t="s">
        <v>766</v>
      </c>
      <c r="AV118">
        <v>4467</v>
      </c>
      <c r="AW118">
        <v>2341</v>
      </c>
      <c r="AX118">
        <v>1722</v>
      </c>
      <c r="AY118">
        <v>372</v>
      </c>
      <c r="AZ118">
        <v>32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-0.878</v>
      </c>
      <c r="BH118">
        <v>29.454999999999998</v>
      </c>
      <c r="BI118">
        <v>12.489615000000001</v>
      </c>
      <c r="BJ118">
        <v>-0.39652399999999999</v>
      </c>
      <c r="BK118">
        <v>10.970908</v>
      </c>
      <c r="BL118">
        <v>120.360822</v>
      </c>
      <c r="BM118">
        <v>0.87840200000000002</v>
      </c>
      <c r="BN118">
        <v>23.695499999999999</v>
      </c>
      <c r="BO118">
        <v>-6.5079999999999999E-3</v>
      </c>
      <c r="BP118">
        <v>1.2342089999999999</v>
      </c>
      <c r="BQ118">
        <v>10.399622000000001</v>
      </c>
      <c r="BR118">
        <v>11.099</v>
      </c>
      <c r="BS118">
        <v>15.245523</v>
      </c>
      <c r="BT118">
        <v>12.489615000000001</v>
      </c>
      <c r="BU118">
        <v>6.0734000000000004</v>
      </c>
      <c r="BV118">
        <v>0.152527</v>
      </c>
      <c r="BW118">
        <v>-0.99971500000000002</v>
      </c>
      <c r="BX118">
        <v>0.48627599999999999</v>
      </c>
      <c r="BY118">
        <v>2.5114000000000001E-2</v>
      </c>
      <c r="BZ118">
        <v>-0.164605</v>
      </c>
      <c r="CA118">
        <v>-0.38109999999999999</v>
      </c>
      <c r="CB118">
        <v>-0.12570000000000001</v>
      </c>
      <c r="CC118">
        <v>-1.9400000000000001E-2</v>
      </c>
      <c r="CD118">
        <v>0.151</v>
      </c>
      <c r="CE118">
        <v>0.28299999999999997</v>
      </c>
      <c r="CF118">
        <v>0.49540000000000001</v>
      </c>
      <c r="CG118">
        <v>3.2088000000000001</v>
      </c>
      <c r="CH118">
        <v>14.849</v>
      </c>
      <c r="CI118">
        <v>19.203001</v>
      </c>
      <c r="CJ118">
        <v>22.804399</v>
      </c>
      <c r="CK118">
        <v>23.9785</v>
      </c>
      <c r="CL118">
        <v>24.735800000000001</v>
      </c>
      <c r="CM118">
        <v>25.860800000000001</v>
      </c>
      <c r="CN118">
        <v>26.446100000000001</v>
      </c>
      <c r="CO118">
        <v>27.290116999999999</v>
      </c>
      <c r="CP118">
        <v>0.440695</v>
      </c>
      <c r="CQ118">
        <v>16.623007000000001</v>
      </c>
      <c r="CR118">
        <v>18.613074000000001</v>
      </c>
      <c r="CS118">
        <v>1</v>
      </c>
      <c r="CT118">
        <v>52</v>
      </c>
      <c r="CU118">
        <v>12.615402</v>
      </c>
      <c r="CV118">
        <v>1</v>
      </c>
      <c r="CW118">
        <v>9.9213799999999992</v>
      </c>
      <c r="CX118">
        <v>98.433779999999999</v>
      </c>
      <c r="CY118">
        <v>0.78644999999999998</v>
      </c>
      <c r="CZ118">
        <v>12</v>
      </c>
      <c r="DA118">
        <v>1.196787</v>
      </c>
      <c r="DB118">
        <v>4.1167670000000003</v>
      </c>
      <c r="DC118">
        <v>7.7322100000000002</v>
      </c>
      <c r="DD118">
        <v>12.615402</v>
      </c>
      <c r="DE118">
        <v>5.316535</v>
      </c>
      <c r="DF118">
        <v>1.3297019999999999</v>
      </c>
      <c r="DG118">
        <v>0.67646799999999996</v>
      </c>
      <c r="DH118">
        <v>0.42143199999999997</v>
      </c>
      <c r="DI118">
        <v>0.25010700000000002</v>
      </c>
      <c r="DJ118">
        <v>0.12723899999999999</v>
      </c>
      <c r="DK118">
        <v>1</v>
      </c>
      <c r="DL118">
        <v>1</v>
      </c>
      <c r="DM118">
        <v>2</v>
      </c>
      <c r="DN118">
        <v>4</v>
      </c>
      <c r="DO118">
        <v>5</v>
      </c>
      <c r="DP118">
        <v>6</v>
      </c>
      <c r="DQ118">
        <v>8</v>
      </c>
      <c r="DR118">
        <v>10</v>
      </c>
      <c r="DS118">
        <v>13</v>
      </c>
      <c r="DT118">
        <v>16</v>
      </c>
      <c r="DU118">
        <v>17</v>
      </c>
      <c r="DV118">
        <v>19</v>
      </c>
      <c r="DW118">
        <v>27</v>
      </c>
      <c r="DX118">
        <v>34</v>
      </c>
      <c r="DY118">
        <v>43</v>
      </c>
      <c r="DZ118">
        <v>86.971379999999996</v>
      </c>
      <c r="EA118">
        <v>60.465637000000001</v>
      </c>
      <c r="EB118">
        <v>115.378044</v>
      </c>
      <c r="EC118">
        <v>2036</v>
      </c>
      <c r="ED118">
        <v>2701</v>
      </c>
      <c r="EE118">
        <v>82.742418000000001</v>
      </c>
      <c r="EF118">
        <v>99.957283000000004</v>
      </c>
      <c r="EG118">
        <v>52.719946</v>
      </c>
      <c r="EH118">
        <v>99.059771999999995</v>
      </c>
      <c r="EI118">
        <v>100.598035</v>
      </c>
      <c r="EJ118">
        <v>189.02178599999999</v>
      </c>
      <c r="EK118">
        <v>1937</v>
      </c>
      <c r="EL118">
        <v>2340</v>
      </c>
      <c r="EM118">
        <v>2355</v>
      </c>
      <c r="EN118">
        <v>4425</v>
      </c>
      <c r="EO118">
        <v>2341</v>
      </c>
      <c r="EP118">
        <v>4467</v>
      </c>
      <c r="EQ118">
        <v>44.821295999999997</v>
      </c>
    </row>
    <row r="119" spans="1:147" x14ac:dyDescent="0.25">
      <c r="A119">
        <v>2022</v>
      </c>
      <c r="B119" t="str">
        <f t="shared" si="2"/>
        <v>RD</v>
      </c>
      <c r="C119" t="s">
        <v>767</v>
      </c>
      <c r="D119" t="s">
        <v>767</v>
      </c>
      <c r="E119">
        <v>24212</v>
      </c>
      <c r="F119" t="s">
        <v>763</v>
      </c>
      <c r="G119" t="s">
        <v>217</v>
      </c>
      <c r="H119" t="s">
        <v>768</v>
      </c>
      <c r="I119">
        <v>12.66</v>
      </c>
      <c r="J119">
        <v>12.66</v>
      </c>
      <c r="K119" t="s">
        <v>219</v>
      </c>
      <c r="L119">
        <v>1</v>
      </c>
      <c r="M119">
        <v>2015</v>
      </c>
      <c r="N119">
        <v>2</v>
      </c>
      <c r="O119" t="str">
        <f t="shared" si="3"/>
        <v>Talhadia</v>
      </c>
      <c r="P119" s="2">
        <v>42353</v>
      </c>
      <c r="Q119" t="s">
        <v>322</v>
      </c>
      <c r="R119" t="s">
        <v>769</v>
      </c>
      <c r="S119" t="s">
        <v>154</v>
      </c>
      <c r="T119" t="s">
        <v>221</v>
      </c>
      <c r="U119" t="s">
        <v>156</v>
      </c>
      <c r="V119" s="2">
        <v>44693</v>
      </c>
      <c r="W119" t="s">
        <v>222</v>
      </c>
      <c r="X119">
        <v>44.47</v>
      </c>
      <c r="Y119">
        <v>21.6</v>
      </c>
      <c r="Z119">
        <v>20</v>
      </c>
      <c r="AA119">
        <v>13.6</v>
      </c>
      <c r="AB119">
        <v>8</v>
      </c>
      <c r="AC119">
        <v>293.76</v>
      </c>
      <c r="AD119">
        <v>273.35766203490101</v>
      </c>
      <c r="AE119" s="2">
        <v>44693</v>
      </c>
      <c r="AF119">
        <v>77</v>
      </c>
      <c r="AG119">
        <v>6.4065708418891196</v>
      </c>
      <c r="AH119">
        <v>21.704829098859399</v>
      </c>
      <c r="AI119">
        <v>14.0846153846154</v>
      </c>
      <c r="AJ119">
        <v>15.9524304782593</v>
      </c>
      <c r="AK119">
        <v>26</v>
      </c>
      <c r="AL119">
        <v>951.13485411213696</v>
      </c>
      <c r="AM119">
        <v>162.29654065145701</v>
      </c>
      <c r="AN119">
        <v>0.17063462657244099</v>
      </c>
      <c r="AO119" t="s">
        <v>769</v>
      </c>
      <c r="AP119" t="s">
        <v>264</v>
      </c>
      <c r="AQ119" t="s">
        <v>770</v>
      </c>
      <c r="AR119">
        <v>9.99</v>
      </c>
      <c r="AS119">
        <v>0.95018371925802336</v>
      </c>
      <c r="AT119" t="s">
        <v>771</v>
      </c>
      <c r="AU119" t="s">
        <v>772</v>
      </c>
      <c r="AV119">
        <v>4850</v>
      </c>
      <c r="AW119">
        <v>2673</v>
      </c>
      <c r="AX119">
        <v>1713</v>
      </c>
      <c r="AY119">
        <v>441</v>
      </c>
      <c r="AZ119">
        <v>23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-1.407</v>
      </c>
      <c r="BH119">
        <v>26.164000000000001</v>
      </c>
      <c r="BI119">
        <v>12.411004999999999</v>
      </c>
      <c r="BJ119">
        <v>-9.4094999999999998E-2</v>
      </c>
      <c r="BK119">
        <v>9.8730539999999998</v>
      </c>
      <c r="BL119">
        <v>97.477198000000001</v>
      </c>
      <c r="BM119">
        <v>0.79550799999999999</v>
      </c>
      <c r="BN119">
        <v>21.297501</v>
      </c>
      <c r="BO119">
        <v>-0.23783299999999999</v>
      </c>
      <c r="BP119">
        <v>1.347003</v>
      </c>
      <c r="BQ119">
        <v>9.1295920000000006</v>
      </c>
      <c r="BR119">
        <v>7.8239999999999998</v>
      </c>
      <c r="BS119">
        <v>15.559595</v>
      </c>
      <c r="BT119">
        <v>12.411004999999999</v>
      </c>
      <c r="BU119">
        <v>5.469608</v>
      </c>
      <c r="BV119">
        <v>-0.31198599999999999</v>
      </c>
      <c r="BW119">
        <v>-0.74912900000000004</v>
      </c>
      <c r="BX119">
        <v>0.44070599999999999</v>
      </c>
      <c r="BY119">
        <v>-5.704E-2</v>
      </c>
      <c r="BZ119">
        <v>-0.136962</v>
      </c>
      <c r="CA119">
        <v>-0.43353000000000003</v>
      </c>
      <c r="CB119">
        <v>-0.18254999999999999</v>
      </c>
      <c r="CC119">
        <v>-7.6999999999999999E-2</v>
      </c>
      <c r="CD119">
        <v>7.2800000000000004E-2</v>
      </c>
      <c r="CE119">
        <v>0.14899999999999999</v>
      </c>
      <c r="CF119">
        <v>0.26869999999999999</v>
      </c>
      <c r="CG119">
        <v>10.157598</v>
      </c>
      <c r="CH119">
        <v>15.4655</v>
      </c>
      <c r="CI119">
        <v>19.094798999999998</v>
      </c>
      <c r="CJ119">
        <v>20.753299999999999</v>
      </c>
      <c r="CK119">
        <v>21.446501000000001</v>
      </c>
      <c r="CL119">
        <v>22.384799999999998</v>
      </c>
      <c r="CM119">
        <v>23.681999000000001</v>
      </c>
      <c r="CN119">
        <v>24.409549999999999</v>
      </c>
      <c r="CO119">
        <v>25.465548999999999</v>
      </c>
      <c r="CP119">
        <v>0.50117900000000004</v>
      </c>
      <c r="CQ119">
        <v>15.85844</v>
      </c>
      <c r="CR119">
        <v>17.447711999999999</v>
      </c>
      <c r="CS119">
        <v>1</v>
      </c>
      <c r="CT119">
        <v>41</v>
      </c>
      <c r="CU119">
        <v>9.5113400000000006</v>
      </c>
      <c r="CV119">
        <v>1</v>
      </c>
      <c r="CW119">
        <v>7.0416650000000001</v>
      </c>
      <c r="CX119">
        <v>49.585044000000003</v>
      </c>
      <c r="CY119">
        <v>0.740344</v>
      </c>
      <c r="CZ119">
        <v>10</v>
      </c>
      <c r="DA119">
        <v>1.1266879999999999</v>
      </c>
      <c r="DB119">
        <v>4.3037879999999999</v>
      </c>
      <c r="DC119">
        <v>5.5939699999999997</v>
      </c>
      <c r="DD119">
        <v>9.5113400000000006</v>
      </c>
      <c r="DE119">
        <v>3.8136169999999998</v>
      </c>
      <c r="DF119">
        <v>0.82975900000000002</v>
      </c>
      <c r="DG119">
        <v>0.40404899999999999</v>
      </c>
      <c r="DH119">
        <v>0.40095500000000001</v>
      </c>
      <c r="DI119">
        <v>0.21757799999999999</v>
      </c>
      <c r="DJ119">
        <v>0.105949</v>
      </c>
      <c r="DK119">
        <v>1</v>
      </c>
      <c r="DL119">
        <v>1</v>
      </c>
      <c r="DM119">
        <v>2</v>
      </c>
      <c r="DN119">
        <v>3</v>
      </c>
      <c r="DO119">
        <v>4</v>
      </c>
      <c r="DP119">
        <v>5</v>
      </c>
      <c r="DQ119">
        <v>6</v>
      </c>
      <c r="DR119">
        <v>8</v>
      </c>
      <c r="DS119">
        <v>10</v>
      </c>
      <c r="DT119">
        <v>12</v>
      </c>
      <c r="DU119">
        <v>14</v>
      </c>
      <c r="DV119">
        <v>15</v>
      </c>
      <c r="DW119">
        <v>19</v>
      </c>
      <c r="DX119">
        <v>23</v>
      </c>
      <c r="DY119">
        <v>32</v>
      </c>
      <c r="DZ119">
        <v>93.602694</v>
      </c>
      <c r="EA119">
        <v>65.319587999999996</v>
      </c>
      <c r="EB119">
        <v>118.518519</v>
      </c>
      <c r="EC119">
        <v>2502</v>
      </c>
      <c r="ED119">
        <v>3168</v>
      </c>
      <c r="EE119">
        <v>87.167975999999996</v>
      </c>
      <c r="EF119">
        <v>99.775532999999996</v>
      </c>
      <c r="EG119">
        <v>56.680411999999997</v>
      </c>
      <c r="EH119">
        <v>90.886598000000006</v>
      </c>
      <c r="EI119">
        <v>102.84324700000001</v>
      </c>
      <c r="EJ119">
        <v>164.908343</v>
      </c>
      <c r="EK119">
        <v>2330</v>
      </c>
      <c r="EL119">
        <v>2667</v>
      </c>
      <c r="EM119">
        <v>2749</v>
      </c>
      <c r="EN119">
        <v>4408</v>
      </c>
      <c r="EO119">
        <v>2673</v>
      </c>
      <c r="EP119">
        <v>4850</v>
      </c>
      <c r="EQ119">
        <v>47.853475000000003</v>
      </c>
    </row>
    <row r="120" spans="1:147" x14ac:dyDescent="0.25">
      <c r="A120">
        <v>2022</v>
      </c>
      <c r="B120" t="str">
        <f t="shared" si="2"/>
        <v>RD</v>
      </c>
      <c r="C120" t="s">
        <v>773</v>
      </c>
      <c r="D120" t="s">
        <v>773</v>
      </c>
      <c r="E120">
        <v>24215</v>
      </c>
      <c r="F120" t="s">
        <v>774</v>
      </c>
      <c r="G120" t="s">
        <v>775</v>
      </c>
      <c r="H120" t="s">
        <v>776</v>
      </c>
      <c r="I120">
        <v>56.33</v>
      </c>
      <c r="J120">
        <v>56.33</v>
      </c>
      <c r="K120" t="s">
        <v>219</v>
      </c>
      <c r="L120">
        <v>1</v>
      </c>
      <c r="M120">
        <v>2015</v>
      </c>
      <c r="N120">
        <v>3</v>
      </c>
      <c r="O120" t="str">
        <f t="shared" si="3"/>
        <v>Alto fuste</v>
      </c>
      <c r="P120" s="2">
        <v>42146</v>
      </c>
      <c r="Q120" t="s">
        <v>237</v>
      </c>
      <c r="R120" t="s">
        <v>515</v>
      </c>
      <c r="S120" t="s">
        <v>154</v>
      </c>
      <c r="T120" t="s">
        <v>221</v>
      </c>
      <c r="U120" t="s">
        <v>156</v>
      </c>
      <c r="V120" s="2">
        <v>44798</v>
      </c>
      <c r="W120" t="s">
        <v>777</v>
      </c>
      <c r="X120">
        <v>123.49</v>
      </c>
      <c r="Y120">
        <v>20.5</v>
      </c>
      <c r="Z120">
        <v>23</v>
      </c>
      <c r="AA120">
        <v>15.4</v>
      </c>
      <c r="AB120">
        <v>3</v>
      </c>
      <c r="AC120">
        <v>315.7</v>
      </c>
      <c r="AD120">
        <v>290.20512039937898</v>
      </c>
      <c r="AE120" s="2">
        <v>44798</v>
      </c>
      <c r="AF120">
        <v>87</v>
      </c>
      <c r="AG120">
        <v>7.2607802874743301</v>
      </c>
      <c r="AH120">
        <v>23.412562648164801</v>
      </c>
      <c r="AI120">
        <v>13.178378378378399</v>
      </c>
      <c r="AJ120">
        <v>17.961051661232201</v>
      </c>
      <c r="AK120">
        <v>37</v>
      </c>
      <c r="AL120">
        <v>1274.9602746181999</v>
      </c>
      <c r="AM120">
        <v>203.62546797262399</v>
      </c>
      <c r="AN120">
        <v>0.159711225538852</v>
      </c>
      <c r="AO120" t="s">
        <v>515</v>
      </c>
      <c r="AP120" t="s">
        <v>158</v>
      </c>
      <c r="AQ120" t="s">
        <v>294</v>
      </c>
      <c r="AR120">
        <v>7.5</v>
      </c>
      <c r="AS120">
        <v>0.95622020596364998</v>
      </c>
      <c r="AT120" t="s">
        <v>778</v>
      </c>
      <c r="AU120" t="s">
        <v>779</v>
      </c>
      <c r="AV120">
        <v>11140</v>
      </c>
      <c r="AW120">
        <v>5619</v>
      </c>
      <c r="AX120">
        <v>4766</v>
      </c>
      <c r="AY120">
        <v>744</v>
      </c>
      <c r="AZ120">
        <v>11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-1.1499999999999999</v>
      </c>
      <c r="BH120">
        <v>23.68</v>
      </c>
      <c r="BI120">
        <v>7.2337990000000003</v>
      </c>
      <c r="BJ120">
        <v>3.2381E-2</v>
      </c>
      <c r="BK120">
        <v>8.8870690000000003</v>
      </c>
      <c r="BL120">
        <v>78.979995000000002</v>
      </c>
      <c r="BM120">
        <v>1.228548</v>
      </c>
      <c r="BN120">
        <v>17.02</v>
      </c>
      <c r="BO120">
        <v>0.63270999999999999</v>
      </c>
      <c r="BP120">
        <v>1.626574</v>
      </c>
      <c r="BQ120">
        <v>8.2597140000000007</v>
      </c>
      <c r="BR120">
        <v>0.73</v>
      </c>
      <c r="BS120">
        <v>0.55761899999999998</v>
      </c>
      <c r="BT120">
        <v>7.2337990000000003</v>
      </c>
      <c r="BU120">
        <v>4.6357160000000004</v>
      </c>
      <c r="BV120">
        <v>1.3803319999999999</v>
      </c>
      <c r="BW120">
        <v>-0.38161299999999998</v>
      </c>
      <c r="BX120">
        <v>0.64084099999999999</v>
      </c>
      <c r="BY120">
        <v>0.29776000000000002</v>
      </c>
      <c r="BZ120">
        <v>-8.2320000000000004E-2</v>
      </c>
      <c r="CA120">
        <v>-0.38</v>
      </c>
      <c r="CB120">
        <v>-0.18</v>
      </c>
      <c r="CC120">
        <v>-0.09</v>
      </c>
      <c r="CD120">
        <v>0.02</v>
      </c>
      <c r="CE120">
        <v>7.0000000000000007E-2</v>
      </c>
      <c r="CF120">
        <v>0.12</v>
      </c>
      <c r="CG120">
        <v>0.23</v>
      </c>
      <c r="CH120">
        <v>0.55000000000000004</v>
      </c>
      <c r="CI120">
        <v>7.3759959999999998</v>
      </c>
      <c r="CJ120">
        <v>14.972998</v>
      </c>
      <c r="CK120">
        <v>17.09</v>
      </c>
      <c r="CL120">
        <v>18.379999000000002</v>
      </c>
      <c r="CM120">
        <v>21.190000999999999</v>
      </c>
      <c r="CN120">
        <v>22.1</v>
      </c>
      <c r="CO120">
        <v>22.98</v>
      </c>
      <c r="CP120">
        <v>0.337648</v>
      </c>
      <c r="CQ120">
        <v>11.458653999999999</v>
      </c>
      <c r="CR120">
        <v>13.637657000000001</v>
      </c>
      <c r="CS120">
        <v>1</v>
      </c>
      <c r="CT120">
        <v>51</v>
      </c>
      <c r="CU120">
        <v>12.383661999999999</v>
      </c>
      <c r="CV120">
        <v>1</v>
      </c>
      <c r="CW120">
        <v>10.100261</v>
      </c>
      <c r="CX120">
        <v>102.015282</v>
      </c>
      <c r="CY120">
        <v>0.815612</v>
      </c>
      <c r="CZ120">
        <v>15</v>
      </c>
      <c r="DA120">
        <v>0.94895600000000002</v>
      </c>
      <c r="DB120">
        <v>3.1173069999999998</v>
      </c>
      <c r="DC120">
        <v>8.3082779999999996</v>
      </c>
      <c r="DD120">
        <v>12.383661999999999</v>
      </c>
      <c r="DE120">
        <v>5.5252679999999996</v>
      </c>
      <c r="DF120">
        <v>1.3215539999999999</v>
      </c>
      <c r="DG120">
        <v>0.38816600000000001</v>
      </c>
      <c r="DH120">
        <v>0.44617400000000002</v>
      </c>
      <c r="DI120">
        <v>0.23918400000000001</v>
      </c>
      <c r="DJ120">
        <v>7.0252999999999996E-2</v>
      </c>
      <c r="DK120">
        <v>1</v>
      </c>
      <c r="DL120">
        <v>1</v>
      </c>
      <c r="DM120">
        <v>2</v>
      </c>
      <c r="DN120">
        <v>3</v>
      </c>
      <c r="DO120">
        <v>4</v>
      </c>
      <c r="DP120">
        <v>5</v>
      </c>
      <c r="DQ120">
        <v>7</v>
      </c>
      <c r="DR120">
        <v>9</v>
      </c>
      <c r="DS120">
        <v>13</v>
      </c>
      <c r="DT120">
        <v>16</v>
      </c>
      <c r="DU120">
        <v>19</v>
      </c>
      <c r="DV120">
        <v>21</v>
      </c>
      <c r="DW120">
        <v>28</v>
      </c>
      <c r="DX120">
        <v>33</v>
      </c>
      <c r="DY120">
        <v>40</v>
      </c>
      <c r="DZ120">
        <v>66.702259999999995</v>
      </c>
      <c r="EA120">
        <v>41.202872999999997</v>
      </c>
      <c r="EB120">
        <v>81.687133000000003</v>
      </c>
      <c r="EC120">
        <v>3748</v>
      </c>
      <c r="ED120">
        <v>4590</v>
      </c>
      <c r="EE120">
        <v>65.883609000000007</v>
      </c>
      <c r="EF120">
        <v>96.654208999999994</v>
      </c>
      <c r="EG120">
        <v>40.08079</v>
      </c>
      <c r="EH120">
        <v>78.464990999999998</v>
      </c>
      <c r="EI120">
        <v>79.462537999999995</v>
      </c>
      <c r="EJ120">
        <v>155.561488</v>
      </c>
      <c r="EK120">
        <v>3702</v>
      </c>
      <c r="EL120">
        <v>5431</v>
      </c>
      <c r="EM120">
        <v>4465</v>
      </c>
      <c r="EN120">
        <v>8741</v>
      </c>
      <c r="EO120">
        <v>5619</v>
      </c>
      <c r="EP120">
        <v>11140</v>
      </c>
      <c r="EQ120">
        <v>30.563521000000001</v>
      </c>
    </row>
    <row r="121" spans="1:147" x14ac:dyDescent="0.25">
      <c r="A121">
        <v>2022</v>
      </c>
      <c r="B121" t="str">
        <f t="shared" si="2"/>
        <v>RD</v>
      </c>
      <c r="C121" t="s">
        <v>780</v>
      </c>
      <c r="D121" t="s">
        <v>780</v>
      </c>
      <c r="E121">
        <v>24218</v>
      </c>
      <c r="F121" t="s">
        <v>774</v>
      </c>
      <c r="G121" t="s">
        <v>775</v>
      </c>
      <c r="H121" t="s">
        <v>781</v>
      </c>
      <c r="I121">
        <v>41.01</v>
      </c>
      <c r="J121">
        <v>41.01</v>
      </c>
      <c r="K121" t="s">
        <v>219</v>
      </c>
      <c r="L121">
        <v>1</v>
      </c>
      <c r="M121">
        <v>2015</v>
      </c>
      <c r="N121">
        <v>3</v>
      </c>
      <c r="O121" t="str">
        <f t="shared" si="3"/>
        <v>Alto fuste</v>
      </c>
      <c r="P121" s="2">
        <v>42145</v>
      </c>
      <c r="Q121" t="s">
        <v>237</v>
      </c>
      <c r="R121" t="s">
        <v>367</v>
      </c>
      <c r="S121" t="s">
        <v>154</v>
      </c>
      <c r="T121" t="s">
        <v>221</v>
      </c>
      <c r="U121" t="s">
        <v>156</v>
      </c>
      <c r="V121" s="2">
        <v>44798</v>
      </c>
      <c r="W121" t="s">
        <v>777</v>
      </c>
      <c r="X121">
        <v>123.49</v>
      </c>
      <c r="Y121">
        <v>20.3</v>
      </c>
      <c r="Z121">
        <v>3</v>
      </c>
      <c r="AA121">
        <v>14</v>
      </c>
      <c r="AB121">
        <v>3</v>
      </c>
      <c r="AC121">
        <v>284.2</v>
      </c>
      <c r="AD121">
        <v>283.42156133183198</v>
      </c>
      <c r="AE121" s="2">
        <v>44798</v>
      </c>
      <c r="AF121">
        <v>87</v>
      </c>
      <c r="AG121">
        <v>7.2635181382614604</v>
      </c>
      <c r="AH121">
        <v>26.6944067404641</v>
      </c>
      <c r="AI121">
        <v>16.628571428571401</v>
      </c>
      <c r="AJ121">
        <v>21.937544610946698</v>
      </c>
      <c r="AK121">
        <v>28</v>
      </c>
      <c r="AL121">
        <v>987.92766042303504</v>
      </c>
      <c r="AM121">
        <v>273.13962621030498</v>
      </c>
      <c r="AN121">
        <v>0.27647735472184898</v>
      </c>
      <c r="AO121" t="s">
        <v>367</v>
      </c>
      <c r="AP121" t="s">
        <v>158</v>
      </c>
      <c r="AQ121" t="s">
        <v>166</v>
      </c>
      <c r="AR121">
        <v>7.5</v>
      </c>
      <c r="AS121">
        <v>0.74094574531727497</v>
      </c>
      <c r="AT121" t="s">
        <v>782</v>
      </c>
      <c r="AU121" t="s">
        <v>783</v>
      </c>
      <c r="AV121">
        <v>5171</v>
      </c>
      <c r="AW121">
        <v>2574</v>
      </c>
      <c r="AX121">
        <v>2010</v>
      </c>
      <c r="AY121">
        <v>534</v>
      </c>
      <c r="AZ121">
        <v>53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-0.75</v>
      </c>
      <c r="BH121">
        <v>31.23</v>
      </c>
      <c r="BI121">
        <v>12.096527</v>
      </c>
      <c r="BJ121">
        <v>-0.24238100000000001</v>
      </c>
      <c r="BK121">
        <v>12.068871</v>
      </c>
      <c r="BL121">
        <v>145.65765500000001</v>
      </c>
      <c r="BM121">
        <v>0.99771399999999999</v>
      </c>
      <c r="BN121">
        <v>24.830000999999999</v>
      </c>
      <c r="BO121">
        <v>0.18645100000000001</v>
      </c>
      <c r="BP121">
        <v>1.276348</v>
      </c>
      <c r="BQ121">
        <v>11.472884000000001</v>
      </c>
      <c r="BR121">
        <v>11.26</v>
      </c>
      <c r="BS121">
        <v>11.492381</v>
      </c>
      <c r="BT121">
        <v>12.096527</v>
      </c>
      <c r="BU121">
        <v>6.5914640000000002</v>
      </c>
      <c r="BV121">
        <v>0.80512300000000003</v>
      </c>
      <c r="BW121">
        <v>-1.0392570000000001</v>
      </c>
      <c r="BX121">
        <v>0.54490499999999997</v>
      </c>
      <c r="BY121">
        <v>0.122146</v>
      </c>
      <c r="BZ121">
        <v>-0.157667</v>
      </c>
      <c r="CA121">
        <v>-0.37</v>
      </c>
      <c r="CB121">
        <v>-0.18</v>
      </c>
      <c r="CC121">
        <v>-0.1</v>
      </c>
      <c r="CD121">
        <v>-0.01</v>
      </c>
      <c r="CE121">
        <v>0.04</v>
      </c>
      <c r="CF121">
        <v>0.08</v>
      </c>
      <c r="CG121">
        <v>0.2</v>
      </c>
      <c r="CH121">
        <v>11.25</v>
      </c>
      <c r="CI121">
        <v>18.620000999999998</v>
      </c>
      <c r="CJ121">
        <v>22.84</v>
      </c>
      <c r="CK121">
        <v>24.870000999999998</v>
      </c>
      <c r="CL121">
        <v>26.290001</v>
      </c>
      <c r="CM121">
        <v>28.09</v>
      </c>
      <c r="CN121">
        <v>29.255001</v>
      </c>
      <c r="CO121">
        <v>30.245996000000002</v>
      </c>
      <c r="CP121">
        <v>0.40170499999999998</v>
      </c>
      <c r="CQ121">
        <v>17.086704000000001</v>
      </c>
      <c r="CR121">
        <v>19.471634999999999</v>
      </c>
      <c r="CS121">
        <v>1</v>
      </c>
      <c r="CT121">
        <v>46</v>
      </c>
      <c r="CU121">
        <v>11.993425</v>
      </c>
      <c r="CV121">
        <v>1</v>
      </c>
      <c r="CW121">
        <v>10.251742</v>
      </c>
      <c r="CX121">
        <v>105.09821599999999</v>
      </c>
      <c r="CY121">
        <v>0.85477999999999998</v>
      </c>
      <c r="CZ121">
        <v>14</v>
      </c>
      <c r="DA121">
        <v>1.0663210000000001</v>
      </c>
      <c r="DB121">
        <v>3.2520549999999999</v>
      </c>
      <c r="DC121">
        <v>8.3091500000000007</v>
      </c>
      <c r="DD121">
        <v>11.993425</v>
      </c>
      <c r="DE121">
        <v>5.5215709999999998</v>
      </c>
      <c r="DF121">
        <v>1.52512</v>
      </c>
      <c r="DG121">
        <v>0.492174</v>
      </c>
      <c r="DH121">
        <v>0.46038299999999999</v>
      </c>
      <c r="DI121">
        <v>0.27621099999999998</v>
      </c>
      <c r="DJ121">
        <v>8.9136999999999994E-2</v>
      </c>
      <c r="DK121">
        <v>1</v>
      </c>
      <c r="DL121">
        <v>1</v>
      </c>
      <c r="DM121">
        <v>2</v>
      </c>
      <c r="DN121">
        <v>3</v>
      </c>
      <c r="DO121">
        <v>4</v>
      </c>
      <c r="DP121">
        <v>5</v>
      </c>
      <c r="DQ121">
        <v>6</v>
      </c>
      <c r="DR121">
        <v>9</v>
      </c>
      <c r="DS121">
        <v>11</v>
      </c>
      <c r="DT121">
        <v>15</v>
      </c>
      <c r="DU121">
        <v>18</v>
      </c>
      <c r="DV121">
        <v>20</v>
      </c>
      <c r="DW121">
        <v>29</v>
      </c>
      <c r="DX121">
        <v>34</v>
      </c>
      <c r="DY121">
        <v>40</v>
      </c>
      <c r="DZ121">
        <v>81.973581999999993</v>
      </c>
      <c r="EA121">
        <v>54.631599000000001</v>
      </c>
      <c r="EB121">
        <v>109.75136000000001</v>
      </c>
      <c r="EC121">
        <v>2110</v>
      </c>
      <c r="ED121">
        <v>2825</v>
      </c>
      <c r="EE121">
        <v>79.098679000000004</v>
      </c>
      <c r="EF121">
        <v>100</v>
      </c>
      <c r="EG121">
        <v>49.622897000000002</v>
      </c>
      <c r="EH121">
        <v>97.292592999999997</v>
      </c>
      <c r="EI121">
        <v>99.6892</v>
      </c>
      <c r="EJ121">
        <v>195.454545</v>
      </c>
      <c r="EK121">
        <v>2036</v>
      </c>
      <c r="EL121">
        <v>2574</v>
      </c>
      <c r="EM121">
        <v>2566</v>
      </c>
      <c r="EN121">
        <v>5031</v>
      </c>
      <c r="EO121">
        <v>2574</v>
      </c>
      <c r="EP121">
        <v>5171</v>
      </c>
      <c r="EQ121">
        <v>39.051053000000003</v>
      </c>
    </row>
    <row r="122" spans="1:147" x14ac:dyDescent="0.25">
      <c r="A122">
        <v>2022</v>
      </c>
      <c r="B122" t="str">
        <f t="shared" si="2"/>
        <v>RD</v>
      </c>
      <c r="C122" t="s">
        <v>784</v>
      </c>
      <c r="D122" t="s">
        <v>784</v>
      </c>
      <c r="E122">
        <v>24219</v>
      </c>
      <c r="F122" t="s">
        <v>774</v>
      </c>
      <c r="G122" t="s">
        <v>775</v>
      </c>
      <c r="H122" t="s">
        <v>785</v>
      </c>
      <c r="I122">
        <v>14.08</v>
      </c>
      <c r="J122">
        <v>14.08</v>
      </c>
      <c r="K122" t="s">
        <v>219</v>
      </c>
      <c r="L122">
        <v>1</v>
      </c>
      <c r="M122">
        <v>2015</v>
      </c>
      <c r="N122">
        <v>3</v>
      </c>
      <c r="O122" t="str">
        <f t="shared" si="3"/>
        <v>Alto fuste</v>
      </c>
      <c r="P122" s="2">
        <v>42180</v>
      </c>
      <c r="Q122" t="s">
        <v>237</v>
      </c>
      <c r="R122" t="s">
        <v>515</v>
      </c>
      <c r="S122" t="s">
        <v>154</v>
      </c>
      <c r="T122" t="s">
        <v>221</v>
      </c>
      <c r="U122" t="s">
        <v>156</v>
      </c>
      <c r="V122" s="2">
        <v>44798</v>
      </c>
      <c r="W122" t="s">
        <v>777</v>
      </c>
      <c r="X122">
        <v>123.49</v>
      </c>
      <c r="Y122">
        <v>19.899999999999999</v>
      </c>
      <c r="Z122">
        <v>1</v>
      </c>
      <c r="AA122">
        <v>15.5</v>
      </c>
      <c r="AB122">
        <v>0</v>
      </c>
      <c r="AC122">
        <v>308.45</v>
      </c>
      <c r="AD122">
        <v>308.40302157098898</v>
      </c>
      <c r="AE122" s="2">
        <v>44798</v>
      </c>
      <c r="AF122">
        <v>86</v>
      </c>
      <c r="AG122">
        <v>7.1676933607118398</v>
      </c>
      <c r="AH122">
        <v>26.4888984068815</v>
      </c>
      <c r="AI122">
        <v>15</v>
      </c>
      <c r="AJ122">
        <v>23.048714524382</v>
      </c>
      <c r="AK122">
        <v>39</v>
      </c>
      <c r="AL122">
        <v>1264.57904988531</v>
      </c>
      <c r="AM122">
        <v>294.62237986680299</v>
      </c>
      <c r="AN122">
        <v>0.232980595316302</v>
      </c>
      <c r="AO122" t="s">
        <v>515</v>
      </c>
      <c r="AP122" t="s">
        <v>158</v>
      </c>
      <c r="AQ122" t="s">
        <v>786</v>
      </c>
      <c r="AR122">
        <v>7.5</v>
      </c>
      <c r="AS122">
        <v>0.9484342874139825</v>
      </c>
      <c r="AT122" t="s">
        <v>787</v>
      </c>
      <c r="AU122" t="s">
        <v>788</v>
      </c>
      <c r="AV122">
        <v>5216</v>
      </c>
      <c r="AW122">
        <v>2873</v>
      </c>
      <c r="AX122">
        <v>1952</v>
      </c>
      <c r="AY122">
        <v>377</v>
      </c>
      <c r="AZ122">
        <v>14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-0.93</v>
      </c>
      <c r="BH122">
        <v>27.700001</v>
      </c>
      <c r="BI122">
        <v>12.016432</v>
      </c>
      <c r="BJ122">
        <v>-2.1111000000000001E-2</v>
      </c>
      <c r="BK122">
        <v>11.252571</v>
      </c>
      <c r="BL122">
        <v>126.62035299999999</v>
      </c>
      <c r="BM122">
        <v>0.93643200000000004</v>
      </c>
      <c r="BN122">
        <v>23.315000000000001</v>
      </c>
      <c r="BO122">
        <v>4.9449999999999997E-3</v>
      </c>
      <c r="BP122">
        <v>1.1849050000000001</v>
      </c>
      <c r="BQ122">
        <v>10.783981000000001</v>
      </c>
      <c r="BR122">
        <v>11.670000999999999</v>
      </c>
      <c r="BS122">
        <v>14.551111000000001</v>
      </c>
      <c r="BT122">
        <v>12.016432</v>
      </c>
      <c r="BU122">
        <v>6.1208939999999998</v>
      </c>
      <c r="BV122">
        <v>0.28424899999999997</v>
      </c>
      <c r="BW122">
        <v>-1.0953599999999999</v>
      </c>
      <c r="BX122">
        <v>0.50937699999999997</v>
      </c>
      <c r="BY122">
        <v>4.6439000000000001E-2</v>
      </c>
      <c r="BZ122">
        <v>-0.178954</v>
      </c>
      <c r="CA122">
        <v>-0.45</v>
      </c>
      <c r="CB122">
        <v>-0.21</v>
      </c>
      <c r="CC122">
        <v>-0.12</v>
      </c>
      <c r="CD122">
        <v>0</v>
      </c>
      <c r="CE122">
        <v>0.05</v>
      </c>
      <c r="CF122">
        <v>0.11</v>
      </c>
      <c r="CG122">
        <v>0.25</v>
      </c>
      <c r="CH122">
        <v>14.53</v>
      </c>
      <c r="CI122">
        <v>20.170000000000002</v>
      </c>
      <c r="CJ122">
        <v>21.93</v>
      </c>
      <c r="CK122">
        <v>23.364999999999998</v>
      </c>
      <c r="CL122">
        <v>24.59</v>
      </c>
      <c r="CM122">
        <v>25.620000999999998</v>
      </c>
      <c r="CN122">
        <v>26.3325</v>
      </c>
      <c r="CO122">
        <v>27.138500000000001</v>
      </c>
      <c r="CP122">
        <v>0.45219799999999999</v>
      </c>
      <c r="CQ122">
        <v>16.461796</v>
      </c>
      <c r="CR122">
        <v>18.47486</v>
      </c>
      <c r="CS122">
        <v>1</v>
      </c>
      <c r="CT122">
        <v>40</v>
      </c>
      <c r="CU122">
        <v>8.9156440000000003</v>
      </c>
      <c r="CV122">
        <v>1</v>
      </c>
      <c r="CW122">
        <v>7.657667</v>
      </c>
      <c r="CX122">
        <v>58.639862999999998</v>
      </c>
      <c r="CY122">
        <v>0.85890200000000005</v>
      </c>
      <c r="CZ122">
        <v>9</v>
      </c>
      <c r="DA122">
        <v>1.474769</v>
      </c>
      <c r="DB122">
        <v>4.9892409999999998</v>
      </c>
      <c r="DC122">
        <v>5.807461</v>
      </c>
      <c r="DD122">
        <v>8.9156440000000003</v>
      </c>
      <c r="DE122">
        <v>3.973017</v>
      </c>
      <c r="DF122">
        <v>1.2067540000000001</v>
      </c>
      <c r="DG122">
        <v>0.60440099999999997</v>
      </c>
      <c r="DH122">
        <v>0.44562299999999999</v>
      </c>
      <c r="DI122">
        <v>0.30373699999999998</v>
      </c>
      <c r="DJ122">
        <v>0.15212600000000001</v>
      </c>
      <c r="DK122">
        <v>1</v>
      </c>
      <c r="DL122">
        <v>1</v>
      </c>
      <c r="DM122">
        <v>1</v>
      </c>
      <c r="DN122">
        <v>3</v>
      </c>
      <c r="DO122">
        <v>3</v>
      </c>
      <c r="DP122">
        <v>4</v>
      </c>
      <c r="DQ122">
        <v>5</v>
      </c>
      <c r="DR122">
        <v>7</v>
      </c>
      <c r="DS122">
        <v>8</v>
      </c>
      <c r="DT122">
        <v>11</v>
      </c>
      <c r="DU122">
        <v>12</v>
      </c>
      <c r="DV122">
        <v>14</v>
      </c>
      <c r="DW122">
        <v>20</v>
      </c>
      <c r="DX122">
        <v>26</v>
      </c>
      <c r="DY122">
        <v>35</v>
      </c>
      <c r="DZ122">
        <v>83.431952999999993</v>
      </c>
      <c r="EA122">
        <v>55.962423000000001</v>
      </c>
      <c r="EB122">
        <v>101.601114</v>
      </c>
      <c r="EC122">
        <v>2397</v>
      </c>
      <c r="ED122">
        <v>2919</v>
      </c>
      <c r="EE122">
        <v>80.891054999999994</v>
      </c>
      <c r="EF122">
        <v>98.955794999999995</v>
      </c>
      <c r="EG122">
        <v>52.453988000000003</v>
      </c>
      <c r="EH122">
        <v>82.131901999999997</v>
      </c>
      <c r="EI122">
        <v>95.231465</v>
      </c>
      <c r="EJ122">
        <v>149.112426</v>
      </c>
      <c r="EK122">
        <v>2324</v>
      </c>
      <c r="EL122">
        <v>2843</v>
      </c>
      <c r="EM122">
        <v>2736</v>
      </c>
      <c r="EN122">
        <v>4284</v>
      </c>
      <c r="EO122">
        <v>2873</v>
      </c>
      <c r="EP122">
        <v>5216</v>
      </c>
      <c r="EQ122">
        <v>43.382565999999997</v>
      </c>
    </row>
    <row r="123" spans="1:147" x14ac:dyDescent="0.25">
      <c r="A123">
        <v>2022</v>
      </c>
      <c r="B123" t="str">
        <f t="shared" si="2"/>
        <v>RD</v>
      </c>
      <c r="C123" t="s">
        <v>789</v>
      </c>
      <c r="D123" t="s">
        <v>789</v>
      </c>
      <c r="E123">
        <v>24370</v>
      </c>
      <c r="F123" t="s">
        <v>790</v>
      </c>
      <c r="G123" t="s">
        <v>217</v>
      </c>
      <c r="H123" t="s">
        <v>791</v>
      </c>
      <c r="I123">
        <v>36.79</v>
      </c>
      <c r="J123">
        <v>36.79</v>
      </c>
      <c r="K123" t="s">
        <v>219</v>
      </c>
      <c r="L123">
        <v>1</v>
      </c>
      <c r="M123">
        <v>2016</v>
      </c>
      <c r="N123">
        <v>2</v>
      </c>
      <c r="O123" t="str">
        <f t="shared" si="3"/>
        <v>Talhadia</v>
      </c>
      <c r="P123" s="2">
        <v>42451</v>
      </c>
      <c r="Q123" t="s">
        <v>174</v>
      </c>
      <c r="R123" t="s">
        <v>792</v>
      </c>
      <c r="S123" t="s">
        <v>154</v>
      </c>
      <c r="T123" t="s">
        <v>221</v>
      </c>
      <c r="U123" t="s">
        <v>156</v>
      </c>
      <c r="V123" s="2">
        <v>44693</v>
      </c>
      <c r="W123" t="s">
        <v>222</v>
      </c>
      <c r="X123">
        <v>99.39</v>
      </c>
      <c r="Y123">
        <v>20</v>
      </c>
      <c r="Z123">
        <v>2</v>
      </c>
      <c r="AA123">
        <v>16.2</v>
      </c>
      <c r="AB123">
        <v>0</v>
      </c>
      <c r="AC123">
        <v>324</v>
      </c>
      <c r="AD123">
        <v>323.80262795418702</v>
      </c>
      <c r="AE123" s="2">
        <v>44693</v>
      </c>
      <c r="AF123">
        <v>74</v>
      </c>
      <c r="AG123">
        <v>6.1382614647501699</v>
      </c>
      <c r="AH123">
        <v>22.120917271577401</v>
      </c>
      <c r="AI123">
        <v>14.2357142857143</v>
      </c>
      <c r="AJ123">
        <v>14.745039563057</v>
      </c>
      <c r="AK123">
        <v>28</v>
      </c>
      <c r="AL123">
        <v>864.72429754219195</v>
      </c>
      <c r="AM123">
        <v>152.70488356822401</v>
      </c>
      <c r="AN123">
        <v>0.17659372357438999</v>
      </c>
      <c r="AO123" t="s">
        <v>792</v>
      </c>
      <c r="AP123" t="s">
        <v>264</v>
      </c>
      <c r="AQ123" t="s">
        <v>793</v>
      </c>
      <c r="AR123">
        <v>9</v>
      </c>
      <c r="AS123">
        <v>0.77825186778797251</v>
      </c>
      <c r="AT123" t="s">
        <v>794</v>
      </c>
      <c r="AU123" t="s">
        <v>795</v>
      </c>
      <c r="AV123">
        <v>6706</v>
      </c>
      <c r="AW123">
        <v>3860</v>
      </c>
      <c r="AX123">
        <v>2332</v>
      </c>
      <c r="AY123">
        <v>479</v>
      </c>
      <c r="AZ123">
        <v>35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-1.002</v>
      </c>
      <c r="BH123">
        <v>27.766000999999999</v>
      </c>
      <c r="BI123">
        <v>9.570843</v>
      </c>
      <c r="BJ123">
        <v>-8.8730000000000003E-2</v>
      </c>
      <c r="BK123">
        <v>9.6871960000000001</v>
      </c>
      <c r="BL123">
        <v>93.841767000000004</v>
      </c>
      <c r="BM123">
        <v>1.012157</v>
      </c>
      <c r="BN123">
        <v>19.42775</v>
      </c>
      <c r="BO123">
        <v>0.25670599999999999</v>
      </c>
      <c r="BP123">
        <v>1.3745879999999999</v>
      </c>
      <c r="BQ123">
        <v>9.0968180000000007</v>
      </c>
      <c r="BR123">
        <v>8.6519999999999992</v>
      </c>
      <c r="BS123">
        <v>8.7237299999999998</v>
      </c>
      <c r="BT123">
        <v>9.570843</v>
      </c>
      <c r="BU123">
        <v>5.3057420000000004</v>
      </c>
      <c r="BV123">
        <v>0.77764200000000006</v>
      </c>
      <c r="BW123">
        <v>-0.70629200000000003</v>
      </c>
      <c r="BX123">
        <v>0.554365</v>
      </c>
      <c r="BY123">
        <v>0.146566</v>
      </c>
      <c r="BZ123">
        <v>-0.13311799999999999</v>
      </c>
      <c r="CA123">
        <v>-0.37695000000000001</v>
      </c>
      <c r="CB123">
        <v>-0.184</v>
      </c>
      <c r="CC123">
        <v>-9.9000000000000005E-2</v>
      </c>
      <c r="CD123">
        <v>1.4999999999999999E-2</v>
      </c>
      <c r="CE123">
        <v>6.0999999999999999E-2</v>
      </c>
      <c r="CF123">
        <v>0.114</v>
      </c>
      <c r="CG123">
        <v>0.29599999999999999</v>
      </c>
      <c r="CH123">
        <v>8.6349999999999998</v>
      </c>
      <c r="CI123">
        <v>14.388</v>
      </c>
      <c r="CJ123">
        <v>18.636500999999999</v>
      </c>
      <c r="CK123">
        <v>19.48875</v>
      </c>
      <c r="CL123">
        <v>20.122999</v>
      </c>
      <c r="CM123">
        <v>22.609501000000002</v>
      </c>
      <c r="CN123">
        <v>24.343499999999999</v>
      </c>
      <c r="CO123">
        <v>26.380253</v>
      </c>
      <c r="CP123">
        <v>0.36752099999999999</v>
      </c>
      <c r="CQ123">
        <v>13.617224999999999</v>
      </c>
      <c r="CR123">
        <v>15.610458</v>
      </c>
      <c r="CS123">
        <v>1</v>
      </c>
      <c r="CT123">
        <v>56</v>
      </c>
      <c r="CU123">
        <v>16.065761999999999</v>
      </c>
      <c r="CV123">
        <v>1</v>
      </c>
      <c r="CW123">
        <v>12.558920000000001</v>
      </c>
      <c r="CX123">
        <v>157.726473</v>
      </c>
      <c r="CY123">
        <v>0.78171999999999997</v>
      </c>
      <c r="CZ123">
        <v>18</v>
      </c>
      <c r="DA123">
        <v>0.83991899999999997</v>
      </c>
      <c r="DB123">
        <v>2.664085</v>
      </c>
      <c r="DC123">
        <v>10.372284000000001</v>
      </c>
      <c r="DD123">
        <v>16.065761999999999</v>
      </c>
      <c r="DE123">
        <v>6.9249700000000001</v>
      </c>
      <c r="DF123">
        <v>1.5637000000000001</v>
      </c>
      <c r="DG123">
        <v>0.44897100000000001</v>
      </c>
      <c r="DH123">
        <v>0.43103900000000001</v>
      </c>
      <c r="DI123">
        <v>0.22580600000000001</v>
      </c>
      <c r="DJ123">
        <v>6.4834000000000003E-2</v>
      </c>
      <c r="DK123">
        <v>1</v>
      </c>
      <c r="DL123">
        <v>1</v>
      </c>
      <c r="DM123">
        <v>3</v>
      </c>
      <c r="DN123">
        <v>5</v>
      </c>
      <c r="DO123">
        <v>6</v>
      </c>
      <c r="DP123">
        <v>7</v>
      </c>
      <c r="DQ123">
        <v>10</v>
      </c>
      <c r="DR123">
        <v>12</v>
      </c>
      <c r="DS123">
        <v>16</v>
      </c>
      <c r="DT123">
        <v>20</v>
      </c>
      <c r="DU123">
        <v>24</v>
      </c>
      <c r="DV123">
        <v>28</v>
      </c>
      <c r="DW123">
        <v>37</v>
      </c>
      <c r="DX123">
        <v>41</v>
      </c>
      <c r="DY123">
        <v>47</v>
      </c>
      <c r="DZ123">
        <v>75</v>
      </c>
      <c r="EA123">
        <v>53.220996</v>
      </c>
      <c r="EB123">
        <v>92.46114</v>
      </c>
      <c r="EC123">
        <v>2895</v>
      </c>
      <c r="ED123">
        <v>3569</v>
      </c>
      <c r="EE123">
        <v>71.813472000000004</v>
      </c>
      <c r="EF123">
        <v>99.196890999999994</v>
      </c>
      <c r="EG123">
        <v>49.105279000000003</v>
      </c>
      <c r="EH123">
        <v>89.144049999999993</v>
      </c>
      <c r="EI123">
        <v>85.310880999999995</v>
      </c>
      <c r="EJ123">
        <v>154.87046599999999</v>
      </c>
      <c r="EK123">
        <v>2772</v>
      </c>
      <c r="EL123">
        <v>3829</v>
      </c>
      <c r="EM123">
        <v>3293</v>
      </c>
      <c r="EN123">
        <v>5978</v>
      </c>
      <c r="EO123">
        <v>3860</v>
      </c>
      <c r="EP123">
        <v>6706</v>
      </c>
      <c r="EQ123">
        <v>35.361828000000003</v>
      </c>
    </row>
    <row r="124" spans="1:147" x14ac:dyDescent="0.25">
      <c r="A124">
        <v>2022</v>
      </c>
      <c r="B124" t="str">
        <f t="shared" si="2"/>
        <v>RD</v>
      </c>
      <c r="C124" t="s">
        <v>796</v>
      </c>
      <c r="D124" t="s">
        <v>796</v>
      </c>
      <c r="E124">
        <v>24393</v>
      </c>
      <c r="F124" t="s">
        <v>790</v>
      </c>
      <c r="G124" t="s">
        <v>217</v>
      </c>
      <c r="H124" t="s">
        <v>797</v>
      </c>
      <c r="I124">
        <v>23.18</v>
      </c>
      <c r="J124">
        <v>23.18</v>
      </c>
      <c r="K124" t="s">
        <v>219</v>
      </c>
      <c r="L124">
        <v>1</v>
      </c>
      <c r="M124">
        <v>2016</v>
      </c>
      <c r="N124">
        <v>2</v>
      </c>
      <c r="O124" t="str">
        <f t="shared" si="3"/>
        <v>Talhadia</v>
      </c>
      <c r="P124" s="2">
        <v>42536</v>
      </c>
      <c r="Q124" t="s">
        <v>798</v>
      </c>
      <c r="R124" t="s">
        <v>249</v>
      </c>
      <c r="S124" t="s">
        <v>154</v>
      </c>
      <c r="T124" t="s">
        <v>221</v>
      </c>
      <c r="U124" t="s">
        <v>156</v>
      </c>
      <c r="V124" s="2">
        <v>44692</v>
      </c>
      <c r="W124" t="s">
        <v>222</v>
      </c>
      <c r="X124">
        <v>99.39</v>
      </c>
      <c r="Y124">
        <v>21.4</v>
      </c>
      <c r="Z124">
        <v>8</v>
      </c>
      <c r="AA124">
        <v>14.8</v>
      </c>
      <c r="AB124">
        <v>0</v>
      </c>
      <c r="AC124">
        <v>316.72000000000003</v>
      </c>
      <c r="AD124">
        <v>313.63770273183002</v>
      </c>
      <c r="AE124" s="2">
        <v>44692</v>
      </c>
      <c r="AF124">
        <v>71</v>
      </c>
      <c r="AG124">
        <v>5.9028062970568103</v>
      </c>
      <c r="AH124">
        <v>23.3594215353835</v>
      </c>
      <c r="AI124">
        <v>15.771428571428601</v>
      </c>
      <c r="AJ124">
        <v>13.391682677874</v>
      </c>
      <c r="AK124">
        <v>21</v>
      </c>
      <c r="AL124">
        <v>669.56235864141797</v>
      </c>
      <c r="AM124">
        <v>138.29739839942701</v>
      </c>
      <c r="AN124">
        <v>0.20654894441802399</v>
      </c>
      <c r="AO124" t="s">
        <v>249</v>
      </c>
      <c r="AP124" t="s">
        <v>264</v>
      </c>
      <c r="AQ124" t="s">
        <v>793</v>
      </c>
      <c r="AR124">
        <v>7.5</v>
      </c>
      <c r="AS124">
        <v>0.50217176898106353</v>
      </c>
      <c r="AT124" t="s">
        <v>799</v>
      </c>
      <c r="AU124" t="s">
        <v>800</v>
      </c>
      <c r="AV124">
        <v>5055</v>
      </c>
      <c r="AW124">
        <v>2460</v>
      </c>
      <c r="AX124">
        <v>2081</v>
      </c>
      <c r="AY124">
        <v>486</v>
      </c>
      <c r="AZ124">
        <v>28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-1.254</v>
      </c>
      <c r="BH124">
        <v>24.841999000000001</v>
      </c>
      <c r="BI124">
        <v>8.1338500000000007</v>
      </c>
      <c r="BJ124">
        <v>-1.1332999999999999E-2</v>
      </c>
      <c r="BK124">
        <v>9.1811159999999994</v>
      </c>
      <c r="BL124">
        <v>84.292894000000004</v>
      </c>
      <c r="BM124">
        <v>1.128754</v>
      </c>
      <c r="BN124">
        <v>18.167000999999999</v>
      </c>
      <c r="BO124">
        <v>0.43781599999999998</v>
      </c>
      <c r="BP124">
        <v>1.4538150000000001</v>
      </c>
      <c r="BQ124">
        <v>8.5797050000000006</v>
      </c>
      <c r="BR124">
        <v>0.60299999999999998</v>
      </c>
      <c r="BS124">
        <v>0.38433299999999998</v>
      </c>
      <c r="BT124">
        <v>8.1338500000000007</v>
      </c>
      <c r="BU124">
        <v>4.9146020000000004</v>
      </c>
      <c r="BV124">
        <v>1.1060289999999999</v>
      </c>
      <c r="BW124">
        <v>-0.59814400000000001</v>
      </c>
      <c r="BX124">
        <v>0.60421599999999998</v>
      </c>
      <c r="BY124">
        <v>0.22505</v>
      </c>
      <c r="BZ124">
        <v>-0.121707</v>
      </c>
      <c r="CA124">
        <v>-0.41676000000000002</v>
      </c>
      <c r="CB124">
        <v>-0.20730000000000001</v>
      </c>
      <c r="CC124">
        <v>-0.1226</v>
      </c>
      <c r="CD124">
        <v>-2.5999999999999999E-2</v>
      </c>
      <c r="CE124">
        <v>1.15E-2</v>
      </c>
      <c r="CF124">
        <v>5.1999999999999998E-2</v>
      </c>
      <c r="CG124">
        <v>0.14299999999999999</v>
      </c>
      <c r="CH124">
        <v>0.308</v>
      </c>
      <c r="CI124">
        <v>11.071598</v>
      </c>
      <c r="CJ124">
        <v>15.851601</v>
      </c>
      <c r="CK124">
        <v>18.178501000000001</v>
      </c>
      <c r="CL124">
        <v>19.507000000000001</v>
      </c>
      <c r="CM124">
        <v>21.700201</v>
      </c>
      <c r="CN124">
        <v>22.3552</v>
      </c>
      <c r="CO124">
        <v>23.556958999999999</v>
      </c>
      <c r="CP124">
        <v>0.35974299999999998</v>
      </c>
      <c r="CQ124">
        <v>12.265224999999999</v>
      </c>
      <c r="CR124">
        <v>14.314904</v>
      </c>
      <c r="CS124">
        <v>1</v>
      </c>
      <c r="CT124">
        <v>54</v>
      </c>
      <c r="CU124">
        <v>15.308605</v>
      </c>
      <c r="CV124">
        <v>1</v>
      </c>
      <c r="CW124">
        <v>12.565165</v>
      </c>
      <c r="CX124">
        <v>157.883375</v>
      </c>
      <c r="CY124">
        <v>0.82079100000000005</v>
      </c>
      <c r="CZ124">
        <v>16</v>
      </c>
      <c r="DA124">
        <v>0.999942</v>
      </c>
      <c r="DB124">
        <v>3.0526490000000002</v>
      </c>
      <c r="DC124">
        <v>10.160519000000001</v>
      </c>
      <c r="DD124">
        <v>15.308605</v>
      </c>
      <c r="DE124">
        <v>6.8190549999999996</v>
      </c>
      <c r="DF124">
        <v>1.758378</v>
      </c>
      <c r="DG124">
        <v>0.61332699999999996</v>
      </c>
      <c r="DH124">
        <v>0.44543899999999997</v>
      </c>
      <c r="DI124">
        <v>0.25786199999999998</v>
      </c>
      <c r="DJ124">
        <v>8.9942999999999995E-2</v>
      </c>
      <c r="DK124">
        <v>1</v>
      </c>
      <c r="DL124">
        <v>1</v>
      </c>
      <c r="DM124">
        <v>2</v>
      </c>
      <c r="DN124">
        <v>5</v>
      </c>
      <c r="DO124">
        <v>6</v>
      </c>
      <c r="DP124">
        <v>6</v>
      </c>
      <c r="DQ124">
        <v>9</v>
      </c>
      <c r="DR124">
        <v>12</v>
      </c>
      <c r="DS124">
        <v>15</v>
      </c>
      <c r="DT124">
        <v>19</v>
      </c>
      <c r="DU124">
        <v>22</v>
      </c>
      <c r="DV124">
        <v>26</v>
      </c>
      <c r="DW124">
        <v>36</v>
      </c>
      <c r="DX124">
        <v>42</v>
      </c>
      <c r="DY124">
        <v>48</v>
      </c>
      <c r="DZ124">
        <v>76.829267999999999</v>
      </c>
      <c r="EA124">
        <v>47.576656999999997</v>
      </c>
      <c r="EB124">
        <v>97.764228000000003</v>
      </c>
      <c r="EC124">
        <v>1890</v>
      </c>
      <c r="ED124">
        <v>2405</v>
      </c>
      <c r="EE124">
        <v>74.756097999999994</v>
      </c>
      <c r="EF124">
        <v>96.951220000000006</v>
      </c>
      <c r="EG124">
        <v>44.846685999999998</v>
      </c>
      <c r="EH124">
        <v>78.120672999999996</v>
      </c>
      <c r="EI124">
        <v>92.154471999999998</v>
      </c>
      <c r="EJ124">
        <v>160.52845500000001</v>
      </c>
      <c r="EK124">
        <v>1839</v>
      </c>
      <c r="EL124">
        <v>2385</v>
      </c>
      <c r="EM124">
        <v>2267</v>
      </c>
      <c r="EN124">
        <v>3949</v>
      </c>
      <c r="EO124">
        <v>2460</v>
      </c>
      <c r="EP124">
        <v>5055</v>
      </c>
      <c r="EQ124">
        <v>33.639158000000002</v>
      </c>
    </row>
    <row r="125" spans="1:147" x14ac:dyDescent="0.25">
      <c r="A125">
        <v>2022</v>
      </c>
      <c r="B125" t="str">
        <f t="shared" si="2"/>
        <v>RD</v>
      </c>
      <c r="C125" t="s">
        <v>801</v>
      </c>
      <c r="D125" t="s">
        <v>801</v>
      </c>
      <c r="E125">
        <v>24425</v>
      </c>
      <c r="F125" t="s">
        <v>802</v>
      </c>
      <c r="G125" t="s">
        <v>247</v>
      </c>
      <c r="H125" t="s">
        <v>803</v>
      </c>
      <c r="I125">
        <v>33.64</v>
      </c>
      <c r="J125">
        <v>33.64</v>
      </c>
      <c r="K125" t="s">
        <v>219</v>
      </c>
      <c r="L125">
        <v>1</v>
      </c>
      <c r="M125">
        <v>2016</v>
      </c>
      <c r="N125">
        <v>3</v>
      </c>
      <c r="O125" t="str">
        <f t="shared" si="3"/>
        <v>Alto fuste</v>
      </c>
      <c r="P125" s="2">
        <v>42548</v>
      </c>
      <c r="Q125" t="s">
        <v>237</v>
      </c>
      <c r="R125" t="s">
        <v>165</v>
      </c>
      <c r="S125" t="s">
        <v>154</v>
      </c>
      <c r="T125" t="s">
        <v>221</v>
      </c>
      <c r="U125" t="s">
        <v>156</v>
      </c>
      <c r="V125" s="2">
        <v>44823</v>
      </c>
      <c r="W125" t="s">
        <v>250</v>
      </c>
      <c r="X125">
        <v>544.69000000000005</v>
      </c>
      <c r="Y125">
        <v>20.3</v>
      </c>
      <c r="Z125">
        <v>22</v>
      </c>
      <c r="AA125">
        <v>15</v>
      </c>
      <c r="AB125">
        <v>1</v>
      </c>
      <c r="AC125">
        <v>304.5</v>
      </c>
      <c r="AD125">
        <v>282.284483872333</v>
      </c>
      <c r="AE125" s="2">
        <v>44823</v>
      </c>
      <c r="AF125">
        <v>75</v>
      </c>
      <c r="AG125">
        <v>6.2286105407255299</v>
      </c>
      <c r="AH125">
        <v>22.968112443987799</v>
      </c>
      <c r="AI125">
        <v>13.843243243243201</v>
      </c>
      <c r="AJ125">
        <v>20.232223107094399</v>
      </c>
      <c r="AK125">
        <v>37</v>
      </c>
      <c r="AL125">
        <v>1310.7344581055199</v>
      </c>
      <c r="AM125">
        <v>218.975406309097</v>
      </c>
      <c r="AN125">
        <v>0.16706313392080499</v>
      </c>
      <c r="AO125" t="s">
        <v>165</v>
      </c>
      <c r="AP125" t="s">
        <v>158</v>
      </c>
      <c r="AQ125" t="s">
        <v>793</v>
      </c>
      <c r="AR125">
        <v>7.5</v>
      </c>
      <c r="AS125">
        <v>0.9830508435791433</v>
      </c>
      <c r="AT125" t="s">
        <v>804</v>
      </c>
      <c r="AU125" t="s">
        <v>805</v>
      </c>
      <c r="AV125">
        <v>7865</v>
      </c>
      <c r="AW125">
        <v>4501</v>
      </c>
      <c r="AX125">
        <v>2867</v>
      </c>
      <c r="AY125">
        <v>481</v>
      </c>
      <c r="AZ125">
        <v>16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-1.0229999999999999</v>
      </c>
      <c r="BH125">
        <v>25.922999999999998</v>
      </c>
      <c r="BI125">
        <v>11.850962000000001</v>
      </c>
      <c r="BJ125">
        <v>-0.167571</v>
      </c>
      <c r="BK125">
        <v>9.7636020000000006</v>
      </c>
      <c r="BL125">
        <v>95.327928</v>
      </c>
      <c r="BM125">
        <v>0.82386599999999999</v>
      </c>
      <c r="BN125">
        <v>21.401001000000001</v>
      </c>
      <c r="BO125">
        <v>-9.1470000000000006E-3</v>
      </c>
      <c r="BP125">
        <v>1.2647299999999999</v>
      </c>
      <c r="BQ125">
        <v>9.2503860000000007</v>
      </c>
      <c r="BR125">
        <v>10.585998999999999</v>
      </c>
      <c r="BS125">
        <v>10.985571</v>
      </c>
      <c r="BT125">
        <v>11.850962000000001</v>
      </c>
      <c r="BU125">
        <v>5.4513689999999997</v>
      </c>
      <c r="BV125">
        <v>-5.4929999999999996E-3</v>
      </c>
      <c r="BW125">
        <v>-0.80787799999999999</v>
      </c>
      <c r="BX125">
        <v>0.45999400000000001</v>
      </c>
      <c r="BY125">
        <v>-1.008E-3</v>
      </c>
      <c r="BZ125">
        <v>-0.148197</v>
      </c>
      <c r="CA125">
        <v>-0.36136000000000001</v>
      </c>
      <c r="CB125">
        <v>-0.1268</v>
      </c>
      <c r="CC125">
        <v>3.0000000000000001E-3</v>
      </c>
      <c r="CD125">
        <v>0.216</v>
      </c>
      <c r="CE125">
        <v>0.44800000000000001</v>
      </c>
      <c r="CF125">
        <v>3.1501999999999999</v>
      </c>
      <c r="CG125">
        <v>5.8221999999999996</v>
      </c>
      <c r="CH125">
        <v>10.818</v>
      </c>
      <c r="CI125">
        <v>19.3508</v>
      </c>
      <c r="CJ125">
        <v>21.3538</v>
      </c>
      <c r="CK125">
        <v>21.849001000000001</v>
      </c>
      <c r="CL125">
        <v>22.382401000000002</v>
      </c>
      <c r="CM125">
        <v>23.413800999999999</v>
      </c>
      <c r="CN125">
        <v>24.297799999999999</v>
      </c>
      <c r="CO125">
        <v>25.076440999999999</v>
      </c>
      <c r="CP125">
        <v>0.477769</v>
      </c>
      <c r="CQ125">
        <v>15.354514</v>
      </c>
      <c r="CR125">
        <v>17.150506</v>
      </c>
      <c r="CS125">
        <v>1</v>
      </c>
      <c r="CT125">
        <v>51</v>
      </c>
      <c r="CU125">
        <v>14.022759000000001</v>
      </c>
      <c r="CV125">
        <v>1</v>
      </c>
      <c r="CW125">
        <v>9.8643579999999993</v>
      </c>
      <c r="CX125">
        <v>97.30556</v>
      </c>
      <c r="CY125">
        <v>0.70345299999999999</v>
      </c>
      <c r="CZ125">
        <v>14</v>
      </c>
      <c r="DA125">
        <v>0.80949499999999996</v>
      </c>
      <c r="DB125">
        <v>3.2102050000000002</v>
      </c>
      <c r="DC125">
        <v>7.9904719999999996</v>
      </c>
      <c r="DD125">
        <v>14.022759000000001</v>
      </c>
      <c r="DE125">
        <v>5.4786349999999997</v>
      </c>
      <c r="DF125">
        <v>0.92712799999999995</v>
      </c>
      <c r="DG125">
        <v>0.46685900000000002</v>
      </c>
      <c r="DH125">
        <v>0.39069599999999999</v>
      </c>
      <c r="DI125">
        <v>0.16922599999999999</v>
      </c>
      <c r="DJ125">
        <v>8.5213999999999998E-2</v>
      </c>
      <c r="DK125">
        <v>1</v>
      </c>
      <c r="DL125">
        <v>1</v>
      </c>
      <c r="DM125">
        <v>3</v>
      </c>
      <c r="DN125">
        <v>5</v>
      </c>
      <c r="DO125">
        <v>6</v>
      </c>
      <c r="DP125">
        <v>7</v>
      </c>
      <c r="DQ125">
        <v>10</v>
      </c>
      <c r="DR125">
        <v>12</v>
      </c>
      <c r="DS125">
        <v>15</v>
      </c>
      <c r="DT125">
        <v>19</v>
      </c>
      <c r="DU125">
        <v>20</v>
      </c>
      <c r="DV125">
        <v>22</v>
      </c>
      <c r="DW125">
        <v>28</v>
      </c>
      <c r="DX125">
        <v>33.799804999999999</v>
      </c>
      <c r="DY125">
        <v>41</v>
      </c>
      <c r="DZ125">
        <v>90.579870999999997</v>
      </c>
      <c r="EA125">
        <v>70.247934000000001</v>
      </c>
      <c r="EB125">
        <v>122.7505</v>
      </c>
      <c r="EC125">
        <v>4077</v>
      </c>
      <c r="ED125">
        <v>5525</v>
      </c>
      <c r="EE125">
        <v>78.982448000000005</v>
      </c>
      <c r="EF125">
        <v>99.955565000000007</v>
      </c>
      <c r="EG125">
        <v>49.20534</v>
      </c>
      <c r="EH125">
        <v>96.325492999999994</v>
      </c>
      <c r="EI125">
        <v>85.980892999999995</v>
      </c>
      <c r="EJ125">
        <v>168.318152</v>
      </c>
      <c r="EK125">
        <v>3555</v>
      </c>
      <c r="EL125">
        <v>4499</v>
      </c>
      <c r="EM125">
        <v>3870</v>
      </c>
      <c r="EN125">
        <v>7576</v>
      </c>
      <c r="EO125">
        <v>4501</v>
      </c>
      <c r="EP125">
        <v>7865</v>
      </c>
      <c r="EQ125">
        <v>46.300269</v>
      </c>
    </row>
    <row r="126" spans="1:147" x14ac:dyDescent="0.25">
      <c r="A126">
        <v>2022</v>
      </c>
      <c r="B126" t="str">
        <f t="shared" si="2"/>
        <v>RD</v>
      </c>
      <c r="C126" t="s">
        <v>806</v>
      </c>
      <c r="D126" t="s">
        <v>806</v>
      </c>
      <c r="E126">
        <v>24432</v>
      </c>
      <c r="F126" t="s">
        <v>802</v>
      </c>
      <c r="G126" t="s">
        <v>247</v>
      </c>
      <c r="H126" t="s">
        <v>807</v>
      </c>
      <c r="I126">
        <v>28.74</v>
      </c>
      <c r="J126">
        <v>28.74</v>
      </c>
      <c r="K126" t="s">
        <v>219</v>
      </c>
      <c r="L126">
        <v>1</v>
      </c>
      <c r="M126">
        <v>2016</v>
      </c>
      <c r="N126">
        <v>3</v>
      </c>
      <c r="O126" t="str">
        <f t="shared" si="3"/>
        <v>Alto fuste</v>
      </c>
      <c r="P126" s="2">
        <v>42639</v>
      </c>
      <c r="Q126" t="s">
        <v>237</v>
      </c>
      <c r="R126" t="s">
        <v>808</v>
      </c>
      <c r="S126" t="s">
        <v>154</v>
      </c>
      <c r="T126" t="s">
        <v>221</v>
      </c>
      <c r="U126" t="s">
        <v>156</v>
      </c>
      <c r="V126" s="2">
        <v>44816</v>
      </c>
      <c r="W126" t="s">
        <v>250</v>
      </c>
      <c r="X126">
        <v>544.69000000000005</v>
      </c>
      <c r="Y126">
        <v>19.8</v>
      </c>
      <c r="Z126">
        <v>6</v>
      </c>
      <c r="AA126">
        <v>15</v>
      </c>
      <c r="AB126">
        <v>0</v>
      </c>
      <c r="AC126">
        <v>297</v>
      </c>
      <c r="AD126">
        <v>295.37300292437698</v>
      </c>
      <c r="AE126" s="2">
        <v>44816</v>
      </c>
      <c r="AF126">
        <v>72</v>
      </c>
      <c r="AG126">
        <v>5.9603011635865801</v>
      </c>
      <c r="AH126">
        <v>26.5576303896685</v>
      </c>
      <c r="AI126">
        <v>14.0820512820513</v>
      </c>
      <c r="AJ126">
        <v>20.908178344544901</v>
      </c>
      <c r="AK126">
        <v>39</v>
      </c>
      <c r="AL126">
        <v>1320.36440750765</v>
      </c>
      <c r="AM126">
        <v>269.171510691246</v>
      </c>
      <c r="AN126">
        <v>0.203861531832217</v>
      </c>
      <c r="AO126" t="s">
        <v>808</v>
      </c>
      <c r="AP126" t="s">
        <v>158</v>
      </c>
      <c r="AQ126" t="s">
        <v>251</v>
      </c>
      <c r="AR126">
        <v>7.5</v>
      </c>
      <c r="AS126">
        <v>0.99027330563073646</v>
      </c>
      <c r="AT126" t="s">
        <v>809</v>
      </c>
      <c r="AU126" t="s">
        <v>810</v>
      </c>
      <c r="AV126">
        <v>7823</v>
      </c>
      <c r="AW126">
        <v>4401</v>
      </c>
      <c r="AX126">
        <v>2798</v>
      </c>
      <c r="AY126">
        <v>559</v>
      </c>
      <c r="AZ126">
        <v>65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-0.89200000000000002</v>
      </c>
      <c r="BH126">
        <v>28.128</v>
      </c>
      <c r="BI126">
        <v>14.176365000000001</v>
      </c>
      <c r="BJ126">
        <v>2.9270000000000001E-2</v>
      </c>
      <c r="BK126">
        <v>11.612247</v>
      </c>
      <c r="BL126">
        <v>134.84428399999999</v>
      </c>
      <c r="BM126">
        <v>0.81912700000000005</v>
      </c>
      <c r="BN126">
        <v>25.18</v>
      </c>
      <c r="BO126">
        <v>-0.245921</v>
      </c>
      <c r="BP126">
        <v>1.2384040000000001</v>
      </c>
      <c r="BQ126">
        <v>10.947638</v>
      </c>
      <c r="BR126">
        <v>8.1089990000000007</v>
      </c>
      <c r="BS126">
        <v>18.150729999999999</v>
      </c>
      <c r="BT126">
        <v>14.176365000000001</v>
      </c>
      <c r="BU126">
        <v>6.2821569999999998</v>
      </c>
      <c r="BV126">
        <v>-0.50623799999999997</v>
      </c>
      <c r="BW126">
        <v>-1.144412</v>
      </c>
      <c r="BX126">
        <v>0.44314300000000001</v>
      </c>
      <c r="BY126">
        <v>-8.0583000000000002E-2</v>
      </c>
      <c r="BZ126">
        <v>-0.182169</v>
      </c>
      <c r="CA126">
        <v>-0.376</v>
      </c>
      <c r="CB126">
        <v>-0.14699999999999999</v>
      </c>
      <c r="CC126">
        <v>-6.0999999999999999E-2</v>
      </c>
      <c r="CD126">
        <v>5.4399999999999997E-2</v>
      </c>
      <c r="CE126">
        <v>0.115</v>
      </c>
      <c r="CF126">
        <v>0.20499999999999999</v>
      </c>
      <c r="CG126">
        <v>10.946</v>
      </c>
      <c r="CH126">
        <v>18.18</v>
      </c>
      <c r="CI126">
        <v>24.030000999999999</v>
      </c>
      <c r="CJ126">
        <v>24.879000000000001</v>
      </c>
      <c r="CK126">
        <v>25.295000000000002</v>
      </c>
      <c r="CL126">
        <v>25.663</v>
      </c>
      <c r="CM126">
        <v>26.320799000000001</v>
      </c>
      <c r="CN126">
        <v>26.719899999999999</v>
      </c>
      <c r="CO126">
        <v>27.297001000000002</v>
      </c>
      <c r="CP126">
        <v>0.51924099999999995</v>
      </c>
      <c r="CQ126">
        <v>18.324746999999999</v>
      </c>
      <c r="CR126">
        <v>20.163701</v>
      </c>
      <c r="CS126">
        <v>1</v>
      </c>
      <c r="CT126">
        <v>62</v>
      </c>
      <c r="CU126">
        <v>16.695640999999998</v>
      </c>
      <c r="CV126">
        <v>1</v>
      </c>
      <c r="CW126">
        <v>11.804306</v>
      </c>
      <c r="CX126">
        <v>139.34164200000001</v>
      </c>
      <c r="CY126">
        <v>0.70702900000000002</v>
      </c>
      <c r="CZ126">
        <v>17</v>
      </c>
      <c r="DA126">
        <v>0.78029000000000004</v>
      </c>
      <c r="DB126">
        <v>3.35202</v>
      </c>
      <c r="DC126">
        <v>9.635567</v>
      </c>
      <c r="DD126">
        <v>16.695640999999998</v>
      </c>
      <c r="DE126">
        <v>6.5622069999999999</v>
      </c>
      <c r="DF126">
        <v>0.96490200000000004</v>
      </c>
      <c r="DG126">
        <v>0.50193699999999997</v>
      </c>
      <c r="DH126">
        <v>0.39304899999999998</v>
      </c>
      <c r="DI126">
        <v>0.147039</v>
      </c>
      <c r="DJ126">
        <v>7.6489000000000001E-2</v>
      </c>
      <c r="DK126">
        <v>1</v>
      </c>
      <c r="DL126">
        <v>1</v>
      </c>
      <c r="DM126">
        <v>3</v>
      </c>
      <c r="DN126">
        <v>5</v>
      </c>
      <c r="DO126">
        <v>7</v>
      </c>
      <c r="DP126">
        <v>8</v>
      </c>
      <c r="DQ126">
        <v>12</v>
      </c>
      <c r="DR126">
        <v>15</v>
      </c>
      <c r="DS126">
        <v>19</v>
      </c>
      <c r="DT126">
        <v>23</v>
      </c>
      <c r="DU126">
        <v>24</v>
      </c>
      <c r="DV126">
        <v>26</v>
      </c>
      <c r="DW126">
        <v>31</v>
      </c>
      <c r="DX126">
        <v>39</v>
      </c>
      <c r="DY126">
        <v>50</v>
      </c>
      <c r="DZ126">
        <v>91.388321000000005</v>
      </c>
      <c r="EA126">
        <v>62.827559999999998</v>
      </c>
      <c r="EB126">
        <v>111.679164</v>
      </c>
      <c r="EC126">
        <v>4022</v>
      </c>
      <c r="ED126">
        <v>4915</v>
      </c>
      <c r="EE126">
        <v>87.775505999999993</v>
      </c>
      <c r="EF126">
        <v>98.591228999999998</v>
      </c>
      <c r="EG126">
        <v>56.091014000000001</v>
      </c>
      <c r="EH126">
        <v>82.385273999999995</v>
      </c>
      <c r="EI126">
        <v>99.704612999999995</v>
      </c>
      <c r="EJ126">
        <v>146.44399000000001</v>
      </c>
      <c r="EK126">
        <v>3863</v>
      </c>
      <c r="EL126">
        <v>4339</v>
      </c>
      <c r="EM126">
        <v>4388</v>
      </c>
      <c r="EN126">
        <v>6445</v>
      </c>
      <c r="EO126">
        <v>4401</v>
      </c>
      <c r="EP126">
        <v>7823</v>
      </c>
      <c r="EQ126">
        <v>50.977213999999996</v>
      </c>
    </row>
    <row r="127" spans="1:147" x14ac:dyDescent="0.25">
      <c r="A127">
        <v>2022</v>
      </c>
      <c r="B127" t="str">
        <f t="shared" si="2"/>
        <v>RD</v>
      </c>
      <c r="C127" t="s">
        <v>811</v>
      </c>
      <c r="D127" t="s">
        <v>811</v>
      </c>
      <c r="E127">
        <v>24436</v>
      </c>
      <c r="F127" t="s">
        <v>812</v>
      </c>
      <c r="G127" t="s">
        <v>813</v>
      </c>
      <c r="H127" t="s">
        <v>814</v>
      </c>
      <c r="I127">
        <v>21.56</v>
      </c>
      <c r="J127">
        <v>21.56</v>
      </c>
      <c r="K127" t="s">
        <v>261</v>
      </c>
      <c r="L127">
        <v>1</v>
      </c>
      <c r="M127">
        <v>2016</v>
      </c>
      <c r="N127">
        <v>2</v>
      </c>
      <c r="O127" t="str">
        <f t="shared" si="3"/>
        <v>Alto fuste</v>
      </c>
      <c r="P127" s="2">
        <v>42704</v>
      </c>
      <c r="Q127" t="s">
        <v>237</v>
      </c>
      <c r="R127" t="s">
        <v>815</v>
      </c>
      <c r="S127" t="s">
        <v>154</v>
      </c>
      <c r="T127" t="s">
        <v>221</v>
      </c>
      <c r="U127" t="s">
        <v>156</v>
      </c>
      <c r="V127" s="2">
        <v>44686</v>
      </c>
      <c r="W127" t="s">
        <v>816</v>
      </c>
      <c r="X127">
        <v>60.26</v>
      </c>
      <c r="Y127">
        <v>19.899999999999999</v>
      </c>
      <c r="Z127">
        <v>18</v>
      </c>
      <c r="AA127">
        <v>14.9</v>
      </c>
      <c r="AB127">
        <v>2</v>
      </c>
      <c r="AC127">
        <v>296.51</v>
      </c>
      <c r="AD127">
        <v>281.82598222594999</v>
      </c>
      <c r="AE127" s="2">
        <v>44686</v>
      </c>
      <c r="AF127">
        <v>66</v>
      </c>
      <c r="AG127">
        <v>5.4264202600958296</v>
      </c>
      <c r="AH127">
        <v>20.6287336550816</v>
      </c>
      <c r="AI127">
        <v>13.0027777777778</v>
      </c>
      <c r="AJ127">
        <v>17.823299657689201</v>
      </c>
      <c r="AK127">
        <v>36</v>
      </c>
      <c r="AL127">
        <v>1277.38399829784</v>
      </c>
      <c r="AM127">
        <v>177.41049655152901</v>
      </c>
      <c r="AN127">
        <v>0.13888579846619001</v>
      </c>
      <c r="AO127" t="s">
        <v>815</v>
      </c>
      <c r="AP127" t="s">
        <v>158</v>
      </c>
      <c r="AQ127" t="s">
        <v>304</v>
      </c>
      <c r="AR127">
        <v>7.5</v>
      </c>
      <c r="AS127">
        <v>0.95803799872338014</v>
      </c>
      <c r="AT127" t="s">
        <v>817</v>
      </c>
      <c r="AU127" t="s">
        <v>818</v>
      </c>
      <c r="AV127">
        <v>3536</v>
      </c>
      <c r="AW127">
        <v>1993</v>
      </c>
      <c r="AX127">
        <v>1278</v>
      </c>
      <c r="AY127">
        <v>253</v>
      </c>
      <c r="AZ127">
        <v>12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-0.85</v>
      </c>
      <c r="BH127">
        <v>27.92</v>
      </c>
      <c r="BI127">
        <v>12.252817</v>
      </c>
      <c r="BJ127">
        <v>6.3333E-2</v>
      </c>
      <c r="BK127">
        <v>10.266597000000001</v>
      </c>
      <c r="BL127">
        <v>105.403007</v>
      </c>
      <c r="BM127">
        <v>0.837897</v>
      </c>
      <c r="BN127">
        <v>21.732500999999999</v>
      </c>
      <c r="BO127">
        <v>-0.117104</v>
      </c>
      <c r="BP127">
        <v>1.299015</v>
      </c>
      <c r="BQ127">
        <v>9.5680309999999995</v>
      </c>
      <c r="BR127">
        <v>9.1850009999999997</v>
      </c>
      <c r="BS127">
        <v>15.121665999999999</v>
      </c>
      <c r="BT127">
        <v>12.252817</v>
      </c>
      <c r="BU127">
        <v>5.689146</v>
      </c>
      <c r="BV127">
        <v>-2.5340000000000001E-2</v>
      </c>
      <c r="BW127">
        <v>-0.82761899999999999</v>
      </c>
      <c r="BX127">
        <v>0.46431299999999998</v>
      </c>
      <c r="BY127">
        <v>-4.4539999999999996E-3</v>
      </c>
      <c r="BZ127">
        <v>-0.14547299999999999</v>
      </c>
      <c r="CA127">
        <v>-0.26</v>
      </c>
      <c r="CB127">
        <v>-0.03</v>
      </c>
      <c r="CC127">
        <v>7.0000000000000007E-2</v>
      </c>
      <c r="CD127">
        <v>0.21</v>
      </c>
      <c r="CE127">
        <v>0.28999999999999998</v>
      </c>
      <c r="CF127">
        <v>0.38</v>
      </c>
      <c r="CG127">
        <v>7.81</v>
      </c>
      <c r="CH127">
        <v>15.184998999999999</v>
      </c>
      <c r="CI127">
        <v>18.579999999999998</v>
      </c>
      <c r="CJ127">
        <v>20.82</v>
      </c>
      <c r="CK127">
        <v>22.022500999999998</v>
      </c>
      <c r="CL127">
        <v>23.27</v>
      </c>
      <c r="CM127">
        <v>24.469999000000001</v>
      </c>
      <c r="CN127">
        <v>25.32</v>
      </c>
      <c r="CO127">
        <v>26.722998</v>
      </c>
      <c r="CP127">
        <v>0.45543299999999998</v>
      </c>
      <c r="CQ127">
        <v>15.984515</v>
      </c>
      <c r="CR127">
        <v>17.743480000000002</v>
      </c>
      <c r="CS127">
        <v>1</v>
      </c>
      <c r="CT127">
        <v>46</v>
      </c>
      <c r="CU127">
        <v>10.539593</v>
      </c>
      <c r="CV127">
        <v>1</v>
      </c>
      <c r="CW127">
        <v>7.8025209999999996</v>
      </c>
      <c r="CX127">
        <v>60.879337</v>
      </c>
      <c r="CY127">
        <v>0.74030600000000002</v>
      </c>
      <c r="CZ127">
        <v>9</v>
      </c>
      <c r="DA127">
        <v>1.137202</v>
      </c>
      <c r="DB127">
        <v>4.1176839999999997</v>
      </c>
      <c r="DC127">
        <v>6.0904569999999998</v>
      </c>
      <c r="DD127">
        <v>10.539593</v>
      </c>
      <c r="DE127">
        <v>4.210858</v>
      </c>
      <c r="DF127">
        <v>0.94679000000000002</v>
      </c>
      <c r="DG127">
        <v>0.52832000000000001</v>
      </c>
      <c r="DH127">
        <v>0.39952799999999999</v>
      </c>
      <c r="DI127">
        <v>0.22484499999999999</v>
      </c>
      <c r="DJ127">
        <v>0.12546599999999999</v>
      </c>
      <c r="DK127">
        <v>1</v>
      </c>
      <c r="DL127">
        <v>1</v>
      </c>
      <c r="DM127">
        <v>2</v>
      </c>
      <c r="DN127">
        <v>4</v>
      </c>
      <c r="DO127">
        <v>5</v>
      </c>
      <c r="DP127">
        <v>5</v>
      </c>
      <c r="DQ127">
        <v>7</v>
      </c>
      <c r="DR127">
        <v>9</v>
      </c>
      <c r="DS127">
        <v>11</v>
      </c>
      <c r="DT127">
        <v>13</v>
      </c>
      <c r="DU127">
        <v>14</v>
      </c>
      <c r="DV127">
        <v>16</v>
      </c>
      <c r="DW127">
        <v>21</v>
      </c>
      <c r="DX127">
        <v>27</v>
      </c>
      <c r="DY127">
        <v>35</v>
      </c>
      <c r="DZ127">
        <v>86.954340000000002</v>
      </c>
      <c r="EA127">
        <v>61.877828000000001</v>
      </c>
      <c r="EB127">
        <v>109.784245</v>
      </c>
      <c r="EC127">
        <v>1733</v>
      </c>
      <c r="ED127">
        <v>2188</v>
      </c>
      <c r="EE127">
        <v>82.589061999999998</v>
      </c>
      <c r="EF127">
        <v>98.996487999999999</v>
      </c>
      <c r="EG127">
        <v>55.627828000000001</v>
      </c>
      <c r="EH127">
        <v>90.243212999999997</v>
      </c>
      <c r="EI127">
        <v>98.695434000000006</v>
      </c>
      <c r="EJ127">
        <v>160.11038600000001</v>
      </c>
      <c r="EK127">
        <v>1646</v>
      </c>
      <c r="EL127">
        <v>1973</v>
      </c>
      <c r="EM127">
        <v>1967</v>
      </c>
      <c r="EN127">
        <v>3191</v>
      </c>
      <c r="EO127">
        <v>1993</v>
      </c>
      <c r="EP127">
        <v>3536</v>
      </c>
      <c r="EQ127">
        <v>44.865307999999999</v>
      </c>
    </row>
    <row r="128" spans="1:147" x14ac:dyDescent="0.25">
      <c r="A128">
        <v>2022</v>
      </c>
      <c r="B128" t="str">
        <f t="shared" si="2"/>
        <v>RD</v>
      </c>
      <c r="C128" t="s">
        <v>819</v>
      </c>
      <c r="D128" t="s">
        <v>819</v>
      </c>
      <c r="E128">
        <v>24437</v>
      </c>
      <c r="F128" t="s">
        <v>812</v>
      </c>
      <c r="G128" t="s">
        <v>813</v>
      </c>
      <c r="H128" t="s">
        <v>820</v>
      </c>
      <c r="I128">
        <v>34.770000000000003</v>
      </c>
      <c r="J128">
        <v>34.770000000000003</v>
      </c>
      <c r="K128" t="s">
        <v>261</v>
      </c>
      <c r="L128">
        <v>1</v>
      </c>
      <c r="M128">
        <v>2016</v>
      </c>
      <c r="N128">
        <v>2</v>
      </c>
      <c r="O128" t="str">
        <f t="shared" si="3"/>
        <v>Alto fuste</v>
      </c>
      <c r="P128" s="2">
        <v>42699</v>
      </c>
      <c r="Q128" t="s">
        <v>237</v>
      </c>
      <c r="R128" t="s">
        <v>821</v>
      </c>
      <c r="S128" t="s">
        <v>154</v>
      </c>
      <c r="T128" t="s">
        <v>221</v>
      </c>
      <c r="U128" t="s">
        <v>156</v>
      </c>
      <c r="V128" s="2">
        <v>44686</v>
      </c>
      <c r="W128" t="s">
        <v>816</v>
      </c>
      <c r="X128">
        <v>60.26</v>
      </c>
      <c r="Y128">
        <v>20.5</v>
      </c>
      <c r="Z128">
        <v>15</v>
      </c>
      <c r="AA128">
        <v>15</v>
      </c>
      <c r="AB128">
        <v>2</v>
      </c>
      <c r="AC128">
        <v>307.5</v>
      </c>
      <c r="AD128">
        <v>296.84125369004698</v>
      </c>
      <c r="AE128" s="2">
        <v>44686</v>
      </c>
      <c r="AF128">
        <v>66</v>
      </c>
      <c r="AG128">
        <v>5.4401095140314899</v>
      </c>
      <c r="AH128">
        <v>22.8117070763603</v>
      </c>
      <c r="AI128">
        <v>13.972727272727299</v>
      </c>
      <c r="AJ128">
        <v>17.205105464145898</v>
      </c>
      <c r="AK128">
        <v>33</v>
      </c>
      <c r="AL128">
        <v>1111.70531689162</v>
      </c>
      <c r="AM128">
        <v>182.65867117447101</v>
      </c>
      <c r="AN128">
        <v>0.16430493620844899</v>
      </c>
      <c r="AO128" t="s">
        <v>821</v>
      </c>
      <c r="AP128" t="s">
        <v>158</v>
      </c>
      <c r="AQ128" t="s">
        <v>304</v>
      </c>
      <c r="AR128">
        <v>7.5</v>
      </c>
      <c r="AS128">
        <v>0.83377898766871639</v>
      </c>
      <c r="AT128" t="s">
        <v>822</v>
      </c>
      <c r="AU128" t="s">
        <v>823</v>
      </c>
      <c r="AV128">
        <v>3231</v>
      </c>
      <c r="AW128">
        <v>1894</v>
      </c>
      <c r="AX128">
        <v>1319</v>
      </c>
      <c r="AY128">
        <v>17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-0.7</v>
      </c>
      <c r="BH128">
        <v>24.51</v>
      </c>
      <c r="BI128">
        <v>11.156388</v>
      </c>
      <c r="BJ128">
        <v>0.100317</v>
      </c>
      <c r="BK128">
        <v>10.706533</v>
      </c>
      <c r="BL128">
        <v>114.629853</v>
      </c>
      <c r="BM128">
        <v>0.959677</v>
      </c>
      <c r="BN128">
        <v>21.440000999999999</v>
      </c>
      <c r="BO128">
        <v>-1.7933000000000001E-2</v>
      </c>
      <c r="BP128">
        <v>1.037031</v>
      </c>
      <c r="BQ128">
        <v>10.639951</v>
      </c>
      <c r="BR128">
        <v>5.91</v>
      </c>
      <c r="BS128">
        <v>17.979683000000001</v>
      </c>
      <c r="BT128">
        <v>11.156388</v>
      </c>
      <c r="BU128">
        <v>5.5717780000000001</v>
      </c>
      <c r="BV128">
        <v>0.12573100000000001</v>
      </c>
      <c r="BW128">
        <v>-1.182458</v>
      </c>
      <c r="BX128">
        <v>0.49942500000000001</v>
      </c>
      <c r="BY128">
        <v>2.2565999999999999E-2</v>
      </c>
      <c r="BZ128">
        <v>-0.21222299999999999</v>
      </c>
      <c r="CA128">
        <v>-0.28999999999999998</v>
      </c>
      <c r="CB128">
        <v>-0.02</v>
      </c>
      <c r="CC128">
        <v>0.09</v>
      </c>
      <c r="CD128">
        <v>0.2</v>
      </c>
      <c r="CE128">
        <v>0.25</v>
      </c>
      <c r="CF128">
        <v>0.28999999999999998</v>
      </c>
      <c r="CG128">
        <v>0.4</v>
      </c>
      <c r="CH128">
        <v>18.079999999999998</v>
      </c>
      <c r="CI128">
        <v>20.58</v>
      </c>
      <c r="CJ128">
        <v>21.280000999999999</v>
      </c>
      <c r="CK128">
        <v>21.690000999999999</v>
      </c>
      <c r="CL128">
        <v>22.129999000000002</v>
      </c>
      <c r="CM128">
        <v>22.889999</v>
      </c>
      <c r="CN128">
        <v>23.34</v>
      </c>
      <c r="CO128">
        <v>23.943999999999999</v>
      </c>
      <c r="CP128">
        <v>0.47030499999999997</v>
      </c>
      <c r="CQ128">
        <v>15.461544999999999</v>
      </c>
      <c r="CR128">
        <v>17.326948999999999</v>
      </c>
      <c r="CS128">
        <v>1</v>
      </c>
      <c r="CT128">
        <v>47</v>
      </c>
      <c r="CU128">
        <v>14.76416</v>
      </c>
      <c r="CV128">
        <v>14.873016</v>
      </c>
      <c r="CW128">
        <v>9.7574660000000009</v>
      </c>
      <c r="CX128">
        <v>95.208139000000003</v>
      </c>
      <c r="CY128">
        <v>0.66088899999999995</v>
      </c>
      <c r="CZ128">
        <v>12.5</v>
      </c>
      <c r="DA128">
        <v>0.78893199999999997</v>
      </c>
      <c r="DB128">
        <v>3.325755</v>
      </c>
      <c r="DC128">
        <v>7.6039339999999997</v>
      </c>
      <c r="DD128">
        <v>14.76416</v>
      </c>
      <c r="DE128">
        <v>5.3897979999999999</v>
      </c>
      <c r="DF128">
        <v>0.77476999999999996</v>
      </c>
      <c r="DG128">
        <v>0.665856</v>
      </c>
      <c r="DH128">
        <v>0.36506</v>
      </c>
      <c r="DI128">
        <v>0.14374799999999999</v>
      </c>
      <c r="DJ128">
        <v>0.12354</v>
      </c>
      <c r="DK128">
        <v>1</v>
      </c>
      <c r="DL128">
        <v>1.5</v>
      </c>
      <c r="DM128">
        <v>3</v>
      </c>
      <c r="DN128">
        <v>6</v>
      </c>
      <c r="DO128">
        <v>7</v>
      </c>
      <c r="DP128">
        <v>9</v>
      </c>
      <c r="DQ128">
        <v>12</v>
      </c>
      <c r="DR128">
        <v>14</v>
      </c>
      <c r="DS128">
        <v>16</v>
      </c>
      <c r="DT128">
        <v>18</v>
      </c>
      <c r="DU128">
        <v>19.5</v>
      </c>
      <c r="DV128">
        <v>21</v>
      </c>
      <c r="DW128">
        <v>29</v>
      </c>
      <c r="DX128">
        <v>36</v>
      </c>
      <c r="DY128">
        <v>41</v>
      </c>
      <c r="DZ128">
        <v>87.011616000000004</v>
      </c>
      <c r="EA128">
        <v>51.624884000000002</v>
      </c>
      <c r="EB128">
        <v>88.067582000000002</v>
      </c>
      <c r="EC128">
        <v>1648</v>
      </c>
      <c r="ED128">
        <v>1668</v>
      </c>
      <c r="EE128">
        <v>86.483632999999998</v>
      </c>
      <c r="EF128">
        <v>99.419218999999998</v>
      </c>
      <c r="EG128">
        <v>50.913029999999999</v>
      </c>
      <c r="EH128">
        <v>89.043639999999996</v>
      </c>
      <c r="EI128">
        <v>86.853221000000005</v>
      </c>
      <c r="EJ128">
        <v>151.90073899999999</v>
      </c>
      <c r="EK128">
        <v>1638</v>
      </c>
      <c r="EL128">
        <v>1883</v>
      </c>
      <c r="EM128">
        <v>1645</v>
      </c>
      <c r="EN128">
        <v>2877</v>
      </c>
      <c r="EO128">
        <v>1894</v>
      </c>
      <c r="EP128">
        <v>3231</v>
      </c>
      <c r="EQ128">
        <v>45.569704000000002</v>
      </c>
    </row>
    <row r="129" spans="1:147" x14ac:dyDescent="0.25">
      <c r="A129">
        <v>2022</v>
      </c>
      <c r="B129" t="str">
        <f t="shared" si="2"/>
        <v>RD</v>
      </c>
      <c r="C129" t="s">
        <v>824</v>
      </c>
      <c r="D129" t="s">
        <v>824</v>
      </c>
      <c r="E129">
        <v>24438</v>
      </c>
      <c r="F129" t="s">
        <v>812</v>
      </c>
      <c r="G129" t="s">
        <v>813</v>
      </c>
      <c r="H129" t="s">
        <v>820</v>
      </c>
      <c r="I129">
        <v>34.770000000000003</v>
      </c>
      <c r="J129">
        <v>34.770000000000003</v>
      </c>
      <c r="K129" t="s">
        <v>261</v>
      </c>
      <c r="L129">
        <v>1</v>
      </c>
      <c r="M129">
        <v>2016</v>
      </c>
      <c r="N129">
        <v>2</v>
      </c>
      <c r="O129" t="str">
        <f t="shared" si="3"/>
        <v>Alto fuste</v>
      </c>
      <c r="P129" s="2">
        <v>42699</v>
      </c>
      <c r="Q129" t="s">
        <v>237</v>
      </c>
      <c r="R129" t="s">
        <v>821</v>
      </c>
      <c r="S129" t="s">
        <v>154</v>
      </c>
      <c r="T129" t="s">
        <v>221</v>
      </c>
      <c r="U129" t="s">
        <v>156</v>
      </c>
      <c r="V129" s="2">
        <v>44686</v>
      </c>
      <c r="W129" t="s">
        <v>816</v>
      </c>
      <c r="X129">
        <v>60.26</v>
      </c>
      <c r="Y129">
        <v>19.399999999999999</v>
      </c>
      <c r="Z129">
        <v>16</v>
      </c>
      <c r="AA129">
        <v>14.9</v>
      </c>
      <c r="AB129">
        <v>5</v>
      </c>
      <c r="AC129">
        <v>289.06</v>
      </c>
      <c r="AD129">
        <v>276.80495586533101</v>
      </c>
      <c r="AE129" s="2">
        <v>44686</v>
      </c>
      <c r="AF129">
        <v>66</v>
      </c>
      <c r="AG129">
        <v>5.4401095140314899</v>
      </c>
      <c r="AH129">
        <v>20.812063946692</v>
      </c>
      <c r="AI129">
        <v>12.597297297297301</v>
      </c>
      <c r="AJ129">
        <v>17.007736739946498</v>
      </c>
      <c r="AK129">
        <v>37</v>
      </c>
      <c r="AL129">
        <v>1336.6812701865399</v>
      </c>
      <c r="AM129">
        <v>167.60444441540901</v>
      </c>
      <c r="AN129">
        <v>0.12538848875470399</v>
      </c>
      <c r="AO129" t="s">
        <v>821</v>
      </c>
      <c r="AP129" t="s">
        <v>158</v>
      </c>
      <c r="AQ129" t="s">
        <v>304</v>
      </c>
      <c r="AR129">
        <v>7.5</v>
      </c>
      <c r="AS129">
        <v>1.002510952639905</v>
      </c>
      <c r="AT129" t="s">
        <v>825</v>
      </c>
      <c r="AU129" t="s">
        <v>826</v>
      </c>
      <c r="AV129">
        <v>2565</v>
      </c>
      <c r="AW129">
        <v>1403</v>
      </c>
      <c r="AX129">
        <v>1129</v>
      </c>
      <c r="AY129">
        <v>33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-0.88</v>
      </c>
      <c r="BH129">
        <v>22.120000999999998</v>
      </c>
      <c r="BI129">
        <v>9.5342140000000004</v>
      </c>
      <c r="BJ129">
        <v>-0.51492099999999996</v>
      </c>
      <c r="BK129">
        <v>9.64724</v>
      </c>
      <c r="BL129">
        <v>93.069241000000005</v>
      </c>
      <c r="BM129">
        <v>1.0118549999999999</v>
      </c>
      <c r="BN129">
        <v>19.440000999999999</v>
      </c>
      <c r="BO129">
        <v>3.0821000000000001E-2</v>
      </c>
      <c r="BP129">
        <v>1.0538270000000001</v>
      </c>
      <c r="BQ129">
        <v>9.5378030000000003</v>
      </c>
      <c r="BR129">
        <v>9.7400009999999995</v>
      </c>
      <c r="BS129">
        <v>10.114921000000001</v>
      </c>
      <c r="BT129">
        <v>9.5342140000000004</v>
      </c>
      <c r="BU129">
        <v>5.0545660000000003</v>
      </c>
      <c r="BV129">
        <v>0.22260099999999999</v>
      </c>
      <c r="BW129">
        <v>-1.0595889999999999</v>
      </c>
      <c r="BX129">
        <v>0.53015000000000001</v>
      </c>
      <c r="BY129">
        <v>4.4040000000000003E-2</v>
      </c>
      <c r="BZ129">
        <v>-0.20963000000000001</v>
      </c>
      <c r="CA129">
        <v>-0.59719999999999995</v>
      </c>
      <c r="CB129">
        <v>-0.43</v>
      </c>
      <c r="CC129">
        <v>-0.32</v>
      </c>
      <c r="CD129">
        <v>-0.21</v>
      </c>
      <c r="CE129">
        <v>-0.15</v>
      </c>
      <c r="CF129">
        <v>-0.1</v>
      </c>
      <c r="CG129">
        <v>0.02</v>
      </c>
      <c r="CH129">
        <v>9.6</v>
      </c>
      <c r="CI129">
        <v>18.173999999999999</v>
      </c>
      <c r="CJ129">
        <v>18.948001999999999</v>
      </c>
      <c r="CK129">
        <v>19.290001</v>
      </c>
      <c r="CL129">
        <v>19.601998999999999</v>
      </c>
      <c r="CM129">
        <v>20.370000999999998</v>
      </c>
      <c r="CN129">
        <v>20.85</v>
      </c>
      <c r="CO129">
        <v>21.511606</v>
      </c>
      <c r="CP129">
        <v>0.45279199999999997</v>
      </c>
      <c r="CQ129">
        <v>13.562234</v>
      </c>
      <c r="CR129">
        <v>15.262518999999999</v>
      </c>
      <c r="CS129">
        <v>1</v>
      </c>
      <c r="CT129">
        <v>50</v>
      </c>
      <c r="CU129">
        <v>15.074854</v>
      </c>
      <c r="CV129">
        <v>17.333333</v>
      </c>
      <c r="CW129">
        <v>10.215571000000001</v>
      </c>
      <c r="CX129">
        <v>104.357889</v>
      </c>
      <c r="CY129">
        <v>0.67765600000000004</v>
      </c>
      <c r="CZ129">
        <v>13</v>
      </c>
      <c r="DA129">
        <v>0.96842399999999995</v>
      </c>
      <c r="DB129">
        <v>3.68899</v>
      </c>
      <c r="DC129">
        <v>7.917376</v>
      </c>
      <c r="DD129">
        <v>15.074854</v>
      </c>
      <c r="DE129">
        <v>5.5789629999999999</v>
      </c>
      <c r="DF129">
        <v>1.0125280000000001</v>
      </c>
      <c r="DG129">
        <v>0.73420600000000003</v>
      </c>
      <c r="DH129">
        <v>0.37008400000000002</v>
      </c>
      <c r="DI129">
        <v>0.18149000000000001</v>
      </c>
      <c r="DJ129">
        <v>0.131603</v>
      </c>
      <c r="DK129">
        <v>1</v>
      </c>
      <c r="DL129">
        <v>2</v>
      </c>
      <c r="DM129">
        <v>3</v>
      </c>
      <c r="DN129">
        <v>6</v>
      </c>
      <c r="DO129">
        <v>7</v>
      </c>
      <c r="DP129">
        <v>9</v>
      </c>
      <c r="DQ129">
        <v>11</v>
      </c>
      <c r="DR129">
        <v>14</v>
      </c>
      <c r="DS129">
        <v>16</v>
      </c>
      <c r="DT129">
        <v>19</v>
      </c>
      <c r="DU129">
        <v>20</v>
      </c>
      <c r="DV129">
        <v>22</v>
      </c>
      <c r="DW129">
        <v>29</v>
      </c>
      <c r="DX129">
        <v>38</v>
      </c>
      <c r="DY129">
        <v>44</v>
      </c>
      <c r="DZ129">
        <v>89.807554999999994</v>
      </c>
      <c r="EA129">
        <v>51.111111000000001</v>
      </c>
      <c r="EB129">
        <v>93.442622999999998</v>
      </c>
      <c r="EC129">
        <v>1260</v>
      </c>
      <c r="ED129">
        <v>1311</v>
      </c>
      <c r="EE129">
        <v>89.308623999999995</v>
      </c>
      <c r="EF129">
        <v>100</v>
      </c>
      <c r="EG129">
        <v>50.019492999999997</v>
      </c>
      <c r="EH129">
        <v>98.050681999999995</v>
      </c>
      <c r="EI129">
        <v>91.446899999999999</v>
      </c>
      <c r="EJ129">
        <v>179.25873100000001</v>
      </c>
      <c r="EK129">
        <v>1253</v>
      </c>
      <c r="EL129">
        <v>1403</v>
      </c>
      <c r="EM129">
        <v>1283</v>
      </c>
      <c r="EN129">
        <v>2515</v>
      </c>
      <c r="EO129">
        <v>1403</v>
      </c>
      <c r="EP129">
        <v>2565</v>
      </c>
      <c r="EQ129">
        <v>43.774965000000002</v>
      </c>
    </row>
    <row r="130" spans="1:147" x14ac:dyDescent="0.25">
      <c r="A130">
        <v>2022</v>
      </c>
      <c r="B130" t="str">
        <f t="shared" si="2"/>
        <v>RD</v>
      </c>
      <c r="C130" t="s">
        <v>827</v>
      </c>
      <c r="D130" t="s">
        <v>827</v>
      </c>
      <c r="E130">
        <v>24439</v>
      </c>
      <c r="F130" t="s">
        <v>828</v>
      </c>
      <c r="G130" t="s">
        <v>829</v>
      </c>
      <c r="H130" t="s">
        <v>830</v>
      </c>
      <c r="I130">
        <v>43.26</v>
      </c>
      <c r="J130">
        <v>43.26</v>
      </c>
      <c r="K130" t="s">
        <v>261</v>
      </c>
      <c r="L130">
        <v>1</v>
      </c>
      <c r="M130">
        <v>2016</v>
      </c>
      <c r="N130">
        <v>2</v>
      </c>
      <c r="O130" t="str">
        <f t="shared" si="3"/>
        <v>Alto fuste</v>
      </c>
      <c r="P130" s="2">
        <v>42732</v>
      </c>
      <c r="Q130" t="s">
        <v>237</v>
      </c>
      <c r="R130" t="s">
        <v>249</v>
      </c>
      <c r="S130" t="s">
        <v>154</v>
      </c>
      <c r="T130" t="s">
        <v>221</v>
      </c>
      <c r="U130" t="s">
        <v>156</v>
      </c>
      <c r="V130" s="2">
        <v>44686</v>
      </c>
      <c r="W130" t="s">
        <v>831</v>
      </c>
      <c r="X130">
        <v>45.1</v>
      </c>
      <c r="Y130">
        <v>20</v>
      </c>
      <c r="Z130">
        <v>14</v>
      </c>
      <c r="AA130">
        <v>15.2</v>
      </c>
      <c r="AB130">
        <v>2</v>
      </c>
      <c r="AC130">
        <v>304</v>
      </c>
      <c r="AD130">
        <v>294.79021309416299</v>
      </c>
      <c r="AE130" s="2">
        <v>44686</v>
      </c>
      <c r="AF130">
        <v>65</v>
      </c>
      <c r="AG130">
        <v>5.3497604380561299</v>
      </c>
      <c r="AH130">
        <v>20.537234219006798</v>
      </c>
      <c r="AI130">
        <v>13.673809523809499</v>
      </c>
      <c r="AJ130">
        <v>21.708427912209899</v>
      </c>
      <c r="AK130">
        <v>42</v>
      </c>
      <c r="AL130">
        <v>1424.7420075165201</v>
      </c>
      <c r="AM130">
        <v>208.303679470595</v>
      </c>
      <c r="AN130">
        <v>0.14620449061770199</v>
      </c>
      <c r="AO130" t="s">
        <v>249</v>
      </c>
      <c r="AP130" t="s">
        <v>158</v>
      </c>
      <c r="AQ130" t="s">
        <v>294</v>
      </c>
      <c r="AR130">
        <v>7.5</v>
      </c>
      <c r="AS130">
        <v>1.0685565056373889</v>
      </c>
      <c r="AT130" t="s">
        <v>832</v>
      </c>
      <c r="AU130" t="s">
        <v>833</v>
      </c>
      <c r="AV130">
        <v>2514</v>
      </c>
      <c r="AW130">
        <v>1467</v>
      </c>
      <c r="AX130">
        <v>969</v>
      </c>
      <c r="AY130">
        <v>76</v>
      </c>
      <c r="AZ130">
        <v>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-1.04</v>
      </c>
      <c r="BH130">
        <v>23.08</v>
      </c>
      <c r="BI130">
        <v>11.26389</v>
      </c>
      <c r="BJ130">
        <v>-0.27428599999999997</v>
      </c>
      <c r="BK130">
        <v>9.8731039999999997</v>
      </c>
      <c r="BL130">
        <v>97.478184999999996</v>
      </c>
      <c r="BM130">
        <v>0.87652699999999995</v>
      </c>
      <c r="BN130">
        <v>20.399999000000001</v>
      </c>
      <c r="BO130">
        <v>-0.201375</v>
      </c>
      <c r="BP130">
        <v>1.1127290000000001</v>
      </c>
      <c r="BQ130">
        <v>9.6211500000000001</v>
      </c>
      <c r="BR130">
        <v>3.34</v>
      </c>
      <c r="BS130">
        <v>18.764285999999998</v>
      </c>
      <c r="BT130">
        <v>11.26389</v>
      </c>
      <c r="BU130">
        <v>5.1817380000000002</v>
      </c>
      <c r="BV130">
        <v>-0.363647</v>
      </c>
      <c r="BW130">
        <v>-1.065685</v>
      </c>
      <c r="BX130">
        <v>0.46003100000000002</v>
      </c>
      <c r="BY130">
        <v>-7.0179000000000005E-2</v>
      </c>
      <c r="BZ130">
        <v>-0.20566200000000001</v>
      </c>
      <c r="CA130">
        <v>-0.45</v>
      </c>
      <c r="CB130">
        <v>-0.19</v>
      </c>
      <c r="CC130">
        <v>-0.1</v>
      </c>
      <c r="CD130">
        <v>0.02</v>
      </c>
      <c r="CE130">
        <v>0.06</v>
      </c>
      <c r="CF130">
        <v>0.11</v>
      </c>
      <c r="CG130">
        <v>0.29199999999999998</v>
      </c>
      <c r="CH130">
        <v>18.489999999999998</v>
      </c>
      <c r="CI130">
        <v>19.850000000000001</v>
      </c>
      <c r="CJ130">
        <v>20.27</v>
      </c>
      <c r="CK130">
        <v>20.459999</v>
      </c>
      <c r="CL130">
        <v>20.643999000000001</v>
      </c>
      <c r="CM130">
        <v>21.087</v>
      </c>
      <c r="CN130">
        <v>21.51</v>
      </c>
      <c r="CO130">
        <v>22.276104</v>
      </c>
      <c r="CP130">
        <v>0.51011200000000001</v>
      </c>
      <c r="CQ130">
        <v>14.977137000000001</v>
      </c>
      <c r="CR130">
        <v>16.543828000000001</v>
      </c>
      <c r="CS130">
        <v>1</v>
      </c>
      <c r="CT130">
        <v>54</v>
      </c>
      <c r="CU130">
        <v>14.848846</v>
      </c>
      <c r="CV130">
        <v>1</v>
      </c>
      <c r="CW130">
        <v>10.191805</v>
      </c>
      <c r="CX130">
        <v>103.87288599999999</v>
      </c>
      <c r="CY130">
        <v>0.68637000000000004</v>
      </c>
      <c r="CZ130">
        <v>15</v>
      </c>
      <c r="DA130">
        <v>0.72633300000000001</v>
      </c>
      <c r="DB130">
        <v>3.2690950000000001</v>
      </c>
      <c r="DC130">
        <v>8.2631499999999996</v>
      </c>
      <c r="DD130">
        <v>14.848846</v>
      </c>
      <c r="DE130">
        <v>5.6843380000000003</v>
      </c>
      <c r="DF130">
        <v>0.76004700000000003</v>
      </c>
      <c r="DG130">
        <v>0.46632800000000002</v>
      </c>
      <c r="DH130">
        <v>0.38281300000000001</v>
      </c>
      <c r="DI130">
        <v>0.13370899999999999</v>
      </c>
      <c r="DJ130">
        <v>8.2036999999999999E-2</v>
      </c>
      <c r="DK130">
        <v>1</v>
      </c>
      <c r="DL130">
        <v>1</v>
      </c>
      <c r="DM130">
        <v>2</v>
      </c>
      <c r="DN130">
        <v>5</v>
      </c>
      <c r="DO130">
        <v>6</v>
      </c>
      <c r="DP130">
        <v>8</v>
      </c>
      <c r="DQ130">
        <v>11</v>
      </c>
      <c r="DR130">
        <v>14</v>
      </c>
      <c r="DS130">
        <v>17</v>
      </c>
      <c r="DT130">
        <v>20</v>
      </c>
      <c r="DU130">
        <v>21</v>
      </c>
      <c r="DV130">
        <v>23</v>
      </c>
      <c r="DW130">
        <v>27</v>
      </c>
      <c r="DX130">
        <v>34</v>
      </c>
      <c r="DY130">
        <v>44</v>
      </c>
      <c r="DZ130">
        <v>93.047034999999994</v>
      </c>
      <c r="EA130">
        <v>57.955449000000002</v>
      </c>
      <c r="EB130">
        <v>99.318337</v>
      </c>
      <c r="EC130">
        <v>1365</v>
      </c>
      <c r="ED130">
        <v>1457</v>
      </c>
      <c r="EE130">
        <v>91.820041000000003</v>
      </c>
      <c r="EF130">
        <v>100</v>
      </c>
      <c r="EG130">
        <v>54.852823999999998</v>
      </c>
      <c r="EH130">
        <v>97.374701999999999</v>
      </c>
      <c r="EI130">
        <v>94.001362999999998</v>
      </c>
      <c r="EJ130">
        <v>166.87116599999999</v>
      </c>
      <c r="EK130">
        <v>1347</v>
      </c>
      <c r="EL130">
        <v>1467</v>
      </c>
      <c r="EM130">
        <v>1379</v>
      </c>
      <c r="EN130">
        <v>2448</v>
      </c>
      <c r="EO130">
        <v>1467</v>
      </c>
      <c r="EP130">
        <v>2514</v>
      </c>
      <c r="EQ130">
        <v>49.591461000000002</v>
      </c>
    </row>
    <row r="131" spans="1:147" x14ac:dyDescent="0.25">
      <c r="A131">
        <v>2022</v>
      </c>
      <c r="B131" t="str">
        <f t="shared" ref="B131:B194" si="4">LEFT(C131,2)</f>
        <v>RD</v>
      </c>
      <c r="C131" t="s">
        <v>834</v>
      </c>
      <c r="D131" t="s">
        <v>834</v>
      </c>
      <c r="E131">
        <v>24440</v>
      </c>
      <c r="F131" t="s">
        <v>828</v>
      </c>
      <c r="G131" t="s">
        <v>829</v>
      </c>
      <c r="H131" t="s">
        <v>830</v>
      </c>
      <c r="I131">
        <v>43.26</v>
      </c>
      <c r="J131">
        <v>43.26</v>
      </c>
      <c r="K131" t="s">
        <v>261</v>
      </c>
      <c r="L131">
        <v>1</v>
      </c>
      <c r="M131">
        <v>2016</v>
      </c>
      <c r="N131">
        <v>2</v>
      </c>
      <c r="O131" t="str">
        <f t="shared" ref="O131:O194" si="5">IF(MID(F131,12,1)="R","Talhadia","Alto fuste")</f>
        <v>Alto fuste</v>
      </c>
      <c r="P131" s="2">
        <v>42732</v>
      </c>
      <c r="Q131" t="s">
        <v>237</v>
      </c>
      <c r="R131" t="s">
        <v>249</v>
      </c>
      <c r="S131" t="s">
        <v>154</v>
      </c>
      <c r="T131" t="s">
        <v>221</v>
      </c>
      <c r="U131" t="s">
        <v>156</v>
      </c>
      <c r="V131" s="2">
        <v>44686</v>
      </c>
      <c r="W131" t="s">
        <v>831</v>
      </c>
      <c r="X131">
        <v>45.1</v>
      </c>
      <c r="Y131">
        <v>20.399999999999999</v>
      </c>
      <c r="Z131">
        <v>17</v>
      </c>
      <c r="AA131">
        <v>15.2</v>
      </c>
      <c r="AB131">
        <v>1</v>
      </c>
      <c r="AC131">
        <v>310.08</v>
      </c>
      <c r="AD131">
        <v>296.48581562467803</v>
      </c>
      <c r="AE131" s="2">
        <v>44686</v>
      </c>
      <c r="AF131">
        <v>65</v>
      </c>
      <c r="AG131">
        <v>5.3497604380561299</v>
      </c>
      <c r="AH131">
        <v>19.166672140106702</v>
      </c>
      <c r="AI131">
        <v>12.715909090909101</v>
      </c>
      <c r="AJ131">
        <v>19.7053243862598</v>
      </c>
      <c r="AK131">
        <v>44</v>
      </c>
      <c r="AL131">
        <v>1484.05075997631</v>
      </c>
      <c r="AM131">
        <v>177.71051156342301</v>
      </c>
      <c r="AN131">
        <v>0.11974692264990899</v>
      </c>
      <c r="AO131" t="s">
        <v>249</v>
      </c>
      <c r="AP131" t="s">
        <v>158</v>
      </c>
      <c r="AQ131" t="s">
        <v>294</v>
      </c>
      <c r="AR131">
        <v>7.5</v>
      </c>
      <c r="AS131">
        <v>1.113038069982234</v>
      </c>
      <c r="AT131" t="s">
        <v>835</v>
      </c>
      <c r="AU131" t="s">
        <v>836</v>
      </c>
      <c r="AV131">
        <v>3157</v>
      </c>
      <c r="AW131">
        <v>1743</v>
      </c>
      <c r="AX131">
        <v>1285</v>
      </c>
      <c r="AY131">
        <v>128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-0.92</v>
      </c>
      <c r="BH131">
        <v>23.74</v>
      </c>
      <c r="BI131">
        <v>10.741201</v>
      </c>
      <c r="BJ131">
        <v>-0.13714299999999999</v>
      </c>
      <c r="BK131">
        <v>9.7673389999999998</v>
      </c>
      <c r="BL131">
        <v>95.400918000000004</v>
      </c>
      <c r="BM131">
        <v>0.90933399999999998</v>
      </c>
      <c r="BN131">
        <v>19.86</v>
      </c>
      <c r="BO131">
        <v>-0.14041100000000001</v>
      </c>
      <c r="BP131">
        <v>1.0989789999999999</v>
      </c>
      <c r="BQ131">
        <v>9.5669799999999992</v>
      </c>
      <c r="BR131">
        <v>5.94</v>
      </c>
      <c r="BS131">
        <v>15.827143</v>
      </c>
      <c r="BT131">
        <v>10.741201</v>
      </c>
      <c r="BU131">
        <v>5.1581999999999999</v>
      </c>
      <c r="BV131">
        <v>-0.12995499999999999</v>
      </c>
      <c r="BW131">
        <v>-1.018087</v>
      </c>
      <c r="BX131">
        <v>0.48022599999999999</v>
      </c>
      <c r="BY131">
        <v>-2.5194000000000001E-2</v>
      </c>
      <c r="BZ131">
        <v>-0.19737199999999999</v>
      </c>
      <c r="CA131">
        <v>-0.44440000000000002</v>
      </c>
      <c r="CB131">
        <v>-0.21</v>
      </c>
      <c r="CC131">
        <v>-0.11</v>
      </c>
      <c r="CD131">
        <v>0</v>
      </c>
      <c r="CE131">
        <v>0.05</v>
      </c>
      <c r="CF131">
        <v>0.09</v>
      </c>
      <c r="CG131">
        <v>0.24</v>
      </c>
      <c r="CH131">
        <v>15.69</v>
      </c>
      <c r="CI131">
        <v>19.030000999999999</v>
      </c>
      <c r="CJ131">
        <v>19.59</v>
      </c>
      <c r="CK131">
        <v>19.91</v>
      </c>
      <c r="CL131">
        <v>20.248000999999999</v>
      </c>
      <c r="CM131">
        <v>21.049999</v>
      </c>
      <c r="CN131">
        <v>21.661999000000002</v>
      </c>
      <c r="CO131">
        <v>22.854400999999999</v>
      </c>
      <c r="CP131">
        <v>0.47287899999999999</v>
      </c>
      <c r="CQ131">
        <v>14.517028</v>
      </c>
      <c r="CR131">
        <v>16.110738000000001</v>
      </c>
      <c r="CS131">
        <v>1</v>
      </c>
      <c r="CT131">
        <v>49</v>
      </c>
      <c r="CU131">
        <v>14.504276000000001</v>
      </c>
      <c r="CV131">
        <v>1</v>
      </c>
      <c r="CW131">
        <v>9.8679039999999993</v>
      </c>
      <c r="CX131">
        <v>97.375535999999997</v>
      </c>
      <c r="CY131">
        <v>0.68034399999999995</v>
      </c>
      <c r="CZ131">
        <v>15</v>
      </c>
      <c r="DA131">
        <v>0.65251099999999995</v>
      </c>
      <c r="DB131">
        <v>2.9173689999999999</v>
      </c>
      <c r="DC131">
        <v>8.1480879999999996</v>
      </c>
      <c r="DD131">
        <v>14.504276000000001</v>
      </c>
      <c r="DE131">
        <v>5.5388060000000001</v>
      </c>
      <c r="DF131">
        <v>0.744116</v>
      </c>
      <c r="DG131">
        <v>0.359294</v>
      </c>
      <c r="DH131">
        <v>0.38187399999999999</v>
      </c>
      <c r="DI131">
        <v>0.13434599999999999</v>
      </c>
      <c r="DJ131">
        <v>6.4867999999999995E-2</v>
      </c>
      <c r="DK131">
        <v>1</v>
      </c>
      <c r="DL131">
        <v>1</v>
      </c>
      <c r="DM131">
        <v>3</v>
      </c>
      <c r="DN131">
        <v>5</v>
      </c>
      <c r="DO131">
        <v>6</v>
      </c>
      <c r="DP131">
        <v>7</v>
      </c>
      <c r="DQ131">
        <v>10</v>
      </c>
      <c r="DR131">
        <v>13</v>
      </c>
      <c r="DS131">
        <v>16</v>
      </c>
      <c r="DT131">
        <v>20</v>
      </c>
      <c r="DU131">
        <v>21</v>
      </c>
      <c r="DV131">
        <v>23</v>
      </c>
      <c r="DW131">
        <v>27</v>
      </c>
      <c r="DX131">
        <v>33</v>
      </c>
      <c r="DY131">
        <v>41</v>
      </c>
      <c r="DZ131">
        <v>92.541595000000001</v>
      </c>
      <c r="EA131">
        <v>55.432372999999998</v>
      </c>
      <c r="EB131">
        <v>100.401606</v>
      </c>
      <c r="EC131">
        <v>1613</v>
      </c>
      <c r="ED131">
        <v>1750</v>
      </c>
      <c r="EE131">
        <v>92.484223</v>
      </c>
      <c r="EF131">
        <v>99.885255000000001</v>
      </c>
      <c r="EG131">
        <v>55.210642999999997</v>
      </c>
      <c r="EH131">
        <v>91.796008999999998</v>
      </c>
      <c r="EI131">
        <v>100</v>
      </c>
      <c r="EJ131">
        <v>166.26506000000001</v>
      </c>
      <c r="EK131">
        <v>1612</v>
      </c>
      <c r="EL131">
        <v>1741</v>
      </c>
      <c r="EM131">
        <v>1743</v>
      </c>
      <c r="EN131">
        <v>2898</v>
      </c>
      <c r="EO131">
        <v>1743</v>
      </c>
      <c r="EP131">
        <v>3157</v>
      </c>
      <c r="EQ131">
        <v>46.148958999999998</v>
      </c>
    </row>
    <row r="132" spans="1:147" x14ac:dyDescent="0.25">
      <c r="A132">
        <v>2022</v>
      </c>
      <c r="B132" t="str">
        <f t="shared" si="4"/>
        <v>RD</v>
      </c>
      <c r="C132" t="s">
        <v>837</v>
      </c>
      <c r="D132" t="s">
        <v>837</v>
      </c>
      <c r="E132">
        <v>24459</v>
      </c>
      <c r="F132" t="s">
        <v>838</v>
      </c>
      <c r="G132" t="s">
        <v>839</v>
      </c>
      <c r="H132" t="s">
        <v>840</v>
      </c>
      <c r="I132">
        <v>16.45</v>
      </c>
      <c r="J132">
        <v>16.45</v>
      </c>
      <c r="K132" t="s">
        <v>527</v>
      </c>
      <c r="L132">
        <v>1</v>
      </c>
      <c r="M132">
        <v>2016</v>
      </c>
      <c r="N132">
        <v>3</v>
      </c>
      <c r="O132" t="str">
        <f t="shared" si="5"/>
        <v>Alto fuste</v>
      </c>
      <c r="P132" s="2">
        <v>42660</v>
      </c>
      <c r="Q132" t="s">
        <v>174</v>
      </c>
      <c r="R132" t="s">
        <v>314</v>
      </c>
      <c r="S132" t="s">
        <v>154</v>
      </c>
      <c r="T132" t="s">
        <v>527</v>
      </c>
      <c r="U132" t="s">
        <v>156</v>
      </c>
      <c r="V132" s="2">
        <v>44676</v>
      </c>
      <c r="W132" t="s">
        <v>841</v>
      </c>
      <c r="X132">
        <v>117.8</v>
      </c>
      <c r="Y132">
        <v>20.399999999999999</v>
      </c>
      <c r="Z132">
        <v>3</v>
      </c>
      <c r="AA132">
        <v>15.6</v>
      </c>
      <c r="AB132">
        <v>9</v>
      </c>
      <c r="AC132">
        <v>318.24</v>
      </c>
      <c r="AD132">
        <v>313.89117021976301</v>
      </c>
      <c r="AE132" s="2">
        <v>44676</v>
      </c>
      <c r="AF132">
        <v>66</v>
      </c>
      <c r="AG132">
        <v>5.5195071868583199</v>
      </c>
      <c r="AH132">
        <v>23.6868196607365</v>
      </c>
      <c r="AI132">
        <v>15.2259259259259</v>
      </c>
      <c r="AJ132">
        <v>16.962950732008299</v>
      </c>
      <c r="AK132">
        <v>27</v>
      </c>
      <c r="AL132">
        <v>860.17073946669598</v>
      </c>
      <c r="AM132">
        <v>189.48312891113099</v>
      </c>
      <c r="AN132">
        <v>0.22028548544747101</v>
      </c>
      <c r="AO132" t="s">
        <v>314</v>
      </c>
      <c r="AP132" t="s">
        <v>158</v>
      </c>
      <c r="AQ132" t="s">
        <v>286</v>
      </c>
      <c r="AR132">
        <v>9</v>
      </c>
      <c r="AS132">
        <v>0.77415366552002618</v>
      </c>
      <c r="AT132" t="s">
        <v>842</v>
      </c>
      <c r="AU132" t="s">
        <v>843</v>
      </c>
      <c r="AV132">
        <v>4545</v>
      </c>
      <c r="AW132">
        <v>2875</v>
      </c>
      <c r="AX132">
        <v>1485</v>
      </c>
      <c r="AY132">
        <v>178</v>
      </c>
      <c r="AZ132">
        <v>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-0.74</v>
      </c>
      <c r="BH132">
        <v>32.955002</v>
      </c>
      <c r="BI132">
        <v>17.882012</v>
      </c>
      <c r="BJ132">
        <v>-0.20515900000000001</v>
      </c>
      <c r="BK132">
        <v>12.661498</v>
      </c>
      <c r="BL132">
        <v>160.31352200000001</v>
      </c>
      <c r="BM132">
        <v>0.70805799999999997</v>
      </c>
      <c r="BN132">
        <v>27.703001</v>
      </c>
      <c r="BO132">
        <v>-0.43469799999999997</v>
      </c>
      <c r="BP132">
        <v>1.429406</v>
      </c>
      <c r="BQ132">
        <v>11.684998</v>
      </c>
      <c r="BR132">
        <v>7.0640010000000002</v>
      </c>
      <c r="BS132">
        <v>23.694158999999999</v>
      </c>
      <c r="BT132">
        <v>17.882012</v>
      </c>
      <c r="BU132">
        <v>6.9141769999999996</v>
      </c>
      <c r="BV132">
        <v>-1.0750379999999999</v>
      </c>
      <c r="BW132">
        <v>-0.86061100000000001</v>
      </c>
      <c r="BX132">
        <v>0.38665500000000003</v>
      </c>
      <c r="BY132">
        <v>-0.15548300000000001</v>
      </c>
      <c r="BZ132">
        <v>-0.124471</v>
      </c>
      <c r="CA132">
        <v>-0.34555999999999998</v>
      </c>
      <c r="CB132">
        <v>-9.1800000000000007E-2</v>
      </c>
      <c r="CC132">
        <v>6.54E-2</v>
      </c>
      <c r="CD132">
        <v>0.59499999999999997</v>
      </c>
      <c r="CE132">
        <v>1.73</v>
      </c>
      <c r="CF132">
        <v>3.1818</v>
      </c>
      <c r="CG132">
        <v>18.143000000000001</v>
      </c>
      <c r="CH132">
        <v>23.489000000000001</v>
      </c>
      <c r="CI132">
        <v>26.987998999999999</v>
      </c>
      <c r="CJ132">
        <v>28.813798999999999</v>
      </c>
      <c r="CK132">
        <v>29.433001000000001</v>
      </c>
      <c r="CL132">
        <v>29.846201000000001</v>
      </c>
      <c r="CM132">
        <v>30.694799</v>
      </c>
      <c r="CN132">
        <v>31.179199000000001</v>
      </c>
      <c r="CO132">
        <v>31.866522</v>
      </c>
      <c r="CP132">
        <v>0.55266400000000004</v>
      </c>
      <c r="CQ132">
        <v>21.90992</v>
      </c>
      <c r="CR132">
        <v>23.772258999999998</v>
      </c>
      <c r="CS132">
        <v>1</v>
      </c>
      <c r="CT132">
        <v>31</v>
      </c>
      <c r="CU132">
        <v>6.9113309999999997</v>
      </c>
      <c r="CV132">
        <v>1</v>
      </c>
      <c r="CW132">
        <v>4.6935880000000001</v>
      </c>
      <c r="CX132">
        <v>22.029768000000001</v>
      </c>
      <c r="CY132">
        <v>0.67911500000000002</v>
      </c>
      <c r="CZ132">
        <v>7</v>
      </c>
      <c r="DA132">
        <v>0.92675200000000002</v>
      </c>
      <c r="DB132">
        <v>4.1196979999999996</v>
      </c>
      <c r="DC132">
        <v>3.7686850000000001</v>
      </c>
      <c r="DD132">
        <v>6.9113309999999997</v>
      </c>
      <c r="DE132">
        <v>2.5832099999999998</v>
      </c>
      <c r="DF132">
        <v>0.41451100000000002</v>
      </c>
      <c r="DG132">
        <v>0.21595600000000001</v>
      </c>
      <c r="DH132">
        <v>0.37376399999999999</v>
      </c>
      <c r="DI132">
        <v>0.160464</v>
      </c>
      <c r="DJ132">
        <v>8.3599999999999994E-2</v>
      </c>
      <c r="DK132">
        <v>1</v>
      </c>
      <c r="DL132">
        <v>1</v>
      </c>
      <c r="DM132">
        <v>1</v>
      </c>
      <c r="DN132">
        <v>2</v>
      </c>
      <c r="DO132">
        <v>3</v>
      </c>
      <c r="DP132">
        <v>4</v>
      </c>
      <c r="DQ132">
        <v>5</v>
      </c>
      <c r="DR132">
        <v>6</v>
      </c>
      <c r="DS132">
        <v>8</v>
      </c>
      <c r="DT132">
        <v>9</v>
      </c>
      <c r="DU132">
        <v>10</v>
      </c>
      <c r="DV132">
        <v>11</v>
      </c>
      <c r="DW132">
        <v>13</v>
      </c>
      <c r="DX132">
        <v>15</v>
      </c>
      <c r="DY132">
        <v>20</v>
      </c>
      <c r="DZ132">
        <v>92.069564999999997</v>
      </c>
      <c r="EA132">
        <v>70.495050000000006</v>
      </c>
      <c r="EB132">
        <v>111.443478</v>
      </c>
      <c r="EC132">
        <v>2647</v>
      </c>
      <c r="ED132">
        <v>3204</v>
      </c>
      <c r="EE132">
        <v>85.634782999999999</v>
      </c>
      <c r="EF132">
        <v>99.965216999999996</v>
      </c>
      <c r="EG132">
        <v>60.352035000000001</v>
      </c>
      <c r="EH132">
        <v>97.403739999999999</v>
      </c>
      <c r="EI132">
        <v>95.408696000000006</v>
      </c>
      <c r="EJ132">
        <v>153.982609</v>
      </c>
      <c r="EK132">
        <v>2462</v>
      </c>
      <c r="EL132">
        <v>2874</v>
      </c>
      <c r="EM132">
        <v>2743</v>
      </c>
      <c r="EN132">
        <v>4427</v>
      </c>
      <c r="EO132">
        <v>2875</v>
      </c>
      <c r="EP132">
        <v>4545</v>
      </c>
      <c r="EQ132">
        <v>55.158943999999998</v>
      </c>
    </row>
    <row r="133" spans="1:147" x14ac:dyDescent="0.25">
      <c r="A133">
        <v>2022</v>
      </c>
      <c r="B133" t="str">
        <f t="shared" si="4"/>
        <v>RD</v>
      </c>
      <c r="C133" t="s">
        <v>844</v>
      </c>
      <c r="D133" t="s">
        <v>844</v>
      </c>
      <c r="E133">
        <v>24460</v>
      </c>
      <c r="F133" t="s">
        <v>838</v>
      </c>
      <c r="G133" t="s">
        <v>839</v>
      </c>
      <c r="H133" t="s">
        <v>845</v>
      </c>
      <c r="I133">
        <v>26.76</v>
      </c>
      <c r="J133">
        <v>26.76</v>
      </c>
      <c r="K133" t="s">
        <v>527</v>
      </c>
      <c r="L133">
        <v>1</v>
      </c>
      <c r="M133">
        <v>2016</v>
      </c>
      <c r="N133">
        <v>3</v>
      </c>
      <c r="O133" t="str">
        <f t="shared" si="5"/>
        <v>Alto fuste</v>
      </c>
      <c r="P133" s="2">
        <v>42678</v>
      </c>
      <c r="Q133" t="s">
        <v>174</v>
      </c>
      <c r="R133" t="s">
        <v>314</v>
      </c>
      <c r="S133" t="s">
        <v>154</v>
      </c>
      <c r="T133" t="s">
        <v>527</v>
      </c>
      <c r="U133" t="s">
        <v>156</v>
      </c>
      <c r="V133" s="2">
        <v>44676</v>
      </c>
      <c r="W133" t="s">
        <v>841</v>
      </c>
      <c r="X133">
        <v>117.8</v>
      </c>
      <c r="Y133">
        <v>20.6</v>
      </c>
      <c r="Z133">
        <v>23</v>
      </c>
      <c r="AA133">
        <v>16</v>
      </c>
      <c r="AB133">
        <v>9</v>
      </c>
      <c r="AC133">
        <v>329.6</v>
      </c>
      <c r="AD133">
        <v>299.66306193686302</v>
      </c>
      <c r="AE133" s="2">
        <v>44676</v>
      </c>
      <c r="AF133">
        <v>65</v>
      </c>
      <c r="AG133">
        <v>5.47022587268994</v>
      </c>
      <c r="AH133">
        <v>25.744826500619201</v>
      </c>
      <c r="AI133">
        <v>14.5428571428571</v>
      </c>
      <c r="AJ133">
        <v>20.265665539576801</v>
      </c>
      <c r="AK133">
        <v>35</v>
      </c>
      <c r="AL133">
        <v>1167.9784546609999</v>
      </c>
      <c r="AM133">
        <v>239.615148905469</v>
      </c>
      <c r="AN133">
        <v>0.205153740592772</v>
      </c>
      <c r="AO133" t="s">
        <v>314</v>
      </c>
      <c r="AP133" t="s">
        <v>158</v>
      </c>
      <c r="AQ133" t="s">
        <v>286</v>
      </c>
      <c r="AR133">
        <v>9</v>
      </c>
      <c r="AS133">
        <v>1.0511806091948981</v>
      </c>
      <c r="AT133" t="s">
        <v>846</v>
      </c>
      <c r="AU133" t="s">
        <v>847</v>
      </c>
      <c r="AV133">
        <v>5441</v>
      </c>
      <c r="AW133">
        <v>2965</v>
      </c>
      <c r="AX133">
        <v>1921</v>
      </c>
      <c r="AY133">
        <v>521</v>
      </c>
      <c r="AZ133">
        <v>34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-1.1319999999999999</v>
      </c>
      <c r="BH133">
        <v>32.308998000000003</v>
      </c>
      <c r="BI133">
        <v>18.526605</v>
      </c>
      <c r="BJ133">
        <v>-7.0380999999999999E-2</v>
      </c>
      <c r="BK133">
        <v>12.27069</v>
      </c>
      <c r="BL133">
        <v>150.569828</v>
      </c>
      <c r="BM133">
        <v>0.66232800000000003</v>
      </c>
      <c r="BN133">
        <v>28.606000000000002</v>
      </c>
      <c r="BO133">
        <v>-0.63001099999999999</v>
      </c>
      <c r="BP133">
        <v>1.6915279999999999</v>
      </c>
      <c r="BQ133">
        <v>10.819813</v>
      </c>
      <c r="BR133">
        <v>5.9749999999999996</v>
      </c>
      <c r="BS133">
        <v>23.946380999999999</v>
      </c>
      <c r="BT133">
        <v>18.526605</v>
      </c>
      <c r="BU133">
        <v>6.5906399999999996</v>
      </c>
      <c r="BV133">
        <v>-1.411899</v>
      </c>
      <c r="BW133">
        <v>-0.58203199999999999</v>
      </c>
      <c r="BX133">
        <v>0.35573900000000003</v>
      </c>
      <c r="BY133">
        <v>-0.214228</v>
      </c>
      <c r="BZ133">
        <v>-8.8312000000000002E-2</v>
      </c>
      <c r="CA133">
        <v>-0.40179999999999999</v>
      </c>
      <c r="CB133">
        <v>-0.14199999999999999</v>
      </c>
      <c r="CC133">
        <v>-5.0000000000000001E-3</v>
      </c>
      <c r="CD133">
        <v>0.21299999999999999</v>
      </c>
      <c r="CE133">
        <v>0.41899999999999998</v>
      </c>
      <c r="CF133">
        <v>13.67</v>
      </c>
      <c r="CG133">
        <v>19.030999999999999</v>
      </c>
      <c r="CH133">
        <v>23.875999</v>
      </c>
      <c r="CI133">
        <v>27.469999000000001</v>
      </c>
      <c r="CJ133">
        <v>28.655000999999999</v>
      </c>
      <c r="CK133">
        <v>29.024999999999999</v>
      </c>
      <c r="CL133">
        <v>29.388999999999999</v>
      </c>
      <c r="CM133">
        <v>30.114000000000001</v>
      </c>
      <c r="CN133">
        <v>30.614000000000001</v>
      </c>
      <c r="CO133">
        <v>31.415602</v>
      </c>
      <c r="CP133">
        <v>0.58785900000000002</v>
      </c>
      <c r="CQ133">
        <v>22.221098999999999</v>
      </c>
      <c r="CR133">
        <v>23.847576</v>
      </c>
      <c r="CS133">
        <v>1</v>
      </c>
      <c r="CT133">
        <v>40</v>
      </c>
      <c r="CU133">
        <v>9.2696199999999997</v>
      </c>
      <c r="CV133">
        <v>1</v>
      </c>
      <c r="CW133">
        <v>6.2572229999999998</v>
      </c>
      <c r="CX133">
        <v>39.152842999999997</v>
      </c>
      <c r="CY133">
        <v>0.67502499999999999</v>
      </c>
      <c r="CZ133">
        <v>10</v>
      </c>
      <c r="DA133">
        <v>0.59449300000000005</v>
      </c>
      <c r="DB133">
        <v>2.9135499999999999</v>
      </c>
      <c r="DC133">
        <v>5.2604769999999998</v>
      </c>
      <c r="DD133">
        <v>9.2696199999999997</v>
      </c>
      <c r="DE133">
        <v>3.5260180000000001</v>
      </c>
      <c r="DF133">
        <v>0.43644100000000002</v>
      </c>
      <c r="DG133">
        <v>0.125834</v>
      </c>
      <c r="DH133">
        <v>0.380384</v>
      </c>
      <c r="DI133">
        <v>0.123777</v>
      </c>
      <c r="DJ133">
        <v>3.5687000000000003E-2</v>
      </c>
      <c r="DK133">
        <v>1</v>
      </c>
      <c r="DL133">
        <v>1</v>
      </c>
      <c r="DM133">
        <v>2</v>
      </c>
      <c r="DN133">
        <v>3</v>
      </c>
      <c r="DO133">
        <v>4</v>
      </c>
      <c r="DP133">
        <v>5</v>
      </c>
      <c r="DQ133">
        <v>7</v>
      </c>
      <c r="DR133">
        <v>8</v>
      </c>
      <c r="DS133">
        <v>11</v>
      </c>
      <c r="DT133">
        <v>13</v>
      </c>
      <c r="DU133">
        <v>14</v>
      </c>
      <c r="DV133">
        <v>15</v>
      </c>
      <c r="DW133">
        <v>18</v>
      </c>
      <c r="DX133">
        <v>20</v>
      </c>
      <c r="DY133">
        <v>25</v>
      </c>
      <c r="DZ133">
        <v>98.347386</v>
      </c>
      <c r="EA133">
        <v>72.523432999999997</v>
      </c>
      <c r="EB133">
        <v>133.08600300000001</v>
      </c>
      <c r="EC133">
        <v>2916</v>
      </c>
      <c r="ED133">
        <v>3946</v>
      </c>
      <c r="EE133">
        <v>95.008431999999999</v>
      </c>
      <c r="EF133">
        <v>99.966273000000001</v>
      </c>
      <c r="EG133">
        <v>61.551184999999997</v>
      </c>
      <c r="EH133">
        <v>92.740305000000006</v>
      </c>
      <c r="EI133">
        <v>112.95109600000001</v>
      </c>
      <c r="EJ133">
        <v>170.185497</v>
      </c>
      <c r="EK133">
        <v>2817</v>
      </c>
      <c r="EL133">
        <v>2964</v>
      </c>
      <c r="EM133">
        <v>3349</v>
      </c>
      <c r="EN133">
        <v>5046</v>
      </c>
      <c r="EO133">
        <v>2965</v>
      </c>
      <c r="EP133">
        <v>5441</v>
      </c>
      <c r="EQ133">
        <v>57.995443999999999</v>
      </c>
    </row>
    <row r="134" spans="1:147" x14ac:dyDescent="0.25">
      <c r="A134">
        <v>2022</v>
      </c>
      <c r="B134" t="str">
        <f t="shared" si="4"/>
        <v>RD</v>
      </c>
      <c r="C134" t="s">
        <v>848</v>
      </c>
      <c r="D134" t="s">
        <v>848</v>
      </c>
      <c r="E134">
        <v>24462</v>
      </c>
      <c r="F134" t="s">
        <v>838</v>
      </c>
      <c r="G134" t="s">
        <v>839</v>
      </c>
      <c r="H134" t="s">
        <v>849</v>
      </c>
      <c r="I134">
        <v>15.06</v>
      </c>
      <c r="J134">
        <v>15.06</v>
      </c>
      <c r="K134" t="s">
        <v>527</v>
      </c>
      <c r="L134">
        <v>1</v>
      </c>
      <c r="M134">
        <v>2016</v>
      </c>
      <c r="N134">
        <v>3</v>
      </c>
      <c r="O134" t="str">
        <f t="shared" si="5"/>
        <v>Alto fuste</v>
      </c>
      <c r="P134" s="2">
        <v>42664</v>
      </c>
      <c r="Q134" t="s">
        <v>174</v>
      </c>
      <c r="R134" t="s">
        <v>367</v>
      </c>
      <c r="S134" t="s">
        <v>154</v>
      </c>
      <c r="T134" t="s">
        <v>527</v>
      </c>
      <c r="U134" t="s">
        <v>156</v>
      </c>
      <c r="V134" s="2">
        <v>44676</v>
      </c>
      <c r="W134" t="s">
        <v>841</v>
      </c>
      <c r="X134">
        <v>117.8</v>
      </c>
      <c r="Y134">
        <v>18.5</v>
      </c>
      <c r="Z134">
        <v>1</v>
      </c>
      <c r="AA134">
        <v>15.6</v>
      </c>
      <c r="AB134">
        <v>6</v>
      </c>
      <c r="AC134">
        <v>288.60000000000002</v>
      </c>
      <c r="AD134">
        <v>286.97530461648199</v>
      </c>
      <c r="AE134" s="2">
        <v>44676</v>
      </c>
      <c r="AF134">
        <v>66</v>
      </c>
      <c r="AG134">
        <v>5.5085557837097898</v>
      </c>
      <c r="AH134">
        <v>27.156290273352699</v>
      </c>
      <c r="AI134">
        <v>16.106060606060598</v>
      </c>
      <c r="AJ134">
        <v>24.056517003949899</v>
      </c>
      <c r="AK134">
        <v>33</v>
      </c>
      <c r="AL134">
        <v>1149.9247311228301</v>
      </c>
      <c r="AM134">
        <v>292.866881085481</v>
      </c>
      <c r="AN134">
        <v>0.254683522459348</v>
      </c>
      <c r="AO134" t="s">
        <v>367</v>
      </c>
      <c r="AP134" t="s">
        <v>158</v>
      </c>
      <c r="AQ134" t="s">
        <v>850</v>
      </c>
      <c r="AR134">
        <v>9</v>
      </c>
      <c r="AS134">
        <v>1.034932258010546</v>
      </c>
      <c r="AT134" t="s">
        <v>851</v>
      </c>
      <c r="AU134" t="s">
        <v>852</v>
      </c>
      <c r="AV134">
        <v>5433</v>
      </c>
      <c r="AW134">
        <v>2836</v>
      </c>
      <c r="AX134">
        <v>2356</v>
      </c>
      <c r="AY134">
        <v>233</v>
      </c>
      <c r="AZ134">
        <v>8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-1.2869999999999999</v>
      </c>
      <c r="BH134">
        <v>30.638999999999999</v>
      </c>
      <c r="BI134">
        <v>14.067841</v>
      </c>
      <c r="BJ134">
        <v>-0.273476</v>
      </c>
      <c r="BK134">
        <v>13.297777999999999</v>
      </c>
      <c r="BL134">
        <v>176.83089699999999</v>
      </c>
      <c r="BM134">
        <v>0.94526100000000002</v>
      </c>
      <c r="BN134">
        <v>27.314</v>
      </c>
      <c r="BO134">
        <v>-2.6772000000000001E-2</v>
      </c>
      <c r="BP134">
        <v>1.0736479999999999</v>
      </c>
      <c r="BQ134">
        <v>13.041520999999999</v>
      </c>
      <c r="BR134">
        <v>12.516999999999999</v>
      </c>
      <c r="BS134">
        <v>16.751476</v>
      </c>
      <c r="BT134">
        <v>14.067841</v>
      </c>
      <c r="BU134">
        <v>7.0078889999999996</v>
      </c>
      <c r="BV134">
        <v>3.9895E-2</v>
      </c>
      <c r="BW134">
        <v>-1.519898</v>
      </c>
      <c r="BX134">
        <v>0.49814999999999998</v>
      </c>
      <c r="BY134">
        <v>5.6930000000000001E-3</v>
      </c>
      <c r="BZ134">
        <v>-0.21688399999999999</v>
      </c>
      <c r="CA134">
        <v>-0.46899999999999997</v>
      </c>
      <c r="CB134">
        <v>-0.2024</v>
      </c>
      <c r="CC134">
        <v>-9.4E-2</v>
      </c>
      <c r="CD134">
        <v>3.5000000000000003E-2</v>
      </c>
      <c r="CE134">
        <v>8.7999999999999995E-2</v>
      </c>
      <c r="CF134">
        <v>0.14960000000000001</v>
      </c>
      <c r="CG134">
        <v>0.4</v>
      </c>
      <c r="CH134">
        <v>16.478000999999999</v>
      </c>
      <c r="CI134">
        <v>26.499200999999999</v>
      </c>
      <c r="CJ134">
        <v>27.115400000000001</v>
      </c>
      <c r="CK134">
        <v>27.402000000000001</v>
      </c>
      <c r="CL134">
        <v>27.730599999999999</v>
      </c>
      <c r="CM134">
        <v>28.447800000000001</v>
      </c>
      <c r="CN134">
        <v>28.957401000000001</v>
      </c>
      <c r="CO134">
        <v>29.684360999999999</v>
      </c>
      <c r="CP134">
        <v>0.48095100000000002</v>
      </c>
      <c r="CQ134">
        <v>19.357233999999998</v>
      </c>
      <c r="CR134">
        <v>21.674724000000001</v>
      </c>
      <c r="CS134">
        <v>1</v>
      </c>
      <c r="CT134">
        <v>60</v>
      </c>
      <c r="CU134">
        <v>17.131786999999999</v>
      </c>
      <c r="CV134">
        <v>1</v>
      </c>
      <c r="CW134">
        <v>11.155462</v>
      </c>
      <c r="CX134">
        <v>124.444337</v>
      </c>
      <c r="CY134">
        <v>0.65115599999999996</v>
      </c>
      <c r="CZ134">
        <v>18</v>
      </c>
      <c r="DA134">
        <v>0.46167900000000001</v>
      </c>
      <c r="DB134">
        <v>2.7365240000000002</v>
      </c>
      <c r="DC134">
        <v>9.3188779999999998</v>
      </c>
      <c r="DD134">
        <v>17.131786999999999</v>
      </c>
      <c r="DE134">
        <v>6.3064119999999999</v>
      </c>
      <c r="DF134">
        <v>0.51563499999999995</v>
      </c>
      <c r="DG134">
        <v>0.32290200000000002</v>
      </c>
      <c r="DH134">
        <v>0.36811199999999999</v>
      </c>
      <c r="DI134">
        <v>8.1764000000000003E-2</v>
      </c>
      <c r="DJ134">
        <v>5.1201999999999998E-2</v>
      </c>
      <c r="DK134">
        <v>1</v>
      </c>
      <c r="DL134">
        <v>2</v>
      </c>
      <c r="DM134">
        <v>3</v>
      </c>
      <c r="DN134">
        <v>6</v>
      </c>
      <c r="DO134">
        <v>7</v>
      </c>
      <c r="DP134">
        <v>9</v>
      </c>
      <c r="DQ134">
        <v>13</v>
      </c>
      <c r="DR134">
        <v>17</v>
      </c>
      <c r="DS134">
        <v>21</v>
      </c>
      <c r="DT134">
        <v>23</v>
      </c>
      <c r="DU134">
        <v>25</v>
      </c>
      <c r="DV134">
        <v>26</v>
      </c>
      <c r="DW134">
        <v>31</v>
      </c>
      <c r="DX134">
        <v>37</v>
      </c>
      <c r="DY134">
        <v>46.680176000000003</v>
      </c>
      <c r="DZ134">
        <v>94.922426000000002</v>
      </c>
      <c r="EA134">
        <v>54.739555000000003</v>
      </c>
      <c r="EB134">
        <v>104.86600799999999</v>
      </c>
      <c r="EC134">
        <v>2692</v>
      </c>
      <c r="ED134">
        <v>2974</v>
      </c>
      <c r="EE134">
        <v>93.265162000000004</v>
      </c>
      <c r="EF134">
        <v>99.964738999999994</v>
      </c>
      <c r="EG134">
        <v>51.168782999999998</v>
      </c>
      <c r="EH134">
        <v>96.466041000000004</v>
      </c>
      <c r="EI134">
        <v>98.025388000000007</v>
      </c>
      <c r="EJ134">
        <v>184.802539</v>
      </c>
      <c r="EK134">
        <v>2645</v>
      </c>
      <c r="EL134">
        <v>2835</v>
      </c>
      <c r="EM134">
        <v>2780</v>
      </c>
      <c r="EN134">
        <v>5241</v>
      </c>
      <c r="EO134">
        <v>2836</v>
      </c>
      <c r="EP134">
        <v>5433</v>
      </c>
      <c r="EQ134">
        <v>46.455387999999999</v>
      </c>
    </row>
    <row r="135" spans="1:147" x14ac:dyDescent="0.25">
      <c r="A135">
        <v>2022</v>
      </c>
      <c r="B135" t="str">
        <f t="shared" si="4"/>
        <v>RD</v>
      </c>
      <c r="C135" t="s">
        <v>853</v>
      </c>
      <c r="D135" t="s">
        <v>853</v>
      </c>
      <c r="E135">
        <v>24467</v>
      </c>
      <c r="F135" t="s">
        <v>854</v>
      </c>
      <c r="G135" t="s">
        <v>855</v>
      </c>
      <c r="H135" t="s">
        <v>856</v>
      </c>
      <c r="I135">
        <v>18.829999999999998</v>
      </c>
      <c r="J135">
        <v>18.829999999999998</v>
      </c>
      <c r="K135" t="s">
        <v>527</v>
      </c>
      <c r="L135">
        <v>1</v>
      </c>
      <c r="M135">
        <v>2016</v>
      </c>
      <c r="N135">
        <v>2</v>
      </c>
      <c r="O135" t="str">
        <f t="shared" si="5"/>
        <v>Alto fuste</v>
      </c>
      <c r="P135" s="2">
        <v>42649</v>
      </c>
      <c r="Q135" t="s">
        <v>174</v>
      </c>
      <c r="R135" t="s">
        <v>427</v>
      </c>
      <c r="S135" t="s">
        <v>154</v>
      </c>
      <c r="T135" t="s">
        <v>527</v>
      </c>
      <c r="U135" t="s">
        <v>156</v>
      </c>
      <c r="V135" s="2">
        <v>44697</v>
      </c>
      <c r="W135" t="s">
        <v>857</v>
      </c>
      <c r="X135">
        <v>36.68</v>
      </c>
      <c r="Y135">
        <v>19.5</v>
      </c>
      <c r="Z135">
        <v>23</v>
      </c>
      <c r="AA135">
        <v>16.100000000000001</v>
      </c>
      <c r="AB135">
        <v>3</v>
      </c>
      <c r="AC135">
        <v>313.95</v>
      </c>
      <c r="AD135">
        <v>288.59644456567997</v>
      </c>
      <c r="AE135" s="2">
        <v>44697</v>
      </c>
      <c r="AF135">
        <v>67</v>
      </c>
      <c r="AG135">
        <v>5.6071184120465398</v>
      </c>
      <c r="AH135">
        <v>24.795656065539902</v>
      </c>
      <c r="AI135">
        <v>15.473076923076899</v>
      </c>
      <c r="AJ135">
        <v>17.364779497998398</v>
      </c>
      <c r="AK135">
        <v>26</v>
      </c>
      <c r="AL135">
        <v>900.91199976938196</v>
      </c>
      <c r="AM135">
        <v>192.702833977821</v>
      </c>
      <c r="AN135">
        <v>0.21389751055280601</v>
      </c>
      <c r="AO135" t="s">
        <v>427</v>
      </c>
      <c r="AP135" t="s">
        <v>158</v>
      </c>
      <c r="AQ135" t="s">
        <v>166</v>
      </c>
      <c r="AR135">
        <v>9</v>
      </c>
      <c r="AS135">
        <v>0.81082079979244281</v>
      </c>
      <c r="AT135" t="s">
        <v>858</v>
      </c>
      <c r="AU135" t="s">
        <v>859</v>
      </c>
      <c r="AV135">
        <v>3202</v>
      </c>
      <c r="AW135">
        <v>1739</v>
      </c>
      <c r="AX135">
        <v>1409</v>
      </c>
      <c r="AY135">
        <v>54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-1.1359999999999999</v>
      </c>
      <c r="BH135">
        <v>25.055</v>
      </c>
      <c r="BI135">
        <v>11.056430000000001</v>
      </c>
      <c r="BJ135">
        <v>-0.30453999999999998</v>
      </c>
      <c r="BK135">
        <v>11.218362000000001</v>
      </c>
      <c r="BL135">
        <v>125.851652</v>
      </c>
      <c r="BM135">
        <v>1.0146459999999999</v>
      </c>
      <c r="BN135">
        <v>22.610751</v>
      </c>
      <c r="BO135">
        <v>4.0323999999999999E-2</v>
      </c>
      <c r="BP135">
        <v>1.0312250000000001</v>
      </c>
      <c r="BQ135">
        <v>11.155328000000001</v>
      </c>
      <c r="BR135">
        <v>2.8155000000000001</v>
      </c>
      <c r="BS135">
        <v>2.03254</v>
      </c>
      <c r="BT135">
        <v>11.056430000000001</v>
      </c>
      <c r="BU135">
        <v>5.8227969999999996</v>
      </c>
      <c r="BV135">
        <v>0.22058</v>
      </c>
      <c r="BW135">
        <v>-1.268492</v>
      </c>
      <c r="BX135">
        <v>0.52664299999999997</v>
      </c>
      <c r="BY135">
        <v>3.7881999999999999E-2</v>
      </c>
      <c r="BZ135">
        <v>-0.21784899999999999</v>
      </c>
      <c r="CA135">
        <v>-0.67296999999999996</v>
      </c>
      <c r="CB135">
        <v>-0.43090000000000001</v>
      </c>
      <c r="CC135">
        <v>-0.31900000000000001</v>
      </c>
      <c r="CD135">
        <v>-0.185</v>
      </c>
      <c r="CE135">
        <v>-0.123</v>
      </c>
      <c r="CF135">
        <v>-4.6699999999999998E-2</v>
      </c>
      <c r="CG135">
        <v>0.21340000000000001</v>
      </c>
      <c r="CH135">
        <v>1.728</v>
      </c>
      <c r="CI135">
        <v>21.580601000000001</v>
      </c>
      <c r="CJ135">
        <v>22.215401</v>
      </c>
      <c r="CK135">
        <v>22.487750999999999</v>
      </c>
      <c r="CL135">
        <v>22.7698</v>
      </c>
      <c r="CM135">
        <v>23.366399999999999</v>
      </c>
      <c r="CN135">
        <v>23.772849999999998</v>
      </c>
      <c r="CO135">
        <v>24.412849000000001</v>
      </c>
      <c r="CP135">
        <v>0.46551999999999999</v>
      </c>
      <c r="CQ135">
        <v>15.749825</v>
      </c>
      <c r="CR135">
        <v>17.738613999999998</v>
      </c>
      <c r="CS135">
        <v>1</v>
      </c>
      <c r="CT135">
        <v>78</v>
      </c>
      <c r="CU135">
        <v>19.347283000000001</v>
      </c>
      <c r="CV135">
        <v>1</v>
      </c>
      <c r="CW135">
        <v>12.927015000000001</v>
      </c>
      <c r="CX135">
        <v>167.10772299999999</v>
      </c>
      <c r="CY135">
        <v>0.668157</v>
      </c>
      <c r="CZ135">
        <v>19</v>
      </c>
      <c r="DA135">
        <v>0.63769699999999996</v>
      </c>
      <c r="DB135">
        <v>3.3229630000000001</v>
      </c>
      <c r="DC135">
        <v>10.489528999999999</v>
      </c>
      <c r="DD135">
        <v>19.347283000000001</v>
      </c>
      <c r="DE135">
        <v>7.2126590000000004</v>
      </c>
      <c r="DF135">
        <v>0.70354399999999995</v>
      </c>
      <c r="DG135">
        <v>0.59930000000000005</v>
      </c>
      <c r="DH135">
        <v>0.37280000000000002</v>
      </c>
      <c r="DI135">
        <v>9.7543000000000005E-2</v>
      </c>
      <c r="DJ135">
        <v>8.3089999999999997E-2</v>
      </c>
      <c r="DK135">
        <v>1</v>
      </c>
      <c r="DL135">
        <v>2</v>
      </c>
      <c r="DM135">
        <v>3</v>
      </c>
      <c r="DN135">
        <v>6</v>
      </c>
      <c r="DO135">
        <v>8</v>
      </c>
      <c r="DP135">
        <v>10</v>
      </c>
      <c r="DQ135">
        <v>15</v>
      </c>
      <c r="DR135">
        <v>19</v>
      </c>
      <c r="DS135">
        <v>23</v>
      </c>
      <c r="DT135">
        <v>26</v>
      </c>
      <c r="DU135">
        <v>27</v>
      </c>
      <c r="DV135">
        <v>29</v>
      </c>
      <c r="DW135">
        <v>35</v>
      </c>
      <c r="DX135">
        <v>44</v>
      </c>
      <c r="DY135">
        <v>55.989989999999999</v>
      </c>
      <c r="DZ135">
        <v>90.569293000000002</v>
      </c>
      <c r="EA135">
        <v>49.968769999999999</v>
      </c>
      <c r="EB135">
        <v>92.006900999999999</v>
      </c>
      <c r="EC135">
        <v>1575</v>
      </c>
      <c r="ED135">
        <v>1600</v>
      </c>
      <c r="EE135">
        <v>90.396780000000007</v>
      </c>
      <c r="EF135">
        <v>99.827487000000005</v>
      </c>
      <c r="EG135">
        <v>49.188006999999999</v>
      </c>
      <c r="EH135">
        <v>88.881949000000006</v>
      </c>
      <c r="EI135">
        <v>90.569293000000002</v>
      </c>
      <c r="EJ135">
        <v>163.657274</v>
      </c>
      <c r="EK135">
        <v>1572</v>
      </c>
      <c r="EL135">
        <v>1736</v>
      </c>
      <c r="EM135">
        <v>1575</v>
      </c>
      <c r="EN135">
        <v>2846</v>
      </c>
      <c r="EO135">
        <v>1739</v>
      </c>
      <c r="EP135">
        <v>3202</v>
      </c>
      <c r="EQ135">
        <v>44.647610999999998</v>
      </c>
    </row>
    <row r="136" spans="1:147" x14ac:dyDescent="0.25">
      <c r="A136">
        <v>2022</v>
      </c>
      <c r="B136" t="str">
        <f t="shared" si="4"/>
        <v>RD</v>
      </c>
      <c r="C136" t="s">
        <v>860</v>
      </c>
      <c r="D136" t="s">
        <v>860</v>
      </c>
      <c r="E136">
        <v>24468</v>
      </c>
      <c r="F136" t="s">
        <v>854</v>
      </c>
      <c r="G136" t="s">
        <v>855</v>
      </c>
      <c r="H136" t="s">
        <v>856</v>
      </c>
      <c r="I136">
        <v>18.829999999999998</v>
      </c>
      <c r="J136">
        <v>18.829999999999998</v>
      </c>
      <c r="K136" t="s">
        <v>527</v>
      </c>
      <c r="L136">
        <v>1</v>
      </c>
      <c r="M136">
        <v>2016</v>
      </c>
      <c r="N136">
        <v>2</v>
      </c>
      <c r="O136" t="str">
        <f t="shared" si="5"/>
        <v>Alto fuste</v>
      </c>
      <c r="P136" s="2">
        <v>42649</v>
      </c>
      <c r="Q136" t="s">
        <v>174</v>
      </c>
      <c r="R136" t="s">
        <v>427</v>
      </c>
      <c r="S136" t="s">
        <v>154</v>
      </c>
      <c r="T136" t="s">
        <v>527</v>
      </c>
      <c r="U136" t="s">
        <v>156</v>
      </c>
      <c r="V136" s="2">
        <v>44697</v>
      </c>
      <c r="W136" t="s">
        <v>857</v>
      </c>
      <c r="X136">
        <v>36.68</v>
      </c>
      <c r="Y136">
        <v>19.3</v>
      </c>
      <c r="Z136">
        <v>16</v>
      </c>
      <c r="AA136">
        <v>15.6</v>
      </c>
      <c r="AB136">
        <v>8</v>
      </c>
      <c r="AC136">
        <v>301.08</v>
      </c>
      <c r="AD136">
        <v>286.600088261873</v>
      </c>
      <c r="AE136" s="2">
        <v>44697</v>
      </c>
      <c r="AF136">
        <v>67</v>
      </c>
      <c r="AG136">
        <v>5.6071184120465398</v>
      </c>
      <c r="AH136">
        <v>23.900116495264399</v>
      </c>
      <c r="AI136">
        <v>15.529166666666701</v>
      </c>
      <c r="AJ136">
        <v>16.339757074666299</v>
      </c>
      <c r="AK136">
        <v>24</v>
      </c>
      <c r="AL136">
        <v>837.40378956445602</v>
      </c>
      <c r="AM136">
        <v>174.649184242763</v>
      </c>
      <c r="AN136">
        <v>0.20856029841183299</v>
      </c>
      <c r="AO136" t="s">
        <v>427</v>
      </c>
      <c r="AP136" t="s">
        <v>158</v>
      </c>
      <c r="AQ136" t="s">
        <v>166</v>
      </c>
      <c r="AR136">
        <v>9</v>
      </c>
      <c r="AS136">
        <v>0.75366341060801045</v>
      </c>
      <c r="AT136" t="s">
        <v>861</v>
      </c>
      <c r="AU136" t="s">
        <v>862</v>
      </c>
      <c r="AV136">
        <v>2668</v>
      </c>
      <c r="AW136">
        <v>1477</v>
      </c>
      <c r="AX136">
        <v>1151</v>
      </c>
      <c r="AY136">
        <v>39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-1.0720000000000001</v>
      </c>
      <c r="BH136">
        <v>25.469000000000001</v>
      </c>
      <c r="BI136">
        <v>11.732991999999999</v>
      </c>
      <c r="BJ136">
        <v>-0.22942899999999999</v>
      </c>
      <c r="BK136">
        <v>11.407633000000001</v>
      </c>
      <c r="BL136">
        <v>130.13410099999999</v>
      </c>
      <c r="BM136">
        <v>0.97226999999999997</v>
      </c>
      <c r="BN136">
        <v>23.113999</v>
      </c>
      <c r="BO136">
        <v>-2.7049E-2</v>
      </c>
      <c r="BP136">
        <v>1.0406359999999999</v>
      </c>
      <c r="BQ136">
        <v>11.286153000000001</v>
      </c>
      <c r="BR136">
        <v>8.8925000000000001</v>
      </c>
      <c r="BS136">
        <v>16.076429000000001</v>
      </c>
      <c r="BT136">
        <v>11.732991999999999</v>
      </c>
      <c r="BU136">
        <v>5.9386780000000003</v>
      </c>
      <c r="BV136">
        <v>5.5328000000000002E-2</v>
      </c>
      <c r="BW136">
        <v>-1.305002</v>
      </c>
      <c r="BX136">
        <v>0.50615200000000005</v>
      </c>
      <c r="BY136">
        <v>9.3159999999999996E-3</v>
      </c>
      <c r="BZ136">
        <v>-0.219746</v>
      </c>
      <c r="CA136">
        <v>-0.48798999999999998</v>
      </c>
      <c r="CB136">
        <v>-0.29799999999999999</v>
      </c>
      <c r="CC136">
        <v>-0.218</v>
      </c>
      <c r="CD136">
        <v>-8.8999999999999996E-2</v>
      </c>
      <c r="CE136">
        <v>-2.5999999999999999E-2</v>
      </c>
      <c r="CF136">
        <v>3.5000000000000003E-2</v>
      </c>
      <c r="CG136">
        <v>0.21379999999999999</v>
      </c>
      <c r="CH136">
        <v>15.847</v>
      </c>
      <c r="CI136">
        <v>22.113201</v>
      </c>
      <c r="CJ136">
        <v>22.804200999999999</v>
      </c>
      <c r="CK136">
        <v>23.087999</v>
      </c>
      <c r="CL136">
        <v>23.371200999999999</v>
      </c>
      <c r="CM136">
        <v>23.956301</v>
      </c>
      <c r="CN136">
        <v>24.386299000000001</v>
      </c>
      <c r="CO136">
        <v>24.86599</v>
      </c>
      <c r="CP136">
        <v>0.48246099999999997</v>
      </c>
      <c r="CQ136">
        <v>16.363019999999999</v>
      </c>
      <c r="CR136">
        <v>18.325285000000001</v>
      </c>
      <c r="CS136">
        <v>1</v>
      </c>
      <c r="CT136">
        <v>59</v>
      </c>
      <c r="CU136">
        <v>18.604572999999998</v>
      </c>
      <c r="CV136">
        <v>2.8412700000000002</v>
      </c>
      <c r="CW136">
        <v>12.400694</v>
      </c>
      <c r="CX136">
        <v>153.77721199999999</v>
      </c>
      <c r="CY136">
        <v>0.66654000000000002</v>
      </c>
      <c r="CZ136">
        <v>20</v>
      </c>
      <c r="DA136">
        <v>0.52221200000000001</v>
      </c>
      <c r="DB136">
        <v>2.7268430000000001</v>
      </c>
      <c r="DC136">
        <v>10.380557</v>
      </c>
      <c r="DD136">
        <v>18.604572999999998</v>
      </c>
      <c r="DE136">
        <v>6.9976089999999997</v>
      </c>
      <c r="DF136">
        <v>0.70960100000000004</v>
      </c>
      <c r="DG136">
        <v>0.35606700000000002</v>
      </c>
      <c r="DH136">
        <v>0.37612299999999999</v>
      </c>
      <c r="DI136">
        <v>0.101406</v>
      </c>
      <c r="DJ136">
        <v>5.0883999999999999E-2</v>
      </c>
      <c r="DK136">
        <v>1</v>
      </c>
      <c r="DL136">
        <v>2</v>
      </c>
      <c r="DM136">
        <v>3</v>
      </c>
      <c r="DN136">
        <v>6</v>
      </c>
      <c r="DO136">
        <v>7</v>
      </c>
      <c r="DP136">
        <v>9</v>
      </c>
      <c r="DQ136">
        <v>13</v>
      </c>
      <c r="DR136">
        <v>19</v>
      </c>
      <c r="DS136">
        <v>22</v>
      </c>
      <c r="DT136">
        <v>26</v>
      </c>
      <c r="DU136">
        <v>27</v>
      </c>
      <c r="DV136">
        <v>29</v>
      </c>
      <c r="DW136">
        <v>33</v>
      </c>
      <c r="DX136">
        <v>42</v>
      </c>
      <c r="DY136">
        <v>52</v>
      </c>
      <c r="DZ136">
        <v>91.130669999999995</v>
      </c>
      <c r="EA136">
        <v>52.248876000000003</v>
      </c>
      <c r="EB136">
        <v>94.380500999999995</v>
      </c>
      <c r="EC136">
        <v>1346</v>
      </c>
      <c r="ED136">
        <v>1394</v>
      </c>
      <c r="EE136">
        <v>90.318213</v>
      </c>
      <c r="EF136">
        <v>99.796886000000001</v>
      </c>
      <c r="EG136">
        <v>51.161918999999997</v>
      </c>
      <c r="EH136">
        <v>91.041978999999998</v>
      </c>
      <c r="EI136">
        <v>92.417062000000001</v>
      </c>
      <c r="EJ136">
        <v>164.45497599999999</v>
      </c>
      <c r="EK136">
        <v>1334</v>
      </c>
      <c r="EL136">
        <v>1474</v>
      </c>
      <c r="EM136">
        <v>1365</v>
      </c>
      <c r="EN136">
        <v>2429</v>
      </c>
      <c r="EO136">
        <v>1477</v>
      </c>
      <c r="EP136">
        <v>2668</v>
      </c>
      <c r="EQ136">
        <v>46.322519</v>
      </c>
    </row>
    <row r="137" spans="1:147" x14ac:dyDescent="0.25">
      <c r="A137">
        <v>2022</v>
      </c>
      <c r="B137" t="str">
        <f t="shared" si="4"/>
        <v>RD</v>
      </c>
      <c r="C137" t="s">
        <v>863</v>
      </c>
      <c r="D137" t="s">
        <v>863</v>
      </c>
      <c r="E137">
        <v>24470</v>
      </c>
      <c r="F137" t="s">
        <v>864</v>
      </c>
      <c r="G137" t="s">
        <v>865</v>
      </c>
      <c r="H137" t="s">
        <v>866</v>
      </c>
      <c r="I137">
        <v>23.37</v>
      </c>
      <c r="J137">
        <v>23.37</v>
      </c>
      <c r="K137" t="s">
        <v>527</v>
      </c>
      <c r="L137">
        <v>1</v>
      </c>
      <c r="M137">
        <v>2016</v>
      </c>
      <c r="N137">
        <v>1</v>
      </c>
      <c r="O137" t="str">
        <f t="shared" si="5"/>
        <v>Talhadia</v>
      </c>
      <c r="P137" s="2">
        <v>42674</v>
      </c>
      <c r="Q137" t="s">
        <v>237</v>
      </c>
      <c r="R137" t="s">
        <v>164</v>
      </c>
      <c r="S137" t="s">
        <v>154</v>
      </c>
      <c r="T137" t="s">
        <v>527</v>
      </c>
      <c r="U137" t="s">
        <v>156</v>
      </c>
      <c r="V137" s="2">
        <v>44676</v>
      </c>
      <c r="W137" t="s">
        <v>867</v>
      </c>
      <c r="X137">
        <v>38.049999999999997</v>
      </c>
      <c r="Y137">
        <v>20.2</v>
      </c>
      <c r="Z137">
        <v>11</v>
      </c>
      <c r="AA137">
        <v>16.2</v>
      </c>
      <c r="AB137">
        <v>2</v>
      </c>
      <c r="AC137">
        <v>327.24</v>
      </c>
      <c r="AD137">
        <v>321.03199628833698</v>
      </c>
      <c r="AE137" s="2">
        <v>44676</v>
      </c>
      <c r="AF137">
        <v>66</v>
      </c>
      <c r="AG137">
        <v>5.48117727583847</v>
      </c>
      <c r="AH137">
        <v>23.671768423463</v>
      </c>
      <c r="AI137">
        <v>15.296428571428599</v>
      </c>
      <c r="AJ137">
        <v>17.528413232936899</v>
      </c>
      <c r="AK137">
        <v>28</v>
      </c>
      <c r="AL137">
        <v>872.18720637589195</v>
      </c>
      <c r="AM137">
        <v>197.30433192450101</v>
      </c>
      <c r="AN137">
        <v>0.22621786983592501</v>
      </c>
      <c r="AO137" t="s">
        <v>164</v>
      </c>
      <c r="AP137" t="s">
        <v>264</v>
      </c>
      <c r="AQ137" t="s">
        <v>286</v>
      </c>
      <c r="AR137">
        <v>7.5</v>
      </c>
      <c r="AS137">
        <v>0.65414040478191815</v>
      </c>
      <c r="AT137" t="s">
        <v>868</v>
      </c>
      <c r="AU137" t="s">
        <v>869</v>
      </c>
      <c r="AV137">
        <v>2476</v>
      </c>
      <c r="AW137">
        <v>1472</v>
      </c>
      <c r="AX137">
        <v>979</v>
      </c>
      <c r="AY137">
        <v>24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-0.94799999999999995</v>
      </c>
      <c r="BH137">
        <v>24.853999999999999</v>
      </c>
      <c r="BI137">
        <v>10.74666</v>
      </c>
      <c r="BJ137">
        <v>-0.128889</v>
      </c>
      <c r="BK137">
        <v>10.900867</v>
      </c>
      <c r="BL137">
        <v>118.828902</v>
      </c>
      <c r="BM137">
        <v>1.0143489999999999</v>
      </c>
      <c r="BN137">
        <v>21.9635</v>
      </c>
      <c r="BO137">
        <v>4.4687999999999999E-2</v>
      </c>
      <c r="BP137">
        <v>1.039282</v>
      </c>
      <c r="BQ137">
        <v>10.805467999999999</v>
      </c>
      <c r="BR137">
        <v>7.2195</v>
      </c>
      <c r="BS137">
        <v>6.7593889999999996</v>
      </c>
      <c r="BT137">
        <v>10.74666</v>
      </c>
      <c r="BU137">
        <v>5.669619</v>
      </c>
      <c r="BV137">
        <v>0.253249</v>
      </c>
      <c r="BW137">
        <v>-1.218593</v>
      </c>
      <c r="BX137">
        <v>0.52756999999999998</v>
      </c>
      <c r="BY137">
        <v>4.4667999999999999E-2</v>
      </c>
      <c r="BZ137">
        <v>-0.21493399999999999</v>
      </c>
      <c r="CA137">
        <v>-0.61875000000000002</v>
      </c>
      <c r="CB137">
        <v>-0.38800000000000001</v>
      </c>
      <c r="CC137">
        <v>-0.2505</v>
      </c>
      <c r="CD137">
        <v>-0.13800000000000001</v>
      </c>
      <c r="CE137">
        <v>-8.5000000000000006E-2</v>
      </c>
      <c r="CF137">
        <v>-2.1000000000000001E-2</v>
      </c>
      <c r="CG137">
        <v>0.159</v>
      </c>
      <c r="CH137">
        <v>6.6304999999999996</v>
      </c>
      <c r="CI137">
        <v>20.853000999999999</v>
      </c>
      <c r="CJ137">
        <v>21.569500000000001</v>
      </c>
      <c r="CK137">
        <v>21.878499999999999</v>
      </c>
      <c r="CL137">
        <v>22.143999000000001</v>
      </c>
      <c r="CM137">
        <v>22.824501000000001</v>
      </c>
      <c r="CN137">
        <v>23.264250000000001</v>
      </c>
      <c r="CO137">
        <v>24.063499</v>
      </c>
      <c r="CP137">
        <v>0.45324599999999998</v>
      </c>
      <c r="CQ137">
        <v>15.305934000000001</v>
      </c>
      <c r="CR137">
        <v>17.245000999999998</v>
      </c>
      <c r="CS137">
        <v>1</v>
      </c>
      <c r="CT137">
        <v>71</v>
      </c>
      <c r="CU137">
        <v>22.911954999999999</v>
      </c>
      <c r="CV137">
        <v>1</v>
      </c>
      <c r="CW137">
        <v>16.010133</v>
      </c>
      <c r="CX137">
        <v>256.324366</v>
      </c>
      <c r="CY137">
        <v>0.69876799999999994</v>
      </c>
      <c r="CZ137">
        <v>23</v>
      </c>
      <c r="DA137">
        <v>0.60607699999999998</v>
      </c>
      <c r="DB137">
        <v>2.6960419999999998</v>
      </c>
      <c r="DC137">
        <v>12.981757</v>
      </c>
      <c r="DD137">
        <v>22.911954999999999</v>
      </c>
      <c r="DE137">
        <v>8.9954160000000005</v>
      </c>
      <c r="DF137">
        <v>1.1857040000000001</v>
      </c>
      <c r="DG137">
        <v>0.66795000000000004</v>
      </c>
      <c r="DH137">
        <v>0.39260800000000001</v>
      </c>
      <c r="DI137">
        <v>0.13181200000000001</v>
      </c>
      <c r="DJ137">
        <v>7.4255000000000002E-2</v>
      </c>
      <c r="DK137">
        <v>1</v>
      </c>
      <c r="DL137">
        <v>2</v>
      </c>
      <c r="DM137">
        <v>3</v>
      </c>
      <c r="DN137">
        <v>7</v>
      </c>
      <c r="DO137">
        <v>9</v>
      </c>
      <c r="DP137">
        <v>11</v>
      </c>
      <c r="DQ137">
        <v>17</v>
      </c>
      <c r="DR137">
        <v>22</v>
      </c>
      <c r="DS137">
        <v>26</v>
      </c>
      <c r="DT137">
        <v>30</v>
      </c>
      <c r="DU137">
        <v>32</v>
      </c>
      <c r="DV137">
        <v>35</v>
      </c>
      <c r="DW137">
        <v>48</v>
      </c>
      <c r="DX137">
        <v>55</v>
      </c>
      <c r="DY137">
        <v>62.25</v>
      </c>
      <c r="DZ137">
        <v>82.8125</v>
      </c>
      <c r="EA137">
        <v>50.080775000000003</v>
      </c>
      <c r="EB137">
        <v>84.239130000000003</v>
      </c>
      <c r="EC137">
        <v>1219</v>
      </c>
      <c r="ED137">
        <v>1240</v>
      </c>
      <c r="EE137">
        <v>81.793477999999993</v>
      </c>
      <c r="EF137">
        <v>96.671195999999995</v>
      </c>
      <c r="EG137">
        <v>49.111469999999997</v>
      </c>
      <c r="EH137">
        <v>78.998384000000001</v>
      </c>
      <c r="EI137">
        <v>82.608695999999995</v>
      </c>
      <c r="EJ137">
        <v>132.88043500000001</v>
      </c>
      <c r="EK137">
        <v>1204</v>
      </c>
      <c r="EL137">
        <v>1423</v>
      </c>
      <c r="EM137">
        <v>1216</v>
      </c>
      <c r="EN137">
        <v>1956</v>
      </c>
      <c r="EO137">
        <v>1472</v>
      </c>
      <c r="EP137">
        <v>2476</v>
      </c>
      <c r="EQ137">
        <v>43.977840999999998</v>
      </c>
    </row>
    <row r="138" spans="1:147" x14ac:dyDescent="0.25">
      <c r="A138">
        <v>2022</v>
      </c>
      <c r="B138" t="str">
        <f t="shared" si="4"/>
        <v>RD</v>
      </c>
      <c r="C138" t="s">
        <v>870</v>
      </c>
      <c r="D138" t="s">
        <v>870</v>
      </c>
      <c r="E138">
        <v>24471</v>
      </c>
      <c r="F138" t="s">
        <v>864</v>
      </c>
      <c r="G138" t="s">
        <v>865</v>
      </c>
      <c r="H138" t="s">
        <v>866</v>
      </c>
      <c r="I138">
        <v>23.37</v>
      </c>
      <c r="J138">
        <v>23.37</v>
      </c>
      <c r="K138" t="s">
        <v>527</v>
      </c>
      <c r="L138">
        <v>1</v>
      </c>
      <c r="M138">
        <v>2016</v>
      </c>
      <c r="N138">
        <v>1</v>
      </c>
      <c r="O138" t="str">
        <f t="shared" si="5"/>
        <v>Talhadia</v>
      </c>
      <c r="P138" s="2">
        <v>42674</v>
      </c>
      <c r="Q138" t="s">
        <v>237</v>
      </c>
      <c r="R138" t="s">
        <v>164</v>
      </c>
      <c r="S138" t="s">
        <v>154</v>
      </c>
      <c r="T138" t="s">
        <v>527</v>
      </c>
      <c r="U138" t="s">
        <v>156</v>
      </c>
      <c r="V138" s="2">
        <v>44676</v>
      </c>
      <c r="W138" t="s">
        <v>867</v>
      </c>
      <c r="X138">
        <v>38.049999999999997</v>
      </c>
      <c r="Y138">
        <v>20.7</v>
      </c>
      <c r="Z138">
        <v>1</v>
      </c>
      <c r="AA138">
        <v>15.7</v>
      </c>
      <c r="AB138">
        <v>5</v>
      </c>
      <c r="AC138">
        <v>324.99</v>
      </c>
      <c r="AD138">
        <v>323.70400573483801</v>
      </c>
      <c r="AE138" s="2">
        <v>44676</v>
      </c>
      <c r="AF138">
        <v>66</v>
      </c>
      <c r="AG138">
        <v>5.48117727583847</v>
      </c>
      <c r="AH138">
        <v>26.293039388478501</v>
      </c>
      <c r="AI138">
        <v>15.554285714285699</v>
      </c>
      <c r="AJ138">
        <v>21.929976691761301</v>
      </c>
      <c r="AK138">
        <v>35</v>
      </c>
      <c r="AL138">
        <v>1081.2346890965</v>
      </c>
      <c r="AM138">
        <v>281.11424260778603</v>
      </c>
      <c r="AN138">
        <v>0.25999373257501501</v>
      </c>
      <c r="AO138" t="s">
        <v>164</v>
      </c>
      <c r="AP138" t="s">
        <v>264</v>
      </c>
      <c r="AQ138" t="s">
        <v>286</v>
      </c>
      <c r="AR138">
        <v>7.5</v>
      </c>
      <c r="AS138">
        <v>0.81092601682237686</v>
      </c>
      <c r="AT138" t="s">
        <v>871</v>
      </c>
      <c r="AU138" t="s">
        <v>872</v>
      </c>
      <c r="AV138">
        <v>3948</v>
      </c>
      <c r="AW138">
        <v>2115</v>
      </c>
      <c r="AX138">
        <v>1490</v>
      </c>
      <c r="AY138">
        <v>325</v>
      </c>
      <c r="AZ138">
        <v>18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-1.1950000000000001</v>
      </c>
      <c r="BH138">
        <v>31.801000999999999</v>
      </c>
      <c r="BI138">
        <v>14.429841</v>
      </c>
      <c r="BJ138">
        <v>-0.147508</v>
      </c>
      <c r="BK138">
        <v>11.914260000000001</v>
      </c>
      <c r="BL138">
        <v>141.94958199999999</v>
      </c>
      <c r="BM138">
        <v>0.82566799999999996</v>
      </c>
      <c r="BN138">
        <v>25.46875</v>
      </c>
      <c r="BO138">
        <v>-0.177732</v>
      </c>
      <c r="BP138">
        <v>1.304468</v>
      </c>
      <c r="BQ138">
        <v>11.083639</v>
      </c>
      <c r="BR138">
        <v>9.5229999999999997</v>
      </c>
      <c r="BS138">
        <v>18.594009</v>
      </c>
      <c r="BT138">
        <v>14.429841</v>
      </c>
      <c r="BU138">
        <v>6.5905079999999998</v>
      </c>
      <c r="BV138">
        <v>-0.20553399999999999</v>
      </c>
      <c r="BW138">
        <v>-0.96351799999999999</v>
      </c>
      <c r="BX138">
        <v>0.45672800000000002</v>
      </c>
      <c r="BY138">
        <v>-3.1185999999999998E-2</v>
      </c>
      <c r="BZ138">
        <v>-0.14619799999999999</v>
      </c>
      <c r="CA138">
        <v>-0.49912000000000001</v>
      </c>
      <c r="CB138">
        <v>-0.23865</v>
      </c>
      <c r="CC138">
        <v>-0.1013</v>
      </c>
      <c r="CD138">
        <v>0.09</v>
      </c>
      <c r="CE138">
        <v>0.188</v>
      </c>
      <c r="CF138">
        <v>0.33500000000000002</v>
      </c>
      <c r="CG138">
        <v>11.328799999999999</v>
      </c>
      <c r="CH138">
        <v>18.446498999999999</v>
      </c>
      <c r="CI138">
        <v>22.3992</v>
      </c>
      <c r="CJ138">
        <v>24.729599</v>
      </c>
      <c r="CK138">
        <v>25.656749999999999</v>
      </c>
      <c r="CL138">
        <v>26.665201</v>
      </c>
      <c r="CM138">
        <v>28.2423</v>
      </c>
      <c r="CN138">
        <v>29.147247</v>
      </c>
      <c r="CO138">
        <v>30.508901999999999</v>
      </c>
      <c r="CP138">
        <v>0.47353699999999999</v>
      </c>
      <c r="CQ138">
        <v>18.711866000000001</v>
      </c>
      <c r="CR138">
        <v>20.682637</v>
      </c>
      <c r="CS138">
        <v>1</v>
      </c>
      <c r="CT138">
        <v>45</v>
      </c>
      <c r="CU138">
        <v>12.033688</v>
      </c>
      <c r="CV138">
        <v>1</v>
      </c>
      <c r="CW138">
        <v>8.7842500000000001</v>
      </c>
      <c r="CX138">
        <v>77.163039999999995</v>
      </c>
      <c r="CY138">
        <v>0.72997199999999995</v>
      </c>
      <c r="CZ138">
        <v>13</v>
      </c>
      <c r="DA138">
        <v>0.84505699999999995</v>
      </c>
      <c r="DB138">
        <v>3.188545</v>
      </c>
      <c r="DC138">
        <v>7.1998730000000002</v>
      </c>
      <c r="DD138">
        <v>12.033688</v>
      </c>
      <c r="DE138">
        <v>4.8663069999999999</v>
      </c>
      <c r="DF138">
        <v>0.91643200000000002</v>
      </c>
      <c r="DG138">
        <v>0.350103</v>
      </c>
      <c r="DH138">
        <v>0.40439000000000003</v>
      </c>
      <c r="DI138">
        <v>0.18832199999999999</v>
      </c>
      <c r="DJ138">
        <v>7.1943999999999994E-2</v>
      </c>
      <c r="DK138">
        <v>1</v>
      </c>
      <c r="DL138">
        <v>1</v>
      </c>
      <c r="DM138">
        <v>2</v>
      </c>
      <c r="DN138">
        <v>4</v>
      </c>
      <c r="DO138">
        <v>5</v>
      </c>
      <c r="DP138">
        <v>6</v>
      </c>
      <c r="DQ138">
        <v>8</v>
      </c>
      <c r="DR138">
        <v>10</v>
      </c>
      <c r="DS138">
        <v>13</v>
      </c>
      <c r="DT138">
        <v>16</v>
      </c>
      <c r="DU138">
        <v>18</v>
      </c>
      <c r="DV138">
        <v>20</v>
      </c>
      <c r="DW138">
        <v>24</v>
      </c>
      <c r="DX138">
        <v>29</v>
      </c>
      <c r="DY138">
        <v>37</v>
      </c>
      <c r="DZ138">
        <v>93.522458999999998</v>
      </c>
      <c r="EA138">
        <v>62.892603999999999</v>
      </c>
      <c r="EB138">
        <v>117.39952700000001</v>
      </c>
      <c r="EC138">
        <v>1978</v>
      </c>
      <c r="ED138">
        <v>2483</v>
      </c>
      <c r="EE138">
        <v>89.834514999999996</v>
      </c>
      <c r="EF138">
        <v>99.716312000000002</v>
      </c>
      <c r="EG138">
        <v>55.775075999999999</v>
      </c>
      <c r="EH138">
        <v>91.919959000000006</v>
      </c>
      <c r="EI138">
        <v>104.11347499999999</v>
      </c>
      <c r="EJ138">
        <v>171.583924</v>
      </c>
      <c r="EK138">
        <v>1900</v>
      </c>
      <c r="EL138">
        <v>2109</v>
      </c>
      <c r="EM138">
        <v>2202</v>
      </c>
      <c r="EN138">
        <v>3629</v>
      </c>
      <c r="EO138">
        <v>2115</v>
      </c>
      <c r="EP138">
        <v>3948</v>
      </c>
      <c r="EQ138">
        <v>46.377057999999998</v>
      </c>
    </row>
    <row r="139" spans="1:147" x14ac:dyDescent="0.25">
      <c r="A139">
        <v>2022</v>
      </c>
      <c r="B139" t="str">
        <f t="shared" si="4"/>
        <v>RD</v>
      </c>
      <c r="C139" t="s">
        <v>873</v>
      </c>
      <c r="D139" t="s">
        <v>873</v>
      </c>
      <c r="E139">
        <v>24472</v>
      </c>
      <c r="F139" t="s">
        <v>864</v>
      </c>
      <c r="G139" t="s">
        <v>865</v>
      </c>
      <c r="H139" t="s">
        <v>874</v>
      </c>
      <c r="I139">
        <v>14.68</v>
      </c>
      <c r="J139">
        <v>14.68</v>
      </c>
      <c r="K139" t="s">
        <v>527</v>
      </c>
      <c r="L139">
        <v>1</v>
      </c>
      <c r="M139">
        <v>2016</v>
      </c>
      <c r="N139">
        <v>1</v>
      </c>
      <c r="O139" t="str">
        <f t="shared" si="5"/>
        <v>Talhadia</v>
      </c>
      <c r="P139" s="2">
        <v>42674</v>
      </c>
      <c r="Q139" t="s">
        <v>237</v>
      </c>
      <c r="R139" t="s">
        <v>153</v>
      </c>
      <c r="S139" t="s">
        <v>154</v>
      </c>
      <c r="T139" t="s">
        <v>527</v>
      </c>
      <c r="U139" t="s">
        <v>156</v>
      </c>
      <c r="V139" s="2">
        <v>44676</v>
      </c>
      <c r="W139" t="s">
        <v>867</v>
      </c>
      <c r="X139">
        <v>38.049999999999997</v>
      </c>
      <c r="Y139">
        <v>20.5</v>
      </c>
      <c r="Z139">
        <v>1</v>
      </c>
      <c r="AA139">
        <v>15.4</v>
      </c>
      <c r="AB139">
        <v>4</v>
      </c>
      <c r="AC139">
        <v>315.7</v>
      </c>
      <c r="AD139">
        <v>314.88300515479102</v>
      </c>
      <c r="AE139" s="2">
        <v>44676</v>
      </c>
      <c r="AF139">
        <v>66</v>
      </c>
      <c r="AG139">
        <v>5.48117727583847</v>
      </c>
      <c r="AH139">
        <v>23.137656122966298</v>
      </c>
      <c r="AI139">
        <v>15.739393939393899</v>
      </c>
      <c r="AJ139">
        <v>22.729487280314299</v>
      </c>
      <c r="AK139">
        <v>33</v>
      </c>
      <c r="AL139">
        <v>1048.0082906912601</v>
      </c>
      <c r="AM139">
        <v>251.611358306754</v>
      </c>
      <c r="AN139">
        <v>0.240085274650636</v>
      </c>
      <c r="AO139" t="s">
        <v>153</v>
      </c>
      <c r="AP139" t="s">
        <v>264</v>
      </c>
      <c r="AQ139" t="s">
        <v>286</v>
      </c>
      <c r="AR139">
        <v>7.5</v>
      </c>
      <c r="AS139">
        <v>0.78600621801844561</v>
      </c>
      <c r="AT139" t="s">
        <v>875</v>
      </c>
      <c r="AU139" t="s">
        <v>876</v>
      </c>
      <c r="AV139">
        <v>3109</v>
      </c>
      <c r="AW139">
        <v>1783</v>
      </c>
      <c r="AX139">
        <v>1028</v>
      </c>
      <c r="AY139">
        <v>272</v>
      </c>
      <c r="AZ139">
        <v>26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-0.92700000000000005</v>
      </c>
      <c r="BH139">
        <v>33.172001000000002</v>
      </c>
      <c r="BI139">
        <v>16.911149999999999</v>
      </c>
      <c r="BJ139">
        <v>-0.38574599999999998</v>
      </c>
      <c r="BK139">
        <v>10.566362</v>
      </c>
      <c r="BL139">
        <v>111.647998</v>
      </c>
      <c r="BM139">
        <v>0.62481600000000004</v>
      </c>
      <c r="BN139">
        <v>16.204999999999998</v>
      </c>
      <c r="BO139">
        <v>-0.59379700000000002</v>
      </c>
      <c r="BP139">
        <v>1.955193</v>
      </c>
      <c r="BQ139">
        <v>8.9024099999999997</v>
      </c>
      <c r="BR139">
        <v>6.4370000000000003</v>
      </c>
      <c r="BS139">
        <v>20.356746999999999</v>
      </c>
      <c r="BT139">
        <v>16.911149999999999</v>
      </c>
      <c r="BU139">
        <v>5.8399539999999996</v>
      </c>
      <c r="BV139">
        <v>-0.92625000000000002</v>
      </c>
      <c r="BW139">
        <v>-1.5526E-2</v>
      </c>
      <c r="BX139">
        <v>0.34533199999999997</v>
      </c>
      <c r="BY139">
        <v>-0.158606</v>
      </c>
      <c r="BZ139">
        <v>-2.6589999999999999E-3</v>
      </c>
      <c r="CA139">
        <v>-0.39560000000000001</v>
      </c>
      <c r="CB139">
        <v>-0.1444</v>
      </c>
      <c r="CC139">
        <v>-0.01</v>
      </c>
      <c r="CD139">
        <v>0.28360000000000002</v>
      </c>
      <c r="CE139">
        <v>9.2609999999999992</v>
      </c>
      <c r="CF139">
        <v>13.704599999999999</v>
      </c>
      <c r="CG139">
        <v>17.556601000000001</v>
      </c>
      <c r="CH139">
        <v>19.971001000000001</v>
      </c>
      <c r="CI139">
        <v>22.1812</v>
      </c>
      <c r="CJ139">
        <v>24.450001</v>
      </c>
      <c r="CK139">
        <v>25.466000000000001</v>
      </c>
      <c r="CL139">
        <v>26.440999999999999</v>
      </c>
      <c r="CM139">
        <v>28.141999999999999</v>
      </c>
      <c r="CN139">
        <v>29.969000000000001</v>
      </c>
      <c r="CO139">
        <v>32.308715999999997</v>
      </c>
      <c r="CP139">
        <v>0.52312800000000004</v>
      </c>
      <c r="CQ139">
        <v>19.939886000000001</v>
      </c>
      <c r="CR139">
        <v>21.398686999999999</v>
      </c>
      <c r="CS139">
        <v>1</v>
      </c>
      <c r="CT139">
        <v>39</v>
      </c>
      <c r="CU139">
        <v>8.1373429999999995</v>
      </c>
      <c r="CV139">
        <v>1</v>
      </c>
      <c r="CW139">
        <v>5.7720630000000002</v>
      </c>
      <c r="CX139">
        <v>33.316716</v>
      </c>
      <c r="CY139">
        <v>0.70933000000000002</v>
      </c>
      <c r="CZ139">
        <v>7</v>
      </c>
      <c r="DA139">
        <v>1.051372</v>
      </c>
      <c r="DB139">
        <v>4.04549</v>
      </c>
      <c r="DC139">
        <v>4.5734199999999996</v>
      </c>
      <c r="DD139">
        <v>8.1373429999999995</v>
      </c>
      <c r="DE139">
        <v>3.1438679999999999</v>
      </c>
      <c r="DF139">
        <v>0.64931300000000003</v>
      </c>
      <c r="DG139">
        <v>0.33999200000000002</v>
      </c>
      <c r="DH139">
        <v>0.386351</v>
      </c>
      <c r="DI139">
        <v>0.20653299999999999</v>
      </c>
      <c r="DJ139">
        <v>0.10814500000000001</v>
      </c>
      <c r="DK139">
        <v>1</v>
      </c>
      <c r="DL139">
        <v>1</v>
      </c>
      <c r="DM139">
        <v>2</v>
      </c>
      <c r="DN139">
        <v>3</v>
      </c>
      <c r="DO139">
        <v>4</v>
      </c>
      <c r="DP139">
        <v>4</v>
      </c>
      <c r="DQ139">
        <v>6</v>
      </c>
      <c r="DR139">
        <v>7</v>
      </c>
      <c r="DS139">
        <v>8</v>
      </c>
      <c r="DT139">
        <v>10</v>
      </c>
      <c r="DU139">
        <v>11</v>
      </c>
      <c r="DV139">
        <v>13</v>
      </c>
      <c r="DW139">
        <v>16</v>
      </c>
      <c r="DX139">
        <v>19</v>
      </c>
      <c r="DY139">
        <v>26</v>
      </c>
      <c r="DZ139">
        <v>98.149186999999998</v>
      </c>
      <c r="EA139">
        <v>76.455451999999994</v>
      </c>
      <c r="EB139">
        <v>133.314638</v>
      </c>
      <c r="EC139">
        <v>1750</v>
      </c>
      <c r="ED139">
        <v>2377</v>
      </c>
      <c r="EE139">
        <v>91.026359999999997</v>
      </c>
      <c r="EF139">
        <v>100</v>
      </c>
      <c r="EG139">
        <v>62.592472999999998</v>
      </c>
      <c r="EH139">
        <v>98.874235999999996</v>
      </c>
      <c r="EI139">
        <v>109.141896</v>
      </c>
      <c r="EJ139">
        <v>172.406057</v>
      </c>
      <c r="EK139">
        <v>1623</v>
      </c>
      <c r="EL139">
        <v>1783</v>
      </c>
      <c r="EM139">
        <v>1946</v>
      </c>
      <c r="EN139">
        <v>3074</v>
      </c>
      <c r="EO139">
        <v>1783</v>
      </c>
      <c r="EP139">
        <v>3109</v>
      </c>
      <c r="EQ139">
        <v>51.406373000000002</v>
      </c>
    </row>
    <row r="140" spans="1:147" x14ac:dyDescent="0.25">
      <c r="A140">
        <v>2022</v>
      </c>
      <c r="B140" t="str">
        <f t="shared" si="4"/>
        <v>RD</v>
      </c>
      <c r="C140" t="s">
        <v>877</v>
      </c>
      <c r="D140" t="s">
        <v>877</v>
      </c>
      <c r="E140">
        <v>24509</v>
      </c>
      <c r="F140" t="s">
        <v>878</v>
      </c>
      <c r="G140" t="s">
        <v>879</v>
      </c>
      <c r="H140" t="s">
        <v>880</v>
      </c>
      <c r="I140">
        <v>39.090000000000003</v>
      </c>
      <c r="J140">
        <v>39.090000000000003</v>
      </c>
      <c r="K140" t="s">
        <v>236</v>
      </c>
      <c r="L140">
        <v>1</v>
      </c>
      <c r="M140">
        <v>2016</v>
      </c>
      <c r="N140">
        <v>2</v>
      </c>
      <c r="O140" t="str">
        <f t="shared" si="5"/>
        <v>Talhadia</v>
      </c>
      <c r="P140" s="2">
        <v>42719</v>
      </c>
      <c r="Q140" t="s">
        <v>237</v>
      </c>
      <c r="R140" t="s">
        <v>881</v>
      </c>
      <c r="S140" t="s">
        <v>154</v>
      </c>
      <c r="T140" t="s">
        <v>238</v>
      </c>
      <c r="U140" t="s">
        <v>156</v>
      </c>
      <c r="V140" s="2">
        <v>44637</v>
      </c>
      <c r="W140" t="s">
        <v>882</v>
      </c>
      <c r="X140">
        <v>65.28</v>
      </c>
      <c r="Y140">
        <v>21.1</v>
      </c>
      <c r="Z140">
        <v>12</v>
      </c>
      <c r="AA140">
        <v>14.9</v>
      </c>
      <c r="AB140">
        <v>0</v>
      </c>
      <c r="AC140">
        <v>314.39</v>
      </c>
      <c r="AD140">
        <v>307.51982419470102</v>
      </c>
      <c r="AE140" s="2">
        <v>44636</v>
      </c>
      <c r="AF140">
        <v>63</v>
      </c>
      <c r="AG140">
        <v>5.2484599589322398</v>
      </c>
      <c r="AH140">
        <v>23.104589093038001</v>
      </c>
      <c r="AI140">
        <v>14.806451612903199</v>
      </c>
      <c r="AJ140">
        <v>17.9571054254986</v>
      </c>
      <c r="AK140">
        <v>31</v>
      </c>
      <c r="AL140">
        <v>1008.06509242711</v>
      </c>
      <c r="AM140">
        <v>188.48402447274299</v>
      </c>
      <c r="AN140">
        <v>0.18697604538505699</v>
      </c>
      <c r="AO140" t="s">
        <v>881</v>
      </c>
      <c r="AP140" t="s">
        <v>264</v>
      </c>
      <c r="AQ140" t="s">
        <v>394</v>
      </c>
      <c r="AR140">
        <v>7.5</v>
      </c>
      <c r="AS140">
        <v>0.75604881932033274</v>
      </c>
      <c r="AT140" t="s">
        <v>883</v>
      </c>
      <c r="AU140" t="s">
        <v>884</v>
      </c>
      <c r="AV140">
        <v>2364</v>
      </c>
      <c r="AW140">
        <v>1348</v>
      </c>
      <c r="AX140">
        <v>855</v>
      </c>
      <c r="AY140">
        <v>154</v>
      </c>
      <c r="AZ140">
        <v>7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-0.85</v>
      </c>
      <c r="BH140">
        <v>27.129999000000002</v>
      </c>
      <c r="BI140">
        <v>8.3036209999999997</v>
      </c>
      <c r="BJ140">
        <v>-0.40587299999999998</v>
      </c>
      <c r="BK140">
        <v>9.3628730000000004</v>
      </c>
      <c r="BL140">
        <v>87.663385000000005</v>
      </c>
      <c r="BM140">
        <v>1.1275649999999999</v>
      </c>
      <c r="BN140">
        <v>16.949998999999998</v>
      </c>
      <c r="BO140">
        <v>0.50888299999999997</v>
      </c>
      <c r="BP140">
        <v>1.647305</v>
      </c>
      <c r="BQ140">
        <v>8.5884450000000001</v>
      </c>
      <c r="BR140">
        <v>0.74</v>
      </c>
      <c r="BS140">
        <v>0.78087300000000004</v>
      </c>
      <c r="BT140">
        <v>8.3036209999999997</v>
      </c>
      <c r="BU140">
        <v>5.0446600000000004</v>
      </c>
      <c r="BV140">
        <v>1.234327</v>
      </c>
      <c r="BW140">
        <v>-0.44819799999999999</v>
      </c>
      <c r="BX140">
        <v>0.60752499999999998</v>
      </c>
      <c r="BY140">
        <v>0.24468000000000001</v>
      </c>
      <c r="BZ140">
        <v>-8.8845999999999994E-2</v>
      </c>
      <c r="CA140">
        <v>-0.37</v>
      </c>
      <c r="CB140">
        <v>-0.21</v>
      </c>
      <c r="CC140">
        <v>-0.11</v>
      </c>
      <c r="CD140">
        <v>-0.02</v>
      </c>
      <c r="CE140">
        <v>0.01</v>
      </c>
      <c r="CF140">
        <v>0.05</v>
      </c>
      <c r="CG140">
        <v>0.13</v>
      </c>
      <c r="CH140">
        <v>0.375</v>
      </c>
      <c r="CI140">
        <v>10.934001</v>
      </c>
      <c r="CJ140">
        <v>15.552999</v>
      </c>
      <c r="CK140">
        <v>16.959999</v>
      </c>
      <c r="CL140">
        <v>18.903998999999999</v>
      </c>
      <c r="CM140">
        <v>22.521000000000001</v>
      </c>
      <c r="CN140">
        <v>24.41</v>
      </c>
      <c r="CO140">
        <v>26.044806000000001</v>
      </c>
      <c r="CP140">
        <v>0.32714900000000002</v>
      </c>
      <c r="CQ140">
        <v>12.51305</v>
      </c>
      <c r="CR140">
        <v>14.694386</v>
      </c>
      <c r="CS140">
        <v>1</v>
      </c>
      <c r="CT140">
        <v>47</v>
      </c>
      <c r="CU140">
        <v>12.206853000000001</v>
      </c>
      <c r="CV140">
        <v>1</v>
      </c>
      <c r="CW140">
        <v>11.264373000000001</v>
      </c>
      <c r="CX140">
        <v>126.886098</v>
      </c>
      <c r="CY140">
        <v>0.92279100000000003</v>
      </c>
      <c r="CZ140">
        <v>14.25</v>
      </c>
      <c r="DA140">
        <v>1.087629</v>
      </c>
      <c r="DB140">
        <v>2.9906069999999998</v>
      </c>
      <c r="DC140">
        <v>9.2258879999999994</v>
      </c>
      <c r="DD140">
        <v>12.206853000000001</v>
      </c>
      <c r="DE140">
        <v>5.9758399999999998</v>
      </c>
      <c r="DF140">
        <v>1.8767739999999999</v>
      </c>
      <c r="DG140">
        <v>0.50550799999999996</v>
      </c>
      <c r="DH140">
        <v>0.48954799999999998</v>
      </c>
      <c r="DI140">
        <v>0.31406000000000001</v>
      </c>
      <c r="DJ140">
        <v>8.4592000000000001E-2</v>
      </c>
      <c r="DK140">
        <v>1</v>
      </c>
      <c r="DL140">
        <v>1</v>
      </c>
      <c r="DM140">
        <v>2</v>
      </c>
      <c r="DN140">
        <v>3</v>
      </c>
      <c r="DO140">
        <v>4</v>
      </c>
      <c r="DP140">
        <v>4</v>
      </c>
      <c r="DQ140">
        <v>6</v>
      </c>
      <c r="DR140">
        <v>8</v>
      </c>
      <c r="DS140">
        <v>10</v>
      </c>
      <c r="DT140">
        <v>14</v>
      </c>
      <c r="DU140">
        <v>18.25</v>
      </c>
      <c r="DV140">
        <v>23</v>
      </c>
      <c r="DW140">
        <v>32</v>
      </c>
      <c r="DX140">
        <v>36</v>
      </c>
      <c r="DY140">
        <v>41</v>
      </c>
      <c r="DZ140">
        <v>70.994065000000006</v>
      </c>
      <c r="EA140">
        <v>48.773266</v>
      </c>
      <c r="EB140">
        <v>85.534125000000003</v>
      </c>
      <c r="EC140">
        <v>957</v>
      </c>
      <c r="ED140">
        <v>1153</v>
      </c>
      <c r="EE140">
        <v>67.136499000000001</v>
      </c>
      <c r="EF140">
        <v>100</v>
      </c>
      <c r="EG140">
        <v>45.304569000000001</v>
      </c>
      <c r="EH140">
        <v>99.238579000000001</v>
      </c>
      <c r="EI140">
        <v>79.451038999999994</v>
      </c>
      <c r="EJ140">
        <v>174.035608</v>
      </c>
      <c r="EK140">
        <v>905</v>
      </c>
      <c r="EL140">
        <v>1348</v>
      </c>
      <c r="EM140">
        <v>1071</v>
      </c>
      <c r="EN140">
        <v>2346</v>
      </c>
      <c r="EO140">
        <v>1348</v>
      </c>
      <c r="EP140">
        <v>2364</v>
      </c>
      <c r="EQ140">
        <v>30.931664999999999</v>
      </c>
    </row>
    <row r="141" spans="1:147" x14ac:dyDescent="0.25">
      <c r="A141">
        <v>2022</v>
      </c>
      <c r="B141" t="str">
        <f t="shared" si="4"/>
        <v>RD</v>
      </c>
      <c r="C141" t="s">
        <v>885</v>
      </c>
      <c r="D141" t="s">
        <v>885</v>
      </c>
      <c r="E141">
        <v>24511</v>
      </c>
      <c r="F141" t="s">
        <v>878</v>
      </c>
      <c r="G141" t="s">
        <v>879</v>
      </c>
      <c r="H141" t="s">
        <v>880</v>
      </c>
      <c r="I141">
        <v>39.090000000000003</v>
      </c>
      <c r="J141">
        <v>39.090000000000003</v>
      </c>
      <c r="K141" t="s">
        <v>236</v>
      </c>
      <c r="L141">
        <v>1</v>
      </c>
      <c r="M141">
        <v>2016</v>
      </c>
      <c r="N141">
        <v>2</v>
      </c>
      <c r="O141" t="str">
        <f t="shared" si="5"/>
        <v>Talhadia</v>
      </c>
      <c r="P141" s="2">
        <v>42719</v>
      </c>
      <c r="Q141" t="s">
        <v>237</v>
      </c>
      <c r="R141" t="s">
        <v>881</v>
      </c>
      <c r="S141" t="s">
        <v>154</v>
      </c>
      <c r="T141" t="s">
        <v>238</v>
      </c>
      <c r="U141" t="s">
        <v>156</v>
      </c>
      <c r="V141" s="2">
        <v>44637</v>
      </c>
      <c r="W141" t="s">
        <v>882</v>
      </c>
      <c r="X141">
        <v>65.28</v>
      </c>
      <c r="Y141">
        <v>19.100000000000001</v>
      </c>
      <c r="Z141">
        <v>16</v>
      </c>
      <c r="AA141">
        <v>15.4</v>
      </c>
      <c r="AB141">
        <v>8</v>
      </c>
      <c r="AC141">
        <v>294.14</v>
      </c>
      <c r="AD141">
        <v>279.99385532532</v>
      </c>
      <c r="AE141" s="2">
        <v>44637</v>
      </c>
      <c r="AF141">
        <v>63</v>
      </c>
      <c r="AG141">
        <v>5.2511978097193701</v>
      </c>
      <c r="AH141">
        <v>22.816749540602299</v>
      </c>
      <c r="AI141">
        <v>13.3222222222222</v>
      </c>
      <c r="AJ141">
        <v>13.6583457493709</v>
      </c>
      <c r="AK141">
        <v>27</v>
      </c>
      <c r="AL141">
        <v>964.30687625730798</v>
      </c>
      <c r="AM141">
        <v>140.71380757727599</v>
      </c>
      <c r="AN141">
        <v>0.14592222770765401</v>
      </c>
      <c r="AO141" t="s">
        <v>881</v>
      </c>
      <c r="AP141" t="s">
        <v>264</v>
      </c>
      <c r="AQ141" t="s">
        <v>394</v>
      </c>
      <c r="AR141">
        <v>7.5</v>
      </c>
      <c r="AS141">
        <v>0.72323015719298112</v>
      </c>
      <c r="AT141" t="s">
        <v>886</v>
      </c>
      <c r="AU141" t="s">
        <v>887</v>
      </c>
      <c r="AV141">
        <v>4045</v>
      </c>
      <c r="AW141">
        <v>2326</v>
      </c>
      <c r="AX141">
        <v>1576</v>
      </c>
      <c r="AY141">
        <v>142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-0.94</v>
      </c>
      <c r="BH141">
        <v>22.700001</v>
      </c>
      <c r="BI141">
        <v>5.0124849999999999</v>
      </c>
      <c r="BJ141">
        <v>-0.189524</v>
      </c>
      <c r="BK141">
        <v>7.6122699999999996</v>
      </c>
      <c r="BL141">
        <v>57.946662000000003</v>
      </c>
      <c r="BM141">
        <v>1.518662</v>
      </c>
      <c r="BN141">
        <v>12.98</v>
      </c>
      <c r="BO141">
        <v>1.0013000000000001</v>
      </c>
      <c r="BP141">
        <v>2.2214450000000001</v>
      </c>
      <c r="BQ141">
        <v>6.7860170000000002</v>
      </c>
      <c r="BR141">
        <v>0.21</v>
      </c>
      <c r="BS141">
        <v>0.29952400000000001</v>
      </c>
      <c r="BT141">
        <v>5.0124849999999999</v>
      </c>
      <c r="BU141">
        <v>3.6663429999999999</v>
      </c>
      <c r="BV141">
        <v>1.6280539999999999</v>
      </c>
      <c r="BW141">
        <v>0.144287</v>
      </c>
      <c r="BX141">
        <v>0.73144200000000004</v>
      </c>
      <c r="BY141">
        <v>0.444054</v>
      </c>
      <c r="BZ141">
        <v>3.9354E-2</v>
      </c>
      <c r="CA141">
        <v>-0.41120000000000001</v>
      </c>
      <c r="CB141">
        <v>-0.22</v>
      </c>
      <c r="CC141">
        <v>-0.14000000000000001</v>
      </c>
      <c r="CD141">
        <v>-0.06</v>
      </c>
      <c r="CE141">
        <v>-0.03</v>
      </c>
      <c r="CF141">
        <v>-0.01</v>
      </c>
      <c r="CG141">
        <v>0.05</v>
      </c>
      <c r="CH141">
        <v>0.11</v>
      </c>
      <c r="CI141">
        <v>0.2</v>
      </c>
      <c r="CJ141">
        <v>8.1560039999999994</v>
      </c>
      <c r="CK141">
        <v>12.95</v>
      </c>
      <c r="CL141">
        <v>14.821999999999999</v>
      </c>
      <c r="CM141">
        <v>18.149999999999999</v>
      </c>
      <c r="CN141">
        <v>19.638000000000002</v>
      </c>
      <c r="CO141">
        <v>21.058001999999998</v>
      </c>
      <c r="CP141">
        <v>0.25179699999999999</v>
      </c>
      <c r="CQ141">
        <v>9.1135800000000007</v>
      </c>
      <c r="CR141">
        <v>11.288935</v>
      </c>
      <c r="CS141">
        <v>1</v>
      </c>
      <c r="CT141">
        <v>49</v>
      </c>
      <c r="CU141">
        <v>18.697403999999999</v>
      </c>
      <c r="CV141">
        <v>1</v>
      </c>
      <c r="CW141">
        <v>12.631207</v>
      </c>
      <c r="CX141">
        <v>159.54738399999999</v>
      </c>
      <c r="CY141">
        <v>0.67555900000000002</v>
      </c>
      <c r="CZ141">
        <v>23</v>
      </c>
      <c r="DA141">
        <v>0.328899</v>
      </c>
      <c r="DB141">
        <v>1.8148420000000001</v>
      </c>
      <c r="DC141">
        <v>11.010859</v>
      </c>
      <c r="DD141">
        <v>18.697403999999999</v>
      </c>
      <c r="DE141">
        <v>7.2204620000000004</v>
      </c>
      <c r="DF141">
        <v>0.71172500000000005</v>
      </c>
      <c r="DG141">
        <v>-8.5521E-2</v>
      </c>
      <c r="DH141">
        <v>0.38617499999999999</v>
      </c>
      <c r="DI141">
        <v>9.8571000000000006E-2</v>
      </c>
      <c r="DJ141">
        <v>-1.1844E-2</v>
      </c>
      <c r="DK141">
        <v>1</v>
      </c>
      <c r="DL141">
        <v>2</v>
      </c>
      <c r="DM141">
        <v>3</v>
      </c>
      <c r="DN141">
        <v>6</v>
      </c>
      <c r="DO141">
        <v>8</v>
      </c>
      <c r="DP141">
        <v>9</v>
      </c>
      <c r="DQ141">
        <v>12</v>
      </c>
      <c r="DR141">
        <v>16</v>
      </c>
      <c r="DS141">
        <v>20</v>
      </c>
      <c r="DT141">
        <v>28</v>
      </c>
      <c r="DU141">
        <v>31</v>
      </c>
      <c r="DV141">
        <v>33</v>
      </c>
      <c r="DW141">
        <v>37</v>
      </c>
      <c r="DX141">
        <v>40</v>
      </c>
      <c r="DY141">
        <v>43</v>
      </c>
      <c r="DZ141">
        <v>50.429923000000002</v>
      </c>
      <c r="EA141">
        <v>31.990110999999999</v>
      </c>
      <c r="EB141">
        <v>55.631985999999998</v>
      </c>
      <c r="EC141">
        <v>1173</v>
      </c>
      <c r="ED141">
        <v>1294</v>
      </c>
      <c r="EE141">
        <v>49.699053999999997</v>
      </c>
      <c r="EF141">
        <v>99.699054000000004</v>
      </c>
      <c r="EG141">
        <v>31.149567000000001</v>
      </c>
      <c r="EH141">
        <v>93.374536000000006</v>
      </c>
      <c r="EI141">
        <v>54.170248999999998</v>
      </c>
      <c r="EJ141">
        <v>162.38177099999999</v>
      </c>
      <c r="EK141">
        <v>1156</v>
      </c>
      <c r="EL141">
        <v>2319</v>
      </c>
      <c r="EM141">
        <v>1260</v>
      </c>
      <c r="EN141">
        <v>3777</v>
      </c>
      <c r="EO141">
        <v>2326</v>
      </c>
      <c r="EP141">
        <v>4045</v>
      </c>
      <c r="EQ141">
        <v>22.958693</v>
      </c>
    </row>
    <row r="142" spans="1:147" x14ac:dyDescent="0.25">
      <c r="A142">
        <v>2022</v>
      </c>
      <c r="B142" t="str">
        <f t="shared" si="4"/>
        <v>RD</v>
      </c>
      <c r="C142" t="s">
        <v>888</v>
      </c>
      <c r="D142" t="s">
        <v>888</v>
      </c>
      <c r="E142">
        <v>24541</v>
      </c>
      <c r="F142" t="s">
        <v>889</v>
      </c>
      <c r="G142" t="s">
        <v>365</v>
      </c>
      <c r="H142" t="s">
        <v>890</v>
      </c>
      <c r="I142">
        <v>48.55</v>
      </c>
      <c r="J142">
        <v>48.55</v>
      </c>
      <c r="K142" t="s">
        <v>236</v>
      </c>
      <c r="L142">
        <v>1</v>
      </c>
      <c r="M142">
        <v>2016</v>
      </c>
      <c r="N142">
        <v>3</v>
      </c>
      <c r="O142" t="str">
        <f t="shared" si="5"/>
        <v>Alto fuste</v>
      </c>
      <c r="P142" s="2">
        <v>42572</v>
      </c>
      <c r="Q142" t="s">
        <v>237</v>
      </c>
      <c r="R142" t="s">
        <v>165</v>
      </c>
      <c r="S142" t="s">
        <v>154</v>
      </c>
      <c r="T142" t="s">
        <v>238</v>
      </c>
      <c r="U142" t="s">
        <v>156</v>
      </c>
      <c r="V142" s="2">
        <v>44680</v>
      </c>
      <c r="W142" t="s">
        <v>368</v>
      </c>
      <c r="X142">
        <v>463.32</v>
      </c>
      <c r="Y142">
        <v>20.6</v>
      </c>
      <c r="Z142">
        <v>12</v>
      </c>
      <c r="AA142">
        <v>15.8</v>
      </c>
      <c r="AB142">
        <v>2</v>
      </c>
      <c r="AC142">
        <v>325.48</v>
      </c>
      <c r="AD142">
        <v>318.173540219362</v>
      </c>
      <c r="AE142" s="2">
        <v>44680</v>
      </c>
      <c r="AF142">
        <v>69</v>
      </c>
      <c r="AG142">
        <v>5.7713894592744701</v>
      </c>
      <c r="AH142">
        <v>19.2733509247917</v>
      </c>
      <c r="AI142">
        <v>13.0838709677419</v>
      </c>
      <c r="AJ142">
        <v>13.2959564804476</v>
      </c>
      <c r="AK142">
        <v>31</v>
      </c>
      <c r="AL142">
        <v>974.31106240409804</v>
      </c>
      <c r="AM142">
        <v>115.587871433641</v>
      </c>
      <c r="AN142">
        <v>0.11863549116278101</v>
      </c>
      <c r="AO142" t="s">
        <v>165</v>
      </c>
      <c r="AP142" t="s">
        <v>158</v>
      </c>
      <c r="AQ142" t="s">
        <v>294</v>
      </c>
      <c r="AR142">
        <v>7.5</v>
      </c>
      <c r="AS142">
        <v>0.73073329680307442</v>
      </c>
      <c r="AT142" t="s">
        <v>891</v>
      </c>
      <c r="AU142" t="s">
        <v>892</v>
      </c>
      <c r="AV142">
        <v>5240</v>
      </c>
      <c r="AW142">
        <v>3357</v>
      </c>
      <c r="AX142">
        <v>1667</v>
      </c>
      <c r="AY142">
        <v>214</v>
      </c>
      <c r="AZ142">
        <v>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-0.86</v>
      </c>
      <c r="BH142">
        <v>23.780000999999999</v>
      </c>
      <c r="BI142">
        <v>8.6357330000000001</v>
      </c>
      <c r="BJ142">
        <v>-7.7778E-2</v>
      </c>
      <c r="BK142">
        <v>9.0927570000000006</v>
      </c>
      <c r="BL142">
        <v>82.678236999999996</v>
      </c>
      <c r="BM142">
        <v>1.0529230000000001</v>
      </c>
      <c r="BN142">
        <v>18.942499999999999</v>
      </c>
      <c r="BO142">
        <v>0.27695599999999998</v>
      </c>
      <c r="BP142">
        <v>1.2798419999999999</v>
      </c>
      <c r="BQ142">
        <v>8.6334669999999996</v>
      </c>
      <c r="BR142">
        <v>5.15</v>
      </c>
      <c r="BS142">
        <v>5.0677779999999997</v>
      </c>
      <c r="BT142">
        <v>8.6357330000000001</v>
      </c>
      <c r="BU142">
        <v>4.9074099999999996</v>
      </c>
      <c r="BV142">
        <v>0.76356199999999996</v>
      </c>
      <c r="BW142">
        <v>-0.78833200000000003</v>
      </c>
      <c r="BX142">
        <v>0.568268</v>
      </c>
      <c r="BY142">
        <v>0.15559400000000001</v>
      </c>
      <c r="BZ142">
        <v>-0.16064100000000001</v>
      </c>
      <c r="CA142">
        <v>-0.34</v>
      </c>
      <c r="CB142">
        <v>-0.17050000000000001</v>
      </c>
      <c r="CC142">
        <v>-0.1</v>
      </c>
      <c r="CD142">
        <v>0</v>
      </c>
      <c r="CE142">
        <v>0.03</v>
      </c>
      <c r="CF142">
        <v>0.06</v>
      </c>
      <c r="CG142">
        <v>0.14000000000000001</v>
      </c>
      <c r="CH142">
        <v>4.99</v>
      </c>
      <c r="CI142">
        <v>12.809995000000001</v>
      </c>
      <c r="CJ142">
        <v>17.402999999999999</v>
      </c>
      <c r="CK142">
        <v>18.9725</v>
      </c>
      <c r="CL142">
        <v>19.73</v>
      </c>
      <c r="CM142">
        <v>20.6</v>
      </c>
      <c r="CN142">
        <v>21.219999000000001</v>
      </c>
      <c r="CO142">
        <v>22.706098999999998</v>
      </c>
      <c r="CP142">
        <v>0.38537900000000003</v>
      </c>
      <c r="CQ142">
        <v>12.539471000000001</v>
      </c>
      <c r="CR142">
        <v>14.412451000000001</v>
      </c>
      <c r="CS142">
        <v>1</v>
      </c>
      <c r="CT142">
        <v>49</v>
      </c>
      <c r="CU142">
        <v>16.61355</v>
      </c>
      <c r="CV142">
        <v>1</v>
      </c>
      <c r="CW142">
        <v>12.464743</v>
      </c>
      <c r="CX142">
        <v>155.369811</v>
      </c>
      <c r="CY142">
        <v>0.75027600000000005</v>
      </c>
      <c r="CZ142">
        <v>19</v>
      </c>
      <c r="DA142">
        <v>0.69786400000000004</v>
      </c>
      <c r="DB142">
        <v>2.2213400000000001</v>
      </c>
      <c r="DC142">
        <v>10.502461</v>
      </c>
      <c r="DD142">
        <v>16.61355</v>
      </c>
      <c r="DE142">
        <v>6.9255959999999996</v>
      </c>
      <c r="DF142">
        <v>1.3983190000000001</v>
      </c>
      <c r="DG142">
        <v>0.25925799999999999</v>
      </c>
      <c r="DH142">
        <v>0.41686400000000001</v>
      </c>
      <c r="DI142">
        <v>0.201906</v>
      </c>
      <c r="DJ142">
        <v>3.7435000000000003E-2</v>
      </c>
      <c r="DK142">
        <v>1</v>
      </c>
      <c r="DL142">
        <v>2</v>
      </c>
      <c r="DM142">
        <v>3</v>
      </c>
      <c r="DN142">
        <v>5</v>
      </c>
      <c r="DO142">
        <v>7</v>
      </c>
      <c r="DP142">
        <v>8</v>
      </c>
      <c r="DQ142">
        <v>10</v>
      </c>
      <c r="DR142">
        <v>13</v>
      </c>
      <c r="DS142">
        <v>16</v>
      </c>
      <c r="DT142">
        <v>21</v>
      </c>
      <c r="DU142">
        <v>26</v>
      </c>
      <c r="DV142">
        <v>31</v>
      </c>
      <c r="DW142">
        <v>37</v>
      </c>
      <c r="DX142">
        <v>40</v>
      </c>
      <c r="DY142">
        <v>44</v>
      </c>
      <c r="DZ142">
        <v>66.249628000000001</v>
      </c>
      <c r="EA142">
        <v>51.431297999999998</v>
      </c>
      <c r="EB142">
        <v>80.280011999999999</v>
      </c>
      <c r="EC142">
        <v>2224</v>
      </c>
      <c r="ED142">
        <v>2695</v>
      </c>
      <c r="EE142">
        <v>62.079236999999999</v>
      </c>
      <c r="EF142">
        <v>98.987190999999996</v>
      </c>
      <c r="EG142">
        <v>46.622137000000002</v>
      </c>
      <c r="EH142">
        <v>87.652671999999995</v>
      </c>
      <c r="EI142">
        <v>72.773309999999995</v>
      </c>
      <c r="EJ142">
        <v>136.81858800000001</v>
      </c>
      <c r="EK142">
        <v>2084</v>
      </c>
      <c r="EL142">
        <v>3323</v>
      </c>
      <c r="EM142">
        <v>2443</v>
      </c>
      <c r="EN142">
        <v>4593</v>
      </c>
      <c r="EO142">
        <v>3357</v>
      </c>
      <c r="EP142">
        <v>5240</v>
      </c>
      <c r="EQ142">
        <v>37.131101999999998</v>
      </c>
    </row>
    <row r="143" spans="1:147" x14ac:dyDescent="0.25">
      <c r="A143">
        <v>2022</v>
      </c>
      <c r="B143" t="str">
        <f t="shared" si="4"/>
        <v>RD</v>
      </c>
      <c r="C143" t="s">
        <v>893</v>
      </c>
      <c r="D143" t="s">
        <v>893</v>
      </c>
      <c r="E143">
        <v>24542</v>
      </c>
      <c r="F143" t="s">
        <v>889</v>
      </c>
      <c r="G143" t="s">
        <v>365</v>
      </c>
      <c r="H143" t="s">
        <v>890</v>
      </c>
      <c r="I143">
        <v>48.55</v>
      </c>
      <c r="J143">
        <v>48.55</v>
      </c>
      <c r="K143" t="s">
        <v>236</v>
      </c>
      <c r="L143">
        <v>1</v>
      </c>
      <c r="M143">
        <v>2016</v>
      </c>
      <c r="N143">
        <v>3</v>
      </c>
      <c r="O143" t="str">
        <f t="shared" si="5"/>
        <v>Alto fuste</v>
      </c>
      <c r="P143" s="2">
        <v>42572</v>
      </c>
      <c r="Q143" t="s">
        <v>237</v>
      </c>
      <c r="R143" t="s">
        <v>165</v>
      </c>
      <c r="S143" t="s">
        <v>154</v>
      </c>
      <c r="T143" t="s">
        <v>238</v>
      </c>
      <c r="U143" t="s">
        <v>156</v>
      </c>
      <c r="V143" s="2">
        <v>44680</v>
      </c>
      <c r="W143" t="s">
        <v>368</v>
      </c>
      <c r="X143">
        <v>463.32</v>
      </c>
      <c r="Y143">
        <v>18.899999999999999</v>
      </c>
      <c r="Z143">
        <v>8</v>
      </c>
      <c r="AA143">
        <v>15</v>
      </c>
      <c r="AB143">
        <v>2</v>
      </c>
      <c r="AC143">
        <v>283.5</v>
      </c>
      <c r="AD143">
        <v>280.56997765793301</v>
      </c>
      <c r="AE143" s="2">
        <v>44676</v>
      </c>
      <c r="AF143">
        <v>69</v>
      </c>
      <c r="AG143">
        <v>5.7604380561259401</v>
      </c>
      <c r="AH143">
        <v>22.4353719701373</v>
      </c>
      <c r="AI143">
        <v>14.5448275862069</v>
      </c>
      <c r="AJ143">
        <v>17.4562362822276</v>
      </c>
      <c r="AK143">
        <v>29</v>
      </c>
      <c r="AL143">
        <v>1033.61023307192</v>
      </c>
      <c r="AM143">
        <v>178.166173899737</v>
      </c>
      <c r="AN143">
        <v>0.17237268769120201</v>
      </c>
      <c r="AO143" t="s">
        <v>165</v>
      </c>
      <c r="AP143" t="s">
        <v>158</v>
      </c>
      <c r="AQ143" t="s">
        <v>294</v>
      </c>
      <c r="AR143">
        <v>7.5</v>
      </c>
      <c r="AS143">
        <v>0.77520767480394126</v>
      </c>
      <c r="AT143" t="s">
        <v>894</v>
      </c>
      <c r="AU143" t="s">
        <v>895</v>
      </c>
      <c r="AV143">
        <v>856</v>
      </c>
      <c r="AW143">
        <v>481</v>
      </c>
      <c r="AX143">
        <v>313</v>
      </c>
      <c r="AY143">
        <v>59</v>
      </c>
      <c r="AZ143">
        <v>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-0.88</v>
      </c>
      <c r="BH143">
        <v>25.1</v>
      </c>
      <c r="BI143">
        <v>8.582103</v>
      </c>
      <c r="BJ143">
        <v>-5.5238000000000002E-2</v>
      </c>
      <c r="BK143">
        <v>9.0571909999999995</v>
      </c>
      <c r="BL143">
        <v>82.032708</v>
      </c>
      <c r="BM143">
        <v>1.055358</v>
      </c>
      <c r="BN143">
        <v>16.657499999999999</v>
      </c>
      <c r="BO143">
        <v>0.39188200000000001</v>
      </c>
      <c r="BP143">
        <v>1.5472539999999999</v>
      </c>
      <c r="BQ143">
        <v>8.3510969999999993</v>
      </c>
      <c r="BR143">
        <v>6.43</v>
      </c>
      <c r="BS143">
        <v>6.395238</v>
      </c>
      <c r="BT143">
        <v>8.582103</v>
      </c>
      <c r="BU143">
        <v>4.9577499999999999</v>
      </c>
      <c r="BV143">
        <v>0.96269199999999999</v>
      </c>
      <c r="BW143">
        <v>-0.52833200000000002</v>
      </c>
      <c r="BX143">
        <v>0.577685</v>
      </c>
      <c r="BY143">
        <v>0.19417899999999999</v>
      </c>
      <c r="BZ143">
        <v>-0.106567</v>
      </c>
      <c r="CA143">
        <v>-0.39900000000000002</v>
      </c>
      <c r="CB143">
        <v>-0.19</v>
      </c>
      <c r="CC143">
        <v>-0.105</v>
      </c>
      <c r="CD143">
        <v>-0.01</v>
      </c>
      <c r="CE143">
        <v>0.03</v>
      </c>
      <c r="CF143">
        <v>7.0000000000000007E-2</v>
      </c>
      <c r="CG143">
        <v>0.15</v>
      </c>
      <c r="CH143">
        <v>6.34</v>
      </c>
      <c r="CI143">
        <v>12.06</v>
      </c>
      <c r="CJ143">
        <v>15.14</v>
      </c>
      <c r="CK143">
        <v>16.6875</v>
      </c>
      <c r="CL143">
        <v>18.23</v>
      </c>
      <c r="CM143">
        <v>22.73</v>
      </c>
      <c r="CN143">
        <v>23.24</v>
      </c>
      <c r="CO143">
        <v>24.088000999999998</v>
      </c>
      <c r="CP143">
        <v>0.364207</v>
      </c>
      <c r="CQ143">
        <v>12.473547</v>
      </c>
      <c r="CR143">
        <v>14.474367000000001</v>
      </c>
      <c r="CS143">
        <v>1</v>
      </c>
      <c r="CT143">
        <v>61</v>
      </c>
      <c r="CU143">
        <v>17.654205999999999</v>
      </c>
      <c r="CV143">
        <v>1</v>
      </c>
      <c r="CW143">
        <v>14.172688000000001</v>
      </c>
      <c r="CX143">
        <v>200.865082</v>
      </c>
      <c r="CY143">
        <v>0.80279400000000001</v>
      </c>
      <c r="CZ143">
        <v>19</v>
      </c>
      <c r="DA143">
        <v>0.973858</v>
      </c>
      <c r="DB143">
        <v>3.0046819999999999</v>
      </c>
      <c r="DC143">
        <v>11.347847</v>
      </c>
      <c r="DD143">
        <v>17.654205999999999</v>
      </c>
      <c r="DE143">
        <v>7.716634</v>
      </c>
      <c r="DF143">
        <v>1.9022319999999999</v>
      </c>
      <c r="DG143">
        <v>0.72711199999999998</v>
      </c>
      <c r="DH143">
        <v>0.43709900000000002</v>
      </c>
      <c r="DI143">
        <v>0.24651100000000001</v>
      </c>
      <c r="DJ143">
        <v>9.4227000000000005E-2</v>
      </c>
      <c r="DK143">
        <v>1</v>
      </c>
      <c r="DL143">
        <v>1</v>
      </c>
      <c r="DM143">
        <v>3</v>
      </c>
      <c r="DN143">
        <v>5</v>
      </c>
      <c r="DO143">
        <v>6</v>
      </c>
      <c r="DP143">
        <v>8</v>
      </c>
      <c r="DQ143">
        <v>11</v>
      </c>
      <c r="DR143">
        <v>14</v>
      </c>
      <c r="DS143">
        <v>17</v>
      </c>
      <c r="DT143">
        <v>22</v>
      </c>
      <c r="DU143">
        <v>25</v>
      </c>
      <c r="DV143">
        <v>29</v>
      </c>
      <c r="DW143">
        <v>42</v>
      </c>
      <c r="DX143">
        <v>48</v>
      </c>
      <c r="DY143">
        <v>52.450012000000001</v>
      </c>
      <c r="DZ143">
        <v>75.259874999999994</v>
      </c>
      <c r="EA143">
        <v>52.803738000000003</v>
      </c>
      <c r="EB143">
        <v>93.970894000000001</v>
      </c>
      <c r="EC143">
        <v>362</v>
      </c>
      <c r="ED143">
        <v>452</v>
      </c>
      <c r="EE143">
        <v>69.646569999999997</v>
      </c>
      <c r="EF143">
        <v>98.128898000000007</v>
      </c>
      <c r="EG143">
        <v>46.144860000000001</v>
      </c>
      <c r="EH143">
        <v>85.514019000000005</v>
      </c>
      <c r="EI143">
        <v>82.120581999999999</v>
      </c>
      <c r="EJ143">
        <v>152.182952</v>
      </c>
      <c r="EK143">
        <v>335</v>
      </c>
      <c r="EL143">
        <v>472</v>
      </c>
      <c r="EM143">
        <v>395</v>
      </c>
      <c r="EN143">
        <v>732</v>
      </c>
      <c r="EO143">
        <v>481</v>
      </c>
      <c r="EP143">
        <v>856</v>
      </c>
      <c r="EQ143">
        <v>34.727392999999999</v>
      </c>
    </row>
    <row r="144" spans="1:147" x14ac:dyDescent="0.25">
      <c r="A144">
        <v>2022</v>
      </c>
      <c r="B144" t="str">
        <f t="shared" si="4"/>
        <v>GN</v>
      </c>
      <c r="C144" t="s">
        <v>896</v>
      </c>
      <c r="D144" t="s">
        <v>896</v>
      </c>
      <c r="E144">
        <v>24648</v>
      </c>
      <c r="F144" t="s">
        <v>897</v>
      </c>
      <c r="G144" t="s">
        <v>898</v>
      </c>
      <c r="H144" t="s">
        <v>899</v>
      </c>
      <c r="I144">
        <v>25.02</v>
      </c>
      <c r="J144">
        <v>25.02</v>
      </c>
      <c r="K144" t="s">
        <v>199</v>
      </c>
      <c r="L144">
        <v>1</v>
      </c>
      <c r="M144">
        <v>2016</v>
      </c>
      <c r="N144">
        <v>3</v>
      </c>
      <c r="O144" t="str">
        <f t="shared" si="5"/>
        <v>Alto fuste</v>
      </c>
      <c r="P144" s="2">
        <v>42710</v>
      </c>
      <c r="Q144" t="s">
        <v>174</v>
      </c>
      <c r="R144" t="s">
        <v>470</v>
      </c>
      <c r="S144" t="s">
        <v>154</v>
      </c>
      <c r="T144" t="s">
        <v>199</v>
      </c>
      <c r="U144" t="s">
        <v>156</v>
      </c>
      <c r="V144" s="2">
        <v>44690</v>
      </c>
      <c r="W144" t="s">
        <v>900</v>
      </c>
      <c r="X144">
        <v>309.26</v>
      </c>
      <c r="Y144">
        <v>20</v>
      </c>
      <c r="Z144">
        <v>19</v>
      </c>
      <c r="AA144">
        <v>14.3</v>
      </c>
      <c r="AB144">
        <v>4</v>
      </c>
      <c r="AC144">
        <v>286</v>
      </c>
      <c r="AD144">
        <v>269.75958720303601</v>
      </c>
      <c r="AE144" s="2">
        <v>44690</v>
      </c>
      <c r="AF144">
        <v>65</v>
      </c>
      <c r="AG144">
        <v>5.4209445585215601</v>
      </c>
      <c r="AH144">
        <v>28.730671003086499</v>
      </c>
      <c r="AI144">
        <v>15.4416666666667</v>
      </c>
      <c r="AJ144">
        <v>16.7960053334637</v>
      </c>
      <c r="AK144">
        <v>24</v>
      </c>
      <c r="AL144">
        <v>889.68107672615497</v>
      </c>
      <c r="AM144">
        <v>216.999556345287</v>
      </c>
      <c r="AN144">
        <v>0.24390712809561099</v>
      </c>
      <c r="AO144" t="s">
        <v>470</v>
      </c>
      <c r="AP144" t="s">
        <v>158</v>
      </c>
      <c r="AQ144" t="s">
        <v>901</v>
      </c>
      <c r="AR144">
        <v>9</v>
      </c>
      <c r="AS144">
        <v>0.80071296905353895</v>
      </c>
      <c r="AT144" t="s">
        <v>902</v>
      </c>
      <c r="AU144" t="s">
        <v>903</v>
      </c>
      <c r="AV144">
        <v>1625</v>
      </c>
      <c r="AW144">
        <v>1625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-0.25</v>
      </c>
      <c r="BH144">
        <v>31.132999000000002</v>
      </c>
      <c r="BI144">
        <v>24.366589999999999</v>
      </c>
      <c r="BJ144">
        <v>27.645999</v>
      </c>
      <c r="BK144">
        <v>7.5828319999999998</v>
      </c>
      <c r="BL144">
        <v>57.499339999999997</v>
      </c>
      <c r="BM144">
        <v>0.31119799999999997</v>
      </c>
      <c r="BN144">
        <v>5.2569999999999997</v>
      </c>
      <c r="BO144">
        <v>-2.0461049999999998</v>
      </c>
      <c r="BP144">
        <v>6.3266249999999999</v>
      </c>
      <c r="BQ144">
        <v>5.4349949999999998</v>
      </c>
      <c r="BR144">
        <v>1.363998</v>
      </c>
      <c r="BS144">
        <v>1.346001</v>
      </c>
      <c r="BT144">
        <v>24.366589999999999</v>
      </c>
      <c r="BU144">
        <v>3.437646</v>
      </c>
      <c r="BV144">
        <v>-1.7061660000000001</v>
      </c>
      <c r="BW144">
        <v>0.94522099999999998</v>
      </c>
      <c r="BX144">
        <v>0.14108000000000001</v>
      </c>
      <c r="BY144">
        <v>-0.49631799999999998</v>
      </c>
      <c r="BZ144">
        <v>0.27496199999999998</v>
      </c>
      <c r="CA144">
        <v>7.0480000000000001E-2</v>
      </c>
      <c r="CB144">
        <v>4.2175989999999999</v>
      </c>
      <c r="CC144">
        <v>13.768800000000001</v>
      </c>
      <c r="CD144">
        <v>21.481000999999999</v>
      </c>
      <c r="CE144">
        <v>23.285999</v>
      </c>
      <c r="CF144">
        <v>25.729800999999998</v>
      </c>
      <c r="CG144">
        <v>26.966200000000001</v>
      </c>
      <c r="CH144">
        <v>27.589001</v>
      </c>
      <c r="CI144">
        <v>27.981401000000002</v>
      </c>
      <c r="CJ144">
        <v>28.318398999999999</v>
      </c>
      <c r="CK144">
        <v>28.542998999999998</v>
      </c>
      <c r="CL144">
        <v>28.795197999999999</v>
      </c>
      <c r="CM144">
        <v>29.540001</v>
      </c>
      <c r="CN144">
        <v>30.0488</v>
      </c>
      <c r="CO144">
        <v>30.659279000000002</v>
      </c>
      <c r="CP144">
        <v>0.78439300000000001</v>
      </c>
      <c r="CQ144">
        <v>25.518516000000002</v>
      </c>
      <c r="CR144">
        <v>26.098348999999999</v>
      </c>
      <c r="CS144">
        <v>1</v>
      </c>
      <c r="CT144">
        <v>54</v>
      </c>
      <c r="CU144">
        <v>16.111384999999999</v>
      </c>
      <c r="CV144">
        <v>14.460317</v>
      </c>
      <c r="CW144">
        <v>9.1788749999999997</v>
      </c>
      <c r="CX144">
        <v>84.251748000000006</v>
      </c>
      <c r="CY144">
        <v>0.56971400000000005</v>
      </c>
      <c r="CZ144">
        <v>13</v>
      </c>
      <c r="DA144">
        <v>0.49488599999999999</v>
      </c>
      <c r="DB144">
        <v>3.3471109999999999</v>
      </c>
      <c r="DC144">
        <v>7.2878129999999999</v>
      </c>
      <c r="DD144">
        <v>16.111384999999999</v>
      </c>
      <c r="DE144">
        <v>5.1470580000000004</v>
      </c>
      <c r="DF144">
        <v>0.32897999999999999</v>
      </c>
      <c r="DG144">
        <v>0.57620800000000005</v>
      </c>
      <c r="DH144">
        <v>0.319467</v>
      </c>
      <c r="DI144">
        <v>6.3916000000000001E-2</v>
      </c>
      <c r="DJ144">
        <v>0.11194900000000001</v>
      </c>
      <c r="DK144">
        <v>1</v>
      </c>
      <c r="DL144">
        <v>2</v>
      </c>
      <c r="DM144">
        <v>4</v>
      </c>
      <c r="DN144">
        <v>7</v>
      </c>
      <c r="DO144">
        <v>9</v>
      </c>
      <c r="DP144">
        <v>11</v>
      </c>
      <c r="DQ144">
        <v>14</v>
      </c>
      <c r="DR144">
        <v>16</v>
      </c>
      <c r="DS144">
        <v>18</v>
      </c>
      <c r="DT144">
        <v>20</v>
      </c>
      <c r="DU144">
        <v>22</v>
      </c>
      <c r="DV144">
        <v>23.199950999999999</v>
      </c>
      <c r="DW144">
        <v>28</v>
      </c>
      <c r="DX144">
        <v>31</v>
      </c>
      <c r="DY144">
        <v>43</v>
      </c>
      <c r="DZ144">
        <v>95.384614999999997</v>
      </c>
      <c r="EA144">
        <v>95.384614999999997</v>
      </c>
      <c r="EB144">
        <v>95.384614999999997</v>
      </c>
      <c r="EC144">
        <v>1550</v>
      </c>
      <c r="ED144">
        <v>1550</v>
      </c>
      <c r="EE144">
        <v>72.492307999999994</v>
      </c>
      <c r="EF144">
        <v>48.923076999999999</v>
      </c>
      <c r="EG144">
        <v>72.492307999999994</v>
      </c>
      <c r="EH144">
        <v>48.923076999999999</v>
      </c>
      <c r="EI144">
        <v>72.492307999999994</v>
      </c>
      <c r="EJ144">
        <v>48.923076999999999</v>
      </c>
      <c r="EK144">
        <v>1178</v>
      </c>
      <c r="EL144">
        <v>795</v>
      </c>
      <c r="EM144">
        <v>1178</v>
      </c>
      <c r="EN144">
        <v>795</v>
      </c>
      <c r="EO144">
        <v>1625</v>
      </c>
      <c r="EP144">
        <v>1625</v>
      </c>
      <c r="EQ144">
        <v>78.510930999999999</v>
      </c>
    </row>
    <row r="145" spans="1:147" x14ac:dyDescent="0.25">
      <c r="A145">
        <v>2022</v>
      </c>
      <c r="B145" t="str">
        <f t="shared" si="4"/>
        <v>GN</v>
      </c>
      <c r="C145" t="s">
        <v>904</v>
      </c>
      <c r="D145" t="s">
        <v>904</v>
      </c>
      <c r="E145">
        <v>24649</v>
      </c>
      <c r="F145" t="s">
        <v>897</v>
      </c>
      <c r="G145" t="s">
        <v>898</v>
      </c>
      <c r="H145" t="s">
        <v>905</v>
      </c>
      <c r="I145">
        <v>52.14</v>
      </c>
      <c r="J145">
        <v>52.14</v>
      </c>
      <c r="K145" t="s">
        <v>199</v>
      </c>
      <c r="L145">
        <v>1</v>
      </c>
      <c r="M145">
        <v>2016</v>
      </c>
      <c r="N145">
        <v>3</v>
      </c>
      <c r="O145" t="str">
        <f t="shared" si="5"/>
        <v>Alto fuste</v>
      </c>
      <c r="P145" s="2">
        <v>42702</v>
      </c>
      <c r="Q145" t="s">
        <v>174</v>
      </c>
      <c r="R145" t="s">
        <v>314</v>
      </c>
      <c r="S145" t="s">
        <v>154</v>
      </c>
      <c r="T145" t="s">
        <v>199</v>
      </c>
      <c r="U145" t="s">
        <v>156</v>
      </c>
      <c r="V145" s="2">
        <v>44690</v>
      </c>
      <c r="W145" t="s">
        <v>900</v>
      </c>
      <c r="X145">
        <v>309.26</v>
      </c>
      <c r="Y145">
        <v>19.3</v>
      </c>
      <c r="Z145">
        <v>13</v>
      </c>
      <c r="AA145">
        <v>15.4</v>
      </c>
      <c r="AB145">
        <v>5</v>
      </c>
      <c r="AC145">
        <v>297.22000000000003</v>
      </c>
      <c r="AD145">
        <v>288.50024658230802</v>
      </c>
      <c r="AE145" s="2">
        <v>44690</v>
      </c>
      <c r="AF145">
        <v>66</v>
      </c>
      <c r="AG145">
        <v>5.4428473648186202</v>
      </c>
      <c r="AH145">
        <v>27.159624475081301</v>
      </c>
      <c r="AI145">
        <v>16.6551724137931</v>
      </c>
      <c r="AJ145">
        <v>22.301913067039798</v>
      </c>
      <c r="AK145">
        <v>29</v>
      </c>
      <c r="AL145">
        <v>1005.19844761126</v>
      </c>
      <c r="AM145">
        <v>271.16599306503002</v>
      </c>
      <c r="AN145">
        <v>0.269763640910336</v>
      </c>
      <c r="AO145" t="s">
        <v>314</v>
      </c>
      <c r="AP145" t="s">
        <v>158</v>
      </c>
      <c r="AQ145" t="s">
        <v>304</v>
      </c>
      <c r="AR145">
        <v>9</v>
      </c>
      <c r="AS145">
        <v>0.90467860285012869</v>
      </c>
      <c r="AT145" t="s">
        <v>906</v>
      </c>
      <c r="AU145" t="s">
        <v>907</v>
      </c>
      <c r="AV145">
        <v>1611</v>
      </c>
      <c r="AW145">
        <v>1611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-0.439</v>
      </c>
      <c r="BH145">
        <v>30.339001</v>
      </c>
      <c r="BI145">
        <v>24.623479</v>
      </c>
      <c r="BJ145">
        <v>27.407762999999999</v>
      </c>
      <c r="BK145">
        <v>7.9593879999999997</v>
      </c>
      <c r="BL145">
        <v>63.351855999999998</v>
      </c>
      <c r="BM145">
        <v>0.32324399999999998</v>
      </c>
      <c r="BN145">
        <v>2.028</v>
      </c>
      <c r="BO145">
        <v>-2.3940760000000001</v>
      </c>
      <c r="BP145">
        <v>7.4055629999999999</v>
      </c>
      <c r="BQ145">
        <v>5.2207090000000003</v>
      </c>
      <c r="BR145">
        <v>0.95099999999999996</v>
      </c>
      <c r="BS145">
        <v>1.011763</v>
      </c>
      <c r="BT145">
        <v>24.623479</v>
      </c>
      <c r="BU145">
        <v>3.1845379999999999</v>
      </c>
      <c r="BV145">
        <v>-1.8904240000000001</v>
      </c>
      <c r="BW145">
        <v>1.2051149999999999</v>
      </c>
      <c r="BX145">
        <v>0.129329</v>
      </c>
      <c r="BY145">
        <v>-0.59362599999999999</v>
      </c>
      <c r="BZ145">
        <v>0.37842700000000001</v>
      </c>
      <c r="CA145">
        <v>-0.2054</v>
      </c>
      <c r="CB145">
        <v>-2.0500000000000001E-2</v>
      </c>
      <c r="CC145">
        <v>14.414</v>
      </c>
      <c r="CD145">
        <v>25.249001</v>
      </c>
      <c r="CE145">
        <v>26.334499000000001</v>
      </c>
      <c r="CF145">
        <v>26.725999999999999</v>
      </c>
      <c r="CG145">
        <v>27.236000000000001</v>
      </c>
      <c r="CH145">
        <v>27.580998999999998</v>
      </c>
      <c r="CI145">
        <v>27.867999999999999</v>
      </c>
      <c r="CJ145">
        <v>28.164000000000001</v>
      </c>
      <c r="CK145">
        <v>28.362499</v>
      </c>
      <c r="CL145">
        <v>28.584</v>
      </c>
      <c r="CM145">
        <v>29.091999000000001</v>
      </c>
      <c r="CN145">
        <v>29.372001999999998</v>
      </c>
      <c r="CO145">
        <v>29.813299000000001</v>
      </c>
      <c r="CP145">
        <v>0.81429799999999997</v>
      </c>
      <c r="CQ145">
        <v>25.877175999999999</v>
      </c>
      <c r="CR145">
        <v>26.400153</v>
      </c>
      <c r="CS145">
        <v>1</v>
      </c>
      <c r="CT145">
        <v>66</v>
      </c>
      <c r="CU145">
        <v>22.570453000000001</v>
      </c>
      <c r="CV145">
        <v>22.666667</v>
      </c>
      <c r="CW145">
        <v>10.985217</v>
      </c>
      <c r="CX145">
        <v>120.67500200000001</v>
      </c>
      <c r="CY145">
        <v>0.48670799999999997</v>
      </c>
      <c r="CZ145">
        <v>12</v>
      </c>
      <c r="DA145">
        <v>0.39722299999999999</v>
      </c>
      <c r="DB145">
        <v>3.8719990000000002</v>
      </c>
      <c r="DC145">
        <v>8.2644249999999992</v>
      </c>
      <c r="DD145">
        <v>22.570453000000001</v>
      </c>
      <c r="DE145">
        <v>6.0180509999999998</v>
      </c>
      <c r="DF145">
        <v>8.8303999999999994E-2</v>
      </c>
      <c r="DG145">
        <v>1.085658</v>
      </c>
      <c r="DH145">
        <v>0.26663399999999998</v>
      </c>
      <c r="DI145">
        <v>1.4673E-2</v>
      </c>
      <c r="DJ145">
        <v>0.1804</v>
      </c>
      <c r="DK145">
        <v>1</v>
      </c>
      <c r="DL145">
        <v>4</v>
      </c>
      <c r="DM145">
        <v>7</v>
      </c>
      <c r="DN145">
        <v>14</v>
      </c>
      <c r="DO145">
        <v>16</v>
      </c>
      <c r="DP145">
        <v>18</v>
      </c>
      <c r="DQ145">
        <v>21</v>
      </c>
      <c r="DR145">
        <v>23</v>
      </c>
      <c r="DS145">
        <v>25</v>
      </c>
      <c r="DT145">
        <v>27</v>
      </c>
      <c r="DU145">
        <v>28</v>
      </c>
      <c r="DV145">
        <v>30</v>
      </c>
      <c r="DW145">
        <v>34</v>
      </c>
      <c r="DX145">
        <v>42.5</v>
      </c>
      <c r="DY145">
        <v>54</v>
      </c>
      <c r="DZ145">
        <v>92.240843999999996</v>
      </c>
      <c r="EA145">
        <v>92.240843999999996</v>
      </c>
      <c r="EB145">
        <v>92.240843999999996</v>
      </c>
      <c r="EC145">
        <v>1486</v>
      </c>
      <c r="ED145">
        <v>1486</v>
      </c>
      <c r="EE145">
        <v>81.067660000000004</v>
      </c>
      <c r="EF145">
        <v>54.748603000000003</v>
      </c>
      <c r="EG145">
        <v>81.067660000000004</v>
      </c>
      <c r="EH145">
        <v>54.748603000000003</v>
      </c>
      <c r="EI145">
        <v>81.067660000000004</v>
      </c>
      <c r="EJ145">
        <v>54.748603000000003</v>
      </c>
      <c r="EK145">
        <v>1306</v>
      </c>
      <c r="EL145">
        <v>882</v>
      </c>
      <c r="EM145">
        <v>1306</v>
      </c>
      <c r="EN145">
        <v>882</v>
      </c>
      <c r="EO145">
        <v>1611</v>
      </c>
      <c r="EP145">
        <v>1611</v>
      </c>
      <c r="EQ145">
        <v>81.680719999999994</v>
      </c>
    </row>
    <row r="146" spans="1:147" x14ac:dyDescent="0.25">
      <c r="A146">
        <v>2022</v>
      </c>
      <c r="B146" t="str">
        <f t="shared" si="4"/>
        <v>GN</v>
      </c>
      <c r="C146" t="s">
        <v>908</v>
      </c>
      <c r="D146" t="s">
        <v>908</v>
      </c>
      <c r="E146">
        <v>24650</v>
      </c>
      <c r="F146" t="s">
        <v>897</v>
      </c>
      <c r="G146" t="s">
        <v>898</v>
      </c>
      <c r="H146" t="s">
        <v>905</v>
      </c>
      <c r="I146">
        <v>52.14</v>
      </c>
      <c r="J146">
        <v>52.14</v>
      </c>
      <c r="K146" t="s">
        <v>199</v>
      </c>
      <c r="L146">
        <v>1</v>
      </c>
      <c r="M146">
        <v>2016</v>
      </c>
      <c r="N146">
        <v>3</v>
      </c>
      <c r="O146" t="str">
        <f t="shared" si="5"/>
        <v>Alto fuste</v>
      </c>
      <c r="P146" s="2">
        <v>42702</v>
      </c>
      <c r="Q146" t="s">
        <v>174</v>
      </c>
      <c r="R146" t="s">
        <v>314</v>
      </c>
      <c r="S146" t="s">
        <v>154</v>
      </c>
      <c r="T146" t="s">
        <v>199</v>
      </c>
      <c r="U146" t="s">
        <v>156</v>
      </c>
      <c r="V146" s="2">
        <v>44690</v>
      </c>
      <c r="W146" t="s">
        <v>900</v>
      </c>
      <c r="X146">
        <v>309.26</v>
      </c>
      <c r="Y146">
        <v>19.600000000000001</v>
      </c>
      <c r="Z146">
        <v>5</v>
      </c>
      <c r="AA146">
        <v>15.7</v>
      </c>
      <c r="AB146">
        <v>2</v>
      </c>
      <c r="AC146">
        <v>307.72000000000003</v>
      </c>
      <c r="AD146">
        <v>306.36229110887302</v>
      </c>
      <c r="AE146" s="2">
        <v>44690</v>
      </c>
      <c r="AF146">
        <v>66</v>
      </c>
      <c r="AG146">
        <v>5.4428473648186202</v>
      </c>
      <c r="AH146">
        <v>25.375405276652401</v>
      </c>
      <c r="AI146">
        <v>15.593548387096799</v>
      </c>
      <c r="AJ146">
        <v>20.120716814869699</v>
      </c>
      <c r="AK146">
        <v>31</v>
      </c>
      <c r="AL146">
        <v>1011.8738793797399</v>
      </c>
      <c r="AM146">
        <v>234.572071440461</v>
      </c>
      <c r="AN146">
        <v>0.23181947495694699</v>
      </c>
      <c r="AO146" t="s">
        <v>314</v>
      </c>
      <c r="AP146" t="s">
        <v>158</v>
      </c>
      <c r="AQ146" t="s">
        <v>304</v>
      </c>
      <c r="AR146">
        <v>9</v>
      </c>
      <c r="AS146">
        <v>0.91068649144176428</v>
      </c>
      <c r="AT146" t="s">
        <v>909</v>
      </c>
      <c r="AU146" t="s">
        <v>910</v>
      </c>
      <c r="AV146">
        <v>1478</v>
      </c>
      <c r="AW146">
        <v>1478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-0.126</v>
      </c>
      <c r="BH146">
        <v>31.201000000000001</v>
      </c>
      <c r="BI146">
        <v>23.476227000000002</v>
      </c>
      <c r="BJ146">
        <v>26.228459999999998</v>
      </c>
      <c r="BK146">
        <v>7.5610410000000003</v>
      </c>
      <c r="BL146">
        <v>57.169347000000002</v>
      </c>
      <c r="BM146">
        <v>0.32207200000000002</v>
      </c>
      <c r="BN146">
        <v>3.4547500000000002</v>
      </c>
      <c r="BO146">
        <v>-1.938712</v>
      </c>
      <c r="BP146">
        <v>5.819979</v>
      </c>
      <c r="BQ146">
        <v>5.5557550000000004</v>
      </c>
      <c r="BR146">
        <v>1.285501</v>
      </c>
      <c r="BS146">
        <v>1.4655400000000001</v>
      </c>
      <c r="BT146">
        <v>23.476227000000002</v>
      </c>
      <c r="BU146">
        <v>3.4420730000000002</v>
      </c>
      <c r="BV146">
        <v>-1.6899979999999999</v>
      </c>
      <c r="BW146">
        <v>0.94338200000000005</v>
      </c>
      <c r="BX146">
        <v>0.14662</v>
      </c>
      <c r="BY146">
        <v>-0.49098199999999997</v>
      </c>
      <c r="BZ146">
        <v>0.27407399999999998</v>
      </c>
      <c r="CA146">
        <v>-1.592E-2</v>
      </c>
      <c r="CB146">
        <v>0.27434999999999998</v>
      </c>
      <c r="CC146">
        <v>11.1677</v>
      </c>
      <c r="CD146">
        <v>19.5886</v>
      </c>
      <c r="CE146">
        <v>24.21125</v>
      </c>
      <c r="CF146">
        <v>25.491199000000002</v>
      </c>
      <c r="CG146">
        <v>26.028798999999999</v>
      </c>
      <c r="CH146">
        <v>26.512001000000001</v>
      </c>
      <c r="CI146">
        <v>26.953199000000001</v>
      </c>
      <c r="CJ146">
        <v>27.425901</v>
      </c>
      <c r="CK146">
        <v>27.666</v>
      </c>
      <c r="CL146">
        <v>27.955400000000001</v>
      </c>
      <c r="CM146">
        <v>28.598202000000001</v>
      </c>
      <c r="CN146">
        <v>29.250450000000001</v>
      </c>
      <c r="CO146">
        <v>29.90296</v>
      </c>
      <c r="CP146">
        <v>0.75341499999999995</v>
      </c>
      <c r="CQ146">
        <v>24.663007</v>
      </c>
      <c r="CR146">
        <v>25.26371</v>
      </c>
      <c r="CS146">
        <v>1</v>
      </c>
      <c r="CT146">
        <v>56</v>
      </c>
      <c r="CU146">
        <v>16.420839000000001</v>
      </c>
      <c r="CV146">
        <v>16.714286000000001</v>
      </c>
      <c r="CW146">
        <v>9.8788269999999994</v>
      </c>
      <c r="CX146">
        <v>97.591223999999997</v>
      </c>
      <c r="CY146">
        <v>0.601603</v>
      </c>
      <c r="CZ146">
        <v>14</v>
      </c>
      <c r="DA146">
        <v>0.73371200000000003</v>
      </c>
      <c r="DB146">
        <v>3.8308270000000002</v>
      </c>
      <c r="DC146">
        <v>7.7989350000000002</v>
      </c>
      <c r="DD146">
        <v>16.420839000000001</v>
      </c>
      <c r="DE146">
        <v>5.4762779999999998</v>
      </c>
      <c r="DF146">
        <v>0.55101500000000003</v>
      </c>
      <c r="DG146">
        <v>0.63463000000000003</v>
      </c>
      <c r="DH146">
        <v>0.33349600000000001</v>
      </c>
      <c r="DI146">
        <v>0.100619</v>
      </c>
      <c r="DJ146">
        <v>0.115887</v>
      </c>
      <c r="DK146">
        <v>1</v>
      </c>
      <c r="DL146">
        <v>2</v>
      </c>
      <c r="DM146">
        <v>4</v>
      </c>
      <c r="DN146">
        <v>8</v>
      </c>
      <c r="DO146">
        <v>9</v>
      </c>
      <c r="DP146">
        <v>10</v>
      </c>
      <c r="DQ146">
        <v>13</v>
      </c>
      <c r="DR146">
        <v>16</v>
      </c>
      <c r="DS146">
        <v>18</v>
      </c>
      <c r="DT146">
        <v>21</v>
      </c>
      <c r="DU146">
        <v>23</v>
      </c>
      <c r="DV146">
        <v>24</v>
      </c>
      <c r="DW146">
        <v>28</v>
      </c>
      <c r="DX146">
        <v>33</v>
      </c>
      <c r="DY146">
        <v>47.229979999999998</v>
      </c>
      <c r="DZ146">
        <v>94.587280000000007</v>
      </c>
      <c r="EA146">
        <v>94.587280000000007</v>
      </c>
      <c r="EB146">
        <v>94.587280000000007</v>
      </c>
      <c r="EC146">
        <v>1398</v>
      </c>
      <c r="ED146">
        <v>1398</v>
      </c>
      <c r="EE146">
        <v>76.184032000000002</v>
      </c>
      <c r="EF146">
        <v>56.292287000000002</v>
      </c>
      <c r="EG146">
        <v>76.184032000000002</v>
      </c>
      <c r="EH146">
        <v>56.292287000000002</v>
      </c>
      <c r="EI146">
        <v>76.184032000000002</v>
      </c>
      <c r="EJ146">
        <v>56.292287000000002</v>
      </c>
      <c r="EK146">
        <v>1126</v>
      </c>
      <c r="EL146">
        <v>832</v>
      </c>
      <c r="EM146">
        <v>1126</v>
      </c>
      <c r="EN146">
        <v>832</v>
      </c>
      <c r="EO146">
        <v>1478</v>
      </c>
      <c r="EP146">
        <v>1478</v>
      </c>
      <c r="EQ146">
        <v>77.471473000000003</v>
      </c>
    </row>
    <row r="147" spans="1:147" x14ac:dyDescent="0.25">
      <c r="A147">
        <v>2022</v>
      </c>
      <c r="B147" t="str">
        <f t="shared" si="4"/>
        <v>GN</v>
      </c>
      <c r="C147" t="s">
        <v>911</v>
      </c>
      <c r="D147" t="s">
        <v>911</v>
      </c>
      <c r="E147">
        <v>24662</v>
      </c>
      <c r="F147" t="s">
        <v>912</v>
      </c>
      <c r="G147" t="s">
        <v>898</v>
      </c>
      <c r="H147" t="s">
        <v>913</v>
      </c>
      <c r="I147">
        <v>35.729999999999997</v>
      </c>
      <c r="J147">
        <v>35.729999999999997</v>
      </c>
      <c r="K147" t="s">
        <v>199</v>
      </c>
      <c r="L147">
        <v>1</v>
      </c>
      <c r="M147">
        <v>2016</v>
      </c>
      <c r="N147">
        <v>3</v>
      </c>
      <c r="O147" t="str">
        <f t="shared" si="5"/>
        <v>Talhadia</v>
      </c>
      <c r="P147" s="2">
        <v>42611</v>
      </c>
      <c r="Q147" t="s">
        <v>322</v>
      </c>
      <c r="R147" t="s">
        <v>200</v>
      </c>
      <c r="S147" t="s">
        <v>154</v>
      </c>
      <c r="T147" t="s">
        <v>199</v>
      </c>
      <c r="U147" t="s">
        <v>156</v>
      </c>
      <c r="V147" s="2">
        <v>44692</v>
      </c>
      <c r="W147" t="s">
        <v>900</v>
      </c>
      <c r="X147">
        <v>200.66</v>
      </c>
      <c r="Y147">
        <v>19</v>
      </c>
      <c r="Z147">
        <v>31</v>
      </c>
      <c r="AA147">
        <v>16.8</v>
      </c>
      <c r="AB147">
        <v>5</v>
      </c>
      <c r="AC147">
        <v>319.2</v>
      </c>
      <c r="AD147">
        <v>272.56664209158902</v>
      </c>
      <c r="AE147" s="2">
        <v>44692</v>
      </c>
      <c r="AF147">
        <v>69</v>
      </c>
      <c r="AG147">
        <v>5.6974674880218998</v>
      </c>
      <c r="AH147">
        <v>22.754977180798701</v>
      </c>
      <c r="AI147">
        <v>15.4391304347826</v>
      </c>
      <c r="AJ147">
        <v>16.6502024432322</v>
      </c>
      <c r="AK147">
        <v>23</v>
      </c>
      <c r="AL147">
        <v>843.83033167615099</v>
      </c>
      <c r="AM147">
        <v>175.46973716376399</v>
      </c>
      <c r="AN147">
        <v>0.20794433498878601</v>
      </c>
      <c r="AO147" t="s">
        <v>200</v>
      </c>
      <c r="AP147" t="s">
        <v>264</v>
      </c>
      <c r="AQ147" t="s">
        <v>166</v>
      </c>
      <c r="AR147">
        <v>9.99</v>
      </c>
      <c r="AS147">
        <v>0.84298650134447373</v>
      </c>
      <c r="AT147" t="s">
        <v>914</v>
      </c>
      <c r="AU147" t="s">
        <v>915</v>
      </c>
      <c r="AV147">
        <v>1747</v>
      </c>
      <c r="AW147">
        <v>1747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-0.434</v>
      </c>
      <c r="BH147">
        <v>27.225999999999999</v>
      </c>
      <c r="BI147">
        <v>19.381170000000001</v>
      </c>
      <c r="BJ147">
        <v>18.445048</v>
      </c>
      <c r="BK147">
        <v>4.1254419999999996</v>
      </c>
      <c r="BL147">
        <v>17.019271</v>
      </c>
      <c r="BM147">
        <v>0.21285799999999999</v>
      </c>
      <c r="BN147">
        <v>4.7714999999999996</v>
      </c>
      <c r="BO147">
        <v>-1.0749660000000001</v>
      </c>
      <c r="BP147">
        <v>4.8871760000000002</v>
      </c>
      <c r="BQ147">
        <v>3.1222059999999998</v>
      </c>
      <c r="BR147">
        <v>2.425001</v>
      </c>
      <c r="BS147">
        <v>2.890047</v>
      </c>
      <c r="BT147">
        <v>19.381170000000001</v>
      </c>
      <c r="BU147">
        <v>2.23299</v>
      </c>
      <c r="BV147">
        <v>-0.36583700000000002</v>
      </c>
      <c r="BW147">
        <v>0.35669099999999998</v>
      </c>
      <c r="BX147">
        <v>0.115214</v>
      </c>
      <c r="BY147">
        <v>-0.16383300000000001</v>
      </c>
      <c r="BZ147">
        <v>0.15973699999999999</v>
      </c>
      <c r="CA147">
        <v>7.0273599999999998</v>
      </c>
      <c r="CB147">
        <v>11.353300000000001</v>
      </c>
      <c r="CC147">
        <v>14.180799</v>
      </c>
      <c r="CD147">
        <v>16.628401</v>
      </c>
      <c r="CE147">
        <v>17.560001</v>
      </c>
      <c r="CF147">
        <v>18.187398999999999</v>
      </c>
      <c r="CG147">
        <v>18.954999999999998</v>
      </c>
      <c r="CH147">
        <v>19.899999999999999</v>
      </c>
      <c r="CI147">
        <v>20.785800999999999</v>
      </c>
      <c r="CJ147">
        <v>21.830400000000001</v>
      </c>
      <c r="CK147">
        <v>22.331500999999999</v>
      </c>
      <c r="CL147">
        <v>22.8218</v>
      </c>
      <c r="CM147">
        <v>23.975200999999998</v>
      </c>
      <c r="CN147">
        <v>24.771099</v>
      </c>
      <c r="CO147">
        <v>26.320667</v>
      </c>
      <c r="CP147">
        <v>0.71638400000000002</v>
      </c>
      <c r="CQ147">
        <v>19.815128000000001</v>
      </c>
      <c r="CR147">
        <v>20.160129999999999</v>
      </c>
      <c r="CS147">
        <v>1</v>
      </c>
      <c r="CT147">
        <v>36</v>
      </c>
      <c r="CU147">
        <v>16.228964000000001</v>
      </c>
      <c r="CV147">
        <v>21</v>
      </c>
      <c r="CW147">
        <v>6.8720270000000001</v>
      </c>
      <c r="CX147">
        <v>47.224750999999998</v>
      </c>
      <c r="CY147">
        <v>0.42344199999999999</v>
      </c>
      <c r="CZ147">
        <v>10</v>
      </c>
      <c r="DA147">
        <v>-0.142319</v>
      </c>
      <c r="DB147">
        <v>2.3377979999999998</v>
      </c>
      <c r="DC147">
        <v>5.6888629999999996</v>
      </c>
      <c r="DD147">
        <v>16.228964000000001</v>
      </c>
      <c r="DE147">
        <v>3.9286110000000001</v>
      </c>
      <c r="DF147">
        <v>-0.148733</v>
      </c>
      <c r="DG147">
        <v>0.29861300000000002</v>
      </c>
      <c r="DH147">
        <v>0.24207400000000001</v>
      </c>
      <c r="DI147">
        <v>-3.7858999999999997E-2</v>
      </c>
      <c r="DJ147">
        <v>7.6009999999999994E-2</v>
      </c>
      <c r="DK147">
        <v>1</v>
      </c>
      <c r="DL147">
        <v>4</v>
      </c>
      <c r="DM147">
        <v>7</v>
      </c>
      <c r="DN147">
        <v>10</v>
      </c>
      <c r="DO147">
        <v>11</v>
      </c>
      <c r="DP147">
        <v>12.799988000000001</v>
      </c>
      <c r="DQ147">
        <v>15</v>
      </c>
      <c r="DR147">
        <v>17</v>
      </c>
      <c r="DS147">
        <v>19</v>
      </c>
      <c r="DT147">
        <v>21</v>
      </c>
      <c r="DU147">
        <v>21</v>
      </c>
      <c r="DV147">
        <v>22</v>
      </c>
      <c r="DW147">
        <v>25</v>
      </c>
      <c r="DX147">
        <v>27</v>
      </c>
      <c r="DY147">
        <v>30</v>
      </c>
      <c r="DZ147">
        <v>99.656554</v>
      </c>
      <c r="EA147">
        <v>99.656554</v>
      </c>
      <c r="EB147">
        <v>99.656554</v>
      </c>
      <c r="EC147">
        <v>1741</v>
      </c>
      <c r="ED147">
        <v>1741</v>
      </c>
      <c r="EE147">
        <v>54.436176000000003</v>
      </c>
      <c r="EF147">
        <v>67.429879999999997</v>
      </c>
      <c r="EG147">
        <v>54.436176000000003</v>
      </c>
      <c r="EH147">
        <v>67.429879999999997</v>
      </c>
      <c r="EI147">
        <v>54.436176000000003</v>
      </c>
      <c r="EJ147">
        <v>67.429879999999997</v>
      </c>
      <c r="EK147">
        <v>951</v>
      </c>
      <c r="EL147">
        <v>1178</v>
      </c>
      <c r="EM147">
        <v>951</v>
      </c>
      <c r="EN147">
        <v>1178</v>
      </c>
      <c r="EO147">
        <v>1747</v>
      </c>
      <c r="EP147">
        <v>1747</v>
      </c>
      <c r="EQ147">
        <v>72.623219000000006</v>
      </c>
    </row>
    <row r="148" spans="1:147" x14ac:dyDescent="0.25">
      <c r="A148">
        <v>2022</v>
      </c>
      <c r="B148" t="str">
        <f t="shared" si="4"/>
        <v>GN</v>
      </c>
      <c r="C148" t="s">
        <v>916</v>
      </c>
      <c r="D148" t="s">
        <v>916</v>
      </c>
      <c r="E148">
        <v>24663</v>
      </c>
      <c r="F148" t="s">
        <v>912</v>
      </c>
      <c r="G148" t="s">
        <v>898</v>
      </c>
      <c r="H148" t="s">
        <v>913</v>
      </c>
      <c r="I148">
        <v>35.729999999999997</v>
      </c>
      <c r="J148">
        <v>35.729999999999997</v>
      </c>
      <c r="K148" t="s">
        <v>199</v>
      </c>
      <c r="L148">
        <v>1</v>
      </c>
      <c r="M148">
        <v>2016</v>
      </c>
      <c r="N148">
        <v>3</v>
      </c>
      <c r="O148" t="str">
        <f t="shared" si="5"/>
        <v>Talhadia</v>
      </c>
      <c r="P148" s="2">
        <v>42611</v>
      </c>
      <c r="Q148" t="s">
        <v>322</v>
      </c>
      <c r="R148" t="s">
        <v>200</v>
      </c>
      <c r="S148" t="s">
        <v>154</v>
      </c>
      <c r="T148" t="s">
        <v>199</v>
      </c>
      <c r="U148" t="s">
        <v>156</v>
      </c>
      <c r="V148" s="2">
        <v>44692</v>
      </c>
      <c r="W148" t="s">
        <v>900</v>
      </c>
      <c r="X148">
        <v>200.66</v>
      </c>
      <c r="Y148">
        <v>19.899999999999999</v>
      </c>
      <c r="Z148">
        <v>19</v>
      </c>
      <c r="AA148">
        <v>16.8</v>
      </c>
      <c r="AB148">
        <v>1</v>
      </c>
      <c r="AC148">
        <v>334.32</v>
      </c>
      <c r="AD148">
        <v>316.05762575447</v>
      </c>
      <c r="AE148" s="2">
        <v>44692</v>
      </c>
      <c r="AF148">
        <v>69</v>
      </c>
      <c r="AG148">
        <v>5.6974674880218998</v>
      </c>
      <c r="AH148">
        <v>20.215395306933502</v>
      </c>
      <c r="AI148">
        <v>15.7785714285714</v>
      </c>
      <c r="AJ148">
        <v>18.220449858253499</v>
      </c>
      <c r="AK148">
        <v>28</v>
      </c>
      <c r="AL148">
        <v>885.91439403369498</v>
      </c>
      <c r="AM148">
        <v>165.499108853157</v>
      </c>
      <c r="AN148">
        <v>0.18681162645932001</v>
      </c>
      <c r="AO148" t="s">
        <v>200</v>
      </c>
      <c r="AP148" t="s">
        <v>264</v>
      </c>
      <c r="AQ148" t="s">
        <v>166</v>
      </c>
      <c r="AR148">
        <v>9.99</v>
      </c>
      <c r="AS148">
        <v>0.88502847963966247</v>
      </c>
      <c r="AT148" t="s">
        <v>917</v>
      </c>
      <c r="AU148" t="s">
        <v>918</v>
      </c>
      <c r="AV148">
        <v>1163</v>
      </c>
      <c r="AW148">
        <v>1163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-0.42</v>
      </c>
      <c r="BH148">
        <v>24.802</v>
      </c>
      <c r="BI148">
        <v>19.040552000000002</v>
      </c>
      <c r="BJ148">
        <v>17.996064000000001</v>
      </c>
      <c r="BK148">
        <v>4.1887049999999997</v>
      </c>
      <c r="BL148">
        <v>17.545252000000001</v>
      </c>
      <c r="BM148">
        <v>0.21998899999999999</v>
      </c>
      <c r="BN148">
        <v>3.9525009999999998</v>
      </c>
      <c r="BO148">
        <v>-2.5763630000000002</v>
      </c>
      <c r="BP148">
        <v>12.096866</v>
      </c>
      <c r="BQ148">
        <v>2.6832259999999999</v>
      </c>
      <c r="BR148">
        <v>1.9569989999999999</v>
      </c>
      <c r="BS148">
        <v>2.2439360000000002</v>
      </c>
      <c r="BT148">
        <v>19.040552000000002</v>
      </c>
      <c r="BU148">
        <v>1.9639310000000001</v>
      </c>
      <c r="BV148">
        <v>-0.498913</v>
      </c>
      <c r="BW148">
        <v>0.48510399999999998</v>
      </c>
      <c r="BX148">
        <v>0.103145</v>
      </c>
      <c r="BY148">
        <v>-0.25403799999999999</v>
      </c>
      <c r="BZ148">
        <v>0.247007</v>
      </c>
      <c r="CA148">
        <v>-0.17118</v>
      </c>
      <c r="CB148">
        <v>12.8667</v>
      </c>
      <c r="CC148">
        <v>15.9208</v>
      </c>
      <c r="CD148">
        <v>17.416201000000001</v>
      </c>
      <c r="CE148">
        <v>17.772499</v>
      </c>
      <c r="CF148">
        <v>18.094000000000001</v>
      </c>
      <c r="CG148">
        <v>18.870199</v>
      </c>
      <c r="CH148">
        <v>19.525998999999999</v>
      </c>
      <c r="CI148">
        <v>20.278400000000001</v>
      </c>
      <c r="CJ148">
        <v>21.330998999999998</v>
      </c>
      <c r="CK148">
        <v>21.725000000000001</v>
      </c>
      <c r="CL148">
        <v>22.177999</v>
      </c>
      <c r="CM148">
        <v>22.871600999999998</v>
      </c>
      <c r="CN148">
        <v>23.374200999999999</v>
      </c>
      <c r="CO148">
        <v>24.314819</v>
      </c>
      <c r="CP148">
        <v>0.77157100000000001</v>
      </c>
      <c r="CQ148">
        <v>19.495456000000001</v>
      </c>
      <c r="CR148">
        <v>19.759774</v>
      </c>
      <c r="CS148">
        <v>1</v>
      </c>
      <c r="CT148">
        <v>40</v>
      </c>
      <c r="CU148">
        <v>11.656922</v>
      </c>
      <c r="CV148">
        <v>14</v>
      </c>
      <c r="CW148">
        <v>5.4684290000000004</v>
      </c>
      <c r="CX148">
        <v>29.903711000000001</v>
      </c>
      <c r="CY148">
        <v>0.46911399999999998</v>
      </c>
      <c r="CZ148">
        <v>7</v>
      </c>
      <c r="DA148">
        <v>0.45728400000000002</v>
      </c>
      <c r="DB148">
        <v>3.7000609999999998</v>
      </c>
      <c r="DC148">
        <v>4.4007129999999997</v>
      </c>
      <c r="DD148">
        <v>11.656922</v>
      </c>
      <c r="DE148">
        <v>3.0695389999999998</v>
      </c>
      <c r="DF148">
        <v>0.155614</v>
      </c>
      <c r="DG148">
        <v>0.31500600000000001</v>
      </c>
      <c r="DH148">
        <v>0.26332299999999997</v>
      </c>
      <c r="DI148">
        <v>5.0695999999999998E-2</v>
      </c>
      <c r="DJ148">
        <v>0.10262300000000001</v>
      </c>
      <c r="DK148">
        <v>1</v>
      </c>
      <c r="DL148">
        <v>3</v>
      </c>
      <c r="DM148">
        <v>5</v>
      </c>
      <c r="DN148">
        <v>7</v>
      </c>
      <c r="DO148">
        <v>8</v>
      </c>
      <c r="DP148">
        <v>8</v>
      </c>
      <c r="DQ148">
        <v>10</v>
      </c>
      <c r="DR148">
        <v>12</v>
      </c>
      <c r="DS148">
        <v>13</v>
      </c>
      <c r="DT148">
        <v>14</v>
      </c>
      <c r="DU148">
        <v>15</v>
      </c>
      <c r="DV148">
        <v>16</v>
      </c>
      <c r="DW148">
        <v>19</v>
      </c>
      <c r="DX148">
        <v>21</v>
      </c>
      <c r="DY148">
        <v>24</v>
      </c>
      <c r="DZ148">
        <v>97.334479999999999</v>
      </c>
      <c r="EA148">
        <v>97.334479999999999</v>
      </c>
      <c r="EB148">
        <v>97.334479999999999</v>
      </c>
      <c r="EC148">
        <v>1132</v>
      </c>
      <c r="ED148">
        <v>1132</v>
      </c>
      <c r="EE148">
        <v>56.835769999999997</v>
      </c>
      <c r="EF148">
        <v>71.453137999999996</v>
      </c>
      <c r="EG148">
        <v>56.835769999999997</v>
      </c>
      <c r="EH148">
        <v>71.453137999999996</v>
      </c>
      <c r="EI148">
        <v>56.835769999999997</v>
      </c>
      <c r="EJ148">
        <v>71.453137999999996</v>
      </c>
      <c r="EK148">
        <v>661</v>
      </c>
      <c r="EL148">
        <v>831</v>
      </c>
      <c r="EM148">
        <v>661</v>
      </c>
      <c r="EN148">
        <v>831</v>
      </c>
      <c r="EO148">
        <v>1163</v>
      </c>
      <c r="EP148">
        <v>1163</v>
      </c>
      <c r="EQ148">
        <v>77.354787999999999</v>
      </c>
    </row>
    <row r="149" spans="1:147" x14ac:dyDescent="0.25">
      <c r="A149">
        <v>2022</v>
      </c>
      <c r="B149" t="str">
        <f t="shared" si="4"/>
        <v>GN</v>
      </c>
      <c r="C149" t="s">
        <v>919</v>
      </c>
      <c r="D149" t="s">
        <v>919</v>
      </c>
      <c r="E149">
        <v>24664</v>
      </c>
      <c r="F149" t="s">
        <v>912</v>
      </c>
      <c r="G149" t="s">
        <v>898</v>
      </c>
      <c r="H149" t="s">
        <v>913</v>
      </c>
      <c r="I149">
        <v>35.729999999999997</v>
      </c>
      <c r="J149">
        <v>35.729999999999997</v>
      </c>
      <c r="K149" t="s">
        <v>199</v>
      </c>
      <c r="L149">
        <v>1</v>
      </c>
      <c r="M149">
        <v>2016</v>
      </c>
      <c r="N149">
        <v>3</v>
      </c>
      <c r="O149" t="str">
        <f t="shared" si="5"/>
        <v>Talhadia</v>
      </c>
      <c r="P149" s="2">
        <v>42611</v>
      </c>
      <c r="Q149" t="s">
        <v>322</v>
      </c>
      <c r="R149" t="s">
        <v>200</v>
      </c>
      <c r="S149" t="s">
        <v>154</v>
      </c>
      <c r="T149" t="s">
        <v>199</v>
      </c>
      <c r="U149" t="s">
        <v>156</v>
      </c>
      <c r="V149" s="2">
        <v>44692</v>
      </c>
      <c r="W149" t="s">
        <v>900</v>
      </c>
      <c r="X149">
        <v>200.66</v>
      </c>
      <c r="Y149">
        <v>20.5</v>
      </c>
      <c r="Z149">
        <v>10</v>
      </c>
      <c r="AA149">
        <v>13.8</v>
      </c>
      <c r="AB149">
        <v>5</v>
      </c>
      <c r="AC149">
        <v>282.89999999999998</v>
      </c>
      <c r="AD149">
        <v>277.54194817366601</v>
      </c>
      <c r="AE149" s="2">
        <v>44692</v>
      </c>
      <c r="AF149">
        <v>69</v>
      </c>
      <c r="AG149">
        <v>5.6974674880218998</v>
      </c>
      <c r="AH149">
        <v>25.172967250969801</v>
      </c>
      <c r="AI149">
        <v>15.310344827586199</v>
      </c>
      <c r="AJ149">
        <v>20.462486660760899</v>
      </c>
      <c r="AK149">
        <v>29</v>
      </c>
      <c r="AL149">
        <v>1044.8870951159399</v>
      </c>
      <c r="AM149">
        <v>245.257343950636</v>
      </c>
      <c r="AN149">
        <v>0.234721382910201</v>
      </c>
      <c r="AO149" t="s">
        <v>200</v>
      </c>
      <c r="AP149" t="s">
        <v>264</v>
      </c>
      <c r="AQ149" t="s">
        <v>166</v>
      </c>
      <c r="AR149">
        <v>9.99</v>
      </c>
      <c r="AS149">
        <v>1.0438422080208221</v>
      </c>
      <c r="AT149" t="s">
        <v>920</v>
      </c>
      <c r="AU149" t="s">
        <v>921</v>
      </c>
      <c r="AV149">
        <v>1719</v>
      </c>
      <c r="AW149">
        <v>1719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1.845</v>
      </c>
      <c r="BH149">
        <v>22.335999999999999</v>
      </c>
      <c r="BI149">
        <v>15.788373999999999</v>
      </c>
      <c r="BJ149">
        <v>18.432953000000001</v>
      </c>
      <c r="BK149">
        <v>3.2811240000000002</v>
      </c>
      <c r="BL149">
        <v>10.765777</v>
      </c>
      <c r="BM149">
        <v>0.207819</v>
      </c>
      <c r="BN149">
        <v>4.7434979999999998</v>
      </c>
      <c r="BO149">
        <v>-0.929925</v>
      </c>
      <c r="BP149">
        <v>4.0837599999999998</v>
      </c>
      <c r="BQ149">
        <v>2.618093</v>
      </c>
      <c r="BR149">
        <v>1.9489989999999999</v>
      </c>
      <c r="BS149">
        <v>2.0659519999999998</v>
      </c>
      <c r="BT149">
        <v>15.788373999999999</v>
      </c>
      <c r="BU149">
        <v>1.797601</v>
      </c>
      <c r="BV149">
        <v>-0.30535000000000001</v>
      </c>
      <c r="BW149">
        <v>0.20838999999999999</v>
      </c>
      <c r="BX149">
        <v>0.113856</v>
      </c>
      <c r="BY149">
        <v>-0.16986499999999999</v>
      </c>
      <c r="BZ149">
        <v>0.115926</v>
      </c>
      <c r="CA149">
        <v>5.1012000000000004</v>
      </c>
      <c r="CB149">
        <v>10.146501000000001</v>
      </c>
      <c r="CC149">
        <v>11.330199</v>
      </c>
      <c r="CD149">
        <v>12.8064</v>
      </c>
      <c r="CE149">
        <v>13.412001</v>
      </c>
      <c r="CF149">
        <v>14.323399999999999</v>
      </c>
      <c r="CG149">
        <v>15.789599000000001</v>
      </c>
      <c r="CH149">
        <v>16.576000000000001</v>
      </c>
      <c r="CI149">
        <v>17.1248</v>
      </c>
      <c r="CJ149">
        <v>17.874199000000001</v>
      </c>
      <c r="CK149">
        <v>18.155498999999999</v>
      </c>
      <c r="CL149">
        <v>18.505600000000001</v>
      </c>
      <c r="CM149">
        <v>19.254999000000002</v>
      </c>
      <c r="CN149">
        <v>20.0944</v>
      </c>
      <c r="CO149">
        <v>21.165517999999999</v>
      </c>
      <c r="CP149">
        <v>0.68046300000000004</v>
      </c>
      <c r="CQ149">
        <v>16.125516000000001</v>
      </c>
      <c r="CR149">
        <v>16.401809</v>
      </c>
      <c r="CS149">
        <v>1</v>
      </c>
      <c r="CT149">
        <v>50</v>
      </c>
      <c r="CU149">
        <v>20.208842000000001</v>
      </c>
      <c r="CV149">
        <v>23.555555999999999</v>
      </c>
      <c r="CW149">
        <v>8.2283340000000003</v>
      </c>
      <c r="CX149">
        <v>67.705485999999993</v>
      </c>
      <c r="CY149">
        <v>0.407165</v>
      </c>
      <c r="CZ149">
        <v>11</v>
      </c>
      <c r="DA149">
        <v>-5.7090000000000002E-2</v>
      </c>
      <c r="DB149">
        <v>2.8413729999999999</v>
      </c>
      <c r="DC149">
        <v>6.6081219999999998</v>
      </c>
      <c r="DD149">
        <v>20.208842000000001</v>
      </c>
      <c r="DE149">
        <v>4.6507899999999998</v>
      </c>
      <c r="DF149">
        <v>-0.13450599999999999</v>
      </c>
      <c r="DG149">
        <v>0.53937400000000002</v>
      </c>
      <c r="DH149">
        <v>0.23013600000000001</v>
      </c>
      <c r="DI149">
        <v>-2.8920999999999999E-2</v>
      </c>
      <c r="DJ149">
        <v>0.11597499999999999</v>
      </c>
      <c r="DK149">
        <v>2</v>
      </c>
      <c r="DL149">
        <v>6</v>
      </c>
      <c r="DM149">
        <v>9</v>
      </c>
      <c r="DN149">
        <v>13</v>
      </c>
      <c r="DO149">
        <v>15</v>
      </c>
      <c r="DP149">
        <v>16</v>
      </c>
      <c r="DQ149">
        <v>18</v>
      </c>
      <c r="DR149">
        <v>21</v>
      </c>
      <c r="DS149">
        <v>23</v>
      </c>
      <c r="DT149">
        <v>25</v>
      </c>
      <c r="DU149">
        <v>26</v>
      </c>
      <c r="DV149">
        <v>27</v>
      </c>
      <c r="DW149">
        <v>30</v>
      </c>
      <c r="DX149">
        <v>33</v>
      </c>
      <c r="DY149">
        <v>39</v>
      </c>
      <c r="DZ149">
        <v>99.825479999999999</v>
      </c>
      <c r="EA149">
        <v>99.825479999999999</v>
      </c>
      <c r="EB149">
        <v>99.825479999999999</v>
      </c>
      <c r="EC149">
        <v>1716</v>
      </c>
      <c r="ED149">
        <v>1716</v>
      </c>
      <c r="EE149">
        <v>60.034903999999997</v>
      </c>
      <c r="EF149">
        <v>21.116928000000001</v>
      </c>
      <c r="EG149">
        <v>60.034903999999997</v>
      </c>
      <c r="EH149">
        <v>21.116928000000001</v>
      </c>
      <c r="EI149">
        <v>60.034903999999997</v>
      </c>
      <c r="EJ149">
        <v>21.116928000000001</v>
      </c>
      <c r="EK149">
        <v>1032</v>
      </c>
      <c r="EL149">
        <v>363</v>
      </c>
      <c r="EM149">
        <v>1032</v>
      </c>
      <c r="EN149">
        <v>363</v>
      </c>
      <c r="EO149">
        <v>1719</v>
      </c>
      <c r="EP149">
        <v>1719</v>
      </c>
      <c r="EQ149">
        <v>73.567957000000007</v>
      </c>
    </row>
    <row r="150" spans="1:147" x14ac:dyDescent="0.25">
      <c r="A150">
        <v>2022</v>
      </c>
      <c r="B150" t="str">
        <f t="shared" si="4"/>
        <v>GN</v>
      </c>
      <c r="C150" t="s">
        <v>922</v>
      </c>
      <c r="D150" t="s">
        <v>922</v>
      </c>
      <c r="E150">
        <v>24832</v>
      </c>
      <c r="F150" t="s">
        <v>923</v>
      </c>
      <c r="G150" t="s">
        <v>924</v>
      </c>
      <c r="H150" t="s">
        <v>925</v>
      </c>
      <c r="I150">
        <v>28.21</v>
      </c>
      <c r="J150">
        <v>28.21</v>
      </c>
      <c r="K150" t="s">
        <v>279</v>
      </c>
      <c r="L150">
        <v>1</v>
      </c>
      <c r="M150">
        <v>2016</v>
      </c>
      <c r="N150">
        <v>3</v>
      </c>
      <c r="O150" t="str">
        <f t="shared" si="5"/>
        <v>Alto fuste</v>
      </c>
      <c r="P150" s="2">
        <v>42649</v>
      </c>
      <c r="Q150" t="s">
        <v>174</v>
      </c>
      <c r="R150" t="s">
        <v>695</v>
      </c>
      <c r="S150" t="s">
        <v>154</v>
      </c>
      <c r="T150" t="s">
        <v>279</v>
      </c>
      <c r="U150" t="s">
        <v>156</v>
      </c>
      <c r="V150" s="2">
        <v>44645</v>
      </c>
      <c r="W150" t="s">
        <v>926</v>
      </c>
      <c r="X150">
        <v>267</v>
      </c>
      <c r="Y150">
        <v>20.399999999999999</v>
      </c>
      <c r="Z150">
        <v>10</v>
      </c>
      <c r="AA150">
        <v>14.9</v>
      </c>
      <c r="AB150">
        <v>3</v>
      </c>
      <c r="AC150">
        <v>303.95999999999998</v>
      </c>
      <c r="AD150">
        <v>298.93192657250802</v>
      </c>
      <c r="AE150" s="2">
        <v>44645</v>
      </c>
      <c r="AF150">
        <v>65</v>
      </c>
      <c r="AG150">
        <v>5.4647501711156696</v>
      </c>
      <c r="AH150">
        <v>29.819396411981401</v>
      </c>
      <c r="AI150">
        <v>17.321212121212099</v>
      </c>
      <c r="AJ150">
        <v>26.3943368009813</v>
      </c>
      <c r="AK150">
        <v>33</v>
      </c>
      <c r="AL150">
        <v>1103.93026192857</v>
      </c>
      <c r="AM150">
        <v>348.96716948633099</v>
      </c>
      <c r="AN150">
        <v>0.31611341904577001</v>
      </c>
      <c r="AO150" t="s">
        <v>695</v>
      </c>
      <c r="AP150" t="s">
        <v>158</v>
      </c>
      <c r="AQ150" t="s">
        <v>166</v>
      </c>
      <c r="AR150">
        <v>9</v>
      </c>
      <c r="AS150">
        <v>0.99353723573571051</v>
      </c>
      <c r="AT150" t="s">
        <v>927</v>
      </c>
      <c r="AU150" t="s">
        <v>928</v>
      </c>
      <c r="AV150">
        <v>3558</v>
      </c>
      <c r="AW150">
        <v>1915</v>
      </c>
      <c r="AX150">
        <v>1415</v>
      </c>
      <c r="AY150">
        <v>222</v>
      </c>
      <c r="AZ150">
        <v>6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-0.92400000000000004</v>
      </c>
      <c r="BH150">
        <v>31.617000999999998</v>
      </c>
      <c r="BI150">
        <v>15.51301</v>
      </c>
      <c r="BJ150">
        <v>0.10904800000000001</v>
      </c>
      <c r="BK150">
        <v>13.677967000000001</v>
      </c>
      <c r="BL150">
        <v>187.08677700000001</v>
      </c>
      <c r="BM150">
        <v>0.88170899999999996</v>
      </c>
      <c r="BN150">
        <v>28.434000999999999</v>
      </c>
      <c r="BO150">
        <v>-0.158775</v>
      </c>
      <c r="BP150">
        <v>1.1062810000000001</v>
      </c>
      <c r="BQ150">
        <v>13.33798</v>
      </c>
      <c r="BR150">
        <v>5.755001</v>
      </c>
      <c r="BS150">
        <v>24.538951999999998</v>
      </c>
      <c r="BT150">
        <v>15.51301</v>
      </c>
      <c r="BU150">
        <v>7.2143040000000003</v>
      </c>
      <c r="BV150">
        <v>-0.36573099999999997</v>
      </c>
      <c r="BW150">
        <v>-1.5191520000000001</v>
      </c>
      <c r="BX150">
        <v>0.46504899999999999</v>
      </c>
      <c r="BY150">
        <v>-5.0694999999999997E-2</v>
      </c>
      <c r="BZ150">
        <v>-0.21057500000000001</v>
      </c>
      <c r="CA150">
        <v>-0.29343000000000002</v>
      </c>
      <c r="CB150">
        <v>-0.08</v>
      </c>
      <c r="CC150">
        <v>1.47E-2</v>
      </c>
      <c r="CD150">
        <v>0.12740000000000001</v>
      </c>
      <c r="CE150">
        <v>0.17599999999999999</v>
      </c>
      <c r="CF150">
        <v>0.2281</v>
      </c>
      <c r="CG150">
        <v>0.40760000000000002</v>
      </c>
      <c r="CH150">
        <v>24.647998999999999</v>
      </c>
      <c r="CI150">
        <v>27.541799999999999</v>
      </c>
      <c r="CJ150">
        <v>28.273599999999998</v>
      </c>
      <c r="CK150">
        <v>28.610001</v>
      </c>
      <c r="CL150">
        <v>28.906599</v>
      </c>
      <c r="CM150">
        <v>29.549600999999999</v>
      </c>
      <c r="CN150">
        <v>30.035150999999999</v>
      </c>
      <c r="CO150">
        <v>30.785999</v>
      </c>
      <c r="CP150">
        <v>0.50511700000000004</v>
      </c>
      <c r="CQ150">
        <v>20.680610999999999</v>
      </c>
      <c r="CR150">
        <v>22.914269999999998</v>
      </c>
      <c r="CS150">
        <v>1</v>
      </c>
      <c r="CT150">
        <v>59</v>
      </c>
      <c r="CU150">
        <v>15.068016</v>
      </c>
      <c r="CV150">
        <v>1</v>
      </c>
      <c r="CW150">
        <v>10.151612999999999</v>
      </c>
      <c r="CX150">
        <v>103.05525400000001</v>
      </c>
      <c r="CY150">
        <v>0.67371899999999996</v>
      </c>
      <c r="CZ150">
        <v>16</v>
      </c>
      <c r="DA150">
        <v>0.64509099999999997</v>
      </c>
      <c r="DB150">
        <v>3.406536</v>
      </c>
      <c r="DC150">
        <v>8.3283850000000008</v>
      </c>
      <c r="DD150">
        <v>15.068016</v>
      </c>
      <c r="DE150">
        <v>5.6693129999999998</v>
      </c>
      <c r="DF150">
        <v>0.54877600000000004</v>
      </c>
      <c r="DG150">
        <v>0.38479400000000002</v>
      </c>
      <c r="DH150">
        <v>0.37624800000000003</v>
      </c>
      <c r="DI150">
        <v>9.6797999999999995E-2</v>
      </c>
      <c r="DJ150">
        <v>6.7873000000000003E-2</v>
      </c>
      <c r="DK150">
        <v>1</v>
      </c>
      <c r="DL150">
        <v>1</v>
      </c>
      <c r="DM150">
        <v>2</v>
      </c>
      <c r="DN150">
        <v>5</v>
      </c>
      <c r="DO150">
        <v>6</v>
      </c>
      <c r="DP150">
        <v>8</v>
      </c>
      <c r="DQ150">
        <v>11</v>
      </c>
      <c r="DR150">
        <v>15</v>
      </c>
      <c r="DS150">
        <v>18</v>
      </c>
      <c r="DT150">
        <v>21</v>
      </c>
      <c r="DU150">
        <v>22</v>
      </c>
      <c r="DV150">
        <v>23</v>
      </c>
      <c r="DW150">
        <v>27</v>
      </c>
      <c r="DX150">
        <v>32</v>
      </c>
      <c r="DY150">
        <v>44.429932000000001</v>
      </c>
      <c r="DZ150">
        <v>96.187989999999999</v>
      </c>
      <c r="EA150">
        <v>58.038224</v>
      </c>
      <c r="EB150">
        <v>107.832898</v>
      </c>
      <c r="EC150">
        <v>1842</v>
      </c>
      <c r="ED150">
        <v>2065</v>
      </c>
      <c r="EE150">
        <v>94.516970999999998</v>
      </c>
      <c r="EF150">
        <v>99.843342000000007</v>
      </c>
      <c r="EG150">
        <v>53.513210000000001</v>
      </c>
      <c r="EH150">
        <v>81.703203999999999</v>
      </c>
      <c r="EI150">
        <v>99.425586999999993</v>
      </c>
      <c r="EJ150">
        <v>151.80156700000001</v>
      </c>
      <c r="EK150">
        <v>1810</v>
      </c>
      <c r="EL150">
        <v>1912</v>
      </c>
      <c r="EM150">
        <v>1904</v>
      </c>
      <c r="EN150">
        <v>2907</v>
      </c>
      <c r="EO150">
        <v>1915</v>
      </c>
      <c r="EP150">
        <v>3558</v>
      </c>
      <c r="EQ150">
        <v>49.47119</v>
      </c>
    </row>
    <row r="151" spans="1:147" x14ac:dyDescent="0.25">
      <c r="A151">
        <v>2022</v>
      </c>
      <c r="B151" t="str">
        <f t="shared" si="4"/>
        <v>GN</v>
      </c>
      <c r="C151" t="s">
        <v>929</v>
      </c>
      <c r="D151" t="s">
        <v>929</v>
      </c>
      <c r="E151">
        <v>24843</v>
      </c>
      <c r="F151" t="s">
        <v>923</v>
      </c>
      <c r="G151" t="s">
        <v>924</v>
      </c>
      <c r="H151" t="s">
        <v>930</v>
      </c>
      <c r="I151">
        <v>35.549999999999997</v>
      </c>
      <c r="J151">
        <v>35.549999999999997</v>
      </c>
      <c r="K151" t="s">
        <v>279</v>
      </c>
      <c r="L151">
        <v>1</v>
      </c>
      <c r="M151">
        <v>2016</v>
      </c>
      <c r="N151">
        <v>4</v>
      </c>
      <c r="O151" t="str">
        <f t="shared" si="5"/>
        <v>Alto fuste</v>
      </c>
      <c r="P151" s="2">
        <v>42648</v>
      </c>
      <c r="Q151" t="s">
        <v>174</v>
      </c>
      <c r="R151" t="s">
        <v>164</v>
      </c>
      <c r="S151" t="s">
        <v>154</v>
      </c>
      <c r="T151" t="s">
        <v>279</v>
      </c>
      <c r="U151" t="s">
        <v>156</v>
      </c>
      <c r="V151" s="2">
        <v>44652</v>
      </c>
      <c r="W151" t="s">
        <v>926</v>
      </c>
      <c r="X151">
        <v>267</v>
      </c>
      <c r="Y151">
        <v>20.100000000000001</v>
      </c>
      <c r="Z151">
        <v>13</v>
      </c>
      <c r="AA151">
        <v>15</v>
      </c>
      <c r="AB151">
        <v>1</v>
      </c>
      <c r="AC151">
        <v>301.5</v>
      </c>
      <c r="AD151">
        <v>293.727831546728</v>
      </c>
      <c r="AE151" s="2">
        <v>44652</v>
      </c>
      <c r="AF151">
        <v>66</v>
      </c>
      <c r="AG151">
        <v>5.4866529774127297</v>
      </c>
      <c r="AH151">
        <v>26.598401682429099</v>
      </c>
      <c r="AI151">
        <v>14.894117647058801</v>
      </c>
      <c r="AJ151">
        <v>20.431465985210401</v>
      </c>
      <c r="AK151">
        <v>34</v>
      </c>
      <c r="AL151">
        <v>1157.5341642281901</v>
      </c>
      <c r="AM151">
        <v>243.74063805509201</v>
      </c>
      <c r="AN151">
        <v>0.21056885022275901</v>
      </c>
      <c r="AO151" t="s">
        <v>164</v>
      </c>
      <c r="AP151" t="s">
        <v>158</v>
      </c>
      <c r="AQ151" t="s">
        <v>281</v>
      </c>
      <c r="AR151">
        <v>9</v>
      </c>
      <c r="AS151">
        <v>1.04178074780537</v>
      </c>
      <c r="AT151" t="s">
        <v>931</v>
      </c>
      <c r="AU151" t="s">
        <v>932</v>
      </c>
      <c r="AV151">
        <v>2654</v>
      </c>
      <c r="AW151">
        <v>1419</v>
      </c>
      <c r="AX151">
        <v>1189</v>
      </c>
      <c r="AY151">
        <v>46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-0.78500000000000003</v>
      </c>
      <c r="BH151">
        <v>27.673999999999999</v>
      </c>
      <c r="BI151">
        <v>12.427137999999999</v>
      </c>
      <c r="BJ151">
        <v>-0.33327000000000001</v>
      </c>
      <c r="BK151">
        <v>12.285546</v>
      </c>
      <c r="BL151">
        <v>150.934651</v>
      </c>
      <c r="BM151">
        <v>0.98860599999999998</v>
      </c>
      <c r="BN151">
        <v>24.793500000000002</v>
      </c>
      <c r="BO151">
        <v>1.5344999999999999E-2</v>
      </c>
      <c r="BP151">
        <v>1.038889</v>
      </c>
      <c r="BQ151">
        <v>12.195558</v>
      </c>
      <c r="BR151">
        <v>9.8680000000000003</v>
      </c>
      <c r="BS151">
        <v>9.8087700000000009</v>
      </c>
      <c r="BT151">
        <v>12.427137999999999</v>
      </c>
      <c r="BU151">
        <v>6.3875979999999997</v>
      </c>
      <c r="BV151">
        <v>0.23036699999999999</v>
      </c>
      <c r="BW151">
        <v>-1.391543</v>
      </c>
      <c r="BX151">
        <v>0.51400400000000002</v>
      </c>
      <c r="BY151">
        <v>3.6065E-2</v>
      </c>
      <c r="BZ151">
        <v>-0.21785099999999999</v>
      </c>
      <c r="CA151">
        <v>-0.34488000000000002</v>
      </c>
      <c r="CB151">
        <v>-0.14935000000000001</v>
      </c>
      <c r="CC151">
        <v>-7.6999999999999999E-2</v>
      </c>
      <c r="CD151">
        <v>1.1599999999999999E-2</v>
      </c>
      <c r="CE151">
        <v>5.0999999999999997E-2</v>
      </c>
      <c r="CF151">
        <v>8.6999999999999994E-2</v>
      </c>
      <c r="CG151">
        <v>0.17599999999999999</v>
      </c>
      <c r="CH151">
        <v>9.4755000000000003</v>
      </c>
      <c r="CI151">
        <v>23.5166</v>
      </c>
      <c r="CJ151">
        <v>24.512498999999998</v>
      </c>
      <c r="CK151">
        <v>24.8445</v>
      </c>
      <c r="CL151">
        <v>25.182400000000001</v>
      </c>
      <c r="CM151">
        <v>25.937099</v>
      </c>
      <c r="CN151">
        <v>26.45335</v>
      </c>
      <c r="CO151">
        <v>27.162168999999999</v>
      </c>
      <c r="CP151">
        <v>0.464252</v>
      </c>
      <c r="CQ151">
        <v>17.473165999999999</v>
      </c>
      <c r="CR151">
        <v>19.637246999999999</v>
      </c>
      <c r="CS151">
        <v>1</v>
      </c>
      <c r="CT151">
        <v>59</v>
      </c>
      <c r="CU151">
        <v>18.230972000000001</v>
      </c>
      <c r="CV151">
        <v>7.4444439999999998</v>
      </c>
      <c r="CW151">
        <v>11.641384</v>
      </c>
      <c r="CX151">
        <v>135.52182999999999</v>
      </c>
      <c r="CY151">
        <v>0.63854999999999995</v>
      </c>
      <c r="CZ151">
        <v>16</v>
      </c>
      <c r="DA151">
        <v>0.71502500000000002</v>
      </c>
      <c r="DB151">
        <v>3.2703880000000001</v>
      </c>
      <c r="DC151">
        <v>9.4520739999999996</v>
      </c>
      <c r="DD151">
        <v>18.230972000000001</v>
      </c>
      <c r="DE151">
        <v>6.4935669999999996</v>
      </c>
      <c r="DF151">
        <v>0.83211800000000002</v>
      </c>
      <c r="DG151">
        <v>0.57265900000000003</v>
      </c>
      <c r="DH151">
        <v>0.35618300000000003</v>
      </c>
      <c r="DI151">
        <v>0.12814500000000001</v>
      </c>
      <c r="DJ151">
        <v>8.8189000000000003E-2</v>
      </c>
      <c r="DK151">
        <v>1</v>
      </c>
      <c r="DL151">
        <v>3</v>
      </c>
      <c r="DM151">
        <v>4</v>
      </c>
      <c r="DN151">
        <v>7</v>
      </c>
      <c r="DO151">
        <v>9</v>
      </c>
      <c r="DP151">
        <v>10</v>
      </c>
      <c r="DQ151">
        <v>14</v>
      </c>
      <c r="DR151">
        <v>17</v>
      </c>
      <c r="DS151">
        <v>21</v>
      </c>
      <c r="DT151">
        <v>24</v>
      </c>
      <c r="DU151">
        <v>25</v>
      </c>
      <c r="DV151">
        <v>27</v>
      </c>
      <c r="DW151">
        <v>33</v>
      </c>
      <c r="DX151">
        <v>40</v>
      </c>
      <c r="DY151">
        <v>51</v>
      </c>
      <c r="DZ151">
        <v>92.529950999999997</v>
      </c>
      <c r="EA151">
        <v>51.318764000000002</v>
      </c>
      <c r="EB151">
        <v>95.983086999999998</v>
      </c>
      <c r="EC151">
        <v>1313</v>
      </c>
      <c r="ED151">
        <v>1362</v>
      </c>
      <c r="EE151">
        <v>91.754756999999998</v>
      </c>
      <c r="EF151">
        <v>100</v>
      </c>
      <c r="EG151">
        <v>49.811605</v>
      </c>
      <c r="EH151">
        <v>98.907309999999995</v>
      </c>
      <c r="EI151">
        <v>93.164199999999994</v>
      </c>
      <c r="EJ151">
        <v>184.989429</v>
      </c>
      <c r="EK151">
        <v>1302</v>
      </c>
      <c r="EL151">
        <v>1419</v>
      </c>
      <c r="EM151">
        <v>1322</v>
      </c>
      <c r="EN151">
        <v>2625</v>
      </c>
      <c r="EO151">
        <v>1419</v>
      </c>
      <c r="EP151">
        <v>2654</v>
      </c>
      <c r="EQ151">
        <v>44.789791999999998</v>
      </c>
    </row>
    <row r="152" spans="1:147" x14ac:dyDescent="0.25">
      <c r="A152">
        <v>2022</v>
      </c>
      <c r="B152" t="str">
        <f t="shared" si="4"/>
        <v>GN</v>
      </c>
      <c r="C152" t="s">
        <v>933</v>
      </c>
      <c r="D152" t="s">
        <v>933</v>
      </c>
      <c r="E152">
        <v>24844</v>
      </c>
      <c r="F152" t="s">
        <v>923</v>
      </c>
      <c r="G152" t="s">
        <v>924</v>
      </c>
      <c r="H152" t="s">
        <v>930</v>
      </c>
      <c r="I152">
        <v>35.549999999999997</v>
      </c>
      <c r="J152">
        <v>35.549999999999997</v>
      </c>
      <c r="K152" t="s">
        <v>279</v>
      </c>
      <c r="L152">
        <v>1</v>
      </c>
      <c r="M152">
        <v>2016</v>
      </c>
      <c r="N152">
        <v>4</v>
      </c>
      <c r="O152" t="str">
        <f t="shared" si="5"/>
        <v>Alto fuste</v>
      </c>
      <c r="P152" s="2">
        <v>42648</v>
      </c>
      <c r="Q152" t="s">
        <v>174</v>
      </c>
      <c r="R152" t="s">
        <v>164</v>
      </c>
      <c r="S152" t="s">
        <v>154</v>
      </c>
      <c r="T152" t="s">
        <v>279</v>
      </c>
      <c r="U152" t="s">
        <v>156</v>
      </c>
      <c r="V152" s="2">
        <v>44652</v>
      </c>
      <c r="W152" t="s">
        <v>926</v>
      </c>
      <c r="X152">
        <v>267</v>
      </c>
      <c r="Y152">
        <v>21</v>
      </c>
      <c r="Z152">
        <v>11</v>
      </c>
      <c r="AA152">
        <v>14.9</v>
      </c>
      <c r="AB152">
        <v>0</v>
      </c>
      <c r="AC152">
        <v>312.89999999999998</v>
      </c>
      <c r="AD152">
        <v>307.15114570077401</v>
      </c>
      <c r="AE152" s="2">
        <v>44652</v>
      </c>
      <c r="AF152">
        <v>66</v>
      </c>
      <c r="AG152">
        <v>5.4866529774127297</v>
      </c>
      <c r="AH152">
        <v>28.235784634321401</v>
      </c>
      <c r="AI152">
        <v>15.7032258064516</v>
      </c>
      <c r="AJ152">
        <v>19.715350936962899</v>
      </c>
      <c r="AK152">
        <v>31</v>
      </c>
      <c r="AL152">
        <v>1009.27508928129</v>
      </c>
      <c r="AM152">
        <v>248.25489493415699</v>
      </c>
      <c r="AN152">
        <v>0.24597346904790801</v>
      </c>
      <c r="AO152" t="s">
        <v>164</v>
      </c>
      <c r="AP152" t="s">
        <v>158</v>
      </c>
      <c r="AQ152" t="s">
        <v>281</v>
      </c>
      <c r="AR152">
        <v>9</v>
      </c>
      <c r="AS152">
        <v>0.90834758035316332</v>
      </c>
      <c r="AT152" t="s">
        <v>934</v>
      </c>
      <c r="AU152" t="s">
        <v>935</v>
      </c>
      <c r="AV152">
        <v>3849</v>
      </c>
      <c r="AW152">
        <v>2123</v>
      </c>
      <c r="AX152">
        <v>1558</v>
      </c>
      <c r="AY152">
        <v>165</v>
      </c>
      <c r="AZ152">
        <v>3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-1.1779999999999999</v>
      </c>
      <c r="BH152">
        <v>31.233000000000001</v>
      </c>
      <c r="BI152">
        <v>13.538061000000001</v>
      </c>
      <c r="BJ152">
        <v>-0.14907899999999999</v>
      </c>
      <c r="BK152">
        <v>12.565193000000001</v>
      </c>
      <c r="BL152">
        <v>157.884064</v>
      </c>
      <c r="BM152">
        <v>0.92813800000000002</v>
      </c>
      <c r="BN152">
        <v>25.809000000000001</v>
      </c>
      <c r="BO152">
        <v>-7.9749E-2</v>
      </c>
      <c r="BP152">
        <v>1.087936</v>
      </c>
      <c r="BQ152">
        <v>12.32039</v>
      </c>
      <c r="BR152">
        <v>8.8550000000000004</v>
      </c>
      <c r="BS152">
        <v>19.274080000000001</v>
      </c>
      <c r="BT152">
        <v>13.538061000000001</v>
      </c>
      <c r="BU152">
        <v>6.6455900000000003</v>
      </c>
      <c r="BV152">
        <v>-4.2674999999999998E-2</v>
      </c>
      <c r="BW152">
        <v>-1.3755390000000001</v>
      </c>
      <c r="BX152">
        <v>0.49088199999999999</v>
      </c>
      <c r="BY152">
        <v>-6.4219999999999998E-3</v>
      </c>
      <c r="BZ152">
        <v>-0.206985</v>
      </c>
      <c r="CA152">
        <v>-0.46800000000000003</v>
      </c>
      <c r="CB152">
        <v>-0.21360000000000001</v>
      </c>
      <c r="CC152">
        <v>-0.12</v>
      </c>
      <c r="CD152">
        <v>-2E-3</v>
      </c>
      <c r="CE152">
        <v>4.4999999999999998E-2</v>
      </c>
      <c r="CF152">
        <v>9.6000000000000002E-2</v>
      </c>
      <c r="CG152">
        <v>0.23300000000000001</v>
      </c>
      <c r="CH152">
        <v>19.125</v>
      </c>
      <c r="CI152">
        <v>24.457201000000001</v>
      </c>
      <c r="CJ152">
        <v>25.517600999999999</v>
      </c>
      <c r="CK152">
        <v>25.853999999999999</v>
      </c>
      <c r="CL152">
        <v>26.152199</v>
      </c>
      <c r="CM152">
        <v>26.998199</v>
      </c>
      <c r="CN152">
        <v>27.559000000000001</v>
      </c>
      <c r="CO152">
        <v>29.071719999999999</v>
      </c>
      <c r="CP152">
        <v>0.45404499999999998</v>
      </c>
      <c r="CQ152">
        <v>18.469491999999999</v>
      </c>
      <c r="CR152">
        <v>20.593648000000002</v>
      </c>
      <c r="CS152">
        <v>1</v>
      </c>
      <c r="CT152">
        <v>58</v>
      </c>
      <c r="CU152">
        <v>14.467914</v>
      </c>
      <c r="CV152">
        <v>1</v>
      </c>
      <c r="CW152">
        <v>9.8441369999999999</v>
      </c>
      <c r="CX152">
        <v>96.907038999999997</v>
      </c>
      <c r="CY152">
        <v>0.68041200000000002</v>
      </c>
      <c r="CZ152">
        <v>15</v>
      </c>
      <c r="DA152">
        <v>0.63039000000000001</v>
      </c>
      <c r="DB152">
        <v>3.0041359999999999</v>
      </c>
      <c r="DC152">
        <v>8.1131729999999997</v>
      </c>
      <c r="DD152">
        <v>14.467914</v>
      </c>
      <c r="DE152">
        <v>5.5295969999999999</v>
      </c>
      <c r="DF152">
        <v>0.67462</v>
      </c>
      <c r="DG152">
        <v>0.35882700000000001</v>
      </c>
      <c r="DH152">
        <v>0.38219700000000001</v>
      </c>
      <c r="DI152">
        <v>0.122002</v>
      </c>
      <c r="DJ152">
        <v>6.4892000000000005E-2</v>
      </c>
      <c r="DK152">
        <v>1</v>
      </c>
      <c r="DL152">
        <v>1</v>
      </c>
      <c r="DM152">
        <v>2</v>
      </c>
      <c r="DN152">
        <v>5</v>
      </c>
      <c r="DO152">
        <v>6</v>
      </c>
      <c r="DP152">
        <v>7</v>
      </c>
      <c r="DQ152">
        <v>10</v>
      </c>
      <c r="DR152">
        <v>14</v>
      </c>
      <c r="DS152">
        <v>17</v>
      </c>
      <c r="DT152">
        <v>20</v>
      </c>
      <c r="DU152">
        <v>21</v>
      </c>
      <c r="DV152">
        <v>23</v>
      </c>
      <c r="DW152">
        <v>27</v>
      </c>
      <c r="DX152">
        <v>32</v>
      </c>
      <c r="DY152">
        <v>42</v>
      </c>
      <c r="DZ152">
        <v>91.097504000000001</v>
      </c>
      <c r="EA152">
        <v>55.520915000000002</v>
      </c>
      <c r="EB152">
        <v>100.65944399999999</v>
      </c>
      <c r="EC152">
        <v>1934</v>
      </c>
      <c r="ED152">
        <v>2137</v>
      </c>
      <c r="EE152">
        <v>88.977862000000002</v>
      </c>
      <c r="EF152">
        <v>100</v>
      </c>
      <c r="EG152">
        <v>52.351260000000003</v>
      </c>
      <c r="EH152">
        <v>91.997922000000003</v>
      </c>
      <c r="EI152">
        <v>94.912858999999997</v>
      </c>
      <c r="EJ152">
        <v>166.79227499999999</v>
      </c>
      <c r="EK152">
        <v>1889</v>
      </c>
      <c r="EL152">
        <v>2123</v>
      </c>
      <c r="EM152">
        <v>2015</v>
      </c>
      <c r="EN152">
        <v>3541</v>
      </c>
      <c r="EO152">
        <v>2123</v>
      </c>
      <c r="EP152">
        <v>3849</v>
      </c>
      <c r="EQ152">
        <v>45.666581999999998</v>
      </c>
    </row>
    <row r="153" spans="1:147" x14ac:dyDescent="0.25">
      <c r="A153">
        <v>2022</v>
      </c>
      <c r="B153" t="str">
        <f t="shared" si="4"/>
        <v>GN</v>
      </c>
      <c r="C153" t="s">
        <v>936</v>
      </c>
      <c r="D153" t="s">
        <v>936</v>
      </c>
      <c r="E153">
        <v>24847</v>
      </c>
      <c r="F153" t="s">
        <v>937</v>
      </c>
      <c r="G153" t="s">
        <v>924</v>
      </c>
      <c r="H153" t="s">
        <v>938</v>
      </c>
      <c r="I153">
        <v>45.88</v>
      </c>
      <c r="J153">
        <v>45.88</v>
      </c>
      <c r="K153" t="s">
        <v>279</v>
      </c>
      <c r="L153">
        <v>1</v>
      </c>
      <c r="M153">
        <v>2016</v>
      </c>
      <c r="N153">
        <v>3</v>
      </c>
      <c r="O153" t="str">
        <f t="shared" si="5"/>
        <v>Talhadia</v>
      </c>
      <c r="P153" s="2">
        <v>42471</v>
      </c>
      <c r="Q153" t="s">
        <v>174</v>
      </c>
      <c r="R153" t="s">
        <v>153</v>
      </c>
      <c r="S153" t="s">
        <v>154</v>
      </c>
      <c r="T153" t="s">
        <v>279</v>
      </c>
      <c r="U153" t="s">
        <v>156</v>
      </c>
      <c r="V153" s="2">
        <v>44652</v>
      </c>
      <c r="W153" t="s">
        <v>926</v>
      </c>
      <c r="X153">
        <v>252.19</v>
      </c>
      <c r="Y153">
        <v>19.8</v>
      </c>
      <c r="Z153">
        <v>8</v>
      </c>
      <c r="AA153">
        <v>15.3</v>
      </c>
      <c r="AB153">
        <v>1</v>
      </c>
      <c r="AC153">
        <v>302.94</v>
      </c>
      <c r="AD153">
        <v>299.94611853905701</v>
      </c>
      <c r="AE153" s="2">
        <v>44652</v>
      </c>
      <c r="AF153">
        <v>72</v>
      </c>
      <c r="AG153">
        <v>5.9712525667351102</v>
      </c>
      <c r="AH153">
        <v>24.092002079514199</v>
      </c>
      <c r="AI153">
        <v>16.862962962963</v>
      </c>
      <c r="AJ153">
        <v>20.664421699738899</v>
      </c>
      <c r="AK153">
        <v>27</v>
      </c>
      <c r="AL153">
        <v>900.16167342016399</v>
      </c>
      <c r="AM153">
        <v>241.631889656928</v>
      </c>
      <c r="AN153">
        <v>0.26843165710316003</v>
      </c>
      <c r="AO153" t="s">
        <v>153</v>
      </c>
      <c r="AP153" t="s">
        <v>264</v>
      </c>
      <c r="AQ153" t="s">
        <v>281</v>
      </c>
      <c r="AR153">
        <v>9</v>
      </c>
      <c r="AS153">
        <v>0.81014550607814639</v>
      </c>
      <c r="AT153" t="s">
        <v>939</v>
      </c>
      <c r="AU153" t="s">
        <v>940</v>
      </c>
      <c r="AV153">
        <v>3498</v>
      </c>
      <c r="AW153">
        <v>1862</v>
      </c>
      <c r="AX153">
        <v>1478</v>
      </c>
      <c r="AY153">
        <v>153</v>
      </c>
      <c r="AZ153">
        <v>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-1.5309999999999999</v>
      </c>
      <c r="BH153">
        <v>26.405999999999999</v>
      </c>
      <c r="BI153">
        <v>12.021558000000001</v>
      </c>
      <c r="BJ153">
        <v>-0.20066700000000001</v>
      </c>
      <c r="BK153">
        <v>10.391835</v>
      </c>
      <c r="BL153">
        <v>107.990244</v>
      </c>
      <c r="BM153">
        <v>0.86443300000000001</v>
      </c>
      <c r="BN153">
        <v>21.519748</v>
      </c>
      <c r="BO153">
        <v>-0.191333</v>
      </c>
      <c r="BP153">
        <v>1.1916629999999999</v>
      </c>
      <c r="BQ153">
        <v>9.9646519999999992</v>
      </c>
      <c r="BR153">
        <v>5.9305000000000003</v>
      </c>
      <c r="BS153">
        <v>18.428667000000001</v>
      </c>
      <c r="BT153">
        <v>12.021558000000001</v>
      </c>
      <c r="BU153">
        <v>5.6140210000000002</v>
      </c>
      <c r="BV153">
        <v>-0.23231299999999999</v>
      </c>
      <c r="BW153">
        <v>-0.95113700000000001</v>
      </c>
      <c r="BX153">
        <v>0.46699600000000002</v>
      </c>
      <c r="BY153">
        <v>-4.1381000000000001E-2</v>
      </c>
      <c r="BZ153">
        <v>-0.16942199999999999</v>
      </c>
      <c r="CA153">
        <v>-0.57708999999999999</v>
      </c>
      <c r="CB153">
        <v>-0.317</v>
      </c>
      <c r="CC153">
        <v>-0.21299999999999999</v>
      </c>
      <c r="CD153">
        <v>-7.5999999999999998E-2</v>
      </c>
      <c r="CE153">
        <v>-1.6750000000000001E-2</v>
      </c>
      <c r="CF153">
        <v>4.8099999999999997E-2</v>
      </c>
      <c r="CG153">
        <v>3.463203</v>
      </c>
      <c r="CH153">
        <v>18.228000999999999</v>
      </c>
      <c r="CI153">
        <v>19.882999000000002</v>
      </c>
      <c r="CJ153">
        <v>20.794001000000002</v>
      </c>
      <c r="CK153">
        <v>21.502998000000002</v>
      </c>
      <c r="CL153">
        <v>22.121200999999999</v>
      </c>
      <c r="CM153">
        <v>23.376301000000002</v>
      </c>
      <c r="CN153">
        <v>24.2743</v>
      </c>
      <c r="CO153">
        <v>25.449209</v>
      </c>
      <c r="CP153">
        <v>0.48511100000000001</v>
      </c>
      <c r="CQ153">
        <v>15.889532000000001</v>
      </c>
      <c r="CR153">
        <v>17.561620999999999</v>
      </c>
      <c r="CS153">
        <v>1</v>
      </c>
      <c r="CT153">
        <v>46</v>
      </c>
      <c r="CU153">
        <v>11.323899000000001</v>
      </c>
      <c r="CV153">
        <v>1</v>
      </c>
      <c r="CW153">
        <v>7.4595859999999998</v>
      </c>
      <c r="CX153">
        <v>55.645417000000002</v>
      </c>
      <c r="CY153">
        <v>0.65874699999999997</v>
      </c>
      <c r="CZ153">
        <v>12</v>
      </c>
      <c r="DA153">
        <v>0.52007700000000001</v>
      </c>
      <c r="DB153">
        <v>2.9075359999999999</v>
      </c>
      <c r="DC153">
        <v>6.2438190000000002</v>
      </c>
      <c r="DD153">
        <v>11.323899000000001</v>
      </c>
      <c r="DE153">
        <v>4.2143309999999996</v>
      </c>
      <c r="DF153">
        <v>0.40352500000000002</v>
      </c>
      <c r="DG153">
        <v>0.18782599999999999</v>
      </c>
      <c r="DH153">
        <v>0.37216300000000002</v>
      </c>
      <c r="DI153">
        <v>9.5751000000000003E-2</v>
      </c>
      <c r="DJ153">
        <v>4.4568000000000003E-2</v>
      </c>
      <c r="DK153">
        <v>1</v>
      </c>
      <c r="DL153">
        <v>1</v>
      </c>
      <c r="DM153">
        <v>2</v>
      </c>
      <c r="DN153">
        <v>4</v>
      </c>
      <c r="DO153">
        <v>5</v>
      </c>
      <c r="DP153">
        <v>6</v>
      </c>
      <c r="DQ153">
        <v>8</v>
      </c>
      <c r="DR153">
        <v>11</v>
      </c>
      <c r="DS153">
        <v>13</v>
      </c>
      <c r="DT153">
        <v>15</v>
      </c>
      <c r="DU153">
        <v>17</v>
      </c>
      <c r="DV153">
        <v>18</v>
      </c>
      <c r="DW153">
        <v>21</v>
      </c>
      <c r="DX153">
        <v>24</v>
      </c>
      <c r="DY153">
        <v>30.030028999999999</v>
      </c>
      <c r="DZ153">
        <v>98.549946000000006</v>
      </c>
      <c r="EA153">
        <v>60.062893000000003</v>
      </c>
      <c r="EB153">
        <v>112.835661</v>
      </c>
      <c r="EC153">
        <v>1835</v>
      </c>
      <c r="ED153">
        <v>2101</v>
      </c>
      <c r="EE153">
        <v>97.099892999999994</v>
      </c>
      <c r="EF153">
        <v>99.946293999999995</v>
      </c>
      <c r="EG153">
        <v>55.688965000000003</v>
      </c>
      <c r="EH153">
        <v>89.422527000000002</v>
      </c>
      <c r="EI153">
        <v>104.61869</v>
      </c>
      <c r="EJ153">
        <v>167.99140700000001</v>
      </c>
      <c r="EK153">
        <v>1808</v>
      </c>
      <c r="EL153">
        <v>1861</v>
      </c>
      <c r="EM153">
        <v>1948</v>
      </c>
      <c r="EN153">
        <v>3128</v>
      </c>
      <c r="EO153">
        <v>1862</v>
      </c>
      <c r="EP153">
        <v>3498</v>
      </c>
      <c r="EQ153">
        <v>46.472096999999998</v>
      </c>
    </row>
    <row r="154" spans="1:147" x14ac:dyDescent="0.25">
      <c r="A154">
        <v>2022</v>
      </c>
      <c r="B154" t="str">
        <f t="shared" si="4"/>
        <v>GN</v>
      </c>
      <c r="C154" t="s">
        <v>941</v>
      </c>
      <c r="D154" t="s">
        <v>941</v>
      </c>
      <c r="E154">
        <v>24848</v>
      </c>
      <c r="F154" t="s">
        <v>937</v>
      </c>
      <c r="G154" t="s">
        <v>924</v>
      </c>
      <c r="H154" t="s">
        <v>938</v>
      </c>
      <c r="I154">
        <v>45.88</v>
      </c>
      <c r="J154">
        <v>45.88</v>
      </c>
      <c r="K154" t="s">
        <v>279</v>
      </c>
      <c r="L154">
        <v>1</v>
      </c>
      <c r="M154">
        <v>2016</v>
      </c>
      <c r="N154">
        <v>3</v>
      </c>
      <c r="O154" t="str">
        <f t="shared" si="5"/>
        <v>Talhadia</v>
      </c>
      <c r="P154" s="2">
        <v>42471</v>
      </c>
      <c r="Q154" t="s">
        <v>174</v>
      </c>
      <c r="R154" t="s">
        <v>153</v>
      </c>
      <c r="S154" t="s">
        <v>154</v>
      </c>
      <c r="T154" t="s">
        <v>279</v>
      </c>
      <c r="U154" t="s">
        <v>156</v>
      </c>
      <c r="V154" s="2">
        <v>44652</v>
      </c>
      <c r="W154" t="s">
        <v>926</v>
      </c>
      <c r="X154">
        <v>252.19</v>
      </c>
      <c r="Y154">
        <v>19.100000000000001</v>
      </c>
      <c r="Z154">
        <v>5</v>
      </c>
      <c r="AA154">
        <v>15.3</v>
      </c>
      <c r="AB154">
        <v>2</v>
      </c>
      <c r="AC154">
        <v>292.23</v>
      </c>
      <c r="AD154">
        <v>290.94063541773602</v>
      </c>
      <c r="AE154" s="2">
        <v>44652</v>
      </c>
      <c r="AF154">
        <v>72</v>
      </c>
      <c r="AG154">
        <v>5.9712525667351102</v>
      </c>
      <c r="AH154">
        <v>24.987624457225301</v>
      </c>
      <c r="AI154">
        <v>18.079310344827601</v>
      </c>
      <c r="AJ154">
        <v>26.126080302638499</v>
      </c>
      <c r="AK154">
        <v>29</v>
      </c>
      <c r="AL154">
        <v>996.76691632852999</v>
      </c>
      <c r="AM154">
        <v>314.24940876888502</v>
      </c>
      <c r="AN154">
        <v>0.31526869885126602</v>
      </c>
      <c r="AO154" t="s">
        <v>153</v>
      </c>
      <c r="AP154" t="s">
        <v>264</v>
      </c>
      <c r="AQ154" t="s">
        <v>281</v>
      </c>
      <c r="AR154">
        <v>9</v>
      </c>
      <c r="AS154">
        <v>0.89709022469567745</v>
      </c>
      <c r="AT154" t="s">
        <v>942</v>
      </c>
      <c r="AU154" t="s">
        <v>943</v>
      </c>
      <c r="AV154">
        <v>2558</v>
      </c>
      <c r="AW154">
        <v>1189</v>
      </c>
      <c r="AX154">
        <v>1166</v>
      </c>
      <c r="AY154">
        <v>181</v>
      </c>
      <c r="AZ154">
        <v>22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-0.83899999999999997</v>
      </c>
      <c r="BH154">
        <v>26.882000000000001</v>
      </c>
      <c r="BI154">
        <v>10.637655000000001</v>
      </c>
      <c r="BJ154">
        <v>-0.39898400000000001</v>
      </c>
      <c r="BK154">
        <v>10.699346</v>
      </c>
      <c r="BL154">
        <v>114.475999</v>
      </c>
      <c r="BM154">
        <v>1.0057990000000001</v>
      </c>
      <c r="BN154">
        <v>21.107250000000001</v>
      </c>
      <c r="BO154">
        <v>6.898E-2</v>
      </c>
      <c r="BP154">
        <v>1.0992109999999999</v>
      </c>
      <c r="BQ154">
        <v>10.521889</v>
      </c>
      <c r="BR154">
        <v>10.984999999999999</v>
      </c>
      <c r="BS154">
        <v>11.504984</v>
      </c>
      <c r="BT154">
        <v>10.637655000000001</v>
      </c>
      <c r="BU154">
        <v>5.6520109999999999</v>
      </c>
      <c r="BV154">
        <v>0.421074</v>
      </c>
      <c r="BW154">
        <v>-1.0582050000000001</v>
      </c>
      <c r="BX154">
        <v>0.53132100000000004</v>
      </c>
      <c r="BY154">
        <v>7.4499999999999997E-2</v>
      </c>
      <c r="BZ154">
        <v>-0.187226</v>
      </c>
      <c r="CA154">
        <v>-0.44857999999999998</v>
      </c>
      <c r="CB154">
        <v>-0.24115</v>
      </c>
      <c r="CC154">
        <v>-0.14899999999999999</v>
      </c>
      <c r="CD154">
        <v>-2.4E-2</v>
      </c>
      <c r="CE154">
        <v>2.5250000000000002E-2</v>
      </c>
      <c r="CF154">
        <v>7.3999999999999996E-2</v>
      </c>
      <c r="CG154">
        <v>0.18479999999999999</v>
      </c>
      <c r="CH154">
        <v>11.106</v>
      </c>
      <c r="CI154">
        <v>19.918998999999999</v>
      </c>
      <c r="CJ154">
        <v>20.861799000000001</v>
      </c>
      <c r="CK154">
        <v>21.1325</v>
      </c>
      <c r="CL154">
        <v>21.542400000000001</v>
      </c>
      <c r="CM154">
        <v>22.946501000000001</v>
      </c>
      <c r="CN154">
        <v>24.363444999999999</v>
      </c>
      <c r="CO154">
        <v>25.981877999999998</v>
      </c>
      <c r="CP154">
        <v>0.41400599999999999</v>
      </c>
      <c r="CQ154">
        <v>15.086118000000001</v>
      </c>
      <c r="CR154">
        <v>17.031136</v>
      </c>
      <c r="CS154">
        <v>1</v>
      </c>
      <c r="CT154">
        <v>42</v>
      </c>
      <c r="CU154">
        <v>11.70993</v>
      </c>
      <c r="CV154">
        <v>3.6031749999999998</v>
      </c>
      <c r="CW154">
        <v>7.7083310000000003</v>
      </c>
      <c r="CX154">
        <v>59.418368000000001</v>
      </c>
      <c r="CY154">
        <v>0.658273</v>
      </c>
      <c r="CZ154">
        <v>13</v>
      </c>
      <c r="DA154">
        <v>0.41580899999999998</v>
      </c>
      <c r="DB154">
        <v>2.396496</v>
      </c>
      <c r="DC154">
        <v>6.6646890000000001</v>
      </c>
      <c r="DD154">
        <v>11.70993</v>
      </c>
      <c r="DE154">
        <v>4.3796520000000001</v>
      </c>
      <c r="DF154">
        <v>0.41086699999999998</v>
      </c>
      <c r="DG154">
        <v>3.6269000000000003E-2</v>
      </c>
      <c r="DH154">
        <v>0.37401200000000001</v>
      </c>
      <c r="DI154">
        <v>9.3812999999999994E-2</v>
      </c>
      <c r="DJ154">
        <v>8.2810000000000002E-3</v>
      </c>
      <c r="DK154">
        <v>1</v>
      </c>
      <c r="DL154">
        <v>1</v>
      </c>
      <c r="DM154">
        <v>2</v>
      </c>
      <c r="DN154">
        <v>4</v>
      </c>
      <c r="DO154">
        <v>5</v>
      </c>
      <c r="DP154">
        <v>6</v>
      </c>
      <c r="DQ154">
        <v>8</v>
      </c>
      <c r="DR154">
        <v>11</v>
      </c>
      <c r="DS154">
        <v>14</v>
      </c>
      <c r="DT154">
        <v>17</v>
      </c>
      <c r="DU154">
        <v>18</v>
      </c>
      <c r="DV154">
        <v>19</v>
      </c>
      <c r="DW154">
        <v>22</v>
      </c>
      <c r="DX154">
        <v>24</v>
      </c>
      <c r="DY154">
        <v>29</v>
      </c>
      <c r="DZ154">
        <v>98.233810000000005</v>
      </c>
      <c r="EA154">
        <v>50.625489000000002</v>
      </c>
      <c r="EB154">
        <v>108.915055</v>
      </c>
      <c r="EC154">
        <v>1168</v>
      </c>
      <c r="ED154">
        <v>1295</v>
      </c>
      <c r="EE154">
        <v>98.149705999999995</v>
      </c>
      <c r="EF154">
        <v>100</v>
      </c>
      <c r="EG154">
        <v>50.234558</v>
      </c>
      <c r="EH154">
        <v>98.279905999999997</v>
      </c>
      <c r="EI154">
        <v>108.074012</v>
      </c>
      <c r="EJ154">
        <v>211.43818300000001</v>
      </c>
      <c r="EK154">
        <v>1167</v>
      </c>
      <c r="EL154">
        <v>1189</v>
      </c>
      <c r="EM154">
        <v>1285</v>
      </c>
      <c r="EN154">
        <v>2514</v>
      </c>
      <c r="EO154">
        <v>1189</v>
      </c>
      <c r="EP154">
        <v>2558</v>
      </c>
      <c r="EQ154">
        <v>40.084366000000003</v>
      </c>
    </row>
    <row r="155" spans="1:147" x14ac:dyDescent="0.25">
      <c r="A155">
        <v>2022</v>
      </c>
      <c r="B155" t="str">
        <f t="shared" si="4"/>
        <v>GN</v>
      </c>
      <c r="C155" t="s">
        <v>944</v>
      </c>
      <c r="D155" t="s">
        <v>944</v>
      </c>
      <c r="E155">
        <v>24849</v>
      </c>
      <c r="F155" t="s">
        <v>937</v>
      </c>
      <c r="G155" t="s">
        <v>924</v>
      </c>
      <c r="H155" t="s">
        <v>938</v>
      </c>
      <c r="I155">
        <v>45.88</v>
      </c>
      <c r="J155">
        <v>45.88</v>
      </c>
      <c r="K155" t="s">
        <v>279</v>
      </c>
      <c r="L155">
        <v>1</v>
      </c>
      <c r="M155">
        <v>2016</v>
      </c>
      <c r="N155">
        <v>3</v>
      </c>
      <c r="O155" t="str">
        <f t="shared" si="5"/>
        <v>Talhadia</v>
      </c>
      <c r="P155" s="2">
        <v>42471</v>
      </c>
      <c r="Q155" t="s">
        <v>174</v>
      </c>
      <c r="R155" t="s">
        <v>153</v>
      </c>
      <c r="S155" t="s">
        <v>154</v>
      </c>
      <c r="T155" t="s">
        <v>279</v>
      </c>
      <c r="U155" t="s">
        <v>156</v>
      </c>
      <c r="V155" s="2">
        <v>44652</v>
      </c>
      <c r="W155" t="s">
        <v>926</v>
      </c>
      <c r="X155">
        <v>252.19</v>
      </c>
      <c r="Y155">
        <v>21</v>
      </c>
      <c r="Z155">
        <v>2</v>
      </c>
      <c r="AA155">
        <v>16</v>
      </c>
      <c r="AB155">
        <v>3</v>
      </c>
      <c r="AC155">
        <v>336</v>
      </c>
      <c r="AD155">
        <v>335.33512206568702</v>
      </c>
      <c r="AE155" s="2">
        <v>44652</v>
      </c>
      <c r="AF155">
        <v>72</v>
      </c>
      <c r="AG155">
        <v>5.9712525667351102</v>
      </c>
      <c r="AH155">
        <v>20.237578719944899</v>
      </c>
      <c r="AI155">
        <v>14.2344827586207</v>
      </c>
      <c r="AJ155">
        <v>14.721359070123601</v>
      </c>
      <c r="AK155">
        <v>29</v>
      </c>
      <c r="AL155">
        <v>864.806520156852</v>
      </c>
      <c r="AM155">
        <v>151.41982037957001</v>
      </c>
      <c r="AN155">
        <v>0.17509097913843999</v>
      </c>
      <c r="AO155" t="s">
        <v>153</v>
      </c>
      <c r="AP155" t="s">
        <v>264</v>
      </c>
      <c r="AQ155" t="s">
        <v>281</v>
      </c>
      <c r="AR155">
        <v>9</v>
      </c>
      <c r="AS155">
        <v>0.77832586814116689</v>
      </c>
      <c r="AT155" t="s">
        <v>945</v>
      </c>
      <c r="AU155" t="s">
        <v>946</v>
      </c>
      <c r="AV155">
        <v>3045</v>
      </c>
      <c r="AW155">
        <v>1669</v>
      </c>
      <c r="AX155">
        <v>1315</v>
      </c>
      <c r="AY155">
        <v>59</v>
      </c>
      <c r="AZ155">
        <v>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-0.89</v>
      </c>
      <c r="BH155">
        <v>23.516000999999999</v>
      </c>
      <c r="BI155">
        <v>9.7296150000000008</v>
      </c>
      <c r="BJ155">
        <v>-0.115206</v>
      </c>
      <c r="BK155">
        <v>9.1159719999999993</v>
      </c>
      <c r="BL155">
        <v>83.100947000000005</v>
      </c>
      <c r="BM155">
        <v>0.93693000000000004</v>
      </c>
      <c r="BN155">
        <v>18.454000000000001</v>
      </c>
      <c r="BO155">
        <v>-8.2102999999999995E-2</v>
      </c>
      <c r="BP155">
        <v>1.1007039999999999</v>
      </c>
      <c r="BQ155">
        <v>8.9600080000000002</v>
      </c>
      <c r="BR155">
        <v>5.4190009999999997</v>
      </c>
      <c r="BS155">
        <v>15.435206000000001</v>
      </c>
      <c r="BT155">
        <v>9.7296150000000008</v>
      </c>
      <c r="BU155">
        <v>4.8465249999999997</v>
      </c>
      <c r="BV155">
        <v>3.3487999999999997E-2</v>
      </c>
      <c r="BW155">
        <v>-0.91772299999999996</v>
      </c>
      <c r="BX155">
        <v>0.49812099999999998</v>
      </c>
      <c r="BY155">
        <v>6.9100000000000003E-3</v>
      </c>
      <c r="BZ155">
        <v>-0.189357</v>
      </c>
      <c r="CA155">
        <v>-0.47499999999999998</v>
      </c>
      <c r="CB155">
        <v>-0.28499999999999998</v>
      </c>
      <c r="CC155">
        <v>-0.18360000000000001</v>
      </c>
      <c r="CD155">
        <v>-8.2199999999999995E-2</v>
      </c>
      <c r="CE155">
        <v>-3.1E-2</v>
      </c>
      <c r="CF155">
        <v>2.1999999999999999E-2</v>
      </c>
      <c r="CG155">
        <v>0.15659999999999999</v>
      </c>
      <c r="CH155">
        <v>15.32</v>
      </c>
      <c r="CI155">
        <v>16.805201</v>
      </c>
      <c r="CJ155">
        <v>17.846201000000001</v>
      </c>
      <c r="CK155">
        <v>18.422999999999998</v>
      </c>
      <c r="CL155">
        <v>18.938998999999999</v>
      </c>
      <c r="CM155">
        <v>19.9056</v>
      </c>
      <c r="CN155">
        <v>20.460201000000001</v>
      </c>
      <c r="CO155">
        <v>21.397562000000001</v>
      </c>
      <c r="CP155">
        <v>0.43512299999999998</v>
      </c>
      <c r="CQ155">
        <v>13.331882</v>
      </c>
      <c r="CR155">
        <v>14.863507</v>
      </c>
      <c r="CS155">
        <v>1</v>
      </c>
      <c r="CT155">
        <v>51</v>
      </c>
      <c r="CU155">
        <v>14.397373</v>
      </c>
      <c r="CV155">
        <v>2.5873020000000002</v>
      </c>
      <c r="CW155">
        <v>9.4196089999999995</v>
      </c>
      <c r="CX155">
        <v>88.729033999999999</v>
      </c>
      <c r="CY155">
        <v>0.65425900000000003</v>
      </c>
      <c r="CZ155">
        <v>15</v>
      </c>
      <c r="DA155">
        <v>0.65141199999999999</v>
      </c>
      <c r="DB155">
        <v>3.3517459999999999</v>
      </c>
      <c r="DC155">
        <v>7.7290840000000003</v>
      </c>
      <c r="DD155">
        <v>14.397373</v>
      </c>
      <c r="DE155">
        <v>5.2648590000000004</v>
      </c>
      <c r="DF155">
        <v>0.54159800000000002</v>
      </c>
      <c r="DG155">
        <v>0.35756599999999999</v>
      </c>
      <c r="DH155">
        <v>0.36568200000000001</v>
      </c>
      <c r="DI155">
        <v>0.10287</v>
      </c>
      <c r="DJ155">
        <v>6.7916000000000004E-2</v>
      </c>
      <c r="DK155">
        <v>1</v>
      </c>
      <c r="DL155">
        <v>2</v>
      </c>
      <c r="DM155">
        <v>3</v>
      </c>
      <c r="DN155">
        <v>5</v>
      </c>
      <c r="DO155">
        <v>6</v>
      </c>
      <c r="DP155">
        <v>8</v>
      </c>
      <c r="DQ155">
        <v>11</v>
      </c>
      <c r="DR155">
        <v>14</v>
      </c>
      <c r="DS155">
        <v>17</v>
      </c>
      <c r="DT155">
        <v>19</v>
      </c>
      <c r="DU155">
        <v>21</v>
      </c>
      <c r="DV155">
        <v>22</v>
      </c>
      <c r="DW155">
        <v>26</v>
      </c>
      <c r="DX155">
        <v>30</v>
      </c>
      <c r="DY155">
        <v>43</v>
      </c>
      <c r="DZ155">
        <v>96.105452</v>
      </c>
      <c r="EA155">
        <v>54.942529</v>
      </c>
      <c r="EB155">
        <v>100.239664</v>
      </c>
      <c r="EC155">
        <v>1604</v>
      </c>
      <c r="ED155">
        <v>1673</v>
      </c>
      <c r="EE155">
        <v>95.326543000000001</v>
      </c>
      <c r="EF155">
        <v>100</v>
      </c>
      <c r="EG155">
        <v>53.431856000000003</v>
      </c>
      <c r="EH155">
        <v>83.349754000000004</v>
      </c>
      <c r="EI155">
        <v>97.483523000000005</v>
      </c>
      <c r="EJ155">
        <v>152.067106</v>
      </c>
      <c r="EK155">
        <v>1591</v>
      </c>
      <c r="EL155">
        <v>1669</v>
      </c>
      <c r="EM155">
        <v>1627</v>
      </c>
      <c r="EN155">
        <v>2538</v>
      </c>
      <c r="EO155">
        <v>1669</v>
      </c>
      <c r="EP155">
        <v>3045</v>
      </c>
      <c r="EQ155">
        <v>44.622127999999996</v>
      </c>
    </row>
    <row r="156" spans="1:147" x14ac:dyDescent="0.25">
      <c r="A156">
        <v>2022</v>
      </c>
      <c r="B156" t="str">
        <f t="shared" si="4"/>
        <v>GN</v>
      </c>
      <c r="C156" t="s">
        <v>947</v>
      </c>
      <c r="D156" t="s">
        <v>947</v>
      </c>
      <c r="E156">
        <v>24882</v>
      </c>
      <c r="F156" t="s">
        <v>948</v>
      </c>
      <c r="G156" t="s">
        <v>413</v>
      </c>
      <c r="H156" t="s">
        <v>949</v>
      </c>
      <c r="I156">
        <v>16.86</v>
      </c>
      <c r="J156">
        <v>16.86</v>
      </c>
      <c r="K156" t="s">
        <v>415</v>
      </c>
      <c r="L156">
        <v>1</v>
      </c>
      <c r="M156">
        <v>2016</v>
      </c>
      <c r="N156">
        <v>2</v>
      </c>
      <c r="O156" t="str">
        <f t="shared" si="5"/>
        <v>Talhadia</v>
      </c>
      <c r="P156" s="2">
        <v>42732</v>
      </c>
      <c r="Q156" t="s">
        <v>174</v>
      </c>
      <c r="R156" t="s">
        <v>367</v>
      </c>
      <c r="S156" t="s">
        <v>154</v>
      </c>
      <c r="T156" t="s">
        <v>279</v>
      </c>
      <c r="U156" t="s">
        <v>156</v>
      </c>
      <c r="V156" s="2">
        <v>44686</v>
      </c>
      <c r="W156" t="s">
        <v>416</v>
      </c>
      <c r="X156">
        <v>37.65</v>
      </c>
      <c r="Y156">
        <v>18.899999999999999</v>
      </c>
      <c r="Z156">
        <v>20</v>
      </c>
      <c r="AA156">
        <v>15.1</v>
      </c>
      <c r="AB156">
        <v>4</v>
      </c>
      <c r="AC156">
        <v>285.39</v>
      </c>
      <c r="AD156">
        <v>267.525606780229</v>
      </c>
      <c r="AE156" s="2">
        <v>44686</v>
      </c>
      <c r="AF156">
        <v>65</v>
      </c>
      <c r="AG156">
        <v>5.3497604380561299</v>
      </c>
      <c r="AH156">
        <v>24.434534281875699</v>
      </c>
      <c r="AI156">
        <v>15.984210526315801</v>
      </c>
      <c r="AJ156">
        <v>15.300469782906401</v>
      </c>
      <c r="AK156">
        <v>19</v>
      </c>
      <c r="AL156">
        <v>710.21238784100399</v>
      </c>
      <c r="AM156">
        <v>188.30891856602801</v>
      </c>
      <c r="AN156">
        <v>0.26514451421844998</v>
      </c>
      <c r="AO156" t="s">
        <v>367</v>
      </c>
      <c r="AP156" t="s">
        <v>264</v>
      </c>
      <c r="AQ156" t="s">
        <v>315</v>
      </c>
      <c r="AR156">
        <v>9</v>
      </c>
      <c r="AS156">
        <v>0.63919114905690388</v>
      </c>
      <c r="AT156" t="s">
        <v>950</v>
      </c>
      <c r="AU156" t="s">
        <v>951</v>
      </c>
      <c r="AV156">
        <v>3566</v>
      </c>
      <c r="AW156">
        <v>2179</v>
      </c>
      <c r="AX156">
        <v>1248</v>
      </c>
      <c r="AY156">
        <v>134</v>
      </c>
      <c r="AZ156">
        <v>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-1.167</v>
      </c>
      <c r="BH156">
        <v>31.74</v>
      </c>
      <c r="BI156">
        <v>13.605736</v>
      </c>
      <c r="BJ156">
        <v>-0.122333</v>
      </c>
      <c r="BK156">
        <v>11.725625000000001</v>
      </c>
      <c r="BL156">
        <v>137.490285</v>
      </c>
      <c r="BM156">
        <v>0.861815</v>
      </c>
      <c r="BN156">
        <v>24.920501000000002</v>
      </c>
      <c r="BO156">
        <v>-7.4737999999999999E-2</v>
      </c>
      <c r="BP156">
        <v>1.1995389999999999</v>
      </c>
      <c r="BQ156">
        <v>11.226573999999999</v>
      </c>
      <c r="BR156">
        <v>10.109500000000001</v>
      </c>
      <c r="BS156">
        <v>17.712333999999998</v>
      </c>
      <c r="BT156">
        <v>13.605736</v>
      </c>
      <c r="BU156">
        <v>6.4280039999999996</v>
      </c>
      <c r="BV156">
        <v>2.0745E-2</v>
      </c>
      <c r="BW156">
        <v>-1.087731</v>
      </c>
      <c r="BX156">
        <v>0.47244799999999998</v>
      </c>
      <c r="BY156">
        <v>3.2269999999999998E-3</v>
      </c>
      <c r="BZ156">
        <v>-0.16921800000000001</v>
      </c>
      <c r="CA156">
        <v>-0.21715000000000001</v>
      </c>
      <c r="CB156">
        <v>2.3E-2</v>
      </c>
      <c r="CC156">
        <v>0.13400000000000001</v>
      </c>
      <c r="CD156">
        <v>0.315</v>
      </c>
      <c r="CE156">
        <v>0.41125</v>
      </c>
      <c r="CF156">
        <v>0.61350000000000005</v>
      </c>
      <c r="CG156">
        <v>2.5720000000000001</v>
      </c>
      <c r="CH156">
        <v>17.59</v>
      </c>
      <c r="CI156">
        <v>21.625999</v>
      </c>
      <c r="CJ156">
        <v>24.515498999999998</v>
      </c>
      <c r="CK156">
        <v>25.331751000000001</v>
      </c>
      <c r="CL156">
        <v>26.018999000000001</v>
      </c>
      <c r="CM156">
        <v>27.165500999999999</v>
      </c>
      <c r="CN156">
        <v>28.022751</v>
      </c>
      <c r="CO156">
        <v>29.439152</v>
      </c>
      <c r="CP156">
        <v>0.44892399999999999</v>
      </c>
      <c r="CQ156">
        <v>17.960172</v>
      </c>
      <c r="CR156">
        <v>20.007142000000002</v>
      </c>
      <c r="CS156">
        <v>1</v>
      </c>
      <c r="CT156">
        <v>39</v>
      </c>
      <c r="CU156">
        <v>10.617499</v>
      </c>
      <c r="CV156">
        <v>1</v>
      </c>
      <c r="CW156">
        <v>7.3155729999999997</v>
      </c>
      <c r="CX156">
        <v>53.517606999999998</v>
      </c>
      <c r="CY156">
        <v>0.68901100000000004</v>
      </c>
      <c r="CZ156">
        <v>9</v>
      </c>
      <c r="DA156">
        <v>1.044872</v>
      </c>
      <c r="DB156">
        <v>3.8919280000000001</v>
      </c>
      <c r="DC156">
        <v>5.6045299999999996</v>
      </c>
      <c r="DD156">
        <v>10.617499</v>
      </c>
      <c r="DE156">
        <v>3.9664579999999998</v>
      </c>
      <c r="DF156">
        <v>0.78436399999999995</v>
      </c>
      <c r="DG156">
        <v>0.57003099999999995</v>
      </c>
      <c r="DH156">
        <v>0.37357699999999999</v>
      </c>
      <c r="DI156">
        <v>0.19774900000000001</v>
      </c>
      <c r="DJ156">
        <v>0.14371300000000001</v>
      </c>
      <c r="DK156">
        <v>1</v>
      </c>
      <c r="DL156">
        <v>1</v>
      </c>
      <c r="DM156">
        <v>2</v>
      </c>
      <c r="DN156">
        <v>4</v>
      </c>
      <c r="DO156">
        <v>5</v>
      </c>
      <c r="DP156">
        <v>6</v>
      </c>
      <c r="DQ156">
        <v>8</v>
      </c>
      <c r="DR156">
        <v>9</v>
      </c>
      <c r="DS156">
        <v>11</v>
      </c>
      <c r="DT156">
        <v>13</v>
      </c>
      <c r="DU156">
        <v>14</v>
      </c>
      <c r="DV156">
        <v>15</v>
      </c>
      <c r="DW156">
        <v>21</v>
      </c>
      <c r="DX156">
        <v>26</v>
      </c>
      <c r="DY156">
        <v>32</v>
      </c>
      <c r="DZ156">
        <v>84.625974999999997</v>
      </c>
      <c r="EA156">
        <v>58.104318999999997</v>
      </c>
      <c r="EB156">
        <v>95.089490999999995</v>
      </c>
      <c r="EC156">
        <v>1844</v>
      </c>
      <c r="ED156">
        <v>2072</v>
      </c>
      <c r="EE156">
        <v>82.42313</v>
      </c>
      <c r="EF156">
        <v>99.954106999999993</v>
      </c>
      <c r="EG156">
        <v>54.374648999999998</v>
      </c>
      <c r="EH156">
        <v>98.149186999999998</v>
      </c>
      <c r="EI156">
        <v>88.985772999999995</v>
      </c>
      <c r="EJ156">
        <v>160.62414000000001</v>
      </c>
      <c r="EK156">
        <v>1796</v>
      </c>
      <c r="EL156">
        <v>2178</v>
      </c>
      <c r="EM156">
        <v>1939</v>
      </c>
      <c r="EN156">
        <v>3500</v>
      </c>
      <c r="EO156">
        <v>2179</v>
      </c>
      <c r="EP156">
        <v>3566</v>
      </c>
      <c r="EQ156">
        <v>45.218480999999997</v>
      </c>
    </row>
    <row r="157" spans="1:147" x14ac:dyDescent="0.25">
      <c r="A157">
        <v>2022</v>
      </c>
      <c r="B157" t="str">
        <f t="shared" si="4"/>
        <v>GN</v>
      </c>
      <c r="C157" t="s">
        <v>952</v>
      </c>
      <c r="D157" t="s">
        <v>952</v>
      </c>
      <c r="E157">
        <v>24883</v>
      </c>
      <c r="F157" t="s">
        <v>948</v>
      </c>
      <c r="G157" t="s">
        <v>413</v>
      </c>
      <c r="H157" t="s">
        <v>949</v>
      </c>
      <c r="I157">
        <v>16.86</v>
      </c>
      <c r="J157">
        <v>16.86</v>
      </c>
      <c r="K157" t="s">
        <v>415</v>
      </c>
      <c r="L157">
        <v>1</v>
      </c>
      <c r="M157">
        <v>2016</v>
      </c>
      <c r="N157">
        <v>2</v>
      </c>
      <c r="O157" t="str">
        <f t="shared" si="5"/>
        <v>Talhadia</v>
      </c>
      <c r="P157" s="2">
        <v>42732</v>
      </c>
      <c r="Q157" t="s">
        <v>174</v>
      </c>
      <c r="R157" t="s">
        <v>367</v>
      </c>
      <c r="S157" t="s">
        <v>154</v>
      </c>
      <c r="T157" t="s">
        <v>279</v>
      </c>
      <c r="U157" t="s">
        <v>156</v>
      </c>
      <c r="V157" s="2">
        <v>44686</v>
      </c>
      <c r="W157" t="s">
        <v>416</v>
      </c>
      <c r="X157">
        <v>37.65</v>
      </c>
      <c r="Y157">
        <v>20.5</v>
      </c>
      <c r="Z157">
        <v>12</v>
      </c>
      <c r="AA157">
        <v>15.2</v>
      </c>
      <c r="AB157">
        <v>6</v>
      </c>
      <c r="AC157">
        <v>311.60000000000002</v>
      </c>
      <c r="AD157">
        <v>303.12111653716198</v>
      </c>
      <c r="AE157" s="2">
        <v>44686</v>
      </c>
      <c r="AF157">
        <v>65</v>
      </c>
      <c r="AG157">
        <v>5.3497604380561299</v>
      </c>
      <c r="AH157">
        <v>27.159207103882999</v>
      </c>
      <c r="AI157">
        <v>15.218518518518501</v>
      </c>
      <c r="AJ157">
        <v>17.1066769752155</v>
      </c>
      <c r="AK157">
        <v>27</v>
      </c>
      <c r="AL157">
        <v>890.73306104327003</v>
      </c>
      <c r="AM157">
        <v>228.026256549648</v>
      </c>
      <c r="AN157">
        <v>0.25599842031525399</v>
      </c>
      <c r="AO157" t="s">
        <v>367</v>
      </c>
      <c r="AP157" t="s">
        <v>264</v>
      </c>
      <c r="AQ157" t="s">
        <v>315</v>
      </c>
      <c r="AR157">
        <v>9</v>
      </c>
      <c r="AS157">
        <v>0.80165975493894281</v>
      </c>
      <c r="AT157" t="s">
        <v>953</v>
      </c>
      <c r="AU157" t="s">
        <v>954</v>
      </c>
      <c r="AV157">
        <v>1688</v>
      </c>
      <c r="AW157">
        <v>949</v>
      </c>
      <c r="AX157">
        <v>685</v>
      </c>
      <c r="AY157">
        <v>54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-0.71499999999999997</v>
      </c>
      <c r="BH157">
        <v>29.915001</v>
      </c>
      <c r="BI157">
        <v>11.086517000000001</v>
      </c>
      <c r="BJ157">
        <v>-0.22880900000000001</v>
      </c>
      <c r="BK157">
        <v>11.80776</v>
      </c>
      <c r="BL157">
        <v>139.423194</v>
      </c>
      <c r="BM157">
        <v>1.065056</v>
      </c>
      <c r="BN157">
        <v>24.189252</v>
      </c>
      <c r="BO157">
        <v>0.284306</v>
      </c>
      <c r="BP157">
        <v>1.197427</v>
      </c>
      <c r="BQ157">
        <v>11.499252</v>
      </c>
      <c r="BR157">
        <v>2.262</v>
      </c>
      <c r="BS157">
        <v>2.3658090000000001</v>
      </c>
      <c r="BT157">
        <v>11.086517000000001</v>
      </c>
      <c r="BU157">
        <v>6.2661800000000003</v>
      </c>
      <c r="BV157">
        <v>0.99839800000000001</v>
      </c>
      <c r="BW157">
        <v>-1.063326</v>
      </c>
      <c r="BX157">
        <v>0.56520700000000001</v>
      </c>
      <c r="BY157">
        <v>0.159331</v>
      </c>
      <c r="BZ157">
        <v>-0.16969300000000001</v>
      </c>
      <c r="CA157">
        <v>-0.34065000000000001</v>
      </c>
      <c r="CB157">
        <v>-9.8599999999999993E-2</v>
      </c>
      <c r="CC157">
        <v>2.47E-2</v>
      </c>
      <c r="CD157">
        <v>0.155</v>
      </c>
      <c r="CE157">
        <v>0.214</v>
      </c>
      <c r="CF157">
        <v>0.309</v>
      </c>
      <c r="CG157">
        <v>0.58160000000000001</v>
      </c>
      <c r="CH157">
        <v>2.137</v>
      </c>
      <c r="CI157">
        <v>18.779800000000002</v>
      </c>
      <c r="CJ157">
        <v>22.973101</v>
      </c>
      <c r="CK157">
        <v>24.403251999999998</v>
      </c>
      <c r="CL157">
        <v>25.197001</v>
      </c>
      <c r="CM157">
        <v>26.436001000000001</v>
      </c>
      <c r="CN157">
        <v>27.19125</v>
      </c>
      <c r="CO157">
        <v>28.547688999999998</v>
      </c>
      <c r="CP157">
        <v>0.385293</v>
      </c>
      <c r="CQ157">
        <v>16.194179999999999</v>
      </c>
      <c r="CR157">
        <v>18.628827000000001</v>
      </c>
      <c r="CS157">
        <v>1</v>
      </c>
      <c r="CT157">
        <v>45</v>
      </c>
      <c r="CU157">
        <v>12.462085</v>
      </c>
      <c r="CV157">
        <v>9.3809520000000006</v>
      </c>
      <c r="CW157">
        <v>8.5820969999999992</v>
      </c>
      <c r="CX157">
        <v>73.652384999999995</v>
      </c>
      <c r="CY157">
        <v>0.68865699999999996</v>
      </c>
      <c r="CZ157">
        <v>11</v>
      </c>
      <c r="DA157">
        <v>0.89533499999999999</v>
      </c>
      <c r="DB157">
        <v>3.2708659999999998</v>
      </c>
      <c r="DC157">
        <v>6.715732</v>
      </c>
      <c r="DD157">
        <v>12.462085</v>
      </c>
      <c r="DE157">
        <v>4.7156929999999999</v>
      </c>
      <c r="DF157">
        <v>0.901003</v>
      </c>
      <c r="DG157">
        <v>0.57896199999999998</v>
      </c>
      <c r="DH157">
        <v>0.37840299999999999</v>
      </c>
      <c r="DI157">
        <v>0.19106500000000001</v>
      </c>
      <c r="DJ157">
        <v>0.12277299999999999</v>
      </c>
      <c r="DK157">
        <v>1</v>
      </c>
      <c r="DL157">
        <v>1</v>
      </c>
      <c r="DM157">
        <v>3</v>
      </c>
      <c r="DN157">
        <v>5</v>
      </c>
      <c r="DO157">
        <v>6</v>
      </c>
      <c r="DP157">
        <v>7</v>
      </c>
      <c r="DQ157">
        <v>9</v>
      </c>
      <c r="DR157">
        <v>11</v>
      </c>
      <c r="DS157">
        <v>13</v>
      </c>
      <c r="DT157">
        <v>15</v>
      </c>
      <c r="DU157">
        <v>17</v>
      </c>
      <c r="DV157">
        <v>19</v>
      </c>
      <c r="DW157">
        <v>26</v>
      </c>
      <c r="DX157">
        <v>31</v>
      </c>
      <c r="DY157">
        <v>35</v>
      </c>
      <c r="DZ157">
        <v>77.976817999999994</v>
      </c>
      <c r="EA157">
        <v>46.445498000000001</v>
      </c>
      <c r="EB157">
        <v>82.613276999999997</v>
      </c>
      <c r="EC157">
        <v>740</v>
      </c>
      <c r="ED157">
        <v>784</v>
      </c>
      <c r="EE157">
        <v>77.449946999999995</v>
      </c>
      <c r="EF157">
        <v>100</v>
      </c>
      <c r="EG157">
        <v>45.201422000000001</v>
      </c>
      <c r="EH157">
        <v>97.748814999999993</v>
      </c>
      <c r="EI157">
        <v>80.400420999999994</v>
      </c>
      <c r="EJ157">
        <v>173.86722900000001</v>
      </c>
      <c r="EK157">
        <v>735</v>
      </c>
      <c r="EL157">
        <v>949</v>
      </c>
      <c r="EM157">
        <v>763</v>
      </c>
      <c r="EN157">
        <v>1650</v>
      </c>
      <c r="EO157">
        <v>949</v>
      </c>
      <c r="EP157">
        <v>1688</v>
      </c>
      <c r="EQ157">
        <v>37.927416999999998</v>
      </c>
    </row>
    <row r="158" spans="1:147" x14ac:dyDescent="0.25">
      <c r="A158">
        <v>2022</v>
      </c>
      <c r="B158" t="str">
        <f t="shared" si="4"/>
        <v>GN</v>
      </c>
      <c r="C158" t="s">
        <v>955</v>
      </c>
      <c r="D158" t="s">
        <v>955</v>
      </c>
      <c r="E158">
        <v>24887</v>
      </c>
      <c r="F158" t="s">
        <v>948</v>
      </c>
      <c r="G158" t="s">
        <v>413</v>
      </c>
      <c r="H158" t="s">
        <v>956</v>
      </c>
      <c r="I158">
        <v>20.79</v>
      </c>
      <c r="J158">
        <v>20.79</v>
      </c>
      <c r="K158" t="s">
        <v>415</v>
      </c>
      <c r="L158">
        <v>1</v>
      </c>
      <c r="M158">
        <v>2016</v>
      </c>
      <c r="N158">
        <v>2</v>
      </c>
      <c r="O158" t="str">
        <f t="shared" si="5"/>
        <v>Talhadia</v>
      </c>
      <c r="P158" s="2">
        <v>42732</v>
      </c>
      <c r="Q158" t="s">
        <v>174</v>
      </c>
      <c r="R158" t="s">
        <v>367</v>
      </c>
      <c r="S158" t="s">
        <v>154</v>
      </c>
      <c r="T158" t="s">
        <v>279</v>
      </c>
      <c r="U158" t="s">
        <v>156</v>
      </c>
      <c r="V158" s="2">
        <v>44686</v>
      </c>
      <c r="W158" t="s">
        <v>416</v>
      </c>
      <c r="X158">
        <v>37.65</v>
      </c>
      <c r="Y158">
        <v>21.5</v>
      </c>
      <c r="Z158">
        <v>18</v>
      </c>
      <c r="AA158">
        <v>14.7</v>
      </c>
      <c r="AB158">
        <v>0</v>
      </c>
      <c r="AC158">
        <v>316.05</v>
      </c>
      <c r="AD158">
        <v>300.58141197508297</v>
      </c>
      <c r="AE158" s="2">
        <v>44686</v>
      </c>
      <c r="AF158">
        <v>65</v>
      </c>
      <c r="AG158">
        <v>5.3497604380561299</v>
      </c>
      <c r="AH158">
        <v>23.7263469205405</v>
      </c>
      <c r="AI158">
        <v>16.237500000000001</v>
      </c>
      <c r="AJ158">
        <v>17.286752383817401</v>
      </c>
      <c r="AK158">
        <v>24</v>
      </c>
      <c r="AL158">
        <v>798.45256705326403</v>
      </c>
      <c r="AM158">
        <v>202.23300967754599</v>
      </c>
      <c r="AN158">
        <v>0.25328118165353097</v>
      </c>
      <c r="AO158" t="s">
        <v>367</v>
      </c>
      <c r="AP158" t="s">
        <v>264</v>
      </c>
      <c r="AQ158" t="s">
        <v>649</v>
      </c>
      <c r="AR158">
        <v>9</v>
      </c>
      <c r="AS158">
        <v>0.71860731034793857</v>
      </c>
      <c r="AT158" t="s">
        <v>957</v>
      </c>
      <c r="AU158" t="s">
        <v>958</v>
      </c>
      <c r="AV158">
        <v>3499</v>
      </c>
      <c r="AW158">
        <v>2150</v>
      </c>
      <c r="AX158">
        <v>1278</v>
      </c>
      <c r="AY158">
        <v>71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-0.92900000000000005</v>
      </c>
      <c r="BH158">
        <v>26.280999999999999</v>
      </c>
      <c r="BI158">
        <v>11.027466</v>
      </c>
      <c r="BJ158">
        <v>-6.5189999999999998E-2</v>
      </c>
      <c r="BK158">
        <v>10.421408</v>
      </c>
      <c r="BL158">
        <v>108.605739</v>
      </c>
      <c r="BM158">
        <v>0.94504100000000002</v>
      </c>
      <c r="BN158">
        <v>20.986499999999999</v>
      </c>
      <c r="BO158">
        <v>-7.1299999999999998E-4</v>
      </c>
      <c r="BP158">
        <v>1.104708</v>
      </c>
      <c r="BQ158">
        <v>10.226070999999999</v>
      </c>
      <c r="BR158">
        <v>9.3469999999999995</v>
      </c>
      <c r="BS158">
        <v>15.364190000000001</v>
      </c>
      <c r="BT158">
        <v>11.027466</v>
      </c>
      <c r="BU158">
        <v>5.5596690000000004</v>
      </c>
      <c r="BV158">
        <v>0.23088900000000001</v>
      </c>
      <c r="BW158">
        <v>-1.0445880000000001</v>
      </c>
      <c r="BX158">
        <v>0.504166</v>
      </c>
      <c r="BY158">
        <v>4.1529000000000003E-2</v>
      </c>
      <c r="BZ158">
        <v>-0.187887</v>
      </c>
      <c r="CA158">
        <v>-0.32701999999999998</v>
      </c>
      <c r="CB158">
        <v>-7.1199999999999999E-2</v>
      </c>
      <c r="CC158">
        <v>3.1E-2</v>
      </c>
      <c r="CD158">
        <v>0.182</v>
      </c>
      <c r="CE158">
        <v>0.25700000000000001</v>
      </c>
      <c r="CF158">
        <v>0.32540000000000002</v>
      </c>
      <c r="CG158">
        <v>0.56520000000000004</v>
      </c>
      <c r="CH158">
        <v>15.298999999999999</v>
      </c>
      <c r="CI158">
        <v>19.4648</v>
      </c>
      <c r="CJ158">
        <v>20.733999000000001</v>
      </c>
      <c r="CK158">
        <v>21.243500000000001</v>
      </c>
      <c r="CL158">
        <v>21.789999000000002</v>
      </c>
      <c r="CM158">
        <v>22.909400999999999</v>
      </c>
      <c r="CN158">
        <v>23.908701000000001</v>
      </c>
      <c r="CO158">
        <v>25.269079000000001</v>
      </c>
      <c r="CP158">
        <v>0.43941400000000003</v>
      </c>
      <c r="CQ158">
        <v>15.171673999999999</v>
      </c>
      <c r="CR158">
        <v>17.021996000000001</v>
      </c>
      <c r="CS158">
        <v>1</v>
      </c>
      <c r="CT158">
        <v>46</v>
      </c>
      <c r="CU158">
        <v>12.71649</v>
      </c>
      <c r="CV158">
        <v>11.714286</v>
      </c>
      <c r="CW158">
        <v>8.9549850000000006</v>
      </c>
      <c r="CX158">
        <v>80.191755000000001</v>
      </c>
      <c r="CY158">
        <v>0.70420300000000002</v>
      </c>
      <c r="CZ158">
        <v>10</v>
      </c>
      <c r="DA158">
        <v>1.014597</v>
      </c>
      <c r="DB158">
        <v>3.7127189999999999</v>
      </c>
      <c r="DC158">
        <v>6.8093190000000003</v>
      </c>
      <c r="DD158">
        <v>12.71649</v>
      </c>
      <c r="DE158">
        <v>4.858562</v>
      </c>
      <c r="DF158">
        <v>0.95647800000000005</v>
      </c>
      <c r="DG158">
        <v>0.69867100000000004</v>
      </c>
      <c r="DH158">
        <v>0.38206800000000002</v>
      </c>
      <c r="DI158">
        <v>0.19686400000000001</v>
      </c>
      <c r="DJ158">
        <v>0.14380200000000001</v>
      </c>
      <c r="DK158">
        <v>1</v>
      </c>
      <c r="DL158">
        <v>1</v>
      </c>
      <c r="DM158">
        <v>2</v>
      </c>
      <c r="DN158">
        <v>5</v>
      </c>
      <c r="DO158">
        <v>6</v>
      </c>
      <c r="DP158">
        <v>7</v>
      </c>
      <c r="DQ158">
        <v>10</v>
      </c>
      <c r="DR158">
        <v>12</v>
      </c>
      <c r="DS158">
        <v>13</v>
      </c>
      <c r="DT158">
        <v>15</v>
      </c>
      <c r="DU158">
        <v>16</v>
      </c>
      <c r="DV158">
        <v>18</v>
      </c>
      <c r="DW158">
        <v>27</v>
      </c>
      <c r="DX158">
        <v>32</v>
      </c>
      <c r="DY158">
        <v>38</v>
      </c>
      <c r="DZ158">
        <v>81.674419</v>
      </c>
      <c r="EA158">
        <v>52.986567999999998</v>
      </c>
      <c r="EB158">
        <v>86.232557999999997</v>
      </c>
      <c r="EC158">
        <v>1756</v>
      </c>
      <c r="ED158">
        <v>1854</v>
      </c>
      <c r="EE158">
        <v>81.209301999999994</v>
      </c>
      <c r="EF158">
        <v>99.860465000000005</v>
      </c>
      <c r="EG158">
        <v>51.843384</v>
      </c>
      <c r="EH158">
        <v>94.712774999999993</v>
      </c>
      <c r="EI158">
        <v>84.372093000000007</v>
      </c>
      <c r="EJ158">
        <v>154.139535</v>
      </c>
      <c r="EK158">
        <v>1746</v>
      </c>
      <c r="EL158">
        <v>2147</v>
      </c>
      <c r="EM158">
        <v>1814</v>
      </c>
      <c r="EN158">
        <v>3314</v>
      </c>
      <c r="EO158">
        <v>2150</v>
      </c>
      <c r="EP158">
        <v>3499</v>
      </c>
      <c r="EQ158">
        <v>42.615371000000003</v>
      </c>
    </row>
    <row r="159" spans="1:147" x14ac:dyDescent="0.25">
      <c r="A159">
        <v>2022</v>
      </c>
      <c r="B159" t="str">
        <f t="shared" si="4"/>
        <v>GN</v>
      </c>
      <c r="C159" t="s">
        <v>959</v>
      </c>
      <c r="D159" t="s">
        <v>959</v>
      </c>
      <c r="E159">
        <v>24903</v>
      </c>
      <c r="F159" t="s">
        <v>960</v>
      </c>
      <c r="G159" t="s">
        <v>961</v>
      </c>
      <c r="H159" t="s">
        <v>962</v>
      </c>
      <c r="I159">
        <v>26.97</v>
      </c>
      <c r="J159">
        <v>26.97</v>
      </c>
      <c r="K159" t="s">
        <v>279</v>
      </c>
      <c r="L159">
        <v>1</v>
      </c>
      <c r="M159">
        <v>2016</v>
      </c>
      <c r="N159">
        <v>3</v>
      </c>
      <c r="O159" t="str">
        <f t="shared" si="5"/>
        <v>Alto fuste</v>
      </c>
      <c r="P159" s="2">
        <v>42478</v>
      </c>
      <c r="Q159" t="s">
        <v>174</v>
      </c>
      <c r="R159" t="s">
        <v>314</v>
      </c>
      <c r="S159" t="s">
        <v>154</v>
      </c>
      <c r="T159" t="s">
        <v>279</v>
      </c>
      <c r="U159" t="s">
        <v>156</v>
      </c>
      <c r="V159" s="2">
        <v>44685</v>
      </c>
      <c r="W159" t="s">
        <v>963</v>
      </c>
      <c r="X159">
        <v>163.71</v>
      </c>
      <c r="Y159">
        <v>18.7</v>
      </c>
      <c r="Z159">
        <v>12</v>
      </c>
      <c r="AA159">
        <v>15.3</v>
      </c>
      <c r="AB159">
        <v>1</v>
      </c>
      <c r="AC159">
        <v>286.11</v>
      </c>
      <c r="AD159">
        <v>279.81518634595699</v>
      </c>
      <c r="AE159" s="2">
        <v>44685</v>
      </c>
      <c r="AF159">
        <v>73</v>
      </c>
      <c r="AG159">
        <v>6.0424366872005502</v>
      </c>
      <c r="AH159">
        <v>28.547874573806201</v>
      </c>
      <c r="AI159">
        <v>15.526666666666699</v>
      </c>
      <c r="AJ159">
        <v>20.632508148269601</v>
      </c>
      <c r="AK159">
        <v>30</v>
      </c>
      <c r="AL159">
        <v>1072.1362336248801</v>
      </c>
      <c r="AM159">
        <v>264.90819115843902</v>
      </c>
      <c r="AN159">
        <v>0.24708444957856299</v>
      </c>
      <c r="AO159" t="s">
        <v>314</v>
      </c>
      <c r="AP159" t="s">
        <v>158</v>
      </c>
      <c r="AQ159" t="s">
        <v>304</v>
      </c>
      <c r="AR159">
        <v>9</v>
      </c>
      <c r="AS159">
        <v>0.96492261026239756</v>
      </c>
      <c r="AT159" t="s">
        <v>964</v>
      </c>
      <c r="AU159" t="s">
        <v>965</v>
      </c>
      <c r="AV159">
        <v>2859</v>
      </c>
      <c r="AW159">
        <v>1519</v>
      </c>
      <c r="AX159">
        <v>1273</v>
      </c>
      <c r="AY159">
        <v>66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-0.91300000000000003</v>
      </c>
      <c r="BH159">
        <v>31.1</v>
      </c>
      <c r="BI159">
        <v>14.883046999999999</v>
      </c>
      <c r="BJ159">
        <v>0.103286</v>
      </c>
      <c r="BK159">
        <v>13.250432999999999</v>
      </c>
      <c r="BL159">
        <v>175.57397599999999</v>
      </c>
      <c r="BM159">
        <v>0.89030399999999998</v>
      </c>
      <c r="BN159">
        <v>26.972999999999999</v>
      </c>
      <c r="BO159">
        <v>-0.17988999999999999</v>
      </c>
      <c r="BP159">
        <v>1.0812679999999999</v>
      </c>
      <c r="BQ159">
        <v>13.016438000000001</v>
      </c>
      <c r="BR159">
        <v>3.7709999999999999</v>
      </c>
      <c r="BS159">
        <v>25.199715000000001</v>
      </c>
      <c r="BT159">
        <v>14.883046999999999</v>
      </c>
      <c r="BU159">
        <v>6.8945350000000003</v>
      </c>
      <c r="BV159">
        <v>-0.39286500000000002</v>
      </c>
      <c r="BW159">
        <v>-1.4403619999999999</v>
      </c>
      <c r="BX159">
        <v>0.46324799999999999</v>
      </c>
      <c r="BY159">
        <v>-5.6981999999999998E-2</v>
      </c>
      <c r="BZ159">
        <v>-0.20891399999999999</v>
      </c>
      <c r="CA159">
        <v>-0.32519999999999999</v>
      </c>
      <c r="CB159">
        <v>-9.8100000000000007E-2</v>
      </c>
      <c r="CC159">
        <v>-2.2000000000000001E-3</v>
      </c>
      <c r="CD159">
        <v>0.10299999999999999</v>
      </c>
      <c r="CE159">
        <v>0.14799999999999999</v>
      </c>
      <c r="CF159">
        <v>0.19400000000000001</v>
      </c>
      <c r="CG159">
        <v>0.35020000000000001</v>
      </c>
      <c r="CH159">
        <v>25.302999</v>
      </c>
      <c r="CI159">
        <v>26.247001999999998</v>
      </c>
      <c r="CJ159">
        <v>26.787001</v>
      </c>
      <c r="CK159">
        <v>27.120999999999999</v>
      </c>
      <c r="CL159">
        <v>27.440000999999999</v>
      </c>
      <c r="CM159">
        <v>28.209</v>
      </c>
      <c r="CN159">
        <v>28.739601</v>
      </c>
      <c r="CO159">
        <v>29.703796000000001</v>
      </c>
      <c r="CP159">
        <v>0.49342599999999998</v>
      </c>
      <c r="CQ159">
        <v>19.925301999999999</v>
      </c>
      <c r="CR159">
        <v>22.045902999999999</v>
      </c>
      <c r="CS159">
        <v>1</v>
      </c>
      <c r="CT159">
        <v>49</v>
      </c>
      <c r="CU159">
        <v>14.411333000000001</v>
      </c>
      <c r="CV159">
        <v>2.5238100000000001</v>
      </c>
      <c r="CW159">
        <v>8.6962639999999993</v>
      </c>
      <c r="CX159">
        <v>75.625007999999994</v>
      </c>
      <c r="CY159">
        <v>0.60343199999999997</v>
      </c>
      <c r="CZ159">
        <v>14</v>
      </c>
      <c r="DA159">
        <v>0.27912300000000001</v>
      </c>
      <c r="DB159">
        <v>2.3576830000000002</v>
      </c>
      <c r="DC159">
        <v>7.3788980000000004</v>
      </c>
      <c r="DD159">
        <v>14.411333000000001</v>
      </c>
      <c r="DE159">
        <v>4.9702900000000003</v>
      </c>
      <c r="DF159">
        <v>0.25762299999999999</v>
      </c>
      <c r="DG159">
        <v>0.14832899999999999</v>
      </c>
      <c r="DH159">
        <v>0.34488799999999997</v>
      </c>
      <c r="DI159">
        <v>5.1832999999999997E-2</v>
      </c>
      <c r="DJ159">
        <v>2.9843000000000001E-2</v>
      </c>
      <c r="DK159">
        <v>1</v>
      </c>
      <c r="DL159">
        <v>2</v>
      </c>
      <c r="DM159">
        <v>3</v>
      </c>
      <c r="DN159">
        <v>5</v>
      </c>
      <c r="DO159">
        <v>7</v>
      </c>
      <c r="DP159">
        <v>8</v>
      </c>
      <c r="DQ159">
        <v>11</v>
      </c>
      <c r="DR159">
        <v>14</v>
      </c>
      <c r="DS159">
        <v>17</v>
      </c>
      <c r="DT159">
        <v>20</v>
      </c>
      <c r="DU159">
        <v>21</v>
      </c>
      <c r="DV159">
        <v>23</v>
      </c>
      <c r="DW159">
        <v>26</v>
      </c>
      <c r="DX159">
        <v>28</v>
      </c>
      <c r="DY159">
        <v>34.419922</v>
      </c>
      <c r="DZ159">
        <v>99.210007000000004</v>
      </c>
      <c r="EA159">
        <v>56.383350999999998</v>
      </c>
      <c r="EB159">
        <v>106.122449</v>
      </c>
      <c r="EC159">
        <v>1507</v>
      </c>
      <c r="ED159">
        <v>1612</v>
      </c>
      <c r="EE159">
        <v>99.078340999999995</v>
      </c>
      <c r="EF159">
        <v>100</v>
      </c>
      <c r="EG159">
        <v>54.914306000000003</v>
      </c>
      <c r="EH159">
        <v>79.958027000000001</v>
      </c>
      <c r="EI159">
        <v>103.357472</v>
      </c>
      <c r="EJ159">
        <v>150.49374599999999</v>
      </c>
      <c r="EK159">
        <v>1505</v>
      </c>
      <c r="EL159">
        <v>1519</v>
      </c>
      <c r="EM159">
        <v>1570</v>
      </c>
      <c r="EN159">
        <v>2286</v>
      </c>
      <c r="EO159">
        <v>1519</v>
      </c>
      <c r="EP159">
        <v>2859</v>
      </c>
      <c r="EQ159">
        <v>49.181472999999997</v>
      </c>
    </row>
    <row r="160" spans="1:147" x14ac:dyDescent="0.25">
      <c r="A160">
        <v>2022</v>
      </c>
      <c r="B160" t="str">
        <f t="shared" si="4"/>
        <v>GN</v>
      </c>
      <c r="C160" t="s">
        <v>966</v>
      </c>
      <c r="D160" t="s">
        <v>966</v>
      </c>
      <c r="E160">
        <v>24904</v>
      </c>
      <c r="F160" t="s">
        <v>960</v>
      </c>
      <c r="G160" t="s">
        <v>961</v>
      </c>
      <c r="H160" t="s">
        <v>967</v>
      </c>
      <c r="I160">
        <v>36.83</v>
      </c>
      <c r="J160">
        <v>36.83</v>
      </c>
      <c r="K160" t="s">
        <v>279</v>
      </c>
      <c r="L160">
        <v>1</v>
      </c>
      <c r="M160">
        <v>2016</v>
      </c>
      <c r="N160">
        <v>3</v>
      </c>
      <c r="O160" t="str">
        <f t="shared" si="5"/>
        <v>Alto fuste</v>
      </c>
      <c r="P160" s="2">
        <v>42461</v>
      </c>
      <c r="Q160" t="s">
        <v>174</v>
      </c>
      <c r="R160" t="s">
        <v>165</v>
      </c>
      <c r="S160" t="s">
        <v>154</v>
      </c>
      <c r="T160" t="s">
        <v>279</v>
      </c>
      <c r="U160" t="s">
        <v>156</v>
      </c>
      <c r="V160" s="2">
        <v>44685</v>
      </c>
      <c r="W160" t="s">
        <v>963</v>
      </c>
      <c r="X160">
        <v>163.71</v>
      </c>
      <c r="Y160">
        <v>20.3</v>
      </c>
      <c r="Z160">
        <v>6</v>
      </c>
      <c r="AA160">
        <v>15.3</v>
      </c>
      <c r="AB160">
        <v>0</v>
      </c>
      <c r="AC160">
        <v>310.58999999999997</v>
      </c>
      <c r="AD160">
        <v>308.88855548243203</v>
      </c>
      <c r="AE160" s="2">
        <v>44685</v>
      </c>
      <c r="AF160">
        <v>73</v>
      </c>
      <c r="AG160">
        <v>6.08898015058179</v>
      </c>
      <c r="AH160">
        <v>28.7534266033508</v>
      </c>
      <c r="AI160">
        <v>17.937142857142899</v>
      </c>
      <c r="AJ160">
        <v>29.223996564474199</v>
      </c>
      <c r="AK160">
        <v>35</v>
      </c>
      <c r="AL160">
        <v>1133.0947482122101</v>
      </c>
      <c r="AM160">
        <v>371.96566716828897</v>
      </c>
      <c r="AN160">
        <v>0.32827410748763403</v>
      </c>
      <c r="AO160" t="s">
        <v>165</v>
      </c>
      <c r="AP160" t="s">
        <v>158</v>
      </c>
      <c r="AQ160" t="s">
        <v>304</v>
      </c>
      <c r="AR160">
        <v>9</v>
      </c>
      <c r="AS160">
        <v>1.01978527339099</v>
      </c>
      <c r="AT160" t="s">
        <v>968</v>
      </c>
      <c r="AU160" t="s">
        <v>969</v>
      </c>
      <c r="AV160">
        <v>3247</v>
      </c>
      <c r="AW160">
        <v>2052</v>
      </c>
      <c r="AX160">
        <v>985</v>
      </c>
      <c r="AY160">
        <v>196</v>
      </c>
      <c r="AZ160">
        <v>14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-0.70399999999999996</v>
      </c>
      <c r="BH160">
        <v>32.805999999999997</v>
      </c>
      <c r="BI160">
        <v>18.902094999999999</v>
      </c>
      <c r="BJ160">
        <v>-0.172095</v>
      </c>
      <c r="BK160">
        <v>13.02022</v>
      </c>
      <c r="BL160">
        <v>169.52614</v>
      </c>
      <c r="BM160">
        <v>0.68882399999999999</v>
      </c>
      <c r="BN160">
        <v>28.6675</v>
      </c>
      <c r="BO160">
        <v>-0.65903599999999996</v>
      </c>
      <c r="BP160">
        <v>1.5605150000000001</v>
      </c>
      <c r="BQ160">
        <v>11.974786</v>
      </c>
      <c r="BR160">
        <v>2.8390010000000001</v>
      </c>
      <c r="BS160">
        <v>27.475093999999999</v>
      </c>
      <c r="BT160">
        <v>18.902094999999999</v>
      </c>
      <c r="BU160">
        <v>6.713959</v>
      </c>
      <c r="BV160">
        <v>-1.6747099999999999</v>
      </c>
      <c r="BW160">
        <v>-0.66228200000000004</v>
      </c>
      <c r="BX160">
        <v>0.35519699999999998</v>
      </c>
      <c r="BY160">
        <v>-0.24943699999999999</v>
      </c>
      <c r="BZ160">
        <v>-9.8641999999999994E-2</v>
      </c>
      <c r="CA160">
        <v>-0.41154000000000002</v>
      </c>
      <c r="CB160">
        <v>-0.14499999999999999</v>
      </c>
      <c r="CC160">
        <v>-1.9E-2</v>
      </c>
      <c r="CD160">
        <v>0.16400000000000001</v>
      </c>
      <c r="CE160">
        <v>0.29699999999999999</v>
      </c>
      <c r="CF160">
        <v>0.76539999999999997</v>
      </c>
      <c r="CG160">
        <v>24.832602000000001</v>
      </c>
      <c r="CH160">
        <v>27.302999</v>
      </c>
      <c r="CI160">
        <v>28.040001</v>
      </c>
      <c r="CJ160">
        <v>28.638200999999999</v>
      </c>
      <c r="CK160">
        <v>28.964500000000001</v>
      </c>
      <c r="CL160">
        <v>29.280999999999999</v>
      </c>
      <c r="CM160">
        <v>30.1464</v>
      </c>
      <c r="CN160">
        <v>30.7561</v>
      </c>
      <c r="CO160">
        <v>31.714843999999999</v>
      </c>
      <c r="CP160">
        <v>0.58508199999999999</v>
      </c>
      <c r="CQ160">
        <v>22.951321</v>
      </c>
      <c r="CR160">
        <v>24.612431999999998</v>
      </c>
      <c r="CS160">
        <v>1</v>
      </c>
      <c r="CT160">
        <v>43</v>
      </c>
      <c r="CU160">
        <v>12.622729</v>
      </c>
      <c r="CV160">
        <v>1</v>
      </c>
      <c r="CW160">
        <v>7.9464249999999996</v>
      </c>
      <c r="CX160">
        <v>63.145668999999998</v>
      </c>
      <c r="CY160">
        <v>0.62953300000000001</v>
      </c>
      <c r="CZ160">
        <v>13</v>
      </c>
      <c r="DA160">
        <v>0.28120000000000001</v>
      </c>
      <c r="DB160">
        <v>2.4978660000000001</v>
      </c>
      <c r="DC160">
        <v>6.6897070000000003</v>
      </c>
      <c r="DD160">
        <v>12.622729</v>
      </c>
      <c r="DE160">
        <v>4.5200750000000003</v>
      </c>
      <c r="DF160">
        <v>0.19522900000000001</v>
      </c>
      <c r="DG160">
        <v>0.16348699999999999</v>
      </c>
      <c r="DH160">
        <v>0.35809000000000002</v>
      </c>
      <c r="DI160">
        <v>4.3191E-2</v>
      </c>
      <c r="DJ160">
        <v>3.6169E-2</v>
      </c>
      <c r="DK160">
        <v>1</v>
      </c>
      <c r="DL160">
        <v>1</v>
      </c>
      <c r="DM160">
        <v>2</v>
      </c>
      <c r="DN160">
        <v>4</v>
      </c>
      <c r="DO160">
        <v>5</v>
      </c>
      <c r="DP160">
        <v>7</v>
      </c>
      <c r="DQ160">
        <v>10</v>
      </c>
      <c r="DR160">
        <v>13</v>
      </c>
      <c r="DS160">
        <v>15</v>
      </c>
      <c r="DT160">
        <v>17</v>
      </c>
      <c r="DU160">
        <v>18</v>
      </c>
      <c r="DV160">
        <v>20</v>
      </c>
      <c r="DW160">
        <v>23</v>
      </c>
      <c r="DX160">
        <v>25</v>
      </c>
      <c r="DY160">
        <v>33</v>
      </c>
      <c r="DZ160">
        <v>97.612086000000005</v>
      </c>
      <c r="EA160">
        <v>69.541115000000005</v>
      </c>
      <c r="EB160">
        <v>110.03898599999999</v>
      </c>
      <c r="EC160">
        <v>2003</v>
      </c>
      <c r="ED160">
        <v>2258</v>
      </c>
      <c r="EE160">
        <v>95.955166000000006</v>
      </c>
      <c r="EF160">
        <v>100</v>
      </c>
      <c r="EG160">
        <v>64.459501000000003</v>
      </c>
      <c r="EH160">
        <v>95.749922999999995</v>
      </c>
      <c r="EI160">
        <v>101.998051</v>
      </c>
      <c r="EJ160">
        <v>151.51072099999999</v>
      </c>
      <c r="EK160">
        <v>1969</v>
      </c>
      <c r="EL160">
        <v>2052</v>
      </c>
      <c r="EM160">
        <v>2093</v>
      </c>
      <c r="EN160">
        <v>3109</v>
      </c>
      <c r="EO160">
        <v>2052</v>
      </c>
      <c r="EP160">
        <v>3247</v>
      </c>
      <c r="EQ160">
        <v>58.674706999999998</v>
      </c>
    </row>
    <row r="161" spans="1:147" x14ac:dyDescent="0.25">
      <c r="A161">
        <v>2022</v>
      </c>
      <c r="B161" t="str">
        <f t="shared" si="4"/>
        <v>GN</v>
      </c>
      <c r="C161" t="s">
        <v>970</v>
      </c>
      <c r="D161" t="s">
        <v>970</v>
      </c>
      <c r="E161">
        <v>24905</v>
      </c>
      <c r="F161" t="s">
        <v>960</v>
      </c>
      <c r="G161" t="s">
        <v>961</v>
      </c>
      <c r="H161" t="s">
        <v>967</v>
      </c>
      <c r="I161">
        <v>36.83</v>
      </c>
      <c r="J161">
        <v>36.83</v>
      </c>
      <c r="K161" t="s">
        <v>279</v>
      </c>
      <c r="L161">
        <v>1</v>
      </c>
      <c r="M161">
        <v>2016</v>
      </c>
      <c r="N161">
        <v>3</v>
      </c>
      <c r="O161" t="str">
        <f t="shared" si="5"/>
        <v>Alto fuste</v>
      </c>
      <c r="P161" s="2">
        <v>42461</v>
      </c>
      <c r="Q161" t="s">
        <v>174</v>
      </c>
      <c r="R161" t="s">
        <v>165</v>
      </c>
      <c r="S161" t="s">
        <v>154</v>
      </c>
      <c r="T161" t="s">
        <v>279</v>
      </c>
      <c r="U161" t="s">
        <v>156</v>
      </c>
      <c r="V161" s="2">
        <v>44685</v>
      </c>
      <c r="W161" t="s">
        <v>963</v>
      </c>
      <c r="X161">
        <v>163.71</v>
      </c>
      <c r="Y161">
        <v>20.2</v>
      </c>
      <c r="Z161">
        <v>8</v>
      </c>
      <c r="AA161">
        <v>15</v>
      </c>
      <c r="AB161">
        <v>0</v>
      </c>
      <c r="AC161">
        <v>303</v>
      </c>
      <c r="AD161">
        <v>300.05122482869598</v>
      </c>
      <c r="AE161" s="2">
        <v>44685</v>
      </c>
      <c r="AF161">
        <v>73</v>
      </c>
      <c r="AG161">
        <v>6.08898015058179</v>
      </c>
      <c r="AH161">
        <v>29.520184959365199</v>
      </c>
      <c r="AI161">
        <v>16.640625</v>
      </c>
      <c r="AJ161">
        <v>23.4236684209726</v>
      </c>
      <c r="AK161">
        <v>32</v>
      </c>
      <c r="AL161">
        <v>1066.4845650361599</v>
      </c>
      <c r="AM161">
        <v>306.81718757475397</v>
      </c>
      <c r="AN161">
        <v>0.28769022790718901</v>
      </c>
      <c r="AO161" t="s">
        <v>165</v>
      </c>
      <c r="AP161" t="s">
        <v>158</v>
      </c>
      <c r="AQ161" t="s">
        <v>304</v>
      </c>
      <c r="AR161">
        <v>9</v>
      </c>
      <c r="AS161">
        <v>0.95983610853254731</v>
      </c>
      <c r="AT161" t="s">
        <v>971</v>
      </c>
      <c r="AU161" t="s">
        <v>972</v>
      </c>
      <c r="AV161">
        <v>3297</v>
      </c>
      <c r="AW161">
        <v>1852</v>
      </c>
      <c r="AX161">
        <v>1331</v>
      </c>
      <c r="AY161">
        <v>111</v>
      </c>
      <c r="AZ161">
        <v>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-1.0409999999999999</v>
      </c>
      <c r="BH161">
        <v>29.844000000000001</v>
      </c>
      <c r="BI161">
        <v>14.058253000000001</v>
      </c>
      <c r="BJ161">
        <v>-6.0524000000000001E-2</v>
      </c>
      <c r="BK161">
        <v>12.872643</v>
      </c>
      <c r="BL161">
        <v>165.70494199999999</v>
      </c>
      <c r="BM161">
        <v>0.91566400000000003</v>
      </c>
      <c r="BN161">
        <v>26.251000000000001</v>
      </c>
      <c r="BO161">
        <v>-0.12284100000000001</v>
      </c>
      <c r="BP161">
        <v>1.063102</v>
      </c>
      <c r="BQ161">
        <v>12.707857000000001</v>
      </c>
      <c r="BR161">
        <v>4.8579999999999997</v>
      </c>
      <c r="BS161">
        <v>23.468525</v>
      </c>
      <c r="BT161">
        <v>14.058253000000001</v>
      </c>
      <c r="BU161">
        <v>6.7198130000000003</v>
      </c>
      <c r="BV161">
        <v>-0.188197</v>
      </c>
      <c r="BW161">
        <v>-1.4340649999999999</v>
      </c>
      <c r="BX161">
        <v>0.47799799999999998</v>
      </c>
      <c r="BY161">
        <v>-2.8006E-2</v>
      </c>
      <c r="BZ161">
        <v>-0.21340899999999999</v>
      </c>
      <c r="CA161">
        <v>-0.3342</v>
      </c>
      <c r="CB161">
        <v>-9.7199999999999995E-2</v>
      </c>
      <c r="CC161">
        <v>-7.0000000000000001E-3</v>
      </c>
      <c r="CD161">
        <v>9.2999999999999999E-2</v>
      </c>
      <c r="CE161">
        <v>0.13500000000000001</v>
      </c>
      <c r="CF161">
        <v>0.17699999999999999</v>
      </c>
      <c r="CG161">
        <v>0.29799999999999999</v>
      </c>
      <c r="CH161">
        <v>23.408000999999999</v>
      </c>
      <c r="CI161">
        <v>25.130600000000001</v>
      </c>
      <c r="CJ161">
        <v>26.014999</v>
      </c>
      <c r="CK161">
        <v>26.385999999999999</v>
      </c>
      <c r="CL161">
        <v>26.761998999999999</v>
      </c>
      <c r="CM161">
        <v>27.4282</v>
      </c>
      <c r="CN161">
        <v>27.880998999999999</v>
      </c>
      <c r="CO161">
        <v>28.657080000000001</v>
      </c>
      <c r="CP161">
        <v>0.48888599999999999</v>
      </c>
      <c r="CQ161">
        <v>19.060146</v>
      </c>
      <c r="CR161">
        <v>21.181260999999999</v>
      </c>
      <c r="CS161">
        <v>1</v>
      </c>
      <c r="CT161">
        <v>90</v>
      </c>
      <c r="CU161">
        <v>21.905975000000002</v>
      </c>
      <c r="CV161">
        <v>1</v>
      </c>
      <c r="CW161">
        <v>15.926207</v>
      </c>
      <c r="CX161">
        <v>253.644069</v>
      </c>
      <c r="CY161">
        <v>0.72702599999999995</v>
      </c>
      <c r="CZ161">
        <v>22</v>
      </c>
      <c r="DA161">
        <v>0.937998</v>
      </c>
      <c r="DB161">
        <v>3.9406789999999998</v>
      </c>
      <c r="DC161">
        <v>12.56118</v>
      </c>
      <c r="DD161">
        <v>21.905975000000002</v>
      </c>
      <c r="DE161">
        <v>8.75535</v>
      </c>
      <c r="DF161">
        <v>1.440323</v>
      </c>
      <c r="DG161">
        <v>0.91329700000000003</v>
      </c>
      <c r="DH161">
        <v>0.39967900000000001</v>
      </c>
      <c r="DI161">
        <v>0.16450799999999999</v>
      </c>
      <c r="DJ161">
        <v>0.104313</v>
      </c>
      <c r="DK161">
        <v>1</v>
      </c>
      <c r="DL161">
        <v>2</v>
      </c>
      <c r="DM161">
        <v>3</v>
      </c>
      <c r="DN161">
        <v>7</v>
      </c>
      <c r="DO161">
        <v>9</v>
      </c>
      <c r="DP161">
        <v>11</v>
      </c>
      <c r="DQ161">
        <v>16</v>
      </c>
      <c r="DR161">
        <v>20</v>
      </c>
      <c r="DS161">
        <v>24</v>
      </c>
      <c r="DT161">
        <v>28.199950999999999</v>
      </c>
      <c r="DU161">
        <v>31</v>
      </c>
      <c r="DV161">
        <v>34</v>
      </c>
      <c r="DW161">
        <v>43</v>
      </c>
      <c r="DX161">
        <v>51</v>
      </c>
      <c r="DY161">
        <v>71</v>
      </c>
      <c r="DZ161">
        <v>91.846652000000006</v>
      </c>
      <c r="EA161">
        <v>55.141036999999997</v>
      </c>
      <c r="EB161">
        <v>98.164147</v>
      </c>
      <c r="EC161">
        <v>1701</v>
      </c>
      <c r="ED161">
        <v>1818</v>
      </c>
      <c r="EE161">
        <v>90.982720999999998</v>
      </c>
      <c r="EF161">
        <v>100</v>
      </c>
      <c r="EG161">
        <v>53.472853999999998</v>
      </c>
      <c r="EH161">
        <v>93.691233999999994</v>
      </c>
      <c r="EI161">
        <v>95.194383999999999</v>
      </c>
      <c r="EJ161">
        <v>166.79265699999999</v>
      </c>
      <c r="EK161">
        <v>1685</v>
      </c>
      <c r="EL161">
        <v>1852</v>
      </c>
      <c r="EM161">
        <v>1763</v>
      </c>
      <c r="EN161">
        <v>3089</v>
      </c>
      <c r="EO161">
        <v>1852</v>
      </c>
      <c r="EP161">
        <v>3297</v>
      </c>
      <c r="EQ161">
        <v>48.101806000000003</v>
      </c>
    </row>
    <row r="162" spans="1:147" x14ac:dyDescent="0.25">
      <c r="A162">
        <v>2022</v>
      </c>
      <c r="B162" t="str">
        <f t="shared" si="4"/>
        <v>NE</v>
      </c>
      <c r="C162" t="s">
        <v>973</v>
      </c>
      <c r="D162" t="s">
        <v>973</v>
      </c>
      <c r="E162">
        <v>24931</v>
      </c>
      <c r="F162" t="s">
        <v>974</v>
      </c>
      <c r="G162" t="s">
        <v>975</v>
      </c>
      <c r="H162" t="s">
        <v>976</v>
      </c>
      <c r="I162">
        <v>33.14</v>
      </c>
      <c r="J162">
        <v>33.14</v>
      </c>
      <c r="K162" t="s">
        <v>151</v>
      </c>
      <c r="L162">
        <v>1</v>
      </c>
      <c r="M162">
        <v>2016</v>
      </c>
      <c r="N162">
        <v>3</v>
      </c>
      <c r="O162" t="str">
        <f t="shared" si="5"/>
        <v>Alto fuste</v>
      </c>
      <c r="P162" s="2">
        <v>42690</v>
      </c>
      <c r="Q162" t="s">
        <v>174</v>
      </c>
      <c r="R162" t="s">
        <v>695</v>
      </c>
      <c r="S162" t="s">
        <v>154</v>
      </c>
      <c r="T162" t="s">
        <v>155</v>
      </c>
      <c r="U162" t="s">
        <v>156</v>
      </c>
      <c r="V162" s="2">
        <v>44637</v>
      </c>
      <c r="W162" t="s">
        <v>977</v>
      </c>
      <c r="X162">
        <v>33.99</v>
      </c>
      <c r="Y162">
        <v>19.399999999999999</v>
      </c>
      <c r="Z162">
        <v>28</v>
      </c>
      <c r="AA162">
        <v>15</v>
      </c>
      <c r="AB162">
        <v>1</v>
      </c>
      <c r="AC162">
        <v>291</v>
      </c>
      <c r="AD162">
        <v>256.89861665819001</v>
      </c>
      <c r="AE162" s="2">
        <v>44637</v>
      </c>
      <c r="AF162">
        <v>64</v>
      </c>
      <c r="AG162">
        <v>5.3305954825462001</v>
      </c>
      <c r="AH162">
        <v>29.6769873916131</v>
      </c>
      <c r="AI162">
        <v>18.54</v>
      </c>
      <c r="AJ162">
        <v>31.840378090240598</v>
      </c>
      <c r="AK162">
        <v>30</v>
      </c>
      <c r="AL162">
        <v>1167.77584831902</v>
      </c>
      <c r="AM162">
        <v>407.15715150348399</v>
      </c>
      <c r="AN162">
        <v>0.34866036327911298</v>
      </c>
      <c r="AO162" t="s">
        <v>695</v>
      </c>
      <c r="AP162" t="s">
        <v>158</v>
      </c>
      <c r="AQ162" t="s">
        <v>530</v>
      </c>
      <c r="AR162">
        <v>9</v>
      </c>
      <c r="AS162">
        <v>1.050998263487116</v>
      </c>
      <c r="AT162" t="s">
        <v>978</v>
      </c>
      <c r="AU162" t="s">
        <v>979</v>
      </c>
      <c r="AV162">
        <v>6263</v>
      </c>
      <c r="AW162">
        <v>3577</v>
      </c>
      <c r="AX162">
        <v>2558</v>
      </c>
      <c r="AY162">
        <v>128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-0.97</v>
      </c>
      <c r="BH162">
        <v>32.789000999999999</v>
      </c>
      <c r="BI162">
        <v>15.464598000000001</v>
      </c>
      <c r="BJ162">
        <v>-0.434143</v>
      </c>
      <c r="BK162">
        <v>14.034235000000001</v>
      </c>
      <c r="BL162">
        <v>196.95975100000001</v>
      </c>
      <c r="BM162">
        <v>0.90750699999999995</v>
      </c>
      <c r="BN162">
        <v>28.647500000000001</v>
      </c>
      <c r="BO162">
        <v>-0.140513</v>
      </c>
      <c r="BP162">
        <v>1.0800700000000001</v>
      </c>
      <c r="BQ162">
        <v>13.786163999999999</v>
      </c>
      <c r="BR162">
        <v>5.6280000000000001</v>
      </c>
      <c r="BS162">
        <v>25.946141999999998</v>
      </c>
      <c r="BT162">
        <v>15.464598000000001</v>
      </c>
      <c r="BU162">
        <v>7.3615329999999997</v>
      </c>
      <c r="BV162">
        <v>-0.24611</v>
      </c>
      <c r="BW162">
        <v>-1.524329</v>
      </c>
      <c r="BX162">
        <v>0.47602499999999998</v>
      </c>
      <c r="BY162">
        <v>-3.3432000000000003E-2</v>
      </c>
      <c r="BZ162">
        <v>-0.207067</v>
      </c>
      <c r="CA162">
        <v>-0.39800000000000002</v>
      </c>
      <c r="CB162">
        <v>-0.184</v>
      </c>
      <c r="CC162">
        <v>-0.09</v>
      </c>
      <c r="CD162">
        <v>1.4E-2</v>
      </c>
      <c r="CE162">
        <v>6.4000000000000001E-2</v>
      </c>
      <c r="CF162">
        <v>0.107</v>
      </c>
      <c r="CG162">
        <v>0.27300000000000002</v>
      </c>
      <c r="CH162">
        <v>25.511998999999999</v>
      </c>
      <c r="CI162">
        <v>27.314999</v>
      </c>
      <c r="CJ162">
        <v>28.273001000000001</v>
      </c>
      <c r="CK162">
        <v>28.711500000000001</v>
      </c>
      <c r="CL162">
        <v>29.135999999999999</v>
      </c>
      <c r="CM162">
        <v>30.173999999999999</v>
      </c>
      <c r="CN162">
        <v>30.695999</v>
      </c>
      <c r="CO162">
        <v>31.700001</v>
      </c>
      <c r="CP162">
        <v>0.486821</v>
      </c>
      <c r="CQ162">
        <v>20.882577999999999</v>
      </c>
      <c r="CR162">
        <v>23.174672000000001</v>
      </c>
      <c r="CS162">
        <v>1</v>
      </c>
      <c r="CT162">
        <v>76</v>
      </c>
      <c r="CU162">
        <v>24.343446</v>
      </c>
      <c r="CV162">
        <v>1</v>
      </c>
      <c r="CW162">
        <v>16.447462999999999</v>
      </c>
      <c r="CX162">
        <v>270.51904300000001</v>
      </c>
      <c r="CY162">
        <v>0.67564199999999996</v>
      </c>
      <c r="CZ162">
        <v>27</v>
      </c>
      <c r="DA162">
        <v>0.31494100000000003</v>
      </c>
      <c r="DB162">
        <v>2.3094709999999998</v>
      </c>
      <c r="DC162">
        <v>14.086373999999999</v>
      </c>
      <c r="DD162">
        <v>24.343446</v>
      </c>
      <c r="DE162">
        <v>9.3509200000000003</v>
      </c>
      <c r="DF162">
        <v>0.58135899999999996</v>
      </c>
      <c r="DG162">
        <v>0.22326499999999999</v>
      </c>
      <c r="DH162">
        <v>0.38412499999999999</v>
      </c>
      <c r="DI162">
        <v>6.2170999999999997E-2</v>
      </c>
      <c r="DJ162">
        <v>2.3876000000000001E-2</v>
      </c>
      <c r="DK162">
        <v>1</v>
      </c>
      <c r="DL162">
        <v>2</v>
      </c>
      <c r="DM162">
        <v>3</v>
      </c>
      <c r="DN162">
        <v>7</v>
      </c>
      <c r="DO162">
        <v>9</v>
      </c>
      <c r="DP162">
        <v>11</v>
      </c>
      <c r="DQ162">
        <v>18</v>
      </c>
      <c r="DR162">
        <v>25</v>
      </c>
      <c r="DS162">
        <v>31</v>
      </c>
      <c r="DT162">
        <v>34</v>
      </c>
      <c r="DU162">
        <v>36</v>
      </c>
      <c r="DV162">
        <v>38</v>
      </c>
      <c r="DW162">
        <v>44</v>
      </c>
      <c r="DX162">
        <v>53</v>
      </c>
      <c r="DY162">
        <v>64</v>
      </c>
      <c r="DZ162">
        <v>93.737769</v>
      </c>
      <c r="EA162">
        <v>55.771993999999999</v>
      </c>
      <c r="EB162">
        <v>97.651662999999999</v>
      </c>
      <c r="EC162">
        <v>3353</v>
      </c>
      <c r="ED162">
        <v>3493</v>
      </c>
      <c r="EE162">
        <v>92.116298999999998</v>
      </c>
      <c r="EF162">
        <v>100</v>
      </c>
      <c r="EG162">
        <v>53.376975999999999</v>
      </c>
      <c r="EH162">
        <v>99.265528000000003</v>
      </c>
      <c r="EI162">
        <v>93.458205000000007</v>
      </c>
      <c r="EJ162">
        <v>173.80486400000001</v>
      </c>
      <c r="EK162">
        <v>3295</v>
      </c>
      <c r="EL162">
        <v>3577</v>
      </c>
      <c r="EM162">
        <v>3343</v>
      </c>
      <c r="EN162">
        <v>6217</v>
      </c>
      <c r="EO162">
        <v>3577</v>
      </c>
      <c r="EP162">
        <v>6263</v>
      </c>
      <c r="EQ162">
        <v>47.832431999999997</v>
      </c>
    </row>
    <row r="163" spans="1:147" x14ac:dyDescent="0.25">
      <c r="A163">
        <v>2022</v>
      </c>
      <c r="B163" t="str">
        <f t="shared" si="4"/>
        <v>NE</v>
      </c>
      <c r="C163" t="s">
        <v>980</v>
      </c>
      <c r="D163" t="s">
        <v>980</v>
      </c>
      <c r="E163">
        <v>24932</v>
      </c>
      <c r="F163" t="s">
        <v>974</v>
      </c>
      <c r="G163" t="s">
        <v>975</v>
      </c>
      <c r="H163" t="s">
        <v>976</v>
      </c>
      <c r="I163">
        <v>33.14</v>
      </c>
      <c r="J163">
        <v>33.14</v>
      </c>
      <c r="K163" t="s">
        <v>151</v>
      </c>
      <c r="L163">
        <v>1</v>
      </c>
      <c r="M163">
        <v>2016</v>
      </c>
      <c r="N163">
        <v>3</v>
      </c>
      <c r="O163" t="str">
        <f t="shared" si="5"/>
        <v>Alto fuste</v>
      </c>
      <c r="P163" s="2">
        <v>42690</v>
      </c>
      <c r="Q163" t="s">
        <v>174</v>
      </c>
      <c r="R163" t="s">
        <v>695</v>
      </c>
      <c r="S163" t="s">
        <v>154</v>
      </c>
      <c r="T163" t="s">
        <v>155</v>
      </c>
      <c r="U163" t="s">
        <v>156</v>
      </c>
      <c r="V163" s="2">
        <v>44637</v>
      </c>
      <c r="W163" t="s">
        <v>977</v>
      </c>
      <c r="X163">
        <v>33.99</v>
      </c>
      <c r="Y163">
        <v>21.6</v>
      </c>
      <c r="Z163">
        <v>12</v>
      </c>
      <c r="AA163">
        <v>15</v>
      </c>
      <c r="AB163">
        <v>5</v>
      </c>
      <c r="AC163">
        <v>324</v>
      </c>
      <c r="AD163">
        <v>315.71384703190603</v>
      </c>
      <c r="AE163" s="2">
        <v>44637</v>
      </c>
      <c r="AF163">
        <v>64</v>
      </c>
      <c r="AG163">
        <v>5.3305954825462001</v>
      </c>
      <c r="AH163">
        <v>28.536351264734801</v>
      </c>
      <c r="AI163">
        <v>17.4892857142857</v>
      </c>
      <c r="AJ163">
        <v>21.6213342700886</v>
      </c>
      <c r="AK163">
        <v>28</v>
      </c>
      <c r="AL163">
        <v>886.87906036539198</v>
      </c>
      <c r="AM163">
        <v>268.43066235688298</v>
      </c>
      <c r="AN163">
        <v>0.302668846692907</v>
      </c>
      <c r="AO163" t="s">
        <v>695</v>
      </c>
      <c r="AP163" t="s">
        <v>158</v>
      </c>
      <c r="AQ163" t="s">
        <v>530</v>
      </c>
      <c r="AR163">
        <v>9</v>
      </c>
      <c r="AS163">
        <v>0.79819115432885301</v>
      </c>
      <c r="AT163" t="s">
        <v>981</v>
      </c>
      <c r="AU163" t="s">
        <v>982</v>
      </c>
      <c r="AV163">
        <v>6663</v>
      </c>
      <c r="AW163">
        <v>4203</v>
      </c>
      <c r="AX163">
        <v>2194</v>
      </c>
      <c r="AY163">
        <v>258</v>
      </c>
      <c r="AZ163">
        <v>8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-1.01</v>
      </c>
      <c r="BH163">
        <v>32.682999000000002</v>
      </c>
      <c r="BI163">
        <v>17.213512999999999</v>
      </c>
      <c r="BJ163">
        <v>-0.47519</v>
      </c>
      <c r="BK163">
        <v>13.479384</v>
      </c>
      <c r="BL163">
        <v>181.693806</v>
      </c>
      <c r="BM163">
        <v>0.78307000000000004</v>
      </c>
      <c r="BN163">
        <v>28.504999999999999</v>
      </c>
      <c r="BO163">
        <v>-0.40856300000000001</v>
      </c>
      <c r="BP163">
        <v>1.2538229999999999</v>
      </c>
      <c r="BQ163">
        <v>12.961710999999999</v>
      </c>
      <c r="BR163">
        <v>3.8580000000000001</v>
      </c>
      <c r="BS163">
        <v>26.756191000000001</v>
      </c>
      <c r="BT163">
        <v>17.213512999999999</v>
      </c>
      <c r="BU163">
        <v>7.0599020000000001</v>
      </c>
      <c r="BV163">
        <v>-1.0683819999999999</v>
      </c>
      <c r="BW163">
        <v>-1.13534</v>
      </c>
      <c r="BX163">
        <v>0.41013699999999997</v>
      </c>
      <c r="BY163">
        <v>-0.15133099999999999</v>
      </c>
      <c r="BZ163">
        <v>-0.16081500000000001</v>
      </c>
      <c r="CA163">
        <v>-0.47299999999999998</v>
      </c>
      <c r="CB163">
        <v>-0.1709</v>
      </c>
      <c r="CC163">
        <v>-5.6599999999999998E-2</v>
      </c>
      <c r="CD163">
        <v>7.5999999999999998E-2</v>
      </c>
      <c r="CE163">
        <v>0.14099999999999999</v>
      </c>
      <c r="CF163">
        <v>0.23</v>
      </c>
      <c r="CG163">
        <v>16.155203</v>
      </c>
      <c r="CH163">
        <v>26.280999999999999</v>
      </c>
      <c r="CI163">
        <v>27.451799000000001</v>
      </c>
      <c r="CJ163">
        <v>28.247799000000001</v>
      </c>
      <c r="CK163">
        <v>28.646000000000001</v>
      </c>
      <c r="CL163">
        <v>29.045000000000002</v>
      </c>
      <c r="CM163">
        <v>29.8888</v>
      </c>
      <c r="CN163">
        <v>30.683900999999999</v>
      </c>
      <c r="CO163">
        <v>31.676000999999999</v>
      </c>
      <c r="CP163">
        <v>0.54086900000000004</v>
      </c>
      <c r="CQ163">
        <v>21.862560999999999</v>
      </c>
      <c r="CR163">
        <v>23.800032000000002</v>
      </c>
      <c r="CS163">
        <v>1</v>
      </c>
      <c r="CT163">
        <v>60</v>
      </c>
      <c r="CU163">
        <v>21.040372000000001</v>
      </c>
      <c r="CV163">
        <v>1</v>
      </c>
      <c r="CW163">
        <v>13.302432</v>
      </c>
      <c r="CX163">
        <v>176.954689</v>
      </c>
      <c r="CY163">
        <v>0.63223399999999996</v>
      </c>
      <c r="CZ163">
        <v>22</v>
      </c>
      <c r="DA163">
        <v>0.194163</v>
      </c>
      <c r="DB163">
        <v>2.2111830000000001</v>
      </c>
      <c r="DC163">
        <v>11.247925</v>
      </c>
      <c r="DD163">
        <v>21.040372000000001</v>
      </c>
      <c r="DE163">
        <v>7.6078469999999996</v>
      </c>
      <c r="DF163">
        <v>0.26809300000000003</v>
      </c>
      <c r="DG163">
        <v>0.26136100000000001</v>
      </c>
      <c r="DH163">
        <v>0.36158299999999999</v>
      </c>
      <c r="DI163">
        <v>3.5238999999999999E-2</v>
      </c>
      <c r="DJ163">
        <v>3.4354000000000003E-2</v>
      </c>
      <c r="DK163">
        <v>1</v>
      </c>
      <c r="DL163">
        <v>1</v>
      </c>
      <c r="DM163">
        <v>3</v>
      </c>
      <c r="DN163">
        <v>6</v>
      </c>
      <c r="DO163">
        <v>9</v>
      </c>
      <c r="DP163">
        <v>12</v>
      </c>
      <c r="DQ163">
        <v>17</v>
      </c>
      <c r="DR163">
        <v>22</v>
      </c>
      <c r="DS163">
        <v>26</v>
      </c>
      <c r="DT163">
        <v>29</v>
      </c>
      <c r="DU163">
        <v>31</v>
      </c>
      <c r="DV163">
        <v>33</v>
      </c>
      <c r="DW163">
        <v>38</v>
      </c>
      <c r="DX163">
        <v>43</v>
      </c>
      <c r="DY163">
        <v>52</v>
      </c>
      <c r="DZ163">
        <v>92.576730999999995</v>
      </c>
      <c r="EA163">
        <v>64.055229999999995</v>
      </c>
      <c r="EB163">
        <v>101.546514</v>
      </c>
      <c r="EC163">
        <v>3891</v>
      </c>
      <c r="ED163">
        <v>4268</v>
      </c>
      <c r="EE163">
        <v>90.720913999999993</v>
      </c>
      <c r="EF163">
        <v>100</v>
      </c>
      <c r="EG163">
        <v>59.852919</v>
      </c>
      <c r="EH163">
        <v>99.009455000000003</v>
      </c>
      <c r="EI163">
        <v>94.884606000000005</v>
      </c>
      <c r="EJ163">
        <v>156.959315</v>
      </c>
      <c r="EK163">
        <v>3813</v>
      </c>
      <c r="EL163">
        <v>4203</v>
      </c>
      <c r="EM163">
        <v>3988</v>
      </c>
      <c r="EN163">
        <v>6597</v>
      </c>
      <c r="EO163">
        <v>4203</v>
      </c>
      <c r="EP163">
        <v>6663</v>
      </c>
      <c r="EQ163">
        <v>53.411316999999997</v>
      </c>
    </row>
    <row r="164" spans="1:147" x14ac:dyDescent="0.25">
      <c r="A164">
        <v>2022</v>
      </c>
      <c r="B164" t="str">
        <f t="shared" si="4"/>
        <v>NE</v>
      </c>
      <c r="C164" t="s">
        <v>983</v>
      </c>
      <c r="D164" t="s">
        <v>983</v>
      </c>
      <c r="E164">
        <v>24933</v>
      </c>
      <c r="F164" t="s">
        <v>974</v>
      </c>
      <c r="G164" t="s">
        <v>975</v>
      </c>
      <c r="H164" t="s">
        <v>976</v>
      </c>
      <c r="I164">
        <v>33.14</v>
      </c>
      <c r="J164">
        <v>33.14</v>
      </c>
      <c r="K164" t="s">
        <v>151</v>
      </c>
      <c r="L164">
        <v>1</v>
      </c>
      <c r="M164">
        <v>2016</v>
      </c>
      <c r="N164">
        <v>3</v>
      </c>
      <c r="O164" t="str">
        <f t="shared" si="5"/>
        <v>Alto fuste</v>
      </c>
      <c r="P164" s="2">
        <v>42690</v>
      </c>
      <c r="Q164" t="s">
        <v>174</v>
      </c>
      <c r="R164" t="s">
        <v>695</v>
      </c>
      <c r="S164" t="s">
        <v>154</v>
      </c>
      <c r="T164" t="s">
        <v>155</v>
      </c>
      <c r="U164" t="s">
        <v>156</v>
      </c>
      <c r="V164" s="2">
        <v>44637</v>
      </c>
      <c r="W164" t="s">
        <v>977</v>
      </c>
      <c r="X164">
        <v>33.99</v>
      </c>
      <c r="Y164">
        <v>19.8</v>
      </c>
      <c r="Z164">
        <v>21</v>
      </c>
      <c r="AA164">
        <v>14</v>
      </c>
      <c r="AB164">
        <v>0</v>
      </c>
      <c r="AC164">
        <v>277.2</v>
      </c>
      <c r="AD164">
        <v>258.78849422502401</v>
      </c>
      <c r="AE164" s="2">
        <v>44637</v>
      </c>
      <c r="AF164">
        <v>64</v>
      </c>
      <c r="AG164">
        <v>5.3305954825462001</v>
      </c>
      <c r="AH164">
        <v>28.668707742810199</v>
      </c>
      <c r="AI164">
        <v>17.057692307692299</v>
      </c>
      <c r="AJ164">
        <v>23.550701112516801</v>
      </c>
      <c r="AK164">
        <v>26</v>
      </c>
      <c r="AL164">
        <v>1004.6814514633</v>
      </c>
      <c r="AM164">
        <v>299.02378978460098</v>
      </c>
      <c r="AN164">
        <v>0.29763044729160498</v>
      </c>
      <c r="AO164" t="s">
        <v>695</v>
      </c>
      <c r="AP164" t="s">
        <v>158</v>
      </c>
      <c r="AQ164" t="s">
        <v>530</v>
      </c>
      <c r="AR164">
        <v>9</v>
      </c>
      <c r="AS164">
        <v>0.90421330631697372</v>
      </c>
      <c r="AT164" t="s">
        <v>984</v>
      </c>
      <c r="AU164" t="s">
        <v>985</v>
      </c>
      <c r="AV164">
        <v>9161</v>
      </c>
      <c r="AW164">
        <v>6065</v>
      </c>
      <c r="AX164">
        <v>2879</v>
      </c>
      <c r="AY164">
        <v>212</v>
      </c>
      <c r="AZ164">
        <v>5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-1.1850000000000001</v>
      </c>
      <c r="BH164">
        <v>32.498001000000002</v>
      </c>
      <c r="BI164">
        <v>16.846685999999998</v>
      </c>
      <c r="BJ164">
        <v>-0.115698</v>
      </c>
      <c r="BK164">
        <v>13.52862</v>
      </c>
      <c r="BL164">
        <v>183.02355299999999</v>
      </c>
      <c r="BM164">
        <v>0.80304299999999995</v>
      </c>
      <c r="BN164">
        <v>28.147998999999999</v>
      </c>
      <c r="BO164">
        <v>-0.38376300000000002</v>
      </c>
      <c r="BP164">
        <v>1.2184820000000001</v>
      </c>
      <c r="BQ164">
        <v>13.074949</v>
      </c>
      <c r="BR164">
        <v>3.772999</v>
      </c>
      <c r="BS164">
        <v>26.288698</v>
      </c>
      <c r="BT164">
        <v>16.846685999999998</v>
      </c>
      <c r="BU164">
        <v>7.0514700000000001</v>
      </c>
      <c r="BV164">
        <v>-0.97313300000000003</v>
      </c>
      <c r="BW164">
        <v>-1.182803</v>
      </c>
      <c r="BX164">
        <v>0.41856700000000002</v>
      </c>
      <c r="BY164">
        <v>-0.13800399999999999</v>
      </c>
      <c r="BZ164">
        <v>-0.167738</v>
      </c>
      <c r="CA164">
        <v>-0.48220000000000002</v>
      </c>
      <c r="CB164">
        <v>-0.17799999999999999</v>
      </c>
      <c r="CC164">
        <v>-8.2000000000000003E-2</v>
      </c>
      <c r="CD164">
        <v>4.8000000000000001E-2</v>
      </c>
      <c r="CE164">
        <v>0.11</v>
      </c>
      <c r="CF164">
        <v>0.16800000000000001</v>
      </c>
      <c r="CG164">
        <v>14.93</v>
      </c>
      <c r="CH164">
        <v>26.172999999999998</v>
      </c>
      <c r="CI164">
        <v>27.160999</v>
      </c>
      <c r="CJ164">
        <v>27.903998999999999</v>
      </c>
      <c r="CK164">
        <v>28.257999000000002</v>
      </c>
      <c r="CL164">
        <v>28.669001000000002</v>
      </c>
      <c r="CM164">
        <v>29.75</v>
      </c>
      <c r="CN164">
        <v>30.448</v>
      </c>
      <c r="CO164">
        <v>31.417998999999998</v>
      </c>
      <c r="CP164">
        <v>0.53533500000000001</v>
      </c>
      <c r="CQ164">
        <v>21.605888</v>
      </c>
      <c r="CR164">
        <v>23.561574</v>
      </c>
      <c r="CS164">
        <v>1</v>
      </c>
      <c r="CT164">
        <v>58</v>
      </c>
      <c r="CU164">
        <v>17.944329</v>
      </c>
      <c r="CV164">
        <v>1</v>
      </c>
      <c r="CW164">
        <v>11.466639000000001</v>
      </c>
      <c r="CX164">
        <v>131.4838</v>
      </c>
      <c r="CY164">
        <v>0.63901200000000002</v>
      </c>
      <c r="CZ164">
        <v>18</v>
      </c>
      <c r="DA164">
        <v>0.41355599999999998</v>
      </c>
      <c r="DB164">
        <v>2.6667179999999999</v>
      </c>
      <c r="DC164">
        <v>9.3961319999999997</v>
      </c>
      <c r="DD164">
        <v>17.944329</v>
      </c>
      <c r="DE164">
        <v>6.4949490000000001</v>
      </c>
      <c r="DF164">
        <v>0.47536099999999998</v>
      </c>
      <c r="DG164">
        <v>0.458899</v>
      </c>
      <c r="DH164">
        <v>0.36194999999999999</v>
      </c>
      <c r="DI164">
        <v>7.3189000000000004E-2</v>
      </c>
      <c r="DJ164">
        <v>7.0654999999999996E-2</v>
      </c>
      <c r="DK164">
        <v>1</v>
      </c>
      <c r="DL164">
        <v>1</v>
      </c>
      <c r="DM164">
        <v>3</v>
      </c>
      <c r="DN164">
        <v>6</v>
      </c>
      <c r="DO164">
        <v>8</v>
      </c>
      <c r="DP164">
        <v>11</v>
      </c>
      <c r="DQ164">
        <v>14</v>
      </c>
      <c r="DR164">
        <v>18</v>
      </c>
      <c r="DS164">
        <v>21</v>
      </c>
      <c r="DT164">
        <v>24</v>
      </c>
      <c r="DU164">
        <v>26</v>
      </c>
      <c r="DV164">
        <v>27</v>
      </c>
      <c r="DW164">
        <v>32</v>
      </c>
      <c r="DX164">
        <v>39</v>
      </c>
      <c r="DY164">
        <v>47</v>
      </c>
      <c r="DZ164">
        <v>89.579554999999999</v>
      </c>
      <c r="EA164">
        <v>62.187533999999999</v>
      </c>
      <c r="EB164">
        <v>93.932399000000004</v>
      </c>
      <c r="EC164">
        <v>5433</v>
      </c>
      <c r="ED164">
        <v>5697</v>
      </c>
      <c r="EE164">
        <v>88.029678000000004</v>
      </c>
      <c r="EF164">
        <v>100</v>
      </c>
      <c r="EG164">
        <v>59.709639000000003</v>
      </c>
      <c r="EH164">
        <v>91.856784000000005</v>
      </c>
      <c r="EI164">
        <v>90.189612999999994</v>
      </c>
      <c r="EJ164">
        <v>138.74690799999999</v>
      </c>
      <c r="EK164">
        <v>5339</v>
      </c>
      <c r="EL164">
        <v>6065</v>
      </c>
      <c r="EM164">
        <v>5470</v>
      </c>
      <c r="EN164">
        <v>8415</v>
      </c>
      <c r="EO164">
        <v>6065</v>
      </c>
      <c r="EP164">
        <v>9161</v>
      </c>
      <c r="EQ164">
        <v>52.687918000000003</v>
      </c>
    </row>
    <row r="165" spans="1:147" x14ac:dyDescent="0.25">
      <c r="A165">
        <v>2022</v>
      </c>
      <c r="B165" t="str">
        <f t="shared" si="4"/>
        <v>NE</v>
      </c>
      <c r="C165" t="s">
        <v>986</v>
      </c>
      <c r="D165" t="s">
        <v>986</v>
      </c>
      <c r="E165">
        <v>24950</v>
      </c>
      <c r="F165" t="s">
        <v>987</v>
      </c>
      <c r="G165" t="s">
        <v>988</v>
      </c>
      <c r="H165" t="s">
        <v>989</v>
      </c>
      <c r="I165">
        <v>12.71</v>
      </c>
      <c r="J165">
        <v>12.71</v>
      </c>
      <c r="K165" t="s">
        <v>461</v>
      </c>
      <c r="L165">
        <v>1</v>
      </c>
      <c r="M165">
        <v>2016</v>
      </c>
      <c r="N165">
        <v>4</v>
      </c>
      <c r="O165" t="str">
        <f t="shared" si="5"/>
        <v>Alto fuste</v>
      </c>
      <c r="P165" s="2">
        <v>42628</v>
      </c>
      <c r="Q165" t="s">
        <v>174</v>
      </c>
      <c r="R165" t="s">
        <v>695</v>
      </c>
      <c r="S165" t="s">
        <v>154</v>
      </c>
      <c r="T165" t="s">
        <v>155</v>
      </c>
      <c r="U165" t="s">
        <v>156</v>
      </c>
      <c r="V165" s="2">
        <v>44593</v>
      </c>
      <c r="W165" t="s">
        <v>990</v>
      </c>
      <c r="X165">
        <v>173.34</v>
      </c>
      <c r="Y165">
        <v>19</v>
      </c>
      <c r="Z165">
        <v>31</v>
      </c>
      <c r="AA165">
        <v>16.2</v>
      </c>
      <c r="AB165">
        <v>5</v>
      </c>
      <c r="AC165">
        <v>307.8</v>
      </c>
      <c r="AD165">
        <v>262.83211915974601</v>
      </c>
      <c r="AE165" s="2">
        <v>44593</v>
      </c>
      <c r="AF165">
        <v>65</v>
      </c>
      <c r="AG165">
        <v>5.37987679671458</v>
      </c>
      <c r="AH165">
        <v>26.491709384592699</v>
      </c>
      <c r="AI165">
        <v>16.655999999999999</v>
      </c>
      <c r="AJ165">
        <v>21.314679067011099</v>
      </c>
      <c r="AK165">
        <v>25</v>
      </c>
      <c r="AL165">
        <v>951.17750752545203</v>
      </c>
      <c r="AM165">
        <v>253.75892040428701</v>
      </c>
      <c r="AN165">
        <v>0.26678397922219199</v>
      </c>
      <c r="AO165" t="s">
        <v>695</v>
      </c>
      <c r="AP165" t="s">
        <v>158</v>
      </c>
      <c r="AQ165" t="s">
        <v>991</v>
      </c>
      <c r="AR165">
        <v>9</v>
      </c>
      <c r="AS165">
        <v>0.85605975677290747</v>
      </c>
      <c r="AT165" t="s">
        <v>992</v>
      </c>
      <c r="AU165" t="s">
        <v>993</v>
      </c>
      <c r="AV165">
        <v>6399</v>
      </c>
      <c r="AW165">
        <v>4180</v>
      </c>
      <c r="AX165">
        <v>2011</v>
      </c>
      <c r="AY165">
        <v>204</v>
      </c>
      <c r="AZ165">
        <v>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-1.0289999999999999</v>
      </c>
      <c r="BH165">
        <v>31.368998999999999</v>
      </c>
      <c r="BI165">
        <v>16.565712000000001</v>
      </c>
      <c r="BJ165">
        <v>-4.9200000000000003E-4</v>
      </c>
      <c r="BK165">
        <v>12.817767999999999</v>
      </c>
      <c r="BL165">
        <v>164.295177</v>
      </c>
      <c r="BM165">
        <v>0.77375300000000002</v>
      </c>
      <c r="BN165">
        <v>27.323001000000001</v>
      </c>
      <c r="BO165">
        <v>-0.43061100000000002</v>
      </c>
      <c r="BP165">
        <v>1.2957430000000001</v>
      </c>
      <c r="BQ165">
        <v>12.195057</v>
      </c>
      <c r="BR165">
        <v>4.2300009999999997</v>
      </c>
      <c r="BS165">
        <v>24.866491</v>
      </c>
      <c r="BT165">
        <v>16.565712000000001</v>
      </c>
      <c r="BU165">
        <v>6.7488049999999999</v>
      </c>
      <c r="BV165">
        <v>-1.034292</v>
      </c>
      <c r="BW165">
        <v>-1.045177</v>
      </c>
      <c r="BX165">
        <v>0.40739599999999998</v>
      </c>
      <c r="BY165">
        <v>-0.153256</v>
      </c>
      <c r="BZ165">
        <v>-0.15486900000000001</v>
      </c>
      <c r="CA165">
        <v>-0.39710000000000001</v>
      </c>
      <c r="CB165">
        <v>-0.16900000000000001</v>
      </c>
      <c r="CC165">
        <v>-7.5999999999999998E-2</v>
      </c>
      <c r="CD165">
        <v>5.8000000000000003E-2</v>
      </c>
      <c r="CE165">
        <v>0.127</v>
      </c>
      <c r="CF165">
        <v>0.216</v>
      </c>
      <c r="CG165">
        <v>16.343</v>
      </c>
      <c r="CH165">
        <v>24.865998999999999</v>
      </c>
      <c r="CI165">
        <v>26.129999000000002</v>
      </c>
      <c r="CJ165">
        <v>27.038</v>
      </c>
      <c r="CK165">
        <v>27.450001</v>
      </c>
      <c r="CL165">
        <v>27.894400000000001</v>
      </c>
      <c r="CM165">
        <v>28.896001999999999</v>
      </c>
      <c r="CN165">
        <v>29.443000999999999</v>
      </c>
      <c r="CO165">
        <v>30.305420000000002</v>
      </c>
      <c r="CP165">
        <v>0.54308000000000001</v>
      </c>
      <c r="CQ165">
        <v>20.944983000000001</v>
      </c>
      <c r="CR165">
        <v>22.768338</v>
      </c>
      <c r="CS165">
        <v>1</v>
      </c>
      <c r="CT165">
        <v>59</v>
      </c>
      <c r="CU165">
        <v>21.040163</v>
      </c>
      <c r="CV165">
        <v>1</v>
      </c>
      <c r="CW165">
        <v>12.761100000000001</v>
      </c>
      <c r="CX165">
        <v>162.84568300000001</v>
      </c>
      <c r="CY165">
        <v>0.60651100000000002</v>
      </c>
      <c r="CZ165">
        <v>21</v>
      </c>
      <c r="DA165">
        <v>1.7239000000000001E-2</v>
      </c>
      <c r="DB165">
        <v>2.1174909999999998</v>
      </c>
      <c r="DC165">
        <v>10.739426</v>
      </c>
      <c r="DD165">
        <v>21.040163</v>
      </c>
      <c r="DE165">
        <v>7.2910709999999996</v>
      </c>
      <c r="DF165">
        <v>-6.1571000000000001E-2</v>
      </c>
      <c r="DG165">
        <v>0.27544400000000002</v>
      </c>
      <c r="DH165">
        <v>0.34653099999999998</v>
      </c>
      <c r="DI165">
        <v>-8.4449999999999994E-3</v>
      </c>
      <c r="DJ165">
        <v>3.7777999999999999E-2</v>
      </c>
      <c r="DK165">
        <v>1</v>
      </c>
      <c r="DL165">
        <v>1</v>
      </c>
      <c r="DM165">
        <v>3</v>
      </c>
      <c r="DN165">
        <v>6</v>
      </c>
      <c r="DO165">
        <v>9</v>
      </c>
      <c r="DP165">
        <v>13</v>
      </c>
      <c r="DQ165">
        <v>19</v>
      </c>
      <c r="DR165">
        <v>23</v>
      </c>
      <c r="DS165">
        <v>26</v>
      </c>
      <c r="DT165">
        <v>29</v>
      </c>
      <c r="DU165">
        <v>30</v>
      </c>
      <c r="DV165">
        <v>32</v>
      </c>
      <c r="DW165">
        <v>37</v>
      </c>
      <c r="DX165">
        <v>42</v>
      </c>
      <c r="DY165">
        <v>49</v>
      </c>
      <c r="DZ165">
        <v>91.770335000000003</v>
      </c>
      <c r="EA165">
        <v>64.150649000000001</v>
      </c>
      <c r="EB165">
        <v>98.205742000000001</v>
      </c>
      <c r="EC165">
        <v>3836</v>
      </c>
      <c r="ED165">
        <v>4105</v>
      </c>
      <c r="EE165">
        <v>89.473684000000006</v>
      </c>
      <c r="EF165">
        <v>99.808611999999997</v>
      </c>
      <c r="EG165">
        <v>59.884357000000001</v>
      </c>
      <c r="EH165">
        <v>84.810126999999994</v>
      </c>
      <c r="EI165">
        <v>91.674640999999994</v>
      </c>
      <c r="EJ165">
        <v>129.832536</v>
      </c>
      <c r="EK165">
        <v>3740</v>
      </c>
      <c r="EL165">
        <v>4172</v>
      </c>
      <c r="EM165">
        <v>3832</v>
      </c>
      <c r="EN165">
        <v>5427</v>
      </c>
      <c r="EO165">
        <v>4180</v>
      </c>
      <c r="EP165">
        <v>6399</v>
      </c>
      <c r="EQ165">
        <v>53.765799999999999</v>
      </c>
    </row>
    <row r="166" spans="1:147" x14ac:dyDescent="0.25">
      <c r="A166">
        <v>2022</v>
      </c>
      <c r="B166" t="str">
        <f t="shared" si="4"/>
        <v>NE</v>
      </c>
      <c r="C166" t="s">
        <v>994</v>
      </c>
      <c r="D166" t="s">
        <v>994</v>
      </c>
      <c r="E166">
        <v>24959</v>
      </c>
      <c r="F166" t="s">
        <v>995</v>
      </c>
      <c r="G166" t="s">
        <v>988</v>
      </c>
      <c r="H166" t="s">
        <v>996</v>
      </c>
      <c r="I166">
        <v>16.64</v>
      </c>
      <c r="J166">
        <v>16.64</v>
      </c>
      <c r="K166" t="s">
        <v>461</v>
      </c>
      <c r="L166">
        <v>1</v>
      </c>
      <c r="M166">
        <v>2016</v>
      </c>
      <c r="N166">
        <v>3</v>
      </c>
      <c r="O166" t="str">
        <f t="shared" si="5"/>
        <v>Talhadia</v>
      </c>
      <c r="P166" s="2">
        <v>42613</v>
      </c>
      <c r="Q166" t="s">
        <v>152</v>
      </c>
      <c r="R166" t="s">
        <v>153</v>
      </c>
      <c r="S166" t="s">
        <v>154</v>
      </c>
      <c r="T166" t="s">
        <v>155</v>
      </c>
      <c r="U166" t="s">
        <v>156</v>
      </c>
      <c r="V166" s="2">
        <v>44593</v>
      </c>
      <c r="W166" t="s">
        <v>990</v>
      </c>
      <c r="X166">
        <v>185.43</v>
      </c>
      <c r="Y166">
        <v>19.8</v>
      </c>
      <c r="Z166">
        <v>33</v>
      </c>
      <c r="AA166">
        <v>15.4</v>
      </c>
      <c r="AB166">
        <v>0</v>
      </c>
      <c r="AC166">
        <v>304.92</v>
      </c>
      <c r="AD166">
        <v>255.727429577919</v>
      </c>
      <c r="AE166" s="2">
        <v>44593</v>
      </c>
      <c r="AF166">
        <v>66</v>
      </c>
      <c r="AG166">
        <v>5.4209445585215601</v>
      </c>
      <c r="AH166">
        <v>25.252692527356999</v>
      </c>
      <c r="AI166">
        <v>16.242307692307701</v>
      </c>
      <c r="AJ166">
        <v>21.645948201721801</v>
      </c>
      <c r="AK166">
        <v>26</v>
      </c>
      <c r="AL166">
        <v>1016.70751717613</v>
      </c>
      <c r="AM166">
        <v>229.325892564132</v>
      </c>
      <c r="AN166">
        <v>0.22555738861956701</v>
      </c>
      <c r="AO166" t="s">
        <v>153</v>
      </c>
      <c r="AP166" t="s">
        <v>264</v>
      </c>
      <c r="AQ166" t="s">
        <v>991</v>
      </c>
      <c r="AR166">
        <v>9.99</v>
      </c>
      <c r="AS166">
        <v>1.015690809658955</v>
      </c>
      <c r="AT166" t="s">
        <v>997</v>
      </c>
      <c r="AU166" t="s">
        <v>998</v>
      </c>
      <c r="AV166">
        <v>3918</v>
      </c>
      <c r="AW166">
        <v>2353</v>
      </c>
      <c r="AX166">
        <v>1433</v>
      </c>
      <c r="AY166">
        <v>130</v>
      </c>
      <c r="AZ166">
        <v>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-1.095</v>
      </c>
      <c r="BH166">
        <v>27.839001</v>
      </c>
      <c r="BI166">
        <v>15.004201</v>
      </c>
      <c r="BJ166">
        <v>-0.17646000000000001</v>
      </c>
      <c r="BK166">
        <v>11.755473</v>
      </c>
      <c r="BL166">
        <v>138.19114300000001</v>
      </c>
      <c r="BM166">
        <v>0.78347900000000004</v>
      </c>
      <c r="BN166">
        <v>24.817748999999999</v>
      </c>
      <c r="BO166">
        <v>-0.43159799999999998</v>
      </c>
      <c r="BP166">
        <v>1.263614</v>
      </c>
      <c r="BQ166">
        <v>11.266507000000001</v>
      </c>
      <c r="BR166">
        <v>3.2334999999999998</v>
      </c>
      <c r="BS166">
        <v>23.144960000000001</v>
      </c>
      <c r="BT166">
        <v>15.004201</v>
      </c>
      <c r="BU166">
        <v>6.1250770000000001</v>
      </c>
      <c r="BV166">
        <v>-0.97174799999999995</v>
      </c>
      <c r="BW166">
        <v>-0.98607800000000001</v>
      </c>
      <c r="BX166">
        <v>0.40822399999999998</v>
      </c>
      <c r="BY166">
        <v>-0.15865099999999999</v>
      </c>
      <c r="BZ166">
        <v>-0.16098999999999999</v>
      </c>
      <c r="CA166">
        <v>-0.48798000000000002</v>
      </c>
      <c r="CB166">
        <v>-0.21515000000000001</v>
      </c>
      <c r="CC166">
        <v>-6.4299999999999996E-2</v>
      </c>
      <c r="CD166">
        <v>0.09</v>
      </c>
      <c r="CE166">
        <v>0.16600000000000001</v>
      </c>
      <c r="CF166">
        <v>0.26200000000000001</v>
      </c>
      <c r="CG166">
        <v>17.0686</v>
      </c>
      <c r="CH166">
        <v>22.968499999999999</v>
      </c>
      <c r="CI166">
        <v>23.807199000000001</v>
      </c>
      <c r="CJ166">
        <v>24.643699999999999</v>
      </c>
      <c r="CK166">
        <v>24.983749</v>
      </c>
      <c r="CL166">
        <v>25.294398999999999</v>
      </c>
      <c r="CM166">
        <v>26.0473</v>
      </c>
      <c r="CN166">
        <v>26.508299000000001</v>
      </c>
      <c r="CO166">
        <v>27.113222</v>
      </c>
      <c r="CP166">
        <v>0.55641099999999999</v>
      </c>
      <c r="CQ166">
        <v>19.059956</v>
      </c>
      <c r="CR166">
        <v>20.720119</v>
      </c>
      <c r="CS166">
        <v>1</v>
      </c>
      <c r="CT166">
        <v>46</v>
      </c>
      <c r="CU166">
        <v>17.740939000000001</v>
      </c>
      <c r="CV166">
        <v>1.714286</v>
      </c>
      <c r="CW166">
        <v>11.515959000000001</v>
      </c>
      <c r="CX166">
        <v>132.617323</v>
      </c>
      <c r="CY166">
        <v>0.64911799999999997</v>
      </c>
      <c r="CZ166">
        <v>22</v>
      </c>
      <c r="DA166">
        <v>4.3298000000000003E-2</v>
      </c>
      <c r="DB166">
        <v>1.720121</v>
      </c>
      <c r="DC166">
        <v>10.217098999999999</v>
      </c>
      <c r="DD166">
        <v>17.740939000000001</v>
      </c>
      <c r="DE166">
        <v>6.6118779999999999</v>
      </c>
      <c r="DF166">
        <v>8.2327999999999998E-2</v>
      </c>
      <c r="DG166">
        <v>-0.208481</v>
      </c>
      <c r="DH166">
        <v>0.37269000000000002</v>
      </c>
      <c r="DI166">
        <v>1.2452E-2</v>
      </c>
      <c r="DJ166">
        <v>-3.1531000000000003E-2</v>
      </c>
      <c r="DK166">
        <v>1</v>
      </c>
      <c r="DL166">
        <v>1</v>
      </c>
      <c r="DM166">
        <v>2</v>
      </c>
      <c r="DN166">
        <v>5</v>
      </c>
      <c r="DO166">
        <v>6</v>
      </c>
      <c r="DP166">
        <v>8</v>
      </c>
      <c r="DQ166">
        <v>13</v>
      </c>
      <c r="DR166">
        <v>19</v>
      </c>
      <c r="DS166">
        <v>23</v>
      </c>
      <c r="DT166">
        <v>26</v>
      </c>
      <c r="DU166">
        <v>28</v>
      </c>
      <c r="DV166">
        <v>29</v>
      </c>
      <c r="DW166">
        <v>32</v>
      </c>
      <c r="DX166">
        <v>35</v>
      </c>
      <c r="DY166">
        <v>40</v>
      </c>
      <c r="DZ166">
        <v>98.257543999999996</v>
      </c>
      <c r="EA166">
        <v>62.889229</v>
      </c>
      <c r="EB166">
        <v>104.717382</v>
      </c>
      <c r="EC166">
        <v>2312</v>
      </c>
      <c r="ED166">
        <v>2464</v>
      </c>
      <c r="EE166">
        <v>97.832554000000002</v>
      </c>
      <c r="EF166">
        <v>100</v>
      </c>
      <c r="EG166">
        <v>61.000509999999998</v>
      </c>
      <c r="EH166">
        <v>93.950995000000006</v>
      </c>
      <c r="EI166">
        <v>101.572461</v>
      </c>
      <c r="EJ166">
        <v>156.43858900000001</v>
      </c>
      <c r="EK166">
        <v>2302</v>
      </c>
      <c r="EL166">
        <v>2353</v>
      </c>
      <c r="EM166">
        <v>2390</v>
      </c>
      <c r="EN166">
        <v>3681</v>
      </c>
      <c r="EO166">
        <v>2353</v>
      </c>
      <c r="EP166">
        <v>3918</v>
      </c>
      <c r="EQ166">
        <v>54.381537999999999</v>
      </c>
    </row>
    <row r="167" spans="1:147" x14ac:dyDescent="0.25">
      <c r="A167">
        <v>2022</v>
      </c>
      <c r="B167" t="str">
        <f t="shared" si="4"/>
        <v>NE</v>
      </c>
      <c r="C167" t="s">
        <v>999</v>
      </c>
      <c r="D167" t="s">
        <v>999</v>
      </c>
      <c r="E167">
        <v>24961</v>
      </c>
      <c r="F167" t="s">
        <v>995</v>
      </c>
      <c r="G167" t="s">
        <v>988</v>
      </c>
      <c r="H167" t="s">
        <v>1000</v>
      </c>
      <c r="I167">
        <v>14.89</v>
      </c>
      <c r="J167">
        <v>14.89</v>
      </c>
      <c r="K167" t="s">
        <v>461</v>
      </c>
      <c r="L167">
        <v>1</v>
      </c>
      <c r="M167">
        <v>2016</v>
      </c>
      <c r="N167">
        <v>3</v>
      </c>
      <c r="O167" t="str">
        <f t="shared" si="5"/>
        <v>Talhadia</v>
      </c>
      <c r="P167" s="2">
        <v>42612</v>
      </c>
      <c r="Q167" t="s">
        <v>322</v>
      </c>
      <c r="R167" t="s">
        <v>660</v>
      </c>
      <c r="S167" t="s">
        <v>154</v>
      </c>
      <c r="T167" t="s">
        <v>155</v>
      </c>
      <c r="U167" t="s">
        <v>156</v>
      </c>
      <c r="V167" s="2">
        <v>44593</v>
      </c>
      <c r="W167" t="s">
        <v>990</v>
      </c>
      <c r="X167">
        <v>185.43</v>
      </c>
      <c r="Y167">
        <v>20</v>
      </c>
      <c r="Z167">
        <v>19</v>
      </c>
      <c r="AA167">
        <v>15.4</v>
      </c>
      <c r="AB167">
        <v>9</v>
      </c>
      <c r="AC167">
        <v>308</v>
      </c>
      <c r="AD167">
        <v>287.634323264155</v>
      </c>
      <c r="AE167" s="2">
        <v>44593</v>
      </c>
      <c r="AF167">
        <v>66</v>
      </c>
      <c r="AG167">
        <v>5.4236824093086904</v>
      </c>
      <c r="AH167">
        <v>28.1536723167732</v>
      </c>
      <c r="AI167">
        <v>17.023809523809501</v>
      </c>
      <c r="AJ167">
        <v>16.9299459537804</v>
      </c>
      <c r="AK167">
        <v>21</v>
      </c>
      <c r="AL167">
        <v>730.09367455476502</v>
      </c>
      <c r="AM167">
        <v>204.662753623664</v>
      </c>
      <c r="AN167">
        <v>0.28032396493295803</v>
      </c>
      <c r="AO167" t="s">
        <v>660</v>
      </c>
      <c r="AP167" t="s">
        <v>264</v>
      </c>
      <c r="AQ167" t="s">
        <v>1001</v>
      </c>
      <c r="AR167">
        <v>9.99</v>
      </c>
      <c r="AS167">
        <v>0.72936358088021003</v>
      </c>
      <c r="AT167" t="s">
        <v>1002</v>
      </c>
      <c r="AU167" t="s">
        <v>1003</v>
      </c>
      <c r="AV167">
        <v>5108</v>
      </c>
      <c r="AW167">
        <v>2671</v>
      </c>
      <c r="AX167">
        <v>1924</v>
      </c>
      <c r="AY167">
        <v>474</v>
      </c>
      <c r="AZ167">
        <v>39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-1.171</v>
      </c>
      <c r="BH167">
        <v>33.050998999999997</v>
      </c>
      <c r="BI167">
        <v>13.223223000000001</v>
      </c>
      <c r="BJ167">
        <v>-8.4586999999999996E-2</v>
      </c>
      <c r="BK167">
        <v>12.588438999999999</v>
      </c>
      <c r="BL167">
        <v>158.46879000000001</v>
      </c>
      <c r="BM167">
        <v>0.95199500000000004</v>
      </c>
      <c r="BN167">
        <v>27.346250999999999</v>
      </c>
      <c r="BO167">
        <v>0.14771100000000001</v>
      </c>
      <c r="BP167">
        <v>1.3053300000000001</v>
      </c>
      <c r="BQ167">
        <v>11.671422</v>
      </c>
      <c r="BR167">
        <v>12.5945</v>
      </c>
      <c r="BS167">
        <v>12.687087</v>
      </c>
      <c r="BT167">
        <v>13.223223000000001</v>
      </c>
      <c r="BU167">
        <v>6.9479090000000001</v>
      </c>
      <c r="BV167">
        <v>0.63903200000000004</v>
      </c>
      <c r="BW167">
        <v>-1.1121479999999999</v>
      </c>
      <c r="BX167">
        <v>0.52543200000000001</v>
      </c>
      <c r="BY167">
        <v>9.1975000000000001E-2</v>
      </c>
      <c r="BZ167">
        <v>-0.16006899999999999</v>
      </c>
      <c r="CA167">
        <v>-0.44792999999999999</v>
      </c>
      <c r="CB167">
        <v>-0.18565000000000001</v>
      </c>
      <c r="CC167">
        <v>-9.8000000000000004E-2</v>
      </c>
      <c r="CD167">
        <v>1.4999999999999999E-2</v>
      </c>
      <c r="CE167">
        <v>6.9000000000000006E-2</v>
      </c>
      <c r="CF167">
        <v>0.1201</v>
      </c>
      <c r="CG167">
        <v>0.31519999999999998</v>
      </c>
      <c r="CH167">
        <v>12.602499999999999</v>
      </c>
      <c r="CI167">
        <v>18.923999999999999</v>
      </c>
      <c r="CJ167">
        <v>25.9757</v>
      </c>
      <c r="CK167">
        <v>27.415251000000001</v>
      </c>
      <c r="CL167">
        <v>28.306598999999999</v>
      </c>
      <c r="CM167">
        <v>29.555201</v>
      </c>
      <c r="CN167">
        <v>30.233650000000001</v>
      </c>
      <c r="CO167">
        <v>31.479020999999999</v>
      </c>
      <c r="CP167">
        <v>0.42061300000000001</v>
      </c>
      <c r="CQ167">
        <v>18.256270000000001</v>
      </c>
      <c r="CR167">
        <v>20.717223000000001</v>
      </c>
      <c r="CS167">
        <v>1</v>
      </c>
      <c r="CT167">
        <v>57</v>
      </c>
      <c r="CU167">
        <v>12.8148</v>
      </c>
      <c r="CV167">
        <v>1</v>
      </c>
      <c r="CW167">
        <v>11.054618</v>
      </c>
      <c r="CX167">
        <v>122.204582</v>
      </c>
      <c r="CY167">
        <v>0.862645</v>
      </c>
      <c r="CZ167">
        <v>13</v>
      </c>
      <c r="DA167">
        <v>1.4472</v>
      </c>
      <c r="DB167">
        <v>4.9217329999999997</v>
      </c>
      <c r="DC167">
        <v>8.3507029999999993</v>
      </c>
      <c r="DD167">
        <v>12.8148</v>
      </c>
      <c r="DE167">
        <v>5.7627790000000001</v>
      </c>
      <c r="DF167">
        <v>1.6697919999999999</v>
      </c>
      <c r="DG167">
        <v>0.86095999999999995</v>
      </c>
      <c r="DH167">
        <v>0.44969700000000001</v>
      </c>
      <c r="DI167">
        <v>0.28975499999999998</v>
      </c>
      <c r="DJ167">
        <v>0.14940000000000001</v>
      </c>
      <c r="DK167">
        <v>1</v>
      </c>
      <c r="DL167">
        <v>1</v>
      </c>
      <c r="DM167">
        <v>2</v>
      </c>
      <c r="DN167">
        <v>4</v>
      </c>
      <c r="DO167">
        <v>4</v>
      </c>
      <c r="DP167">
        <v>5</v>
      </c>
      <c r="DQ167">
        <v>8</v>
      </c>
      <c r="DR167">
        <v>10</v>
      </c>
      <c r="DS167">
        <v>12</v>
      </c>
      <c r="DT167">
        <v>15</v>
      </c>
      <c r="DU167">
        <v>17</v>
      </c>
      <c r="DV167">
        <v>20</v>
      </c>
      <c r="DW167">
        <v>28</v>
      </c>
      <c r="DX167">
        <v>39.649901999999997</v>
      </c>
      <c r="DY167">
        <v>48</v>
      </c>
      <c r="DZ167">
        <v>81.280418999999995</v>
      </c>
      <c r="EA167">
        <v>57.889584999999997</v>
      </c>
      <c r="EB167">
        <v>110.7076</v>
      </c>
      <c r="EC167">
        <v>2171</v>
      </c>
      <c r="ED167">
        <v>2957</v>
      </c>
      <c r="EE167">
        <v>75.215275000000005</v>
      </c>
      <c r="EF167">
        <v>99.588168999999994</v>
      </c>
      <c r="EG167">
        <v>49.119028999999998</v>
      </c>
      <c r="EH167">
        <v>88.919342</v>
      </c>
      <c r="EI167">
        <v>93.934855999999996</v>
      </c>
      <c r="EJ167">
        <v>170.04867100000001</v>
      </c>
      <c r="EK167">
        <v>2009</v>
      </c>
      <c r="EL167">
        <v>2660</v>
      </c>
      <c r="EM167">
        <v>2509</v>
      </c>
      <c r="EN167">
        <v>4542</v>
      </c>
      <c r="EO167">
        <v>2671</v>
      </c>
      <c r="EP167">
        <v>5108</v>
      </c>
      <c r="EQ167">
        <v>41.049140000000001</v>
      </c>
    </row>
    <row r="168" spans="1:147" x14ac:dyDescent="0.25">
      <c r="A168">
        <v>2022</v>
      </c>
      <c r="B168" t="str">
        <f t="shared" si="4"/>
        <v>NE</v>
      </c>
      <c r="C168" t="s">
        <v>1004</v>
      </c>
      <c r="D168" t="s">
        <v>1004</v>
      </c>
      <c r="E168">
        <v>24967</v>
      </c>
      <c r="F168" t="s">
        <v>995</v>
      </c>
      <c r="G168" t="s">
        <v>988</v>
      </c>
      <c r="H168" t="s">
        <v>1005</v>
      </c>
      <c r="I168">
        <v>17.38</v>
      </c>
      <c r="J168">
        <v>17.38</v>
      </c>
      <c r="K168" t="s">
        <v>461</v>
      </c>
      <c r="L168">
        <v>1</v>
      </c>
      <c r="M168">
        <v>2016</v>
      </c>
      <c r="N168">
        <v>2</v>
      </c>
      <c r="O168" t="str">
        <f t="shared" si="5"/>
        <v>Talhadia</v>
      </c>
      <c r="P168" s="2">
        <v>42675</v>
      </c>
      <c r="Q168" t="s">
        <v>174</v>
      </c>
      <c r="R168" t="s">
        <v>367</v>
      </c>
      <c r="S168" t="s">
        <v>154</v>
      </c>
      <c r="T168" t="s">
        <v>155</v>
      </c>
      <c r="U168" t="s">
        <v>156</v>
      </c>
      <c r="V168" s="2">
        <v>44588</v>
      </c>
      <c r="W168" t="s">
        <v>990</v>
      </c>
      <c r="X168">
        <v>185.43</v>
      </c>
      <c r="Y168">
        <v>19.399999999999999</v>
      </c>
      <c r="Z168">
        <v>26</v>
      </c>
      <c r="AA168">
        <v>13.5</v>
      </c>
      <c r="AB168">
        <v>2</v>
      </c>
      <c r="AC168">
        <v>261.89999999999998</v>
      </c>
      <c r="AD168">
        <v>235.25076496317499</v>
      </c>
      <c r="AE168" s="2">
        <v>44588</v>
      </c>
      <c r="AF168">
        <v>62</v>
      </c>
      <c r="AG168">
        <v>5.2375085557837098</v>
      </c>
      <c r="AH168">
        <v>22.7725597077511</v>
      </c>
      <c r="AI168">
        <v>15.51</v>
      </c>
      <c r="AJ168">
        <v>16.944914450890401</v>
      </c>
      <c r="AK168">
        <v>20</v>
      </c>
      <c r="AL168">
        <v>850.15664043135803</v>
      </c>
      <c r="AM168">
        <v>163.96202104127599</v>
      </c>
      <c r="AN168">
        <v>0.192860954374342</v>
      </c>
      <c r="AO168" t="s">
        <v>367</v>
      </c>
      <c r="AP168" t="s">
        <v>264</v>
      </c>
      <c r="AQ168" t="s">
        <v>1006</v>
      </c>
      <c r="AR168">
        <v>9</v>
      </c>
      <c r="AS168">
        <v>0.76514097638822276</v>
      </c>
      <c r="AT168" t="s">
        <v>1007</v>
      </c>
      <c r="AU168" t="s">
        <v>1008</v>
      </c>
      <c r="AV168">
        <v>3922</v>
      </c>
      <c r="AW168">
        <v>1923</v>
      </c>
      <c r="AX168">
        <v>1673</v>
      </c>
      <c r="AY168">
        <v>310</v>
      </c>
      <c r="AZ168">
        <v>16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-1.496</v>
      </c>
      <c r="BH168">
        <v>31.264999</v>
      </c>
      <c r="BI168">
        <v>11.719260999999999</v>
      </c>
      <c r="BJ168">
        <v>-0.45596799999999998</v>
      </c>
      <c r="BK168">
        <v>12.180688999999999</v>
      </c>
      <c r="BL168">
        <v>148.36918800000001</v>
      </c>
      <c r="BM168">
        <v>1.0393730000000001</v>
      </c>
      <c r="BN168">
        <v>24.81775</v>
      </c>
      <c r="BO168">
        <v>0.22961999999999999</v>
      </c>
      <c r="BP168">
        <v>1.254883</v>
      </c>
      <c r="BQ168">
        <v>11.705016000000001</v>
      </c>
      <c r="BR168">
        <v>6.6980000000000004</v>
      </c>
      <c r="BS168">
        <v>6.8514679999999997</v>
      </c>
      <c r="BT168">
        <v>11.719260999999999</v>
      </c>
      <c r="BU168">
        <v>6.5687150000000001</v>
      </c>
      <c r="BV168">
        <v>0.95344200000000001</v>
      </c>
      <c r="BW168">
        <v>-1.050052</v>
      </c>
      <c r="BX168">
        <v>0.56050599999999995</v>
      </c>
      <c r="BY168">
        <v>0.145149</v>
      </c>
      <c r="BZ168">
        <v>-0.159857</v>
      </c>
      <c r="CA168">
        <v>-0.46937000000000001</v>
      </c>
      <c r="CB168">
        <v>-0.20494999999999999</v>
      </c>
      <c r="CC168">
        <v>-0.1</v>
      </c>
      <c r="CD168">
        <v>1.7000000000000001E-2</v>
      </c>
      <c r="CE168">
        <v>6.4250000000000002E-2</v>
      </c>
      <c r="CF168">
        <v>0.109</v>
      </c>
      <c r="CG168">
        <v>0.22900000000000001</v>
      </c>
      <c r="CH168">
        <v>6.3955000000000002</v>
      </c>
      <c r="CI168">
        <v>19.115601000000002</v>
      </c>
      <c r="CJ168">
        <v>22.018498999999998</v>
      </c>
      <c r="CK168">
        <v>24.882000000000001</v>
      </c>
      <c r="CL168">
        <v>26.165600000000001</v>
      </c>
      <c r="CM168">
        <v>28.171199999999999</v>
      </c>
      <c r="CN168">
        <v>28.861149000000001</v>
      </c>
      <c r="CO168">
        <v>29.934011000000002</v>
      </c>
      <c r="CP168">
        <v>0.40338400000000002</v>
      </c>
      <c r="CQ168">
        <v>16.901847</v>
      </c>
      <c r="CR168">
        <v>19.344950000000001</v>
      </c>
      <c r="CS168">
        <v>1</v>
      </c>
      <c r="CT168">
        <v>43</v>
      </c>
      <c r="CU168">
        <v>10.45232</v>
      </c>
      <c r="CV168">
        <v>1</v>
      </c>
      <c r="CW168">
        <v>7.761584</v>
      </c>
      <c r="CX168">
        <v>60.242179</v>
      </c>
      <c r="CY168">
        <v>0.74256999999999995</v>
      </c>
      <c r="CZ168">
        <v>11</v>
      </c>
      <c r="DA168">
        <v>0.95490900000000001</v>
      </c>
      <c r="DB168">
        <v>3.770349</v>
      </c>
      <c r="DC168">
        <v>6.2279499999999999</v>
      </c>
      <c r="DD168">
        <v>10.45232</v>
      </c>
      <c r="DE168">
        <v>4.2624219999999999</v>
      </c>
      <c r="DF168">
        <v>0.79371400000000003</v>
      </c>
      <c r="DG168">
        <v>0.38040000000000002</v>
      </c>
      <c r="DH168">
        <v>0.40779700000000002</v>
      </c>
      <c r="DI168">
        <v>0.18621199999999999</v>
      </c>
      <c r="DJ168">
        <v>8.9245000000000005E-2</v>
      </c>
      <c r="DK168">
        <v>1</v>
      </c>
      <c r="DL168">
        <v>1</v>
      </c>
      <c r="DM168">
        <v>1</v>
      </c>
      <c r="DN168">
        <v>3</v>
      </c>
      <c r="DO168">
        <v>4</v>
      </c>
      <c r="DP168">
        <v>5</v>
      </c>
      <c r="DQ168">
        <v>7</v>
      </c>
      <c r="DR168">
        <v>9</v>
      </c>
      <c r="DS168">
        <v>11</v>
      </c>
      <c r="DT168">
        <v>14</v>
      </c>
      <c r="DU168">
        <v>15</v>
      </c>
      <c r="DV168">
        <v>16</v>
      </c>
      <c r="DW168">
        <v>21</v>
      </c>
      <c r="DX168">
        <v>25</v>
      </c>
      <c r="DY168">
        <v>35</v>
      </c>
      <c r="DZ168">
        <v>87.831513000000001</v>
      </c>
      <c r="EA168">
        <v>50.968893000000001</v>
      </c>
      <c r="EB168">
        <v>103.952158</v>
      </c>
      <c r="EC168">
        <v>1689</v>
      </c>
      <c r="ED168">
        <v>1999</v>
      </c>
      <c r="EE168">
        <v>86.427457000000004</v>
      </c>
      <c r="EF168">
        <v>100</v>
      </c>
      <c r="EG168">
        <v>47.705252000000002</v>
      </c>
      <c r="EH168">
        <v>98.929118000000003</v>
      </c>
      <c r="EI168">
        <v>97.295891999999995</v>
      </c>
      <c r="EJ168">
        <v>201.76807099999999</v>
      </c>
      <c r="EK168">
        <v>1662</v>
      </c>
      <c r="EL168">
        <v>1923</v>
      </c>
      <c r="EM168">
        <v>1871</v>
      </c>
      <c r="EN168">
        <v>3880</v>
      </c>
      <c r="EO168">
        <v>1923</v>
      </c>
      <c r="EP168">
        <v>3922</v>
      </c>
      <c r="EQ168">
        <v>38.182277999999997</v>
      </c>
    </row>
    <row r="169" spans="1:147" x14ac:dyDescent="0.25">
      <c r="A169">
        <v>2022</v>
      </c>
      <c r="B169" t="str">
        <f t="shared" si="4"/>
        <v>NE</v>
      </c>
      <c r="C169" t="s">
        <v>1009</v>
      </c>
      <c r="D169" t="s">
        <v>1009</v>
      </c>
      <c r="E169">
        <v>24968</v>
      </c>
      <c r="F169" t="s">
        <v>987</v>
      </c>
      <c r="G169" t="s">
        <v>988</v>
      </c>
      <c r="H169" t="s">
        <v>1010</v>
      </c>
      <c r="I169">
        <v>21.21</v>
      </c>
      <c r="J169">
        <v>21.21</v>
      </c>
      <c r="K169" t="s">
        <v>461</v>
      </c>
      <c r="L169">
        <v>1</v>
      </c>
      <c r="M169">
        <v>2016</v>
      </c>
      <c r="N169">
        <v>3</v>
      </c>
      <c r="O169" t="str">
        <f t="shared" si="5"/>
        <v>Alto fuste</v>
      </c>
      <c r="P169" s="2">
        <v>42611</v>
      </c>
      <c r="Q169" t="s">
        <v>174</v>
      </c>
      <c r="R169" t="s">
        <v>695</v>
      </c>
      <c r="S169" t="s">
        <v>154</v>
      </c>
      <c r="T169" t="s">
        <v>155</v>
      </c>
      <c r="U169" t="s">
        <v>156</v>
      </c>
      <c r="V169" s="2">
        <v>44593</v>
      </c>
      <c r="W169" t="s">
        <v>990</v>
      </c>
      <c r="X169">
        <v>173.34</v>
      </c>
      <c r="Y169">
        <v>19.3</v>
      </c>
      <c r="Z169">
        <v>25</v>
      </c>
      <c r="AA169">
        <v>14.7</v>
      </c>
      <c r="AB169">
        <v>1</v>
      </c>
      <c r="AC169">
        <v>283.70999999999998</v>
      </c>
      <c r="AD169">
        <v>257.08942033165999</v>
      </c>
      <c r="AE169" s="2">
        <v>44593</v>
      </c>
      <c r="AF169">
        <v>66</v>
      </c>
      <c r="AG169">
        <v>5.4264202600958296</v>
      </c>
      <c r="AH169">
        <v>26.716842792487402</v>
      </c>
      <c r="AI169">
        <v>16.838709677419399</v>
      </c>
      <c r="AJ169">
        <v>27.140151701327</v>
      </c>
      <c r="AK169">
        <v>31</v>
      </c>
      <c r="AL169">
        <v>1205.8061339128001</v>
      </c>
      <c r="AM169">
        <v>319.29740504751697</v>
      </c>
      <c r="AN169">
        <v>0.26479995089377201</v>
      </c>
      <c r="AO169" t="s">
        <v>695</v>
      </c>
      <c r="AP169" t="s">
        <v>158</v>
      </c>
      <c r="AQ169" t="s">
        <v>991</v>
      </c>
      <c r="AR169">
        <v>9</v>
      </c>
      <c r="AS169">
        <v>1.085225520521514</v>
      </c>
      <c r="AT169" t="s">
        <v>1011</v>
      </c>
      <c r="AU169" t="s">
        <v>1012</v>
      </c>
      <c r="AV169">
        <v>4974</v>
      </c>
      <c r="AW169">
        <v>2810</v>
      </c>
      <c r="AX169">
        <v>2031</v>
      </c>
      <c r="AY169">
        <v>133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-1.083</v>
      </c>
      <c r="BH169">
        <v>31.719999000000001</v>
      </c>
      <c r="BI169">
        <v>14.395865000000001</v>
      </c>
      <c r="BJ169">
        <v>-4.1634999999999998E-2</v>
      </c>
      <c r="BK169">
        <v>13.825106</v>
      </c>
      <c r="BL169">
        <v>191.13355300000001</v>
      </c>
      <c r="BM169">
        <v>0.96035300000000001</v>
      </c>
      <c r="BN169">
        <v>28.062999999999999</v>
      </c>
      <c r="BO169">
        <v>-1.2555999999999999E-2</v>
      </c>
      <c r="BP169">
        <v>1.063841</v>
      </c>
      <c r="BQ169">
        <v>13.584209</v>
      </c>
      <c r="BR169">
        <v>14.632</v>
      </c>
      <c r="BS169">
        <v>14.978635000000001</v>
      </c>
      <c r="BT169">
        <v>14.395865000000001</v>
      </c>
      <c r="BU169">
        <v>7.2661239999999996</v>
      </c>
      <c r="BV169">
        <v>0.14952699999999999</v>
      </c>
      <c r="BW169">
        <v>-1.5349139999999999</v>
      </c>
      <c r="BX169">
        <v>0.50473699999999999</v>
      </c>
      <c r="BY169">
        <v>2.0579E-2</v>
      </c>
      <c r="BZ169">
        <v>-0.21124200000000001</v>
      </c>
      <c r="CA169">
        <v>-0.51500000000000001</v>
      </c>
      <c r="CB169">
        <v>-0.21035000000000001</v>
      </c>
      <c r="CC169">
        <v>-9.2999999999999999E-2</v>
      </c>
      <c r="CD169">
        <v>3.2000000000000001E-2</v>
      </c>
      <c r="CE169">
        <v>8.6249999999999993E-2</v>
      </c>
      <c r="CF169">
        <v>0.14099999999999999</v>
      </c>
      <c r="CG169">
        <v>0.30620000000000003</v>
      </c>
      <c r="CH169">
        <v>14.936999999999999</v>
      </c>
      <c r="CI169">
        <v>26.752001</v>
      </c>
      <c r="CJ169">
        <v>27.735299999999999</v>
      </c>
      <c r="CK169">
        <v>28.149249999999999</v>
      </c>
      <c r="CL169">
        <v>28.545200000000001</v>
      </c>
      <c r="CM169">
        <v>29.584</v>
      </c>
      <c r="CN169">
        <v>30.380699</v>
      </c>
      <c r="CO169">
        <v>31.123349999999999</v>
      </c>
      <c r="CP169">
        <v>0.47187299999999999</v>
      </c>
      <c r="CQ169">
        <v>19.958358</v>
      </c>
      <c r="CR169">
        <v>22.375889000000001</v>
      </c>
      <c r="CS169">
        <v>1</v>
      </c>
      <c r="CT169">
        <v>52</v>
      </c>
      <c r="CU169">
        <v>16.281665</v>
      </c>
      <c r="CV169">
        <v>1</v>
      </c>
      <c r="CW169">
        <v>11.332872999999999</v>
      </c>
      <c r="CX169">
        <v>128.434021</v>
      </c>
      <c r="CY169">
        <v>0.69605099999999998</v>
      </c>
      <c r="CZ169">
        <v>19</v>
      </c>
      <c r="DA169">
        <v>0.42111999999999999</v>
      </c>
      <c r="DB169">
        <v>2.2483580000000001</v>
      </c>
      <c r="DC169">
        <v>9.6636100000000003</v>
      </c>
      <c r="DD169">
        <v>16.281665</v>
      </c>
      <c r="DE169">
        <v>6.4522740000000001</v>
      </c>
      <c r="DF169">
        <v>0.67922899999999997</v>
      </c>
      <c r="DG169">
        <v>0.14459900000000001</v>
      </c>
      <c r="DH169">
        <v>0.396291</v>
      </c>
      <c r="DI169">
        <v>0.10527</v>
      </c>
      <c r="DJ169">
        <v>2.2411E-2</v>
      </c>
      <c r="DK169">
        <v>1</v>
      </c>
      <c r="DL169">
        <v>1</v>
      </c>
      <c r="DM169">
        <v>2</v>
      </c>
      <c r="DN169">
        <v>5</v>
      </c>
      <c r="DO169">
        <v>6</v>
      </c>
      <c r="DP169">
        <v>8</v>
      </c>
      <c r="DQ169">
        <v>11</v>
      </c>
      <c r="DR169">
        <v>15</v>
      </c>
      <c r="DS169">
        <v>19</v>
      </c>
      <c r="DT169">
        <v>23</v>
      </c>
      <c r="DU169">
        <v>25</v>
      </c>
      <c r="DV169">
        <v>27</v>
      </c>
      <c r="DW169">
        <v>32</v>
      </c>
      <c r="DX169">
        <v>37</v>
      </c>
      <c r="DY169">
        <v>43</v>
      </c>
      <c r="DZ169">
        <v>89.217082000000005</v>
      </c>
      <c r="EA169">
        <v>53.256936000000003</v>
      </c>
      <c r="EB169">
        <v>94.270463000000007</v>
      </c>
      <c r="EC169">
        <v>2507</v>
      </c>
      <c r="ED169">
        <v>2649</v>
      </c>
      <c r="EE169">
        <v>86.725978999999995</v>
      </c>
      <c r="EF169">
        <v>99.893237999999997</v>
      </c>
      <c r="EG169">
        <v>50.361882000000001</v>
      </c>
      <c r="EH169">
        <v>86.389223999999999</v>
      </c>
      <c r="EI169">
        <v>89.145906999999994</v>
      </c>
      <c r="EJ169">
        <v>152.918149</v>
      </c>
      <c r="EK169">
        <v>2437</v>
      </c>
      <c r="EL169">
        <v>2807</v>
      </c>
      <c r="EM169">
        <v>2505</v>
      </c>
      <c r="EN169">
        <v>4297</v>
      </c>
      <c r="EO169">
        <v>2810</v>
      </c>
      <c r="EP169">
        <v>4974</v>
      </c>
      <c r="EQ169">
        <v>45.367916000000001</v>
      </c>
    </row>
    <row r="170" spans="1:147" x14ac:dyDescent="0.25">
      <c r="A170">
        <v>2022</v>
      </c>
      <c r="B170" t="str">
        <f t="shared" si="4"/>
        <v>NE</v>
      </c>
      <c r="C170" t="s">
        <v>1013</v>
      </c>
      <c r="D170" t="s">
        <v>1013</v>
      </c>
      <c r="E170">
        <v>24969</v>
      </c>
      <c r="F170" t="s">
        <v>987</v>
      </c>
      <c r="G170" t="s">
        <v>988</v>
      </c>
      <c r="H170" t="s">
        <v>1014</v>
      </c>
      <c r="I170">
        <v>27.55</v>
      </c>
      <c r="J170">
        <v>27.55</v>
      </c>
      <c r="K170" t="s">
        <v>461</v>
      </c>
      <c r="L170">
        <v>1</v>
      </c>
      <c r="M170">
        <v>2016</v>
      </c>
      <c r="N170">
        <v>4</v>
      </c>
      <c r="O170" t="str">
        <f t="shared" si="5"/>
        <v>Alto fuste</v>
      </c>
      <c r="P170" s="2">
        <v>42613</v>
      </c>
      <c r="Q170" t="s">
        <v>174</v>
      </c>
      <c r="R170" t="s">
        <v>427</v>
      </c>
      <c r="S170" t="s">
        <v>154</v>
      </c>
      <c r="T170" t="s">
        <v>155</v>
      </c>
      <c r="U170" t="s">
        <v>156</v>
      </c>
      <c r="V170" s="2">
        <v>44593</v>
      </c>
      <c r="W170" t="s">
        <v>990</v>
      </c>
      <c r="X170">
        <v>173.34</v>
      </c>
      <c r="Y170">
        <v>19.399999999999999</v>
      </c>
      <c r="Z170">
        <v>15</v>
      </c>
      <c r="AA170">
        <v>13.4</v>
      </c>
      <c r="AB170">
        <v>12</v>
      </c>
      <c r="AC170">
        <v>259.95999999999998</v>
      </c>
      <c r="AD170">
        <v>245.614894941404</v>
      </c>
      <c r="AE170" s="2">
        <v>44593</v>
      </c>
      <c r="AF170">
        <v>66</v>
      </c>
      <c r="AG170">
        <v>5.4209445585215601</v>
      </c>
      <c r="AH170">
        <v>23.389793130608499</v>
      </c>
      <c r="AI170">
        <v>14.803333333333301</v>
      </c>
      <c r="AJ170">
        <v>21.3142408240473</v>
      </c>
      <c r="AK170">
        <v>30</v>
      </c>
      <c r="AL170">
        <v>1221.42429542626</v>
      </c>
      <c r="AM170">
        <v>222.00942003375499</v>
      </c>
      <c r="AN170">
        <v>0.18176273459197501</v>
      </c>
      <c r="AO170" t="s">
        <v>427</v>
      </c>
      <c r="AP170" t="s">
        <v>158</v>
      </c>
      <c r="AQ170" t="s">
        <v>991</v>
      </c>
      <c r="AR170">
        <v>9</v>
      </c>
      <c r="AS170">
        <v>1.099281865883637</v>
      </c>
      <c r="AT170" t="s">
        <v>1015</v>
      </c>
      <c r="AU170" t="s">
        <v>1016</v>
      </c>
      <c r="AV170">
        <v>9128</v>
      </c>
      <c r="AW170">
        <v>5539</v>
      </c>
      <c r="AX170">
        <v>3273</v>
      </c>
      <c r="AY170">
        <v>302</v>
      </c>
      <c r="AZ170">
        <v>14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-1.0620000000000001</v>
      </c>
      <c r="BH170">
        <v>29.960999999999999</v>
      </c>
      <c r="BI170">
        <v>15.177092999999999</v>
      </c>
      <c r="BJ170">
        <v>-7.7143000000000003E-2</v>
      </c>
      <c r="BK170">
        <v>12.436548</v>
      </c>
      <c r="BL170">
        <v>154.66772399999999</v>
      </c>
      <c r="BM170">
        <v>0.81942899999999996</v>
      </c>
      <c r="BN170">
        <v>25.757000999999999</v>
      </c>
      <c r="BO170">
        <v>-0.34400999999999998</v>
      </c>
      <c r="BP170">
        <v>1.1760699999999999</v>
      </c>
      <c r="BQ170">
        <v>12.073062</v>
      </c>
      <c r="BR170">
        <v>2.802</v>
      </c>
      <c r="BS170">
        <v>24.419142000000001</v>
      </c>
      <c r="BT170">
        <v>15.177092999999999</v>
      </c>
      <c r="BU170">
        <v>6.4516450000000001</v>
      </c>
      <c r="BV170">
        <v>-0.84051699999999996</v>
      </c>
      <c r="BW170">
        <v>-1.1771640000000001</v>
      </c>
      <c r="BX170">
        <v>0.425091</v>
      </c>
      <c r="BY170">
        <v>-0.13028000000000001</v>
      </c>
      <c r="BZ170">
        <v>-0.18245900000000001</v>
      </c>
      <c r="CA170">
        <v>-0.42099999999999999</v>
      </c>
      <c r="CB170">
        <v>-0.16600000000000001</v>
      </c>
      <c r="CC170">
        <v>-5.1999999999999998E-2</v>
      </c>
      <c r="CD170">
        <v>9.8000000000000004E-2</v>
      </c>
      <c r="CE170">
        <v>0.16900000000000001</v>
      </c>
      <c r="CF170">
        <v>0.24099999999999999</v>
      </c>
      <c r="CG170">
        <v>8.0484059999999999</v>
      </c>
      <c r="CH170">
        <v>24.341999000000001</v>
      </c>
      <c r="CI170">
        <v>25.040001</v>
      </c>
      <c r="CJ170">
        <v>25.636900000000001</v>
      </c>
      <c r="CK170">
        <v>25.926000999999999</v>
      </c>
      <c r="CL170">
        <v>26.2486</v>
      </c>
      <c r="CM170">
        <v>26.879999000000002</v>
      </c>
      <c r="CN170">
        <v>27.271999000000001</v>
      </c>
      <c r="CO170">
        <v>28.760764999999999</v>
      </c>
      <c r="CP170">
        <v>0.52345299999999995</v>
      </c>
      <c r="CQ170">
        <v>19.621288</v>
      </c>
      <c r="CR170">
        <v>21.454746</v>
      </c>
      <c r="CS170">
        <v>1</v>
      </c>
      <c r="CT170">
        <v>57</v>
      </c>
      <c r="CU170">
        <v>14.839286</v>
      </c>
      <c r="CV170">
        <v>1</v>
      </c>
      <c r="CW170">
        <v>9.7263040000000007</v>
      </c>
      <c r="CX170">
        <v>94.600989999999996</v>
      </c>
      <c r="CY170">
        <v>0.655443</v>
      </c>
      <c r="CZ170">
        <v>15</v>
      </c>
      <c r="DA170">
        <v>0.44138899999999998</v>
      </c>
      <c r="DB170">
        <v>2.8403</v>
      </c>
      <c r="DC170">
        <v>8.050179</v>
      </c>
      <c r="DD170">
        <v>14.839286</v>
      </c>
      <c r="DE170">
        <v>5.4905809999999997</v>
      </c>
      <c r="DF170">
        <v>0.39102599999999998</v>
      </c>
      <c r="DG170">
        <v>0.30974600000000002</v>
      </c>
      <c r="DH170">
        <v>0.37000300000000003</v>
      </c>
      <c r="DI170">
        <v>7.1218000000000004E-2</v>
      </c>
      <c r="DJ170">
        <v>5.6413999999999999E-2</v>
      </c>
      <c r="DK170">
        <v>1</v>
      </c>
      <c r="DL170">
        <v>1</v>
      </c>
      <c r="DM170">
        <v>2</v>
      </c>
      <c r="DN170">
        <v>4</v>
      </c>
      <c r="DO170">
        <v>6</v>
      </c>
      <c r="DP170">
        <v>8</v>
      </c>
      <c r="DQ170">
        <v>12</v>
      </c>
      <c r="DR170">
        <v>15</v>
      </c>
      <c r="DS170">
        <v>18</v>
      </c>
      <c r="DT170">
        <v>20</v>
      </c>
      <c r="DU170">
        <v>21</v>
      </c>
      <c r="DV170">
        <v>23</v>
      </c>
      <c r="DW170">
        <v>27</v>
      </c>
      <c r="DX170">
        <v>31</v>
      </c>
      <c r="DY170">
        <v>41</v>
      </c>
      <c r="DZ170">
        <v>94.782452000000006</v>
      </c>
      <c r="EA170">
        <v>60.659509</v>
      </c>
      <c r="EB170">
        <v>99.963892000000001</v>
      </c>
      <c r="EC170">
        <v>5250</v>
      </c>
      <c r="ED170">
        <v>5537</v>
      </c>
      <c r="EE170">
        <v>93.933922999999993</v>
      </c>
      <c r="EF170">
        <v>100</v>
      </c>
      <c r="EG170">
        <v>58.764242000000003</v>
      </c>
      <c r="EH170">
        <v>91.257669000000007</v>
      </c>
      <c r="EI170">
        <v>96.840585000000004</v>
      </c>
      <c r="EJ170">
        <v>150.38815700000001</v>
      </c>
      <c r="EK170">
        <v>5203</v>
      </c>
      <c r="EL170">
        <v>5539</v>
      </c>
      <c r="EM170">
        <v>5364</v>
      </c>
      <c r="EN170">
        <v>8330</v>
      </c>
      <c r="EO170">
        <v>5539</v>
      </c>
      <c r="EP170">
        <v>9128</v>
      </c>
      <c r="EQ170">
        <v>51.836382</v>
      </c>
    </row>
    <row r="171" spans="1:147" x14ac:dyDescent="0.25">
      <c r="A171">
        <v>2022</v>
      </c>
      <c r="B171" t="str">
        <f t="shared" si="4"/>
        <v>NE</v>
      </c>
      <c r="C171" t="s">
        <v>1017</v>
      </c>
      <c r="D171" t="s">
        <v>1017</v>
      </c>
      <c r="E171">
        <v>24983</v>
      </c>
      <c r="F171" t="s">
        <v>1018</v>
      </c>
      <c r="G171" t="s">
        <v>1019</v>
      </c>
      <c r="H171" t="s">
        <v>1020</v>
      </c>
      <c r="I171">
        <v>27.11</v>
      </c>
      <c r="J171">
        <v>27.11</v>
      </c>
      <c r="K171" t="s">
        <v>461</v>
      </c>
      <c r="L171">
        <v>1</v>
      </c>
      <c r="M171">
        <v>2016</v>
      </c>
      <c r="N171">
        <v>3</v>
      </c>
      <c r="O171" t="str">
        <f t="shared" si="5"/>
        <v>Talhadia</v>
      </c>
      <c r="P171" s="2">
        <v>42576</v>
      </c>
      <c r="Q171" t="s">
        <v>322</v>
      </c>
      <c r="R171" t="s">
        <v>660</v>
      </c>
      <c r="S171" t="s">
        <v>154</v>
      </c>
      <c r="T171" t="s">
        <v>155</v>
      </c>
      <c r="U171" t="s">
        <v>156</v>
      </c>
      <c r="V171" s="2">
        <v>44683</v>
      </c>
      <c r="W171" t="s">
        <v>1021</v>
      </c>
      <c r="X171">
        <v>148.69999999999999</v>
      </c>
      <c r="Y171">
        <v>20.6</v>
      </c>
      <c r="Z171">
        <v>26</v>
      </c>
      <c r="AA171">
        <v>13.6</v>
      </c>
      <c r="AB171">
        <v>10</v>
      </c>
      <c r="AC171">
        <v>280.16000000000003</v>
      </c>
      <c r="AD171">
        <v>247.98063893908201</v>
      </c>
      <c r="AE171" s="2">
        <v>44683</v>
      </c>
      <c r="AF171">
        <v>70</v>
      </c>
      <c r="AG171">
        <v>5.7686516084873398</v>
      </c>
      <c r="AH171">
        <v>24.933536361435898</v>
      </c>
      <c r="AI171">
        <v>16.690000000000001</v>
      </c>
      <c r="AJ171">
        <v>18.264783446262499</v>
      </c>
      <c r="AK171">
        <v>20</v>
      </c>
      <c r="AL171">
        <v>806.51457652357703</v>
      </c>
      <c r="AM171">
        <v>192.36142974702699</v>
      </c>
      <c r="AN171">
        <v>0.23850955127951501</v>
      </c>
      <c r="AO171" t="s">
        <v>660</v>
      </c>
      <c r="AP171" t="s">
        <v>264</v>
      </c>
      <c r="AQ171" t="s">
        <v>315</v>
      </c>
      <c r="AR171">
        <v>9.99</v>
      </c>
      <c r="AS171">
        <v>0.80570806194705435</v>
      </c>
      <c r="AT171" t="s">
        <v>1022</v>
      </c>
      <c r="AU171" t="s">
        <v>1023</v>
      </c>
      <c r="AV171">
        <v>913</v>
      </c>
      <c r="AW171">
        <v>557</v>
      </c>
      <c r="AX171">
        <v>316</v>
      </c>
      <c r="AY171">
        <v>39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-0.624</v>
      </c>
      <c r="BH171">
        <v>28.823</v>
      </c>
      <c r="BI171">
        <v>14.103406</v>
      </c>
      <c r="BJ171">
        <v>-0.156587</v>
      </c>
      <c r="BK171">
        <v>12.092676000000001</v>
      </c>
      <c r="BL171">
        <v>146.23280199999999</v>
      </c>
      <c r="BM171">
        <v>0.857429</v>
      </c>
      <c r="BN171">
        <v>25.373999999999999</v>
      </c>
      <c r="BO171">
        <v>-0.20301</v>
      </c>
      <c r="BP171">
        <v>1.1574610000000001</v>
      </c>
      <c r="BQ171">
        <v>11.684806</v>
      </c>
      <c r="BR171">
        <v>6.5079989999999999</v>
      </c>
      <c r="BS171">
        <v>20.961587999999999</v>
      </c>
      <c r="BT171">
        <v>14.103406</v>
      </c>
      <c r="BU171">
        <v>6.4723220000000001</v>
      </c>
      <c r="BV171">
        <v>-0.38807399999999997</v>
      </c>
      <c r="BW171">
        <v>-1.243452</v>
      </c>
      <c r="BX171">
        <v>0.45891900000000002</v>
      </c>
      <c r="BY171">
        <v>-5.9958999999999998E-2</v>
      </c>
      <c r="BZ171">
        <v>-0.19211800000000001</v>
      </c>
      <c r="CA171">
        <v>-0.51903999999999995</v>
      </c>
      <c r="CB171">
        <v>-0.17799999999999999</v>
      </c>
      <c r="CC171">
        <v>-8.9800000000000005E-2</v>
      </c>
      <c r="CD171">
        <v>3.4799999999999998E-2</v>
      </c>
      <c r="CE171">
        <v>8.4000000000000005E-2</v>
      </c>
      <c r="CF171">
        <v>0.14560000000000001</v>
      </c>
      <c r="CG171">
        <v>4.2595980000000004</v>
      </c>
      <c r="CH171">
        <v>20.805</v>
      </c>
      <c r="CI171">
        <v>24.075199000000001</v>
      </c>
      <c r="CJ171">
        <v>25.093800000000002</v>
      </c>
      <c r="CK171">
        <v>25.457999999999998</v>
      </c>
      <c r="CL171">
        <v>25.895599000000001</v>
      </c>
      <c r="CM171">
        <v>26.7302</v>
      </c>
      <c r="CN171">
        <v>27.348801000000002</v>
      </c>
      <c r="CO171">
        <v>28.251080000000002</v>
      </c>
      <c r="CP171">
        <v>0.50013300000000005</v>
      </c>
      <c r="CQ171">
        <v>18.573602000000001</v>
      </c>
      <c r="CR171">
        <v>20.509423999999999</v>
      </c>
      <c r="CS171">
        <v>1</v>
      </c>
      <c r="CT171">
        <v>67</v>
      </c>
      <c r="CU171">
        <v>20.844469</v>
      </c>
      <c r="CV171">
        <v>1</v>
      </c>
      <c r="CW171">
        <v>14.632332999999999</v>
      </c>
      <c r="CX171">
        <v>214.10516899999999</v>
      </c>
      <c r="CY171">
        <v>0.70197699999999996</v>
      </c>
      <c r="CZ171">
        <v>20</v>
      </c>
      <c r="DA171">
        <v>0.67039599999999999</v>
      </c>
      <c r="DB171">
        <v>3.0463559999999998</v>
      </c>
      <c r="DC171">
        <v>11.659656</v>
      </c>
      <c r="DD171">
        <v>20.844469</v>
      </c>
      <c r="DE171">
        <v>8.1529919999999994</v>
      </c>
      <c r="DF171">
        <v>1.0242979999999999</v>
      </c>
      <c r="DG171">
        <v>0.75041899999999995</v>
      </c>
      <c r="DH171">
        <v>0.39113500000000001</v>
      </c>
      <c r="DI171">
        <v>0.125635</v>
      </c>
      <c r="DJ171">
        <v>9.2041999999999999E-2</v>
      </c>
      <c r="DK171">
        <v>1</v>
      </c>
      <c r="DL171">
        <v>1</v>
      </c>
      <c r="DM171">
        <v>3</v>
      </c>
      <c r="DN171">
        <v>6</v>
      </c>
      <c r="DO171">
        <v>8</v>
      </c>
      <c r="DP171">
        <v>10</v>
      </c>
      <c r="DQ171">
        <v>17</v>
      </c>
      <c r="DR171">
        <v>21</v>
      </c>
      <c r="DS171">
        <v>24</v>
      </c>
      <c r="DT171">
        <v>27</v>
      </c>
      <c r="DU171">
        <v>28</v>
      </c>
      <c r="DV171">
        <v>30.599976000000002</v>
      </c>
      <c r="DW171">
        <v>39</v>
      </c>
      <c r="DX171">
        <v>51</v>
      </c>
      <c r="DY171">
        <v>59.880004999999997</v>
      </c>
      <c r="DZ171">
        <v>87.432675000000003</v>
      </c>
      <c r="EA171">
        <v>60.240963999999998</v>
      </c>
      <c r="EB171">
        <v>98.743268</v>
      </c>
      <c r="EC171">
        <v>487</v>
      </c>
      <c r="ED171">
        <v>550</v>
      </c>
      <c r="EE171">
        <v>86.175943000000004</v>
      </c>
      <c r="EF171">
        <v>99.820466999999994</v>
      </c>
      <c r="EG171">
        <v>55.312157999999997</v>
      </c>
      <c r="EH171">
        <v>93.866375000000005</v>
      </c>
      <c r="EI171">
        <v>90.664272999999994</v>
      </c>
      <c r="EJ171">
        <v>153.85996399999999</v>
      </c>
      <c r="EK171">
        <v>480</v>
      </c>
      <c r="EL171">
        <v>556</v>
      </c>
      <c r="EM171">
        <v>505</v>
      </c>
      <c r="EN171">
        <v>857</v>
      </c>
      <c r="EO171">
        <v>557</v>
      </c>
      <c r="EP171">
        <v>913</v>
      </c>
      <c r="EQ171">
        <v>49.045482999999997</v>
      </c>
    </row>
    <row r="172" spans="1:147" x14ac:dyDescent="0.25">
      <c r="A172">
        <v>2022</v>
      </c>
      <c r="B172" t="str">
        <f t="shared" si="4"/>
        <v>NE</v>
      </c>
      <c r="C172" t="s">
        <v>1024</v>
      </c>
      <c r="D172" t="s">
        <v>1024</v>
      </c>
      <c r="E172">
        <v>24984</v>
      </c>
      <c r="F172" t="s">
        <v>1018</v>
      </c>
      <c r="G172" t="s">
        <v>1019</v>
      </c>
      <c r="H172" t="s">
        <v>1020</v>
      </c>
      <c r="I172">
        <v>27.11</v>
      </c>
      <c r="J172">
        <v>27.11</v>
      </c>
      <c r="K172" t="s">
        <v>461</v>
      </c>
      <c r="L172">
        <v>1</v>
      </c>
      <c r="M172">
        <v>2016</v>
      </c>
      <c r="N172">
        <v>3</v>
      </c>
      <c r="O172" t="str">
        <f t="shared" si="5"/>
        <v>Talhadia</v>
      </c>
      <c r="P172" s="2">
        <v>42576</v>
      </c>
      <c r="Q172" t="s">
        <v>322</v>
      </c>
      <c r="R172" t="s">
        <v>660</v>
      </c>
      <c r="S172" t="s">
        <v>154</v>
      </c>
      <c r="T172" t="s">
        <v>155</v>
      </c>
      <c r="U172" t="s">
        <v>156</v>
      </c>
      <c r="V172" s="2">
        <v>44683</v>
      </c>
      <c r="W172" t="s">
        <v>1021</v>
      </c>
      <c r="X172">
        <v>148.69999999999999</v>
      </c>
      <c r="Y172">
        <v>20</v>
      </c>
      <c r="Z172">
        <v>22</v>
      </c>
      <c r="AA172">
        <v>13.7</v>
      </c>
      <c r="AB172">
        <v>10</v>
      </c>
      <c r="AC172">
        <v>274</v>
      </c>
      <c r="AD172">
        <v>250.18881047396201</v>
      </c>
      <c r="AE172" s="2">
        <v>44683</v>
      </c>
      <c r="AF172">
        <v>70</v>
      </c>
      <c r="AG172">
        <v>5.7686516084873398</v>
      </c>
      <c r="AH172">
        <v>24.4948491833917</v>
      </c>
      <c r="AI172">
        <v>15.777272727272701</v>
      </c>
      <c r="AJ172">
        <v>17.451216417153098</v>
      </c>
      <c r="AK172">
        <v>22</v>
      </c>
      <c r="AL172">
        <v>879.33588869633502</v>
      </c>
      <c r="AM172">
        <v>176.85867304878801</v>
      </c>
      <c r="AN172">
        <v>0.20112755014581599</v>
      </c>
      <c r="AO172" t="s">
        <v>660</v>
      </c>
      <c r="AP172" t="s">
        <v>264</v>
      </c>
      <c r="AQ172" t="s">
        <v>315</v>
      </c>
      <c r="AR172">
        <v>9.99</v>
      </c>
      <c r="AS172">
        <v>0.87845655280763746</v>
      </c>
      <c r="AT172" t="s">
        <v>1025</v>
      </c>
      <c r="AU172" t="s">
        <v>1026</v>
      </c>
      <c r="AV172">
        <v>3325</v>
      </c>
      <c r="AW172">
        <v>2129</v>
      </c>
      <c r="AX172">
        <v>1129</v>
      </c>
      <c r="AY172">
        <v>66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-1.401</v>
      </c>
      <c r="BH172">
        <v>26.858999000000001</v>
      </c>
      <c r="BI172">
        <v>13.417887</v>
      </c>
      <c r="BJ172">
        <v>-5.5286000000000002E-2</v>
      </c>
      <c r="BK172">
        <v>11.293298</v>
      </c>
      <c r="BL172">
        <v>127.53857000000001</v>
      </c>
      <c r="BM172">
        <v>0.84165999999999996</v>
      </c>
      <c r="BN172">
        <v>23.427</v>
      </c>
      <c r="BO172">
        <v>-0.29625800000000002</v>
      </c>
      <c r="BP172">
        <v>1.159332</v>
      </c>
      <c r="BQ172">
        <v>10.983836999999999</v>
      </c>
      <c r="BR172">
        <v>3.9349989999999999</v>
      </c>
      <c r="BS172">
        <v>21.013286999999998</v>
      </c>
      <c r="BT172">
        <v>13.417887</v>
      </c>
      <c r="BU172">
        <v>5.9269689999999997</v>
      </c>
      <c r="BV172">
        <v>-0.57502200000000003</v>
      </c>
      <c r="BW172">
        <v>-1.0970530000000001</v>
      </c>
      <c r="BX172">
        <v>0.44172099999999997</v>
      </c>
      <c r="BY172">
        <v>-9.7017999999999993E-2</v>
      </c>
      <c r="BZ172">
        <v>-0.18509500000000001</v>
      </c>
      <c r="CA172">
        <v>-0.50004000000000004</v>
      </c>
      <c r="CB172">
        <v>-0.20399999999999999</v>
      </c>
      <c r="CC172">
        <v>-9.9000000000000005E-2</v>
      </c>
      <c r="CD172">
        <v>3.6799999999999999E-2</v>
      </c>
      <c r="CE172">
        <v>9.4E-2</v>
      </c>
      <c r="CF172">
        <v>0.1472</v>
      </c>
      <c r="CG172">
        <v>0.51619999999999999</v>
      </c>
      <c r="CH172">
        <v>20.957999999999998</v>
      </c>
      <c r="CI172">
        <v>22.3584</v>
      </c>
      <c r="CJ172">
        <v>23.158200999999998</v>
      </c>
      <c r="CK172">
        <v>23.521000000000001</v>
      </c>
      <c r="CL172">
        <v>23.8368</v>
      </c>
      <c r="CM172">
        <v>24.563801000000002</v>
      </c>
      <c r="CN172">
        <v>25.184200000000001</v>
      </c>
      <c r="CO172">
        <v>25.933278999999999</v>
      </c>
      <c r="CP172">
        <v>0.52437699999999998</v>
      </c>
      <c r="CQ172">
        <v>17.536816000000002</v>
      </c>
      <c r="CR172">
        <v>19.239367999999999</v>
      </c>
      <c r="CS172">
        <v>1</v>
      </c>
      <c r="CT172">
        <v>62</v>
      </c>
      <c r="CU172">
        <v>16.607519</v>
      </c>
      <c r="CV172">
        <v>1</v>
      </c>
      <c r="CW172">
        <v>10.628855</v>
      </c>
      <c r="CX172">
        <v>112.972567</v>
      </c>
      <c r="CY172">
        <v>0.64000299999999999</v>
      </c>
      <c r="CZ172">
        <v>14</v>
      </c>
      <c r="DA172">
        <v>0.69436799999999999</v>
      </c>
      <c r="DB172">
        <v>3.3810899999999999</v>
      </c>
      <c r="DC172">
        <v>8.2848980000000001</v>
      </c>
      <c r="DD172">
        <v>16.607519</v>
      </c>
      <c r="DE172">
        <v>5.9001010000000003</v>
      </c>
      <c r="DF172">
        <v>0.66988499999999995</v>
      </c>
      <c r="DG172">
        <v>0.72677999999999998</v>
      </c>
      <c r="DH172">
        <v>0.355267</v>
      </c>
      <c r="DI172">
        <v>0.113538</v>
      </c>
      <c r="DJ172">
        <v>0.123181</v>
      </c>
      <c r="DK172">
        <v>1</v>
      </c>
      <c r="DL172">
        <v>2</v>
      </c>
      <c r="DM172">
        <v>3</v>
      </c>
      <c r="DN172">
        <v>6</v>
      </c>
      <c r="DO172">
        <v>8</v>
      </c>
      <c r="DP172">
        <v>11</v>
      </c>
      <c r="DQ172">
        <v>14</v>
      </c>
      <c r="DR172">
        <v>16</v>
      </c>
      <c r="DS172">
        <v>18</v>
      </c>
      <c r="DT172">
        <v>21</v>
      </c>
      <c r="DU172">
        <v>22</v>
      </c>
      <c r="DV172">
        <v>24</v>
      </c>
      <c r="DW172">
        <v>30</v>
      </c>
      <c r="DX172">
        <v>38</v>
      </c>
      <c r="DY172">
        <v>46</v>
      </c>
      <c r="DZ172">
        <v>88.445278999999999</v>
      </c>
      <c r="EA172">
        <v>59.368420999999998</v>
      </c>
      <c r="EB172">
        <v>92.719587000000004</v>
      </c>
      <c r="EC172">
        <v>1883</v>
      </c>
      <c r="ED172">
        <v>1974</v>
      </c>
      <c r="EE172">
        <v>87.975575000000006</v>
      </c>
      <c r="EF172">
        <v>99.530296000000007</v>
      </c>
      <c r="EG172">
        <v>58.195489000000002</v>
      </c>
      <c r="EH172">
        <v>87.278194999999997</v>
      </c>
      <c r="EI172">
        <v>90.887741000000005</v>
      </c>
      <c r="EJ172">
        <v>136.30812599999999</v>
      </c>
      <c r="EK172">
        <v>1873</v>
      </c>
      <c r="EL172">
        <v>2119</v>
      </c>
      <c r="EM172">
        <v>1935</v>
      </c>
      <c r="EN172">
        <v>2902</v>
      </c>
      <c r="EO172">
        <v>2129</v>
      </c>
      <c r="EP172">
        <v>3325</v>
      </c>
      <c r="EQ172">
        <v>50.826217</v>
      </c>
    </row>
    <row r="173" spans="1:147" x14ac:dyDescent="0.25">
      <c r="A173">
        <v>2022</v>
      </c>
      <c r="B173" t="str">
        <f t="shared" si="4"/>
        <v>NE</v>
      </c>
      <c r="C173" t="s">
        <v>1027</v>
      </c>
      <c r="D173" t="s">
        <v>1027</v>
      </c>
      <c r="E173">
        <v>24985</v>
      </c>
      <c r="F173" t="s">
        <v>1018</v>
      </c>
      <c r="G173" t="s">
        <v>1019</v>
      </c>
      <c r="H173" t="s">
        <v>1020</v>
      </c>
      <c r="I173">
        <v>27.11</v>
      </c>
      <c r="J173">
        <v>27.11</v>
      </c>
      <c r="K173" t="s">
        <v>461</v>
      </c>
      <c r="L173">
        <v>1</v>
      </c>
      <c r="M173">
        <v>2016</v>
      </c>
      <c r="N173">
        <v>3</v>
      </c>
      <c r="O173" t="str">
        <f t="shared" si="5"/>
        <v>Talhadia</v>
      </c>
      <c r="P173" s="2">
        <v>42576</v>
      </c>
      <c r="Q173" t="s">
        <v>322</v>
      </c>
      <c r="R173" t="s">
        <v>660</v>
      </c>
      <c r="S173" t="s">
        <v>154</v>
      </c>
      <c r="T173" t="s">
        <v>155</v>
      </c>
      <c r="U173" t="s">
        <v>156</v>
      </c>
      <c r="V173" s="2">
        <v>44683</v>
      </c>
      <c r="W173" t="s">
        <v>1021</v>
      </c>
      <c r="X173">
        <v>148.69999999999999</v>
      </c>
      <c r="Y173">
        <v>19.2</v>
      </c>
      <c r="Z173">
        <v>20</v>
      </c>
      <c r="AA173">
        <v>14.1</v>
      </c>
      <c r="AB173">
        <v>5</v>
      </c>
      <c r="AC173">
        <v>270.72000000000003</v>
      </c>
      <c r="AD173">
        <v>253.425541899769</v>
      </c>
      <c r="AE173" s="2">
        <v>44683</v>
      </c>
      <c r="AF173">
        <v>70</v>
      </c>
      <c r="AG173">
        <v>5.7686516084873398</v>
      </c>
      <c r="AH173">
        <v>26.4988908183695</v>
      </c>
      <c r="AI173">
        <v>17.695454545454499</v>
      </c>
      <c r="AJ173">
        <v>21.9163815810419</v>
      </c>
      <c r="AK173">
        <v>22</v>
      </c>
      <c r="AL173">
        <v>868.10507871779896</v>
      </c>
      <c r="AM173">
        <v>245.420598877522</v>
      </c>
      <c r="AN173">
        <v>0.28270840119955398</v>
      </c>
      <c r="AO173" t="s">
        <v>660</v>
      </c>
      <c r="AP173" t="s">
        <v>264</v>
      </c>
      <c r="AQ173" t="s">
        <v>315</v>
      </c>
      <c r="AR173">
        <v>9.99</v>
      </c>
      <c r="AS173">
        <v>0.86723697363908192</v>
      </c>
      <c r="AT173" t="s">
        <v>1028</v>
      </c>
      <c r="AU173" t="s">
        <v>1029</v>
      </c>
      <c r="AV173">
        <v>8078</v>
      </c>
      <c r="AW173">
        <v>4627</v>
      </c>
      <c r="AX173">
        <v>2774</v>
      </c>
      <c r="AY173">
        <v>625</v>
      </c>
      <c r="AZ173">
        <v>52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-0.92</v>
      </c>
      <c r="BH173">
        <v>31.01</v>
      </c>
      <c r="BI173">
        <v>16.335196</v>
      </c>
      <c r="BJ173">
        <v>9.3650999999999998E-2</v>
      </c>
      <c r="BK173">
        <v>12.106965000000001</v>
      </c>
      <c r="BL173">
        <v>146.57860299999999</v>
      </c>
      <c r="BM173">
        <v>0.74115799999999998</v>
      </c>
      <c r="BN173">
        <v>26.656749999999999</v>
      </c>
      <c r="BO173">
        <v>-0.40554899999999999</v>
      </c>
      <c r="BP173">
        <v>1.3566400000000001</v>
      </c>
      <c r="BQ173">
        <v>11.345127</v>
      </c>
      <c r="BR173">
        <v>5.1429999999999998</v>
      </c>
      <c r="BS173">
        <v>23.454350000000002</v>
      </c>
      <c r="BT173">
        <v>16.335196</v>
      </c>
      <c r="BU173">
        <v>6.5402089999999999</v>
      </c>
      <c r="BV173">
        <v>-0.97492000000000001</v>
      </c>
      <c r="BW173">
        <v>-0.93762999999999996</v>
      </c>
      <c r="BX173">
        <v>0.40037499999999998</v>
      </c>
      <c r="BY173">
        <v>-0.149065</v>
      </c>
      <c r="BZ173">
        <v>-0.14336399999999999</v>
      </c>
      <c r="CA173">
        <v>-0.40222999999999998</v>
      </c>
      <c r="CB173">
        <v>-0.12</v>
      </c>
      <c r="CC173">
        <v>6.0000000000000001E-3</v>
      </c>
      <c r="CD173">
        <v>0.19800000000000001</v>
      </c>
      <c r="CE173">
        <v>0.34599999999999997</v>
      </c>
      <c r="CF173">
        <v>1.4258010000000001</v>
      </c>
      <c r="CG173">
        <v>14.5586</v>
      </c>
      <c r="CH173">
        <v>23.547999999999998</v>
      </c>
      <c r="CI173">
        <v>25.740400000000001</v>
      </c>
      <c r="CJ173">
        <v>26.614999999999998</v>
      </c>
      <c r="CK173">
        <v>27.002749999999999</v>
      </c>
      <c r="CL173">
        <v>27.417998999999998</v>
      </c>
      <c r="CM173">
        <v>28.337599000000001</v>
      </c>
      <c r="CN173">
        <v>28.98715</v>
      </c>
      <c r="CO173">
        <v>29.802999</v>
      </c>
      <c r="CP173">
        <v>0.54040699999999997</v>
      </c>
      <c r="CQ173">
        <v>20.332218000000001</v>
      </c>
      <c r="CR173">
        <v>22.118865</v>
      </c>
      <c r="CS173">
        <v>1</v>
      </c>
      <c r="CT173">
        <v>56</v>
      </c>
      <c r="CU173">
        <v>15.179252</v>
      </c>
      <c r="CV173">
        <v>1</v>
      </c>
      <c r="CW173">
        <v>10.302004</v>
      </c>
      <c r="CX173">
        <v>106.131292</v>
      </c>
      <c r="CY173">
        <v>0.67869000000000002</v>
      </c>
      <c r="CZ173">
        <v>16</v>
      </c>
      <c r="DA173">
        <v>0.64419000000000004</v>
      </c>
      <c r="DB173">
        <v>3.006154</v>
      </c>
      <c r="DC173">
        <v>8.4762109999999993</v>
      </c>
      <c r="DD173">
        <v>15.179252</v>
      </c>
      <c r="DE173">
        <v>5.7874650000000001</v>
      </c>
      <c r="DF173">
        <v>0.74302400000000002</v>
      </c>
      <c r="DG173">
        <v>0.349134</v>
      </c>
      <c r="DH173">
        <v>0.38127499999999998</v>
      </c>
      <c r="DI173">
        <v>0.128385</v>
      </c>
      <c r="DJ173">
        <v>6.0325999999999998E-2</v>
      </c>
      <c r="DK173">
        <v>1</v>
      </c>
      <c r="DL173">
        <v>2</v>
      </c>
      <c r="DM173">
        <v>3</v>
      </c>
      <c r="DN173">
        <v>5</v>
      </c>
      <c r="DO173">
        <v>6</v>
      </c>
      <c r="DP173">
        <v>8</v>
      </c>
      <c r="DQ173">
        <v>11</v>
      </c>
      <c r="DR173">
        <v>14</v>
      </c>
      <c r="DS173">
        <v>17</v>
      </c>
      <c r="DT173">
        <v>21</v>
      </c>
      <c r="DU173">
        <v>22</v>
      </c>
      <c r="DV173">
        <v>24</v>
      </c>
      <c r="DW173">
        <v>29</v>
      </c>
      <c r="DX173">
        <v>33</v>
      </c>
      <c r="DY173">
        <v>45</v>
      </c>
      <c r="DZ173">
        <v>97.147180000000006</v>
      </c>
      <c r="EA173">
        <v>68.878434999999996</v>
      </c>
      <c r="EB173">
        <v>120.250702</v>
      </c>
      <c r="EC173">
        <v>4495</v>
      </c>
      <c r="ED173">
        <v>5564</v>
      </c>
      <c r="EE173">
        <v>94.877891000000005</v>
      </c>
      <c r="EF173">
        <v>99.719040000000007</v>
      </c>
      <c r="EG173">
        <v>58.219856</v>
      </c>
      <c r="EH173">
        <v>85.553354999999996</v>
      </c>
      <c r="EI173">
        <v>101.642533</v>
      </c>
      <c r="EJ173">
        <v>149.362438</v>
      </c>
      <c r="EK173">
        <v>4390</v>
      </c>
      <c r="EL173">
        <v>4614</v>
      </c>
      <c r="EM173">
        <v>4703</v>
      </c>
      <c r="EN173">
        <v>6911</v>
      </c>
      <c r="EO173">
        <v>4627</v>
      </c>
      <c r="EP173">
        <v>8078</v>
      </c>
      <c r="EQ173">
        <v>53.882179000000001</v>
      </c>
    </row>
    <row r="174" spans="1:147" x14ac:dyDescent="0.25">
      <c r="A174">
        <v>2022</v>
      </c>
      <c r="B174" t="str">
        <f t="shared" si="4"/>
        <v>NE</v>
      </c>
      <c r="C174" t="s">
        <v>1030</v>
      </c>
      <c r="D174" t="s">
        <v>1030</v>
      </c>
      <c r="E174">
        <v>25061</v>
      </c>
      <c r="F174" t="s">
        <v>1031</v>
      </c>
      <c r="G174" t="s">
        <v>299</v>
      </c>
      <c r="H174" t="s">
        <v>1032</v>
      </c>
      <c r="I174">
        <v>40.799999999999997</v>
      </c>
      <c r="J174">
        <v>40.799999999999997</v>
      </c>
      <c r="K174" t="s">
        <v>301</v>
      </c>
      <c r="L174">
        <v>1</v>
      </c>
      <c r="M174">
        <v>2016</v>
      </c>
      <c r="N174">
        <v>3</v>
      </c>
      <c r="O174" t="str">
        <f t="shared" si="5"/>
        <v>Alto fuste</v>
      </c>
      <c r="P174" s="2">
        <v>42597</v>
      </c>
      <c r="Q174" t="s">
        <v>174</v>
      </c>
      <c r="R174" t="s">
        <v>165</v>
      </c>
      <c r="S174" t="s">
        <v>154</v>
      </c>
      <c r="T174" t="s">
        <v>175</v>
      </c>
      <c r="U174" t="s">
        <v>156</v>
      </c>
      <c r="V174" s="2">
        <v>44746</v>
      </c>
      <c r="W174" t="s">
        <v>303</v>
      </c>
      <c r="X174">
        <v>122.64</v>
      </c>
      <c r="Y174">
        <v>20.9</v>
      </c>
      <c r="Z174">
        <v>15</v>
      </c>
      <c r="AA174">
        <v>15.3</v>
      </c>
      <c r="AB174">
        <v>1</v>
      </c>
      <c r="AC174">
        <v>319.77</v>
      </c>
      <c r="AD174">
        <v>308.82705845073599</v>
      </c>
      <c r="AE174" s="2">
        <v>44746</v>
      </c>
      <c r="AF174">
        <v>71</v>
      </c>
      <c r="AG174">
        <v>5.8836413415468902</v>
      </c>
      <c r="AH174">
        <v>27.1651376526635</v>
      </c>
      <c r="AI174">
        <v>17.783999999999999</v>
      </c>
      <c r="AJ174">
        <v>20.331485114968199</v>
      </c>
      <c r="AK174">
        <v>25</v>
      </c>
      <c r="AL174">
        <v>809.51455890604905</v>
      </c>
      <c r="AM174">
        <v>241.36432981736601</v>
      </c>
      <c r="AN174">
        <v>0.29815934396972199</v>
      </c>
      <c r="AO174" t="s">
        <v>165</v>
      </c>
      <c r="AP174" t="s">
        <v>158</v>
      </c>
      <c r="AQ174" t="s">
        <v>304</v>
      </c>
      <c r="AR174">
        <v>9</v>
      </c>
      <c r="AS174">
        <v>0.72856310301544358</v>
      </c>
      <c r="AT174" t="s">
        <v>1033</v>
      </c>
      <c r="AU174" t="s">
        <v>1034</v>
      </c>
      <c r="AV174">
        <v>5740</v>
      </c>
      <c r="AW174">
        <v>2769</v>
      </c>
      <c r="AX174">
        <v>2473</v>
      </c>
      <c r="AY174">
        <v>480</v>
      </c>
      <c r="AZ174">
        <v>18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-0.89</v>
      </c>
      <c r="BH174">
        <v>30.68</v>
      </c>
      <c r="BI174">
        <v>11.957207</v>
      </c>
      <c r="BJ174">
        <v>-0.38888899999999998</v>
      </c>
      <c r="BK174">
        <v>12.498564</v>
      </c>
      <c r="BL174">
        <v>156.214101</v>
      </c>
      <c r="BM174">
        <v>1.045275</v>
      </c>
      <c r="BN174">
        <v>25.87</v>
      </c>
      <c r="BO174">
        <v>0.21610399999999999</v>
      </c>
      <c r="BP174">
        <v>1.1803760000000001</v>
      </c>
      <c r="BQ174">
        <v>12.047929</v>
      </c>
      <c r="BR174">
        <v>7.41</v>
      </c>
      <c r="BS174">
        <v>7.6088889999999996</v>
      </c>
      <c r="BT174">
        <v>11.957207</v>
      </c>
      <c r="BU174">
        <v>6.6617949999999997</v>
      </c>
      <c r="BV174">
        <v>0.84153699999999998</v>
      </c>
      <c r="BW174">
        <v>-1.24566</v>
      </c>
      <c r="BX174">
        <v>0.55713599999999996</v>
      </c>
      <c r="BY174">
        <v>0.12632299999999999</v>
      </c>
      <c r="BZ174">
        <v>-0.18698600000000001</v>
      </c>
      <c r="CA174">
        <v>-0.42</v>
      </c>
      <c r="CB174">
        <v>-0.19</v>
      </c>
      <c r="CC174">
        <v>-0.11</v>
      </c>
      <c r="CD174">
        <v>-0.01</v>
      </c>
      <c r="CE174">
        <v>0.03</v>
      </c>
      <c r="CF174">
        <v>7.0000000000000007E-2</v>
      </c>
      <c r="CG174">
        <v>0.17</v>
      </c>
      <c r="CH174">
        <v>7.22</v>
      </c>
      <c r="CI174">
        <v>19.370000999999998</v>
      </c>
      <c r="CJ174">
        <v>25.440000999999999</v>
      </c>
      <c r="CK174">
        <v>25.9</v>
      </c>
      <c r="CL174">
        <v>26.32</v>
      </c>
      <c r="CM174">
        <v>27.551000999999999</v>
      </c>
      <c r="CN174">
        <v>28.440000999999999</v>
      </c>
      <c r="CO174">
        <v>29.67</v>
      </c>
      <c r="CP174">
        <v>0.40694399999999997</v>
      </c>
      <c r="CQ174">
        <v>17.296291</v>
      </c>
      <c r="CR174">
        <v>19.775922999999999</v>
      </c>
      <c r="CS174">
        <v>1</v>
      </c>
      <c r="CT174">
        <v>66</v>
      </c>
      <c r="CU174">
        <v>16.487282</v>
      </c>
      <c r="CV174">
        <v>1</v>
      </c>
      <c r="CW174">
        <v>12.872368</v>
      </c>
      <c r="CX174">
        <v>165.697869</v>
      </c>
      <c r="CY174">
        <v>0.78074500000000002</v>
      </c>
      <c r="CZ174">
        <v>17</v>
      </c>
      <c r="DA174">
        <v>1.1388400000000001</v>
      </c>
      <c r="DB174">
        <v>3.978755</v>
      </c>
      <c r="DC174">
        <v>10.034515000000001</v>
      </c>
      <c r="DD174">
        <v>16.487282</v>
      </c>
      <c r="DE174">
        <v>6.9361480000000002</v>
      </c>
      <c r="DF174">
        <v>1.60616</v>
      </c>
      <c r="DG174">
        <v>0.84981399999999996</v>
      </c>
      <c r="DH174">
        <v>0.42069699999999999</v>
      </c>
      <c r="DI174">
        <v>0.23156399999999999</v>
      </c>
      <c r="DJ174">
        <v>0.12252</v>
      </c>
      <c r="DK174">
        <v>1</v>
      </c>
      <c r="DL174">
        <v>1</v>
      </c>
      <c r="DM174">
        <v>3</v>
      </c>
      <c r="DN174">
        <v>5</v>
      </c>
      <c r="DO174">
        <v>6</v>
      </c>
      <c r="DP174">
        <v>8</v>
      </c>
      <c r="DQ174">
        <v>11</v>
      </c>
      <c r="DR174">
        <v>14</v>
      </c>
      <c r="DS174">
        <v>17</v>
      </c>
      <c r="DT174">
        <v>21</v>
      </c>
      <c r="DU174">
        <v>23</v>
      </c>
      <c r="DV174">
        <v>25</v>
      </c>
      <c r="DW174">
        <v>35</v>
      </c>
      <c r="DX174">
        <v>45</v>
      </c>
      <c r="DY174">
        <v>55</v>
      </c>
      <c r="DZ174">
        <v>87.504514</v>
      </c>
      <c r="EA174">
        <v>50.940767000000001</v>
      </c>
      <c r="EB174">
        <v>105.597689</v>
      </c>
      <c r="EC174">
        <v>2423</v>
      </c>
      <c r="ED174">
        <v>2924</v>
      </c>
      <c r="EE174">
        <v>83.712531999999996</v>
      </c>
      <c r="EF174">
        <v>100</v>
      </c>
      <c r="EG174">
        <v>45.644598999999999</v>
      </c>
      <c r="EH174">
        <v>98.693380000000005</v>
      </c>
      <c r="EI174">
        <v>94.618995999999996</v>
      </c>
      <c r="EJ174">
        <v>204.58649299999999</v>
      </c>
      <c r="EK174">
        <v>2318</v>
      </c>
      <c r="EL174">
        <v>2769</v>
      </c>
      <c r="EM174">
        <v>2620</v>
      </c>
      <c r="EN174">
        <v>5665</v>
      </c>
      <c r="EO174">
        <v>2769</v>
      </c>
      <c r="EP174">
        <v>5740</v>
      </c>
      <c r="EQ174">
        <v>39.345992000000003</v>
      </c>
    </row>
    <row r="175" spans="1:147" x14ac:dyDescent="0.25">
      <c r="A175">
        <v>2022</v>
      </c>
      <c r="B175" t="str">
        <f t="shared" si="4"/>
        <v>NE</v>
      </c>
      <c r="C175" t="s">
        <v>1035</v>
      </c>
      <c r="D175" t="s">
        <v>1035</v>
      </c>
      <c r="E175">
        <v>25062</v>
      </c>
      <c r="F175" t="s">
        <v>1031</v>
      </c>
      <c r="G175" t="s">
        <v>299</v>
      </c>
      <c r="H175" t="s">
        <v>1032</v>
      </c>
      <c r="I175">
        <v>40.799999999999997</v>
      </c>
      <c r="J175">
        <v>40.799999999999997</v>
      </c>
      <c r="K175" t="s">
        <v>301</v>
      </c>
      <c r="L175">
        <v>1</v>
      </c>
      <c r="M175">
        <v>2016</v>
      </c>
      <c r="N175">
        <v>3</v>
      </c>
      <c r="O175" t="str">
        <f t="shared" si="5"/>
        <v>Alto fuste</v>
      </c>
      <c r="P175" s="2">
        <v>42597</v>
      </c>
      <c r="Q175" t="s">
        <v>174</v>
      </c>
      <c r="R175" t="s">
        <v>165</v>
      </c>
      <c r="S175" t="s">
        <v>154</v>
      </c>
      <c r="T175" t="s">
        <v>175</v>
      </c>
      <c r="U175" t="s">
        <v>156</v>
      </c>
      <c r="V175" s="2">
        <v>44746</v>
      </c>
      <c r="W175" t="s">
        <v>303</v>
      </c>
      <c r="X175">
        <v>122.64</v>
      </c>
      <c r="Y175">
        <v>20.9</v>
      </c>
      <c r="Z175">
        <v>15</v>
      </c>
      <c r="AA175">
        <v>15.3</v>
      </c>
      <c r="AB175">
        <v>1</v>
      </c>
      <c r="AC175">
        <v>319.77</v>
      </c>
      <c r="AD175">
        <v>308.82705845073599</v>
      </c>
      <c r="AE175" s="2">
        <v>44746</v>
      </c>
      <c r="AF175">
        <v>71</v>
      </c>
      <c r="AG175">
        <v>5.8836413415468902</v>
      </c>
      <c r="AH175">
        <v>27.310385050647401</v>
      </c>
      <c r="AI175">
        <v>17.4413793103448</v>
      </c>
      <c r="AJ175">
        <v>22.5566527559882</v>
      </c>
      <c r="AK175">
        <v>29</v>
      </c>
      <c r="AL175">
        <v>939.03688833101705</v>
      </c>
      <c r="AM175">
        <v>267.38899991341901</v>
      </c>
      <c r="AN175">
        <v>0.28474813208739802</v>
      </c>
      <c r="AO175" t="s">
        <v>165</v>
      </c>
      <c r="AP175" t="s">
        <v>158</v>
      </c>
      <c r="AQ175" t="s">
        <v>304</v>
      </c>
      <c r="AR175">
        <v>9</v>
      </c>
      <c r="AS175">
        <v>0.84513319949791454</v>
      </c>
      <c r="AT175" t="s">
        <v>1036</v>
      </c>
      <c r="AU175" t="s">
        <v>1037</v>
      </c>
      <c r="AV175">
        <v>9659</v>
      </c>
      <c r="AW175">
        <v>5653</v>
      </c>
      <c r="AX175">
        <v>3291</v>
      </c>
      <c r="AY175">
        <v>664</v>
      </c>
      <c r="AZ175">
        <v>51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-0.95</v>
      </c>
      <c r="BH175">
        <v>27.860001</v>
      </c>
      <c r="BI175">
        <v>12.447293</v>
      </c>
      <c r="BJ175">
        <v>-3.5396999999999998E-2</v>
      </c>
      <c r="BK175">
        <v>11.146833000000001</v>
      </c>
      <c r="BL175">
        <v>124.251893</v>
      </c>
      <c r="BM175">
        <v>0.89552299999999996</v>
      </c>
      <c r="BN175">
        <v>23.840001000000001</v>
      </c>
      <c r="BO175">
        <v>-5.0407E-2</v>
      </c>
      <c r="BP175">
        <v>1.2194860000000001</v>
      </c>
      <c r="BQ175">
        <v>10.613894</v>
      </c>
      <c r="BR175">
        <v>10</v>
      </c>
      <c r="BS175">
        <v>16.145396999999999</v>
      </c>
      <c r="BT175">
        <v>12.447293</v>
      </c>
      <c r="BU175">
        <v>6.1089950000000002</v>
      </c>
      <c r="BV175">
        <v>0.13157099999999999</v>
      </c>
      <c r="BW175">
        <v>-1.0439659999999999</v>
      </c>
      <c r="BX175">
        <v>0.49078899999999998</v>
      </c>
      <c r="BY175">
        <v>2.1537000000000001E-2</v>
      </c>
      <c r="BZ175">
        <v>-0.17088999999999999</v>
      </c>
      <c r="CA175">
        <v>-0.41</v>
      </c>
      <c r="CB175">
        <v>-0.16</v>
      </c>
      <c r="CC175">
        <v>-7.0000000000000007E-2</v>
      </c>
      <c r="CD175">
        <v>0.04</v>
      </c>
      <c r="CE175">
        <v>0.1</v>
      </c>
      <c r="CF175">
        <v>0.16</v>
      </c>
      <c r="CG175">
        <v>0.71</v>
      </c>
      <c r="CH175">
        <v>16.110001</v>
      </c>
      <c r="CI175">
        <v>19.329999999999998</v>
      </c>
      <c r="CJ175">
        <v>22.809999000000001</v>
      </c>
      <c r="CK175">
        <v>23.940000999999999</v>
      </c>
      <c r="CL175">
        <v>24.799999</v>
      </c>
      <c r="CM175">
        <v>25.82</v>
      </c>
      <c r="CN175">
        <v>26.379999000000002</v>
      </c>
      <c r="CO175">
        <v>27.34</v>
      </c>
      <c r="CP175">
        <v>0.46502199999999999</v>
      </c>
      <c r="CQ175">
        <v>16.708504999999999</v>
      </c>
      <c r="CR175">
        <v>18.660668000000001</v>
      </c>
      <c r="CS175">
        <v>1</v>
      </c>
      <c r="CT175">
        <v>124</v>
      </c>
      <c r="CU175">
        <v>26.865100000000002</v>
      </c>
      <c r="CV175">
        <v>1</v>
      </c>
      <c r="CW175">
        <v>21.152820999999999</v>
      </c>
      <c r="CX175">
        <v>447.44183299999997</v>
      </c>
      <c r="CY175">
        <v>0.78737199999999996</v>
      </c>
      <c r="CZ175">
        <v>30</v>
      </c>
      <c r="DA175">
        <v>1.113677</v>
      </c>
      <c r="DB175">
        <v>4.1571239999999996</v>
      </c>
      <c r="DC175">
        <v>16.804521999999999</v>
      </c>
      <c r="DD175">
        <v>26.865100000000002</v>
      </c>
      <c r="DE175">
        <v>11.459566000000001</v>
      </c>
      <c r="DF175">
        <v>2.4597549999999999</v>
      </c>
      <c r="DG175">
        <v>1.1707350000000001</v>
      </c>
      <c r="DH175">
        <v>0.42655999999999999</v>
      </c>
      <c r="DI175">
        <v>0.214646</v>
      </c>
      <c r="DJ175">
        <v>0.102162</v>
      </c>
      <c r="DK175">
        <v>1</v>
      </c>
      <c r="DL175">
        <v>2</v>
      </c>
      <c r="DM175">
        <v>4</v>
      </c>
      <c r="DN175">
        <v>8</v>
      </c>
      <c r="DO175">
        <v>10</v>
      </c>
      <c r="DP175">
        <v>12</v>
      </c>
      <c r="DQ175">
        <v>17</v>
      </c>
      <c r="DR175">
        <v>22</v>
      </c>
      <c r="DS175">
        <v>28</v>
      </c>
      <c r="DT175">
        <v>36</v>
      </c>
      <c r="DU175">
        <v>40</v>
      </c>
      <c r="DV175">
        <v>44</v>
      </c>
      <c r="DW175">
        <v>52</v>
      </c>
      <c r="DX175">
        <v>70.099609000000001</v>
      </c>
      <c r="DY175">
        <v>92</v>
      </c>
      <c r="DZ175">
        <v>83.106314999999995</v>
      </c>
      <c r="EA175">
        <v>58.587845999999999</v>
      </c>
      <c r="EB175">
        <v>100.106138</v>
      </c>
      <c r="EC175">
        <v>4698</v>
      </c>
      <c r="ED175">
        <v>5659</v>
      </c>
      <c r="EE175">
        <v>79.904475000000005</v>
      </c>
      <c r="EF175">
        <v>99.097824000000003</v>
      </c>
      <c r="EG175">
        <v>54.612279000000001</v>
      </c>
      <c r="EH175">
        <v>87.317527999999996</v>
      </c>
      <c r="EI175">
        <v>93.313284999999993</v>
      </c>
      <c r="EJ175">
        <v>149.19511800000001</v>
      </c>
      <c r="EK175">
        <v>4517</v>
      </c>
      <c r="EL175">
        <v>5602</v>
      </c>
      <c r="EM175">
        <v>5275</v>
      </c>
      <c r="EN175">
        <v>8434</v>
      </c>
      <c r="EO175">
        <v>5653</v>
      </c>
      <c r="EP175">
        <v>9659</v>
      </c>
      <c r="EQ175">
        <v>44.604652999999999</v>
      </c>
    </row>
    <row r="176" spans="1:147" x14ac:dyDescent="0.25">
      <c r="A176">
        <v>2022</v>
      </c>
      <c r="B176" t="str">
        <f t="shared" si="4"/>
        <v>NE</v>
      </c>
      <c r="C176" t="s">
        <v>1038</v>
      </c>
      <c r="D176" t="s">
        <v>1038</v>
      </c>
      <c r="E176">
        <v>25065</v>
      </c>
      <c r="F176" t="s">
        <v>1031</v>
      </c>
      <c r="G176" t="s">
        <v>299</v>
      </c>
      <c r="H176" t="s">
        <v>1039</v>
      </c>
      <c r="I176">
        <v>18.600000000000001</v>
      </c>
      <c r="J176">
        <v>18.600000000000001</v>
      </c>
      <c r="K176" t="s">
        <v>301</v>
      </c>
      <c r="L176">
        <v>1</v>
      </c>
      <c r="M176">
        <v>2016</v>
      </c>
      <c r="N176">
        <v>3</v>
      </c>
      <c r="O176" t="str">
        <f t="shared" si="5"/>
        <v>Alto fuste</v>
      </c>
      <c r="P176" s="2">
        <v>42598</v>
      </c>
      <c r="Q176" t="s">
        <v>174</v>
      </c>
      <c r="R176" t="s">
        <v>470</v>
      </c>
      <c r="S176" t="s">
        <v>154</v>
      </c>
      <c r="T176" t="s">
        <v>175</v>
      </c>
      <c r="U176" t="s">
        <v>156</v>
      </c>
      <c r="V176" s="2">
        <v>44714</v>
      </c>
      <c r="W176" t="s">
        <v>303</v>
      </c>
      <c r="X176">
        <v>122.64</v>
      </c>
      <c r="Y176">
        <v>19</v>
      </c>
      <c r="Z176">
        <v>15</v>
      </c>
      <c r="AA176">
        <v>15.5</v>
      </c>
      <c r="AB176">
        <v>1</v>
      </c>
      <c r="AC176">
        <v>294.5</v>
      </c>
      <c r="AD176">
        <v>284.42183042105802</v>
      </c>
      <c r="AE176" s="2">
        <v>44714</v>
      </c>
      <c r="AF176">
        <v>70</v>
      </c>
      <c r="AG176">
        <v>5.7932922655715302</v>
      </c>
      <c r="AH176">
        <v>29.406736034689001</v>
      </c>
      <c r="AI176">
        <v>16.2862068965517</v>
      </c>
      <c r="AJ176">
        <v>21.511050732988501</v>
      </c>
      <c r="AK176">
        <v>29</v>
      </c>
      <c r="AL176">
        <v>1019.61231165232</v>
      </c>
      <c r="AM176">
        <v>279.18357964486597</v>
      </c>
      <c r="AN176">
        <v>0.27381346464171002</v>
      </c>
      <c r="AO176" t="s">
        <v>470</v>
      </c>
      <c r="AP176" t="s">
        <v>158</v>
      </c>
      <c r="AQ176" t="s">
        <v>315</v>
      </c>
      <c r="AR176">
        <v>9</v>
      </c>
      <c r="AS176">
        <v>0.91765108048709088</v>
      </c>
      <c r="AT176" t="s">
        <v>1040</v>
      </c>
      <c r="AU176" t="s">
        <v>1041</v>
      </c>
      <c r="AV176">
        <v>2750</v>
      </c>
      <c r="AW176">
        <v>1797</v>
      </c>
      <c r="AX176">
        <v>816</v>
      </c>
      <c r="AY176">
        <v>134</v>
      </c>
      <c r="AZ176">
        <v>3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-0.77</v>
      </c>
      <c r="BH176">
        <v>33.330002</v>
      </c>
      <c r="BI176">
        <v>15.636589000000001</v>
      </c>
      <c r="BJ176">
        <v>-0.22872999999999999</v>
      </c>
      <c r="BK176">
        <v>13.652704999999999</v>
      </c>
      <c r="BL176">
        <v>186.39635799999999</v>
      </c>
      <c r="BM176">
        <v>0.87312599999999996</v>
      </c>
      <c r="BN176">
        <v>29.269998999999999</v>
      </c>
      <c r="BO176">
        <v>-4.5573000000000002E-2</v>
      </c>
      <c r="BP176">
        <v>1.1555770000000001</v>
      </c>
      <c r="BQ176">
        <v>13.165333</v>
      </c>
      <c r="BR176">
        <v>11.959999</v>
      </c>
      <c r="BS176">
        <v>19.643730000000001</v>
      </c>
      <c r="BT176">
        <v>15.636589000000001</v>
      </c>
      <c r="BU176">
        <v>7.4339469999999999</v>
      </c>
      <c r="BV176">
        <v>-4.8439999999999997E-2</v>
      </c>
      <c r="BW176">
        <v>-1.4237150000000001</v>
      </c>
      <c r="BX176">
        <v>0.47542000000000001</v>
      </c>
      <c r="BY176">
        <v>-6.5160000000000001E-3</v>
      </c>
      <c r="BZ176">
        <v>-0.19151499999999999</v>
      </c>
      <c r="CA176">
        <v>-0.36</v>
      </c>
      <c r="CB176">
        <v>-0.1055</v>
      </c>
      <c r="CC176">
        <v>0.04</v>
      </c>
      <c r="CD176">
        <v>0.32</v>
      </c>
      <c r="CE176">
        <v>0.53</v>
      </c>
      <c r="CF176">
        <v>0.91</v>
      </c>
      <c r="CG176">
        <v>3.6760000000000002</v>
      </c>
      <c r="CH176">
        <v>19.415001</v>
      </c>
      <c r="CI176">
        <v>27.736000000000001</v>
      </c>
      <c r="CJ176">
        <v>29.343</v>
      </c>
      <c r="CK176">
        <v>29.799999</v>
      </c>
      <c r="CL176">
        <v>30.139999</v>
      </c>
      <c r="CM176">
        <v>31.02</v>
      </c>
      <c r="CN176">
        <v>31.515501</v>
      </c>
      <c r="CO176">
        <v>32.395302000000001</v>
      </c>
      <c r="CP176">
        <v>0.481132</v>
      </c>
      <c r="CQ176">
        <v>20.756481000000001</v>
      </c>
      <c r="CR176">
        <v>23.175642</v>
      </c>
      <c r="CS176">
        <v>1</v>
      </c>
      <c r="CT176">
        <v>51</v>
      </c>
      <c r="CU176">
        <v>12.586182000000001</v>
      </c>
      <c r="CV176">
        <v>1</v>
      </c>
      <c r="CW176">
        <v>9.5761590000000005</v>
      </c>
      <c r="CX176">
        <v>91.702827999999997</v>
      </c>
      <c r="CY176">
        <v>0.76084700000000005</v>
      </c>
      <c r="CZ176">
        <v>12</v>
      </c>
      <c r="DA176">
        <v>0.90579100000000001</v>
      </c>
      <c r="DB176">
        <v>3.2514919999999998</v>
      </c>
      <c r="DC176">
        <v>7.5934020000000002</v>
      </c>
      <c r="DD176">
        <v>12.586182000000001</v>
      </c>
      <c r="DE176">
        <v>5.2655989999999999</v>
      </c>
      <c r="DF176">
        <v>1.049949</v>
      </c>
      <c r="DG176">
        <v>0.51497700000000002</v>
      </c>
      <c r="DH176">
        <v>0.41836299999999998</v>
      </c>
      <c r="DI176">
        <v>0.19939799999999999</v>
      </c>
      <c r="DJ176">
        <v>9.7799999999999998E-2</v>
      </c>
      <c r="DK176">
        <v>1</v>
      </c>
      <c r="DL176">
        <v>1</v>
      </c>
      <c r="DM176">
        <v>2</v>
      </c>
      <c r="DN176">
        <v>4</v>
      </c>
      <c r="DO176">
        <v>5</v>
      </c>
      <c r="DP176">
        <v>6</v>
      </c>
      <c r="DQ176">
        <v>9</v>
      </c>
      <c r="DR176">
        <v>11</v>
      </c>
      <c r="DS176">
        <v>13</v>
      </c>
      <c r="DT176">
        <v>16</v>
      </c>
      <c r="DU176">
        <v>17</v>
      </c>
      <c r="DV176">
        <v>19</v>
      </c>
      <c r="DW176">
        <v>28</v>
      </c>
      <c r="DX176">
        <v>33</v>
      </c>
      <c r="DY176">
        <v>38</v>
      </c>
      <c r="DZ176">
        <v>79.688370000000006</v>
      </c>
      <c r="EA176">
        <v>62.727272999999997</v>
      </c>
      <c r="EB176">
        <v>95.993322000000006</v>
      </c>
      <c r="EC176">
        <v>1432</v>
      </c>
      <c r="ED176">
        <v>1725</v>
      </c>
      <c r="EE176">
        <v>71.341123999999994</v>
      </c>
      <c r="EF176">
        <v>100</v>
      </c>
      <c r="EG176">
        <v>52.8</v>
      </c>
      <c r="EH176">
        <v>97.927273</v>
      </c>
      <c r="EI176">
        <v>80.801336000000006</v>
      </c>
      <c r="EJ176">
        <v>149.86087900000001</v>
      </c>
      <c r="EK176">
        <v>1282</v>
      </c>
      <c r="EL176">
        <v>1797</v>
      </c>
      <c r="EM176">
        <v>1452</v>
      </c>
      <c r="EN176">
        <v>2693</v>
      </c>
      <c r="EO176">
        <v>1797</v>
      </c>
      <c r="EP176">
        <v>2750</v>
      </c>
      <c r="EQ176">
        <v>47.269584999999999</v>
      </c>
    </row>
    <row r="177" spans="1:147" x14ac:dyDescent="0.25">
      <c r="A177">
        <v>2022</v>
      </c>
      <c r="B177" t="str">
        <f t="shared" si="4"/>
        <v>NE</v>
      </c>
      <c r="C177" t="s">
        <v>1042</v>
      </c>
      <c r="D177" t="s">
        <v>1042</v>
      </c>
      <c r="E177">
        <v>25075</v>
      </c>
      <c r="F177" t="s">
        <v>1043</v>
      </c>
      <c r="G177" t="s">
        <v>577</v>
      </c>
      <c r="H177" t="s">
        <v>1044</v>
      </c>
      <c r="I177">
        <v>8.82</v>
      </c>
      <c r="J177">
        <v>8.82</v>
      </c>
      <c r="K177" t="s">
        <v>173</v>
      </c>
      <c r="L177">
        <v>1</v>
      </c>
      <c r="M177">
        <v>2016</v>
      </c>
      <c r="N177">
        <v>3</v>
      </c>
      <c r="O177" t="str">
        <f t="shared" si="5"/>
        <v>Alto fuste</v>
      </c>
      <c r="P177" s="2">
        <v>42719</v>
      </c>
      <c r="Q177" t="s">
        <v>174</v>
      </c>
      <c r="R177" t="s">
        <v>695</v>
      </c>
      <c r="S177" t="s">
        <v>154</v>
      </c>
      <c r="T177" t="s">
        <v>175</v>
      </c>
      <c r="U177" t="s">
        <v>156</v>
      </c>
      <c r="V177" s="2">
        <v>44588</v>
      </c>
      <c r="W177" t="s">
        <v>579</v>
      </c>
      <c r="X177">
        <v>57.71</v>
      </c>
      <c r="Y177">
        <v>20</v>
      </c>
      <c r="Z177">
        <v>23</v>
      </c>
      <c r="AA177">
        <v>15</v>
      </c>
      <c r="AB177">
        <v>0</v>
      </c>
      <c r="AC177">
        <v>300</v>
      </c>
      <c r="AD177">
        <v>276.151456035732</v>
      </c>
      <c r="AE177" s="2">
        <v>44588</v>
      </c>
      <c r="AF177">
        <v>61</v>
      </c>
      <c r="AG177">
        <v>5.1170431211498997</v>
      </c>
      <c r="AH177">
        <v>27.162614827527499</v>
      </c>
      <c r="AI177">
        <v>16.16</v>
      </c>
      <c r="AJ177">
        <v>22.649722671286501</v>
      </c>
      <c r="AK177">
        <v>30</v>
      </c>
      <c r="AL177">
        <v>1086.3603774052999</v>
      </c>
      <c r="AM177">
        <v>269.514580967342</v>
      </c>
      <c r="AN177">
        <v>0.24808947985663901</v>
      </c>
      <c r="AO177" t="s">
        <v>695</v>
      </c>
      <c r="AP177" t="s">
        <v>158</v>
      </c>
      <c r="AQ177" t="s">
        <v>315</v>
      </c>
      <c r="AR177">
        <v>9</v>
      </c>
      <c r="AS177">
        <v>0.97772433966476702</v>
      </c>
      <c r="AT177" t="s">
        <v>1045</v>
      </c>
      <c r="AU177" t="s">
        <v>1046</v>
      </c>
      <c r="AV177">
        <v>3152</v>
      </c>
      <c r="AW177">
        <v>1988</v>
      </c>
      <c r="AX177">
        <v>1112</v>
      </c>
      <c r="AY177">
        <v>50</v>
      </c>
      <c r="AZ177">
        <v>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-0.91200000000000003</v>
      </c>
      <c r="BH177">
        <v>30.24</v>
      </c>
      <c r="BI177">
        <v>16.022601999999999</v>
      </c>
      <c r="BJ177">
        <v>-0.41752400000000001</v>
      </c>
      <c r="BK177">
        <v>12.249371999999999</v>
      </c>
      <c r="BL177">
        <v>150.04711499999999</v>
      </c>
      <c r="BM177">
        <v>0.76450600000000002</v>
      </c>
      <c r="BN177">
        <v>24.536249999999999</v>
      </c>
      <c r="BO177">
        <v>-0.30186200000000002</v>
      </c>
      <c r="BP177">
        <v>1.1802870000000001</v>
      </c>
      <c r="BQ177">
        <v>11.921730999999999</v>
      </c>
      <c r="BR177">
        <v>4.0385</v>
      </c>
      <c r="BS177">
        <v>24.827524</v>
      </c>
      <c r="BT177">
        <v>16.022601999999999</v>
      </c>
      <c r="BU177">
        <v>6.5181940000000003</v>
      </c>
      <c r="BV177">
        <v>-0.825187</v>
      </c>
      <c r="BW177">
        <v>-1.048216</v>
      </c>
      <c r="BX177">
        <v>0.40681200000000001</v>
      </c>
      <c r="BY177">
        <v>-0.12659799999999999</v>
      </c>
      <c r="BZ177">
        <v>-0.16081400000000001</v>
      </c>
      <c r="CA177">
        <v>-0.29944999999999999</v>
      </c>
      <c r="CB177">
        <v>-4.5449999999999997E-2</v>
      </c>
      <c r="CC177">
        <v>0.1041</v>
      </c>
      <c r="CD177">
        <v>1.1214</v>
      </c>
      <c r="CE177">
        <v>2.3765000000000001</v>
      </c>
      <c r="CF177">
        <v>3.2492999999999999</v>
      </c>
      <c r="CG177">
        <v>4.7935999999999996</v>
      </c>
      <c r="CH177">
        <v>24.41</v>
      </c>
      <c r="CI177">
        <v>25.764199999999999</v>
      </c>
      <c r="CJ177">
        <v>26.5611</v>
      </c>
      <c r="CK177">
        <v>26.912749999999999</v>
      </c>
      <c r="CL177">
        <v>27.250999</v>
      </c>
      <c r="CM177">
        <v>28.074400000000001</v>
      </c>
      <c r="CN177">
        <v>28.736999999999998</v>
      </c>
      <c r="CO177">
        <v>29.50149</v>
      </c>
      <c r="CP177">
        <v>0.54361199999999998</v>
      </c>
      <c r="CQ177">
        <v>20.167382</v>
      </c>
      <c r="CR177">
        <v>22.082937000000001</v>
      </c>
      <c r="CS177">
        <v>1</v>
      </c>
      <c r="CT177">
        <v>86</v>
      </c>
      <c r="CU177">
        <v>30.650697999999998</v>
      </c>
      <c r="CV177">
        <v>1</v>
      </c>
      <c r="CW177">
        <v>18.958307999999999</v>
      </c>
      <c r="CX177">
        <v>359.417461</v>
      </c>
      <c r="CY177">
        <v>0.61852799999999997</v>
      </c>
      <c r="CZ177">
        <v>33</v>
      </c>
      <c r="DA177">
        <v>-2.1921E-2</v>
      </c>
      <c r="DB177">
        <v>2.0141010000000001</v>
      </c>
      <c r="DC177">
        <v>16.417268</v>
      </c>
      <c r="DD177">
        <v>30.650697999999998</v>
      </c>
      <c r="DE177">
        <v>10.806995000000001</v>
      </c>
      <c r="DF177">
        <v>-0.24379500000000001</v>
      </c>
      <c r="DG177">
        <v>0.124609</v>
      </c>
      <c r="DH177">
        <v>0.35258600000000001</v>
      </c>
      <c r="DI177">
        <v>-2.2558999999999999E-2</v>
      </c>
      <c r="DJ177">
        <v>1.153E-2</v>
      </c>
      <c r="DK177">
        <v>1</v>
      </c>
      <c r="DL177">
        <v>2</v>
      </c>
      <c r="DM177">
        <v>4</v>
      </c>
      <c r="DN177">
        <v>8</v>
      </c>
      <c r="DO177">
        <v>12</v>
      </c>
      <c r="DP177">
        <v>17</v>
      </c>
      <c r="DQ177">
        <v>27</v>
      </c>
      <c r="DR177">
        <v>35</v>
      </c>
      <c r="DS177">
        <v>39</v>
      </c>
      <c r="DT177">
        <v>43</v>
      </c>
      <c r="DU177">
        <v>45</v>
      </c>
      <c r="DV177">
        <v>47</v>
      </c>
      <c r="DW177">
        <v>53</v>
      </c>
      <c r="DX177">
        <v>59</v>
      </c>
      <c r="DY177">
        <v>72</v>
      </c>
      <c r="DZ177">
        <v>94.668008</v>
      </c>
      <c r="EA177">
        <v>71.478425999999999</v>
      </c>
      <c r="EB177">
        <v>113.32998000000001</v>
      </c>
      <c r="EC177">
        <v>1882</v>
      </c>
      <c r="ED177">
        <v>2253</v>
      </c>
      <c r="EE177">
        <v>89.989940000000004</v>
      </c>
      <c r="EF177">
        <v>100</v>
      </c>
      <c r="EG177">
        <v>57.423858000000003</v>
      </c>
      <c r="EH177">
        <v>99.587563000000003</v>
      </c>
      <c r="EI177">
        <v>91.046278000000001</v>
      </c>
      <c r="EJ177">
        <v>157.89738399999999</v>
      </c>
      <c r="EK177">
        <v>1789</v>
      </c>
      <c r="EL177">
        <v>1988</v>
      </c>
      <c r="EM177">
        <v>1810</v>
      </c>
      <c r="EN177">
        <v>3139</v>
      </c>
      <c r="EO177">
        <v>1988</v>
      </c>
      <c r="EP177">
        <v>3152</v>
      </c>
      <c r="EQ177">
        <v>53.454374000000001</v>
      </c>
    </row>
    <row r="178" spans="1:147" x14ac:dyDescent="0.25">
      <c r="A178">
        <v>2022</v>
      </c>
      <c r="B178" t="str">
        <f t="shared" si="4"/>
        <v>NE</v>
      </c>
      <c r="C178" t="s">
        <v>1047</v>
      </c>
      <c r="D178" t="s">
        <v>1047</v>
      </c>
      <c r="E178">
        <v>25076</v>
      </c>
      <c r="F178" t="s">
        <v>1048</v>
      </c>
      <c r="G178" t="s">
        <v>577</v>
      </c>
      <c r="H178" t="s">
        <v>1049</v>
      </c>
      <c r="I178">
        <v>20.38</v>
      </c>
      <c r="J178">
        <v>20.38</v>
      </c>
      <c r="K178" t="s">
        <v>173</v>
      </c>
      <c r="L178">
        <v>1</v>
      </c>
      <c r="M178">
        <v>2016</v>
      </c>
      <c r="N178">
        <v>3</v>
      </c>
      <c r="O178" t="str">
        <f t="shared" si="5"/>
        <v>Talhadia</v>
      </c>
      <c r="P178" s="2">
        <v>42706</v>
      </c>
      <c r="Q178" t="s">
        <v>174</v>
      </c>
      <c r="R178" t="s">
        <v>153</v>
      </c>
      <c r="S178" t="s">
        <v>154</v>
      </c>
      <c r="T178" t="s">
        <v>175</v>
      </c>
      <c r="U178" t="s">
        <v>156</v>
      </c>
      <c r="V178" s="2">
        <v>44565</v>
      </c>
      <c r="W178" t="s">
        <v>579</v>
      </c>
      <c r="X178">
        <v>47.9</v>
      </c>
      <c r="Y178">
        <v>19</v>
      </c>
      <c r="Z178">
        <v>20</v>
      </c>
      <c r="AA178">
        <v>15.8</v>
      </c>
      <c r="AB178">
        <v>8</v>
      </c>
      <c r="AC178">
        <v>300.2</v>
      </c>
      <c r="AD178">
        <v>279.350388558269</v>
      </c>
      <c r="AE178" s="2">
        <v>44565</v>
      </c>
      <c r="AF178">
        <v>61</v>
      </c>
      <c r="AG178">
        <v>5.0896646132785799</v>
      </c>
      <c r="AH178">
        <v>23.225360589539999</v>
      </c>
      <c r="AI178">
        <v>16.036842105263201</v>
      </c>
      <c r="AJ178">
        <v>14.268866816541401</v>
      </c>
      <c r="AK178">
        <v>19</v>
      </c>
      <c r="AL178">
        <v>680.14940297950704</v>
      </c>
      <c r="AM178">
        <v>144.76070805744399</v>
      </c>
      <c r="AN178">
        <v>0.212836631809565</v>
      </c>
      <c r="AO178" t="s">
        <v>153</v>
      </c>
      <c r="AP178" t="s">
        <v>264</v>
      </c>
      <c r="AQ178" t="s">
        <v>315</v>
      </c>
      <c r="AR178">
        <v>9</v>
      </c>
      <c r="AS178">
        <v>0.61213446268155636</v>
      </c>
      <c r="AT178" t="s">
        <v>1050</v>
      </c>
      <c r="AU178" t="s">
        <v>1051</v>
      </c>
      <c r="AV178">
        <v>3903</v>
      </c>
      <c r="AW178">
        <v>2151</v>
      </c>
      <c r="AX178">
        <v>1391</v>
      </c>
      <c r="AY178">
        <v>335</v>
      </c>
      <c r="AZ178">
        <v>26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-1.0409999999999999</v>
      </c>
      <c r="BH178">
        <v>29.245999999999999</v>
      </c>
      <c r="BI178">
        <v>12.817659000000001</v>
      </c>
      <c r="BJ178">
        <v>-7.9507999999999995E-2</v>
      </c>
      <c r="BK178">
        <v>10.475193000000001</v>
      </c>
      <c r="BL178">
        <v>109.729677</v>
      </c>
      <c r="BM178">
        <v>0.81724699999999995</v>
      </c>
      <c r="BN178">
        <v>22.713000000000001</v>
      </c>
      <c r="BO178">
        <v>-0.14194499999999999</v>
      </c>
      <c r="BP178">
        <v>1.397613</v>
      </c>
      <c r="BQ178">
        <v>9.5773469999999996</v>
      </c>
      <c r="BR178">
        <v>9.2210009999999993</v>
      </c>
      <c r="BS178">
        <v>15.864508000000001</v>
      </c>
      <c r="BT178">
        <v>12.817659000000001</v>
      </c>
      <c r="BU178">
        <v>5.851737</v>
      </c>
      <c r="BV178">
        <v>-6.5712000000000007E-2</v>
      </c>
      <c r="BW178">
        <v>-0.69115499999999996</v>
      </c>
      <c r="BX178">
        <v>0.45653700000000003</v>
      </c>
      <c r="BY178">
        <v>-1.1228999999999999E-2</v>
      </c>
      <c r="BZ178">
        <v>-0.11811099999999999</v>
      </c>
      <c r="CA178">
        <v>-0.41496</v>
      </c>
      <c r="CB178">
        <v>-0.18390000000000001</v>
      </c>
      <c r="CC178">
        <v>-6.1800000000000001E-2</v>
      </c>
      <c r="CD178">
        <v>7.4999999999999997E-2</v>
      </c>
      <c r="CE178">
        <v>0.13700000000000001</v>
      </c>
      <c r="CF178">
        <v>0.22459999999999999</v>
      </c>
      <c r="CG178">
        <v>10.389200000000001</v>
      </c>
      <c r="CH178">
        <v>15.785</v>
      </c>
      <c r="CI178">
        <v>18.1234</v>
      </c>
      <c r="CJ178">
        <v>20.977394</v>
      </c>
      <c r="CK178">
        <v>22.85</v>
      </c>
      <c r="CL178">
        <v>23.800201000000001</v>
      </c>
      <c r="CM178">
        <v>25.669398999999999</v>
      </c>
      <c r="CN178">
        <v>26.830598999999999</v>
      </c>
      <c r="CO178">
        <v>27.821960000000001</v>
      </c>
      <c r="CP178">
        <v>0.45757799999999998</v>
      </c>
      <c r="CQ178">
        <v>16.552762999999999</v>
      </c>
      <c r="CR178">
        <v>18.332379</v>
      </c>
      <c r="CS178">
        <v>1</v>
      </c>
      <c r="CT178">
        <v>45</v>
      </c>
      <c r="CU178">
        <v>9.283372</v>
      </c>
      <c r="CV178">
        <v>2.3968250000000002</v>
      </c>
      <c r="CW178">
        <v>6.9724250000000003</v>
      </c>
      <c r="CX178">
        <v>48.614708</v>
      </c>
      <c r="CY178">
        <v>0.75106600000000001</v>
      </c>
      <c r="CZ178">
        <v>9</v>
      </c>
      <c r="DA178">
        <v>1.381426</v>
      </c>
      <c r="DB178">
        <v>5.3253219999999999</v>
      </c>
      <c r="DC178">
        <v>5.3228150000000003</v>
      </c>
      <c r="DD178">
        <v>9.283372</v>
      </c>
      <c r="DE178">
        <v>3.6883400000000002</v>
      </c>
      <c r="DF178">
        <v>0.89035299999999995</v>
      </c>
      <c r="DG178">
        <v>0.525258</v>
      </c>
      <c r="DH178">
        <v>0.39730599999999999</v>
      </c>
      <c r="DI178">
        <v>0.241397</v>
      </c>
      <c r="DJ178">
        <v>0.14241000000000001</v>
      </c>
      <c r="DK178">
        <v>1</v>
      </c>
      <c r="DL178">
        <v>1</v>
      </c>
      <c r="DM178">
        <v>2</v>
      </c>
      <c r="DN178">
        <v>3</v>
      </c>
      <c r="DO178">
        <v>4</v>
      </c>
      <c r="DP178">
        <v>5</v>
      </c>
      <c r="DQ178">
        <v>6</v>
      </c>
      <c r="DR178">
        <v>8</v>
      </c>
      <c r="DS178">
        <v>9</v>
      </c>
      <c r="DT178">
        <v>11</v>
      </c>
      <c r="DU178">
        <v>13</v>
      </c>
      <c r="DV178">
        <v>14</v>
      </c>
      <c r="DW178">
        <v>18</v>
      </c>
      <c r="DX178">
        <v>23</v>
      </c>
      <c r="DY178">
        <v>33</v>
      </c>
      <c r="DZ178">
        <v>89.353789000000006</v>
      </c>
      <c r="EA178">
        <v>64.283884</v>
      </c>
      <c r="EB178">
        <v>116.643422</v>
      </c>
      <c r="EC178">
        <v>1922</v>
      </c>
      <c r="ED178">
        <v>2509</v>
      </c>
      <c r="EE178">
        <v>85.960019000000003</v>
      </c>
      <c r="EF178">
        <v>99.721059999999994</v>
      </c>
      <c r="EG178">
        <v>57.442993000000001</v>
      </c>
      <c r="EH178">
        <v>90.981296</v>
      </c>
      <c r="EI178">
        <v>104.23059000000001</v>
      </c>
      <c r="EJ178">
        <v>165.086007</v>
      </c>
      <c r="EK178">
        <v>1849</v>
      </c>
      <c r="EL178">
        <v>2145</v>
      </c>
      <c r="EM178">
        <v>2242</v>
      </c>
      <c r="EN178">
        <v>3551</v>
      </c>
      <c r="EO178">
        <v>2151</v>
      </c>
      <c r="EP178">
        <v>3903</v>
      </c>
      <c r="EQ178">
        <v>45.192653999999997</v>
      </c>
    </row>
    <row r="179" spans="1:147" x14ac:dyDescent="0.25">
      <c r="A179">
        <v>2022</v>
      </c>
      <c r="B179" t="str">
        <f t="shared" si="4"/>
        <v>NE</v>
      </c>
      <c r="C179" t="s">
        <v>1052</v>
      </c>
      <c r="D179" t="s">
        <v>1052</v>
      </c>
      <c r="E179">
        <v>25078</v>
      </c>
      <c r="F179" t="s">
        <v>1048</v>
      </c>
      <c r="G179" t="s">
        <v>577</v>
      </c>
      <c r="H179" t="s">
        <v>1053</v>
      </c>
      <c r="I179">
        <v>23.93</v>
      </c>
      <c r="J179">
        <v>23.93</v>
      </c>
      <c r="K179" t="s">
        <v>173</v>
      </c>
      <c r="L179">
        <v>1</v>
      </c>
      <c r="M179">
        <v>2016</v>
      </c>
      <c r="N179">
        <v>2</v>
      </c>
      <c r="O179" t="str">
        <f t="shared" si="5"/>
        <v>Talhadia</v>
      </c>
      <c r="P179" s="2">
        <v>42709</v>
      </c>
      <c r="Q179" t="s">
        <v>152</v>
      </c>
      <c r="R179" t="s">
        <v>153</v>
      </c>
      <c r="S179" t="s">
        <v>154</v>
      </c>
      <c r="T179" t="s">
        <v>175</v>
      </c>
      <c r="U179" t="s">
        <v>156</v>
      </c>
      <c r="V179" s="2">
        <v>44564</v>
      </c>
      <c r="W179" t="s">
        <v>579</v>
      </c>
      <c r="X179">
        <v>47.9</v>
      </c>
      <c r="Y179">
        <v>20</v>
      </c>
      <c r="Z179">
        <v>20</v>
      </c>
      <c r="AA179">
        <v>16.399999999999999</v>
      </c>
      <c r="AB179">
        <v>1</v>
      </c>
      <c r="AC179">
        <v>328</v>
      </c>
      <c r="AD179">
        <v>308.17223634382901</v>
      </c>
      <c r="AE179" s="2">
        <v>44564</v>
      </c>
      <c r="AF179">
        <v>61</v>
      </c>
      <c r="AG179">
        <v>5.0787132101300498</v>
      </c>
      <c r="AH179">
        <v>23.5029316068333</v>
      </c>
      <c r="AI179">
        <v>14.837037037037</v>
      </c>
      <c r="AJ179">
        <v>15.8777878517221</v>
      </c>
      <c r="AK179">
        <v>27</v>
      </c>
      <c r="AL179">
        <v>876.133435001458</v>
      </c>
      <c r="AM179">
        <v>166.33853028838499</v>
      </c>
      <c r="AN179">
        <v>0.18985524766339801</v>
      </c>
      <c r="AO179" t="s">
        <v>153</v>
      </c>
      <c r="AP179" t="s">
        <v>264</v>
      </c>
      <c r="AQ179" t="s">
        <v>294</v>
      </c>
      <c r="AR179">
        <v>9.99</v>
      </c>
      <c r="AS179">
        <v>0.87525730156645631</v>
      </c>
      <c r="AT179" t="s">
        <v>1054</v>
      </c>
      <c r="AU179" t="s">
        <v>1055</v>
      </c>
      <c r="AV179">
        <v>2844</v>
      </c>
      <c r="AW179">
        <v>1475</v>
      </c>
      <c r="AX179">
        <v>1085</v>
      </c>
      <c r="AY179">
        <v>269</v>
      </c>
      <c r="AZ179">
        <v>15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-0.80600000000000005</v>
      </c>
      <c r="BH179">
        <v>26.83</v>
      </c>
      <c r="BI179">
        <v>11.923992999999999</v>
      </c>
      <c r="BJ179">
        <v>-0.36733300000000002</v>
      </c>
      <c r="BK179">
        <v>10.232457999999999</v>
      </c>
      <c r="BL179">
        <v>104.70320100000001</v>
      </c>
      <c r="BM179">
        <v>0.85814000000000001</v>
      </c>
      <c r="BN179">
        <v>21.662749999999999</v>
      </c>
      <c r="BO179">
        <v>-7.1049000000000001E-2</v>
      </c>
      <c r="BP179">
        <v>1.295466</v>
      </c>
      <c r="BQ179">
        <v>9.5156770000000002</v>
      </c>
      <c r="BR179">
        <v>10.202999999999999</v>
      </c>
      <c r="BS179">
        <v>14.622833</v>
      </c>
      <c r="BT179">
        <v>11.923992999999999</v>
      </c>
      <c r="BU179">
        <v>5.6803990000000004</v>
      </c>
      <c r="BV179">
        <v>7.2166999999999995E-2</v>
      </c>
      <c r="BW179">
        <v>-0.82821800000000001</v>
      </c>
      <c r="BX179">
        <v>0.47638399999999997</v>
      </c>
      <c r="BY179">
        <v>1.2704999999999999E-2</v>
      </c>
      <c r="BZ179">
        <v>-0.14580299999999999</v>
      </c>
      <c r="CA179">
        <v>-0.38428000000000001</v>
      </c>
      <c r="CB179">
        <v>-0.14185</v>
      </c>
      <c r="CC179">
        <v>-4.8000000000000001E-2</v>
      </c>
      <c r="CD179">
        <v>0.123</v>
      </c>
      <c r="CE179">
        <v>0.22975000000000001</v>
      </c>
      <c r="CF179">
        <v>0.40970000000000001</v>
      </c>
      <c r="CG179">
        <v>4.3991889999999998</v>
      </c>
      <c r="CH179">
        <v>14.2555</v>
      </c>
      <c r="CI179">
        <v>17.749599</v>
      </c>
      <c r="CJ179">
        <v>20.935199999999998</v>
      </c>
      <c r="CK179">
        <v>21.892499999999998</v>
      </c>
      <c r="CL179">
        <v>22.776599999999998</v>
      </c>
      <c r="CM179">
        <v>24.4604</v>
      </c>
      <c r="CN179">
        <v>25.456551000000001</v>
      </c>
      <c r="CO179">
        <v>26.261279999999999</v>
      </c>
      <c r="CP179">
        <v>0.46063100000000001</v>
      </c>
      <c r="CQ179">
        <v>15.711397</v>
      </c>
      <c r="CR179">
        <v>17.504377999999999</v>
      </c>
      <c r="CS179">
        <v>1</v>
      </c>
      <c r="CT179">
        <v>53</v>
      </c>
      <c r="CU179">
        <v>11.452883</v>
      </c>
      <c r="CV179">
        <v>2.6507939999999999</v>
      </c>
      <c r="CW179">
        <v>9.5059950000000004</v>
      </c>
      <c r="CX179">
        <v>90.363941999999994</v>
      </c>
      <c r="CY179">
        <v>0.830009</v>
      </c>
      <c r="CZ179">
        <v>10</v>
      </c>
      <c r="DA179">
        <v>1.7036519999999999</v>
      </c>
      <c r="DB179">
        <v>6.1063679999999998</v>
      </c>
      <c r="DC179">
        <v>6.9180000000000001</v>
      </c>
      <c r="DD179">
        <v>11.452883</v>
      </c>
      <c r="DE179">
        <v>4.82118</v>
      </c>
      <c r="DF179">
        <v>1.468888</v>
      </c>
      <c r="DG179">
        <v>0.92719399999999996</v>
      </c>
      <c r="DH179">
        <v>0.420958</v>
      </c>
      <c r="DI179">
        <v>0.304674</v>
      </c>
      <c r="DJ179">
        <v>0.19231699999999999</v>
      </c>
      <c r="DK179">
        <v>1</v>
      </c>
      <c r="DL179">
        <v>1</v>
      </c>
      <c r="DM179">
        <v>2</v>
      </c>
      <c r="DN179">
        <v>4</v>
      </c>
      <c r="DO179">
        <v>5</v>
      </c>
      <c r="DP179">
        <v>6</v>
      </c>
      <c r="DQ179">
        <v>7</v>
      </c>
      <c r="DR179">
        <v>9</v>
      </c>
      <c r="DS179">
        <v>11</v>
      </c>
      <c r="DT179">
        <v>13</v>
      </c>
      <c r="DU179">
        <v>15</v>
      </c>
      <c r="DV179">
        <v>16</v>
      </c>
      <c r="DW179">
        <v>23</v>
      </c>
      <c r="DX179">
        <v>34</v>
      </c>
      <c r="DY179">
        <v>45</v>
      </c>
      <c r="DZ179">
        <v>86.983051000000003</v>
      </c>
      <c r="EA179">
        <v>60.091420999999997</v>
      </c>
      <c r="EB179">
        <v>115.864407</v>
      </c>
      <c r="EC179">
        <v>1283</v>
      </c>
      <c r="ED179">
        <v>1709</v>
      </c>
      <c r="EE179">
        <v>83.186441000000002</v>
      </c>
      <c r="EF179">
        <v>99.932203000000001</v>
      </c>
      <c r="EG179">
        <v>55.309423000000002</v>
      </c>
      <c r="EH179">
        <v>98.874824000000004</v>
      </c>
      <c r="EI179">
        <v>106.644068</v>
      </c>
      <c r="EJ179">
        <v>190.644068</v>
      </c>
      <c r="EK179">
        <v>1227</v>
      </c>
      <c r="EL179">
        <v>1474</v>
      </c>
      <c r="EM179">
        <v>1573</v>
      </c>
      <c r="EN179">
        <v>2812</v>
      </c>
      <c r="EO179">
        <v>1475</v>
      </c>
      <c r="EP179">
        <v>2844</v>
      </c>
      <c r="EQ179">
        <v>44.466923999999999</v>
      </c>
    </row>
    <row r="180" spans="1:147" x14ac:dyDescent="0.25">
      <c r="A180">
        <v>2022</v>
      </c>
      <c r="B180" t="str">
        <f t="shared" si="4"/>
        <v>NE</v>
      </c>
      <c r="C180" t="s">
        <v>1056</v>
      </c>
      <c r="D180" t="s">
        <v>1056</v>
      </c>
      <c r="E180">
        <v>25079</v>
      </c>
      <c r="F180" t="s">
        <v>1048</v>
      </c>
      <c r="G180" t="s">
        <v>577</v>
      </c>
      <c r="H180" t="s">
        <v>1053</v>
      </c>
      <c r="I180">
        <v>23.93</v>
      </c>
      <c r="J180">
        <v>23.93</v>
      </c>
      <c r="K180" t="s">
        <v>173</v>
      </c>
      <c r="L180">
        <v>1</v>
      </c>
      <c r="M180">
        <v>2016</v>
      </c>
      <c r="N180">
        <v>2</v>
      </c>
      <c r="O180" t="str">
        <f t="shared" si="5"/>
        <v>Talhadia</v>
      </c>
      <c r="P180" s="2">
        <v>42709</v>
      </c>
      <c r="Q180" t="s">
        <v>152</v>
      </c>
      <c r="R180" t="s">
        <v>153</v>
      </c>
      <c r="S180" t="s">
        <v>154</v>
      </c>
      <c r="T180" t="s">
        <v>175</v>
      </c>
      <c r="U180" t="s">
        <v>156</v>
      </c>
      <c r="V180" s="2">
        <v>44564</v>
      </c>
      <c r="W180" t="s">
        <v>579</v>
      </c>
      <c r="X180">
        <v>47.9</v>
      </c>
      <c r="Y180">
        <v>20</v>
      </c>
      <c r="Z180">
        <v>20</v>
      </c>
      <c r="AA180">
        <v>16.399999999999999</v>
      </c>
      <c r="AB180">
        <v>1</v>
      </c>
      <c r="AC180">
        <v>328</v>
      </c>
      <c r="AD180">
        <v>308.17223634382901</v>
      </c>
      <c r="AE180" s="2">
        <v>44564</v>
      </c>
      <c r="AF180">
        <v>61</v>
      </c>
      <c r="AG180">
        <v>5.0787132101300498</v>
      </c>
      <c r="AH180">
        <v>21.617062706248898</v>
      </c>
      <c r="AI180">
        <v>14.781481481481499</v>
      </c>
      <c r="AJ180">
        <v>15.4962416084505</v>
      </c>
      <c r="AK180">
        <v>27</v>
      </c>
      <c r="AL180">
        <v>876.133435001458</v>
      </c>
      <c r="AM180">
        <v>145.40104732181999</v>
      </c>
      <c r="AN180">
        <v>0.16595765155518599</v>
      </c>
      <c r="AO180" t="s">
        <v>153</v>
      </c>
      <c r="AP180" t="s">
        <v>264</v>
      </c>
      <c r="AQ180" t="s">
        <v>294</v>
      </c>
      <c r="AR180">
        <v>9.99</v>
      </c>
      <c r="AS180">
        <v>0.87525730156645631</v>
      </c>
      <c r="AT180" t="s">
        <v>1057</v>
      </c>
      <c r="AU180" t="s">
        <v>1058</v>
      </c>
      <c r="AV180">
        <v>5247</v>
      </c>
      <c r="AW180">
        <v>2604</v>
      </c>
      <c r="AX180">
        <v>1983</v>
      </c>
      <c r="AY180">
        <v>618</v>
      </c>
      <c r="AZ180">
        <v>42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-0.91500000000000004</v>
      </c>
      <c r="BH180">
        <v>26.934000000000001</v>
      </c>
      <c r="BI180">
        <v>12.132472999999999</v>
      </c>
      <c r="BJ180">
        <v>-3.0904999999999998E-2</v>
      </c>
      <c r="BK180">
        <v>10.121024</v>
      </c>
      <c r="BL180">
        <v>102.435132</v>
      </c>
      <c r="BM180">
        <v>0.83421000000000001</v>
      </c>
      <c r="BN180">
        <v>22.153499</v>
      </c>
      <c r="BO180">
        <v>-0.14153499999999999</v>
      </c>
      <c r="BP180">
        <v>1.327232</v>
      </c>
      <c r="BQ180">
        <v>9.3451319999999996</v>
      </c>
      <c r="BR180">
        <v>8.9</v>
      </c>
      <c r="BS180">
        <v>14.885904</v>
      </c>
      <c r="BT180">
        <v>12.132472999999999</v>
      </c>
      <c r="BU180">
        <v>5.6129129999999998</v>
      </c>
      <c r="BV180">
        <v>-7.4056999999999998E-2</v>
      </c>
      <c r="BW180">
        <v>-0.78722800000000004</v>
      </c>
      <c r="BX180">
        <v>0.46263599999999999</v>
      </c>
      <c r="BY180">
        <v>-1.3194000000000001E-2</v>
      </c>
      <c r="BZ180">
        <v>-0.14025299999999999</v>
      </c>
      <c r="CA180">
        <v>-0.42815999999999999</v>
      </c>
      <c r="CB180">
        <v>-0.18010000000000001</v>
      </c>
      <c r="CC180">
        <v>-5.9400000000000001E-2</v>
      </c>
      <c r="CD180">
        <v>9.4E-2</v>
      </c>
      <c r="CE180">
        <v>0.17399999999999999</v>
      </c>
      <c r="CF180">
        <v>0.26679999999999998</v>
      </c>
      <c r="CG180">
        <v>9.9911989999999999</v>
      </c>
      <c r="CH180">
        <v>14.855</v>
      </c>
      <c r="CI180">
        <v>17.401800000000001</v>
      </c>
      <c r="CJ180">
        <v>21.252200999999999</v>
      </c>
      <c r="CK180">
        <v>22.327499</v>
      </c>
      <c r="CL180">
        <v>22.842998999999999</v>
      </c>
      <c r="CM180">
        <v>23.982800000000001</v>
      </c>
      <c r="CN180">
        <v>25.052999</v>
      </c>
      <c r="CO180">
        <v>26.227080999999998</v>
      </c>
      <c r="CP180">
        <v>0.46850799999999998</v>
      </c>
      <c r="CQ180">
        <v>15.79913</v>
      </c>
      <c r="CR180">
        <v>17.508092999999999</v>
      </c>
      <c r="CS180">
        <v>1</v>
      </c>
      <c r="CT180">
        <v>43</v>
      </c>
      <c r="CU180">
        <v>7.0693729999999997</v>
      </c>
      <c r="CV180">
        <v>1</v>
      </c>
      <c r="CW180">
        <v>5.2801200000000001</v>
      </c>
      <c r="CX180">
        <v>27.879670000000001</v>
      </c>
      <c r="CY180">
        <v>0.74690100000000004</v>
      </c>
      <c r="CZ180">
        <v>7</v>
      </c>
      <c r="DA180">
        <v>1.492362</v>
      </c>
      <c r="DB180">
        <v>6.7038799999999998</v>
      </c>
      <c r="DC180">
        <v>4.0572790000000003</v>
      </c>
      <c r="DD180">
        <v>7.0693729999999997</v>
      </c>
      <c r="DE180">
        <v>2.7876259999999999</v>
      </c>
      <c r="DF180">
        <v>0.63904099999999997</v>
      </c>
      <c r="DG180">
        <v>0.340978</v>
      </c>
      <c r="DH180">
        <v>0.39432400000000001</v>
      </c>
      <c r="DI180">
        <v>0.229242</v>
      </c>
      <c r="DJ180">
        <v>0.122318</v>
      </c>
      <c r="DK180">
        <v>1</v>
      </c>
      <c r="DL180">
        <v>1</v>
      </c>
      <c r="DM180">
        <v>1</v>
      </c>
      <c r="DN180">
        <v>3</v>
      </c>
      <c r="DO180">
        <v>3</v>
      </c>
      <c r="DP180">
        <v>4</v>
      </c>
      <c r="DQ180">
        <v>5</v>
      </c>
      <c r="DR180">
        <v>6</v>
      </c>
      <c r="DS180">
        <v>7</v>
      </c>
      <c r="DT180">
        <v>9</v>
      </c>
      <c r="DU180">
        <v>10</v>
      </c>
      <c r="DV180">
        <v>11</v>
      </c>
      <c r="DW180">
        <v>14</v>
      </c>
      <c r="DX180">
        <v>17</v>
      </c>
      <c r="DY180">
        <v>25</v>
      </c>
      <c r="DZ180">
        <v>93.586789999999993</v>
      </c>
      <c r="EA180">
        <v>62.130741</v>
      </c>
      <c r="EB180">
        <v>125.19201200000001</v>
      </c>
      <c r="EC180">
        <v>2437</v>
      </c>
      <c r="ED180">
        <v>3260</v>
      </c>
      <c r="EE180">
        <v>90.245776000000006</v>
      </c>
      <c r="EF180">
        <v>99.500767999999994</v>
      </c>
      <c r="EG180">
        <v>56.889651000000001</v>
      </c>
      <c r="EH180">
        <v>88.298074999999997</v>
      </c>
      <c r="EI180">
        <v>114.631336</v>
      </c>
      <c r="EJ180">
        <v>177.918587</v>
      </c>
      <c r="EK180">
        <v>2350</v>
      </c>
      <c r="EL180">
        <v>2591</v>
      </c>
      <c r="EM180">
        <v>2985</v>
      </c>
      <c r="EN180">
        <v>4633</v>
      </c>
      <c r="EO180">
        <v>2604</v>
      </c>
      <c r="EP180">
        <v>5247</v>
      </c>
      <c r="EQ180">
        <v>45.330233</v>
      </c>
    </row>
    <row r="181" spans="1:147" x14ac:dyDescent="0.25">
      <c r="A181">
        <v>2022</v>
      </c>
      <c r="B181" t="str">
        <f t="shared" si="4"/>
        <v>NE</v>
      </c>
      <c r="C181" t="s">
        <v>1059</v>
      </c>
      <c r="D181" t="s">
        <v>1059</v>
      </c>
      <c r="E181">
        <v>25080</v>
      </c>
      <c r="F181" t="s">
        <v>1043</v>
      </c>
      <c r="G181" t="s">
        <v>577</v>
      </c>
      <c r="H181" t="s">
        <v>1060</v>
      </c>
      <c r="I181">
        <v>40.090000000000003</v>
      </c>
      <c r="J181">
        <v>40.090000000000003</v>
      </c>
      <c r="K181" t="s">
        <v>173</v>
      </c>
      <c r="L181">
        <v>1</v>
      </c>
      <c r="M181">
        <v>2016</v>
      </c>
      <c r="N181">
        <v>3</v>
      </c>
      <c r="O181" t="str">
        <f t="shared" si="5"/>
        <v>Alto fuste</v>
      </c>
      <c r="P181" s="2">
        <v>42726</v>
      </c>
      <c r="Q181" t="s">
        <v>174</v>
      </c>
      <c r="R181" t="s">
        <v>695</v>
      </c>
      <c r="S181" t="s">
        <v>154</v>
      </c>
      <c r="T181" t="s">
        <v>175</v>
      </c>
      <c r="U181" t="s">
        <v>156</v>
      </c>
      <c r="V181" s="2">
        <v>44564</v>
      </c>
      <c r="W181" t="s">
        <v>579</v>
      </c>
      <c r="X181">
        <v>57.71</v>
      </c>
      <c r="Y181">
        <v>20.8</v>
      </c>
      <c r="Z181">
        <v>14</v>
      </c>
      <c r="AA181">
        <v>15</v>
      </c>
      <c r="AB181">
        <v>0</v>
      </c>
      <c r="AC181">
        <v>312</v>
      </c>
      <c r="AD181">
        <v>302.73226659811098</v>
      </c>
      <c r="AE181" s="2">
        <v>44564</v>
      </c>
      <c r="AF181">
        <v>61</v>
      </c>
      <c r="AG181">
        <v>5.0321697467488002</v>
      </c>
      <c r="AH181">
        <v>26.654526039229101</v>
      </c>
      <c r="AI181">
        <v>15.5428571428571</v>
      </c>
      <c r="AJ181">
        <v>22.687882401433399</v>
      </c>
      <c r="AK181">
        <v>35</v>
      </c>
      <c r="AL181">
        <v>1156.1370842066201</v>
      </c>
      <c r="AM181">
        <v>270.88231185676699</v>
      </c>
      <c r="AN181">
        <v>0.234299474999244</v>
      </c>
      <c r="AO181" t="s">
        <v>695</v>
      </c>
      <c r="AP181" t="s">
        <v>158</v>
      </c>
      <c r="AQ181" t="s">
        <v>294</v>
      </c>
      <c r="AR181">
        <v>9</v>
      </c>
      <c r="AS181">
        <v>1.0405233757859551</v>
      </c>
      <c r="AT181" t="s">
        <v>1061</v>
      </c>
      <c r="AU181" t="s">
        <v>1062</v>
      </c>
      <c r="AV181">
        <v>4546</v>
      </c>
      <c r="AW181">
        <v>2769</v>
      </c>
      <c r="AX181">
        <v>1644</v>
      </c>
      <c r="AY181">
        <v>130</v>
      </c>
      <c r="AZ181">
        <v>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-0.92</v>
      </c>
      <c r="BH181">
        <v>30.198</v>
      </c>
      <c r="BI181">
        <v>14.904904</v>
      </c>
      <c r="BJ181">
        <v>-0.426064</v>
      </c>
      <c r="BK181">
        <v>12.638671</v>
      </c>
      <c r="BL181">
        <v>159.736008</v>
      </c>
      <c r="BM181">
        <v>0.84795399999999999</v>
      </c>
      <c r="BN181">
        <v>26.312750999999999</v>
      </c>
      <c r="BO181">
        <v>-0.25410899999999997</v>
      </c>
      <c r="BP181">
        <v>1.1514180000000001</v>
      </c>
      <c r="BQ181">
        <v>12.271222</v>
      </c>
      <c r="BR181">
        <v>4.5199990000000003</v>
      </c>
      <c r="BS181">
        <v>24.090064999999999</v>
      </c>
      <c r="BT181">
        <v>14.904904</v>
      </c>
      <c r="BU181">
        <v>6.6726979999999996</v>
      </c>
      <c r="BV181">
        <v>-0.57030400000000003</v>
      </c>
      <c r="BW181">
        <v>-1.271655</v>
      </c>
      <c r="BX181">
        <v>0.447685</v>
      </c>
      <c r="BY181">
        <v>-8.5468000000000002E-2</v>
      </c>
      <c r="BZ181">
        <v>-0.190576</v>
      </c>
      <c r="CA181">
        <v>-0.49575000000000002</v>
      </c>
      <c r="CB181">
        <v>-0.21975</v>
      </c>
      <c r="CC181">
        <v>-9.9000000000000005E-2</v>
      </c>
      <c r="CD181">
        <v>3.4000000000000002E-2</v>
      </c>
      <c r="CE181">
        <v>9.6000000000000002E-2</v>
      </c>
      <c r="CF181">
        <v>0.16200000000000001</v>
      </c>
      <c r="CG181">
        <v>1.1359999999999999</v>
      </c>
      <c r="CH181">
        <v>23.664000999999999</v>
      </c>
      <c r="CI181">
        <v>25.15</v>
      </c>
      <c r="CJ181">
        <v>26.029499000000001</v>
      </c>
      <c r="CK181">
        <v>26.408750999999999</v>
      </c>
      <c r="CL181">
        <v>26.802999</v>
      </c>
      <c r="CM181">
        <v>27.614000000000001</v>
      </c>
      <c r="CN181">
        <v>28.145</v>
      </c>
      <c r="CO181">
        <v>29.114000000000001</v>
      </c>
      <c r="CP181">
        <v>0.50854500000000002</v>
      </c>
      <c r="CQ181">
        <v>19.541162</v>
      </c>
      <c r="CR181">
        <v>21.50066</v>
      </c>
      <c r="CS181">
        <v>1</v>
      </c>
      <c r="CT181">
        <v>55</v>
      </c>
      <c r="CU181">
        <v>12.613946</v>
      </c>
      <c r="CV181">
        <v>1</v>
      </c>
      <c r="CW181">
        <v>9.4443129999999993</v>
      </c>
      <c r="CX181">
        <v>89.195043999999996</v>
      </c>
      <c r="CY181">
        <v>0.74872000000000005</v>
      </c>
      <c r="CZ181">
        <v>14</v>
      </c>
      <c r="DA181">
        <v>0.93814399999999998</v>
      </c>
      <c r="DB181">
        <v>3.4996420000000001</v>
      </c>
      <c r="DC181">
        <v>7.547822</v>
      </c>
      <c r="DD181">
        <v>12.613946</v>
      </c>
      <c r="DE181">
        <v>5.1883439999999998</v>
      </c>
      <c r="DF181">
        <v>1.049248</v>
      </c>
      <c r="DG181">
        <v>0.467335</v>
      </c>
      <c r="DH181">
        <v>0.41131800000000002</v>
      </c>
      <c r="DI181">
        <v>0.202232</v>
      </c>
      <c r="DJ181">
        <v>9.0074000000000001E-2</v>
      </c>
      <c r="DK181">
        <v>1</v>
      </c>
      <c r="DL181">
        <v>1</v>
      </c>
      <c r="DM181">
        <v>2</v>
      </c>
      <c r="DN181">
        <v>4</v>
      </c>
      <c r="DO181">
        <v>5</v>
      </c>
      <c r="DP181">
        <v>6</v>
      </c>
      <c r="DQ181">
        <v>9</v>
      </c>
      <c r="DR181">
        <v>11</v>
      </c>
      <c r="DS181">
        <v>13</v>
      </c>
      <c r="DT181">
        <v>16</v>
      </c>
      <c r="DU181">
        <v>19</v>
      </c>
      <c r="DV181">
        <v>21</v>
      </c>
      <c r="DW181">
        <v>26</v>
      </c>
      <c r="DX181">
        <v>30</v>
      </c>
      <c r="DY181">
        <v>40</v>
      </c>
      <c r="DZ181">
        <v>93.102203000000003</v>
      </c>
      <c r="EA181">
        <v>59.832819999999998</v>
      </c>
      <c r="EB181">
        <v>98.230407999999997</v>
      </c>
      <c r="EC181">
        <v>2578</v>
      </c>
      <c r="ED181">
        <v>2720</v>
      </c>
      <c r="EE181">
        <v>89.851932000000005</v>
      </c>
      <c r="EF181">
        <v>100</v>
      </c>
      <c r="EG181">
        <v>55.477342999999998</v>
      </c>
      <c r="EH181">
        <v>98.372195000000005</v>
      </c>
      <c r="EI181">
        <v>91.079812000000004</v>
      </c>
      <c r="EJ181">
        <v>161.50234699999999</v>
      </c>
      <c r="EK181">
        <v>2488</v>
      </c>
      <c r="EL181">
        <v>2769</v>
      </c>
      <c r="EM181">
        <v>2522</v>
      </c>
      <c r="EN181">
        <v>4472</v>
      </c>
      <c r="EO181">
        <v>2769</v>
      </c>
      <c r="EP181">
        <v>4546</v>
      </c>
      <c r="EQ181">
        <v>50.225335999999999</v>
      </c>
    </row>
    <row r="182" spans="1:147" x14ac:dyDescent="0.25">
      <c r="A182">
        <v>2022</v>
      </c>
      <c r="B182" t="str">
        <f t="shared" si="4"/>
        <v>NE</v>
      </c>
      <c r="C182" t="s">
        <v>1063</v>
      </c>
      <c r="D182" t="s">
        <v>1063</v>
      </c>
      <c r="E182">
        <v>25081</v>
      </c>
      <c r="F182" t="s">
        <v>1043</v>
      </c>
      <c r="G182" t="s">
        <v>577</v>
      </c>
      <c r="H182" t="s">
        <v>1060</v>
      </c>
      <c r="I182">
        <v>40.090000000000003</v>
      </c>
      <c r="J182">
        <v>40.090000000000003</v>
      </c>
      <c r="K182" t="s">
        <v>173</v>
      </c>
      <c r="L182">
        <v>1</v>
      </c>
      <c r="M182">
        <v>2016</v>
      </c>
      <c r="N182">
        <v>3</v>
      </c>
      <c r="O182" t="str">
        <f t="shared" si="5"/>
        <v>Alto fuste</v>
      </c>
      <c r="P182" s="2">
        <v>42726</v>
      </c>
      <c r="Q182" t="s">
        <v>174</v>
      </c>
      <c r="R182" t="s">
        <v>695</v>
      </c>
      <c r="S182" t="s">
        <v>154</v>
      </c>
      <c r="T182" t="s">
        <v>175</v>
      </c>
      <c r="U182" t="s">
        <v>156</v>
      </c>
      <c r="V182" s="2">
        <v>44564</v>
      </c>
      <c r="W182" t="s">
        <v>579</v>
      </c>
      <c r="X182">
        <v>57.71</v>
      </c>
      <c r="Y182">
        <v>21.3</v>
      </c>
      <c r="Z182">
        <v>25</v>
      </c>
      <c r="AA182">
        <v>15</v>
      </c>
      <c r="AB182">
        <v>10</v>
      </c>
      <c r="AC182">
        <v>319.5</v>
      </c>
      <c r="AD182">
        <v>285.16618982484499</v>
      </c>
      <c r="AE182" s="2">
        <v>44564</v>
      </c>
      <c r="AF182">
        <v>61</v>
      </c>
      <c r="AG182">
        <v>5.0321697467488002</v>
      </c>
      <c r="AH182">
        <v>25.9049674916395</v>
      </c>
      <c r="AI182">
        <v>15.2885714285714</v>
      </c>
      <c r="AJ182">
        <v>23.190748785283098</v>
      </c>
      <c r="AK182">
        <v>35</v>
      </c>
      <c r="AL182">
        <v>1227.3544778046</v>
      </c>
      <c r="AM182">
        <v>267.44766230888899</v>
      </c>
      <c r="AN182">
        <v>0.21790580239482199</v>
      </c>
      <c r="AO182" t="s">
        <v>695</v>
      </c>
      <c r="AP182" t="s">
        <v>158</v>
      </c>
      <c r="AQ182" t="s">
        <v>294</v>
      </c>
      <c r="AR182">
        <v>9</v>
      </c>
      <c r="AS182">
        <v>1.1046190300241401</v>
      </c>
      <c r="AT182" t="s">
        <v>1064</v>
      </c>
      <c r="AU182" t="s">
        <v>1065</v>
      </c>
      <c r="AV182">
        <v>4655</v>
      </c>
      <c r="AW182">
        <v>3089</v>
      </c>
      <c r="AX182">
        <v>1238</v>
      </c>
      <c r="AY182">
        <v>289</v>
      </c>
      <c r="AZ182">
        <v>39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-0.65300000000000002</v>
      </c>
      <c r="BH182">
        <v>31.617999999999999</v>
      </c>
      <c r="BI182">
        <v>16.782097</v>
      </c>
      <c r="BJ182">
        <v>-0.140762</v>
      </c>
      <c r="BK182">
        <v>8.3204460000000005</v>
      </c>
      <c r="BL182">
        <v>69.229823999999994</v>
      </c>
      <c r="BM182">
        <v>0.49579299999999998</v>
      </c>
      <c r="BN182">
        <v>10.543998999999999</v>
      </c>
      <c r="BO182">
        <v>-0.66159000000000001</v>
      </c>
      <c r="BP182">
        <v>2.6383990000000002</v>
      </c>
      <c r="BQ182">
        <v>6.6730539999999996</v>
      </c>
      <c r="BR182">
        <v>5.2539999999999996</v>
      </c>
      <c r="BS182">
        <v>18.116762000000001</v>
      </c>
      <c r="BT182">
        <v>16.782097</v>
      </c>
      <c r="BU182">
        <v>4.6344289999999999</v>
      </c>
      <c r="BV182">
        <v>-0.68806599999999996</v>
      </c>
      <c r="BW182">
        <v>0.430784</v>
      </c>
      <c r="BX182">
        <v>0.27615299999999998</v>
      </c>
      <c r="BY182">
        <v>-0.14846799999999999</v>
      </c>
      <c r="BZ182">
        <v>9.2952999999999994E-2</v>
      </c>
      <c r="CA182">
        <v>-0.21437999999999999</v>
      </c>
      <c r="CB182">
        <v>9.5399999999999999E-2</v>
      </c>
      <c r="CC182">
        <v>0.56799999999999995</v>
      </c>
      <c r="CD182">
        <v>11.054600000000001</v>
      </c>
      <c r="CE182">
        <v>12.576000000000001</v>
      </c>
      <c r="CF182">
        <v>13.5732</v>
      </c>
      <c r="CG182">
        <v>16.156599</v>
      </c>
      <c r="CH182">
        <v>17.975999999999999</v>
      </c>
      <c r="CI182">
        <v>20.244399999999999</v>
      </c>
      <c r="CJ182">
        <v>22.180201</v>
      </c>
      <c r="CK182">
        <v>23.119999</v>
      </c>
      <c r="CL182">
        <v>23.939399999999999</v>
      </c>
      <c r="CM182">
        <v>26.532202000000002</v>
      </c>
      <c r="CN182">
        <v>27.840900000000001</v>
      </c>
      <c r="CO182">
        <v>30.342759999999998</v>
      </c>
      <c r="CP182">
        <v>0.54027099999999995</v>
      </c>
      <c r="CQ182">
        <v>18.731089999999998</v>
      </c>
      <c r="CR182">
        <v>19.857478</v>
      </c>
      <c r="CS182">
        <v>1</v>
      </c>
      <c r="CT182">
        <v>53</v>
      </c>
      <c r="CU182">
        <v>14.411386</v>
      </c>
      <c r="CV182">
        <v>5.9523809999999999</v>
      </c>
      <c r="CW182">
        <v>10.992801</v>
      </c>
      <c r="CX182">
        <v>120.841684</v>
      </c>
      <c r="CY182">
        <v>0.76278599999999996</v>
      </c>
      <c r="CZ182">
        <v>16</v>
      </c>
      <c r="DA182">
        <v>0.88513500000000001</v>
      </c>
      <c r="DB182">
        <v>2.8099270000000001</v>
      </c>
      <c r="DC182">
        <v>9.0809739999999994</v>
      </c>
      <c r="DD182">
        <v>14.411386</v>
      </c>
      <c r="DE182">
        <v>6.0345110000000002</v>
      </c>
      <c r="DF182">
        <v>1.4114180000000001</v>
      </c>
      <c r="DG182">
        <v>0.444274</v>
      </c>
      <c r="DH182">
        <v>0.41873199999999999</v>
      </c>
      <c r="DI182">
        <v>0.23389099999999999</v>
      </c>
      <c r="DJ182">
        <v>7.3622000000000007E-2</v>
      </c>
      <c r="DK182">
        <v>1</v>
      </c>
      <c r="DL182">
        <v>2</v>
      </c>
      <c r="DM182">
        <v>3</v>
      </c>
      <c r="DN182">
        <v>5</v>
      </c>
      <c r="DO182">
        <v>6</v>
      </c>
      <c r="DP182">
        <v>7</v>
      </c>
      <c r="DQ182">
        <v>9</v>
      </c>
      <c r="DR182">
        <v>11</v>
      </c>
      <c r="DS182">
        <v>14</v>
      </c>
      <c r="DT182">
        <v>18</v>
      </c>
      <c r="DU182">
        <v>22</v>
      </c>
      <c r="DV182">
        <v>25</v>
      </c>
      <c r="DW182">
        <v>32</v>
      </c>
      <c r="DX182">
        <v>37</v>
      </c>
      <c r="DY182">
        <v>42</v>
      </c>
      <c r="DZ182">
        <v>99.158304000000001</v>
      </c>
      <c r="EA182">
        <v>86.831363999999994</v>
      </c>
      <c r="EB182">
        <v>130.85140799999999</v>
      </c>
      <c r="EC182">
        <v>3063</v>
      </c>
      <c r="ED182">
        <v>4042</v>
      </c>
      <c r="EE182">
        <v>79.119456</v>
      </c>
      <c r="EF182">
        <v>99.902880999999994</v>
      </c>
      <c r="EG182">
        <v>56.949517</v>
      </c>
      <c r="EH182">
        <v>98.453276000000002</v>
      </c>
      <c r="EI182">
        <v>85.820654000000005</v>
      </c>
      <c r="EJ182">
        <v>148.36516700000001</v>
      </c>
      <c r="EK182">
        <v>2444</v>
      </c>
      <c r="EL182">
        <v>3086</v>
      </c>
      <c r="EM182">
        <v>2651</v>
      </c>
      <c r="EN182">
        <v>4583</v>
      </c>
      <c r="EO182">
        <v>3089</v>
      </c>
      <c r="EP182">
        <v>4655</v>
      </c>
      <c r="EQ182">
        <v>54.284011999999997</v>
      </c>
    </row>
    <row r="183" spans="1:147" x14ac:dyDescent="0.25">
      <c r="A183">
        <v>2022</v>
      </c>
      <c r="B183" t="str">
        <f t="shared" si="4"/>
        <v>NE</v>
      </c>
      <c r="C183" t="s">
        <v>1066</v>
      </c>
      <c r="D183" t="s">
        <v>1066</v>
      </c>
      <c r="E183">
        <v>25082</v>
      </c>
      <c r="F183" t="s">
        <v>1067</v>
      </c>
      <c r="G183" t="s">
        <v>1068</v>
      </c>
      <c r="H183" t="s">
        <v>1069</v>
      </c>
      <c r="I183">
        <v>23.38</v>
      </c>
      <c r="J183">
        <v>23.38</v>
      </c>
      <c r="K183" t="s">
        <v>301</v>
      </c>
      <c r="L183">
        <v>1</v>
      </c>
      <c r="M183">
        <v>2016</v>
      </c>
      <c r="N183">
        <v>3</v>
      </c>
      <c r="O183" t="str">
        <f t="shared" si="5"/>
        <v>Alto fuste</v>
      </c>
      <c r="P183" s="2">
        <v>42668</v>
      </c>
      <c r="Q183" t="s">
        <v>174</v>
      </c>
      <c r="R183" t="s">
        <v>314</v>
      </c>
      <c r="S183" t="s">
        <v>154</v>
      </c>
      <c r="T183" t="s">
        <v>175</v>
      </c>
      <c r="U183" t="s">
        <v>156</v>
      </c>
      <c r="V183" s="2">
        <v>44589</v>
      </c>
      <c r="W183" t="s">
        <v>1070</v>
      </c>
      <c r="X183">
        <v>67.88</v>
      </c>
      <c r="Y183">
        <v>19</v>
      </c>
      <c r="Z183">
        <v>10</v>
      </c>
      <c r="AA183">
        <v>15</v>
      </c>
      <c r="AB183">
        <v>1</v>
      </c>
      <c r="AC183">
        <v>285</v>
      </c>
      <c r="AD183">
        <v>280.62746217609902</v>
      </c>
      <c r="AE183" s="2">
        <v>44589</v>
      </c>
      <c r="AF183">
        <v>63</v>
      </c>
      <c r="AG183">
        <v>5.2594113620807699</v>
      </c>
      <c r="AH183">
        <v>25.651474480432402</v>
      </c>
      <c r="AI183">
        <v>16.532142857142901</v>
      </c>
      <c r="AJ183">
        <v>21.8100742490894</v>
      </c>
      <c r="AK183">
        <v>28</v>
      </c>
      <c r="AL183">
        <v>997.76407422412001</v>
      </c>
      <c r="AM183">
        <v>247.89290871851699</v>
      </c>
      <c r="AN183">
        <v>0.24844842094688899</v>
      </c>
      <c r="AO183" t="s">
        <v>314</v>
      </c>
      <c r="AP183" t="s">
        <v>158</v>
      </c>
      <c r="AQ183" t="s">
        <v>304</v>
      </c>
      <c r="AR183">
        <v>9</v>
      </c>
      <c r="AS183">
        <v>0.89798766680170905</v>
      </c>
      <c r="AT183" t="s">
        <v>1071</v>
      </c>
      <c r="AU183" t="s">
        <v>1072</v>
      </c>
      <c r="AV183">
        <v>5076</v>
      </c>
      <c r="AW183">
        <v>2486</v>
      </c>
      <c r="AX183">
        <v>1975</v>
      </c>
      <c r="AY183">
        <v>552</v>
      </c>
      <c r="AZ183">
        <v>63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-0.95</v>
      </c>
      <c r="BH183">
        <v>30.799999</v>
      </c>
      <c r="BI183">
        <v>15.626344</v>
      </c>
      <c r="BJ183">
        <v>-0.44603199999999998</v>
      </c>
      <c r="BK183">
        <v>12.436242</v>
      </c>
      <c r="BL183">
        <v>154.66011</v>
      </c>
      <c r="BM183">
        <v>0.79585099999999998</v>
      </c>
      <c r="BN183">
        <v>27.82</v>
      </c>
      <c r="BO183">
        <v>-0.25144300000000003</v>
      </c>
      <c r="BP183">
        <v>1.3068329999999999</v>
      </c>
      <c r="BQ183">
        <v>11.577878</v>
      </c>
      <c r="BR183">
        <v>9.1999999999999993</v>
      </c>
      <c r="BS183">
        <v>20.111031000000001</v>
      </c>
      <c r="BT183">
        <v>15.626344</v>
      </c>
      <c r="BU183">
        <v>6.8227500000000001</v>
      </c>
      <c r="BV183">
        <v>-0.53851700000000002</v>
      </c>
      <c r="BW183">
        <v>-1.1275980000000001</v>
      </c>
      <c r="BX183">
        <v>0.43661800000000001</v>
      </c>
      <c r="BY183">
        <v>-7.893E-2</v>
      </c>
      <c r="BZ183">
        <v>-0.16527</v>
      </c>
      <c r="CA183">
        <v>-0.3725</v>
      </c>
      <c r="CB183">
        <v>-0.16</v>
      </c>
      <c r="CC183">
        <v>-0.06</v>
      </c>
      <c r="CD183">
        <v>0.05</v>
      </c>
      <c r="CE183">
        <v>0.11</v>
      </c>
      <c r="CF183">
        <v>0.18</v>
      </c>
      <c r="CG183">
        <v>12.34</v>
      </c>
      <c r="CH183">
        <v>19.665001</v>
      </c>
      <c r="CI183">
        <v>25.51</v>
      </c>
      <c r="CJ183">
        <v>27.530000999999999</v>
      </c>
      <c r="CK183">
        <v>27.93</v>
      </c>
      <c r="CL183">
        <v>28.280000999999999</v>
      </c>
      <c r="CM183">
        <v>28.969999000000001</v>
      </c>
      <c r="CN183">
        <v>29.48</v>
      </c>
      <c r="CO183">
        <v>30.17</v>
      </c>
      <c r="CP183">
        <v>0.52209000000000005</v>
      </c>
      <c r="CQ183">
        <v>19.970283999999999</v>
      </c>
      <c r="CR183">
        <v>21.953782</v>
      </c>
      <c r="CS183">
        <v>1</v>
      </c>
      <c r="CT183">
        <v>59</v>
      </c>
      <c r="CU183">
        <v>12.984437</v>
      </c>
      <c r="CV183">
        <v>1</v>
      </c>
      <c r="CW183">
        <v>9.7565010000000001</v>
      </c>
      <c r="CX183">
        <v>95.189313999999996</v>
      </c>
      <c r="CY183">
        <v>0.75139999999999996</v>
      </c>
      <c r="CZ183">
        <v>14</v>
      </c>
      <c r="DA183">
        <v>1.0761430000000001</v>
      </c>
      <c r="DB183">
        <v>4.3890739999999999</v>
      </c>
      <c r="DC183">
        <v>7.8345269999999996</v>
      </c>
      <c r="DD183">
        <v>12.984437</v>
      </c>
      <c r="DE183">
        <v>5.3129150000000003</v>
      </c>
      <c r="DF183">
        <v>1.027134</v>
      </c>
      <c r="DG183">
        <v>0.44425799999999999</v>
      </c>
      <c r="DH183">
        <v>0.40917599999999998</v>
      </c>
      <c r="DI183">
        <v>0.193328</v>
      </c>
      <c r="DJ183">
        <v>8.3618999999999999E-2</v>
      </c>
      <c r="DK183">
        <v>1</v>
      </c>
      <c r="DL183">
        <v>1</v>
      </c>
      <c r="DM183">
        <v>2</v>
      </c>
      <c r="DN183">
        <v>4</v>
      </c>
      <c r="DO183">
        <v>5</v>
      </c>
      <c r="DP183">
        <v>6</v>
      </c>
      <c r="DQ183">
        <v>8</v>
      </c>
      <c r="DR183">
        <v>11</v>
      </c>
      <c r="DS183">
        <v>14</v>
      </c>
      <c r="DT183">
        <v>17</v>
      </c>
      <c r="DU183">
        <v>19</v>
      </c>
      <c r="DV183">
        <v>21</v>
      </c>
      <c r="DW183">
        <v>25</v>
      </c>
      <c r="DX183">
        <v>30</v>
      </c>
      <c r="DY183">
        <v>45</v>
      </c>
      <c r="DZ183">
        <v>96.781979000000007</v>
      </c>
      <c r="EA183">
        <v>65.760441</v>
      </c>
      <c r="EB183">
        <v>134.27192299999999</v>
      </c>
      <c r="EC183">
        <v>2406</v>
      </c>
      <c r="ED183">
        <v>3338</v>
      </c>
      <c r="EE183">
        <v>93.161705999999995</v>
      </c>
      <c r="EF183">
        <v>100</v>
      </c>
      <c r="EG183">
        <v>56.698188000000002</v>
      </c>
      <c r="EH183">
        <v>99.428684000000004</v>
      </c>
      <c r="EI183">
        <v>115.76830200000001</v>
      </c>
      <c r="EJ183">
        <v>203.01689500000001</v>
      </c>
      <c r="EK183">
        <v>2316</v>
      </c>
      <c r="EL183">
        <v>2486</v>
      </c>
      <c r="EM183">
        <v>2878</v>
      </c>
      <c r="EN183">
        <v>5047</v>
      </c>
      <c r="EO183">
        <v>2486</v>
      </c>
      <c r="EP183">
        <v>5076</v>
      </c>
      <c r="EQ183">
        <v>50.822009000000001</v>
      </c>
    </row>
    <row r="184" spans="1:147" x14ac:dyDescent="0.25">
      <c r="A184">
        <v>2022</v>
      </c>
      <c r="B184" t="str">
        <f t="shared" si="4"/>
        <v>NE</v>
      </c>
      <c r="C184" t="s">
        <v>1073</v>
      </c>
      <c r="D184" t="s">
        <v>1073</v>
      </c>
      <c r="E184">
        <v>25083</v>
      </c>
      <c r="F184" t="s">
        <v>1067</v>
      </c>
      <c r="G184" t="s">
        <v>1068</v>
      </c>
      <c r="H184" t="s">
        <v>1074</v>
      </c>
      <c r="I184">
        <v>22.86</v>
      </c>
      <c r="J184">
        <v>22.86</v>
      </c>
      <c r="K184" t="s">
        <v>301</v>
      </c>
      <c r="L184">
        <v>1</v>
      </c>
      <c r="M184">
        <v>2016</v>
      </c>
      <c r="N184">
        <v>3</v>
      </c>
      <c r="O184" t="str">
        <f t="shared" si="5"/>
        <v>Alto fuste</v>
      </c>
      <c r="P184" s="2">
        <v>42647</v>
      </c>
      <c r="Q184" t="s">
        <v>174</v>
      </c>
      <c r="R184" t="s">
        <v>367</v>
      </c>
      <c r="S184" t="s">
        <v>154</v>
      </c>
      <c r="T184" t="s">
        <v>175</v>
      </c>
      <c r="U184" t="s">
        <v>156</v>
      </c>
      <c r="V184" s="2">
        <v>44589</v>
      </c>
      <c r="W184" t="s">
        <v>1070</v>
      </c>
      <c r="X184">
        <v>67.88</v>
      </c>
      <c r="Y184">
        <v>21</v>
      </c>
      <c r="Z184">
        <v>10</v>
      </c>
      <c r="AA184">
        <v>15</v>
      </c>
      <c r="AB184">
        <v>1</v>
      </c>
      <c r="AC184">
        <v>315</v>
      </c>
      <c r="AD184">
        <v>310.16719503674102</v>
      </c>
      <c r="AE184" s="2">
        <v>44589</v>
      </c>
      <c r="AF184">
        <v>63</v>
      </c>
      <c r="AG184">
        <v>5.3169062286105397</v>
      </c>
      <c r="AH184">
        <v>27.840978974709301</v>
      </c>
      <c r="AI184">
        <v>16.717857142857099</v>
      </c>
      <c r="AJ184">
        <v>20.234244675877299</v>
      </c>
      <c r="AK184">
        <v>28</v>
      </c>
      <c r="AL184">
        <v>902.73892429801401</v>
      </c>
      <c r="AM184">
        <v>250.303991515153</v>
      </c>
      <c r="AN184">
        <v>0.277271739124126</v>
      </c>
      <c r="AO184" t="s">
        <v>367</v>
      </c>
      <c r="AP184" t="s">
        <v>158</v>
      </c>
      <c r="AQ184" t="s">
        <v>315</v>
      </c>
      <c r="AR184">
        <v>9</v>
      </c>
      <c r="AS184">
        <v>0.81246503186821295</v>
      </c>
      <c r="AT184" t="s">
        <v>1075</v>
      </c>
      <c r="AU184" t="s">
        <v>1076</v>
      </c>
      <c r="AV184">
        <v>5427</v>
      </c>
      <c r="AW184">
        <v>2957</v>
      </c>
      <c r="AX184">
        <v>2109</v>
      </c>
      <c r="AY184">
        <v>338</v>
      </c>
      <c r="AZ184">
        <v>23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-1.23</v>
      </c>
      <c r="BH184">
        <v>32.25</v>
      </c>
      <c r="BI184">
        <v>15.082248</v>
      </c>
      <c r="BJ184">
        <v>-0.16714300000000001</v>
      </c>
      <c r="BK184">
        <v>12.625183</v>
      </c>
      <c r="BL184">
        <v>159.39525599999999</v>
      </c>
      <c r="BM184">
        <v>0.83708899999999997</v>
      </c>
      <c r="BN184">
        <v>26.504999000000002</v>
      </c>
      <c r="BO184">
        <v>-0.23344500000000001</v>
      </c>
      <c r="BP184">
        <v>1.1936310000000001</v>
      </c>
      <c r="BQ184">
        <v>12.115925000000001</v>
      </c>
      <c r="BR184">
        <v>6.4</v>
      </c>
      <c r="BS184">
        <v>22.857143000000001</v>
      </c>
      <c r="BT184">
        <v>15.082248</v>
      </c>
      <c r="BU184">
        <v>6.7765550000000001</v>
      </c>
      <c r="BV184">
        <v>-0.48815999999999998</v>
      </c>
      <c r="BW184">
        <v>-1.210107</v>
      </c>
      <c r="BX184">
        <v>0.44930700000000001</v>
      </c>
      <c r="BY184">
        <v>-7.2037000000000004E-2</v>
      </c>
      <c r="BZ184">
        <v>-0.17857300000000001</v>
      </c>
      <c r="CA184">
        <v>-0.39739999999999998</v>
      </c>
      <c r="CB184">
        <v>-0.18</v>
      </c>
      <c r="CC184">
        <v>-0.09</v>
      </c>
      <c r="CD184">
        <v>0.02</v>
      </c>
      <c r="CE184">
        <v>0.08</v>
      </c>
      <c r="CF184">
        <v>0.14000000000000001</v>
      </c>
      <c r="CG184">
        <v>7.8139989999999999</v>
      </c>
      <c r="CH184">
        <v>22.690000999999999</v>
      </c>
      <c r="CI184">
        <v>25.440000999999999</v>
      </c>
      <c r="CJ184">
        <v>26.209999</v>
      </c>
      <c r="CK184">
        <v>26.584999</v>
      </c>
      <c r="CL184">
        <v>26.93</v>
      </c>
      <c r="CM184">
        <v>28.07</v>
      </c>
      <c r="CN184">
        <v>29.207001000000002</v>
      </c>
      <c r="CO184">
        <v>30.387402000000002</v>
      </c>
      <c r="CP184">
        <v>0.48722399999999999</v>
      </c>
      <c r="CQ184">
        <v>19.668251000000001</v>
      </c>
      <c r="CR184">
        <v>21.667097999999999</v>
      </c>
      <c r="CS184">
        <v>1</v>
      </c>
      <c r="CT184">
        <v>54</v>
      </c>
      <c r="CU184">
        <v>14.475401</v>
      </c>
      <c r="CV184">
        <v>1</v>
      </c>
      <c r="CW184">
        <v>9.9194639999999996</v>
      </c>
      <c r="CX184">
        <v>98.395773000000005</v>
      </c>
      <c r="CY184">
        <v>0.68526399999999998</v>
      </c>
      <c r="CZ184">
        <v>15</v>
      </c>
      <c r="DA184">
        <v>0.72723899999999997</v>
      </c>
      <c r="DB184">
        <v>3.386396</v>
      </c>
      <c r="DC184">
        <v>8.1277969999999993</v>
      </c>
      <c r="DD184">
        <v>14.475401</v>
      </c>
      <c r="DE184">
        <v>5.5303570000000004</v>
      </c>
      <c r="DF184">
        <v>0.70742499999999997</v>
      </c>
      <c r="DG184">
        <v>0.38398599999999999</v>
      </c>
      <c r="DH184">
        <v>0.382052</v>
      </c>
      <c r="DI184">
        <v>0.127917</v>
      </c>
      <c r="DJ184">
        <v>6.9431999999999994E-2</v>
      </c>
      <c r="DK184">
        <v>1</v>
      </c>
      <c r="DL184">
        <v>1</v>
      </c>
      <c r="DM184">
        <v>2</v>
      </c>
      <c r="DN184">
        <v>5</v>
      </c>
      <c r="DO184">
        <v>6</v>
      </c>
      <c r="DP184">
        <v>7</v>
      </c>
      <c r="DQ184">
        <v>10</v>
      </c>
      <c r="DR184">
        <v>14</v>
      </c>
      <c r="DS184">
        <v>17</v>
      </c>
      <c r="DT184">
        <v>20</v>
      </c>
      <c r="DU184">
        <v>21</v>
      </c>
      <c r="DV184">
        <v>22</v>
      </c>
      <c r="DW184">
        <v>27</v>
      </c>
      <c r="DX184">
        <v>32</v>
      </c>
      <c r="DY184">
        <v>44</v>
      </c>
      <c r="DZ184">
        <v>95.231654000000006</v>
      </c>
      <c r="EA184">
        <v>62.041643999999998</v>
      </c>
      <c r="EB184">
        <v>113.865404</v>
      </c>
      <c r="EC184">
        <v>2816</v>
      </c>
      <c r="ED184">
        <v>3367</v>
      </c>
      <c r="EE184">
        <v>93.540751</v>
      </c>
      <c r="EF184">
        <v>100</v>
      </c>
      <c r="EG184">
        <v>56.292611000000001</v>
      </c>
      <c r="EH184">
        <v>94.379952000000003</v>
      </c>
      <c r="EI184">
        <v>103.31417</v>
      </c>
      <c r="EJ184">
        <v>173.21609699999999</v>
      </c>
      <c r="EK184">
        <v>2766</v>
      </c>
      <c r="EL184">
        <v>2957</v>
      </c>
      <c r="EM184">
        <v>3055</v>
      </c>
      <c r="EN184">
        <v>5122</v>
      </c>
      <c r="EO184">
        <v>2957</v>
      </c>
      <c r="EP184">
        <v>5427</v>
      </c>
      <c r="EQ184">
        <v>48.729709999999997</v>
      </c>
    </row>
    <row r="185" spans="1:147" x14ac:dyDescent="0.25">
      <c r="A185">
        <v>2022</v>
      </c>
      <c r="B185" t="str">
        <f t="shared" si="4"/>
        <v>NE</v>
      </c>
      <c r="C185" t="s">
        <v>1077</v>
      </c>
      <c r="D185" t="s">
        <v>1077</v>
      </c>
      <c r="E185">
        <v>25084</v>
      </c>
      <c r="F185" t="s">
        <v>1067</v>
      </c>
      <c r="G185" t="s">
        <v>1068</v>
      </c>
      <c r="H185" t="s">
        <v>1078</v>
      </c>
      <c r="I185">
        <v>9.5</v>
      </c>
      <c r="J185">
        <v>9.5</v>
      </c>
      <c r="K185" t="s">
        <v>301</v>
      </c>
      <c r="L185">
        <v>1</v>
      </c>
      <c r="M185">
        <v>2016</v>
      </c>
      <c r="N185">
        <v>3</v>
      </c>
      <c r="O185" t="str">
        <f t="shared" si="5"/>
        <v>Alto fuste</v>
      </c>
      <c r="P185" s="2">
        <v>42650</v>
      </c>
      <c r="Q185" t="s">
        <v>174</v>
      </c>
      <c r="R185" t="s">
        <v>470</v>
      </c>
      <c r="S185" t="s">
        <v>154</v>
      </c>
      <c r="T185" t="s">
        <v>175</v>
      </c>
      <c r="U185" t="s">
        <v>156</v>
      </c>
      <c r="V185" s="2">
        <v>44589</v>
      </c>
      <c r="W185" t="s">
        <v>1070</v>
      </c>
      <c r="X185">
        <v>67.88</v>
      </c>
      <c r="Y185">
        <v>19</v>
      </c>
      <c r="Z185">
        <v>10</v>
      </c>
      <c r="AA185">
        <v>15</v>
      </c>
      <c r="AB185">
        <v>1</v>
      </c>
      <c r="AC185">
        <v>285</v>
      </c>
      <c r="AD185">
        <v>280.62746217609902</v>
      </c>
      <c r="AE185" s="2">
        <v>44589</v>
      </c>
      <c r="AF185">
        <v>63</v>
      </c>
      <c r="AG185">
        <v>5.30869267624914</v>
      </c>
      <c r="AH185">
        <v>27.164142972510898</v>
      </c>
      <c r="AI185">
        <v>15.367647058823501</v>
      </c>
      <c r="AJ185">
        <v>22.751228376963201</v>
      </c>
      <c r="AK185">
        <v>34</v>
      </c>
      <c r="AL185">
        <v>1211.5706615578599</v>
      </c>
      <c r="AM185">
        <v>274.08977494574498</v>
      </c>
      <c r="AN185">
        <v>0.22622681750424301</v>
      </c>
      <c r="AO185" t="s">
        <v>470</v>
      </c>
      <c r="AP185" t="s">
        <v>158</v>
      </c>
      <c r="AQ185" t="s">
        <v>304</v>
      </c>
      <c r="AR185">
        <v>9</v>
      </c>
      <c r="AS185">
        <v>1.0904135954020751</v>
      </c>
      <c r="AT185" t="s">
        <v>1079</v>
      </c>
      <c r="AU185" t="s">
        <v>1080</v>
      </c>
      <c r="AV185">
        <v>6630</v>
      </c>
      <c r="AW185">
        <v>2863</v>
      </c>
      <c r="AX185">
        <v>2799</v>
      </c>
      <c r="AY185">
        <v>897</v>
      </c>
      <c r="AZ185">
        <v>71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-1.08</v>
      </c>
      <c r="BH185">
        <v>31.26</v>
      </c>
      <c r="BI185">
        <v>12.483762</v>
      </c>
      <c r="BJ185">
        <v>-5.3332999999999998E-2</v>
      </c>
      <c r="BK185">
        <v>12.574947</v>
      </c>
      <c r="BL185">
        <v>158.12928700000001</v>
      </c>
      <c r="BM185">
        <v>1.007304</v>
      </c>
      <c r="BN185">
        <v>26.88</v>
      </c>
      <c r="BO185">
        <v>0.178594</v>
      </c>
      <c r="BP185">
        <v>1.2244550000000001</v>
      </c>
      <c r="BQ185">
        <v>12.009506</v>
      </c>
      <c r="BR185">
        <v>9.8000000000000007</v>
      </c>
      <c r="BS185">
        <v>9.7733340000000002</v>
      </c>
      <c r="BT185">
        <v>12.483762</v>
      </c>
      <c r="BU185">
        <v>6.804449</v>
      </c>
      <c r="BV185">
        <v>0.75740099999999999</v>
      </c>
      <c r="BW185">
        <v>-1.2277979999999999</v>
      </c>
      <c r="BX185">
        <v>0.54506399999999999</v>
      </c>
      <c r="BY185">
        <v>0.11131000000000001</v>
      </c>
      <c r="BZ185">
        <v>-0.18043999999999999</v>
      </c>
      <c r="CA185">
        <v>-0.44</v>
      </c>
      <c r="CB185">
        <v>-0.19</v>
      </c>
      <c r="CC185">
        <v>-0.10100000000000001</v>
      </c>
      <c r="CD185">
        <v>-0.01</v>
      </c>
      <c r="CE185">
        <v>0.04</v>
      </c>
      <c r="CF185">
        <v>7.0000000000000007E-2</v>
      </c>
      <c r="CG185">
        <v>0.19</v>
      </c>
      <c r="CH185">
        <v>9.7200000000000006</v>
      </c>
      <c r="CI185">
        <v>18.649999999999999</v>
      </c>
      <c r="CJ185">
        <v>26.110001</v>
      </c>
      <c r="CK185">
        <v>26.92</v>
      </c>
      <c r="CL185">
        <v>27.459999</v>
      </c>
      <c r="CM185">
        <v>28.460999999999999</v>
      </c>
      <c r="CN185">
        <v>29.129999000000002</v>
      </c>
      <c r="CO185">
        <v>29.99</v>
      </c>
      <c r="CP185">
        <v>0.41941099999999998</v>
      </c>
      <c r="CQ185">
        <v>17.718627000000001</v>
      </c>
      <c r="CR185">
        <v>20.183185999999999</v>
      </c>
      <c r="CS185">
        <v>1</v>
      </c>
      <c r="CT185">
        <v>69</v>
      </c>
      <c r="CU185">
        <v>14.288084</v>
      </c>
      <c r="CV185">
        <v>1</v>
      </c>
      <c r="CW185">
        <v>11.970508000000001</v>
      </c>
      <c r="CX185">
        <v>143.29307</v>
      </c>
      <c r="CY185">
        <v>0.83779700000000001</v>
      </c>
      <c r="CZ185">
        <v>15</v>
      </c>
      <c r="DA185">
        <v>1.402172</v>
      </c>
      <c r="DB185">
        <v>5.1054500000000003</v>
      </c>
      <c r="DC185">
        <v>9.1951579999999993</v>
      </c>
      <c r="DD185">
        <v>14.288084</v>
      </c>
      <c r="DE185">
        <v>6.306381</v>
      </c>
      <c r="DF185">
        <v>1.6762630000000001</v>
      </c>
      <c r="DG185">
        <v>0.84207799999999999</v>
      </c>
      <c r="DH185">
        <v>0.44137300000000002</v>
      </c>
      <c r="DI185">
        <v>0.26580399999999998</v>
      </c>
      <c r="DJ185">
        <v>0.13352800000000001</v>
      </c>
      <c r="DK185">
        <v>1</v>
      </c>
      <c r="DL185">
        <v>1</v>
      </c>
      <c r="DM185">
        <v>2</v>
      </c>
      <c r="DN185">
        <v>4</v>
      </c>
      <c r="DO185">
        <v>5</v>
      </c>
      <c r="DP185">
        <v>6</v>
      </c>
      <c r="DQ185">
        <v>9</v>
      </c>
      <c r="DR185">
        <v>11</v>
      </c>
      <c r="DS185">
        <v>14</v>
      </c>
      <c r="DT185">
        <v>18</v>
      </c>
      <c r="DU185">
        <v>20</v>
      </c>
      <c r="DV185">
        <v>23</v>
      </c>
      <c r="DW185">
        <v>29</v>
      </c>
      <c r="DX185">
        <v>39</v>
      </c>
      <c r="DY185">
        <v>55</v>
      </c>
      <c r="DZ185">
        <v>90.604260999999994</v>
      </c>
      <c r="EA185">
        <v>53.559578000000002</v>
      </c>
      <c r="EB185">
        <v>124.030737</v>
      </c>
      <c r="EC185">
        <v>2594</v>
      </c>
      <c r="ED185">
        <v>3551</v>
      </c>
      <c r="EE185">
        <v>88.822913</v>
      </c>
      <c r="EF185">
        <v>99.930143000000001</v>
      </c>
      <c r="EG185">
        <v>48.190044999999998</v>
      </c>
      <c r="EH185">
        <v>85.263952000000003</v>
      </c>
      <c r="EI185">
        <v>111.596228</v>
      </c>
      <c r="EJ185">
        <v>197.45022700000001</v>
      </c>
      <c r="EK185">
        <v>2543</v>
      </c>
      <c r="EL185">
        <v>2861</v>
      </c>
      <c r="EM185">
        <v>3195</v>
      </c>
      <c r="EN185">
        <v>5653</v>
      </c>
      <c r="EO185">
        <v>2863</v>
      </c>
      <c r="EP185">
        <v>6630</v>
      </c>
      <c r="EQ185">
        <v>40.714105000000004</v>
      </c>
    </row>
    <row r="186" spans="1:147" x14ac:dyDescent="0.25">
      <c r="A186">
        <v>2022</v>
      </c>
      <c r="B186" t="str">
        <f t="shared" si="4"/>
        <v>NE</v>
      </c>
      <c r="C186" t="s">
        <v>1081</v>
      </c>
      <c r="D186" t="s">
        <v>1081</v>
      </c>
      <c r="E186">
        <v>25111</v>
      </c>
      <c r="F186" t="s">
        <v>1082</v>
      </c>
      <c r="G186" t="s">
        <v>301</v>
      </c>
      <c r="H186" t="s">
        <v>1083</v>
      </c>
      <c r="I186">
        <v>45.6</v>
      </c>
      <c r="J186">
        <v>45.6</v>
      </c>
      <c r="K186" t="s">
        <v>301</v>
      </c>
      <c r="L186">
        <v>1</v>
      </c>
      <c r="M186">
        <v>2016</v>
      </c>
      <c r="N186">
        <v>3</v>
      </c>
      <c r="O186" t="str">
        <f t="shared" si="5"/>
        <v>Alto fuste</v>
      </c>
      <c r="P186" s="2">
        <v>42444</v>
      </c>
      <c r="Q186" t="s">
        <v>174</v>
      </c>
      <c r="R186" t="s">
        <v>695</v>
      </c>
      <c r="S186" t="s">
        <v>154</v>
      </c>
      <c r="T186" t="s">
        <v>175</v>
      </c>
      <c r="U186" t="s">
        <v>156</v>
      </c>
      <c r="V186" s="2">
        <v>44754</v>
      </c>
      <c r="W186" t="s">
        <v>1084</v>
      </c>
      <c r="X186">
        <v>365.53</v>
      </c>
      <c r="Y186">
        <v>19.600000000000001</v>
      </c>
      <c r="Z186">
        <v>6</v>
      </c>
      <c r="AA186">
        <v>14.6</v>
      </c>
      <c r="AB186">
        <v>1</v>
      </c>
      <c r="AC186">
        <v>286.16000000000003</v>
      </c>
      <c r="AD186">
        <v>284.549040779807</v>
      </c>
      <c r="AE186" s="2">
        <v>44754</v>
      </c>
      <c r="AF186">
        <v>76</v>
      </c>
      <c r="AG186">
        <v>6.3244353182751496</v>
      </c>
      <c r="AH186">
        <v>27.294774553469502</v>
      </c>
      <c r="AI186">
        <v>17.3965517241379</v>
      </c>
      <c r="AJ186">
        <v>24.9987102444871</v>
      </c>
      <c r="AK186">
        <v>29</v>
      </c>
      <c r="AL186">
        <v>1019.15648425753</v>
      </c>
      <c r="AM186">
        <v>304.25452259546</v>
      </c>
      <c r="AN186">
        <v>0.29853562950847101</v>
      </c>
      <c r="AO186" t="s">
        <v>695</v>
      </c>
      <c r="AP186" t="s">
        <v>158</v>
      </c>
      <c r="AQ186" t="s">
        <v>315</v>
      </c>
      <c r="AR186">
        <v>9</v>
      </c>
      <c r="AS186">
        <v>0.91724083583177496</v>
      </c>
      <c r="AT186" t="s">
        <v>1085</v>
      </c>
      <c r="AU186" t="s">
        <v>1086</v>
      </c>
      <c r="AV186">
        <v>5332</v>
      </c>
      <c r="AW186">
        <v>2761</v>
      </c>
      <c r="AX186">
        <v>1849</v>
      </c>
      <c r="AY186">
        <v>633</v>
      </c>
      <c r="AZ186">
        <v>89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-0.81</v>
      </c>
      <c r="BH186">
        <v>33.080002</v>
      </c>
      <c r="BI186">
        <v>16.514196999999999</v>
      </c>
      <c r="BJ186">
        <v>-0.272063</v>
      </c>
      <c r="BK186">
        <v>11.158524999999999</v>
      </c>
      <c r="BL186">
        <v>124.51267799999999</v>
      </c>
      <c r="BM186">
        <v>0.67569299999999999</v>
      </c>
      <c r="BN186">
        <v>22.045000999999999</v>
      </c>
      <c r="BO186">
        <v>-0.39474100000000001</v>
      </c>
      <c r="BP186">
        <v>1.6905479999999999</v>
      </c>
      <c r="BQ186">
        <v>9.6888330000000007</v>
      </c>
      <c r="BR186">
        <v>8.6399989999999995</v>
      </c>
      <c r="BS186">
        <v>19.627064000000001</v>
      </c>
      <c r="BT186">
        <v>16.514196999999999</v>
      </c>
      <c r="BU186">
        <v>6.2746069999999996</v>
      </c>
      <c r="BV186">
        <v>-0.68036700000000006</v>
      </c>
      <c r="BW186">
        <v>-0.33693499999999998</v>
      </c>
      <c r="BX186">
        <v>0.37995200000000001</v>
      </c>
      <c r="BY186">
        <v>-0.108432</v>
      </c>
      <c r="BZ186">
        <v>-5.3698000000000003E-2</v>
      </c>
      <c r="CA186">
        <v>-0.38690000000000002</v>
      </c>
      <c r="CB186">
        <v>-0.13450000000000001</v>
      </c>
      <c r="CC186">
        <v>-0.02</v>
      </c>
      <c r="CD186">
        <v>0.19</v>
      </c>
      <c r="CE186">
        <v>4.8674999999999997</v>
      </c>
      <c r="CF186">
        <v>10.302002</v>
      </c>
      <c r="CG186">
        <v>16.379999000000002</v>
      </c>
      <c r="CH186">
        <v>19.355</v>
      </c>
      <c r="CI186">
        <v>22.040001</v>
      </c>
      <c r="CJ186">
        <v>24.600999999999999</v>
      </c>
      <c r="CK186">
        <v>26.912500000000001</v>
      </c>
      <c r="CL186">
        <v>27.92</v>
      </c>
      <c r="CM186">
        <v>29.49</v>
      </c>
      <c r="CN186">
        <v>30.379999000000002</v>
      </c>
      <c r="CO186">
        <v>31.43</v>
      </c>
      <c r="CP186">
        <v>0.511189</v>
      </c>
      <c r="CQ186">
        <v>19.930078999999999</v>
      </c>
      <c r="CR186">
        <v>21.632249999999999</v>
      </c>
      <c r="CS186">
        <v>1</v>
      </c>
      <c r="CT186">
        <v>41</v>
      </c>
      <c r="CU186">
        <v>11.94955</v>
      </c>
      <c r="CV186">
        <v>1</v>
      </c>
      <c r="CW186">
        <v>8.4115830000000003</v>
      </c>
      <c r="CX186">
        <v>70.754722999999998</v>
      </c>
      <c r="CY186">
        <v>0.70392500000000002</v>
      </c>
      <c r="CZ186">
        <v>15</v>
      </c>
      <c r="DA186">
        <v>0.47681400000000002</v>
      </c>
      <c r="DB186">
        <v>2.1933690000000001</v>
      </c>
      <c r="DC186">
        <v>7.2374999999999998</v>
      </c>
      <c r="DD186">
        <v>11.94955</v>
      </c>
      <c r="DE186">
        <v>4.7744280000000003</v>
      </c>
      <c r="DF186">
        <v>0.61786099999999999</v>
      </c>
      <c r="DG186">
        <v>4.6074999999999998E-2</v>
      </c>
      <c r="DH186">
        <v>0.39954899999999999</v>
      </c>
      <c r="DI186">
        <v>0.12941</v>
      </c>
      <c r="DJ186">
        <v>9.6500000000000006E-3</v>
      </c>
      <c r="DK186">
        <v>1</v>
      </c>
      <c r="DL186">
        <v>1</v>
      </c>
      <c r="DM186">
        <v>2</v>
      </c>
      <c r="DN186">
        <v>4</v>
      </c>
      <c r="DO186">
        <v>4</v>
      </c>
      <c r="DP186">
        <v>5</v>
      </c>
      <c r="DQ186">
        <v>8</v>
      </c>
      <c r="DR186">
        <v>11</v>
      </c>
      <c r="DS186">
        <v>14</v>
      </c>
      <c r="DT186">
        <v>17</v>
      </c>
      <c r="DU186">
        <v>19</v>
      </c>
      <c r="DV186">
        <v>20</v>
      </c>
      <c r="DW186">
        <v>24</v>
      </c>
      <c r="DX186">
        <v>27</v>
      </c>
      <c r="DY186">
        <v>31</v>
      </c>
      <c r="DZ186">
        <v>99.166967999999997</v>
      </c>
      <c r="EA186">
        <v>75.581395000000001</v>
      </c>
      <c r="EB186">
        <v>145.96160800000001</v>
      </c>
      <c r="EC186">
        <v>2738</v>
      </c>
      <c r="ED186">
        <v>4030</v>
      </c>
      <c r="EE186">
        <v>92.176748000000003</v>
      </c>
      <c r="EF186">
        <v>100</v>
      </c>
      <c r="EG186">
        <v>59.208551999999997</v>
      </c>
      <c r="EH186">
        <v>97.899474999999995</v>
      </c>
      <c r="EI186">
        <v>114.342629</v>
      </c>
      <c r="EJ186">
        <v>189.06193400000001</v>
      </c>
      <c r="EK186">
        <v>2545</v>
      </c>
      <c r="EL186">
        <v>2761</v>
      </c>
      <c r="EM186">
        <v>3157</v>
      </c>
      <c r="EN186">
        <v>5220</v>
      </c>
      <c r="EO186">
        <v>2761</v>
      </c>
      <c r="EP186">
        <v>5332</v>
      </c>
      <c r="EQ186">
        <v>51.578612999999997</v>
      </c>
    </row>
    <row r="187" spans="1:147" x14ac:dyDescent="0.25">
      <c r="A187">
        <v>2022</v>
      </c>
      <c r="B187" t="str">
        <f t="shared" si="4"/>
        <v>NE</v>
      </c>
      <c r="C187" t="s">
        <v>1087</v>
      </c>
      <c r="D187" t="s">
        <v>1087</v>
      </c>
      <c r="E187">
        <v>25121</v>
      </c>
      <c r="F187" t="s">
        <v>1082</v>
      </c>
      <c r="G187" t="s">
        <v>301</v>
      </c>
      <c r="H187" t="s">
        <v>1088</v>
      </c>
      <c r="I187">
        <v>32.43</v>
      </c>
      <c r="J187">
        <v>32.43</v>
      </c>
      <c r="K187" t="s">
        <v>301</v>
      </c>
      <c r="L187">
        <v>1</v>
      </c>
      <c r="M187">
        <v>2016</v>
      </c>
      <c r="N187">
        <v>3</v>
      </c>
      <c r="O187" t="str">
        <f t="shared" si="5"/>
        <v>Alto fuste</v>
      </c>
      <c r="P187" s="2">
        <v>42444</v>
      </c>
      <c r="Q187" t="s">
        <v>174</v>
      </c>
      <c r="R187" t="s">
        <v>427</v>
      </c>
      <c r="S187" t="s">
        <v>154</v>
      </c>
      <c r="T187" t="s">
        <v>175</v>
      </c>
      <c r="U187" t="s">
        <v>156</v>
      </c>
      <c r="V187" s="2">
        <v>44754</v>
      </c>
      <c r="W187" t="s">
        <v>1084</v>
      </c>
      <c r="X187">
        <v>365.53</v>
      </c>
      <c r="Y187">
        <v>19</v>
      </c>
      <c r="Z187">
        <v>23</v>
      </c>
      <c r="AA187">
        <v>14.7</v>
      </c>
      <c r="AB187">
        <v>4</v>
      </c>
      <c r="AC187">
        <v>279.3</v>
      </c>
      <c r="AD187">
        <v>256.47073018535002</v>
      </c>
      <c r="AE187" s="2">
        <v>44754</v>
      </c>
      <c r="AF187">
        <v>76</v>
      </c>
      <c r="AG187">
        <v>6.3244353182751496</v>
      </c>
      <c r="AH187">
        <v>23.829328343237201</v>
      </c>
      <c r="AI187">
        <v>15.4763157894737</v>
      </c>
      <c r="AJ187">
        <v>29.359818959768599</v>
      </c>
      <c r="AK187">
        <v>38</v>
      </c>
      <c r="AL187">
        <v>1481.6505560902599</v>
      </c>
      <c r="AM187">
        <v>323.80724552521798</v>
      </c>
      <c r="AN187">
        <v>0.21854494920831499</v>
      </c>
      <c r="AO187" t="s">
        <v>427</v>
      </c>
      <c r="AP187" t="s">
        <v>158</v>
      </c>
      <c r="AQ187" t="s">
        <v>786</v>
      </c>
      <c r="AR187">
        <v>9</v>
      </c>
      <c r="AS187">
        <v>1.333485500481238</v>
      </c>
      <c r="AT187" t="s">
        <v>1089</v>
      </c>
      <c r="AU187" t="s">
        <v>1090</v>
      </c>
      <c r="AV187">
        <v>4233</v>
      </c>
      <c r="AW187">
        <v>2122</v>
      </c>
      <c r="AX187">
        <v>1846</v>
      </c>
      <c r="AY187">
        <v>250</v>
      </c>
      <c r="AZ187">
        <v>15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-0.77</v>
      </c>
      <c r="BH187">
        <v>29.540001</v>
      </c>
      <c r="BI187">
        <v>12.358316</v>
      </c>
      <c r="BJ187">
        <v>-0.28888900000000001</v>
      </c>
      <c r="BK187">
        <v>12.097946</v>
      </c>
      <c r="BL187">
        <v>146.36029600000001</v>
      </c>
      <c r="BM187">
        <v>0.97893200000000002</v>
      </c>
      <c r="BN187">
        <v>24.82</v>
      </c>
      <c r="BO187">
        <v>5.9450000000000003E-2</v>
      </c>
      <c r="BP187">
        <v>1.1022050000000001</v>
      </c>
      <c r="BQ187">
        <v>11.773296</v>
      </c>
      <c r="BR187">
        <v>11.349999</v>
      </c>
      <c r="BS187">
        <v>11.518888</v>
      </c>
      <c r="BT187">
        <v>12.358316</v>
      </c>
      <c r="BU187">
        <v>6.4306929999999998</v>
      </c>
      <c r="BV187">
        <v>0.35528300000000002</v>
      </c>
      <c r="BW187">
        <v>-1.3050729999999999</v>
      </c>
      <c r="BX187">
        <v>0.52035399999999998</v>
      </c>
      <c r="BY187">
        <v>5.5247999999999998E-2</v>
      </c>
      <c r="BZ187">
        <v>-0.20294400000000001</v>
      </c>
      <c r="CA187">
        <v>-0.43680000000000002</v>
      </c>
      <c r="CB187">
        <v>-0.18</v>
      </c>
      <c r="CC187">
        <v>-0.08</v>
      </c>
      <c r="CD187">
        <v>0.03</v>
      </c>
      <c r="CE187">
        <v>0.08</v>
      </c>
      <c r="CF187">
        <v>0.14000000000000001</v>
      </c>
      <c r="CG187">
        <v>0.32</v>
      </c>
      <c r="CH187">
        <v>11.23</v>
      </c>
      <c r="CI187">
        <v>23.321999000000002</v>
      </c>
      <c r="CJ187">
        <v>24.5</v>
      </c>
      <c r="CK187">
        <v>24.9</v>
      </c>
      <c r="CL187">
        <v>25.27</v>
      </c>
      <c r="CM187">
        <v>26.08</v>
      </c>
      <c r="CN187">
        <v>27.129999000000002</v>
      </c>
      <c r="CO187">
        <v>28.323602999999999</v>
      </c>
      <c r="CP187">
        <v>0.43313499999999999</v>
      </c>
      <c r="CQ187">
        <v>17.293168999999999</v>
      </c>
      <c r="CR187">
        <v>19.502486999999999</v>
      </c>
      <c r="CS187">
        <v>1</v>
      </c>
      <c r="CT187">
        <v>47</v>
      </c>
      <c r="CU187">
        <v>14.287739</v>
      </c>
      <c r="CV187">
        <v>1</v>
      </c>
      <c r="CW187">
        <v>9.6007929999999995</v>
      </c>
      <c r="CX187">
        <v>92.175220999999993</v>
      </c>
      <c r="CY187">
        <v>0.67196</v>
      </c>
      <c r="CZ187">
        <v>15</v>
      </c>
      <c r="DA187">
        <v>0.495172</v>
      </c>
      <c r="DB187">
        <v>2.5969039999999999</v>
      </c>
      <c r="DC187">
        <v>8.0690080000000002</v>
      </c>
      <c r="DD187">
        <v>14.287739</v>
      </c>
      <c r="DE187">
        <v>5.4361139999999999</v>
      </c>
      <c r="DF187">
        <v>0.56857999999999997</v>
      </c>
      <c r="DG187">
        <v>0.22626399999999999</v>
      </c>
      <c r="DH187">
        <v>0.38047399999999998</v>
      </c>
      <c r="DI187">
        <v>0.10459300000000001</v>
      </c>
      <c r="DJ187">
        <v>4.1621999999999999E-2</v>
      </c>
      <c r="DK187">
        <v>1</v>
      </c>
      <c r="DL187">
        <v>1</v>
      </c>
      <c r="DM187">
        <v>2</v>
      </c>
      <c r="DN187">
        <v>4</v>
      </c>
      <c r="DO187">
        <v>6</v>
      </c>
      <c r="DP187">
        <v>7</v>
      </c>
      <c r="DQ187">
        <v>10</v>
      </c>
      <c r="DR187">
        <v>14</v>
      </c>
      <c r="DS187">
        <v>17</v>
      </c>
      <c r="DT187">
        <v>20</v>
      </c>
      <c r="DU187">
        <v>21</v>
      </c>
      <c r="DV187">
        <v>23</v>
      </c>
      <c r="DW187">
        <v>27</v>
      </c>
      <c r="DX187">
        <v>31</v>
      </c>
      <c r="DY187">
        <v>39</v>
      </c>
      <c r="DZ187">
        <v>93.166824000000005</v>
      </c>
      <c r="EA187">
        <v>52.610441999999999</v>
      </c>
      <c r="EB187">
        <v>104.948162</v>
      </c>
      <c r="EC187">
        <v>1977</v>
      </c>
      <c r="ED187">
        <v>2227</v>
      </c>
      <c r="EE187">
        <v>91.564561999999995</v>
      </c>
      <c r="EF187">
        <v>99.952875000000006</v>
      </c>
      <c r="EG187">
        <v>48.972360000000002</v>
      </c>
      <c r="EH187">
        <v>97.306875000000005</v>
      </c>
      <c r="EI187">
        <v>97.690858000000006</v>
      </c>
      <c r="EJ187">
        <v>194.109331</v>
      </c>
      <c r="EK187">
        <v>1943</v>
      </c>
      <c r="EL187">
        <v>2121</v>
      </c>
      <c r="EM187">
        <v>2073</v>
      </c>
      <c r="EN187">
        <v>4119</v>
      </c>
      <c r="EO187">
        <v>2122</v>
      </c>
      <c r="EP187">
        <v>4233</v>
      </c>
      <c r="EQ187">
        <v>42.707073999999999</v>
      </c>
    </row>
    <row r="188" spans="1:147" x14ac:dyDescent="0.25">
      <c r="A188">
        <v>2022</v>
      </c>
      <c r="B188" t="str">
        <f t="shared" si="4"/>
        <v>NE</v>
      </c>
      <c r="C188" t="s">
        <v>1091</v>
      </c>
      <c r="D188" t="s">
        <v>1091</v>
      </c>
      <c r="E188">
        <v>25122</v>
      </c>
      <c r="F188" t="s">
        <v>1082</v>
      </c>
      <c r="G188" t="s">
        <v>301</v>
      </c>
      <c r="H188" t="s">
        <v>1088</v>
      </c>
      <c r="I188">
        <v>32.43</v>
      </c>
      <c r="J188">
        <v>32.43</v>
      </c>
      <c r="K188" t="s">
        <v>301</v>
      </c>
      <c r="L188">
        <v>1</v>
      </c>
      <c r="M188">
        <v>2016</v>
      </c>
      <c r="N188">
        <v>3</v>
      </c>
      <c r="O188" t="str">
        <f t="shared" si="5"/>
        <v>Alto fuste</v>
      </c>
      <c r="P188" s="2">
        <v>42444</v>
      </c>
      <c r="Q188" t="s">
        <v>174</v>
      </c>
      <c r="R188" t="s">
        <v>427</v>
      </c>
      <c r="S188" t="s">
        <v>154</v>
      </c>
      <c r="T188" t="s">
        <v>175</v>
      </c>
      <c r="U188" t="s">
        <v>156</v>
      </c>
      <c r="V188" s="2">
        <v>44754</v>
      </c>
      <c r="W188" t="s">
        <v>1084</v>
      </c>
      <c r="X188">
        <v>365.53</v>
      </c>
      <c r="Y188">
        <v>20</v>
      </c>
      <c r="Z188">
        <v>23</v>
      </c>
      <c r="AA188">
        <v>14.7</v>
      </c>
      <c r="AB188">
        <v>4</v>
      </c>
      <c r="AC188">
        <v>294</v>
      </c>
      <c r="AD188">
        <v>269.96918966879002</v>
      </c>
      <c r="AE188" s="2">
        <v>44754</v>
      </c>
      <c r="AF188">
        <v>76</v>
      </c>
      <c r="AG188">
        <v>6.3244353182751496</v>
      </c>
      <c r="AH188">
        <v>26.769696242301102</v>
      </c>
      <c r="AI188">
        <v>16.41</v>
      </c>
      <c r="AJ188">
        <v>24.038050325142699</v>
      </c>
      <c r="AK188">
        <v>30</v>
      </c>
      <c r="AL188">
        <v>1111.2379170677</v>
      </c>
      <c r="AM188">
        <v>286.75575135810402</v>
      </c>
      <c r="AN188">
        <v>0.25805072609004098</v>
      </c>
      <c r="AO188" t="s">
        <v>427</v>
      </c>
      <c r="AP188" t="s">
        <v>158</v>
      </c>
      <c r="AQ188" t="s">
        <v>786</v>
      </c>
      <c r="AR188">
        <v>9</v>
      </c>
      <c r="AS188">
        <v>1.000114125360926</v>
      </c>
      <c r="AT188" t="s">
        <v>1092</v>
      </c>
      <c r="AU188" t="s">
        <v>1093</v>
      </c>
      <c r="AV188">
        <v>2106</v>
      </c>
      <c r="AW188">
        <v>1125</v>
      </c>
      <c r="AX188">
        <v>821</v>
      </c>
      <c r="AY188">
        <v>157</v>
      </c>
      <c r="AZ188">
        <v>3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-0.83</v>
      </c>
      <c r="BH188">
        <v>29.030000999999999</v>
      </c>
      <c r="BI188">
        <v>14.442349999999999</v>
      </c>
      <c r="BJ188">
        <v>-0.35603200000000002</v>
      </c>
      <c r="BK188">
        <v>12.175352</v>
      </c>
      <c r="BL188">
        <v>148.239193</v>
      </c>
      <c r="BM188">
        <v>0.84303099999999997</v>
      </c>
      <c r="BN188">
        <v>25.699998999999998</v>
      </c>
      <c r="BO188">
        <v>-0.24653800000000001</v>
      </c>
      <c r="BP188">
        <v>1.193228</v>
      </c>
      <c r="BQ188">
        <v>11.644678000000001</v>
      </c>
      <c r="BR188">
        <v>7.9450010000000004</v>
      </c>
      <c r="BS188">
        <v>19.676030999999998</v>
      </c>
      <c r="BT188">
        <v>14.442349999999999</v>
      </c>
      <c r="BU188">
        <v>6.5173100000000002</v>
      </c>
      <c r="BV188">
        <v>-0.453735</v>
      </c>
      <c r="BW188">
        <v>-1.2116180000000001</v>
      </c>
      <c r="BX188">
        <v>0.451264</v>
      </c>
      <c r="BY188">
        <v>-6.9620000000000001E-2</v>
      </c>
      <c r="BZ188">
        <v>-0.18590799999999999</v>
      </c>
      <c r="CA188">
        <v>-0.39950000000000002</v>
      </c>
      <c r="CB188">
        <v>-0.17749999999999999</v>
      </c>
      <c r="CC188">
        <v>-0.08</v>
      </c>
      <c r="CD188">
        <v>0.05</v>
      </c>
      <c r="CE188">
        <v>0.11</v>
      </c>
      <c r="CF188">
        <v>0.18</v>
      </c>
      <c r="CG188">
        <v>0.97</v>
      </c>
      <c r="CH188">
        <v>19.32</v>
      </c>
      <c r="CI188">
        <v>24.48</v>
      </c>
      <c r="CJ188">
        <v>25.5</v>
      </c>
      <c r="CK188">
        <v>25.809999000000001</v>
      </c>
      <c r="CL188">
        <v>26.280000999999999</v>
      </c>
      <c r="CM188">
        <v>27.154999</v>
      </c>
      <c r="CN188">
        <v>27.700001</v>
      </c>
      <c r="CO188">
        <v>28.429500999999998</v>
      </c>
      <c r="CP188">
        <v>0.51146499999999995</v>
      </c>
      <c r="CQ188">
        <v>18.887834000000002</v>
      </c>
      <c r="CR188">
        <v>20.791094999999999</v>
      </c>
      <c r="CS188">
        <v>1</v>
      </c>
      <c r="CT188">
        <v>46</v>
      </c>
      <c r="CU188">
        <v>11.839031</v>
      </c>
      <c r="CV188">
        <v>1</v>
      </c>
      <c r="CW188">
        <v>8.0476150000000004</v>
      </c>
      <c r="CX188">
        <v>64.764100999999997</v>
      </c>
      <c r="CY188">
        <v>0.67975300000000005</v>
      </c>
      <c r="CZ188">
        <v>12</v>
      </c>
      <c r="DA188">
        <v>0.89762399999999998</v>
      </c>
      <c r="DB188">
        <v>3.9962610000000001</v>
      </c>
      <c r="DC188">
        <v>6.4496770000000003</v>
      </c>
      <c r="DD188">
        <v>11.839031</v>
      </c>
      <c r="DE188">
        <v>4.4318280000000003</v>
      </c>
      <c r="DF188">
        <v>0.64051000000000002</v>
      </c>
      <c r="DG188">
        <v>0.39998800000000001</v>
      </c>
      <c r="DH188">
        <v>0.37434000000000001</v>
      </c>
      <c r="DI188">
        <v>0.14452499999999999</v>
      </c>
      <c r="DJ188">
        <v>9.0253E-2</v>
      </c>
      <c r="DK188">
        <v>1</v>
      </c>
      <c r="DL188">
        <v>1</v>
      </c>
      <c r="DM188">
        <v>2</v>
      </c>
      <c r="DN188">
        <v>4</v>
      </c>
      <c r="DO188">
        <v>5</v>
      </c>
      <c r="DP188">
        <v>6</v>
      </c>
      <c r="DQ188">
        <v>9</v>
      </c>
      <c r="DR188">
        <v>11</v>
      </c>
      <c r="DS188">
        <v>13</v>
      </c>
      <c r="DT188">
        <v>16</v>
      </c>
      <c r="DU188">
        <v>17</v>
      </c>
      <c r="DV188">
        <v>18</v>
      </c>
      <c r="DW188">
        <v>21</v>
      </c>
      <c r="DX188">
        <v>26</v>
      </c>
      <c r="DY188">
        <v>37</v>
      </c>
      <c r="DZ188">
        <v>93.244444000000001</v>
      </c>
      <c r="EA188">
        <v>59.829059999999998</v>
      </c>
      <c r="EB188">
        <v>112</v>
      </c>
      <c r="EC188">
        <v>1049</v>
      </c>
      <c r="ED188">
        <v>1260</v>
      </c>
      <c r="EE188">
        <v>92.8</v>
      </c>
      <c r="EF188">
        <v>100</v>
      </c>
      <c r="EG188">
        <v>58.262107999999998</v>
      </c>
      <c r="EH188">
        <v>98.812915000000004</v>
      </c>
      <c r="EI188">
        <v>109.066667</v>
      </c>
      <c r="EJ188">
        <v>184.977778</v>
      </c>
      <c r="EK188">
        <v>1044</v>
      </c>
      <c r="EL188">
        <v>1125</v>
      </c>
      <c r="EM188">
        <v>1227</v>
      </c>
      <c r="EN188">
        <v>2081</v>
      </c>
      <c r="EO188">
        <v>1125</v>
      </c>
      <c r="EP188">
        <v>2106</v>
      </c>
      <c r="EQ188">
        <v>49.807935999999998</v>
      </c>
    </row>
    <row r="189" spans="1:147" x14ac:dyDescent="0.25">
      <c r="A189">
        <v>2022</v>
      </c>
      <c r="B189" t="str">
        <f t="shared" si="4"/>
        <v>NE</v>
      </c>
      <c r="C189" t="s">
        <v>1094</v>
      </c>
      <c r="D189" t="s">
        <v>1094</v>
      </c>
      <c r="E189">
        <v>25285</v>
      </c>
      <c r="F189" t="s">
        <v>1095</v>
      </c>
      <c r="G189" t="s">
        <v>1096</v>
      </c>
      <c r="H189" t="s">
        <v>1097</v>
      </c>
      <c r="I189">
        <v>34.049999999999997</v>
      </c>
      <c r="J189">
        <v>34.049999999999997</v>
      </c>
      <c r="K189" t="s">
        <v>1098</v>
      </c>
      <c r="L189">
        <v>1</v>
      </c>
      <c r="M189">
        <v>2017</v>
      </c>
      <c r="N189">
        <v>3</v>
      </c>
      <c r="O189" t="str">
        <f t="shared" si="5"/>
        <v>Alto fuste</v>
      </c>
      <c r="P189" s="2">
        <v>42786</v>
      </c>
      <c r="Q189" t="s">
        <v>174</v>
      </c>
      <c r="R189" t="s">
        <v>695</v>
      </c>
      <c r="S189" t="s">
        <v>154</v>
      </c>
      <c r="T189" t="s">
        <v>1098</v>
      </c>
      <c r="U189" t="s">
        <v>156</v>
      </c>
      <c r="V189" s="2">
        <v>44797</v>
      </c>
      <c r="W189" t="s">
        <v>1099</v>
      </c>
      <c r="X189">
        <v>159.38</v>
      </c>
      <c r="Y189">
        <v>20.6</v>
      </c>
      <c r="Z189">
        <v>14</v>
      </c>
      <c r="AA189">
        <v>15.6</v>
      </c>
      <c r="AB189">
        <v>3</v>
      </c>
      <c r="AC189">
        <v>321.36</v>
      </c>
      <c r="AD189">
        <v>311.38690402451101</v>
      </c>
      <c r="AE189" s="2">
        <v>44797</v>
      </c>
      <c r="AF189">
        <v>66</v>
      </c>
      <c r="AG189">
        <v>5.5058179329226604</v>
      </c>
      <c r="AH189">
        <v>29.510723920170001</v>
      </c>
      <c r="AI189">
        <v>17.387096774193498</v>
      </c>
      <c r="AJ189">
        <v>23.9316899927625</v>
      </c>
      <c r="AK189">
        <v>31</v>
      </c>
      <c r="AL189">
        <v>995.54604253876403</v>
      </c>
      <c r="AM189">
        <v>310.41623440925298</v>
      </c>
      <c r="AN189">
        <v>0.31180500061820698</v>
      </c>
      <c r="AO189" t="s">
        <v>695</v>
      </c>
      <c r="AP189" t="s">
        <v>158</v>
      </c>
      <c r="AQ189" t="s">
        <v>1100</v>
      </c>
      <c r="AR189">
        <v>9</v>
      </c>
      <c r="AS189">
        <v>0.89599143828488803</v>
      </c>
      <c r="AT189" t="s">
        <v>1101</v>
      </c>
      <c r="AU189" t="s">
        <v>1102</v>
      </c>
      <c r="AV189">
        <v>2444</v>
      </c>
      <c r="AW189">
        <v>2444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-0.3</v>
      </c>
      <c r="BH189">
        <v>31.657</v>
      </c>
      <c r="BI189">
        <v>25.360627999999998</v>
      </c>
      <c r="BJ189">
        <v>27.598967999999999</v>
      </c>
      <c r="BK189">
        <v>7.6777379999999997</v>
      </c>
      <c r="BL189">
        <v>58.947667000000003</v>
      </c>
      <c r="BM189">
        <v>0.30274200000000001</v>
      </c>
      <c r="BN189">
        <v>2.5125009999999999</v>
      </c>
      <c r="BO189">
        <v>-2.834279</v>
      </c>
      <c r="BP189">
        <v>9.5374149999999993</v>
      </c>
      <c r="BQ189">
        <v>4.2592790000000003</v>
      </c>
      <c r="BR189">
        <v>1.219001</v>
      </c>
      <c r="BS189">
        <v>1.191532</v>
      </c>
      <c r="BT189">
        <v>25.360627999999998</v>
      </c>
      <c r="BU189">
        <v>2.8339400000000001</v>
      </c>
      <c r="BV189">
        <v>-1.567957</v>
      </c>
      <c r="BW189">
        <v>1.221805</v>
      </c>
      <c r="BX189">
        <v>0.111746</v>
      </c>
      <c r="BY189">
        <v>-0.55327800000000005</v>
      </c>
      <c r="BZ189">
        <v>0.43113299999999999</v>
      </c>
      <c r="CA189">
        <v>-0.10671</v>
      </c>
      <c r="CB189">
        <v>5.9299999999999999E-2</v>
      </c>
      <c r="CC189">
        <v>24.083599</v>
      </c>
      <c r="CD189">
        <v>25.763199</v>
      </c>
      <c r="CE189">
        <v>26.108999000000001</v>
      </c>
      <c r="CF189">
        <v>26.486999999999998</v>
      </c>
      <c r="CG189">
        <v>27.005199000000001</v>
      </c>
      <c r="CH189">
        <v>27.488499000000001</v>
      </c>
      <c r="CI189">
        <v>27.938998999999999</v>
      </c>
      <c r="CJ189">
        <v>28.365200000000002</v>
      </c>
      <c r="CK189">
        <v>28.621500000000001</v>
      </c>
      <c r="CL189">
        <v>28.883400000000002</v>
      </c>
      <c r="CM189">
        <v>29.5931</v>
      </c>
      <c r="CN189">
        <v>30.148401</v>
      </c>
      <c r="CO189">
        <v>30.952551</v>
      </c>
      <c r="CP189">
        <v>0.80297399999999997</v>
      </c>
      <c r="CQ189">
        <v>26.496886</v>
      </c>
      <c r="CR189">
        <v>26.921467</v>
      </c>
      <c r="CS189">
        <v>1</v>
      </c>
      <c r="CT189">
        <v>62</v>
      </c>
      <c r="CU189">
        <v>23.452946000000001</v>
      </c>
      <c r="CV189">
        <v>24.238095000000001</v>
      </c>
      <c r="CW189">
        <v>10.324922000000001</v>
      </c>
      <c r="CX189">
        <v>106.604007</v>
      </c>
      <c r="CY189">
        <v>0.44024000000000002</v>
      </c>
      <c r="CZ189">
        <v>12</v>
      </c>
      <c r="DA189">
        <v>1.4545000000000001E-2</v>
      </c>
      <c r="DB189">
        <v>3.2358220000000002</v>
      </c>
      <c r="DC189">
        <v>7.9331899999999997</v>
      </c>
      <c r="DD189">
        <v>23.452946000000001</v>
      </c>
      <c r="DE189">
        <v>5.7423299999999999</v>
      </c>
      <c r="DF189">
        <v>-0.15892300000000001</v>
      </c>
      <c r="DG189">
        <v>0.94735800000000003</v>
      </c>
      <c r="DH189">
        <v>0.24484500000000001</v>
      </c>
      <c r="DI189">
        <v>-2.7675999999999999E-2</v>
      </c>
      <c r="DJ189">
        <v>0.16497800000000001</v>
      </c>
      <c r="DK189">
        <v>1</v>
      </c>
      <c r="DL189">
        <v>4</v>
      </c>
      <c r="DM189">
        <v>9</v>
      </c>
      <c r="DN189">
        <v>15</v>
      </c>
      <c r="DO189">
        <v>17</v>
      </c>
      <c r="DP189">
        <v>19</v>
      </c>
      <c r="DQ189">
        <v>22</v>
      </c>
      <c r="DR189">
        <v>24</v>
      </c>
      <c r="DS189">
        <v>26</v>
      </c>
      <c r="DT189">
        <v>28</v>
      </c>
      <c r="DU189">
        <v>29</v>
      </c>
      <c r="DV189">
        <v>31</v>
      </c>
      <c r="DW189">
        <v>35</v>
      </c>
      <c r="DX189">
        <v>41</v>
      </c>
      <c r="DY189">
        <v>50</v>
      </c>
      <c r="DZ189">
        <v>91.980360000000005</v>
      </c>
      <c r="EA189">
        <v>91.980360000000005</v>
      </c>
      <c r="EB189">
        <v>91.980360000000005</v>
      </c>
      <c r="EC189">
        <v>2248</v>
      </c>
      <c r="ED189">
        <v>2248</v>
      </c>
      <c r="EE189">
        <v>84.001637000000002</v>
      </c>
      <c r="EF189">
        <v>47.790506999999998</v>
      </c>
      <c r="EG189">
        <v>84.001637000000002</v>
      </c>
      <c r="EH189">
        <v>47.790506999999998</v>
      </c>
      <c r="EI189">
        <v>84.001637000000002</v>
      </c>
      <c r="EJ189">
        <v>47.790506999999998</v>
      </c>
      <c r="EK189">
        <v>2053</v>
      </c>
      <c r="EL189">
        <v>1168</v>
      </c>
      <c r="EM189">
        <v>2053</v>
      </c>
      <c r="EN189">
        <v>1168</v>
      </c>
      <c r="EO189">
        <v>2444</v>
      </c>
      <c r="EP189">
        <v>2444</v>
      </c>
      <c r="EQ189">
        <v>80.796706999999998</v>
      </c>
    </row>
    <row r="190" spans="1:147" x14ac:dyDescent="0.25">
      <c r="A190">
        <v>2022</v>
      </c>
      <c r="B190" t="str">
        <f t="shared" si="4"/>
        <v>NE</v>
      </c>
      <c r="C190" t="s">
        <v>1103</v>
      </c>
      <c r="D190" t="s">
        <v>1103</v>
      </c>
      <c r="E190">
        <v>25286</v>
      </c>
      <c r="F190" t="s">
        <v>1095</v>
      </c>
      <c r="G190" t="s">
        <v>1096</v>
      </c>
      <c r="H190" t="s">
        <v>1097</v>
      </c>
      <c r="I190">
        <v>34.049999999999997</v>
      </c>
      <c r="J190">
        <v>34.049999999999997</v>
      </c>
      <c r="K190" t="s">
        <v>1098</v>
      </c>
      <c r="L190">
        <v>1</v>
      </c>
      <c r="M190">
        <v>2017</v>
      </c>
      <c r="N190">
        <v>3</v>
      </c>
      <c r="O190" t="str">
        <f t="shared" si="5"/>
        <v>Alto fuste</v>
      </c>
      <c r="P190" s="2">
        <v>42786</v>
      </c>
      <c r="Q190" t="s">
        <v>174</v>
      </c>
      <c r="R190" t="s">
        <v>695</v>
      </c>
      <c r="S190" t="s">
        <v>154</v>
      </c>
      <c r="T190" t="s">
        <v>1098</v>
      </c>
      <c r="U190" t="s">
        <v>156</v>
      </c>
      <c r="V190" s="2">
        <v>44797</v>
      </c>
      <c r="W190" t="s">
        <v>1099</v>
      </c>
      <c r="X190">
        <v>159.38</v>
      </c>
      <c r="Y190">
        <v>20.3</v>
      </c>
      <c r="Z190">
        <v>27</v>
      </c>
      <c r="AA190">
        <v>15</v>
      </c>
      <c r="AB190">
        <v>4</v>
      </c>
      <c r="AC190">
        <v>304.5</v>
      </c>
      <c r="AD190">
        <v>270.65058547003099</v>
      </c>
      <c r="AE190" s="2">
        <v>44797</v>
      </c>
      <c r="AF190">
        <v>66</v>
      </c>
      <c r="AG190">
        <v>5.5058179329226604</v>
      </c>
      <c r="AH190">
        <v>27.322297022494698</v>
      </c>
      <c r="AI190">
        <v>19.0461538461538</v>
      </c>
      <c r="AJ190">
        <v>28.312461592388001</v>
      </c>
      <c r="AK190">
        <v>26</v>
      </c>
      <c r="AL190">
        <v>960.64820827365304</v>
      </c>
      <c r="AM190">
        <v>340.73528239941601</v>
      </c>
      <c r="AN190">
        <v>0.35469309104499303</v>
      </c>
      <c r="AO190" t="s">
        <v>695</v>
      </c>
      <c r="AP190" t="s">
        <v>158</v>
      </c>
      <c r="AQ190" t="s">
        <v>1100</v>
      </c>
      <c r="AR190">
        <v>9</v>
      </c>
      <c r="AS190">
        <v>0.86458338744628616</v>
      </c>
      <c r="AT190" t="s">
        <v>1104</v>
      </c>
      <c r="AU190" t="s">
        <v>1105</v>
      </c>
      <c r="AV190">
        <v>2880</v>
      </c>
      <c r="AW190">
        <v>2880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-0.30599999999999999</v>
      </c>
      <c r="BH190">
        <v>33.441001999999997</v>
      </c>
      <c r="BI190">
        <v>27.36993</v>
      </c>
      <c r="BJ190">
        <v>29.155667999999999</v>
      </c>
      <c r="BK190">
        <v>7.2722800000000003</v>
      </c>
      <c r="BL190">
        <v>52.886054000000001</v>
      </c>
      <c r="BM190">
        <v>0.26570300000000002</v>
      </c>
      <c r="BN190">
        <v>3.2749999999999999</v>
      </c>
      <c r="BO190">
        <v>-3.0211600000000001</v>
      </c>
      <c r="BP190">
        <v>11.274290000000001</v>
      </c>
      <c r="BQ190">
        <v>4.0001740000000003</v>
      </c>
      <c r="BR190">
        <v>1.6304989999999999</v>
      </c>
      <c r="BS190">
        <v>1.6559999999999999</v>
      </c>
      <c r="BT190">
        <v>27.36993</v>
      </c>
      <c r="BU190">
        <v>2.7906650000000002</v>
      </c>
      <c r="BV190">
        <v>-1.440472</v>
      </c>
      <c r="BW190">
        <v>1.1209979999999999</v>
      </c>
      <c r="BX190">
        <v>0.101961</v>
      </c>
      <c r="BY190">
        <v>-0.51617500000000005</v>
      </c>
      <c r="BZ190">
        <v>0.401696</v>
      </c>
      <c r="CA190">
        <v>-8.2210000000000005E-2</v>
      </c>
      <c r="CB190">
        <v>0.51580000000000004</v>
      </c>
      <c r="CC190">
        <v>25.029399999999999</v>
      </c>
      <c r="CD190">
        <v>27.1388</v>
      </c>
      <c r="CE190">
        <v>27.559000000000001</v>
      </c>
      <c r="CF190">
        <v>27.9527</v>
      </c>
      <c r="CG190">
        <v>28.541799999999999</v>
      </c>
      <c r="CH190">
        <v>29.262501</v>
      </c>
      <c r="CI190">
        <v>29.832001000000002</v>
      </c>
      <c r="CJ190">
        <v>30.522600000000001</v>
      </c>
      <c r="CK190">
        <v>30.834</v>
      </c>
      <c r="CL190">
        <v>31.147200000000002</v>
      </c>
      <c r="CM190">
        <v>31.725100000000001</v>
      </c>
      <c r="CN190">
        <v>32.133400000000002</v>
      </c>
      <c r="CO190">
        <v>32.746628000000001</v>
      </c>
      <c r="CP190">
        <v>0.82010000000000005</v>
      </c>
      <c r="CQ190">
        <v>28.319265000000001</v>
      </c>
      <c r="CR190">
        <v>28.717252999999999</v>
      </c>
      <c r="CS190">
        <v>1</v>
      </c>
      <c r="CT190">
        <v>57</v>
      </c>
      <c r="CU190">
        <v>22.925346999999999</v>
      </c>
      <c r="CV190">
        <v>25.888888999999999</v>
      </c>
      <c r="CW190">
        <v>9.7821879999999997</v>
      </c>
      <c r="CX190">
        <v>95.691194999999993</v>
      </c>
      <c r="CY190">
        <v>0.42669699999999999</v>
      </c>
      <c r="CZ190">
        <v>13</v>
      </c>
      <c r="DA190">
        <v>-0.28687400000000002</v>
      </c>
      <c r="DB190">
        <v>2.7237010000000001</v>
      </c>
      <c r="DC190">
        <v>7.8484030000000002</v>
      </c>
      <c r="DD190">
        <v>22.925346999999999</v>
      </c>
      <c r="DE190">
        <v>5.5055490000000002</v>
      </c>
      <c r="DF190">
        <v>-0.46039099999999999</v>
      </c>
      <c r="DG190">
        <v>0.64992499999999997</v>
      </c>
      <c r="DH190">
        <v>0.240151</v>
      </c>
      <c r="DI190">
        <v>-8.3623000000000003E-2</v>
      </c>
      <c r="DJ190">
        <v>0.118049</v>
      </c>
      <c r="DK190">
        <v>1</v>
      </c>
      <c r="DL190">
        <v>5</v>
      </c>
      <c r="DM190">
        <v>8</v>
      </c>
      <c r="DN190">
        <v>14</v>
      </c>
      <c r="DO190">
        <v>17</v>
      </c>
      <c r="DP190">
        <v>19</v>
      </c>
      <c r="DQ190">
        <v>22</v>
      </c>
      <c r="DR190">
        <v>24</v>
      </c>
      <c r="DS190">
        <v>26</v>
      </c>
      <c r="DT190">
        <v>29</v>
      </c>
      <c r="DU190">
        <v>30</v>
      </c>
      <c r="DV190">
        <v>31</v>
      </c>
      <c r="DW190">
        <v>34</v>
      </c>
      <c r="DX190">
        <v>38</v>
      </c>
      <c r="DY190">
        <v>44</v>
      </c>
      <c r="DZ190">
        <v>94.652777999999998</v>
      </c>
      <c r="EA190">
        <v>94.652777999999998</v>
      </c>
      <c r="EB190">
        <v>94.652777999999998</v>
      </c>
      <c r="EC190">
        <v>2726</v>
      </c>
      <c r="ED190">
        <v>2726</v>
      </c>
      <c r="EE190">
        <v>76.944444000000004</v>
      </c>
      <c r="EF190">
        <v>51.770833000000003</v>
      </c>
      <c r="EG190">
        <v>76.944444000000004</v>
      </c>
      <c r="EH190">
        <v>51.770833000000003</v>
      </c>
      <c r="EI190">
        <v>76.944444000000004</v>
      </c>
      <c r="EJ190">
        <v>51.770833000000003</v>
      </c>
      <c r="EK190">
        <v>2216</v>
      </c>
      <c r="EL190">
        <v>1491</v>
      </c>
      <c r="EM190">
        <v>2216</v>
      </c>
      <c r="EN190">
        <v>1491</v>
      </c>
      <c r="EO190">
        <v>2880</v>
      </c>
      <c r="EP190">
        <v>2880</v>
      </c>
      <c r="EQ190">
        <v>82.535000999999994</v>
      </c>
    </row>
    <row r="191" spans="1:147" x14ac:dyDescent="0.25">
      <c r="A191">
        <v>2022</v>
      </c>
      <c r="B191" t="str">
        <f t="shared" si="4"/>
        <v>NE</v>
      </c>
      <c r="C191" t="s">
        <v>1106</v>
      </c>
      <c r="D191" t="s">
        <v>1106</v>
      </c>
      <c r="E191">
        <v>25287</v>
      </c>
      <c r="F191" t="s">
        <v>1095</v>
      </c>
      <c r="G191" t="s">
        <v>1096</v>
      </c>
      <c r="H191" t="s">
        <v>1107</v>
      </c>
      <c r="I191">
        <v>35.47</v>
      </c>
      <c r="J191">
        <v>35.47</v>
      </c>
      <c r="K191" t="s">
        <v>1098</v>
      </c>
      <c r="L191">
        <v>1</v>
      </c>
      <c r="M191">
        <v>2017</v>
      </c>
      <c r="N191">
        <v>3</v>
      </c>
      <c r="O191" t="str">
        <f t="shared" si="5"/>
        <v>Alto fuste</v>
      </c>
      <c r="P191" s="2">
        <v>42774</v>
      </c>
      <c r="Q191" t="s">
        <v>174</v>
      </c>
      <c r="R191" t="s">
        <v>314</v>
      </c>
      <c r="S191" t="s">
        <v>154</v>
      </c>
      <c r="T191" t="s">
        <v>1098</v>
      </c>
      <c r="U191" t="s">
        <v>156</v>
      </c>
      <c r="V191" s="2">
        <v>44797</v>
      </c>
      <c r="W191" t="s">
        <v>1099</v>
      </c>
      <c r="X191">
        <v>159.38</v>
      </c>
      <c r="Y191">
        <v>20.3</v>
      </c>
      <c r="Z191">
        <v>27</v>
      </c>
      <c r="AA191">
        <v>15</v>
      </c>
      <c r="AB191">
        <v>4</v>
      </c>
      <c r="AC191">
        <v>304.5</v>
      </c>
      <c r="AD191">
        <v>270.65058547003099</v>
      </c>
      <c r="AE191" s="2">
        <v>44797</v>
      </c>
      <c r="AF191">
        <v>66</v>
      </c>
      <c r="AG191">
        <v>5.5386721423682399</v>
      </c>
      <c r="AH191">
        <v>28.012322637208499</v>
      </c>
      <c r="AI191">
        <v>16.602941176470601</v>
      </c>
      <c r="AJ191">
        <v>27.8724480475265</v>
      </c>
      <c r="AK191">
        <v>34</v>
      </c>
      <c r="AL191">
        <v>1256.23227235785</v>
      </c>
      <c r="AM191">
        <v>347.62490792886001</v>
      </c>
      <c r="AN191">
        <v>0.27672024957326902</v>
      </c>
      <c r="AO191" t="s">
        <v>314</v>
      </c>
      <c r="AP191" t="s">
        <v>158</v>
      </c>
      <c r="AQ191" t="s">
        <v>166</v>
      </c>
      <c r="AR191">
        <v>9</v>
      </c>
      <c r="AS191">
        <v>1.1306090451220669</v>
      </c>
      <c r="AT191" t="s">
        <v>1108</v>
      </c>
      <c r="AU191" t="s">
        <v>1109</v>
      </c>
      <c r="AV191">
        <v>3238</v>
      </c>
      <c r="AW191">
        <v>3238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-0.30599999999999999</v>
      </c>
      <c r="BH191">
        <v>30.802</v>
      </c>
      <c r="BI191">
        <v>24.795898999999999</v>
      </c>
      <c r="BJ191">
        <v>26.358000000000001</v>
      </c>
      <c r="BK191">
        <v>7.0959849999999998</v>
      </c>
      <c r="BL191">
        <v>50.353009</v>
      </c>
      <c r="BM191">
        <v>0.28617599999999999</v>
      </c>
      <c r="BN191">
        <v>2.2705000000000002</v>
      </c>
      <c r="BO191">
        <v>-2.8516119999999998</v>
      </c>
      <c r="BP191">
        <v>9.9243819999999996</v>
      </c>
      <c r="BQ191">
        <v>3.9986410000000001</v>
      </c>
      <c r="BR191">
        <v>1.1305000000000001</v>
      </c>
      <c r="BS191">
        <v>1.153</v>
      </c>
      <c r="BT191">
        <v>24.795898999999999</v>
      </c>
      <c r="BU191">
        <v>2.666506</v>
      </c>
      <c r="BV191">
        <v>-1.4526129999999999</v>
      </c>
      <c r="BW191">
        <v>1.174912</v>
      </c>
      <c r="BX191">
        <v>0.10753799999999999</v>
      </c>
      <c r="BY191">
        <v>-0.544763</v>
      </c>
      <c r="BZ191">
        <v>0.44061899999999998</v>
      </c>
      <c r="CA191">
        <v>-8.0629999999999993E-2</v>
      </c>
      <c r="CB191">
        <v>8.4000000000000005E-2</v>
      </c>
      <c r="CC191">
        <v>21.701218000000001</v>
      </c>
      <c r="CD191">
        <v>25.310199999999998</v>
      </c>
      <c r="CE191">
        <v>25.580749999999998</v>
      </c>
      <c r="CF191">
        <v>25.812000000000001</v>
      </c>
      <c r="CG191">
        <v>26.294001000000002</v>
      </c>
      <c r="CH191">
        <v>26.679001</v>
      </c>
      <c r="CI191">
        <v>27.062601000000001</v>
      </c>
      <c r="CJ191">
        <v>27.599701</v>
      </c>
      <c r="CK191">
        <v>27.85125</v>
      </c>
      <c r="CL191">
        <v>28.134599999999999</v>
      </c>
      <c r="CM191">
        <v>28.863299999999999</v>
      </c>
      <c r="CN191">
        <v>29.341598999999999</v>
      </c>
      <c r="CO191">
        <v>30.277038999999998</v>
      </c>
      <c r="CP191">
        <v>0.80692699999999995</v>
      </c>
      <c r="CQ191">
        <v>25.790969</v>
      </c>
      <c r="CR191">
        <v>26.193487000000001</v>
      </c>
      <c r="CS191">
        <v>1</v>
      </c>
      <c r="CT191">
        <v>45</v>
      </c>
      <c r="CU191">
        <v>14.941322</v>
      </c>
      <c r="CV191">
        <v>12.873016</v>
      </c>
      <c r="CW191">
        <v>7.331188</v>
      </c>
      <c r="CX191">
        <v>53.746324000000001</v>
      </c>
      <c r="CY191">
        <v>0.49066500000000002</v>
      </c>
      <c r="CZ191">
        <v>10</v>
      </c>
      <c r="DA191">
        <v>0.350165</v>
      </c>
      <c r="DB191">
        <v>3.070179</v>
      </c>
      <c r="DC191">
        <v>5.8465990000000003</v>
      </c>
      <c r="DD191">
        <v>14.941322</v>
      </c>
      <c r="DE191">
        <v>4.1317380000000004</v>
      </c>
      <c r="DF191">
        <v>0.204258</v>
      </c>
      <c r="DG191">
        <v>0.475883</v>
      </c>
      <c r="DH191">
        <v>0.27653100000000003</v>
      </c>
      <c r="DI191">
        <v>4.9436000000000001E-2</v>
      </c>
      <c r="DJ191">
        <v>0.115178</v>
      </c>
      <c r="DK191">
        <v>1</v>
      </c>
      <c r="DL191">
        <v>3</v>
      </c>
      <c r="DM191">
        <v>5.7000120000000001</v>
      </c>
      <c r="DN191">
        <v>8</v>
      </c>
      <c r="DO191">
        <v>10</v>
      </c>
      <c r="DP191">
        <v>11</v>
      </c>
      <c r="DQ191">
        <v>13</v>
      </c>
      <c r="DR191">
        <v>15</v>
      </c>
      <c r="DS191">
        <v>16</v>
      </c>
      <c r="DT191">
        <v>18</v>
      </c>
      <c r="DU191">
        <v>20</v>
      </c>
      <c r="DV191">
        <v>21</v>
      </c>
      <c r="DW191">
        <v>25</v>
      </c>
      <c r="DX191">
        <v>27</v>
      </c>
      <c r="DY191">
        <v>34</v>
      </c>
      <c r="DZ191">
        <v>93.668931000000001</v>
      </c>
      <c r="EA191">
        <v>93.668931000000001</v>
      </c>
      <c r="EB191">
        <v>93.668931000000001</v>
      </c>
      <c r="EC191">
        <v>3033</v>
      </c>
      <c r="ED191">
        <v>3033</v>
      </c>
      <c r="EE191">
        <v>85.948115999999999</v>
      </c>
      <c r="EF191">
        <v>58.647312999999997</v>
      </c>
      <c r="EG191">
        <v>85.948115999999999</v>
      </c>
      <c r="EH191">
        <v>58.647312999999997</v>
      </c>
      <c r="EI191">
        <v>85.948115999999999</v>
      </c>
      <c r="EJ191">
        <v>58.647312999999997</v>
      </c>
      <c r="EK191">
        <v>2783</v>
      </c>
      <c r="EL191">
        <v>1899</v>
      </c>
      <c r="EM191">
        <v>2783</v>
      </c>
      <c r="EN191">
        <v>1899</v>
      </c>
      <c r="EO191">
        <v>3238</v>
      </c>
      <c r="EP191">
        <v>3238</v>
      </c>
      <c r="EQ191">
        <v>80.893232999999995</v>
      </c>
    </row>
    <row r="192" spans="1:147" x14ac:dyDescent="0.25">
      <c r="A192">
        <v>2022</v>
      </c>
      <c r="B192" t="str">
        <f t="shared" si="4"/>
        <v>NE</v>
      </c>
      <c r="C192" t="s">
        <v>1110</v>
      </c>
      <c r="D192" t="s">
        <v>1110</v>
      </c>
      <c r="E192">
        <v>25308</v>
      </c>
      <c r="F192" t="s">
        <v>1111</v>
      </c>
      <c r="G192" t="s">
        <v>1112</v>
      </c>
      <c r="H192" t="s">
        <v>1113</v>
      </c>
      <c r="I192">
        <v>38.01</v>
      </c>
      <c r="J192">
        <v>38.01</v>
      </c>
      <c r="K192" t="s">
        <v>1098</v>
      </c>
      <c r="L192">
        <v>1</v>
      </c>
      <c r="M192">
        <v>2017</v>
      </c>
      <c r="N192">
        <v>3</v>
      </c>
      <c r="O192" t="str">
        <f t="shared" si="5"/>
        <v>Talhadia</v>
      </c>
      <c r="P192" s="2">
        <v>42782</v>
      </c>
      <c r="Q192" t="s">
        <v>174</v>
      </c>
      <c r="R192" t="s">
        <v>200</v>
      </c>
      <c r="S192" t="s">
        <v>154</v>
      </c>
      <c r="T192" t="s">
        <v>1098</v>
      </c>
      <c r="U192" t="s">
        <v>156</v>
      </c>
      <c r="V192" s="2">
        <v>44825</v>
      </c>
      <c r="W192" t="s">
        <v>1114</v>
      </c>
      <c r="X192">
        <v>153.02000000000001</v>
      </c>
      <c r="Y192">
        <v>21.5</v>
      </c>
      <c r="Z192">
        <v>13</v>
      </c>
      <c r="AA192">
        <v>15.8</v>
      </c>
      <c r="AB192">
        <v>2</v>
      </c>
      <c r="AC192">
        <v>339.7</v>
      </c>
      <c r="AD192">
        <v>330.79187870378399</v>
      </c>
      <c r="AE192" s="2">
        <v>44825</v>
      </c>
      <c r="AF192">
        <v>67</v>
      </c>
      <c r="AG192">
        <v>5.5934291581108804</v>
      </c>
      <c r="AH192">
        <v>19.7381236836978</v>
      </c>
      <c r="AI192">
        <v>14.4029411764706</v>
      </c>
      <c r="AJ192">
        <v>17.981904490663801</v>
      </c>
      <c r="AK192">
        <v>34</v>
      </c>
      <c r="AL192">
        <v>1027.8366002584401</v>
      </c>
      <c r="AM192">
        <v>169.45952565061501</v>
      </c>
      <c r="AN192">
        <v>0.16487010251240899</v>
      </c>
      <c r="AO192" t="s">
        <v>200</v>
      </c>
      <c r="AP192" t="s">
        <v>264</v>
      </c>
      <c r="AQ192" t="s">
        <v>1115</v>
      </c>
      <c r="AR192">
        <v>9</v>
      </c>
      <c r="AS192">
        <v>0.9250529402325971</v>
      </c>
      <c r="AT192" t="s">
        <v>1116</v>
      </c>
      <c r="AU192" t="s">
        <v>1117</v>
      </c>
      <c r="AV192">
        <v>10324</v>
      </c>
      <c r="AW192">
        <v>4828</v>
      </c>
      <c r="AX192">
        <v>3944</v>
      </c>
      <c r="AY192">
        <v>1394</v>
      </c>
      <c r="AZ192">
        <v>158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-0.79100000000000004</v>
      </c>
      <c r="BH192">
        <v>26.023001000000001</v>
      </c>
      <c r="BI192">
        <v>11.253216</v>
      </c>
      <c r="BJ192">
        <v>-0.36538100000000001</v>
      </c>
      <c r="BK192">
        <v>9.8022530000000003</v>
      </c>
      <c r="BL192">
        <v>96.084158000000002</v>
      </c>
      <c r="BM192">
        <v>0.871062</v>
      </c>
      <c r="BN192">
        <v>21.2715</v>
      </c>
      <c r="BO192">
        <v>-3.9819E-2</v>
      </c>
      <c r="BP192">
        <v>1.2991459999999999</v>
      </c>
      <c r="BQ192">
        <v>9.0372900000000005</v>
      </c>
      <c r="BR192">
        <v>11.079000000000001</v>
      </c>
      <c r="BS192">
        <v>12.191381</v>
      </c>
      <c r="BT192">
        <v>11.253216</v>
      </c>
      <c r="BU192">
        <v>5.4421650000000001</v>
      </c>
      <c r="BV192">
        <v>0.113563</v>
      </c>
      <c r="BW192">
        <v>-0.83982800000000002</v>
      </c>
      <c r="BX192">
        <v>0.48360999999999998</v>
      </c>
      <c r="BY192">
        <v>2.0867E-2</v>
      </c>
      <c r="BZ192">
        <v>-0.15431900000000001</v>
      </c>
      <c r="CA192">
        <v>-0.31777</v>
      </c>
      <c r="CB192">
        <v>-0.127</v>
      </c>
      <c r="CC192">
        <v>-6.4000000000000001E-2</v>
      </c>
      <c r="CD192">
        <v>2.1000000000000001E-2</v>
      </c>
      <c r="CE192">
        <v>6.0999999999999999E-2</v>
      </c>
      <c r="CF192">
        <v>0.111</v>
      </c>
      <c r="CG192">
        <v>6.4990059999999996</v>
      </c>
      <c r="CH192">
        <v>11.826000000000001</v>
      </c>
      <c r="CI192">
        <v>16.722798999999998</v>
      </c>
      <c r="CJ192">
        <v>20.562000000000001</v>
      </c>
      <c r="CK192">
        <v>21.3325</v>
      </c>
      <c r="CL192">
        <v>21.989401000000001</v>
      </c>
      <c r="CM192">
        <v>23.114000000000001</v>
      </c>
      <c r="CN192">
        <v>23.915400000000002</v>
      </c>
      <c r="CO192">
        <v>25.093769000000002</v>
      </c>
      <c r="CP192">
        <v>0.44917600000000002</v>
      </c>
      <c r="CQ192">
        <v>14.923462000000001</v>
      </c>
      <c r="CR192">
        <v>16.668310000000002</v>
      </c>
      <c r="CS192">
        <v>1</v>
      </c>
      <c r="CT192">
        <v>78</v>
      </c>
      <c r="CU192">
        <v>19.777121000000001</v>
      </c>
      <c r="CV192">
        <v>5.8888889999999998</v>
      </c>
      <c r="CW192">
        <v>13.501526</v>
      </c>
      <c r="CX192">
        <v>182.29121000000001</v>
      </c>
      <c r="CY192">
        <v>0.68268399999999996</v>
      </c>
      <c r="CZ192">
        <v>21</v>
      </c>
      <c r="DA192">
        <v>0.71511199999999997</v>
      </c>
      <c r="DB192">
        <v>3.147329</v>
      </c>
      <c r="DC192">
        <v>11.194808999999999</v>
      </c>
      <c r="DD192">
        <v>19.777121000000001</v>
      </c>
      <c r="DE192">
        <v>7.5565519999999999</v>
      </c>
      <c r="DF192">
        <v>1.0967739999999999</v>
      </c>
      <c r="DG192">
        <v>0.44392599999999999</v>
      </c>
      <c r="DH192">
        <v>0.38208599999999998</v>
      </c>
      <c r="DI192">
        <v>0.14514199999999999</v>
      </c>
      <c r="DJ192">
        <v>5.8747000000000001E-2</v>
      </c>
      <c r="DK192">
        <v>1</v>
      </c>
      <c r="DL192">
        <v>2</v>
      </c>
      <c r="DM192">
        <v>4</v>
      </c>
      <c r="DN192">
        <v>7</v>
      </c>
      <c r="DO192">
        <v>9</v>
      </c>
      <c r="DP192">
        <v>10</v>
      </c>
      <c r="DQ192">
        <v>14</v>
      </c>
      <c r="DR192">
        <v>18</v>
      </c>
      <c r="DS192">
        <v>22</v>
      </c>
      <c r="DT192">
        <v>27</v>
      </c>
      <c r="DU192">
        <v>30</v>
      </c>
      <c r="DV192">
        <v>32</v>
      </c>
      <c r="DW192">
        <v>38</v>
      </c>
      <c r="DX192">
        <v>43</v>
      </c>
      <c r="DY192">
        <v>58</v>
      </c>
      <c r="DZ192">
        <v>97.348799</v>
      </c>
      <c r="EA192">
        <v>61.487794999999998</v>
      </c>
      <c r="EB192">
        <v>131.48301599999999</v>
      </c>
      <c r="EC192">
        <v>4700</v>
      </c>
      <c r="ED192">
        <v>6348</v>
      </c>
      <c r="EE192">
        <v>93.496272000000005</v>
      </c>
      <c r="EF192">
        <v>100</v>
      </c>
      <c r="EG192">
        <v>52.402169999999998</v>
      </c>
      <c r="EH192">
        <v>99.341341</v>
      </c>
      <c r="EI192">
        <v>112.054681</v>
      </c>
      <c r="EJ192">
        <v>212.42750599999999</v>
      </c>
      <c r="EK192">
        <v>4514</v>
      </c>
      <c r="EL192">
        <v>4828</v>
      </c>
      <c r="EM192">
        <v>5410</v>
      </c>
      <c r="EN192">
        <v>10256</v>
      </c>
      <c r="EO192">
        <v>4828</v>
      </c>
      <c r="EP192">
        <v>10324</v>
      </c>
      <c r="EQ192">
        <v>43.899841000000002</v>
      </c>
    </row>
    <row r="193" spans="1:147" x14ac:dyDescent="0.25">
      <c r="A193">
        <v>2022</v>
      </c>
      <c r="B193" t="str">
        <f t="shared" si="4"/>
        <v>NE</v>
      </c>
      <c r="C193" t="s">
        <v>1118</v>
      </c>
      <c r="D193" t="s">
        <v>1118</v>
      </c>
      <c r="E193">
        <v>25312</v>
      </c>
      <c r="F193" t="s">
        <v>1119</v>
      </c>
      <c r="G193" t="s">
        <v>1112</v>
      </c>
      <c r="H193" t="s">
        <v>1120</v>
      </c>
      <c r="I193">
        <v>24.85</v>
      </c>
      <c r="J193">
        <v>24.85</v>
      </c>
      <c r="K193" t="s">
        <v>1098</v>
      </c>
      <c r="L193">
        <v>1</v>
      </c>
      <c r="M193">
        <v>2017</v>
      </c>
      <c r="N193">
        <v>4</v>
      </c>
      <c r="O193" t="str">
        <f t="shared" si="5"/>
        <v>Alto fuste</v>
      </c>
      <c r="P193" s="2">
        <v>42914</v>
      </c>
      <c r="Q193" t="s">
        <v>174</v>
      </c>
      <c r="R193" t="s">
        <v>695</v>
      </c>
      <c r="S193" t="s">
        <v>154</v>
      </c>
      <c r="T193" t="s">
        <v>1098</v>
      </c>
      <c r="U193" t="s">
        <v>156</v>
      </c>
      <c r="V193" s="2">
        <v>44825</v>
      </c>
      <c r="W193" t="s">
        <v>1114</v>
      </c>
      <c r="X193">
        <v>188.55</v>
      </c>
      <c r="Y193">
        <v>19</v>
      </c>
      <c r="Z193">
        <v>10</v>
      </c>
      <c r="AA193">
        <v>15.5</v>
      </c>
      <c r="AB193">
        <v>1</v>
      </c>
      <c r="AC193">
        <v>294.5</v>
      </c>
      <c r="AD193">
        <v>289.98171091530298</v>
      </c>
      <c r="AE193" s="2">
        <v>44825</v>
      </c>
      <c r="AF193">
        <v>63</v>
      </c>
      <c r="AG193">
        <v>5.2320328542094501</v>
      </c>
      <c r="AH193">
        <v>23.522526415055399</v>
      </c>
      <c r="AI193">
        <v>15.509090909090901</v>
      </c>
      <c r="AJ193">
        <v>22.475883818003499</v>
      </c>
      <c r="AK193">
        <v>33</v>
      </c>
      <c r="AL193">
        <v>1138.00280355055</v>
      </c>
      <c r="AM193">
        <v>238.850372550288</v>
      </c>
      <c r="AN193">
        <v>0.20988557480269701</v>
      </c>
      <c r="AO193" t="s">
        <v>695</v>
      </c>
      <c r="AP193" t="s">
        <v>158</v>
      </c>
      <c r="AQ193" t="s">
        <v>1121</v>
      </c>
      <c r="AR193">
        <v>9</v>
      </c>
      <c r="AS193">
        <v>1.024202523195495</v>
      </c>
      <c r="AT193" t="s">
        <v>1122</v>
      </c>
      <c r="AU193" t="s">
        <v>1123</v>
      </c>
      <c r="AV193">
        <v>3483</v>
      </c>
      <c r="AW193">
        <v>1926</v>
      </c>
      <c r="AX193">
        <v>1311</v>
      </c>
      <c r="AY193">
        <v>227</v>
      </c>
      <c r="AZ193">
        <v>19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-0.71499999999999997</v>
      </c>
      <c r="BH193">
        <v>28.960999999999999</v>
      </c>
      <c r="BI193">
        <v>10.693956</v>
      </c>
      <c r="BJ193">
        <v>-0.243952</v>
      </c>
      <c r="BK193">
        <v>11.570714000000001</v>
      </c>
      <c r="BL193">
        <v>133.881415</v>
      </c>
      <c r="BM193">
        <v>1.0819859999999999</v>
      </c>
      <c r="BN193">
        <v>24.088000000000001</v>
      </c>
      <c r="BO193">
        <v>0.29880600000000002</v>
      </c>
      <c r="BP193">
        <v>1.2387159999999999</v>
      </c>
      <c r="BQ193">
        <v>11.054311999999999</v>
      </c>
      <c r="BR193">
        <v>0.97699999999999998</v>
      </c>
      <c r="BS193">
        <v>0.69395200000000001</v>
      </c>
      <c r="BT193">
        <v>10.693956</v>
      </c>
      <c r="BU193">
        <v>6.1532090000000004</v>
      </c>
      <c r="BV193">
        <v>1.012966</v>
      </c>
      <c r="BW193">
        <v>-1.075966</v>
      </c>
      <c r="BX193">
        <v>0.57539099999999999</v>
      </c>
      <c r="BY193">
        <v>0.16462399999999999</v>
      </c>
      <c r="BZ193">
        <v>-0.17486299999999999</v>
      </c>
      <c r="CA193">
        <v>-0.24035999999999999</v>
      </c>
      <c r="CB193">
        <v>-0.12690000000000001</v>
      </c>
      <c r="CC193">
        <v>-8.3000000000000004E-2</v>
      </c>
      <c r="CD193">
        <v>-2.1999999999999999E-2</v>
      </c>
      <c r="CE193">
        <v>3.0000000000000001E-3</v>
      </c>
      <c r="CF193">
        <v>0.03</v>
      </c>
      <c r="CG193">
        <v>0.09</v>
      </c>
      <c r="CH193">
        <v>0.45</v>
      </c>
      <c r="CI193">
        <v>15.803597999999999</v>
      </c>
      <c r="CJ193">
        <v>23.3566</v>
      </c>
      <c r="CK193">
        <v>24.091000000000001</v>
      </c>
      <c r="CL193">
        <v>24.697001</v>
      </c>
      <c r="CM193">
        <v>25.742598999999998</v>
      </c>
      <c r="CN193">
        <v>26.521398999999999</v>
      </c>
      <c r="CO193">
        <v>27.794699000000001</v>
      </c>
      <c r="CP193">
        <v>0.38445099999999999</v>
      </c>
      <c r="CQ193">
        <v>15.754481</v>
      </c>
      <c r="CR193">
        <v>18.150634</v>
      </c>
      <c r="CS193">
        <v>1</v>
      </c>
      <c r="CT193">
        <v>94</v>
      </c>
      <c r="CU193">
        <v>31.782945999999999</v>
      </c>
      <c r="CV193">
        <v>1</v>
      </c>
      <c r="CW193">
        <v>23.443529000000002</v>
      </c>
      <c r="CX193">
        <v>549.59905400000002</v>
      </c>
      <c r="CY193">
        <v>0.73761299999999996</v>
      </c>
      <c r="CZ193">
        <v>42</v>
      </c>
      <c r="DA193">
        <v>0.38189499999999998</v>
      </c>
      <c r="DB193">
        <v>1.8845289999999999</v>
      </c>
      <c r="DC193">
        <v>20.468108000000001</v>
      </c>
      <c r="DD193">
        <v>31.782945999999999</v>
      </c>
      <c r="DE193">
        <v>13.374320000000001</v>
      </c>
      <c r="DF193">
        <v>1.556047</v>
      </c>
      <c r="DG193">
        <v>-0.17765300000000001</v>
      </c>
      <c r="DH193">
        <v>0.42080200000000001</v>
      </c>
      <c r="DI193">
        <v>0.116346</v>
      </c>
      <c r="DJ193">
        <v>-1.3283E-2</v>
      </c>
      <c r="DK193">
        <v>1</v>
      </c>
      <c r="DL193">
        <v>2</v>
      </c>
      <c r="DM193">
        <v>3</v>
      </c>
      <c r="DN193">
        <v>8</v>
      </c>
      <c r="DO193">
        <v>10</v>
      </c>
      <c r="DP193">
        <v>13</v>
      </c>
      <c r="DQ193">
        <v>20</v>
      </c>
      <c r="DR193">
        <v>28</v>
      </c>
      <c r="DS193">
        <v>37</v>
      </c>
      <c r="DT193">
        <v>47</v>
      </c>
      <c r="DU193">
        <v>52</v>
      </c>
      <c r="DV193">
        <v>57</v>
      </c>
      <c r="DW193">
        <v>66</v>
      </c>
      <c r="DX193">
        <v>71</v>
      </c>
      <c r="DY193">
        <v>81</v>
      </c>
      <c r="DZ193">
        <v>77.102804000000006</v>
      </c>
      <c r="EA193">
        <v>49.899512000000001</v>
      </c>
      <c r="EB193">
        <v>90.238837000000004</v>
      </c>
      <c r="EC193">
        <v>1485</v>
      </c>
      <c r="ED193">
        <v>1738</v>
      </c>
      <c r="EE193">
        <v>73.779854999999998</v>
      </c>
      <c r="EF193">
        <v>100</v>
      </c>
      <c r="EG193">
        <v>44.616709999999998</v>
      </c>
      <c r="EH193">
        <v>99.023830000000004</v>
      </c>
      <c r="EI193">
        <v>80.685357999999994</v>
      </c>
      <c r="EJ193">
        <v>179.075805</v>
      </c>
      <c r="EK193">
        <v>1421</v>
      </c>
      <c r="EL193">
        <v>1926</v>
      </c>
      <c r="EM193">
        <v>1554</v>
      </c>
      <c r="EN193">
        <v>3449</v>
      </c>
      <c r="EO193">
        <v>1926</v>
      </c>
      <c r="EP193">
        <v>3483</v>
      </c>
      <c r="EQ193">
        <v>37.481389</v>
      </c>
    </row>
    <row r="194" spans="1:147" x14ac:dyDescent="0.25">
      <c r="A194">
        <v>2022</v>
      </c>
      <c r="B194" t="str">
        <f t="shared" si="4"/>
        <v>NE</v>
      </c>
      <c r="C194" t="s">
        <v>1124</v>
      </c>
      <c r="D194" t="s">
        <v>1124</v>
      </c>
      <c r="E194">
        <v>25317</v>
      </c>
      <c r="F194" t="s">
        <v>1119</v>
      </c>
      <c r="G194" t="s">
        <v>1112</v>
      </c>
      <c r="H194" t="s">
        <v>1125</v>
      </c>
      <c r="I194">
        <v>45.63</v>
      </c>
      <c r="J194">
        <v>45.63</v>
      </c>
      <c r="K194" t="s">
        <v>1098</v>
      </c>
      <c r="L194">
        <v>1</v>
      </c>
      <c r="M194">
        <v>2017</v>
      </c>
      <c r="N194">
        <v>4</v>
      </c>
      <c r="O194" t="str">
        <f t="shared" si="5"/>
        <v>Alto fuste</v>
      </c>
      <c r="P194" s="2">
        <v>42921</v>
      </c>
      <c r="Q194" t="s">
        <v>174</v>
      </c>
      <c r="R194" t="s">
        <v>314</v>
      </c>
      <c r="S194" t="s">
        <v>154</v>
      </c>
      <c r="T194" t="s">
        <v>1098</v>
      </c>
      <c r="U194" t="s">
        <v>156</v>
      </c>
      <c r="V194" s="2">
        <v>44824</v>
      </c>
      <c r="W194" t="s">
        <v>1114</v>
      </c>
      <c r="X194">
        <v>188.55</v>
      </c>
      <c r="Y194">
        <v>20.3</v>
      </c>
      <c r="Z194">
        <v>17</v>
      </c>
      <c r="AA194">
        <v>15.4</v>
      </c>
      <c r="AB194">
        <v>2</v>
      </c>
      <c r="AC194">
        <v>312.62</v>
      </c>
      <c r="AD194">
        <v>298.77787445917301</v>
      </c>
      <c r="AE194" s="2">
        <v>44824</v>
      </c>
      <c r="AF194">
        <v>62</v>
      </c>
      <c r="AG194">
        <v>5.21013004791239</v>
      </c>
      <c r="AH194">
        <v>24.786279578160698</v>
      </c>
      <c r="AI194">
        <v>16.573076923076901</v>
      </c>
      <c r="AJ194">
        <v>19.285082026984501</v>
      </c>
      <c r="AK194">
        <v>26</v>
      </c>
      <c r="AL194">
        <v>870.21169312029394</v>
      </c>
      <c r="AM194">
        <v>210.7664187577</v>
      </c>
      <c r="AN194">
        <v>0.242201317706915</v>
      </c>
      <c r="AO194" t="s">
        <v>314</v>
      </c>
      <c r="AP194" t="s">
        <v>158</v>
      </c>
      <c r="AQ194" t="s">
        <v>1126</v>
      </c>
      <c r="AR194">
        <v>9</v>
      </c>
      <c r="AS194">
        <v>0.78319052380826581</v>
      </c>
      <c r="AT194" t="s">
        <v>1127</v>
      </c>
      <c r="AU194" t="s">
        <v>1128</v>
      </c>
      <c r="AV194">
        <v>3196</v>
      </c>
      <c r="AW194">
        <v>1596</v>
      </c>
      <c r="AX194">
        <v>1313</v>
      </c>
      <c r="AY194">
        <v>272</v>
      </c>
      <c r="AZ194">
        <v>15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-0.77300000000000002</v>
      </c>
      <c r="BH194">
        <v>29.537001</v>
      </c>
      <c r="BI194">
        <v>13.529244</v>
      </c>
      <c r="BJ194">
        <v>-0.29188900000000001</v>
      </c>
      <c r="BK194">
        <v>12.308293000000001</v>
      </c>
      <c r="BL194">
        <v>151.49407500000001</v>
      </c>
      <c r="BM194">
        <v>0.90975499999999998</v>
      </c>
      <c r="BN194">
        <v>26.034251000000001</v>
      </c>
      <c r="BO194">
        <v>-5.0106999999999999E-2</v>
      </c>
      <c r="BP194">
        <v>1.155383</v>
      </c>
      <c r="BQ194">
        <v>11.773652999999999</v>
      </c>
      <c r="BR194">
        <v>12.1485</v>
      </c>
      <c r="BS194">
        <v>15.639389</v>
      </c>
      <c r="BT194">
        <v>13.529244</v>
      </c>
      <c r="BU194">
        <v>6.6435089999999999</v>
      </c>
      <c r="BV194">
        <v>3.2368000000000001E-2</v>
      </c>
      <c r="BW194">
        <v>-1.3264210000000001</v>
      </c>
      <c r="BX194">
        <v>0.49104799999999998</v>
      </c>
      <c r="BY194">
        <v>4.8719999999999996E-3</v>
      </c>
      <c r="BZ194">
        <v>-0.199657</v>
      </c>
      <c r="CA194">
        <v>-0.35304999999999997</v>
      </c>
      <c r="CB194">
        <v>-0.14899999999999999</v>
      </c>
      <c r="CC194">
        <v>-8.8999999999999996E-2</v>
      </c>
      <c r="CD194">
        <v>1E-3</v>
      </c>
      <c r="CE194">
        <v>4.1000000000000002E-2</v>
      </c>
      <c r="CF194">
        <v>8.3000000000000004E-2</v>
      </c>
      <c r="CG194">
        <v>0.245</v>
      </c>
      <c r="CH194">
        <v>15.3475</v>
      </c>
      <c r="CI194">
        <v>24.492000999999998</v>
      </c>
      <c r="CJ194">
        <v>25.598499</v>
      </c>
      <c r="CK194">
        <v>26.075251000000002</v>
      </c>
      <c r="CL194">
        <v>26.492999999999999</v>
      </c>
      <c r="CM194">
        <v>27.287497999999999</v>
      </c>
      <c r="CN194">
        <v>27.999749999999999</v>
      </c>
      <c r="CO194">
        <v>28.753252</v>
      </c>
      <c r="CP194">
        <v>0.47186600000000001</v>
      </c>
      <c r="CQ194">
        <v>18.288989000000001</v>
      </c>
      <c r="CR194">
        <v>20.43215</v>
      </c>
      <c r="CS194">
        <v>1</v>
      </c>
      <c r="CT194">
        <v>82</v>
      </c>
      <c r="CU194">
        <v>26.08229</v>
      </c>
      <c r="CV194">
        <v>1</v>
      </c>
      <c r="CW194">
        <v>17.965828999999999</v>
      </c>
      <c r="CX194">
        <v>322.771004</v>
      </c>
      <c r="CY194">
        <v>0.68881300000000001</v>
      </c>
      <c r="CZ194">
        <v>29</v>
      </c>
      <c r="DA194">
        <v>0.58427200000000001</v>
      </c>
      <c r="DB194">
        <v>2.7065920000000001</v>
      </c>
      <c r="DC194">
        <v>14.976772</v>
      </c>
      <c r="DD194">
        <v>26.08229</v>
      </c>
      <c r="DE194">
        <v>10.131169</v>
      </c>
      <c r="DF194">
        <v>1.2728569999999999</v>
      </c>
      <c r="DG194">
        <v>0.55232700000000001</v>
      </c>
      <c r="DH194">
        <v>0.38843100000000003</v>
      </c>
      <c r="DI194">
        <v>0.125638</v>
      </c>
      <c r="DJ194">
        <v>5.4517999999999997E-2</v>
      </c>
      <c r="DK194">
        <v>1</v>
      </c>
      <c r="DL194">
        <v>2</v>
      </c>
      <c r="DM194">
        <v>4</v>
      </c>
      <c r="DN194">
        <v>8</v>
      </c>
      <c r="DO194">
        <v>10</v>
      </c>
      <c r="DP194">
        <v>13</v>
      </c>
      <c r="DQ194">
        <v>18</v>
      </c>
      <c r="DR194">
        <v>24</v>
      </c>
      <c r="DS194">
        <v>30</v>
      </c>
      <c r="DT194">
        <v>36</v>
      </c>
      <c r="DU194">
        <v>39</v>
      </c>
      <c r="DV194">
        <v>41</v>
      </c>
      <c r="DW194">
        <v>49.5</v>
      </c>
      <c r="DX194">
        <v>60</v>
      </c>
      <c r="DY194">
        <v>73.050049000000001</v>
      </c>
      <c r="DZ194">
        <v>94.172932000000003</v>
      </c>
      <c r="EA194">
        <v>58.166457999999999</v>
      </c>
      <c r="EB194">
        <v>116.478697</v>
      </c>
      <c r="EC194">
        <v>1503</v>
      </c>
      <c r="ED194">
        <v>1859</v>
      </c>
      <c r="EE194">
        <v>92.794486000000006</v>
      </c>
      <c r="EF194">
        <v>100</v>
      </c>
      <c r="EG194">
        <v>52.252816000000003</v>
      </c>
      <c r="EH194">
        <v>98.623278999999997</v>
      </c>
      <c r="EI194">
        <v>104.636591</v>
      </c>
      <c r="EJ194">
        <v>197.49373399999999</v>
      </c>
      <c r="EK194">
        <v>1481</v>
      </c>
      <c r="EL194">
        <v>1596</v>
      </c>
      <c r="EM194">
        <v>1670</v>
      </c>
      <c r="EN194">
        <v>3152</v>
      </c>
      <c r="EO194">
        <v>1596</v>
      </c>
      <c r="EP194">
        <v>3196</v>
      </c>
      <c r="EQ194">
        <v>46.167608000000001</v>
      </c>
    </row>
    <row r="195" spans="1:147" x14ac:dyDescent="0.25">
      <c r="A195">
        <v>2022</v>
      </c>
      <c r="B195" t="str">
        <f t="shared" ref="B195:B258" si="6">LEFT(C195,2)</f>
        <v>NE</v>
      </c>
      <c r="C195" t="s">
        <v>1129</v>
      </c>
      <c r="D195" t="s">
        <v>1129</v>
      </c>
      <c r="E195">
        <v>25318</v>
      </c>
      <c r="F195" t="s">
        <v>1119</v>
      </c>
      <c r="G195" t="s">
        <v>1112</v>
      </c>
      <c r="H195" t="s">
        <v>1125</v>
      </c>
      <c r="I195">
        <v>45.63</v>
      </c>
      <c r="J195">
        <v>45.63</v>
      </c>
      <c r="K195" t="s">
        <v>1098</v>
      </c>
      <c r="L195">
        <v>1</v>
      </c>
      <c r="M195">
        <v>2017</v>
      </c>
      <c r="N195">
        <v>4</v>
      </c>
      <c r="O195" t="str">
        <f t="shared" ref="O195:O258" si="7">IF(MID(F195,12,1)="R","Talhadia","Alto fuste")</f>
        <v>Alto fuste</v>
      </c>
      <c r="P195" s="2">
        <v>42921</v>
      </c>
      <c r="Q195" t="s">
        <v>174</v>
      </c>
      <c r="R195" t="s">
        <v>314</v>
      </c>
      <c r="S195" t="s">
        <v>154</v>
      </c>
      <c r="T195" t="s">
        <v>1098</v>
      </c>
      <c r="U195" t="s">
        <v>156</v>
      </c>
      <c r="V195" s="2">
        <v>44824</v>
      </c>
      <c r="W195" t="s">
        <v>1114</v>
      </c>
      <c r="X195">
        <v>188.55</v>
      </c>
      <c r="Y195">
        <v>21.3</v>
      </c>
      <c r="Z195">
        <v>18</v>
      </c>
      <c r="AA195">
        <v>15.5</v>
      </c>
      <c r="AB195">
        <v>2</v>
      </c>
      <c r="AC195">
        <v>330.15</v>
      </c>
      <c r="AD195">
        <v>313.80003383325197</v>
      </c>
      <c r="AE195" s="2">
        <v>44824</v>
      </c>
      <c r="AF195">
        <v>62</v>
      </c>
      <c r="AG195">
        <v>5.21013004791239</v>
      </c>
      <c r="AH195">
        <v>23.9579946837828</v>
      </c>
      <c r="AI195">
        <v>16.393750000000001</v>
      </c>
      <c r="AJ195">
        <v>22.4324007681338</v>
      </c>
      <c r="AK195">
        <v>32</v>
      </c>
      <c r="AL195">
        <v>1019.7576975726</v>
      </c>
      <c r="AM195">
        <v>241.426458960264</v>
      </c>
      <c r="AN195">
        <v>0.23674884684366601</v>
      </c>
      <c r="AO195" t="s">
        <v>314</v>
      </c>
      <c r="AP195" t="s">
        <v>158</v>
      </c>
      <c r="AQ195" t="s">
        <v>1126</v>
      </c>
      <c r="AR195">
        <v>9</v>
      </c>
      <c r="AS195">
        <v>0.91778192781533707</v>
      </c>
      <c r="AT195" t="s">
        <v>1130</v>
      </c>
      <c r="AU195" t="s">
        <v>1131</v>
      </c>
      <c r="AV195">
        <v>2587</v>
      </c>
      <c r="AW195">
        <v>1352</v>
      </c>
      <c r="AX195">
        <v>1045</v>
      </c>
      <c r="AY195">
        <v>173</v>
      </c>
      <c r="AZ195">
        <v>17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-0.74299999999999999</v>
      </c>
      <c r="BH195">
        <v>29.558001000000001</v>
      </c>
      <c r="BI195">
        <v>13.874703999999999</v>
      </c>
      <c r="BJ195">
        <v>-0.26203199999999999</v>
      </c>
      <c r="BK195">
        <v>12.556293999999999</v>
      </c>
      <c r="BL195">
        <v>157.66052400000001</v>
      </c>
      <c r="BM195">
        <v>0.90497700000000003</v>
      </c>
      <c r="BN195">
        <v>26.284998999999999</v>
      </c>
      <c r="BO195">
        <v>-9.1514999999999999E-2</v>
      </c>
      <c r="BP195">
        <v>1.129281</v>
      </c>
      <c r="BQ195">
        <v>12.136308</v>
      </c>
      <c r="BR195">
        <v>10.211</v>
      </c>
      <c r="BS195">
        <v>17.998031999999998</v>
      </c>
      <c r="BT195">
        <v>13.874703999999999</v>
      </c>
      <c r="BU195">
        <v>6.7172400000000003</v>
      </c>
      <c r="BV195">
        <v>-8.4566000000000002E-2</v>
      </c>
      <c r="BW195">
        <v>-1.381983</v>
      </c>
      <c r="BX195">
        <v>0.48413600000000001</v>
      </c>
      <c r="BY195">
        <v>-1.2588999999999999E-2</v>
      </c>
      <c r="BZ195">
        <v>-0.205737</v>
      </c>
      <c r="CA195">
        <v>-0.32128000000000001</v>
      </c>
      <c r="CB195">
        <v>-0.12909999999999999</v>
      </c>
      <c r="CC195">
        <v>-6.9400000000000003E-2</v>
      </c>
      <c r="CD195">
        <v>5.1999999999999998E-3</v>
      </c>
      <c r="CE195">
        <v>3.9E-2</v>
      </c>
      <c r="CF195">
        <v>7.4800000000000005E-2</v>
      </c>
      <c r="CG195">
        <v>0.19139999999999999</v>
      </c>
      <c r="CH195">
        <v>17.736000000000001</v>
      </c>
      <c r="CI195">
        <v>25.053599999999999</v>
      </c>
      <c r="CJ195">
        <v>25.963799000000002</v>
      </c>
      <c r="CK195">
        <v>26.323999000000001</v>
      </c>
      <c r="CL195">
        <v>26.659200999999999</v>
      </c>
      <c r="CM195">
        <v>27.586400999999999</v>
      </c>
      <c r="CN195">
        <v>28.131398999999998</v>
      </c>
      <c r="CO195">
        <v>28.809657999999999</v>
      </c>
      <c r="CP195">
        <v>0.48241699999999998</v>
      </c>
      <c r="CQ195">
        <v>18.711145999999999</v>
      </c>
      <c r="CR195">
        <v>20.839151000000001</v>
      </c>
      <c r="CS195">
        <v>1</v>
      </c>
      <c r="CT195">
        <v>83</v>
      </c>
      <c r="CU195">
        <v>25.031697000000001</v>
      </c>
      <c r="CV195">
        <v>1</v>
      </c>
      <c r="CW195">
        <v>17.140443999999999</v>
      </c>
      <c r="CX195">
        <v>293.79481900000002</v>
      </c>
      <c r="CY195">
        <v>0.68474999999999997</v>
      </c>
      <c r="CZ195">
        <v>26</v>
      </c>
      <c r="DA195">
        <v>0.54380399999999995</v>
      </c>
      <c r="DB195">
        <v>2.5495070000000002</v>
      </c>
      <c r="DC195">
        <v>14.269524000000001</v>
      </c>
      <c r="DD195">
        <v>25.031697000000001</v>
      </c>
      <c r="DE195">
        <v>9.7008150000000004</v>
      </c>
      <c r="DF195">
        <v>1.205859</v>
      </c>
      <c r="DG195">
        <v>0.54140299999999997</v>
      </c>
      <c r="DH195">
        <v>0.38754100000000002</v>
      </c>
      <c r="DI195">
        <v>0.124305</v>
      </c>
      <c r="DJ195">
        <v>5.5809999999999998E-2</v>
      </c>
      <c r="DK195">
        <v>1</v>
      </c>
      <c r="DL195">
        <v>2</v>
      </c>
      <c r="DM195">
        <v>4</v>
      </c>
      <c r="DN195">
        <v>8</v>
      </c>
      <c r="DO195">
        <v>11</v>
      </c>
      <c r="DP195">
        <v>13</v>
      </c>
      <c r="DQ195">
        <v>18</v>
      </c>
      <c r="DR195">
        <v>23</v>
      </c>
      <c r="DS195">
        <v>28</v>
      </c>
      <c r="DT195">
        <v>34</v>
      </c>
      <c r="DU195">
        <v>37</v>
      </c>
      <c r="DV195">
        <v>40</v>
      </c>
      <c r="DW195">
        <v>49</v>
      </c>
      <c r="DX195">
        <v>57</v>
      </c>
      <c r="DY195">
        <v>68</v>
      </c>
      <c r="DZ195">
        <v>92.825444000000005</v>
      </c>
      <c r="EA195">
        <v>57.711635000000001</v>
      </c>
      <c r="EB195">
        <v>110.428994</v>
      </c>
      <c r="EC195">
        <v>1255</v>
      </c>
      <c r="ED195">
        <v>1493</v>
      </c>
      <c r="EE195">
        <v>90.162722000000002</v>
      </c>
      <c r="EF195">
        <v>100</v>
      </c>
      <c r="EG195">
        <v>52.531889999999997</v>
      </c>
      <c r="EH195">
        <v>98.453806999999998</v>
      </c>
      <c r="EI195">
        <v>100.517751</v>
      </c>
      <c r="EJ195">
        <v>188.387574</v>
      </c>
      <c r="EK195">
        <v>1219</v>
      </c>
      <c r="EL195">
        <v>1352</v>
      </c>
      <c r="EM195">
        <v>1359</v>
      </c>
      <c r="EN195">
        <v>2547</v>
      </c>
      <c r="EO195">
        <v>1352</v>
      </c>
      <c r="EP195">
        <v>2587</v>
      </c>
      <c r="EQ195">
        <v>47.180790000000002</v>
      </c>
    </row>
    <row r="196" spans="1:147" x14ac:dyDescent="0.25">
      <c r="A196">
        <v>2022</v>
      </c>
      <c r="B196" t="str">
        <f t="shared" si="6"/>
        <v>NE</v>
      </c>
      <c r="C196" t="s">
        <v>1132</v>
      </c>
      <c r="D196" t="s">
        <v>1132</v>
      </c>
      <c r="E196">
        <v>25319</v>
      </c>
      <c r="F196" t="s">
        <v>1111</v>
      </c>
      <c r="G196" t="s">
        <v>1112</v>
      </c>
      <c r="H196" t="s">
        <v>1133</v>
      </c>
      <c r="I196">
        <v>42.8</v>
      </c>
      <c r="J196">
        <v>42.8</v>
      </c>
      <c r="K196" t="s">
        <v>1098</v>
      </c>
      <c r="L196">
        <v>1</v>
      </c>
      <c r="M196">
        <v>2017</v>
      </c>
      <c r="N196">
        <v>3</v>
      </c>
      <c r="O196" t="str">
        <f t="shared" si="7"/>
        <v>Talhadia</v>
      </c>
      <c r="P196" s="2">
        <v>42801</v>
      </c>
      <c r="Q196" t="s">
        <v>322</v>
      </c>
      <c r="R196" t="s">
        <v>165</v>
      </c>
      <c r="S196" t="s">
        <v>154</v>
      </c>
      <c r="T196" t="s">
        <v>1098</v>
      </c>
      <c r="U196" t="s">
        <v>156</v>
      </c>
      <c r="V196" s="2">
        <v>44824</v>
      </c>
      <c r="W196" t="s">
        <v>1114</v>
      </c>
      <c r="X196">
        <v>153.02000000000001</v>
      </c>
      <c r="Y196">
        <v>20</v>
      </c>
      <c r="Z196">
        <v>20</v>
      </c>
      <c r="AA196">
        <v>14</v>
      </c>
      <c r="AB196">
        <v>2</v>
      </c>
      <c r="AC196">
        <v>280</v>
      </c>
      <c r="AD196">
        <v>262.95365192067197</v>
      </c>
      <c r="AE196" s="2">
        <v>44824</v>
      </c>
      <c r="AF196">
        <v>66</v>
      </c>
      <c r="AG196">
        <v>5.5386721423682399</v>
      </c>
      <c r="AH196">
        <v>27.183808244330699</v>
      </c>
      <c r="AI196">
        <v>19.3318181818182</v>
      </c>
      <c r="AJ196">
        <v>25.581342779522998</v>
      </c>
      <c r="AK196">
        <v>22</v>
      </c>
      <c r="AL196">
        <v>836.64934254790205</v>
      </c>
      <c r="AM196">
        <v>320.66042978400498</v>
      </c>
      <c r="AN196">
        <v>0.383267413809802</v>
      </c>
      <c r="AO196" t="s">
        <v>165</v>
      </c>
      <c r="AP196" t="s">
        <v>264</v>
      </c>
      <c r="AQ196" t="s">
        <v>1126</v>
      </c>
      <c r="AR196">
        <v>9.99</v>
      </c>
      <c r="AS196">
        <v>0.8358126932053539</v>
      </c>
      <c r="AT196" t="s">
        <v>1134</v>
      </c>
      <c r="AU196" t="s">
        <v>1135</v>
      </c>
      <c r="AV196">
        <v>2037</v>
      </c>
      <c r="AW196">
        <v>1095</v>
      </c>
      <c r="AX196">
        <v>767</v>
      </c>
      <c r="AY196">
        <v>157</v>
      </c>
      <c r="AZ196">
        <v>18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-0.68</v>
      </c>
      <c r="BH196">
        <v>32.407001000000001</v>
      </c>
      <c r="BI196">
        <v>14.20093</v>
      </c>
      <c r="BJ196">
        <v>-0.15481</v>
      </c>
      <c r="BK196">
        <v>12.981443000000001</v>
      </c>
      <c r="BL196">
        <v>168.51785000000001</v>
      </c>
      <c r="BM196">
        <v>0.91412599999999999</v>
      </c>
      <c r="BN196">
        <v>27.745000999999998</v>
      </c>
      <c r="BO196">
        <v>-1.06E-4</v>
      </c>
      <c r="BP196">
        <v>1.199514</v>
      </c>
      <c r="BQ196">
        <v>12.381909</v>
      </c>
      <c r="BR196">
        <v>13.355</v>
      </c>
      <c r="BS196">
        <v>16.63381</v>
      </c>
      <c r="BT196">
        <v>14.20093</v>
      </c>
      <c r="BU196">
        <v>7.1050319999999996</v>
      </c>
      <c r="BV196">
        <v>0.23954800000000001</v>
      </c>
      <c r="BW196">
        <v>-1.2964450000000001</v>
      </c>
      <c r="BX196">
        <v>0.50032200000000004</v>
      </c>
      <c r="BY196">
        <v>3.3715000000000002E-2</v>
      </c>
      <c r="BZ196">
        <v>-0.18246899999999999</v>
      </c>
      <c r="CA196">
        <v>-0.36899999999999999</v>
      </c>
      <c r="CB196">
        <v>-0.15939999999999999</v>
      </c>
      <c r="CC196">
        <v>-9.1399999999999995E-2</v>
      </c>
      <c r="CD196">
        <v>1.4200000000000001E-2</v>
      </c>
      <c r="CE196">
        <v>5.8999999999999997E-2</v>
      </c>
      <c r="CF196">
        <v>0.1116</v>
      </c>
      <c r="CG196">
        <v>0.53360099999999999</v>
      </c>
      <c r="CH196">
        <v>16.478999999999999</v>
      </c>
      <c r="CI196">
        <v>21.848998999999999</v>
      </c>
      <c r="CJ196">
        <v>26.952000000000002</v>
      </c>
      <c r="CK196">
        <v>27.804001</v>
      </c>
      <c r="CL196">
        <v>28.523800000000001</v>
      </c>
      <c r="CM196">
        <v>29.756599000000001</v>
      </c>
      <c r="CN196">
        <v>30.295399</v>
      </c>
      <c r="CO196">
        <v>31.46048</v>
      </c>
      <c r="CP196">
        <v>0.44975199999999999</v>
      </c>
      <c r="CQ196">
        <v>19.238022999999998</v>
      </c>
      <c r="CR196">
        <v>21.572616</v>
      </c>
      <c r="CS196">
        <v>1</v>
      </c>
      <c r="CT196">
        <v>54</v>
      </c>
      <c r="CU196">
        <v>14.208149000000001</v>
      </c>
      <c r="CV196">
        <v>1</v>
      </c>
      <c r="CW196">
        <v>10.784998</v>
      </c>
      <c r="CX196">
        <v>116.316181</v>
      </c>
      <c r="CY196">
        <v>0.75907100000000005</v>
      </c>
      <c r="CZ196">
        <v>13</v>
      </c>
      <c r="DA196">
        <v>1.132665</v>
      </c>
      <c r="DB196">
        <v>4.1230039999999999</v>
      </c>
      <c r="DC196">
        <v>8.3471130000000002</v>
      </c>
      <c r="DD196">
        <v>14.208149000000001</v>
      </c>
      <c r="DE196">
        <v>5.8168220000000002</v>
      </c>
      <c r="DF196">
        <v>1.2495510000000001</v>
      </c>
      <c r="DG196">
        <v>0.73439200000000004</v>
      </c>
      <c r="DH196">
        <v>0.40939999999999999</v>
      </c>
      <c r="DI196">
        <v>0.21481700000000001</v>
      </c>
      <c r="DJ196">
        <v>0.126253</v>
      </c>
      <c r="DK196">
        <v>1</v>
      </c>
      <c r="DL196">
        <v>1</v>
      </c>
      <c r="DM196">
        <v>2</v>
      </c>
      <c r="DN196">
        <v>5</v>
      </c>
      <c r="DO196">
        <v>6</v>
      </c>
      <c r="DP196">
        <v>7</v>
      </c>
      <c r="DQ196">
        <v>10</v>
      </c>
      <c r="DR196">
        <v>12</v>
      </c>
      <c r="DS196">
        <v>15</v>
      </c>
      <c r="DT196">
        <v>18</v>
      </c>
      <c r="DU196">
        <v>19</v>
      </c>
      <c r="DV196">
        <v>21</v>
      </c>
      <c r="DW196">
        <v>29</v>
      </c>
      <c r="DX196">
        <v>39</v>
      </c>
      <c r="DY196">
        <v>47</v>
      </c>
      <c r="DZ196">
        <v>88.858446999999998</v>
      </c>
      <c r="EA196">
        <v>59.204712999999998</v>
      </c>
      <c r="EB196">
        <v>110.13698599999999</v>
      </c>
      <c r="EC196">
        <v>973</v>
      </c>
      <c r="ED196">
        <v>1206</v>
      </c>
      <c r="EE196">
        <v>84.292237</v>
      </c>
      <c r="EF196">
        <v>100</v>
      </c>
      <c r="EG196">
        <v>51.693666999999998</v>
      </c>
      <c r="EH196">
        <v>94.550809999999998</v>
      </c>
      <c r="EI196">
        <v>96.164383999999998</v>
      </c>
      <c r="EJ196">
        <v>175.890411</v>
      </c>
      <c r="EK196">
        <v>923</v>
      </c>
      <c r="EL196">
        <v>1095</v>
      </c>
      <c r="EM196">
        <v>1053</v>
      </c>
      <c r="EN196">
        <v>1926</v>
      </c>
      <c r="EO196">
        <v>1095</v>
      </c>
      <c r="EP196">
        <v>2037</v>
      </c>
      <c r="EQ196">
        <v>44.204014999999998</v>
      </c>
    </row>
    <row r="197" spans="1:147" x14ac:dyDescent="0.25">
      <c r="A197">
        <v>2022</v>
      </c>
      <c r="B197" t="str">
        <f t="shared" si="6"/>
        <v>NE</v>
      </c>
      <c r="C197" t="s">
        <v>1136</v>
      </c>
      <c r="D197" t="s">
        <v>1136</v>
      </c>
      <c r="E197">
        <v>25321</v>
      </c>
      <c r="F197" t="s">
        <v>1111</v>
      </c>
      <c r="G197" t="s">
        <v>1112</v>
      </c>
      <c r="H197" t="s">
        <v>1133</v>
      </c>
      <c r="I197">
        <v>42.8</v>
      </c>
      <c r="J197">
        <v>42.8</v>
      </c>
      <c r="K197" t="s">
        <v>1098</v>
      </c>
      <c r="L197">
        <v>1</v>
      </c>
      <c r="M197">
        <v>2017</v>
      </c>
      <c r="N197">
        <v>3</v>
      </c>
      <c r="O197" t="str">
        <f t="shared" si="7"/>
        <v>Talhadia</v>
      </c>
      <c r="P197" s="2">
        <v>42801</v>
      </c>
      <c r="Q197" t="s">
        <v>322</v>
      </c>
      <c r="R197" t="s">
        <v>165</v>
      </c>
      <c r="S197" t="s">
        <v>154</v>
      </c>
      <c r="T197" t="s">
        <v>1098</v>
      </c>
      <c r="U197" t="s">
        <v>156</v>
      </c>
      <c r="V197" s="2">
        <v>44824</v>
      </c>
      <c r="W197" t="s">
        <v>1114</v>
      </c>
      <c r="X197">
        <v>153.02000000000001</v>
      </c>
      <c r="Y197">
        <v>20.8</v>
      </c>
      <c r="Z197">
        <v>5</v>
      </c>
      <c r="AA197">
        <v>14.2</v>
      </c>
      <c r="AB197">
        <v>1</v>
      </c>
      <c r="AC197">
        <v>295.36</v>
      </c>
      <c r="AD197">
        <v>294.19125245035701</v>
      </c>
      <c r="AE197" s="2">
        <v>44824</v>
      </c>
      <c r="AF197">
        <v>66</v>
      </c>
      <c r="AG197">
        <v>5.5386721423682399</v>
      </c>
      <c r="AH197">
        <v>25.321543357991299</v>
      </c>
      <c r="AI197">
        <v>17.379166666666698</v>
      </c>
      <c r="AJ197">
        <v>20.279386004655301</v>
      </c>
      <c r="AK197">
        <v>24</v>
      </c>
      <c r="AL197">
        <v>815.79584029439604</v>
      </c>
      <c r="AM197">
        <v>238.82136971090699</v>
      </c>
      <c r="AN197">
        <v>0.29274649111317302</v>
      </c>
      <c r="AO197" t="s">
        <v>165</v>
      </c>
      <c r="AP197" t="s">
        <v>264</v>
      </c>
      <c r="AQ197" t="s">
        <v>1126</v>
      </c>
      <c r="AR197">
        <v>9.99</v>
      </c>
      <c r="AS197">
        <v>0.81498004445410233</v>
      </c>
      <c r="AT197" t="s">
        <v>1137</v>
      </c>
      <c r="AU197" t="s">
        <v>1138</v>
      </c>
      <c r="AV197">
        <v>1774</v>
      </c>
      <c r="AW197">
        <v>963</v>
      </c>
      <c r="AX197">
        <v>699</v>
      </c>
      <c r="AY197">
        <v>101</v>
      </c>
      <c r="AZ197">
        <v>11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-0.64400000000000002</v>
      </c>
      <c r="BH197">
        <v>30.74</v>
      </c>
      <c r="BI197">
        <v>12.488035999999999</v>
      </c>
      <c r="BJ197">
        <v>-0.145841</v>
      </c>
      <c r="BK197">
        <v>12.459270999999999</v>
      </c>
      <c r="BL197">
        <v>155.23344599999999</v>
      </c>
      <c r="BM197">
        <v>0.99769699999999994</v>
      </c>
      <c r="BN197">
        <v>25.997501</v>
      </c>
      <c r="BO197">
        <v>0.134963</v>
      </c>
      <c r="BP197">
        <v>1.182121</v>
      </c>
      <c r="BQ197">
        <v>11.932525</v>
      </c>
      <c r="BR197">
        <v>11.977499</v>
      </c>
      <c r="BS197">
        <v>12.069841</v>
      </c>
      <c r="BT197">
        <v>12.488035999999999</v>
      </c>
      <c r="BU197">
        <v>6.7178519999999997</v>
      </c>
      <c r="BV197">
        <v>0.64665499999999998</v>
      </c>
      <c r="BW197">
        <v>-1.26264</v>
      </c>
      <c r="BX197">
        <v>0.53794299999999995</v>
      </c>
      <c r="BY197">
        <v>9.6258999999999997E-2</v>
      </c>
      <c r="BZ197">
        <v>-0.18795300000000001</v>
      </c>
      <c r="CA197">
        <v>-0.33423999999999998</v>
      </c>
      <c r="CB197">
        <v>-0.14940000000000001</v>
      </c>
      <c r="CC197">
        <v>-8.2699999999999996E-2</v>
      </c>
      <c r="CD197">
        <v>-1.2999999999999999E-2</v>
      </c>
      <c r="CE197">
        <v>2.1999999999999999E-2</v>
      </c>
      <c r="CF197">
        <v>5.8900000000000001E-2</v>
      </c>
      <c r="CG197">
        <v>0.14419999999999999</v>
      </c>
      <c r="CH197">
        <v>11.923999999999999</v>
      </c>
      <c r="CI197">
        <v>20.073001999999999</v>
      </c>
      <c r="CJ197">
        <v>25.119098999999999</v>
      </c>
      <c r="CK197">
        <v>26.019501000000002</v>
      </c>
      <c r="CL197">
        <v>26.676400999999998</v>
      </c>
      <c r="CM197">
        <v>27.934799000000002</v>
      </c>
      <c r="CN197">
        <v>28.601348999999999</v>
      </c>
      <c r="CO197">
        <v>29.754591000000001</v>
      </c>
      <c r="CP197">
        <v>0.418431</v>
      </c>
      <c r="CQ197">
        <v>17.637941000000001</v>
      </c>
      <c r="CR197">
        <v>20.017320999999999</v>
      </c>
      <c r="CS197">
        <v>1</v>
      </c>
      <c r="CT197">
        <v>75</v>
      </c>
      <c r="CU197">
        <v>21.955468</v>
      </c>
      <c r="CV197">
        <v>13.920635000000001</v>
      </c>
      <c r="CW197">
        <v>16.550006</v>
      </c>
      <c r="CX197">
        <v>273.90269699999999</v>
      </c>
      <c r="CY197">
        <v>0.753799</v>
      </c>
      <c r="CZ197">
        <v>19</v>
      </c>
      <c r="DA197">
        <v>1.037722</v>
      </c>
      <c r="DB197">
        <v>3.408274</v>
      </c>
      <c r="DC197">
        <v>12.841737999999999</v>
      </c>
      <c r="DD197">
        <v>21.955468</v>
      </c>
      <c r="DE197">
        <v>8.9624830000000006</v>
      </c>
      <c r="DF197">
        <v>2.0463819999999999</v>
      </c>
      <c r="DG197">
        <v>1.138468</v>
      </c>
      <c r="DH197">
        <v>0.40821200000000002</v>
      </c>
      <c r="DI197">
        <v>0.228328</v>
      </c>
      <c r="DJ197">
        <v>0.127026</v>
      </c>
      <c r="DK197">
        <v>1</v>
      </c>
      <c r="DL197">
        <v>2</v>
      </c>
      <c r="DM197">
        <v>4</v>
      </c>
      <c r="DN197">
        <v>7</v>
      </c>
      <c r="DO197">
        <v>9</v>
      </c>
      <c r="DP197">
        <v>11</v>
      </c>
      <c r="DQ197">
        <v>15</v>
      </c>
      <c r="DR197">
        <v>18</v>
      </c>
      <c r="DS197">
        <v>23</v>
      </c>
      <c r="DT197">
        <v>26</v>
      </c>
      <c r="DU197">
        <v>28</v>
      </c>
      <c r="DV197">
        <v>32</v>
      </c>
      <c r="DW197">
        <v>51</v>
      </c>
      <c r="DX197">
        <v>58</v>
      </c>
      <c r="DY197">
        <v>66.270020000000002</v>
      </c>
      <c r="DZ197">
        <v>84.319834</v>
      </c>
      <c r="EA197">
        <v>53.438557000000003</v>
      </c>
      <c r="EB197">
        <v>98.442368000000002</v>
      </c>
      <c r="EC197">
        <v>812</v>
      </c>
      <c r="ED197">
        <v>948</v>
      </c>
      <c r="EE197">
        <v>82.762201000000005</v>
      </c>
      <c r="EF197">
        <v>100</v>
      </c>
      <c r="EG197">
        <v>49.492671999999999</v>
      </c>
      <c r="EH197">
        <v>94.870349000000004</v>
      </c>
      <c r="EI197">
        <v>91.173416000000003</v>
      </c>
      <c r="EJ197">
        <v>174.766355</v>
      </c>
      <c r="EK197">
        <v>797</v>
      </c>
      <c r="EL197">
        <v>963</v>
      </c>
      <c r="EM197">
        <v>878</v>
      </c>
      <c r="EN197">
        <v>1683</v>
      </c>
      <c r="EO197">
        <v>963</v>
      </c>
      <c r="EP197">
        <v>1774</v>
      </c>
      <c r="EQ197">
        <v>41.027549</v>
      </c>
    </row>
    <row r="198" spans="1:147" x14ac:dyDescent="0.25">
      <c r="A198">
        <v>2022</v>
      </c>
      <c r="B198" t="str">
        <f t="shared" si="6"/>
        <v>RD</v>
      </c>
      <c r="C198" t="s">
        <v>1139</v>
      </c>
      <c r="D198" t="s">
        <v>1139</v>
      </c>
      <c r="E198">
        <v>25368</v>
      </c>
      <c r="F198" t="s">
        <v>1140</v>
      </c>
      <c r="G198" t="s">
        <v>247</v>
      </c>
      <c r="H198" t="s">
        <v>1141</v>
      </c>
      <c r="I198">
        <v>39.94</v>
      </c>
      <c r="J198">
        <v>39.94</v>
      </c>
      <c r="K198" t="s">
        <v>219</v>
      </c>
      <c r="L198">
        <v>1</v>
      </c>
      <c r="M198">
        <v>2017</v>
      </c>
      <c r="N198">
        <v>3</v>
      </c>
      <c r="O198" t="str">
        <f t="shared" si="7"/>
        <v>Alto fuste</v>
      </c>
      <c r="P198" s="2">
        <v>42835</v>
      </c>
      <c r="Q198" t="s">
        <v>237</v>
      </c>
      <c r="R198" t="s">
        <v>515</v>
      </c>
      <c r="S198" t="s">
        <v>154</v>
      </c>
      <c r="T198" t="s">
        <v>221</v>
      </c>
      <c r="U198" t="s">
        <v>156</v>
      </c>
      <c r="V198" s="2">
        <v>44818</v>
      </c>
      <c r="W198" t="s">
        <v>250</v>
      </c>
      <c r="X198">
        <v>332.45</v>
      </c>
      <c r="Y198">
        <v>21.2</v>
      </c>
      <c r="Z198">
        <v>2</v>
      </c>
      <c r="AA198">
        <v>15.3</v>
      </c>
      <c r="AB198">
        <v>1</v>
      </c>
      <c r="AC198">
        <v>324.36</v>
      </c>
      <c r="AD198">
        <v>324.11303714695998</v>
      </c>
      <c r="AE198" s="2">
        <v>44818</v>
      </c>
      <c r="AF198">
        <v>65</v>
      </c>
      <c r="AG198">
        <v>5.4291581108829599</v>
      </c>
      <c r="AH198">
        <v>23.748350258454401</v>
      </c>
      <c r="AI198">
        <v>13.5804347826087</v>
      </c>
      <c r="AJ198">
        <v>21.1640176609463</v>
      </c>
      <c r="AK198">
        <v>46</v>
      </c>
      <c r="AL198">
        <v>1419.25793559309</v>
      </c>
      <c r="AM198">
        <v>241.291260691167</v>
      </c>
      <c r="AN198">
        <v>0.17001226812963699</v>
      </c>
      <c r="AO198" t="s">
        <v>515</v>
      </c>
      <c r="AP198" t="s">
        <v>158</v>
      </c>
      <c r="AQ198" t="s">
        <v>516</v>
      </c>
      <c r="AR198">
        <v>7.5</v>
      </c>
      <c r="AS198">
        <v>1.0644434516948149</v>
      </c>
      <c r="AT198" t="s">
        <v>1142</v>
      </c>
      <c r="AU198" t="s">
        <v>1143</v>
      </c>
      <c r="AV198">
        <v>13153</v>
      </c>
      <c r="AW198">
        <v>6769</v>
      </c>
      <c r="AX198">
        <v>4924</v>
      </c>
      <c r="AY198">
        <v>1378</v>
      </c>
      <c r="AZ198">
        <v>82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-1.2609999999999999</v>
      </c>
      <c r="BH198">
        <v>24.893000000000001</v>
      </c>
      <c r="BI198">
        <v>11.465919</v>
      </c>
      <c r="BJ198">
        <v>-1.5571E-2</v>
      </c>
      <c r="BK198">
        <v>9.9634660000000004</v>
      </c>
      <c r="BL198">
        <v>99.270662999999999</v>
      </c>
      <c r="BM198">
        <v>0.86896399999999996</v>
      </c>
      <c r="BN198">
        <v>21.510999999999999</v>
      </c>
      <c r="BO198">
        <v>-0.110471</v>
      </c>
      <c r="BP198">
        <v>1.229797</v>
      </c>
      <c r="BQ198">
        <v>9.4173530000000003</v>
      </c>
      <c r="BR198">
        <v>8.3759990000000002</v>
      </c>
      <c r="BS198">
        <v>14.755571</v>
      </c>
      <c r="BT198">
        <v>11.465919</v>
      </c>
      <c r="BU198">
        <v>5.4658930000000003</v>
      </c>
      <c r="BV198">
        <v>-4.7778000000000001E-2</v>
      </c>
      <c r="BW198">
        <v>-0.94116299999999997</v>
      </c>
      <c r="BX198">
        <v>0.47670800000000002</v>
      </c>
      <c r="BY198">
        <v>-8.7410000000000005E-3</v>
      </c>
      <c r="BZ198">
        <v>-0.17218800000000001</v>
      </c>
      <c r="CA198">
        <v>-0.44700000000000001</v>
      </c>
      <c r="CB198">
        <v>-0.20399999999999999</v>
      </c>
      <c r="CC198">
        <v>-0.10199999999999999</v>
      </c>
      <c r="CD198">
        <v>0.04</v>
      </c>
      <c r="CE198">
        <v>0.107</v>
      </c>
      <c r="CF198">
        <v>0.17399999999999999</v>
      </c>
      <c r="CG198">
        <v>3.5477949999999998</v>
      </c>
      <c r="CH198">
        <v>14.74</v>
      </c>
      <c r="CI198">
        <v>17.537001</v>
      </c>
      <c r="CJ198">
        <v>21.047001000000002</v>
      </c>
      <c r="CK198">
        <v>21.617999999999999</v>
      </c>
      <c r="CL198">
        <v>22.082999999999998</v>
      </c>
      <c r="CM198">
        <v>23.027999999999999</v>
      </c>
      <c r="CN198">
        <v>23.556999000000001</v>
      </c>
      <c r="CO198">
        <v>24.179884000000001</v>
      </c>
      <c r="CP198">
        <v>0.48661500000000002</v>
      </c>
      <c r="CQ198">
        <v>15.189812999999999</v>
      </c>
      <c r="CR198">
        <v>16.883355000000002</v>
      </c>
      <c r="CS198">
        <v>1</v>
      </c>
      <c r="CT198">
        <v>43</v>
      </c>
      <c r="CU198">
        <v>9.4437010000000008</v>
      </c>
      <c r="CV198">
        <v>1</v>
      </c>
      <c r="CW198">
        <v>7.0982880000000002</v>
      </c>
      <c r="CX198">
        <v>50.385686999999997</v>
      </c>
      <c r="CY198">
        <v>0.75164299999999995</v>
      </c>
      <c r="CZ198">
        <v>9</v>
      </c>
      <c r="DA198">
        <v>1.302605</v>
      </c>
      <c r="DB198">
        <v>4.958647</v>
      </c>
      <c r="DC198">
        <v>5.4893830000000001</v>
      </c>
      <c r="DD198">
        <v>9.4437010000000008</v>
      </c>
      <c r="DE198">
        <v>3.7810990000000002</v>
      </c>
      <c r="DF198">
        <v>0.88428499999999999</v>
      </c>
      <c r="DG198">
        <v>0.50108200000000003</v>
      </c>
      <c r="DH198">
        <v>0.40038299999999999</v>
      </c>
      <c r="DI198">
        <v>0.23386999999999999</v>
      </c>
      <c r="DJ198">
        <v>0.132523</v>
      </c>
      <c r="DK198">
        <v>1</v>
      </c>
      <c r="DL198">
        <v>1</v>
      </c>
      <c r="DM198">
        <v>2</v>
      </c>
      <c r="DN198">
        <v>3</v>
      </c>
      <c r="DO198">
        <v>4</v>
      </c>
      <c r="DP198">
        <v>5</v>
      </c>
      <c r="DQ198">
        <v>6</v>
      </c>
      <c r="DR198">
        <v>8</v>
      </c>
      <c r="DS198">
        <v>10</v>
      </c>
      <c r="DT198">
        <v>12</v>
      </c>
      <c r="DU198">
        <v>13</v>
      </c>
      <c r="DV198">
        <v>14</v>
      </c>
      <c r="DW198">
        <v>18</v>
      </c>
      <c r="DX198">
        <v>23</v>
      </c>
      <c r="DY198">
        <v>33</v>
      </c>
      <c r="DZ198">
        <v>90.604225</v>
      </c>
      <c r="EA198">
        <v>60.085152000000001</v>
      </c>
      <c r="EB198">
        <v>116.752844</v>
      </c>
      <c r="EC198">
        <v>6133</v>
      </c>
      <c r="ED198">
        <v>7903</v>
      </c>
      <c r="EE198">
        <v>87.339341000000005</v>
      </c>
      <c r="EF198">
        <v>99.409070999999997</v>
      </c>
      <c r="EG198">
        <v>54.580703999999997</v>
      </c>
      <c r="EH198">
        <v>84.497833</v>
      </c>
      <c r="EI198">
        <v>106.057025</v>
      </c>
      <c r="EJ198">
        <v>164.18968799999999</v>
      </c>
      <c r="EK198">
        <v>5912</v>
      </c>
      <c r="EL198">
        <v>6729</v>
      </c>
      <c r="EM198">
        <v>7179</v>
      </c>
      <c r="EN198">
        <v>11114</v>
      </c>
      <c r="EO198">
        <v>6769</v>
      </c>
      <c r="EP198">
        <v>13153</v>
      </c>
      <c r="EQ198">
        <v>46.534726999999997</v>
      </c>
    </row>
    <row r="199" spans="1:147" x14ac:dyDescent="0.25">
      <c r="A199">
        <v>2022</v>
      </c>
      <c r="B199" t="str">
        <f t="shared" si="6"/>
        <v>RD</v>
      </c>
      <c r="C199" t="s">
        <v>1144</v>
      </c>
      <c r="D199" t="s">
        <v>1144</v>
      </c>
      <c r="E199">
        <v>25372</v>
      </c>
      <c r="F199" t="s">
        <v>1140</v>
      </c>
      <c r="G199" t="s">
        <v>247</v>
      </c>
      <c r="H199" t="s">
        <v>1145</v>
      </c>
      <c r="I199">
        <v>37.18</v>
      </c>
      <c r="J199">
        <v>37.18</v>
      </c>
      <c r="K199" t="s">
        <v>219</v>
      </c>
      <c r="L199">
        <v>1</v>
      </c>
      <c r="M199">
        <v>2017</v>
      </c>
      <c r="N199">
        <v>3</v>
      </c>
      <c r="O199" t="str">
        <f t="shared" si="7"/>
        <v>Alto fuste</v>
      </c>
      <c r="P199" s="2">
        <v>42838</v>
      </c>
      <c r="Q199" t="s">
        <v>237</v>
      </c>
      <c r="R199" t="s">
        <v>323</v>
      </c>
      <c r="S199" t="s">
        <v>154</v>
      </c>
      <c r="T199" t="s">
        <v>221</v>
      </c>
      <c r="U199" t="s">
        <v>156</v>
      </c>
      <c r="V199" s="2">
        <v>44823</v>
      </c>
      <c r="W199" t="s">
        <v>250</v>
      </c>
      <c r="X199">
        <v>332.45</v>
      </c>
      <c r="Y199">
        <v>20.5</v>
      </c>
      <c r="Z199">
        <v>2</v>
      </c>
      <c r="AA199">
        <v>15.7</v>
      </c>
      <c r="AB199">
        <v>1</v>
      </c>
      <c r="AC199">
        <v>321.85000000000002</v>
      </c>
      <c r="AD199">
        <v>321.60494822342201</v>
      </c>
      <c r="AE199" s="2">
        <v>44823</v>
      </c>
      <c r="AF199">
        <v>65</v>
      </c>
      <c r="AG199">
        <v>5.4346338124572204</v>
      </c>
      <c r="AH199">
        <v>24.3505098086817</v>
      </c>
      <c r="AI199">
        <v>14.592499999999999</v>
      </c>
      <c r="AJ199">
        <v>21.147619140636799</v>
      </c>
      <c r="AK199">
        <v>40</v>
      </c>
      <c r="AL199">
        <v>1243.7619576739701</v>
      </c>
      <c r="AM199">
        <v>241.69166691386999</v>
      </c>
      <c r="AN199">
        <v>0.194323090059669</v>
      </c>
      <c r="AO199" t="s">
        <v>323</v>
      </c>
      <c r="AP199" t="s">
        <v>158</v>
      </c>
      <c r="AQ199" t="s">
        <v>516</v>
      </c>
      <c r="AR199">
        <v>7.5</v>
      </c>
      <c r="AS199">
        <v>0.93282146825547951</v>
      </c>
      <c r="AT199" t="s">
        <v>1146</v>
      </c>
      <c r="AU199" t="s">
        <v>1147</v>
      </c>
      <c r="AV199">
        <v>8785</v>
      </c>
      <c r="AW199">
        <v>4369</v>
      </c>
      <c r="AX199">
        <v>3341</v>
      </c>
      <c r="AY199">
        <v>1020</v>
      </c>
      <c r="AZ199">
        <v>55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-1.1020000000000001</v>
      </c>
      <c r="BH199">
        <v>26.709</v>
      </c>
      <c r="BI199">
        <v>11.0997</v>
      </c>
      <c r="BJ199">
        <v>-0.219111</v>
      </c>
      <c r="BK199">
        <v>9.9719909999999992</v>
      </c>
      <c r="BL199">
        <v>99.440605000000005</v>
      </c>
      <c r="BM199">
        <v>0.89840200000000003</v>
      </c>
      <c r="BN199">
        <v>20.863</v>
      </c>
      <c r="BO199">
        <v>4.9540000000000001E-3</v>
      </c>
      <c r="BP199">
        <v>1.309113</v>
      </c>
      <c r="BQ199">
        <v>9.3025479999999998</v>
      </c>
      <c r="BR199">
        <v>10.53</v>
      </c>
      <c r="BS199">
        <v>13.603111</v>
      </c>
      <c r="BT199">
        <v>11.0997</v>
      </c>
      <c r="BU199">
        <v>5.527374</v>
      </c>
      <c r="BV199">
        <v>0.26336500000000002</v>
      </c>
      <c r="BW199">
        <v>-0.79993499999999995</v>
      </c>
      <c r="BX199">
        <v>0.497975</v>
      </c>
      <c r="BY199">
        <v>4.7647000000000002E-2</v>
      </c>
      <c r="BZ199">
        <v>-0.14472199999999999</v>
      </c>
      <c r="CA199">
        <v>-0.40200000000000002</v>
      </c>
      <c r="CB199">
        <v>-0.17499999999999999</v>
      </c>
      <c r="CC199">
        <v>-0.09</v>
      </c>
      <c r="CD199">
        <v>0.02</v>
      </c>
      <c r="CE199">
        <v>7.3999999999999996E-2</v>
      </c>
      <c r="CF199">
        <v>0.13700000000000001</v>
      </c>
      <c r="CG199">
        <v>0.46560000000000001</v>
      </c>
      <c r="CH199">
        <v>13.384</v>
      </c>
      <c r="CI199">
        <v>16.312000000000001</v>
      </c>
      <c r="CJ199">
        <v>19.349996999999998</v>
      </c>
      <c r="CK199">
        <v>20.937000000000001</v>
      </c>
      <c r="CL199">
        <v>22.2136</v>
      </c>
      <c r="CM199">
        <v>23.835999999999999</v>
      </c>
      <c r="CN199">
        <v>24.605398000000001</v>
      </c>
      <c r="CO199">
        <v>25.65616</v>
      </c>
      <c r="CP199">
        <v>0.43873600000000001</v>
      </c>
      <c r="CQ199">
        <v>14.920878999999999</v>
      </c>
      <c r="CR199">
        <v>16.730862999999999</v>
      </c>
      <c r="CS199">
        <v>1</v>
      </c>
      <c r="CT199">
        <v>51</v>
      </c>
      <c r="CU199">
        <v>10.753785000000001</v>
      </c>
      <c r="CV199">
        <v>2.5873020000000002</v>
      </c>
      <c r="CW199">
        <v>8.6100930000000009</v>
      </c>
      <c r="CX199">
        <v>74.133702</v>
      </c>
      <c r="CY199">
        <v>0.80065699999999995</v>
      </c>
      <c r="CZ199">
        <v>9</v>
      </c>
      <c r="DA199">
        <v>1.461678</v>
      </c>
      <c r="DB199">
        <v>5.2007500000000002</v>
      </c>
      <c r="DC199">
        <v>6.467924</v>
      </c>
      <c r="DD199">
        <v>10.753785000000001</v>
      </c>
      <c r="DE199">
        <v>4.4931479999999997</v>
      </c>
      <c r="DF199">
        <v>1.243236</v>
      </c>
      <c r="DG199">
        <v>0.72118300000000002</v>
      </c>
      <c r="DH199">
        <v>0.41782000000000002</v>
      </c>
      <c r="DI199">
        <v>0.276696</v>
      </c>
      <c r="DJ199">
        <v>0.16050700000000001</v>
      </c>
      <c r="DK199">
        <v>1</v>
      </c>
      <c r="DL199">
        <v>1</v>
      </c>
      <c r="DM199">
        <v>2</v>
      </c>
      <c r="DN199">
        <v>4</v>
      </c>
      <c r="DO199">
        <v>5</v>
      </c>
      <c r="DP199">
        <v>5</v>
      </c>
      <c r="DQ199">
        <v>7</v>
      </c>
      <c r="DR199">
        <v>9</v>
      </c>
      <c r="DS199">
        <v>11</v>
      </c>
      <c r="DT199">
        <v>13</v>
      </c>
      <c r="DU199">
        <v>14</v>
      </c>
      <c r="DV199">
        <v>16</v>
      </c>
      <c r="DW199">
        <v>22</v>
      </c>
      <c r="DX199">
        <v>30</v>
      </c>
      <c r="DY199">
        <v>40</v>
      </c>
      <c r="DZ199">
        <v>89.608605999999995</v>
      </c>
      <c r="EA199">
        <v>59.294252</v>
      </c>
      <c r="EB199">
        <v>119.22636799999999</v>
      </c>
      <c r="EC199">
        <v>3915</v>
      </c>
      <c r="ED199">
        <v>5209</v>
      </c>
      <c r="EE199">
        <v>86.816204999999997</v>
      </c>
      <c r="EF199">
        <v>100</v>
      </c>
      <c r="EG199">
        <v>54.832099999999997</v>
      </c>
      <c r="EH199">
        <v>96.357427000000001</v>
      </c>
      <c r="EI199">
        <v>110.254063</v>
      </c>
      <c r="EJ199">
        <v>193.751431</v>
      </c>
      <c r="EK199">
        <v>3793</v>
      </c>
      <c r="EL199">
        <v>4369</v>
      </c>
      <c r="EM199">
        <v>4817</v>
      </c>
      <c r="EN199">
        <v>8465</v>
      </c>
      <c r="EO199">
        <v>4369</v>
      </c>
      <c r="EP199">
        <v>8785</v>
      </c>
      <c r="EQ199">
        <v>42.371901000000001</v>
      </c>
    </row>
    <row r="200" spans="1:147" x14ac:dyDescent="0.25">
      <c r="A200">
        <v>2022</v>
      </c>
      <c r="B200" t="str">
        <f t="shared" si="6"/>
        <v>RD</v>
      </c>
      <c r="C200" t="s">
        <v>1148</v>
      </c>
      <c r="D200" t="s">
        <v>1148</v>
      </c>
      <c r="E200">
        <v>25378</v>
      </c>
      <c r="F200" t="s">
        <v>1140</v>
      </c>
      <c r="G200" t="s">
        <v>247</v>
      </c>
      <c r="H200" t="s">
        <v>1145</v>
      </c>
      <c r="I200">
        <v>37.18</v>
      </c>
      <c r="J200">
        <v>37.18</v>
      </c>
      <c r="K200" t="s">
        <v>219</v>
      </c>
      <c r="L200">
        <v>1</v>
      </c>
      <c r="M200">
        <v>2017</v>
      </c>
      <c r="N200">
        <v>3</v>
      </c>
      <c r="O200" t="str">
        <f t="shared" si="7"/>
        <v>Alto fuste</v>
      </c>
      <c r="P200" s="2">
        <v>42838</v>
      </c>
      <c r="Q200" t="s">
        <v>237</v>
      </c>
      <c r="R200" t="s">
        <v>323</v>
      </c>
      <c r="S200" t="s">
        <v>154</v>
      </c>
      <c r="T200" t="s">
        <v>221</v>
      </c>
      <c r="U200" t="s">
        <v>156</v>
      </c>
      <c r="V200" s="2">
        <v>44823</v>
      </c>
      <c r="W200" t="s">
        <v>250</v>
      </c>
      <c r="X200">
        <v>332.45</v>
      </c>
      <c r="Y200">
        <v>21.2</v>
      </c>
      <c r="Z200">
        <v>1</v>
      </c>
      <c r="AA200">
        <v>15.4</v>
      </c>
      <c r="AB200">
        <v>1</v>
      </c>
      <c r="AC200">
        <v>326.48</v>
      </c>
      <c r="AD200">
        <v>326.38055860259698</v>
      </c>
      <c r="AE200" s="2">
        <v>44823</v>
      </c>
      <c r="AF200">
        <v>65</v>
      </c>
      <c r="AG200">
        <v>5.4346338124572204</v>
      </c>
      <c r="AH200">
        <v>23.127116247861601</v>
      </c>
      <c r="AI200">
        <v>14.383333333333301</v>
      </c>
      <c r="AJ200">
        <v>21.302378714836198</v>
      </c>
      <c r="AK200">
        <v>42</v>
      </c>
      <c r="AL200">
        <v>1286.8413541487801</v>
      </c>
      <c r="AM200">
        <v>229.20990170798501</v>
      </c>
      <c r="AN200">
        <v>0.178118227992139</v>
      </c>
      <c r="AO200" t="s">
        <v>323</v>
      </c>
      <c r="AP200" t="s">
        <v>158</v>
      </c>
      <c r="AQ200" t="s">
        <v>516</v>
      </c>
      <c r="AR200">
        <v>7.5</v>
      </c>
      <c r="AS200">
        <v>0.96513101561158232</v>
      </c>
      <c r="AT200" t="s">
        <v>1149</v>
      </c>
      <c r="AU200" t="s">
        <v>1150</v>
      </c>
      <c r="AV200">
        <v>6065</v>
      </c>
      <c r="AW200">
        <v>2980</v>
      </c>
      <c r="AX200">
        <v>2293</v>
      </c>
      <c r="AY200">
        <v>755</v>
      </c>
      <c r="AZ200">
        <v>37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-0.995</v>
      </c>
      <c r="BH200">
        <v>25.827000000000002</v>
      </c>
      <c r="BI200">
        <v>10.378928</v>
      </c>
      <c r="BJ200">
        <v>-0.143508</v>
      </c>
      <c r="BK200">
        <v>9.4635210000000001</v>
      </c>
      <c r="BL200">
        <v>89.558235999999994</v>
      </c>
      <c r="BM200">
        <v>0.91180099999999997</v>
      </c>
      <c r="BN200">
        <v>19.745999999999999</v>
      </c>
      <c r="BO200">
        <v>2.4060000000000002E-2</v>
      </c>
      <c r="BP200">
        <v>1.304745</v>
      </c>
      <c r="BQ200">
        <v>8.8178719999999995</v>
      </c>
      <c r="BR200">
        <v>10.589999000000001</v>
      </c>
      <c r="BS200">
        <v>12.315507999999999</v>
      </c>
      <c r="BT200">
        <v>10.378928</v>
      </c>
      <c r="BU200">
        <v>5.2347409999999996</v>
      </c>
      <c r="BV200">
        <v>0.29879800000000001</v>
      </c>
      <c r="BW200">
        <v>-0.76536000000000004</v>
      </c>
      <c r="BX200">
        <v>0.50436199999999998</v>
      </c>
      <c r="BY200">
        <v>5.7079999999999999E-2</v>
      </c>
      <c r="BZ200">
        <v>-0.146208</v>
      </c>
      <c r="CA200">
        <v>-0.374</v>
      </c>
      <c r="CB200">
        <v>-0.17080000000000001</v>
      </c>
      <c r="CC200">
        <v>-9.5000000000000001E-2</v>
      </c>
      <c r="CD200">
        <v>0</v>
      </c>
      <c r="CE200">
        <v>0.05</v>
      </c>
      <c r="CF200">
        <v>9.5000000000000001E-2</v>
      </c>
      <c r="CG200">
        <v>0.26900000000000002</v>
      </c>
      <c r="CH200">
        <v>12.172000000000001</v>
      </c>
      <c r="CI200">
        <v>15.205</v>
      </c>
      <c r="CJ200">
        <v>18.760999999999999</v>
      </c>
      <c r="CK200">
        <v>19.795999999999999</v>
      </c>
      <c r="CL200">
        <v>20.629000000000001</v>
      </c>
      <c r="CM200">
        <v>22.454799999999999</v>
      </c>
      <c r="CN200">
        <v>23.316198</v>
      </c>
      <c r="CO200">
        <v>24.673556999999999</v>
      </c>
      <c r="CP200">
        <v>0.42405199999999998</v>
      </c>
      <c r="CQ200">
        <v>14.045128</v>
      </c>
      <c r="CR200">
        <v>15.776209</v>
      </c>
      <c r="CS200">
        <v>1</v>
      </c>
      <c r="CT200">
        <v>54</v>
      </c>
      <c r="CU200">
        <v>13.251772000000001</v>
      </c>
      <c r="CV200">
        <v>1</v>
      </c>
      <c r="CW200">
        <v>11.016887000000001</v>
      </c>
      <c r="CX200">
        <v>121.371791</v>
      </c>
      <c r="CY200">
        <v>0.83135199999999998</v>
      </c>
      <c r="CZ200">
        <v>13</v>
      </c>
      <c r="DA200">
        <v>1.2741309999999999</v>
      </c>
      <c r="DB200">
        <v>4.1187360000000002</v>
      </c>
      <c r="DC200">
        <v>8.5358549999999997</v>
      </c>
      <c r="DD200">
        <v>13.251772000000001</v>
      </c>
      <c r="DE200">
        <v>5.8325149999999999</v>
      </c>
      <c r="DF200">
        <v>1.64246</v>
      </c>
      <c r="DG200">
        <v>0.79387700000000005</v>
      </c>
      <c r="DH200">
        <v>0.44013099999999999</v>
      </c>
      <c r="DI200">
        <v>0.28160400000000002</v>
      </c>
      <c r="DJ200">
        <v>0.13611200000000001</v>
      </c>
      <c r="DK200">
        <v>1</v>
      </c>
      <c r="DL200">
        <v>1</v>
      </c>
      <c r="DM200">
        <v>2</v>
      </c>
      <c r="DN200">
        <v>4</v>
      </c>
      <c r="DO200">
        <v>5</v>
      </c>
      <c r="DP200">
        <v>6</v>
      </c>
      <c r="DQ200">
        <v>8</v>
      </c>
      <c r="DR200">
        <v>10</v>
      </c>
      <c r="DS200">
        <v>13</v>
      </c>
      <c r="DT200">
        <v>16</v>
      </c>
      <c r="DU200">
        <v>18</v>
      </c>
      <c r="DV200">
        <v>21</v>
      </c>
      <c r="DW200">
        <v>30</v>
      </c>
      <c r="DX200">
        <v>38</v>
      </c>
      <c r="DY200">
        <v>46</v>
      </c>
      <c r="DZ200">
        <v>88.288590999999997</v>
      </c>
      <c r="EA200">
        <v>58.384171000000002</v>
      </c>
      <c r="EB200">
        <v>118.825503</v>
      </c>
      <c r="EC200">
        <v>2631</v>
      </c>
      <c r="ED200">
        <v>3541</v>
      </c>
      <c r="EE200">
        <v>85.838926000000001</v>
      </c>
      <c r="EF200">
        <v>99.932885999999996</v>
      </c>
      <c r="EG200">
        <v>54.212696000000001</v>
      </c>
      <c r="EH200">
        <v>93.619125999999994</v>
      </c>
      <c r="EI200">
        <v>110.33557</v>
      </c>
      <c r="EJ200">
        <v>190.536913</v>
      </c>
      <c r="EK200">
        <v>2558</v>
      </c>
      <c r="EL200">
        <v>2978</v>
      </c>
      <c r="EM200">
        <v>3288</v>
      </c>
      <c r="EN200">
        <v>5678</v>
      </c>
      <c r="EO200">
        <v>2980</v>
      </c>
      <c r="EP200">
        <v>6065</v>
      </c>
      <c r="EQ200">
        <v>41.165002999999999</v>
      </c>
    </row>
    <row r="201" spans="1:147" x14ac:dyDescent="0.25">
      <c r="A201">
        <v>2022</v>
      </c>
      <c r="B201" t="str">
        <f t="shared" si="6"/>
        <v>RD</v>
      </c>
      <c r="C201" t="s">
        <v>1151</v>
      </c>
      <c r="D201" t="s">
        <v>1151</v>
      </c>
      <c r="E201">
        <v>25403</v>
      </c>
      <c r="F201" t="s">
        <v>1152</v>
      </c>
      <c r="G201" t="s">
        <v>247</v>
      </c>
      <c r="H201" t="s">
        <v>1153</v>
      </c>
      <c r="I201">
        <v>55.74</v>
      </c>
      <c r="J201">
        <v>55.74</v>
      </c>
      <c r="K201" t="s">
        <v>219</v>
      </c>
      <c r="L201">
        <v>1</v>
      </c>
      <c r="M201">
        <v>2017</v>
      </c>
      <c r="N201">
        <v>2</v>
      </c>
      <c r="O201" t="str">
        <f t="shared" si="7"/>
        <v>Talhadia</v>
      </c>
      <c r="P201" s="2">
        <v>42880</v>
      </c>
      <c r="Q201" t="s">
        <v>237</v>
      </c>
      <c r="R201" t="s">
        <v>881</v>
      </c>
      <c r="S201" t="s">
        <v>154</v>
      </c>
      <c r="T201" t="s">
        <v>221</v>
      </c>
      <c r="U201" t="s">
        <v>156</v>
      </c>
      <c r="V201" s="2">
        <v>44819</v>
      </c>
      <c r="W201" t="s">
        <v>250</v>
      </c>
      <c r="X201">
        <v>209.41</v>
      </c>
      <c r="Y201">
        <v>21.3</v>
      </c>
      <c r="Z201">
        <v>3</v>
      </c>
      <c r="AA201">
        <v>14.7</v>
      </c>
      <c r="AB201">
        <v>2</v>
      </c>
      <c r="AC201">
        <v>313.11</v>
      </c>
      <c r="AD201">
        <v>312.49041687496202</v>
      </c>
      <c r="AE201" s="2">
        <v>44819</v>
      </c>
      <c r="AF201">
        <v>64</v>
      </c>
      <c r="AG201">
        <v>5.30869267624914</v>
      </c>
      <c r="AH201">
        <v>23.614349123752898</v>
      </c>
      <c r="AI201">
        <v>14.08</v>
      </c>
      <c r="AJ201">
        <v>12.7596808260706</v>
      </c>
      <c r="AK201">
        <v>25</v>
      </c>
      <c r="AL201">
        <v>800.02453355244302</v>
      </c>
      <c r="AM201">
        <v>136.810713021499</v>
      </c>
      <c r="AN201">
        <v>0.17100814698019601</v>
      </c>
      <c r="AO201" t="s">
        <v>881</v>
      </c>
      <c r="AP201" t="s">
        <v>264</v>
      </c>
      <c r="AQ201" t="s">
        <v>251</v>
      </c>
      <c r="AR201">
        <v>7.5</v>
      </c>
      <c r="AS201">
        <v>0.60001840016433228</v>
      </c>
      <c r="AT201" t="s">
        <v>1154</v>
      </c>
      <c r="AU201" t="s">
        <v>1155</v>
      </c>
      <c r="AV201">
        <v>6668</v>
      </c>
      <c r="AW201">
        <v>4114</v>
      </c>
      <c r="AX201">
        <v>2208</v>
      </c>
      <c r="AY201">
        <v>335</v>
      </c>
      <c r="AZ201">
        <v>11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-0.91900000000000004</v>
      </c>
      <c r="BH201">
        <v>23.315000999999999</v>
      </c>
      <c r="BI201">
        <v>6.9704860000000002</v>
      </c>
      <c r="BJ201">
        <v>-0.14966699999999999</v>
      </c>
      <c r="BK201">
        <v>8.5306770000000007</v>
      </c>
      <c r="BL201">
        <v>72.772443999999993</v>
      </c>
      <c r="BM201">
        <v>1.2238279999999999</v>
      </c>
      <c r="BN201">
        <v>16.305999</v>
      </c>
      <c r="BO201">
        <v>0.59528700000000001</v>
      </c>
      <c r="BP201">
        <v>1.600312</v>
      </c>
      <c r="BQ201">
        <v>7.8960330000000001</v>
      </c>
      <c r="BR201">
        <v>0.38800000000000001</v>
      </c>
      <c r="BS201">
        <v>0.35066700000000001</v>
      </c>
      <c r="BT201">
        <v>6.9704860000000002</v>
      </c>
      <c r="BU201">
        <v>4.4677360000000004</v>
      </c>
      <c r="BV201">
        <v>1.2895000000000001</v>
      </c>
      <c r="BW201">
        <v>-0.39497399999999999</v>
      </c>
      <c r="BX201">
        <v>0.64095000000000002</v>
      </c>
      <c r="BY201">
        <v>0.28862500000000002</v>
      </c>
      <c r="BZ201">
        <v>-8.8405999999999998E-2</v>
      </c>
      <c r="CA201">
        <v>-0.41</v>
      </c>
      <c r="CB201">
        <v>-0.21065</v>
      </c>
      <c r="CC201">
        <v>-0.13300000000000001</v>
      </c>
      <c r="CD201">
        <v>-0.03</v>
      </c>
      <c r="CE201">
        <v>5.0000000000000001E-3</v>
      </c>
      <c r="CF201">
        <v>3.5999999999999997E-2</v>
      </c>
      <c r="CG201">
        <v>9.8000000000000004E-2</v>
      </c>
      <c r="CH201">
        <v>0.19350000000000001</v>
      </c>
      <c r="CI201">
        <v>7.0693989999999998</v>
      </c>
      <c r="CJ201">
        <v>14.387899000000001</v>
      </c>
      <c r="CK201">
        <v>16.310998999999999</v>
      </c>
      <c r="CL201">
        <v>17.559200000000001</v>
      </c>
      <c r="CM201">
        <v>20.277901</v>
      </c>
      <c r="CN201">
        <v>21.137650000000001</v>
      </c>
      <c r="CO201">
        <v>22.477633000000001</v>
      </c>
      <c r="CP201">
        <v>0.32555400000000001</v>
      </c>
      <c r="CQ201">
        <v>11.015862</v>
      </c>
      <c r="CR201">
        <v>13.06423</v>
      </c>
      <c r="CS201">
        <v>1</v>
      </c>
      <c r="CT201">
        <v>48</v>
      </c>
      <c r="CU201">
        <v>15.243551</v>
      </c>
      <c r="CV201">
        <v>1</v>
      </c>
      <c r="CW201">
        <v>11.932353000000001</v>
      </c>
      <c r="CX201">
        <v>142.38105200000001</v>
      </c>
      <c r="CY201">
        <v>0.78278000000000003</v>
      </c>
      <c r="CZ201">
        <v>20</v>
      </c>
      <c r="DA201">
        <v>0.68882500000000002</v>
      </c>
      <c r="DB201">
        <v>2.22377</v>
      </c>
      <c r="DC201">
        <v>10.197556000000001</v>
      </c>
      <c r="DD201">
        <v>15.243551</v>
      </c>
      <c r="DE201">
        <v>6.645721</v>
      </c>
      <c r="DF201">
        <v>1.364832</v>
      </c>
      <c r="DG201">
        <v>0.15492900000000001</v>
      </c>
      <c r="DH201">
        <v>0.435969</v>
      </c>
      <c r="DI201">
        <v>0.20537</v>
      </c>
      <c r="DJ201">
        <v>2.3313E-2</v>
      </c>
      <c r="DK201">
        <v>1</v>
      </c>
      <c r="DL201">
        <v>1</v>
      </c>
      <c r="DM201">
        <v>2</v>
      </c>
      <c r="DN201">
        <v>4</v>
      </c>
      <c r="DO201">
        <v>5</v>
      </c>
      <c r="DP201">
        <v>6</v>
      </c>
      <c r="DQ201">
        <v>9</v>
      </c>
      <c r="DR201">
        <v>11</v>
      </c>
      <c r="DS201">
        <v>15</v>
      </c>
      <c r="DT201">
        <v>21</v>
      </c>
      <c r="DU201">
        <v>25</v>
      </c>
      <c r="DV201">
        <v>28</v>
      </c>
      <c r="DW201">
        <v>34</v>
      </c>
      <c r="DX201">
        <v>37.649901999999997</v>
      </c>
      <c r="DY201">
        <v>42</v>
      </c>
      <c r="DZ201">
        <v>60.038891999999997</v>
      </c>
      <c r="EA201">
        <v>43.776245000000003</v>
      </c>
      <c r="EB201">
        <v>70.952843999999999</v>
      </c>
      <c r="EC201">
        <v>2470</v>
      </c>
      <c r="ED201">
        <v>2919</v>
      </c>
      <c r="EE201">
        <v>57.438017000000002</v>
      </c>
      <c r="EF201">
        <v>99.829848999999996</v>
      </c>
      <c r="EG201">
        <v>40.326934999999999</v>
      </c>
      <c r="EH201">
        <v>91.286743000000001</v>
      </c>
      <c r="EI201">
        <v>65.362178</v>
      </c>
      <c r="EJ201">
        <v>147.958192</v>
      </c>
      <c r="EK201">
        <v>2363</v>
      </c>
      <c r="EL201">
        <v>4107</v>
      </c>
      <c r="EM201">
        <v>2689</v>
      </c>
      <c r="EN201">
        <v>6087</v>
      </c>
      <c r="EO201">
        <v>4114</v>
      </c>
      <c r="EP201">
        <v>6668</v>
      </c>
      <c r="EQ201">
        <v>30.147888999999999</v>
      </c>
    </row>
    <row r="202" spans="1:147" x14ac:dyDescent="0.25">
      <c r="A202">
        <v>2022</v>
      </c>
      <c r="B202" t="str">
        <f t="shared" si="6"/>
        <v>NE</v>
      </c>
      <c r="C202" t="s">
        <v>1156</v>
      </c>
      <c r="D202" t="s">
        <v>1156</v>
      </c>
      <c r="E202">
        <v>25431</v>
      </c>
      <c r="F202" t="s">
        <v>1157</v>
      </c>
      <c r="G202" t="s">
        <v>335</v>
      </c>
      <c r="H202" t="s">
        <v>1158</v>
      </c>
      <c r="I202">
        <v>54.88</v>
      </c>
      <c r="J202">
        <v>54.88</v>
      </c>
      <c r="K202" t="s">
        <v>190</v>
      </c>
      <c r="L202">
        <v>1</v>
      </c>
      <c r="M202">
        <v>2017</v>
      </c>
      <c r="N202">
        <v>2</v>
      </c>
      <c r="O202" t="str">
        <f t="shared" si="7"/>
        <v>Talhadia</v>
      </c>
      <c r="P202" s="2">
        <v>42748</v>
      </c>
      <c r="Q202" t="s">
        <v>174</v>
      </c>
      <c r="R202" t="s">
        <v>153</v>
      </c>
      <c r="S202" t="s">
        <v>154</v>
      </c>
      <c r="T202" t="s">
        <v>175</v>
      </c>
      <c r="U202" t="s">
        <v>156</v>
      </c>
      <c r="V202" s="2">
        <v>44795</v>
      </c>
      <c r="W202" t="s">
        <v>337</v>
      </c>
      <c r="X202">
        <v>70.88</v>
      </c>
      <c r="Y202">
        <v>21</v>
      </c>
      <c r="Z202">
        <v>19</v>
      </c>
      <c r="AA202">
        <v>14.7</v>
      </c>
      <c r="AB202">
        <v>2</v>
      </c>
      <c r="AC202">
        <v>308.7</v>
      </c>
      <c r="AD202">
        <v>291.70377791273802</v>
      </c>
      <c r="AE202" s="2">
        <v>44795</v>
      </c>
      <c r="AF202">
        <v>67</v>
      </c>
      <c r="AG202">
        <v>5.6043805612594104</v>
      </c>
      <c r="AH202">
        <v>20.727827989667801</v>
      </c>
      <c r="AI202">
        <v>15.1903225806452</v>
      </c>
      <c r="AJ202">
        <v>21.305715729866002</v>
      </c>
      <c r="AK202">
        <v>31</v>
      </c>
      <c r="AL202">
        <v>1062.72192365207</v>
      </c>
      <c r="AM202">
        <v>201.93631335690799</v>
      </c>
      <c r="AN202">
        <v>0.190018017754776</v>
      </c>
      <c r="AO202" t="s">
        <v>153</v>
      </c>
      <c r="AP202" t="s">
        <v>264</v>
      </c>
      <c r="AQ202" t="s">
        <v>286</v>
      </c>
      <c r="AR202">
        <v>9</v>
      </c>
      <c r="AS202">
        <v>0.95644973128685939</v>
      </c>
      <c r="AT202" t="s">
        <v>1159</v>
      </c>
      <c r="AU202" t="s">
        <v>1160</v>
      </c>
      <c r="AV202">
        <v>3237</v>
      </c>
      <c r="AW202">
        <v>1606</v>
      </c>
      <c r="AX202">
        <v>1270</v>
      </c>
      <c r="AY202">
        <v>328</v>
      </c>
      <c r="AZ202">
        <v>33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-1.0860000000000001</v>
      </c>
      <c r="BH202">
        <v>25.843</v>
      </c>
      <c r="BI202">
        <v>11.194692</v>
      </c>
      <c r="BJ202">
        <v>-0.23111100000000001</v>
      </c>
      <c r="BK202">
        <v>9.8606499999999997</v>
      </c>
      <c r="BL202">
        <v>97.232412999999994</v>
      </c>
      <c r="BM202">
        <v>0.88083299999999998</v>
      </c>
      <c r="BN202">
        <v>21.032999</v>
      </c>
      <c r="BO202">
        <v>-9.0570999999999999E-2</v>
      </c>
      <c r="BP202">
        <v>1.2404980000000001</v>
      </c>
      <c r="BQ202">
        <v>9.3039459999999998</v>
      </c>
      <c r="BR202">
        <v>9.0390010000000007</v>
      </c>
      <c r="BS202">
        <v>14.055111999999999</v>
      </c>
      <c r="BT202">
        <v>11.194692</v>
      </c>
      <c r="BU202">
        <v>5.4103149999999998</v>
      </c>
      <c r="BV202">
        <v>4.5437999999999999E-2</v>
      </c>
      <c r="BW202">
        <v>-0.89110199999999995</v>
      </c>
      <c r="BX202">
        <v>0.48329299999999997</v>
      </c>
      <c r="BY202">
        <v>8.3979999999999992E-3</v>
      </c>
      <c r="BZ202">
        <v>-0.16470399999999999</v>
      </c>
      <c r="CA202">
        <v>-0.30456</v>
      </c>
      <c r="CB202">
        <v>-0.158</v>
      </c>
      <c r="CC202">
        <v>-8.5000000000000006E-2</v>
      </c>
      <c r="CD202">
        <v>6.0000000000000001E-3</v>
      </c>
      <c r="CE202">
        <v>4.4999999999999998E-2</v>
      </c>
      <c r="CF202">
        <v>9.3799999999999994E-2</v>
      </c>
      <c r="CG202">
        <v>0.33279999999999998</v>
      </c>
      <c r="CH202">
        <v>13.824</v>
      </c>
      <c r="CI202">
        <v>17.444799</v>
      </c>
      <c r="CJ202">
        <v>20.377800000000001</v>
      </c>
      <c r="CK202">
        <v>21.077998999999998</v>
      </c>
      <c r="CL202">
        <v>21.4984</v>
      </c>
      <c r="CM202">
        <v>22.732800000000001</v>
      </c>
      <c r="CN202">
        <v>23.676399</v>
      </c>
      <c r="CO202">
        <v>24.756039000000001</v>
      </c>
      <c r="CP202">
        <v>0.45604</v>
      </c>
      <c r="CQ202">
        <v>14.917222000000001</v>
      </c>
      <c r="CR202">
        <v>16.607585</v>
      </c>
      <c r="CS202">
        <v>1</v>
      </c>
      <c r="CT202">
        <v>57</v>
      </c>
      <c r="CU202">
        <v>16.490269000000001</v>
      </c>
      <c r="CV202">
        <v>1</v>
      </c>
      <c r="CW202">
        <v>11.187123</v>
      </c>
      <c r="CX202">
        <v>125.151713</v>
      </c>
      <c r="CY202">
        <v>0.67840800000000001</v>
      </c>
      <c r="CZ202">
        <v>17</v>
      </c>
      <c r="DA202">
        <v>0.66597700000000004</v>
      </c>
      <c r="DB202">
        <v>2.9434550000000002</v>
      </c>
      <c r="DC202">
        <v>9.274813</v>
      </c>
      <c r="DD202">
        <v>16.490269000000001</v>
      </c>
      <c r="DE202">
        <v>6.2800669999999998</v>
      </c>
      <c r="DF202">
        <v>0.87734000000000001</v>
      </c>
      <c r="DG202">
        <v>0.37959199999999998</v>
      </c>
      <c r="DH202">
        <v>0.38083499999999998</v>
      </c>
      <c r="DI202">
        <v>0.13970199999999999</v>
      </c>
      <c r="DJ202">
        <v>6.0443999999999998E-2</v>
      </c>
      <c r="DK202">
        <v>1</v>
      </c>
      <c r="DL202">
        <v>2</v>
      </c>
      <c r="DM202">
        <v>3</v>
      </c>
      <c r="DN202">
        <v>6</v>
      </c>
      <c r="DO202">
        <v>7</v>
      </c>
      <c r="DP202">
        <v>8</v>
      </c>
      <c r="DQ202">
        <v>12</v>
      </c>
      <c r="DR202">
        <v>15</v>
      </c>
      <c r="DS202">
        <v>18</v>
      </c>
      <c r="DT202">
        <v>22</v>
      </c>
      <c r="DU202">
        <v>24</v>
      </c>
      <c r="DV202">
        <v>26</v>
      </c>
      <c r="DW202">
        <v>31</v>
      </c>
      <c r="DX202">
        <v>37</v>
      </c>
      <c r="DY202">
        <v>47</v>
      </c>
      <c r="DZ202">
        <v>95.703610999999995</v>
      </c>
      <c r="EA202">
        <v>59.375965000000001</v>
      </c>
      <c r="EB202">
        <v>119.676214</v>
      </c>
      <c r="EC202">
        <v>1537</v>
      </c>
      <c r="ED202">
        <v>1922</v>
      </c>
      <c r="EE202">
        <v>94.084682000000001</v>
      </c>
      <c r="EF202">
        <v>100</v>
      </c>
      <c r="EG202">
        <v>55.607044000000002</v>
      </c>
      <c r="EH202">
        <v>97.930182000000002</v>
      </c>
      <c r="EI202">
        <v>112.079701</v>
      </c>
      <c r="EJ202">
        <v>197.384807</v>
      </c>
      <c r="EK202">
        <v>1511</v>
      </c>
      <c r="EL202">
        <v>1606</v>
      </c>
      <c r="EM202">
        <v>1800</v>
      </c>
      <c r="EN202">
        <v>3170</v>
      </c>
      <c r="EO202">
        <v>1606</v>
      </c>
      <c r="EP202">
        <v>3237</v>
      </c>
      <c r="EQ202">
        <v>44.344130999999997</v>
      </c>
    </row>
    <row r="203" spans="1:147" x14ac:dyDescent="0.25">
      <c r="A203">
        <v>2022</v>
      </c>
      <c r="B203" t="str">
        <f t="shared" si="6"/>
        <v>NE</v>
      </c>
      <c r="C203" t="s">
        <v>1161</v>
      </c>
      <c r="D203" t="s">
        <v>1161</v>
      </c>
      <c r="E203">
        <v>25432</v>
      </c>
      <c r="F203" t="s">
        <v>1157</v>
      </c>
      <c r="G203" t="s">
        <v>335</v>
      </c>
      <c r="H203" t="s">
        <v>1158</v>
      </c>
      <c r="I203">
        <v>54.88</v>
      </c>
      <c r="J203">
        <v>54.88</v>
      </c>
      <c r="K203" t="s">
        <v>190</v>
      </c>
      <c r="L203">
        <v>1</v>
      </c>
      <c r="M203">
        <v>2017</v>
      </c>
      <c r="N203">
        <v>2</v>
      </c>
      <c r="O203" t="str">
        <f t="shared" si="7"/>
        <v>Talhadia</v>
      </c>
      <c r="P203" s="2">
        <v>42748</v>
      </c>
      <c r="Q203" t="s">
        <v>174</v>
      </c>
      <c r="R203" t="s">
        <v>153</v>
      </c>
      <c r="S203" t="s">
        <v>154</v>
      </c>
      <c r="T203" t="s">
        <v>175</v>
      </c>
      <c r="U203" t="s">
        <v>156</v>
      </c>
      <c r="V203" s="2">
        <v>44795</v>
      </c>
      <c r="W203" t="s">
        <v>337</v>
      </c>
      <c r="X203">
        <v>70.88</v>
      </c>
      <c r="Y203">
        <v>19</v>
      </c>
      <c r="Z203">
        <v>12</v>
      </c>
      <c r="AA203">
        <v>16.2</v>
      </c>
      <c r="AB203">
        <v>7</v>
      </c>
      <c r="AC203">
        <v>307.8</v>
      </c>
      <c r="AD203">
        <v>298.82967282105398</v>
      </c>
      <c r="AE203" s="2">
        <v>44795</v>
      </c>
      <c r="AF203">
        <v>67</v>
      </c>
      <c r="AG203">
        <v>5.6043805612594104</v>
      </c>
      <c r="AH203">
        <v>19.122086994815099</v>
      </c>
      <c r="AI203">
        <v>16.86</v>
      </c>
      <c r="AJ203">
        <v>23.810129775229999</v>
      </c>
      <c r="AK203">
        <v>30</v>
      </c>
      <c r="AL203">
        <v>1003.91636870561</v>
      </c>
      <c r="AM203">
        <v>194.47149322089601</v>
      </c>
      <c r="AN203">
        <v>0.19371284230740801</v>
      </c>
      <c r="AO203" t="s">
        <v>153</v>
      </c>
      <c r="AP203" t="s">
        <v>264</v>
      </c>
      <c r="AQ203" t="s">
        <v>286</v>
      </c>
      <c r="AR203">
        <v>9</v>
      </c>
      <c r="AS203">
        <v>0.90352473183505488</v>
      </c>
      <c r="AT203" t="s">
        <v>1162</v>
      </c>
      <c r="AU203" t="s">
        <v>1163</v>
      </c>
      <c r="AV203">
        <v>3937</v>
      </c>
      <c r="AW203">
        <v>1521</v>
      </c>
      <c r="AX203">
        <v>1744</v>
      </c>
      <c r="AY203">
        <v>599</v>
      </c>
      <c r="AZ203">
        <v>73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-0.874</v>
      </c>
      <c r="BH203">
        <v>27.222999999999999</v>
      </c>
      <c r="BI203">
        <v>9.7255830000000003</v>
      </c>
      <c r="BJ203">
        <v>1.7968000000000001E-2</v>
      </c>
      <c r="BK203">
        <v>9.8648260000000008</v>
      </c>
      <c r="BL203">
        <v>97.314789000000005</v>
      </c>
      <c r="BM203">
        <v>1.0143169999999999</v>
      </c>
      <c r="BN203">
        <v>19.850999999999999</v>
      </c>
      <c r="BO203">
        <v>0.22209999999999999</v>
      </c>
      <c r="BP203">
        <v>1.314575</v>
      </c>
      <c r="BQ203">
        <v>9.3208900000000003</v>
      </c>
      <c r="BR203">
        <v>8.2720000000000002</v>
      </c>
      <c r="BS203">
        <v>8.1730319999999992</v>
      </c>
      <c r="BT203">
        <v>9.7255830000000003</v>
      </c>
      <c r="BU203">
        <v>5.3815369999999998</v>
      </c>
      <c r="BV203">
        <v>0.73198200000000002</v>
      </c>
      <c r="BW203">
        <v>-0.783308</v>
      </c>
      <c r="BX203">
        <v>0.553338</v>
      </c>
      <c r="BY203">
        <v>0.136017</v>
      </c>
      <c r="BZ203">
        <v>-0.14555499999999999</v>
      </c>
      <c r="CA203">
        <v>-0.44363999999999998</v>
      </c>
      <c r="CB203">
        <v>-0.22900000000000001</v>
      </c>
      <c r="CC203">
        <v>-0.11700000000000001</v>
      </c>
      <c r="CD203">
        <v>-5.7999999999999996E-3</v>
      </c>
      <c r="CE203">
        <v>3.6999999999999998E-2</v>
      </c>
      <c r="CF203">
        <v>8.2000000000000003E-2</v>
      </c>
      <c r="CG203">
        <v>0.20039999999999999</v>
      </c>
      <c r="CH203">
        <v>8.1910000000000007</v>
      </c>
      <c r="CI203">
        <v>15.190402000000001</v>
      </c>
      <c r="CJ203">
        <v>18.796399999999998</v>
      </c>
      <c r="CK203">
        <v>19.888000000000002</v>
      </c>
      <c r="CL203">
        <v>20.749200999999999</v>
      </c>
      <c r="CM203">
        <v>22.486197000000001</v>
      </c>
      <c r="CN203">
        <v>24.379200000000001</v>
      </c>
      <c r="CO203">
        <v>26.255835999999999</v>
      </c>
      <c r="CP203">
        <v>0.37724999999999997</v>
      </c>
      <c r="CQ203">
        <v>13.851969</v>
      </c>
      <c r="CR203">
        <v>15.836456999999999</v>
      </c>
      <c r="CS203">
        <v>1</v>
      </c>
      <c r="CT203">
        <v>46</v>
      </c>
      <c r="CU203">
        <v>10.286512999999999</v>
      </c>
      <c r="CV203">
        <v>1</v>
      </c>
      <c r="CW203">
        <v>8.1712930000000004</v>
      </c>
      <c r="CX203">
        <v>66.770024000000006</v>
      </c>
      <c r="CY203">
        <v>0.79437000000000002</v>
      </c>
      <c r="CZ203">
        <v>11</v>
      </c>
      <c r="DA203">
        <v>1.0079739999999999</v>
      </c>
      <c r="DB203">
        <v>3.6159729999999999</v>
      </c>
      <c r="DC203">
        <v>6.657146</v>
      </c>
      <c r="DD203">
        <v>10.286512999999999</v>
      </c>
      <c r="DE203">
        <v>4.4604210000000002</v>
      </c>
      <c r="DF203">
        <v>1.0236229999999999</v>
      </c>
      <c r="DG203">
        <v>0.32780900000000002</v>
      </c>
      <c r="DH203">
        <v>0.433618</v>
      </c>
      <c r="DI203">
        <v>0.22949</v>
      </c>
      <c r="DJ203">
        <v>7.3493000000000003E-2</v>
      </c>
      <c r="DK203">
        <v>1</v>
      </c>
      <c r="DL203">
        <v>1</v>
      </c>
      <c r="DM203">
        <v>2</v>
      </c>
      <c r="DN203">
        <v>3</v>
      </c>
      <c r="DO203">
        <v>4</v>
      </c>
      <c r="DP203">
        <v>4</v>
      </c>
      <c r="DQ203">
        <v>6</v>
      </c>
      <c r="DR203">
        <v>8</v>
      </c>
      <c r="DS203">
        <v>11</v>
      </c>
      <c r="DT203">
        <v>14</v>
      </c>
      <c r="DU203">
        <v>15</v>
      </c>
      <c r="DV203">
        <v>17</v>
      </c>
      <c r="DW203">
        <v>23</v>
      </c>
      <c r="DX203">
        <v>26</v>
      </c>
      <c r="DY203">
        <v>34</v>
      </c>
      <c r="DZ203">
        <v>95.003287</v>
      </c>
      <c r="EA203">
        <v>53.289307000000001</v>
      </c>
      <c r="EB203">
        <v>137.93556899999999</v>
      </c>
      <c r="EC203">
        <v>1445</v>
      </c>
      <c r="ED203">
        <v>2098</v>
      </c>
      <c r="EE203">
        <v>93.688362999999995</v>
      </c>
      <c r="EF203">
        <v>99.737015</v>
      </c>
      <c r="EG203">
        <v>48.590297</v>
      </c>
      <c r="EH203">
        <v>76.987554000000003</v>
      </c>
      <c r="EI203">
        <v>125.77251800000001</v>
      </c>
      <c r="EJ203">
        <v>199.276792</v>
      </c>
      <c r="EK203">
        <v>1425</v>
      </c>
      <c r="EL203">
        <v>1517</v>
      </c>
      <c r="EM203">
        <v>1913</v>
      </c>
      <c r="EN203">
        <v>3031</v>
      </c>
      <c r="EO203">
        <v>1521</v>
      </c>
      <c r="EP203">
        <v>3937</v>
      </c>
      <c r="EQ203">
        <v>36.167079000000001</v>
      </c>
    </row>
    <row r="204" spans="1:147" x14ac:dyDescent="0.25">
      <c r="A204">
        <v>2022</v>
      </c>
      <c r="B204" t="str">
        <f t="shared" si="6"/>
        <v>NE</v>
      </c>
      <c r="C204" t="s">
        <v>1164</v>
      </c>
      <c r="D204" t="s">
        <v>1164</v>
      </c>
      <c r="E204">
        <v>25437</v>
      </c>
      <c r="F204" t="s">
        <v>1157</v>
      </c>
      <c r="G204" t="s">
        <v>335</v>
      </c>
      <c r="H204" t="s">
        <v>1158</v>
      </c>
      <c r="I204">
        <v>54.88</v>
      </c>
      <c r="J204">
        <v>54.88</v>
      </c>
      <c r="K204" t="s">
        <v>190</v>
      </c>
      <c r="L204">
        <v>1</v>
      </c>
      <c r="M204">
        <v>2017</v>
      </c>
      <c r="N204">
        <v>2</v>
      </c>
      <c r="O204" t="str">
        <f t="shared" si="7"/>
        <v>Talhadia</v>
      </c>
      <c r="P204" s="2">
        <v>42748</v>
      </c>
      <c r="Q204" t="s">
        <v>174</v>
      </c>
      <c r="R204" t="s">
        <v>153</v>
      </c>
      <c r="S204" t="s">
        <v>154</v>
      </c>
      <c r="T204" t="s">
        <v>175</v>
      </c>
      <c r="U204" t="s">
        <v>156</v>
      </c>
      <c r="V204" s="2">
        <v>44795</v>
      </c>
      <c r="W204" t="s">
        <v>337</v>
      </c>
      <c r="X204">
        <v>70.88</v>
      </c>
      <c r="Y204">
        <v>19.7</v>
      </c>
      <c r="Z204">
        <v>16</v>
      </c>
      <c r="AA204">
        <v>16</v>
      </c>
      <c r="AB204">
        <v>3</v>
      </c>
      <c r="AC204">
        <v>315.2</v>
      </c>
      <c r="AD204">
        <v>302.57444972460502</v>
      </c>
      <c r="AE204" s="2">
        <v>44795</v>
      </c>
      <c r="AF204">
        <v>67</v>
      </c>
      <c r="AG204">
        <v>5.6043805612594104</v>
      </c>
      <c r="AH204">
        <v>20.428858316313701</v>
      </c>
      <c r="AI204">
        <v>15.375</v>
      </c>
      <c r="AJ204">
        <v>21.0252697218056</v>
      </c>
      <c r="AK204">
        <v>32</v>
      </c>
      <c r="AL204">
        <v>1057.5909508924301</v>
      </c>
      <c r="AM204">
        <v>191.337711963104</v>
      </c>
      <c r="AN204">
        <v>0.180918446590004</v>
      </c>
      <c r="AO204" t="s">
        <v>153</v>
      </c>
      <c r="AP204" t="s">
        <v>264</v>
      </c>
      <c r="AQ204" t="s">
        <v>286</v>
      </c>
      <c r="AR204">
        <v>9</v>
      </c>
      <c r="AS204">
        <v>0.95183185580319052</v>
      </c>
      <c r="AT204" t="s">
        <v>1165</v>
      </c>
      <c r="AU204" t="s">
        <v>1166</v>
      </c>
      <c r="AV204">
        <v>7068</v>
      </c>
      <c r="AW204">
        <v>2910</v>
      </c>
      <c r="AX204">
        <v>3035</v>
      </c>
      <c r="AY204">
        <v>1026</v>
      </c>
      <c r="AZ204">
        <v>97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-0.86</v>
      </c>
      <c r="BH204">
        <v>27.280000999999999</v>
      </c>
      <c r="BI204">
        <v>10.256389</v>
      </c>
      <c r="BJ204">
        <v>-0.41333300000000001</v>
      </c>
      <c r="BK204">
        <v>9.8038190000000007</v>
      </c>
      <c r="BL204">
        <v>96.114868000000001</v>
      </c>
      <c r="BM204">
        <v>0.955874</v>
      </c>
      <c r="BN204">
        <v>19.977</v>
      </c>
      <c r="BO204">
        <v>9.5544000000000004E-2</v>
      </c>
      <c r="BP204">
        <v>1.2828599999999999</v>
      </c>
      <c r="BQ204">
        <v>9.2394839999999991</v>
      </c>
      <c r="BR204">
        <v>11.2385</v>
      </c>
      <c r="BS204">
        <v>11.875833</v>
      </c>
      <c r="BT204">
        <v>10.256389</v>
      </c>
      <c r="BU204">
        <v>5.3835179999999996</v>
      </c>
      <c r="BV204">
        <v>0.472215</v>
      </c>
      <c r="BW204">
        <v>-0.81235100000000005</v>
      </c>
      <c r="BX204">
        <v>0.52489399999999997</v>
      </c>
      <c r="BY204">
        <v>8.7715000000000001E-2</v>
      </c>
      <c r="BZ204">
        <v>-0.150896</v>
      </c>
      <c r="CA204">
        <v>-0.41898999999999997</v>
      </c>
      <c r="CB204">
        <v>-0.19764999999999999</v>
      </c>
      <c r="CC204">
        <v>-0.108</v>
      </c>
      <c r="CD204">
        <v>-4.5999999999999999E-3</v>
      </c>
      <c r="CE204">
        <v>0.04</v>
      </c>
      <c r="CF204">
        <v>8.6999999999999994E-2</v>
      </c>
      <c r="CG204">
        <v>0.22700000000000001</v>
      </c>
      <c r="CH204">
        <v>11.4625</v>
      </c>
      <c r="CI204">
        <v>16.048003999999999</v>
      </c>
      <c r="CJ204">
        <v>18.825700999999999</v>
      </c>
      <c r="CK204">
        <v>20.016999999999999</v>
      </c>
      <c r="CL204">
        <v>21.029599999999999</v>
      </c>
      <c r="CM204">
        <v>22.733000000000001</v>
      </c>
      <c r="CN204">
        <v>23.808900999999999</v>
      </c>
      <c r="CO204">
        <v>25.826632</v>
      </c>
      <c r="CP204">
        <v>0.39503899999999997</v>
      </c>
      <c r="CQ204">
        <v>14.187839</v>
      </c>
      <c r="CR204">
        <v>16.038806000000001</v>
      </c>
      <c r="CS204">
        <v>1</v>
      </c>
      <c r="CT204">
        <v>44</v>
      </c>
      <c r="CU204">
        <v>10.497595</v>
      </c>
      <c r="CV204">
        <v>1</v>
      </c>
      <c r="CW204">
        <v>7.6259940000000004</v>
      </c>
      <c r="CX204">
        <v>58.155788999999999</v>
      </c>
      <c r="CY204">
        <v>0.72645199999999999</v>
      </c>
      <c r="CZ204">
        <v>11</v>
      </c>
      <c r="DA204">
        <v>0.94956300000000005</v>
      </c>
      <c r="DB204">
        <v>3.5127730000000001</v>
      </c>
      <c r="DC204">
        <v>6.1427779999999998</v>
      </c>
      <c r="DD204">
        <v>10.497595</v>
      </c>
      <c r="DE204">
        <v>4.1883100000000004</v>
      </c>
      <c r="DF204">
        <v>0.85711099999999996</v>
      </c>
      <c r="DG204">
        <v>0.38370799999999999</v>
      </c>
      <c r="DH204">
        <v>0.398978</v>
      </c>
      <c r="DI204">
        <v>0.20464399999999999</v>
      </c>
      <c r="DJ204">
        <v>9.1614000000000001E-2</v>
      </c>
      <c r="DK204">
        <v>1</v>
      </c>
      <c r="DL204">
        <v>1</v>
      </c>
      <c r="DM204">
        <v>2</v>
      </c>
      <c r="DN204">
        <v>4</v>
      </c>
      <c r="DO204">
        <v>4</v>
      </c>
      <c r="DP204">
        <v>5</v>
      </c>
      <c r="DQ204">
        <v>7</v>
      </c>
      <c r="DR204">
        <v>9</v>
      </c>
      <c r="DS204">
        <v>11</v>
      </c>
      <c r="DT204">
        <v>14</v>
      </c>
      <c r="DU204">
        <v>15</v>
      </c>
      <c r="DV204">
        <v>17</v>
      </c>
      <c r="DW204">
        <v>22</v>
      </c>
      <c r="DX204">
        <v>25</v>
      </c>
      <c r="DY204">
        <v>32</v>
      </c>
      <c r="DZ204">
        <v>96.907216000000005</v>
      </c>
      <c r="EA204">
        <v>55.645161000000002</v>
      </c>
      <c r="EB204">
        <v>135.154639</v>
      </c>
      <c r="EC204">
        <v>2820</v>
      </c>
      <c r="ED204">
        <v>3933</v>
      </c>
      <c r="EE204">
        <v>95.841924000000006</v>
      </c>
      <c r="EF204">
        <v>100</v>
      </c>
      <c r="EG204">
        <v>52.348613</v>
      </c>
      <c r="EH204">
        <v>98.981324000000001</v>
      </c>
      <c r="EI204">
        <v>127.147766</v>
      </c>
      <c r="EJ204">
        <v>240.41237100000001</v>
      </c>
      <c r="EK204">
        <v>2789</v>
      </c>
      <c r="EL204">
        <v>2910</v>
      </c>
      <c r="EM204">
        <v>3700</v>
      </c>
      <c r="EN204">
        <v>6996</v>
      </c>
      <c r="EO204">
        <v>2910</v>
      </c>
      <c r="EP204">
        <v>7068</v>
      </c>
      <c r="EQ204">
        <v>38.790401000000003</v>
      </c>
    </row>
    <row r="205" spans="1:147" x14ac:dyDescent="0.25">
      <c r="A205">
        <v>2022</v>
      </c>
      <c r="B205" t="str">
        <f t="shared" si="6"/>
        <v>NE</v>
      </c>
      <c r="C205" t="s">
        <v>1167</v>
      </c>
      <c r="D205" t="s">
        <v>1167</v>
      </c>
      <c r="E205">
        <v>25439</v>
      </c>
      <c r="F205" t="s">
        <v>1168</v>
      </c>
      <c r="G205" t="s">
        <v>335</v>
      </c>
      <c r="H205" t="s">
        <v>1169</v>
      </c>
      <c r="I205">
        <v>11.84</v>
      </c>
      <c r="J205">
        <v>11.84</v>
      </c>
      <c r="K205" t="s">
        <v>190</v>
      </c>
      <c r="L205">
        <v>1</v>
      </c>
      <c r="M205">
        <v>2017</v>
      </c>
      <c r="N205">
        <v>3</v>
      </c>
      <c r="O205" t="str">
        <f t="shared" si="7"/>
        <v>Alto fuste</v>
      </c>
      <c r="P205" s="2">
        <v>42824</v>
      </c>
      <c r="Q205" t="s">
        <v>174</v>
      </c>
      <c r="R205" t="s">
        <v>470</v>
      </c>
      <c r="S205" t="s">
        <v>154</v>
      </c>
      <c r="T205" t="s">
        <v>175</v>
      </c>
      <c r="U205" t="s">
        <v>156</v>
      </c>
      <c r="V205" s="2">
        <v>44796</v>
      </c>
      <c r="W205" t="s">
        <v>337</v>
      </c>
      <c r="X205">
        <v>437.57</v>
      </c>
      <c r="Y205">
        <v>19</v>
      </c>
      <c r="Z205">
        <v>14</v>
      </c>
      <c r="AA205">
        <v>15.5</v>
      </c>
      <c r="AB205">
        <v>4</v>
      </c>
      <c r="AC205">
        <v>294.5</v>
      </c>
      <c r="AD205">
        <v>285.05601365550899</v>
      </c>
      <c r="AE205" s="2">
        <v>44796</v>
      </c>
      <c r="AF205">
        <v>65</v>
      </c>
      <c r="AG205">
        <v>5.3990417522245</v>
      </c>
      <c r="AH205">
        <v>26.794338943872599</v>
      </c>
      <c r="AI205">
        <v>16.7846153846154</v>
      </c>
      <c r="AJ205">
        <v>20.530186220604602</v>
      </c>
      <c r="AK205">
        <v>26</v>
      </c>
      <c r="AL205">
        <v>912.10143812019601</v>
      </c>
      <c r="AM205">
        <v>237.753839198657</v>
      </c>
      <c r="AN205">
        <v>0.260666006281777</v>
      </c>
      <c r="AO205" t="s">
        <v>470</v>
      </c>
      <c r="AP205" t="s">
        <v>158</v>
      </c>
      <c r="AQ205" t="s">
        <v>338</v>
      </c>
      <c r="AR205">
        <v>9</v>
      </c>
      <c r="AS205">
        <v>0.82089129430817642</v>
      </c>
      <c r="AT205" t="s">
        <v>1170</v>
      </c>
      <c r="AU205" t="s">
        <v>1171</v>
      </c>
      <c r="AV205">
        <v>3022</v>
      </c>
      <c r="AW205">
        <v>1725</v>
      </c>
      <c r="AX205">
        <v>1155</v>
      </c>
      <c r="AY205">
        <v>137</v>
      </c>
      <c r="AZ205">
        <v>5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-0.65600000000000003</v>
      </c>
      <c r="BH205">
        <v>29.832999999999998</v>
      </c>
      <c r="BI205">
        <v>13.05505</v>
      </c>
      <c r="BJ205">
        <v>-0.17204800000000001</v>
      </c>
      <c r="BK205">
        <v>12.815535000000001</v>
      </c>
      <c r="BL205">
        <v>164.23794100000001</v>
      </c>
      <c r="BM205">
        <v>0.981653</v>
      </c>
      <c r="BN205">
        <v>26.410751000000001</v>
      </c>
      <c r="BO205">
        <v>8.2883999999999999E-2</v>
      </c>
      <c r="BP205">
        <v>1.0729409999999999</v>
      </c>
      <c r="BQ205">
        <v>12.607495999999999</v>
      </c>
      <c r="BR205">
        <v>4.7815000000000003</v>
      </c>
      <c r="BS205">
        <v>4.6325469999999997</v>
      </c>
      <c r="BT205">
        <v>13.05505</v>
      </c>
      <c r="BU205">
        <v>6.7644250000000001</v>
      </c>
      <c r="BV205">
        <v>0.33936899999999998</v>
      </c>
      <c r="BW205">
        <v>-1.438142</v>
      </c>
      <c r="BX205">
        <v>0.518146</v>
      </c>
      <c r="BY205">
        <v>5.0169999999999999E-2</v>
      </c>
      <c r="BZ205">
        <v>-0.21260399999999999</v>
      </c>
      <c r="CA205">
        <v>-0.29337000000000002</v>
      </c>
      <c r="CB205">
        <v>-0.15195</v>
      </c>
      <c r="CC205">
        <v>-8.09E-2</v>
      </c>
      <c r="CD205">
        <v>2.9000000000000001E-2</v>
      </c>
      <c r="CE205">
        <v>7.4249999999999997E-2</v>
      </c>
      <c r="CF205">
        <v>0.129</v>
      </c>
      <c r="CG205">
        <v>0.78939999999999999</v>
      </c>
      <c r="CH205">
        <v>4.4604999999999997</v>
      </c>
      <c r="CI205">
        <v>25.307600000000001</v>
      </c>
      <c r="CJ205">
        <v>26.1127</v>
      </c>
      <c r="CK205">
        <v>26.485001</v>
      </c>
      <c r="CL205">
        <v>26.8248</v>
      </c>
      <c r="CM205">
        <v>27.568999999999999</v>
      </c>
      <c r="CN205">
        <v>28.094798999999998</v>
      </c>
      <c r="CO205">
        <v>28.902691000000001</v>
      </c>
      <c r="CP205">
        <v>0.44970500000000002</v>
      </c>
      <c r="CQ205">
        <v>18.292565</v>
      </c>
      <c r="CR205">
        <v>20.668797000000001</v>
      </c>
      <c r="CS205">
        <v>1</v>
      </c>
      <c r="CT205">
        <v>64</v>
      </c>
      <c r="CU205">
        <v>21.616147999999999</v>
      </c>
      <c r="CV205">
        <v>24</v>
      </c>
      <c r="CW205">
        <v>13.859878999999999</v>
      </c>
      <c r="CX205">
        <v>192.096237</v>
      </c>
      <c r="CY205">
        <v>0.64118200000000003</v>
      </c>
      <c r="CZ205">
        <v>20</v>
      </c>
      <c r="DA205">
        <v>0.51293900000000003</v>
      </c>
      <c r="DB205">
        <v>2.6673749999999998</v>
      </c>
      <c r="DC205">
        <v>11.335352</v>
      </c>
      <c r="DD205">
        <v>21.616147999999999</v>
      </c>
      <c r="DE205">
        <v>7.8312580000000001</v>
      </c>
      <c r="DF205">
        <v>0.81123100000000004</v>
      </c>
      <c r="DG205">
        <v>0.60685</v>
      </c>
      <c r="DH205">
        <v>0.36228700000000003</v>
      </c>
      <c r="DI205">
        <v>0.103589</v>
      </c>
      <c r="DJ205">
        <v>7.7491000000000004E-2</v>
      </c>
      <c r="DK205">
        <v>1</v>
      </c>
      <c r="DL205">
        <v>2</v>
      </c>
      <c r="DM205">
        <v>4</v>
      </c>
      <c r="DN205">
        <v>8</v>
      </c>
      <c r="DO205">
        <v>10</v>
      </c>
      <c r="DP205">
        <v>12</v>
      </c>
      <c r="DQ205">
        <v>17</v>
      </c>
      <c r="DR205">
        <v>21</v>
      </c>
      <c r="DS205">
        <v>25</v>
      </c>
      <c r="DT205">
        <v>28</v>
      </c>
      <c r="DU205">
        <v>30</v>
      </c>
      <c r="DV205">
        <v>32</v>
      </c>
      <c r="DW205">
        <v>41</v>
      </c>
      <c r="DX205">
        <v>49</v>
      </c>
      <c r="DY205">
        <v>56</v>
      </c>
      <c r="DZ205">
        <v>84.173912999999999</v>
      </c>
      <c r="EA205">
        <v>54.731966</v>
      </c>
      <c r="EB205">
        <v>95.884057999999996</v>
      </c>
      <c r="EC205">
        <v>1452</v>
      </c>
      <c r="ED205">
        <v>1654</v>
      </c>
      <c r="EE205">
        <v>80.927536000000003</v>
      </c>
      <c r="EF205">
        <v>100</v>
      </c>
      <c r="EG205">
        <v>48.378557000000001</v>
      </c>
      <c r="EH205">
        <v>96.095301000000006</v>
      </c>
      <c r="EI205">
        <v>84.753623000000005</v>
      </c>
      <c r="EJ205">
        <v>168.347826</v>
      </c>
      <c r="EK205">
        <v>1396</v>
      </c>
      <c r="EL205">
        <v>1725</v>
      </c>
      <c r="EM205">
        <v>1462</v>
      </c>
      <c r="EN205">
        <v>2904</v>
      </c>
      <c r="EO205">
        <v>1725</v>
      </c>
      <c r="EP205">
        <v>3022</v>
      </c>
      <c r="EQ205">
        <v>44.244683000000002</v>
      </c>
    </row>
    <row r="206" spans="1:147" x14ac:dyDescent="0.25">
      <c r="A206">
        <v>2022</v>
      </c>
      <c r="B206" t="str">
        <f t="shared" si="6"/>
        <v>NE</v>
      </c>
      <c r="C206" t="s">
        <v>1172</v>
      </c>
      <c r="D206" t="s">
        <v>1172</v>
      </c>
      <c r="E206">
        <v>25444</v>
      </c>
      <c r="F206" t="s">
        <v>1168</v>
      </c>
      <c r="G206" t="s">
        <v>335</v>
      </c>
      <c r="H206" t="s">
        <v>1173</v>
      </c>
      <c r="I206">
        <v>36.08</v>
      </c>
      <c r="J206">
        <v>36.08</v>
      </c>
      <c r="K206" t="s">
        <v>190</v>
      </c>
      <c r="L206">
        <v>1</v>
      </c>
      <c r="M206">
        <v>2017</v>
      </c>
      <c r="N206">
        <v>3</v>
      </c>
      <c r="O206" t="str">
        <f t="shared" si="7"/>
        <v>Alto fuste</v>
      </c>
      <c r="P206" s="2">
        <v>42818</v>
      </c>
      <c r="Q206" t="s">
        <v>174</v>
      </c>
      <c r="R206" t="s">
        <v>314</v>
      </c>
      <c r="S206" t="s">
        <v>154</v>
      </c>
      <c r="T206" t="s">
        <v>175</v>
      </c>
      <c r="U206" t="s">
        <v>156</v>
      </c>
      <c r="V206" s="2">
        <v>44796</v>
      </c>
      <c r="W206" t="s">
        <v>337</v>
      </c>
      <c r="X206">
        <v>437.57</v>
      </c>
      <c r="Y206">
        <v>21</v>
      </c>
      <c r="Z206">
        <v>7</v>
      </c>
      <c r="AA206">
        <v>15</v>
      </c>
      <c r="AB206">
        <v>2</v>
      </c>
      <c r="AC206">
        <v>315</v>
      </c>
      <c r="AD206">
        <v>312.46157859318402</v>
      </c>
      <c r="AE206" s="2">
        <v>44796</v>
      </c>
      <c r="AF206">
        <v>65</v>
      </c>
      <c r="AG206">
        <v>5.4154688569473004</v>
      </c>
      <c r="AH206">
        <v>28.0141964774133</v>
      </c>
      <c r="AI206">
        <v>16.5612903225806</v>
      </c>
      <c r="AJ206">
        <v>21.9073351567157</v>
      </c>
      <c r="AK206">
        <v>31</v>
      </c>
      <c r="AL206">
        <v>992.12197991104404</v>
      </c>
      <c r="AM206">
        <v>269.17635361789797</v>
      </c>
      <c r="AN206">
        <v>0.27131376894001802</v>
      </c>
      <c r="AO206" t="s">
        <v>314</v>
      </c>
      <c r="AP206" t="s">
        <v>158</v>
      </c>
      <c r="AQ206" t="s">
        <v>1174</v>
      </c>
      <c r="AR206">
        <v>9</v>
      </c>
      <c r="AS206">
        <v>0.89290978191993953</v>
      </c>
      <c r="AT206" t="s">
        <v>1175</v>
      </c>
      <c r="AU206" t="s">
        <v>1176</v>
      </c>
      <c r="AV206">
        <v>3730</v>
      </c>
      <c r="AW206">
        <v>1712</v>
      </c>
      <c r="AX206">
        <v>1343</v>
      </c>
      <c r="AY206">
        <v>578</v>
      </c>
      <c r="AZ206">
        <v>97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-0.74299999999999999</v>
      </c>
      <c r="BH206">
        <v>30.867000999999998</v>
      </c>
      <c r="BI206">
        <v>14.450854</v>
      </c>
      <c r="BJ206">
        <v>-0.241254</v>
      </c>
      <c r="BK206">
        <v>11.762466999999999</v>
      </c>
      <c r="BL206">
        <v>138.35563099999999</v>
      </c>
      <c r="BM206">
        <v>0.81396299999999999</v>
      </c>
      <c r="BN206">
        <v>27.123750000000001</v>
      </c>
      <c r="BO206">
        <v>-5.5883000000000002E-2</v>
      </c>
      <c r="BP206">
        <v>1.3886799999999999</v>
      </c>
      <c r="BQ206">
        <v>10.577655</v>
      </c>
      <c r="BR206">
        <v>12.7935</v>
      </c>
      <c r="BS206">
        <v>15.315754</v>
      </c>
      <c r="BT206">
        <v>14.450854</v>
      </c>
      <c r="BU206">
        <v>6.6018090000000003</v>
      </c>
      <c r="BV206">
        <v>-4.7123999999999999E-2</v>
      </c>
      <c r="BW206">
        <v>-0.90162699999999996</v>
      </c>
      <c r="BX206">
        <v>0.45684599999999997</v>
      </c>
      <c r="BY206">
        <v>-7.1380000000000002E-3</v>
      </c>
      <c r="BZ206">
        <v>-0.136573</v>
      </c>
      <c r="CA206">
        <v>-0.34683999999999998</v>
      </c>
      <c r="CB206">
        <v>-0.14555000000000001</v>
      </c>
      <c r="CC206">
        <v>-6.4100000000000004E-2</v>
      </c>
      <c r="CD206">
        <v>5.2999999999999999E-2</v>
      </c>
      <c r="CE206">
        <v>0.11899999999999999</v>
      </c>
      <c r="CF206">
        <v>0.252</v>
      </c>
      <c r="CG206">
        <v>10.592798999999999</v>
      </c>
      <c r="CH206">
        <v>15.0745</v>
      </c>
      <c r="CI206">
        <v>18.840796999999998</v>
      </c>
      <c r="CJ206">
        <v>26.586300000000001</v>
      </c>
      <c r="CK206">
        <v>27.242750000000001</v>
      </c>
      <c r="CL206">
        <v>27.6936</v>
      </c>
      <c r="CM206">
        <v>28.628098999999999</v>
      </c>
      <c r="CN206">
        <v>29.312750000000001</v>
      </c>
      <c r="CO206">
        <v>30.279131</v>
      </c>
      <c r="CP206">
        <v>0.48066599999999998</v>
      </c>
      <c r="CQ206">
        <v>18.631847</v>
      </c>
      <c r="CR206">
        <v>20.741554000000001</v>
      </c>
      <c r="CS206">
        <v>1</v>
      </c>
      <c r="CT206">
        <v>58</v>
      </c>
      <c r="CU206">
        <v>14.489276</v>
      </c>
      <c r="CV206">
        <v>3.714286</v>
      </c>
      <c r="CW206">
        <v>11.101353</v>
      </c>
      <c r="CX206">
        <v>123.24003</v>
      </c>
      <c r="CY206">
        <v>0.766177</v>
      </c>
      <c r="CZ206">
        <v>17</v>
      </c>
      <c r="DA206">
        <v>0.93685499999999999</v>
      </c>
      <c r="DB206">
        <v>3.4109020000000001</v>
      </c>
      <c r="DC206">
        <v>9.0936889999999995</v>
      </c>
      <c r="DD206">
        <v>14.489276</v>
      </c>
      <c r="DE206">
        <v>6.1021320000000001</v>
      </c>
      <c r="DF206">
        <v>1.28965</v>
      </c>
      <c r="DG206">
        <v>0.43584299999999998</v>
      </c>
      <c r="DH206">
        <v>0.42114800000000002</v>
      </c>
      <c r="DI206">
        <v>0.211344</v>
      </c>
      <c r="DJ206">
        <v>7.1425000000000002E-2</v>
      </c>
      <c r="DK206">
        <v>1</v>
      </c>
      <c r="DL206">
        <v>1</v>
      </c>
      <c r="DM206">
        <v>3</v>
      </c>
      <c r="DN206">
        <v>4</v>
      </c>
      <c r="DO206">
        <v>5</v>
      </c>
      <c r="DP206">
        <v>6</v>
      </c>
      <c r="DQ206">
        <v>9</v>
      </c>
      <c r="DR206">
        <v>12</v>
      </c>
      <c r="DS206">
        <v>15</v>
      </c>
      <c r="DT206">
        <v>19</v>
      </c>
      <c r="DU206">
        <v>22</v>
      </c>
      <c r="DV206">
        <v>24</v>
      </c>
      <c r="DW206">
        <v>30</v>
      </c>
      <c r="DX206">
        <v>35</v>
      </c>
      <c r="DY206">
        <v>47</v>
      </c>
      <c r="DZ206">
        <v>97.371494999999996</v>
      </c>
      <c r="EA206">
        <v>67.935657000000006</v>
      </c>
      <c r="EB206">
        <v>148.01401899999999</v>
      </c>
      <c r="EC206">
        <v>1667</v>
      </c>
      <c r="ED206">
        <v>2534</v>
      </c>
      <c r="EE206">
        <v>89.661214999999999</v>
      </c>
      <c r="EF206">
        <v>100</v>
      </c>
      <c r="EG206">
        <v>51.849865999999999</v>
      </c>
      <c r="EH206">
        <v>97.613940999999997</v>
      </c>
      <c r="EI206">
        <v>112.96729000000001</v>
      </c>
      <c r="EJ206">
        <v>212.67523399999999</v>
      </c>
      <c r="EK206">
        <v>1535</v>
      </c>
      <c r="EL206">
        <v>1712</v>
      </c>
      <c r="EM206">
        <v>1934</v>
      </c>
      <c r="EN206">
        <v>3641</v>
      </c>
      <c r="EO206">
        <v>1712</v>
      </c>
      <c r="EP206">
        <v>3730</v>
      </c>
      <c r="EQ206">
        <v>46.755752000000001</v>
      </c>
    </row>
    <row r="207" spans="1:147" x14ac:dyDescent="0.25">
      <c r="A207">
        <v>2022</v>
      </c>
      <c r="B207" t="str">
        <f t="shared" si="6"/>
        <v>NE</v>
      </c>
      <c r="C207" t="s">
        <v>1177</v>
      </c>
      <c r="D207" t="s">
        <v>1177</v>
      </c>
      <c r="E207">
        <v>25445</v>
      </c>
      <c r="F207" t="s">
        <v>1168</v>
      </c>
      <c r="G207" t="s">
        <v>335</v>
      </c>
      <c r="H207" t="s">
        <v>1173</v>
      </c>
      <c r="I207">
        <v>36.08</v>
      </c>
      <c r="J207">
        <v>36.08</v>
      </c>
      <c r="K207" t="s">
        <v>190</v>
      </c>
      <c r="L207">
        <v>1</v>
      </c>
      <c r="M207">
        <v>2017</v>
      </c>
      <c r="N207">
        <v>3</v>
      </c>
      <c r="O207" t="str">
        <f t="shared" si="7"/>
        <v>Alto fuste</v>
      </c>
      <c r="P207" s="2">
        <v>42818</v>
      </c>
      <c r="Q207" t="s">
        <v>174</v>
      </c>
      <c r="R207" t="s">
        <v>314</v>
      </c>
      <c r="S207" t="s">
        <v>154</v>
      </c>
      <c r="T207" t="s">
        <v>175</v>
      </c>
      <c r="U207" t="s">
        <v>156</v>
      </c>
      <c r="V207" s="2">
        <v>44796</v>
      </c>
      <c r="W207" t="s">
        <v>337</v>
      </c>
      <c r="X207">
        <v>437.57</v>
      </c>
      <c r="Y207">
        <v>19</v>
      </c>
      <c r="Z207">
        <v>7</v>
      </c>
      <c r="AA207">
        <v>15</v>
      </c>
      <c r="AB207">
        <v>2</v>
      </c>
      <c r="AC207">
        <v>285</v>
      </c>
      <c r="AD207">
        <v>282.70333301288099</v>
      </c>
      <c r="AE207" s="2">
        <v>44796</v>
      </c>
      <c r="AF207">
        <v>65</v>
      </c>
      <c r="AG207">
        <v>5.4154688569473004</v>
      </c>
      <c r="AH207">
        <v>29.343468081357901</v>
      </c>
      <c r="AI207">
        <v>17.48</v>
      </c>
      <c r="AJ207">
        <v>21.7247961014338</v>
      </c>
      <c r="AK207">
        <v>25</v>
      </c>
      <c r="AL207">
        <v>884.31925204295101</v>
      </c>
      <c r="AM207">
        <v>277.96679979831902</v>
      </c>
      <c r="AN207">
        <v>0.31432856307963603</v>
      </c>
      <c r="AO207" t="s">
        <v>314</v>
      </c>
      <c r="AP207" t="s">
        <v>158</v>
      </c>
      <c r="AQ207" t="s">
        <v>1174</v>
      </c>
      <c r="AR207">
        <v>9</v>
      </c>
      <c r="AS207">
        <v>0.79588732683865526</v>
      </c>
      <c r="AT207" t="s">
        <v>1178</v>
      </c>
      <c r="AU207" t="s">
        <v>1179</v>
      </c>
      <c r="AV207">
        <v>6299</v>
      </c>
      <c r="AW207">
        <v>3375</v>
      </c>
      <c r="AX207">
        <v>2321</v>
      </c>
      <c r="AY207">
        <v>556</v>
      </c>
      <c r="AZ207">
        <v>47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-0.82399999999999995</v>
      </c>
      <c r="BH207">
        <v>29.628</v>
      </c>
      <c r="BI207">
        <v>13.141843</v>
      </c>
      <c r="BJ207">
        <v>-0.34063500000000002</v>
      </c>
      <c r="BK207">
        <v>12.518938</v>
      </c>
      <c r="BL207">
        <v>156.72381100000001</v>
      </c>
      <c r="BM207">
        <v>0.95260100000000003</v>
      </c>
      <c r="BN207">
        <v>26.757000999999999</v>
      </c>
      <c r="BO207">
        <v>8.0352000000000007E-2</v>
      </c>
      <c r="BP207">
        <v>1.1805760000000001</v>
      </c>
      <c r="BQ207">
        <v>11.889379999999999</v>
      </c>
      <c r="BR207">
        <v>12.628</v>
      </c>
      <c r="BS207">
        <v>12.890635</v>
      </c>
      <c r="BT207">
        <v>13.141843</v>
      </c>
      <c r="BU207">
        <v>6.7752100000000004</v>
      </c>
      <c r="BV207">
        <v>0.36018299999999998</v>
      </c>
      <c r="BW207">
        <v>-1.343183</v>
      </c>
      <c r="BX207">
        <v>0.51554500000000003</v>
      </c>
      <c r="BY207">
        <v>5.3162000000000001E-2</v>
      </c>
      <c r="BZ207">
        <v>-0.19825000000000001</v>
      </c>
      <c r="CA207">
        <v>-0.375</v>
      </c>
      <c r="CB207">
        <v>-0.16700000000000001</v>
      </c>
      <c r="CC207">
        <v>-9.4E-2</v>
      </c>
      <c r="CD207">
        <v>8.6E-3</v>
      </c>
      <c r="CE207">
        <v>4.7500000000000001E-2</v>
      </c>
      <c r="CF207">
        <v>8.8999999999999996E-2</v>
      </c>
      <c r="CG207">
        <v>0.21299999999999999</v>
      </c>
      <c r="CH207">
        <v>12.55</v>
      </c>
      <c r="CI207">
        <v>24.7666</v>
      </c>
      <c r="CJ207">
        <v>26.398599999999998</v>
      </c>
      <c r="CK207">
        <v>26.804500999999998</v>
      </c>
      <c r="CL207">
        <v>27.197400999999999</v>
      </c>
      <c r="CM207">
        <v>27.933600999999999</v>
      </c>
      <c r="CN207">
        <v>28.483000000000001</v>
      </c>
      <c r="CO207">
        <v>29.176020000000001</v>
      </c>
      <c r="CP207">
        <v>0.45861800000000003</v>
      </c>
      <c r="CQ207">
        <v>18.149571999999999</v>
      </c>
      <c r="CR207">
        <v>20.492172</v>
      </c>
      <c r="CS207">
        <v>1</v>
      </c>
      <c r="CT207">
        <v>62</v>
      </c>
      <c r="CU207">
        <v>17.669471000000001</v>
      </c>
      <c r="CV207">
        <v>1</v>
      </c>
      <c r="CW207">
        <v>13.254225</v>
      </c>
      <c r="CX207">
        <v>175.674474</v>
      </c>
      <c r="CY207">
        <v>0.75012000000000001</v>
      </c>
      <c r="CZ207">
        <v>18</v>
      </c>
      <c r="DA207">
        <v>0.85725799999999996</v>
      </c>
      <c r="DB207">
        <v>3.1546080000000001</v>
      </c>
      <c r="DC207">
        <v>10.610796000000001</v>
      </c>
      <c r="DD207">
        <v>17.669471000000001</v>
      </c>
      <c r="DE207">
        <v>7.3203829999999996</v>
      </c>
      <c r="DF207">
        <v>1.361445</v>
      </c>
      <c r="DG207">
        <v>0.67975799999999997</v>
      </c>
      <c r="DH207">
        <v>0.414296</v>
      </c>
      <c r="DI207">
        <v>0.18598000000000001</v>
      </c>
      <c r="DJ207">
        <v>9.2857999999999996E-2</v>
      </c>
      <c r="DK207">
        <v>1</v>
      </c>
      <c r="DL207">
        <v>1</v>
      </c>
      <c r="DM207">
        <v>2</v>
      </c>
      <c r="DN207">
        <v>5</v>
      </c>
      <c r="DO207">
        <v>7</v>
      </c>
      <c r="DP207">
        <v>8</v>
      </c>
      <c r="DQ207">
        <v>12</v>
      </c>
      <c r="DR207">
        <v>16</v>
      </c>
      <c r="DS207">
        <v>19</v>
      </c>
      <c r="DT207">
        <v>23</v>
      </c>
      <c r="DU207">
        <v>25</v>
      </c>
      <c r="DV207">
        <v>27</v>
      </c>
      <c r="DW207">
        <v>38</v>
      </c>
      <c r="DX207">
        <v>46</v>
      </c>
      <c r="DY207">
        <v>53</v>
      </c>
      <c r="DZ207">
        <v>84.592592999999994</v>
      </c>
      <c r="EA207">
        <v>57.374186000000002</v>
      </c>
      <c r="EB207">
        <v>107.081481</v>
      </c>
      <c r="EC207">
        <v>2855</v>
      </c>
      <c r="ED207">
        <v>3614</v>
      </c>
      <c r="EE207">
        <v>82.162963000000005</v>
      </c>
      <c r="EF207">
        <v>100</v>
      </c>
      <c r="EG207">
        <v>49.420543000000002</v>
      </c>
      <c r="EH207">
        <v>98.825209999999998</v>
      </c>
      <c r="EI207">
        <v>92.237037000000001</v>
      </c>
      <c r="EJ207">
        <v>184.444444</v>
      </c>
      <c r="EK207">
        <v>2773</v>
      </c>
      <c r="EL207">
        <v>3375</v>
      </c>
      <c r="EM207">
        <v>3113</v>
      </c>
      <c r="EN207">
        <v>6225</v>
      </c>
      <c r="EO207">
        <v>3375</v>
      </c>
      <c r="EP207">
        <v>6299</v>
      </c>
      <c r="EQ207">
        <v>44.105899000000001</v>
      </c>
    </row>
    <row r="208" spans="1:147" x14ac:dyDescent="0.25">
      <c r="A208">
        <v>2022</v>
      </c>
      <c r="B208" t="str">
        <f t="shared" si="6"/>
        <v>NE</v>
      </c>
      <c r="C208" t="s">
        <v>1180</v>
      </c>
      <c r="D208" t="s">
        <v>1180</v>
      </c>
      <c r="E208">
        <v>25454</v>
      </c>
      <c r="F208" t="s">
        <v>1181</v>
      </c>
      <c r="G208" t="s">
        <v>588</v>
      </c>
      <c r="H208" t="s">
        <v>1182</v>
      </c>
      <c r="I208">
        <v>25.22</v>
      </c>
      <c r="J208">
        <v>25.22</v>
      </c>
      <c r="K208" t="s">
        <v>190</v>
      </c>
      <c r="L208">
        <v>1</v>
      </c>
      <c r="M208">
        <v>2017</v>
      </c>
      <c r="N208">
        <v>2</v>
      </c>
      <c r="O208" t="str">
        <f t="shared" si="7"/>
        <v>Alto fuste</v>
      </c>
      <c r="P208" s="2">
        <v>43007</v>
      </c>
      <c r="Q208" t="s">
        <v>174</v>
      </c>
      <c r="R208" t="s">
        <v>427</v>
      </c>
      <c r="S208" t="s">
        <v>154</v>
      </c>
      <c r="T208" t="s">
        <v>175</v>
      </c>
      <c r="U208" t="s">
        <v>156</v>
      </c>
      <c r="V208" s="2">
        <v>44599</v>
      </c>
      <c r="W208" t="s">
        <v>590</v>
      </c>
      <c r="X208">
        <v>81.849999999999994</v>
      </c>
      <c r="Y208">
        <v>21</v>
      </c>
      <c r="Z208">
        <v>26</v>
      </c>
      <c r="AA208">
        <v>14.4</v>
      </c>
      <c r="AB208">
        <v>5</v>
      </c>
      <c r="AC208">
        <v>302.39999999999998</v>
      </c>
      <c r="AD208">
        <v>270.761056352536</v>
      </c>
      <c r="AE208" s="2">
        <v>44599</v>
      </c>
      <c r="AF208">
        <v>53</v>
      </c>
      <c r="AG208">
        <v>4.3586584531143098</v>
      </c>
      <c r="AH208">
        <v>23.123885735416799</v>
      </c>
      <c r="AI208">
        <v>16.178571428571399</v>
      </c>
      <c r="AJ208">
        <v>21.478159983751102</v>
      </c>
      <c r="AK208">
        <v>28</v>
      </c>
      <c r="AL208">
        <v>1034.1221288316799</v>
      </c>
      <c r="AM208">
        <v>210.43634255302001</v>
      </c>
      <c r="AN208">
        <v>0.20349273715935701</v>
      </c>
      <c r="AO208" t="s">
        <v>427</v>
      </c>
      <c r="AP208" t="s">
        <v>158</v>
      </c>
      <c r="AQ208" t="s">
        <v>599</v>
      </c>
      <c r="AR208">
        <v>9</v>
      </c>
      <c r="AS208">
        <v>0.93070991594851538</v>
      </c>
      <c r="AT208" t="s">
        <v>1183</v>
      </c>
      <c r="AU208" t="s">
        <v>1184</v>
      </c>
      <c r="AV208">
        <v>1123</v>
      </c>
      <c r="AW208">
        <v>1123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-2.92</v>
      </c>
      <c r="BH208">
        <v>23.318999999999999</v>
      </c>
      <c r="BI208">
        <v>18.472207000000001</v>
      </c>
      <c r="BJ208">
        <v>19.987064</v>
      </c>
      <c r="BK208">
        <v>3.943092</v>
      </c>
      <c r="BL208">
        <v>15.547974999999999</v>
      </c>
      <c r="BM208">
        <v>0.21346100000000001</v>
      </c>
      <c r="BN208">
        <v>2.7364999999999999</v>
      </c>
      <c r="BO208">
        <v>-2.88734</v>
      </c>
      <c r="BP208">
        <v>13.301619000000001</v>
      </c>
      <c r="BQ208">
        <v>2.4926010000000001</v>
      </c>
      <c r="BR208">
        <v>1.2050000000000001</v>
      </c>
      <c r="BS208">
        <v>1.1120639999999999</v>
      </c>
      <c r="BT208">
        <v>18.472207000000001</v>
      </c>
      <c r="BU208">
        <v>1.7509809999999999</v>
      </c>
      <c r="BV208">
        <v>-0.67988999999999999</v>
      </c>
      <c r="BW208">
        <v>0.54679</v>
      </c>
      <c r="BX208">
        <v>9.4789999999999999E-2</v>
      </c>
      <c r="BY208">
        <v>-0.388291</v>
      </c>
      <c r="BZ208">
        <v>0.312276</v>
      </c>
      <c r="CA208">
        <v>-7.7240000000000003E-2</v>
      </c>
      <c r="CB208">
        <v>11.229099</v>
      </c>
      <c r="CC208">
        <v>14.436</v>
      </c>
      <c r="CD208">
        <v>17.106999999999999</v>
      </c>
      <c r="CE208">
        <v>17.781500000000001</v>
      </c>
      <c r="CF208">
        <v>18.404599999999999</v>
      </c>
      <c r="CG208">
        <v>19.128</v>
      </c>
      <c r="CH208">
        <v>19.552</v>
      </c>
      <c r="CI208">
        <v>19.940999999999999</v>
      </c>
      <c r="CJ208">
        <v>20.335999999999999</v>
      </c>
      <c r="CK208">
        <v>20.518000000000001</v>
      </c>
      <c r="CL208">
        <v>20.767199999999999</v>
      </c>
      <c r="CM208">
        <v>21.437201000000002</v>
      </c>
      <c r="CN208">
        <v>22.065901</v>
      </c>
      <c r="CO208">
        <v>22.765560000000001</v>
      </c>
      <c r="CP208">
        <v>0.81528299999999998</v>
      </c>
      <c r="CQ208">
        <v>18.888000999999999</v>
      </c>
      <c r="CR208">
        <v>19.117570000000001</v>
      </c>
      <c r="CS208">
        <v>1</v>
      </c>
      <c r="CT208">
        <v>53</v>
      </c>
      <c r="CU208">
        <v>17.253785000000001</v>
      </c>
      <c r="CV208">
        <v>14.206348999999999</v>
      </c>
      <c r="CW208">
        <v>6.1126290000000001</v>
      </c>
      <c r="CX208">
        <v>37.364235000000001</v>
      </c>
      <c r="CY208">
        <v>0.35427799999999998</v>
      </c>
      <c r="CZ208">
        <v>7</v>
      </c>
      <c r="DA208">
        <v>0.87033700000000003</v>
      </c>
      <c r="DB208">
        <v>6.5629840000000002</v>
      </c>
      <c r="DC208">
        <v>4.5237090000000002</v>
      </c>
      <c r="DD208">
        <v>17.253785000000001</v>
      </c>
      <c r="DE208">
        <v>3.2707130000000002</v>
      </c>
      <c r="DF208">
        <v>0.21901300000000001</v>
      </c>
      <c r="DG208">
        <v>0.61888399999999999</v>
      </c>
      <c r="DH208">
        <v>0.18956500000000001</v>
      </c>
      <c r="DI208">
        <v>6.6961999999999994E-2</v>
      </c>
      <c r="DJ208">
        <v>0.18922</v>
      </c>
      <c r="DK208">
        <v>4</v>
      </c>
      <c r="DL208">
        <v>8</v>
      </c>
      <c r="DM208">
        <v>10</v>
      </c>
      <c r="DN208">
        <v>13</v>
      </c>
      <c r="DO208">
        <v>14</v>
      </c>
      <c r="DP208">
        <v>14</v>
      </c>
      <c r="DQ208">
        <v>16</v>
      </c>
      <c r="DR208">
        <v>17</v>
      </c>
      <c r="DS208">
        <v>18</v>
      </c>
      <c r="DT208">
        <v>20</v>
      </c>
      <c r="DU208">
        <v>21</v>
      </c>
      <c r="DV208">
        <v>22</v>
      </c>
      <c r="DW208">
        <v>24</v>
      </c>
      <c r="DX208">
        <v>27</v>
      </c>
      <c r="DY208">
        <v>37</v>
      </c>
      <c r="DZ208">
        <v>97.684773000000007</v>
      </c>
      <c r="EA208">
        <v>97.684773000000007</v>
      </c>
      <c r="EB208">
        <v>97.684773000000007</v>
      </c>
      <c r="EC208">
        <v>1097</v>
      </c>
      <c r="ED208">
        <v>1097</v>
      </c>
      <c r="EE208">
        <v>68.922528999999997</v>
      </c>
      <c r="EF208">
        <v>38.913623999999999</v>
      </c>
      <c r="EG208">
        <v>68.922528999999997</v>
      </c>
      <c r="EH208">
        <v>38.913623999999999</v>
      </c>
      <c r="EI208">
        <v>68.922528999999997</v>
      </c>
      <c r="EJ208">
        <v>38.913623999999999</v>
      </c>
      <c r="EK208">
        <v>774</v>
      </c>
      <c r="EL208">
        <v>437</v>
      </c>
      <c r="EM208">
        <v>774</v>
      </c>
      <c r="EN208">
        <v>437</v>
      </c>
      <c r="EO208">
        <v>1123</v>
      </c>
      <c r="EP208">
        <v>1123</v>
      </c>
      <c r="EQ208">
        <v>80.131986999999995</v>
      </c>
    </row>
    <row r="209" spans="1:147" x14ac:dyDescent="0.25">
      <c r="A209">
        <v>2022</v>
      </c>
      <c r="B209" t="str">
        <f t="shared" si="6"/>
        <v>RD</v>
      </c>
      <c r="C209" t="s">
        <v>1185</v>
      </c>
      <c r="D209" t="s">
        <v>1185</v>
      </c>
      <c r="E209">
        <v>25455</v>
      </c>
      <c r="F209" t="s">
        <v>1186</v>
      </c>
      <c r="G209" t="s">
        <v>813</v>
      </c>
      <c r="H209" t="s">
        <v>1187</v>
      </c>
      <c r="I209">
        <v>32.25</v>
      </c>
      <c r="J209">
        <v>32.25</v>
      </c>
      <c r="K209" t="s">
        <v>261</v>
      </c>
      <c r="L209">
        <v>1</v>
      </c>
      <c r="M209">
        <v>2017</v>
      </c>
      <c r="N209">
        <v>2</v>
      </c>
      <c r="O209" t="str">
        <f t="shared" si="7"/>
        <v>Talhadia</v>
      </c>
      <c r="P209" s="2">
        <v>43083</v>
      </c>
      <c r="Q209" t="s">
        <v>798</v>
      </c>
      <c r="R209" t="s">
        <v>165</v>
      </c>
      <c r="S209" t="s">
        <v>154</v>
      </c>
      <c r="T209" t="s">
        <v>221</v>
      </c>
      <c r="U209" t="s">
        <v>156</v>
      </c>
      <c r="V209" s="2">
        <v>44685</v>
      </c>
      <c r="W209" t="s">
        <v>816</v>
      </c>
      <c r="X209">
        <v>110.09</v>
      </c>
      <c r="Y209">
        <v>20.8</v>
      </c>
      <c r="Z209">
        <v>6</v>
      </c>
      <c r="AA209">
        <v>14.8</v>
      </c>
      <c r="AB209">
        <v>0</v>
      </c>
      <c r="AC209">
        <v>307.83999999999997</v>
      </c>
      <c r="AD209">
        <v>306.15362027016897</v>
      </c>
      <c r="AE209" s="2">
        <v>44685</v>
      </c>
      <c r="AF209">
        <v>53</v>
      </c>
      <c r="AG209">
        <v>4.3860369609856296</v>
      </c>
      <c r="AH209">
        <v>20.706210781254001</v>
      </c>
      <c r="AI209">
        <v>13.9147058823529</v>
      </c>
      <c r="AJ209">
        <v>17.507976563051098</v>
      </c>
      <c r="AK209">
        <v>34</v>
      </c>
      <c r="AL209">
        <v>1110.55358319775</v>
      </c>
      <c r="AM209">
        <v>163.42628722991699</v>
      </c>
      <c r="AN209">
        <v>0.14715749847868101</v>
      </c>
      <c r="AO209" t="s">
        <v>165</v>
      </c>
      <c r="AP209" t="s">
        <v>264</v>
      </c>
      <c r="AQ209" t="s">
        <v>294</v>
      </c>
      <c r="AR209">
        <v>7.5</v>
      </c>
      <c r="AS209">
        <v>0.83291518739831383</v>
      </c>
      <c r="AT209" t="s">
        <v>1188</v>
      </c>
      <c r="AU209" t="s">
        <v>1189</v>
      </c>
      <c r="AV209">
        <v>2779</v>
      </c>
      <c r="AW209">
        <v>1567</v>
      </c>
      <c r="AX209">
        <v>1077</v>
      </c>
      <c r="AY209">
        <v>132</v>
      </c>
      <c r="AZ209">
        <v>3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-0.73</v>
      </c>
      <c r="BH209">
        <v>25.559999000000001</v>
      </c>
      <c r="BI209">
        <v>10.208171999999999</v>
      </c>
      <c r="BJ209">
        <v>-0.31269799999999998</v>
      </c>
      <c r="BK209">
        <v>10.472452000000001</v>
      </c>
      <c r="BL209">
        <v>109.672246</v>
      </c>
      <c r="BM209">
        <v>1.0258890000000001</v>
      </c>
      <c r="BN209">
        <v>21.57</v>
      </c>
      <c r="BO209">
        <v>0.18174100000000001</v>
      </c>
      <c r="BP209">
        <v>1.1638790000000001</v>
      </c>
      <c r="BQ209">
        <v>10.129300000000001</v>
      </c>
      <c r="BR209">
        <v>6.03</v>
      </c>
      <c r="BS209">
        <v>6.1426980000000002</v>
      </c>
      <c r="BT209">
        <v>10.208171999999999</v>
      </c>
      <c r="BU209">
        <v>5.5952260000000003</v>
      </c>
      <c r="BV209">
        <v>0.63982099999999997</v>
      </c>
      <c r="BW209">
        <v>-1.050181</v>
      </c>
      <c r="BX209">
        <v>0.54811200000000004</v>
      </c>
      <c r="BY209">
        <v>0.11435099999999999</v>
      </c>
      <c r="BZ209">
        <v>-0.187692</v>
      </c>
      <c r="CA209">
        <v>-0.36</v>
      </c>
      <c r="CB209">
        <v>-0.151</v>
      </c>
      <c r="CC209">
        <v>-0.05</v>
      </c>
      <c r="CD209">
        <v>0.06</v>
      </c>
      <c r="CE209">
        <v>0.1</v>
      </c>
      <c r="CF209">
        <v>0.15</v>
      </c>
      <c r="CG209">
        <v>0.27</v>
      </c>
      <c r="CH209">
        <v>5.83</v>
      </c>
      <c r="CI209">
        <v>17.480001000000001</v>
      </c>
      <c r="CJ209">
        <v>21.1</v>
      </c>
      <c r="CK209">
        <v>21.67</v>
      </c>
      <c r="CL209">
        <v>22.18</v>
      </c>
      <c r="CM209">
        <v>23.219999000000001</v>
      </c>
      <c r="CN209">
        <v>23.851002000000001</v>
      </c>
      <c r="CO209">
        <v>24.774401000000001</v>
      </c>
      <c r="CP209">
        <v>0.41605799999999998</v>
      </c>
      <c r="CQ209">
        <v>14.623253999999999</v>
      </c>
      <c r="CR209">
        <v>16.666954</v>
      </c>
      <c r="CS209">
        <v>1</v>
      </c>
      <c r="CT209">
        <v>50</v>
      </c>
      <c r="CU209">
        <v>14.268802000000001</v>
      </c>
      <c r="CV209">
        <v>1</v>
      </c>
      <c r="CW209">
        <v>10.530393999999999</v>
      </c>
      <c r="CX209">
        <v>110.88920299999999</v>
      </c>
      <c r="CY209">
        <v>0.73800100000000002</v>
      </c>
      <c r="CZ209">
        <v>13</v>
      </c>
      <c r="DA209">
        <v>0.97175199999999995</v>
      </c>
      <c r="DB209">
        <v>3.2612000000000001</v>
      </c>
      <c r="DC209">
        <v>8.2522029999999997</v>
      </c>
      <c r="DD209">
        <v>14.268802000000001</v>
      </c>
      <c r="DE209">
        <v>5.7458390000000001</v>
      </c>
      <c r="DF209">
        <v>1.258856</v>
      </c>
      <c r="DG209">
        <v>0.66746099999999997</v>
      </c>
      <c r="DH209">
        <v>0.40268500000000002</v>
      </c>
      <c r="DI209">
        <v>0.21909000000000001</v>
      </c>
      <c r="DJ209">
        <v>0.116164</v>
      </c>
      <c r="DK209">
        <v>1</v>
      </c>
      <c r="DL209">
        <v>1.899994</v>
      </c>
      <c r="DM209">
        <v>3</v>
      </c>
      <c r="DN209">
        <v>5</v>
      </c>
      <c r="DO209">
        <v>6</v>
      </c>
      <c r="DP209">
        <v>7</v>
      </c>
      <c r="DQ209">
        <v>10</v>
      </c>
      <c r="DR209">
        <v>12</v>
      </c>
      <c r="DS209">
        <v>14</v>
      </c>
      <c r="DT209">
        <v>17</v>
      </c>
      <c r="DU209">
        <v>19</v>
      </c>
      <c r="DV209">
        <v>22</v>
      </c>
      <c r="DW209">
        <v>32</v>
      </c>
      <c r="DX209">
        <v>37</v>
      </c>
      <c r="DY209">
        <v>42</v>
      </c>
      <c r="DZ209">
        <v>79.514996999999994</v>
      </c>
      <c r="EA209">
        <v>50.917596000000003</v>
      </c>
      <c r="EB209">
        <v>90.299936000000002</v>
      </c>
      <c r="EC209">
        <v>1246</v>
      </c>
      <c r="ED209">
        <v>1415</v>
      </c>
      <c r="EE209">
        <v>77.026165000000006</v>
      </c>
      <c r="EF209">
        <v>100</v>
      </c>
      <c r="EG209">
        <v>47.499099999999999</v>
      </c>
      <c r="EH209">
        <v>98.524648999999997</v>
      </c>
      <c r="EI209">
        <v>84.237396000000004</v>
      </c>
      <c r="EJ209">
        <v>174.728781</v>
      </c>
      <c r="EK209">
        <v>1207</v>
      </c>
      <c r="EL209">
        <v>1567</v>
      </c>
      <c r="EM209">
        <v>1320</v>
      </c>
      <c r="EN209">
        <v>2738</v>
      </c>
      <c r="EO209">
        <v>1567</v>
      </c>
      <c r="EP209">
        <v>2779</v>
      </c>
      <c r="EQ209">
        <v>40.238705000000003</v>
      </c>
    </row>
    <row r="210" spans="1:147" x14ac:dyDescent="0.25">
      <c r="A210">
        <v>2022</v>
      </c>
      <c r="B210" t="str">
        <f t="shared" si="6"/>
        <v>NE</v>
      </c>
      <c r="C210" t="s">
        <v>1190</v>
      </c>
      <c r="D210" t="s">
        <v>1190</v>
      </c>
      <c r="E210">
        <v>25456</v>
      </c>
      <c r="F210" t="s">
        <v>1181</v>
      </c>
      <c r="G210" t="s">
        <v>588</v>
      </c>
      <c r="H210" t="s">
        <v>1182</v>
      </c>
      <c r="I210">
        <v>25.22</v>
      </c>
      <c r="J210">
        <v>25.22</v>
      </c>
      <c r="K210" t="s">
        <v>190</v>
      </c>
      <c r="L210">
        <v>1</v>
      </c>
      <c r="M210">
        <v>2017</v>
      </c>
      <c r="N210">
        <v>2</v>
      </c>
      <c r="O210" t="str">
        <f t="shared" si="7"/>
        <v>Alto fuste</v>
      </c>
      <c r="P210" s="2">
        <v>43007</v>
      </c>
      <c r="Q210" t="s">
        <v>174</v>
      </c>
      <c r="R210" t="s">
        <v>427</v>
      </c>
      <c r="S210" t="s">
        <v>154</v>
      </c>
      <c r="T210" t="s">
        <v>175</v>
      </c>
      <c r="U210" t="s">
        <v>156</v>
      </c>
      <c r="V210" s="2">
        <v>44599</v>
      </c>
      <c r="W210" t="s">
        <v>590</v>
      </c>
      <c r="X210">
        <v>81.849999999999994</v>
      </c>
      <c r="Y210">
        <v>19</v>
      </c>
      <c r="Z210">
        <v>28</v>
      </c>
      <c r="AA210">
        <v>14.4</v>
      </c>
      <c r="AB210">
        <v>8</v>
      </c>
      <c r="AC210">
        <v>273.60000000000002</v>
      </c>
      <c r="AD210">
        <v>239.22347535400499</v>
      </c>
      <c r="AE210" s="2">
        <v>44599</v>
      </c>
      <c r="AF210">
        <v>53</v>
      </c>
      <c r="AG210">
        <v>4.3586584531143098</v>
      </c>
      <c r="AH210">
        <v>24.903798629509101</v>
      </c>
      <c r="AI210">
        <v>16.308571428571401</v>
      </c>
      <c r="AJ210">
        <v>31.045791399436599</v>
      </c>
      <c r="AK210">
        <v>35</v>
      </c>
      <c r="AL210">
        <v>1463.06711530742</v>
      </c>
      <c r="AM210">
        <v>332.05788405793999</v>
      </c>
      <c r="AN210">
        <v>0.22696011726582199</v>
      </c>
      <c r="AO210" t="s">
        <v>427</v>
      </c>
      <c r="AP210" t="s">
        <v>158</v>
      </c>
      <c r="AQ210" t="s">
        <v>599</v>
      </c>
      <c r="AR210">
        <v>9</v>
      </c>
      <c r="AS210">
        <v>1.3167604037766789</v>
      </c>
      <c r="AT210" t="s">
        <v>1191</v>
      </c>
      <c r="AU210" t="s">
        <v>1192</v>
      </c>
      <c r="AV210">
        <v>1884</v>
      </c>
      <c r="AW210">
        <v>1884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-0.22</v>
      </c>
      <c r="BH210">
        <v>26.492999999999999</v>
      </c>
      <c r="BI210">
        <v>22.984352000000001</v>
      </c>
      <c r="BJ210">
        <v>23.524889000000002</v>
      </c>
      <c r="BK210">
        <v>4.26776</v>
      </c>
      <c r="BL210">
        <v>18.213774000000001</v>
      </c>
      <c r="BM210">
        <v>0.18568100000000001</v>
      </c>
      <c r="BN210">
        <v>1.558249</v>
      </c>
      <c r="BO210">
        <v>-4.5916829999999997</v>
      </c>
      <c r="BP210">
        <v>24.244206999999999</v>
      </c>
      <c r="BQ210">
        <v>1.846136</v>
      </c>
      <c r="BR210">
        <v>0.78100000000000003</v>
      </c>
      <c r="BS210">
        <v>0.80450100000000002</v>
      </c>
      <c r="BT210">
        <v>22.984352000000001</v>
      </c>
      <c r="BU210">
        <v>1.355259</v>
      </c>
      <c r="BV210">
        <v>-0.66936399999999996</v>
      </c>
      <c r="BW210">
        <v>0.65235900000000002</v>
      </c>
      <c r="BX210">
        <v>5.8964000000000003E-2</v>
      </c>
      <c r="BY210">
        <v>-0.49390099999999998</v>
      </c>
      <c r="BZ210">
        <v>0.481354</v>
      </c>
      <c r="CA210">
        <v>-2.112E-2</v>
      </c>
      <c r="CB210">
        <v>20.923399</v>
      </c>
      <c r="CC210">
        <v>22.151299999999999</v>
      </c>
      <c r="CD210">
        <v>22.718</v>
      </c>
      <c r="CE210">
        <v>22.969000000000001</v>
      </c>
      <c r="CF210">
        <v>23.162800000000001</v>
      </c>
      <c r="CG210">
        <v>23.455400000000001</v>
      </c>
      <c r="CH210">
        <v>23.721001000000001</v>
      </c>
      <c r="CI210">
        <v>24.015599999999999</v>
      </c>
      <c r="CJ210">
        <v>24.324200000000001</v>
      </c>
      <c r="CK210">
        <v>24.527248</v>
      </c>
      <c r="CL210">
        <v>24.750800999999999</v>
      </c>
      <c r="CM210">
        <v>25.243798999999999</v>
      </c>
      <c r="CN210">
        <v>25.578849999999999</v>
      </c>
      <c r="CO210">
        <v>26.01219</v>
      </c>
      <c r="CP210">
        <v>0.86865400000000004</v>
      </c>
      <c r="CQ210">
        <v>23.377009000000001</v>
      </c>
      <c r="CR210">
        <v>23.537841</v>
      </c>
      <c r="CS210">
        <v>1</v>
      </c>
      <c r="CT210">
        <v>37</v>
      </c>
      <c r="CU210">
        <v>15.144904</v>
      </c>
      <c r="CV210">
        <v>14.714286</v>
      </c>
      <c r="CW210">
        <v>6.0700219999999998</v>
      </c>
      <c r="CX210">
        <v>36.845162999999999</v>
      </c>
      <c r="CY210">
        <v>0.40079599999999999</v>
      </c>
      <c r="CZ210">
        <v>8</v>
      </c>
      <c r="DA210">
        <v>0.21266599999999999</v>
      </c>
      <c r="DB210">
        <v>2.9629029999999998</v>
      </c>
      <c r="DC210">
        <v>4.8181380000000003</v>
      </c>
      <c r="DD210">
        <v>15.144904</v>
      </c>
      <c r="DE210">
        <v>3.4186299999999998</v>
      </c>
      <c r="DF210">
        <v>0.13075899999999999</v>
      </c>
      <c r="DG210">
        <v>0.43606400000000001</v>
      </c>
      <c r="DH210">
        <v>0.22572800000000001</v>
      </c>
      <c r="DI210">
        <v>3.8248999999999998E-2</v>
      </c>
      <c r="DJ210">
        <v>0.127555</v>
      </c>
      <c r="DK210">
        <v>2</v>
      </c>
      <c r="DL210">
        <v>5.1500019999999997</v>
      </c>
      <c r="DM210">
        <v>7</v>
      </c>
      <c r="DN210">
        <v>10</v>
      </c>
      <c r="DO210">
        <v>11</v>
      </c>
      <c r="DP210">
        <v>12</v>
      </c>
      <c r="DQ210">
        <v>13</v>
      </c>
      <c r="DR210">
        <v>15</v>
      </c>
      <c r="DS210">
        <v>16</v>
      </c>
      <c r="DT210">
        <v>18</v>
      </c>
      <c r="DU210">
        <v>19</v>
      </c>
      <c r="DV210">
        <v>20</v>
      </c>
      <c r="DW210">
        <v>23</v>
      </c>
      <c r="DX210">
        <v>26</v>
      </c>
      <c r="DY210">
        <v>30</v>
      </c>
      <c r="DZ210">
        <v>97.292993999999993</v>
      </c>
      <c r="EA210">
        <v>97.292993999999993</v>
      </c>
      <c r="EB210">
        <v>97.292993999999993</v>
      </c>
      <c r="EC210">
        <v>1833</v>
      </c>
      <c r="ED210">
        <v>1833</v>
      </c>
      <c r="EE210">
        <v>74.628450000000001</v>
      </c>
      <c r="EF210">
        <v>57.112527</v>
      </c>
      <c r="EG210">
        <v>74.628450000000001</v>
      </c>
      <c r="EH210">
        <v>57.112527</v>
      </c>
      <c r="EI210">
        <v>74.628450000000001</v>
      </c>
      <c r="EJ210">
        <v>57.112527</v>
      </c>
      <c r="EK210">
        <v>1406</v>
      </c>
      <c r="EL210">
        <v>1076</v>
      </c>
      <c r="EM210">
        <v>1406</v>
      </c>
      <c r="EN210">
        <v>1076</v>
      </c>
      <c r="EO210">
        <v>1884</v>
      </c>
      <c r="EP210">
        <v>1884</v>
      </c>
      <c r="EQ210">
        <v>87.393915000000007</v>
      </c>
    </row>
    <row r="211" spans="1:147" x14ac:dyDescent="0.25">
      <c r="A211">
        <v>2022</v>
      </c>
      <c r="B211" t="str">
        <f t="shared" si="6"/>
        <v>RD</v>
      </c>
      <c r="C211" t="s">
        <v>1193</v>
      </c>
      <c r="D211" t="s">
        <v>1193</v>
      </c>
      <c r="E211">
        <v>25457</v>
      </c>
      <c r="F211" t="s">
        <v>1186</v>
      </c>
      <c r="G211" t="s">
        <v>813</v>
      </c>
      <c r="H211" t="s">
        <v>1187</v>
      </c>
      <c r="I211">
        <v>32.25</v>
      </c>
      <c r="J211">
        <v>32.25</v>
      </c>
      <c r="K211" t="s">
        <v>261</v>
      </c>
      <c r="L211">
        <v>1</v>
      </c>
      <c r="M211">
        <v>2017</v>
      </c>
      <c r="N211">
        <v>2</v>
      </c>
      <c r="O211" t="str">
        <f t="shared" si="7"/>
        <v>Talhadia</v>
      </c>
      <c r="P211" s="2">
        <v>43083</v>
      </c>
      <c r="Q211" t="s">
        <v>798</v>
      </c>
      <c r="R211" t="s">
        <v>165</v>
      </c>
      <c r="S211" t="s">
        <v>154</v>
      </c>
      <c r="T211" t="s">
        <v>221</v>
      </c>
      <c r="U211" t="s">
        <v>156</v>
      </c>
      <c r="V211" s="2">
        <v>44685</v>
      </c>
      <c r="W211" t="s">
        <v>816</v>
      </c>
      <c r="X211">
        <v>110.09</v>
      </c>
      <c r="Y211">
        <v>20</v>
      </c>
      <c r="Z211">
        <v>11</v>
      </c>
      <c r="AA211">
        <v>15</v>
      </c>
      <c r="AB211">
        <v>1</v>
      </c>
      <c r="AC211">
        <v>300</v>
      </c>
      <c r="AD211">
        <v>294.44330306190199</v>
      </c>
      <c r="AE211" s="2">
        <v>44685</v>
      </c>
      <c r="AF211">
        <v>53</v>
      </c>
      <c r="AG211">
        <v>4.3860369609856296</v>
      </c>
      <c r="AH211">
        <v>22.716868697579201</v>
      </c>
      <c r="AI211">
        <v>14.8037037037037</v>
      </c>
      <c r="AJ211">
        <v>16.436067370096598</v>
      </c>
      <c r="AK211">
        <v>27</v>
      </c>
      <c r="AL211">
        <v>916.98468666898805</v>
      </c>
      <c r="AM211">
        <v>170.597160039492</v>
      </c>
      <c r="AN211">
        <v>0.18604144924077101</v>
      </c>
      <c r="AO211" t="s">
        <v>165</v>
      </c>
      <c r="AP211" t="s">
        <v>264</v>
      </c>
      <c r="AQ211" t="s">
        <v>294</v>
      </c>
      <c r="AR211">
        <v>7.5</v>
      </c>
      <c r="AS211">
        <v>0.68773851500174077</v>
      </c>
      <c r="AT211" t="s">
        <v>1194</v>
      </c>
      <c r="AU211" t="s">
        <v>1195</v>
      </c>
      <c r="AV211">
        <v>2781</v>
      </c>
      <c r="AW211">
        <v>1596</v>
      </c>
      <c r="AX211">
        <v>1101</v>
      </c>
      <c r="AY211">
        <v>83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-0.65</v>
      </c>
      <c r="BH211">
        <v>27.02</v>
      </c>
      <c r="BI211">
        <v>10.716640999999999</v>
      </c>
      <c r="BJ211">
        <v>-0.21079400000000001</v>
      </c>
      <c r="BK211">
        <v>11.215574999999999</v>
      </c>
      <c r="BL211">
        <v>125.789134</v>
      </c>
      <c r="BM211">
        <v>1.046557</v>
      </c>
      <c r="BN211">
        <v>22.75</v>
      </c>
      <c r="BO211">
        <v>0.20260700000000001</v>
      </c>
      <c r="BP211">
        <v>1.1377790000000001</v>
      </c>
      <c r="BQ211">
        <v>10.946616000000001</v>
      </c>
      <c r="BR211">
        <v>1.78</v>
      </c>
      <c r="BS211">
        <v>1.790794</v>
      </c>
      <c r="BT211">
        <v>10.716640999999999</v>
      </c>
      <c r="BU211">
        <v>5.9277059999999997</v>
      </c>
      <c r="BV211">
        <v>0.74837699999999996</v>
      </c>
      <c r="BW211">
        <v>-1.12575</v>
      </c>
      <c r="BX211">
        <v>0.55313100000000004</v>
      </c>
      <c r="BY211">
        <v>0.126251</v>
      </c>
      <c r="BZ211">
        <v>-0.189913</v>
      </c>
      <c r="CA211">
        <v>-0.28399999999999997</v>
      </c>
      <c r="CB211">
        <v>-0.09</v>
      </c>
      <c r="CC211">
        <v>-0.01</v>
      </c>
      <c r="CD211">
        <v>0.1</v>
      </c>
      <c r="CE211">
        <v>0.15</v>
      </c>
      <c r="CF211">
        <v>0.19</v>
      </c>
      <c r="CG211">
        <v>0.31</v>
      </c>
      <c r="CH211">
        <v>1.58</v>
      </c>
      <c r="CI211">
        <v>19.860001</v>
      </c>
      <c r="CJ211">
        <v>22.219999000000001</v>
      </c>
      <c r="CK211">
        <v>22.9</v>
      </c>
      <c r="CL211">
        <v>23.59</v>
      </c>
      <c r="CM211">
        <v>24.709999</v>
      </c>
      <c r="CN211">
        <v>25.290001</v>
      </c>
      <c r="CO211">
        <v>26.17</v>
      </c>
      <c r="CP211">
        <v>0.41079300000000002</v>
      </c>
      <c r="CQ211">
        <v>15.510973999999999</v>
      </c>
      <c r="CR211">
        <v>17.7148</v>
      </c>
      <c r="CS211">
        <v>1</v>
      </c>
      <c r="CT211">
        <v>44</v>
      </c>
      <c r="CU211">
        <v>14.312837</v>
      </c>
      <c r="CV211">
        <v>1</v>
      </c>
      <c r="CW211">
        <v>10.11317</v>
      </c>
      <c r="CX211">
        <v>102.27619799999999</v>
      </c>
      <c r="CY211">
        <v>0.70657999999999999</v>
      </c>
      <c r="CZ211">
        <v>14</v>
      </c>
      <c r="DA211">
        <v>0.72437799999999997</v>
      </c>
      <c r="DB211">
        <v>2.6800039999999998</v>
      </c>
      <c r="DC211">
        <v>8.1493880000000001</v>
      </c>
      <c r="DD211">
        <v>14.312837</v>
      </c>
      <c r="DE211">
        <v>5.6414390000000001</v>
      </c>
      <c r="DF211">
        <v>0.98301899999999998</v>
      </c>
      <c r="DG211">
        <v>0.45425399999999999</v>
      </c>
      <c r="DH211">
        <v>0.394152</v>
      </c>
      <c r="DI211">
        <v>0.17424999999999999</v>
      </c>
      <c r="DJ211">
        <v>8.0520999999999995E-2</v>
      </c>
      <c r="DK211">
        <v>1</v>
      </c>
      <c r="DL211">
        <v>1</v>
      </c>
      <c r="DM211">
        <v>3</v>
      </c>
      <c r="DN211">
        <v>5</v>
      </c>
      <c r="DO211">
        <v>6</v>
      </c>
      <c r="DP211">
        <v>7</v>
      </c>
      <c r="DQ211">
        <v>10</v>
      </c>
      <c r="DR211">
        <v>13</v>
      </c>
      <c r="DS211">
        <v>15</v>
      </c>
      <c r="DT211">
        <v>18</v>
      </c>
      <c r="DU211">
        <v>20</v>
      </c>
      <c r="DV211">
        <v>22</v>
      </c>
      <c r="DW211">
        <v>31</v>
      </c>
      <c r="DX211">
        <v>34</v>
      </c>
      <c r="DY211">
        <v>39</v>
      </c>
      <c r="DZ211">
        <v>76.378445999999997</v>
      </c>
      <c r="EA211">
        <v>48.327939999999998</v>
      </c>
      <c r="EB211">
        <v>84.210526000000002</v>
      </c>
      <c r="EC211">
        <v>1219</v>
      </c>
      <c r="ED211">
        <v>1344</v>
      </c>
      <c r="EE211">
        <v>75.37594</v>
      </c>
      <c r="EF211">
        <v>100</v>
      </c>
      <c r="EG211">
        <v>47.105358000000003</v>
      </c>
      <c r="EH211">
        <v>98.238044000000002</v>
      </c>
      <c r="EI211">
        <v>82.080201000000002</v>
      </c>
      <c r="EJ211">
        <v>171.17794499999999</v>
      </c>
      <c r="EK211">
        <v>1203</v>
      </c>
      <c r="EL211">
        <v>1596</v>
      </c>
      <c r="EM211">
        <v>1310</v>
      </c>
      <c r="EN211">
        <v>2732</v>
      </c>
      <c r="EO211">
        <v>1596</v>
      </c>
      <c r="EP211">
        <v>2781</v>
      </c>
      <c r="EQ211">
        <v>39.969392999999997</v>
      </c>
    </row>
    <row r="212" spans="1:147" x14ac:dyDescent="0.25">
      <c r="A212">
        <v>2022</v>
      </c>
      <c r="B212" t="str">
        <f t="shared" si="6"/>
        <v>NE</v>
      </c>
      <c r="C212" t="s">
        <v>1196</v>
      </c>
      <c r="D212" t="s">
        <v>1196</v>
      </c>
      <c r="E212">
        <v>25458</v>
      </c>
      <c r="F212" t="s">
        <v>1181</v>
      </c>
      <c r="G212" t="s">
        <v>588</v>
      </c>
      <c r="H212" t="s">
        <v>1197</v>
      </c>
      <c r="I212">
        <v>19.579999999999998</v>
      </c>
      <c r="J212">
        <v>19.579999999999998</v>
      </c>
      <c r="K212" t="s">
        <v>190</v>
      </c>
      <c r="L212">
        <v>1</v>
      </c>
      <c r="M212">
        <v>2017</v>
      </c>
      <c r="N212">
        <v>2</v>
      </c>
      <c r="O212" t="str">
        <f t="shared" si="7"/>
        <v>Alto fuste</v>
      </c>
      <c r="P212" s="2">
        <v>43069</v>
      </c>
      <c r="Q212" t="s">
        <v>174</v>
      </c>
      <c r="R212" t="s">
        <v>314</v>
      </c>
      <c r="S212" t="s">
        <v>154</v>
      </c>
      <c r="T212" t="s">
        <v>175</v>
      </c>
      <c r="U212" t="s">
        <v>156</v>
      </c>
      <c r="V212" s="2">
        <v>44599</v>
      </c>
      <c r="W212" t="s">
        <v>590</v>
      </c>
      <c r="X212">
        <v>81.849999999999994</v>
      </c>
      <c r="Y212">
        <v>18.8</v>
      </c>
      <c r="Z212">
        <v>35</v>
      </c>
      <c r="AA212">
        <v>14.6</v>
      </c>
      <c r="AB212">
        <v>10</v>
      </c>
      <c r="AC212">
        <v>274.48</v>
      </c>
      <c r="AD212">
        <v>221.42501534295201</v>
      </c>
      <c r="AE212" s="2">
        <v>44599</v>
      </c>
      <c r="AF212">
        <v>51</v>
      </c>
      <c r="AG212">
        <v>4.1889117043121198</v>
      </c>
      <c r="AH212">
        <v>24.645436839315</v>
      </c>
      <c r="AI212">
        <v>15.2892857142857</v>
      </c>
      <c r="AJ212">
        <v>23.642034902937102</v>
      </c>
      <c r="AK212">
        <v>28</v>
      </c>
      <c r="AL212">
        <v>1264.5364371605699</v>
      </c>
      <c r="AM212">
        <v>251.96805204216199</v>
      </c>
      <c r="AN212">
        <v>0.19925724924774799</v>
      </c>
      <c r="AO212" t="s">
        <v>314</v>
      </c>
      <c r="AP212" t="s">
        <v>158</v>
      </c>
      <c r="AQ212" t="s">
        <v>599</v>
      </c>
      <c r="AR212">
        <v>9</v>
      </c>
      <c r="AS212">
        <v>1.138082793444509</v>
      </c>
      <c r="AT212" t="s">
        <v>1198</v>
      </c>
      <c r="AU212" t="s">
        <v>1199</v>
      </c>
      <c r="AV212">
        <v>4773</v>
      </c>
      <c r="AW212">
        <v>4773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-0.155</v>
      </c>
      <c r="BH212">
        <v>27.459999</v>
      </c>
      <c r="BI212">
        <v>22.968585999999998</v>
      </c>
      <c r="BJ212">
        <v>23.076665999999999</v>
      </c>
      <c r="BK212">
        <v>2.7921800000000001</v>
      </c>
      <c r="BL212">
        <v>7.7962680000000004</v>
      </c>
      <c r="BM212">
        <v>0.12156500000000001</v>
      </c>
      <c r="BN212">
        <v>2.4079989999999998</v>
      </c>
      <c r="BO212">
        <v>-4.6321830000000004</v>
      </c>
      <c r="BP212">
        <v>36.497081999999999</v>
      </c>
      <c r="BQ212">
        <v>1.6071169999999999</v>
      </c>
      <c r="BR212">
        <v>1.2069989999999999</v>
      </c>
      <c r="BS212">
        <v>1.2016659999999999</v>
      </c>
      <c r="BT212">
        <v>22.968585999999998</v>
      </c>
      <c r="BU212">
        <v>1.17943</v>
      </c>
      <c r="BV212">
        <v>-0.242284</v>
      </c>
      <c r="BW212">
        <v>0.303006</v>
      </c>
      <c r="BX212">
        <v>5.135E-2</v>
      </c>
      <c r="BY212">
        <v>-0.205425</v>
      </c>
      <c r="BZ212">
        <v>0.256909</v>
      </c>
      <c r="CA212">
        <v>10.17836</v>
      </c>
      <c r="CB212">
        <v>20.318999999999999</v>
      </c>
      <c r="CC212">
        <v>21.030999999999999</v>
      </c>
      <c r="CD212">
        <v>21.714001</v>
      </c>
      <c r="CE212">
        <v>22.024000000000001</v>
      </c>
      <c r="CF212">
        <v>22.283000999999999</v>
      </c>
      <c r="CG212">
        <v>22.814599999999999</v>
      </c>
      <c r="CH212">
        <v>23.235001</v>
      </c>
      <c r="CI212">
        <v>23.677999</v>
      </c>
      <c r="CJ212">
        <v>24.162400999999999</v>
      </c>
      <c r="CK212">
        <v>24.431999000000001</v>
      </c>
      <c r="CL212">
        <v>24.712999</v>
      </c>
      <c r="CM212">
        <v>25.343399000000002</v>
      </c>
      <c r="CN212">
        <v>25.875</v>
      </c>
      <c r="CO212">
        <v>26.655518000000001</v>
      </c>
      <c r="CP212">
        <v>0.83735599999999999</v>
      </c>
      <c r="CQ212">
        <v>23.137644000000002</v>
      </c>
      <c r="CR212">
        <v>23.240995999999999</v>
      </c>
      <c r="CS212">
        <v>1</v>
      </c>
      <c r="CT212">
        <v>67</v>
      </c>
      <c r="CU212">
        <v>27.317620000000002</v>
      </c>
      <c r="CV212">
        <v>23</v>
      </c>
      <c r="CW212">
        <v>11.88068</v>
      </c>
      <c r="CX212">
        <v>141.15056300000001</v>
      </c>
      <c r="CY212">
        <v>0.43490899999999999</v>
      </c>
      <c r="CZ212">
        <v>16</v>
      </c>
      <c r="DA212">
        <v>0.16523699999999999</v>
      </c>
      <c r="DB212">
        <v>2.7579799999999999</v>
      </c>
      <c r="DC212">
        <v>9.4527269999999994</v>
      </c>
      <c r="DD212">
        <v>27.317620000000002</v>
      </c>
      <c r="DE212">
        <v>6.7240950000000002</v>
      </c>
      <c r="DF212">
        <v>0.18757299999999999</v>
      </c>
      <c r="DG212">
        <v>0.82121200000000005</v>
      </c>
      <c r="DH212">
        <v>0.246145</v>
      </c>
      <c r="DI212">
        <v>2.7896000000000001E-2</v>
      </c>
      <c r="DJ212">
        <v>0.12213</v>
      </c>
      <c r="DK212">
        <v>2</v>
      </c>
      <c r="DL212">
        <v>8</v>
      </c>
      <c r="DM212">
        <v>12</v>
      </c>
      <c r="DN212">
        <v>17</v>
      </c>
      <c r="DO212">
        <v>19</v>
      </c>
      <c r="DP212">
        <v>21</v>
      </c>
      <c r="DQ212">
        <v>24</v>
      </c>
      <c r="DR212">
        <v>27</v>
      </c>
      <c r="DS212">
        <v>30</v>
      </c>
      <c r="DT212">
        <v>33</v>
      </c>
      <c r="DU212">
        <v>35</v>
      </c>
      <c r="DV212">
        <v>37</v>
      </c>
      <c r="DW212">
        <v>43</v>
      </c>
      <c r="DX212">
        <v>48</v>
      </c>
      <c r="DY212">
        <v>55</v>
      </c>
      <c r="DZ212">
        <v>99.287660000000002</v>
      </c>
      <c r="EA212">
        <v>99.287660000000002</v>
      </c>
      <c r="EB212">
        <v>99.287660000000002</v>
      </c>
      <c r="EC212">
        <v>4739</v>
      </c>
      <c r="ED212">
        <v>4739</v>
      </c>
      <c r="EE212">
        <v>56.358683999999997</v>
      </c>
      <c r="EF212">
        <v>54.116908000000002</v>
      </c>
      <c r="EG212">
        <v>56.358683999999997</v>
      </c>
      <c r="EH212">
        <v>54.116908000000002</v>
      </c>
      <c r="EI212">
        <v>56.358683999999997</v>
      </c>
      <c r="EJ212">
        <v>54.116908000000002</v>
      </c>
      <c r="EK212">
        <v>2690</v>
      </c>
      <c r="EL212">
        <v>2583</v>
      </c>
      <c r="EM212">
        <v>2690</v>
      </c>
      <c r="EN212">
        <v>2583</v>
      </c>
      <c r="EO212">
        <v>4773</v>
      </c>
      <c r="EP212">
        <v>4773</v>
      </c>
      <c r="EQ212">
        <v>85.208911999999998</v>
      </c>
    </row>
    <row r="213" spans="1:147" x14ac:dyDescent="0.25">
      <c r="A213">
        <v>2022</v>
      </c>
      <c r="B213" t="str">
        <f t="shared" si="6"/>
        <v>RD</v>
      </c>
      <c r="C213" t="s">
        <v>1200</v>
      </c>
      <c r="D213" t="s">
        <v>1200</v>
      </c>
      <c r="E213">
        <v>25464</v>
      </c>
      <c r="F213" t="s">
        <v>1186</v>
      </c>
      <c r="G213" t="s">
        <v>813</v>
      </c>
      <c r="H213" t="s">
        <v>1201</v>
      </c>
      <c r="I213">
        <v>68.16</v>
      </c>
      <c r="J213">
        <v>68.16</v>
      </c>
      <c r="K213" t="s">
        <v>261</v>
      </c>
      <c r="L213">
        <v>1</v>
      </c>
      <c r="M213">
        <v>2017</v>
      </c>
      <c r="N213">
        <v>2</v>
      </c>
      <c r="O213" t="str">
        <f t="shared" si="7"/>
        <v>Talhadia</v>
      </c>
      <c r="P213" s="2">
        <v>43089</v>
      </c>
      <c r="Q213" t="s">
        <v>798</v>
      </c>
      <c r="R213" t="s">
        <v>262</v>
      </c>
      <c r="S213" t="s">
        <v>154</v>
      </c>
      <c r="T213" t="s">
        <v>221</v>
      </c>
      <c r="U213" t="s">
        <v>156</v>
      </c>
      <c r="V213" s="2">
        <v>44686</v>
      </c>
      <c r="W213" t="s">
        <v>816</v>
      </c>
      <c r="X213">
        <v>110.09</v>
      </c>
      <c r="Y213">
        <v>20.6</v>
      </c>
      <c r="Z213">
        <v>8</v>
      </c>
      <c r="AA213">
        <v>15.2</v>
      </c>
      <c r="AB213">
        <v>4</v>
      </c>
      <c r="AC213">
        <v>313.12</v>
      </c>
      <c r="AD213">
        <v>309.31741607956297</v>
      </c>
      <c r="AE213" s="2">
        <v>44686</v>
      </c>
      <c r="AF213">
        <v>53</v>
      </c>
      <c r="AG213">
        <v>4.3723477070499701</v>
      </c>
      <c r="AH213">
        <v>24.090959392762802</v>
      </c>
      <c r="AI213">
        <v>12.648648648648599</v>
      </c>
      <c r="AJ213">
        <v>15.5638717147155</v>
      </c>
      <c r="AK213">
        <v>37</v>
      </c>
      <c r="AL213">
        <v>1196.1822411733499</v>
      </c>
      <c r="AM213">
        <v>176.28935624344601</v>
      </c>
      <c r="AN213">
        <v>0.147376670690682</v>
      </c>
      <c r="AO213" t="s">
        <v>262</v>
      </c>
      <c r="AP213" t="s">
        <v>264</v>
      </c>
      <c r="AQ213" t="s">
        <v>294</v>
      </c>
      <c r="AR213">
        <v>7.5</v>
      </c>
      <c r="AS213">
        <v>0.89713668088000953</v>
      </c>
      <c r="AT213" t="s">
        <v>1202</v>
      </c>
      <c r="AU213" t="s">
        <v>1203</v>
      </c>
      <c r="AV213">
        <v>3867</v>
      </c>
      <c r="AW213">
        <v>2180</v>
      </c>
      <c r="AX213">
        <v>1437</v>
      </c>
      <c r="AY213">
        <v>243</v>
      </c>
      <c r="AZ213">
        <v>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-1.1200000000000001</v>
      </c>
      <c r="BH213">
        <v>26.459999</v>
      </c>
      <c r="BI213">
        <v>10.307249000000001</v>
      </c>
      <c r="BJ213">
        <v>-0.24444399999999999</v>
      </c>
      <c r="BK213">
        <v>10.445323999999999</v>
      </c>
      <c r="BL213">
        <v>109.104799</v>
      </c>
      <c r="BM213">
        <v>1.013396</v>
      </c>
      <c r="BN213">
        <v>22.310001</v>
      </c>
      <c r="BO213">
        <v>0.264793</v>
      </c>
      <c r="BP213">
        <v>1.2807729999999999</v>
      </c>
      <c r="BQ213">
        <v>9.8896719999999991</v>
      </c>
      <c r="BR213">
        <v>6.75</v>
      </c>
      <c r="BS213">
        <v>6.9644440000000003</v>
      </c>
      <c r="BT213">
        <v>10.307249000000001</v>
      </c>
      <c r="BU213">
        <v>5.6762509999999997</v>
      </c>
      <c r="BV213">
        <v>0.80001299999999997</v>
      </c>
      <c r="BW213">
        <v>-0.92969599999999997</v>
      </c>
      <c r="BX213">
        <v>0.550705</v>
      </c>
      <c r="BY213">
        <v>0.14094000000000001</v>
      </c>
      <c r="BZ213">
        <v>-0.16378699999999999</v>
      </c>
      <c r="CA213">
        <v>-0.27</v>
      </c>
      <c r="CB213">
        <v>-7.0000000000000007E-2</v>
      </c>
      <c r="CC213">
        <v>0.02</v>
      </c>
      <c r="CD213">
        <v>0.15</v>
      </c>
      <c r="CE213">
        <v>0.22</v>
      </c>
      <c r="CF213">
        <v>0.28999999999999998</v>
      </c>
      <c r="CG213">
        <v>0.52</v>
      </c>
      <c r="CH213">
        <v>6.72</v>
      </c>
      <c r="CI213">
        <v>15.026001000000001</v>
      </c>
      <c r="CJ213">
        <v>21.111999999999998</v>
      </c>
      <c r="CK213">
        <v>22.530000999999999</v>
      </c>
      <c r="CL213">
        <v>23.138000000000002</v>
      </c>
      <c r="CM213">
        <v>24.184000000000001</v>
      </c>
      <c r="CN213">
        <v>24.870000999999998</v>
      </c>
      <c r="CO213">
        <v>25.676801999999999</v>
      </c>
      <c r="CP213">
        <v>0.414331</v>
      </c>
      <c r="CQ213">
        <v>14.673648</v>
      </c>
      <c r="CR213">
        <v>16.832919</v>
      </c>
      <c r="CS213">
        <v>1</v>
      </c>
      <c r="CT213">
        <v>40</v>
      </c>
      <c r="CU213">
        <v>8.4013449999999992</v>
      </c>
      <c r="CV213">
        <v>1</v>
      </c>
      <c r="CW213">
        <v>7.0595920000000003</v>
      </c>
      <c r="CX213">
        <v>49.837845999999999</v>
      </c>
      <c r="CY213">
        <v>0.84029299999999996</v>
      </c>
      <c r="CZ213">
        <v>9</v>
      </c>
      <c r="DA213">
        <v>1.163529</v>
      </c>
      <c r="DB213">
        <v>3.7097220000000002</v>
      </c>
      <c r="DC213">
        <v>5.6048809999999998</v>
      </c>
      <c r="DD213">
        <v>8.4013449999999992</v>
      </c>
      <c r="DE213">
        <v>3.77366</v>
      </c>
      <c r="DF213">
        <v>1.0548409999999999</v>
      </c>
      <c r="DG213">
        <v>0.39674500000000001</v>
      </c>
      <c r="DH213">
        <v>0.44917299999999999</v>
      </c>
      <c r="DI213">
        <v>0.27952700000000003</v>
      </c>
      <c r="DJ213">
        <v>0.10513500000000001</v>
      </c>
      <c r="DK213">
        <v>1</v>
      </c>
      <c r="DL213">
        <v>1</v>
      </c>
      <c r="DM213">
        <v>1</v>
      </c>
      <c r="DN213">
        <v>2</v>
      </c>
      <c r="DO213">
        <v>3</v>
      </c>
      <c r="DP213">
        <v>4</v>
      </c>
      <c r="DQ213">
        <v>5</v>
      </c>
      <c r="DR213">
        <v>6</v>
      </c>
      <c r="DS213">
        <v>8</v>
      </c>
      <c r="DT213">
        <v>10</v>
      </c>
      <c r="DU213">
        <v>12</v>
      </c>
      <c r="DV213">
        <v>14</v>
      </c>
      <c r="DW213">
        <v>20</v>
      </c>
      <c r="DX213">
        <v>23</v>
      </c>
      <c r="DY213">
        <v>29</v>
      </c>
      <c r="DZ213">
        <v>78.211009000000004</v>
      </c>
      <c r="EA213">
        <v>52.495474999999999</v>
      </c>
      <c r="EB213">
        <v>93.119265999999996</v>
      </c>
      <c r="EC213">
        <v>1705</v>
      </c>
      <c r="ED213">
        <v>2030</v>
      </c>
      <c r="EE213">
        <v>72.201835000000003</v>
      </c>
      <c r="EF213">
        <v>99.954127999999997</v>
      </c>
      <c r="EG213">
        <v>45.875355999999996</v>
      </c>
      <c r="EH213">
        <v>98.707008000000002</v>
      </c>
      <c r="EI213">
        <v>81.376147000000003</v>
      </c>
      <c r="EJ213">
        <v>175.09174300000001</v>
      </c>
      <c r="EK213">
        <v>1574</v>
      </c>
      <c r="EL213">
        <v>2179</v>
      </c>
      <c r="EM213">
        <v>1774</v>
      </c>
      <c r="EN213">
        <v>3817</v>
      </c>
      <c r="EO213">
        <v>2180</v>
      </c>
      <c r="EP213">
        <v>3867</v>
      </c>
      <c r="EQ213">
        <v>39.157508999999997</v>
      </c>
    </row>
    <row r="214" spans="1:147" x14ac:dyDescent="0.25">
      <c r="A214">
        <v>2022</v>
      </c>
      <c r="B214" t="str">
        <f t="shared" si="6"/>
        <v>NE</v>
      </c>
      <c r="C214" t="s">
        <v>1204</v>
      </c>
      <c r="D214" t="s">
        <v>1204</v>
      </c>
      <c r="E214">
        <v>25475</v>
      </c>
      <c r="F214" t="s">
        <v>1205</v>
      </c>
      <c r="G214" t="s">
        <v>468</v>
      </c>
      <c r="H214" t="s">
        <v>1206</v>
      </c>
      <c r="I214">
        <v>36.69</v>
      </c>
      <c r="J214">
        <v>36.69</v>
      </c>
      <c r="K214" t="s">
        <v>151</v>
      </c>
      <c r="L214">
        <v>1</v>
      </c>
      <c r="M214">
        <v>2017</v>
      </c>
      <c r="N214">
        <v>4</v>
      </c>
      <c r="O214" t="str">
        <f t="shared" si="7"/>
        <v>Alto fuste</v>
      </c>
      <c r="P214" s="2">
        <v>42818</v>
      </c>
      <c r="Q214" t="s">
        <v>174</v>
      </c>
      <c r="R214" t="s">
        <v>470</v>
      </c>
      <c r="S214" t="s">
        <v>154</v>
      </c>
      <c r="T214" t="s">
        <v>155</v>
      </c>
      <c r="U214" t="s">
        <v>156</v>
      </c>
      <c r="V214" s="2">
        <v>44818</v>
      </c>
      <c r="W214" t="s">
        <v>471</v>
      </c>
      <c r="X214">
        <v>537.13</v>
      </c>
      <c r="Y214">
        <v>21.4</v>
      </c>
      <c r="Z214">
        <v>22</v>
      </c>
      <c r="AA214">
        <v>14.7</v>
      </c>
      <c r="AB214">
        <v>2</v>
      </c>
      <c r="AC214">
        <v>314.58</v>
      </c>
      <c r="AD214">
        <v>291.49581735601998</v>
      </c>
      <c r="AE214" s="2">
        <v>44818</v>
      </c>
      <c r="AF214">
        <v>66</v>
      </c>
      <c r="AG214">
        <v>5.4757015742641997</v>
      </c>
      <c r="AH214">
        <v>25.274266218523799</v>
      </c>
      <c r="AI214">
        <v>15.415625</v>
      </c>
      <c r="AJ214">
        <v>20.941871520715001</v>
      </c>
      <c r="AK214">
        <v>32</v>
      </c>
      <c r="AL214">
        <v>1097.78590616676</v>
      </c>
      <c r="AM214">
        <v>233.50303784948801</v>
      </c>
      <c r="AN214">
        <v>0.21270362147828201</v>
      </c>
      <c r="AO214" t="s">
        <v>470</v>
      </c>
      <c r="AP214" t="s">
        <v>158</v>
      </c>
      <c r="AQ214" t="s">
        <v>901</v>
      </c>
      <c r="AR214">
        <v>9</v>
      </c>
      <c r="AS214">
        <v>0.98800731555008769</v>
      </c>
      <c r="AT214" t="s">
        <v>1207</v>
      </c>
      <c r="AU214" t="s">
        <v>1208</v>
      </c>
      <c r="AV214">
        <v>5475</v>
      </c>
      <c r="AW214">
        <v>2957</v>
      </c>
      <c r="AX214">
        <v>2150</v>
      </c>
      <c r="AY214">
        <v>360</v>
      </c>
      <c r="AZ214">
        <v>8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-1.2629999999999999</v>
      </c>
      <c r="BH214">
        <v>28.457001000000002</v>
      </c>
      <c r="BI214">
        <v>13.604551000000001</v>
      </c>
      <c r="BJ214">
        <v>-0.31950800000000001</v>
      </c>
      <c r="BK214">
        <v>12.099837000000001</v>
      </c>
      <c r="BL214">
        <v>146.40605300000001</v>
      </c>
      <c r="BM214">
        <v>0.88939599999999996</v>
      </c>
      <c r="BN214">
        <v>25.237499</v>
      </c>
      <c r="BO214">
        <v>-0.13309000000000001</v>
      </c>
      <c r="BP214">
        <v>1.119297</v>
      </c>
      <c r="BQ214">
        <v>11.756568</v>
      </c>
      <c r="BR214">
        <v>7.8019999999999996</v>
      </c>
      <c r="BS214">
        <v>19.580507000000001</v>
      </c>
      <c r="BT214">
        <v>13.604551000000001</v>
      </c>
      <c r="BU214">
        <v>6.4419029999999999</v>
      </c>
      <c r="BV214">
        <v>-0.23289399999999999</v>
      </c>
      <c r="BW214">
        <v>-1.318662</v>
      </c>
      <c r="BX214">
        <v>0.47351100000000002</v>
      </c>
      <c r="BY214">
        <v>-3.6152999999999998E-2</v>
      </c>
      <c r="BZ214">
        <v>-0.20470099999999999</v>
      </c>
      <c r="CA214">
        <v>-0.38725999999999999</v>
      </c>
      <c r="CB214">
        <v>-0.17100000000000001</v>
      </c>
      <c r="CC214">
        <v>-8.6599999999999996E-2</v>
      </c>
      <c r="CD214">
        <v>1.9E-2</v>
      </c>
      <c r="CE214">
        <v>7.0499999999999993E-2</v>
      </c>
      <c r="CF214">
        <v>0.129</v>
      </c>
      <c r="CG214">
        <v>0.57740000000000002</v>
      </c>
      <c r="CH214">
        <v>19.260999999999999</v>
      </c>
      <c r="CI214">
        <v>24.309401000000001</v>
      </c>
      <c r="CJ214">
        <v>24.9846</v>
      </c>
      <c r="CK214">
        <v>25.307998999999999</v>
      </c>
      <c r="CL214">
        <v>25.597200000000001</v>
      </c>
      <c r="CM214">
        <v>26.3262</v>
      </c>
      <c r="CN214">
        <v>26.951000000000001</v>
      </c>
      <c r="CO214">
        <v>27.760857000000001</v>
      </c>
      <c r="CP214">
        <v>0.50025399999999998</v>
      </c>
      <c r="CQ214">
        <v>18.206129000000001</v>
      </c>
      <c r="CR214">
        <v>20.211525999999999</v>
      </c>
      <c r="CS214">
        <v>1</v>
      </c>
      <c r="CT214">
        <v>60</v>
      </c>
      <c r="CU214">
        <v>12.8</v>
      </c>
      <c r="CV214">
        <v>1</v>
      </c>
      <c r="CW214">
        <v>9.4266780000000008</v>
      </c>
      <c r="CX214">
        <v>88.862257999999997</v>
      </c>
      <c r="CY214">
        <v>0.73645899999999997</v>
      </c>
      <c r="CZ214">
        <v>13</v>
      </c>
      <c r="DA214">
        <v>1.1752180000000001</v>
      </c>
      <c r="DB214">
        <v>4.8574070000000003</v>
      </c>
      <c r="DC214">
        <v>7.3359629999999996</v>
      </c>
      <c r="DD214">
        <v>12.8</v>
      </c>
      <c r="DE214">
        <v>5.0891710000000003</v>
      </c>
      <c r="DF214">
        <v>0.97943000000000002</v>
      </c>
      <c r="DG214">
        <v>0.59374899999999997</v>
      </c>
      <c r="DH214">
        <v>0.397592</v>
      </c>
      <c r="DI214">
        <v>0.19245399999999999</v>
      </c>
      <c r="DJ214">
        <v>0.11666899999999999</v>
      </c>
      <c r="DK214">
        <v>1</v>
      </c>
      <c r="DL214">
        <v>1</v>
      </c>
      <c r="DM214">
        <v>2</v>
      </c>
      <c r="DN214">
        <v>4</v>
      </c>
      <c r="DO214">
        <v>5</v>
      </c>
      <c r="DP214">
        <v>6</v>
      </c>
      <c r="DQ214">
        <v>9</v>
      </c>
      <c r="DR214">
        <v>11</v>
      </c>
      <c r="DS214">
        <v>14</v>
      </c>
      <c r="DT214">
        <v>16</v>
      </c>
      <c r="DU214">
        <v>18</v>
      </c>
      <c r="DV214">
        <v>20</v>
      </c>
      <c r="DW214">
        <v>25</v>
      </c>
      <c r="DX214">
        <v>31</v>
      </c>
      <c r="DY214">
        <v>45</v>
      </c>
      <c r="DZ214">
        <v>93.405479</v>
      </c>
      <c r="EA214">
        <v>58.210045999999998</v>
      </c>
      <c r="EB214">
        <v>107.778154</v>
      </c>
      <c r="EC214">
        <v>2762</v>
      </c>
      <c r="ED214">
        <v>3187</v>
      </c>
      <c r="EE214">
        <v>90.497124999999997</v>
      </c>
      <c r="EF214">
        <v>100</v>
      </c>
      <c r="EG214">
        <v>53.680365000000002</v>
      </c>
      <c r="EH214">
        <v>98.392694000000006</v>
      </c>
      <c r="EI214">
        <v>99.391274999999993</v>
      </c>
      <c r="EJ214">
        <v>182.17788300000001</v>
      </c>
      <c r="EK214">
        <v>2676</v>
      </c>
      <c r="EL214">
        <v>2957</v>
      </c>
      <c r="EM214">
        <v>2939</v>
      </c>
      <c r="EN214">
        <v>5387</v>
      </c>
      <c r="EO214">
        <v>2957</v>
      </c>
      <c r="EP214">
        <v>5475</v>
      </c>
      <c r="EQ214">
        <v>48.082621000000003</v>
      </c>
    </row>
    <row r="215" spans="1:147" x14ac:dyDescent="0.25">
      <c r="A215">
        <v>2022</v>
      </c>
      <c r="B215" t="str">
        <f t="shared" si="6"/>
        <v>NE</v>
      </c>
      <c r="C215" t="s">
        <v>1209</v>
      </c>
      <c r="D215" t="s">
        <v>1209</v>
      </c>
      <c r="E215">
        <v>25477</v>
      </c>
      <c r="F215" t="s">
        <v>1205</v>
      </c>
      <c r="G215" t="s">
        <v>468</v>
      </c>
      <c r="H215" t="s">
        <v>1206</v>
      </c>
      <c r="I215">
        <v>36.69</v>
      </c>
      <c r="J215">
        <v>36.69</v>
      </c>
      <c r="K215" t="s">
        <v>151</v>
      </c>
      <c r="L215">
        <v>1</v>
      </c>
      <c r="M215">
        <v>2017</v>
      </c>
      <c r="N215">
        <v>4</v>
      </c>
      <c r="O215" t="str">
        <f t="shared" si="7"/>
        <v>Alto fuste</v>
      </c>
      <c r="P215" s="2">
        <v>42818</v>
      </c>
      <c r="Q215" t="s">
        <v>174</v>
      </c>
      <c r="R215" t="s">
        <v>470</v>
      </c>
      <c r="S215" t="s">
        <v>154</v>
      </c>
      <c r="T215" t="s">
        <v>155</v>
      </c>
      <c r="U215" t="s">
        <v>156</v>
      </c>
      <c r="V215" s="2">
        <v>44818</v>
      </c>
      <c r="W215" t="s">
        <v>471</v>
      </c>
      <c r="X215">
        <v>537.13</v>
      </c>
      <c r="Y215">
        <v>19.8</v>
      </c>
      <c r="Z215">
        <v>14</v>
      </c>
      <c r="AA215">
        <v>15.8</v>
      </c>
      <c r="AB215">
        <v>3</v>
      </c>
      <c r="AC215">
        <v>312.83999999999997</v>
      </c>
      <c r="AD215">
        <v>303.13131396262202</v>
      </c>
      <c r="AE215" s="2">
        <v>44818</v>
      </c>
      <c r="AF215">
        <v>66</v>
      </c>
      <c r="AG215">
        <v>5.4757015742641997</v>
      </c>
      <c r="AH215">
        <v>27.784407328184599</v>
      </c>
      <c r="AI215">
        <v>15.284848484848499</v>
      </c>
      <c r="AJ215">
        <v>20.158888671809301</v>
      </c>
      <c r="AK215">
        <v>33</v>
      </c>
      <c r="AL215">
        <v>1088.6371179742</v>
      </c>
      <c r="AM215">
        <v>246.08231422718799</v>
      </c>
      <c r="AN215">
        <v>0.226046228044395</v>
      </c>
      <c r="AO215" t="s">
        <v>470</v>
      </c>
      <c r="AP215" t="s">
        <v>158</v>
      </c>
      <c r="AQ215" t="s">
        <v>901</v>
      </c>
      <c r="AR215">
        <v>9</v>
      </c>
      <c r="AS215">
        <v>0.97977340617677644</v>
      </c>
      <c r="AT215" t="s">
        <v>1210</v>
      </c>
      <c r="AU215" t="s">
        <v>1211</v>
      </c>
      <c r="AV215">
        <v>2471</v>
      </c>
      <c r="AW215">
        <v>1430</v>
      </c>
      <c r="AX215">
        <v>973</v>
      </c>
      <c r="AY215">
        <v>65</v>
      </c>
      <c r="AZ215">
        <v>3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-0.93200000000000005</v>
      </c>
      <c r="BH215">
        <v>28.559999000000001</v>
      </c>
      <c r="BI215">
        <v>12.190716</v>
      </c>
      <c r="BJ215">
        <v>4.254E-3</v>
      </c>
      <c r="BK215">
        <v>12.743926999999999</v>
      </c>
      <c r="BL215">
        <v>162.407678</v>
      </c>
      <c r="BM215">
        <v>1.04538</v>
      </c>
      <c r="BN215">
        <v>25.932500000000001</v>
      </c>
      <c r="BO215">
        <v>0.13585</v>
      </c>
      <c r="BP215">
        <v>1.0664830000000001</v>
      </c>
      <c r="BQ215">
        <v>12.577439</v>
      </c>
      <c r="BR215">
        <v>1.0980000000000001</v>
      </c>
      <c r="BS215">
        <v>0.78274600000000005</v>
      </c>
      <c r="BT215">
        <v>12.190716</v>
      </c>
      <c r="BU215">
        <v>6.6201610000000004</v>
      </c>
      <c r="BV215">
        <v>0.58066799999999996</v>
      </c>
      <c r="BW215">
        <v>-1.4310339999999999</v>
      </c>
      <c r="BX215">
        <v>0.543049</v>
      </c>
      <c r="BY215">
        <v>8.7711999999999998E-2</v>
      </c>
      <c r="BZ215">
        <v>-0.21616299999999999</v>
      </c>
      <c r="CA215">
        <v>-0.35680000000000001</v>
      </c>
      <c r="CB215">
        <v>-0.17899999999999999</v>
      </c>
      <c r="CC215">
        <v>-0.109</v>
      </c>
      <c r="CD215">
        <v>-2.4E-2</v>
      </c>
      <c r="CE215">
        <v>8.0000000000000002E-3</v>
      </c>
      <c r="CF215">
        <v>4.3999999999999997E-2</v>
      </c>
      <c r="CG215">
        <v>0.124</v>
      </c>
      <c r="CH215">
        <v>0.70699999999999996</v>
      </c>
      <c r="CI215">
        <v>24.507999000000002</v>
      </c>
      <c r="CJ215">
        <v>25.599001000000001</v>
      </c>
      <c r="CK215">
        <v>25.9405</v>
      </c>
      <c r="CL215">
        <v>26.27</v>
      </c>
      <c r="CM215">
        <v>26.908999999999999</v>
      </c>
      <c r="CN215">
        <v>27.341000000000001</v>
      </c>
      <c r="CO215">
        <v>27.996200999999999</v>
      </c>
      <c r="CP215">
        <v>0.44495800000000002</v>
      </c>
      <c r="CQ215">
        <v>17.633929999999999</v>
      </c>
      <c r="CR215">
        <v>20.024926000000001</v>
      </c>
      <c r="CS215">
        <v>1</v>
      </c>
      <c r="CT215">
        <v>54</v>
      </c>
      <c r="CU215">
        <v>17.394172000000001</v>
      </c>
      <c r="CV215">
        <v>1</v>
      </c>
      <c r="CW215">
        <v>12.088575000000001</v>
      </c>
      <c r="CX215">
        <v>146.133634</v>
      </c>
      <c r="CY215">
        <v>0.69497799999999998</v>
      </c>
      <c r="CZ215">
        <v>17</v>
      </c>
      <c r="DA215">
        <v>0.63539999999999996</v>
      </c>
      <c r="DB215">
        <v>2.4819469999999999</v>
      </c>
      <c r="DC215">
        <v>10.013731999999999</v>
      </c>
      <c r="DD215">
        <v>17.394172000000001</v>
      </c>
      <c r="DE215">
        <v>6.8011860000000004</v>
      </c>
      <c r="DF215">
        <v>1.0907750000000001</v>
      </c>
      <c r="DG215">
        <v>0.41495100000000001</v>
      </c>
      <c r="DH215">
        <v>0.39100400000000002</v>
      </c>
      <c r="DI215">
        <v>0.16037999999999999</v>
      </c>
      <c r="DJ215">
        <v>6.1011999999999997E-2</v>
      </c>
      <c r="DK215">
        <v>1</v>
      </c>
      <c r="DL215">
        <v>2</v>
      </c>
      <c r="DM215">
        <v>3</v>
      </c>
      <c r="DN215">
        <v>6</v>
      </c>
      <c r="DO215">
        <v>8</v>
      </c>
      <c r="DP215">
        <v>9</v>
      </c>
      <c r="DQ215">
        <v>12</v>
      </c>
      <c r="DR215">
        <v>15</v>
      </c>
      <c r="DS215">
        <v>19</v>
      </c>
      <c r="DT215">
        <v>23</v>
      </c>
      <c r="DU215">
        <v>25</v>
      </c>
      <c r="DV215">
        <v>28</v>
      </c>
      <c r="DW215">
        <v>37</v>
      </c>
      <c r="DX215">
        <v>41</v>
      </c>
      <c r="DY215">
        <v>46</v>
      </c>
      <c r="DZ215">
        <v>78.181818000000007</v>
      </c>
      <c r="EA215">
        <v>48.92756</v>
      </c>
      <c r="EB215">
        <v>84.545455000000004</v>
      </c>
      <c r="EC215">
        <v>1118</v>
      </c>
      <c r="ED215">
        <v>1209</v>
      </c>
      <c r="EE215">
        <v>76.923077000000006</v>
      </c>
      <c r="EF215">
        <v>94.545455000000004</v>
      </c>
      <c r="EG215">
        <v>47.511128999999997</v>
      </c>
      <c r="EH215">
        <v>75.556455</v>
      </c>
      <c r="EI215">
        <v>82.097902000000005</v>
      </c>
      <c r="EJ215">
        <v>130.55944099999999</v>
      </c>
      <c r="EK215">
        <v>1100</v>
      </c>
      <c r="EL215">
        <v>1352</v>
      </c>
      <c r="EM215">
        <v>1174</v>
      </c>
      <c r="EN215">
        <v>1867</v>
      </c>
      <c r="EO215">
        <v>1430</v>
      </c>
      <c r="EP215">
        <v>2471</v>
      </c>
      <c r="EQ215">
        <v>42.611356999999998</v>
      </c>
    </row>
    <row r="216" spans="1:147" x14ac:dyDescent="0.25">
      <c r="A216">
        <v>2022</v>
      </c>
      <c r="B216" t="str">
        <f t="shared" si="6"/>
        <v>NE</v>
      </c>
      <c r="C216" t="s">
        <v>1212</v>
      </c>
      <c r="D216" t="s">
        <v>1212</v>
      </c>
      <c r="E216">
        <v>25555</v>
      </c>
      <c r="F216" t="s">
        <v>1213</v>
      </c>
      <c r="G216" t="s">
        <v>151</v>
      </c>
      <c r="H216" t="s">
        <v>1214</v>
      </c>
      <c r="I216">
        <v>38.92</v>
      </c>
      <c r="J216">
        <v>38.92</v>
      </c>
      <c r="K216" t="s">
        <v>151</v>
      </c>
      <c r="L216">
        <v>1</v>
      </c>
      <c r="M216">
        <v>2017</v>
      </c>
      <c r="N216">
        <v>2</v>
      </c>
      <c r="O216" t="str">
        <f t="shared" si="7"/>
        <v>Talhadia</v>
      </c>
      <c r="P216" s="2">
        <v>42951</v>
      </c>
      <c r="Q216" t="s">
        <v>322</v>
      </c>
      <c r="R216" t="s">
        <v>165</v>
      </c>
      <c r="S216" t="s">
        <v>154</v>
      </c>
      <c r="T216" t="s">
        <v>155</v>
      </c>
      <c r="U216" t="s">
        <v>156</v>
      </c>
      <c r="V216" s="2">
        <v>44819</v>
      </c>
      <c r="W216" t="s">
        <v>485</v>
      </c>
      <c r="X216">
        <v>112.01</v>
      </c>
      <c r="Y216">
        <v>19.399999999999999</v>
      </c>
      <c r="Z216">
        <v>28</v>
      </c>
      <c r="AA216">
        <v>14.4</v>
      </c>
      <c r="AB216">
        <v>3</v>
      </c>
      <c r="AC216">
        <v>279.36</v>
      </c>
      <c r="AD216">
        <v>246.32220025535</v>
      </c>
      <c r="AE216" s="2">
        <v>44819</v>
      </c>
      <c r="AF216">
        <v>61</v>
      </c>
      <c r="AG216">
        <v>5.1143052703627703</v>
      </c>
      <c r="AH216">
        <v>22.158035859763501</v>
      </c>
      <c r="AI216">
        <v>16.970833333333299</v>
      </c>
      <c r="AJ216">
        <v>22.723254778260401</v>
      </c>
      <c r="AK216">
        <v>24</v>
      </c>
      <c r="AL216">
        <v>974.333615691982</v>
      </c>
      <c r="AM216">
        <v>223.75821727565199</v>
      </c>
      <c r="AN216">
        <v>0.22965256835230499</v>
      </c>
      <c r="AO216" t="s">
        <v>165</v>
      </c>
      <c r="AP216" t="s">
        <v>264</v>
      </c>
      <c r="AQ216" t="s">
        <v>486</v>
      </c>
      <c r="AR216">
        <v>9.99</v>
      </c>
      <c r="AS216">
        <v>0.97335928207629163</v>
      </c>
      <c r="AT216" t="s">
        <v>1215</v>
      </c>
      <c r="AU216" t="s">
        <v>1216</v>
      </c>
      <c r="AV216">
        <v>3964</v>
      </c>
      <c r="AW216">
        <v>2418</v>
      </c>
      <c r="AX216">
        <v>1447</v>
      </c>
      <c r="AY216">
        <v>98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-0.86099999999999999</v>
      </c>
      <c r="BH216">
        <v>27.584</v>
      </c>
      <c r="BI216">
        <v>14.106153000000001</v>
      </c>
      <c r="BJ216">
        <v>4.2015999999999998E-2</v>
      </c>
      <c r="BK216">
        <v>11.403551999999999</v>
      </c>
      <c r="BL216">
        <v>130.04099600000001</v>
      </c>
      <c r="BM216">
        <v>0.80840999999999996</v>
      </c>
      <c r="BN216">
        <v>23.91225</v>
      </c>
      <c r="BO216">
        <v>-0.35644900000000002</v>
      </c>
      <c r="BP216">
        <v>1.2020230000000001</v>
      </c>
      <c r="BQ216">
        <v>11.05963</v>
      </c>
      <c r="BR216">
        <v>3.55</v>
      </c>
      <c r="BS216">
        <v>21.555983999999999</v>
      </c>
      <c r="BT216">
        <v>14.106153000000001</v>
      </c>
      <c r="BU216">
        <v>5.9770000000000003</v>
      </c>
      <c r="BV216">
        <v>-0.76649299999999998</v>
      </c>
      <c r="BW216">
        <v>-1.042173</v>
      </c>
      <c r="BX216">
        <v>0.42371599999999998</v>
      </c>
      <c r="BY216">
        <v>-0.12823999999999999</v>
      </c>
      <c r="BZ216">
        <v>-0.17436399999999999</v>
      </c>
      <c r="CA216">
        <v>-0.48837000000000003</v>
      </c>
      <c r="CB216">
        <v>-0.17100000000000001</v>
      </c>
      <c r="CC216">
        <v>-5.2999999999999999E-2</v>
      </c>
      <c r="CD216">
        <v>0.1</v>
      </c>
      <c r="CE216">
        <v>0.16500000000000001</v>
      </c>
      <c r="CF216">
        <v>0.253</v>
      </c>
      <c r="CG216">
        <v>8.3163999999999998</v>
      </c>
      <c r="CH216">
        <v>21.597999999999999</v>
      </c>
      <c r="CI216">
        <v>23.001000999999999</v>
      </c>
      <c r="CJ216">
        <v>23.763801999999998</v>
      </c>
      <c r="CK216">
        <v>24.077249999999999</v>
      </c>
      <c r="CL216">
        <v>24.370999999999999</v>
      </c>
      <c r="CM216">
        <v>25.040700999999999</v>
      </c>
      <c r="CN216">
        <v>25.643847999999998</v>
      </c>
      <c r="CO216">
        <v>26.420589</v>
      </c>
      <c r="CP216">
        <v>0.52617899999999995</v>
      </c>
      <c r="CQ216">
        <v>18.138128999999999</v>
      </c>
      <c r="CR216">
        <v>19.815110000000001</v>
      </c>
      <c r="CS216">
        <v>1</v>
      </c>
      <c r="CT216">
        <v>60</v>
      </c>
      <c r="CU216">
        <v>16.717962</v>
      </c>
      <c r="CV216">
        <v>1</v>
      </c>
      <c r="CW216">
        <v>10.272131999999999</v>
      </c>
      <c r="CX216">
        <v>105.5167</v>
      </c>
      <c r="CY216">
        <v>0.61443700000000001</v>
      </c>
      <c r="CZ216">
        <v>17</v>
      </c>
      <c r="DA216">
        <v>0.23988999999999999</v>
      </c>
      <c r="DB216">
        <v>2.5666669999999998</v>
      </c>
      <c r="DC216">
        <v>8.6365879999999997</v>
      </c>
      <c r="DD216">
        <v>16.717962</v>
      </c>
      <c r="DE216">
        <v>5.8439220000000001</v>
      </c>
      <c r="DF216">
        <v>0.15626699999999999</v>
      </c>
      <c r="DG216">
        <v>0.228963</v>
      </c>
      <c r="DH216">
        <v>0.34955900000000001</v>
      </c>
      <c r="DI216">
        <v>2.674E-2</v>
      </c>
      <c r="DJ216">
        <v>3.918E-2</v>
      </c>
      <c r="DK216">
        <v>1</v>
      </c>
      <c r="DL216">
        <v>1</v>
      </c>
      <c r="DM216">
        <v>3</v>
      </c>
      <c r="DN216">
        <v>5</v>
      </c>
      <c r="DO216">
        <v>7</v>
      </c>
      <c r="DP216">
        <v>9.9000240000000002</v>
      </c>
      <c r="DQ216">
        <v>14</v>
      </c>
      <c r="DR216">
        <v>17</v>
      </c>
      <c r="DS216">
        <v>20</v>
      </c>
      <c r="DT216">
        <v>23</v>
      </c>
      <c r="DU216">
        <v>24</v>
      </c>
      <c r="DV216">
        <v>26</v>
      </c>
      <c r="DW216">
        <v>29.699950999999999</v>
      </c>
      <c r="DX216">
        <v>33</v>
      </c>
      <c r="DY216">
        <v>41</v>
      </c>
      <c r="DZ216">
        <v>96.153846000000001</v>
      </c>
      <c r="EA216">
        <v>61.730575000000002</v>
      </c>
      <c r="EB216">
        <v>101.199338</v>
      </c>
      <c r="EC216">
        <v>2325</v>
      </c>
      <c r="ED216">
        <v>2447</v>
      </c>
      <c r="EE216">
        <v>94.540942999999999</v>
      </c>
      <c r="EF216">
        <v>99.875930999999994</v>
      </c>
      <c r="EG216">
        <v>59.207870999999997</v>
      </c>
      <c r="EH216">
        <v>84.409687000000005</v>
      </c>
      <c r="EI216">
        <v>97.063688999999997</v>
      </c>
      <c r="EJ216">
        <v>138.37882500000001</v>
      </c>
      <c r="EK216">
        <v>2286</v>
      </c>
      <c r="EL216">
        <v>2415</v>
      </c>
      <c r="EM216">
        <v>2347</v>
      </c>
      <c r="EN216">
        <v>3346</v>
      </c>
      <c r="EO216">
        <v>2418</v>
      </c>
      <c r="EP216">
        <v>3964</v>
      </c>
      <c r="EQ216">
        <v>52.532488000000001</v>
      </c>
    </row>
    <row r="217" spans="1:147" x14ac:dyDescent="0.25">
      <c r="A217">
        <v>2022</v>
      </c>
      <c r="B217" t="str">
        <f t="shared" si="6"/>
        <v>NE</v>
      </c>
      <c r="C217" t="s">
        <v>1217</v>
      </c>
      <c r="D217" t="s">
        <v>1217</v>
      </c>
      <c r="E217">
        <v>25564</v>
      </c>
      <c r="F217" t="s">
        <v>1213</v>
      </c>
      <c r="G217" t="s">
        <v>151</v>
      </c>
      <c r="H217" t="s">
        <v>1218</v>
      </c>
      <c r="I217">
        <v>33.979999999999997</v>
      </c>
      <c r="J217">
        <v>33.979999999999997</v>
      </c>
      <c r="K217" t="s">
        <v>151</v>
      </c>
      <c r="L217">
        <v>1</v>
      </c>
      <c r="M217">
        <v>2017</v>
      </c>
      <c r="N217">
        <v>2</v>
      </c>
      <c r="O217" t="str">
        <f t="shared" si="7"/>
        <v>Talhadia</v>
      </c>
      <c r="P217" s="2">
        <v>43019</v>
      </c>
      <c r="Q217" t="s">
        <v>322</v>
      </c>
      <c r="R217" t="s">
        <v>164</v>
      </c>
      <c r="S217" t="s">
        <v>154</v>
      </c>
      <c r="T217" t="s">
        <v>155</v>
      </c>
      <c r="U217" t="s">
        <v>156</v>
      </c>
      <c r="V217" s="2">
        <v>44819</v>
      </c>
      <c r="W217" t="s">
        <v>485</v>
      </c>
      <c r="X217">
        <v>112.01</v>
      </c>
      <c r="Y217">
        <v>19.5</v>
      </c>
      <c r="Z217">
        <v>22</v>
      </c>
      <c r="AA217">
        <v>14.7</v>
      </c>
      <c r="AB217">
        <v>3</v>
      </c>
      <c r="AC217">
        <v>286.64999999999998</v>
      </c>
      <c r="AD217">
        <v>265.4130134248</v>
      </c>
      <c r="AE217" s="2">
        <v>44819</v>
      </c>
      <c r="AF217">
        <v>59</v>
      </c>
      <c r="AG217">
        <v>4.9281314168377799</v>
      </c>
      <c r="AH217">
        <v>22.9384940560881</v>
      </c>
      <c r="AI217">
        <v>14.19</v>
      </c>
      <c r="AJ217">
        <v>12.358021816959701</v>
      </c>
      <c r="AK217">
        <v>20</v>
      </c>
      <c r="AL217">
        <v>753.54255399638305</v>
      </c>
      <c r="AM217">
        <v>131.48129943485699</v>
      </c>
      <c r="AN217">
        <v>0.174484239460069</v>
      </c>
      <c r="AO217" t="s">
        <v>164</v>
      </c>
      <c r="AP217" t="s">
        <v>264</v>
      </c>
      <c r="AQ217" t="s">
        <v>486</v>
      </c>
      <c r="AR217">
        <v>9.99</v>
      </c>
      <c r="AS217">
        <v>0.75278901144238641</v>
      </c>
      <c r="AT217" t="s">
        <v>1219</v>
      </c>
      <c r="AU217" t="s">
        <v>1220</v>
      </c>
      <c r="AV217">
        <v>2583</v>
      </c>
      <c r="AW217">
        <v>1451</v>
      </c>
      <c r="AX217">
        <v>1000</v>
      </c>
      <c r="AY217">
        <v>130</v>
      </c>
      <c r="AZ217">
        <v>2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-0.74299999999999999</v>
      </c>
      <c r="BH217">
        <v>25.292000000000002</v>
      </c>
      <c r="BI217">
        <v>7.8558279999999998</v>
      </c>
      <c r="BJ217">
        <v>-0.32974599999999998</v>
      </c>
      <c r="BK217">
        <v>9.5610660000000003</v>
      </c>
      <c r="BL217">
        <v>91.413973999999996</v>
      </c>
      <c r="BM217">
        <v>1.2170669999999999</v>
      </c>
      <c r="BN217">
        <v>17.263999999999999</v>
      </c>
      <c r="BO217">
        <v>0.57093700000000003</v>
      </c>
      <c r="BP217">
        <v>1.568084</v>
      </c>
      <c r="BQ217">
        <v>9.0193440000000002</v>
      </c>
      <c r="BR217">
        <v>0.55300000000000005</v>
      </c>
      <c r="BS217">
        <v>0.74274600000000002</v>
      </c>
      <c r="BT217">
        <v>7.8558279999999998</v>
      </c>
      <c r="BU217">
        <v>4.9844039999999996</v>
      </c>
      <c r="BV217">
        <v>1.424866</v>
      </c>
      <c r="BW217">
        <v>-0.43612800000000002</v>
      </c>
      <c r="BX217">
        <v>0.63448499999999997</v>
      </c>
      <c r="BY217">
        <v>0.28586499999999998</v>
      </c>
      <c r="BZ217">
        <v>-8.7498999999999993E-2</v>
      </c>
      <c r="CA217">
        <v>-0.35743999999999998</v>
      </c>
      <c r="CB217">
        <v>-0.18590000000000001</v>
      </c>
      <c r="CC217">
        <v>-0.1008</v>
      </c>
      <c r="CD217">
        <v>4.4000000000000003E-3</v>
      </c>
      <c r="CE217">
        <v>5.8999999999999997E-2</v>
      </c>
      <c r="CF217">
        <v>0.11</v>
      </c>
      <c r="CG217">
        <v>0.20899999999999999</v>
      </c>
      <c r="CH217">
        <v>0.41299999999999998</v>
      </c>
      <c r="CI217">
        <v>10.995996</v>
      </c>
      <c r="CJ217">
        <v>15.964399999999999</v>
      </c>
      <c r="CK217">
        <v>17.323</v>
      </c>
      <c r="CL217">
        <v>18.202598999999999</v>
      </c>
      <c r="CM217">
        <v>22.99</v>
      </c>
      <c r="CN217">
        <v>23.961901000000001</v>
      </c>
      <c r="CO217">
        <v>24.746361</v>
      </c>
      <c r="CP217">
        <v>0.33028000000000002</v>
      </c>
      <c r="CQ217">
        <v>12.373060000000001</v>
      </c>
      <c r="CR217">
        <v>14.639074000000001</v>
      </c>
      <c r="CS217">
        <v>1</v>
      </c>
      <c r="CT217">
        <v>51</v>
      </c>
      <c r="CU217">
        <v>17.703832999999999</v>
      </c>
      <c r="CV217">
        <v>4.9682539999999999</v>
      </c>
      <c r="CW217">
        <v>12.194595</v>
      </c>
      <c r="CX217">
        <v>148.708146</v>
      </c>
      <c r="CY217">
        <v>0.68881099999999995</v>
      </c>
      <c r="CZ217">
        <v>18</v>
      </c>
      <c r="DA217">
        <v>0.62942200000000004</v>
      </c>
      <c r="DB217">
        <v>2.2545649999999999</v>
      </c>
      <c r="DC217">
        <v>10.093783999999999</v>
      </c>
      <c r="DD217">
        <v>17.703832999999999</v>
      </c>
      <c r="DE217">
        <v>6.8355620000000004</v>
      </c>
      <c r="DF217">
        <v>1.167891</v>
      </c>
      <c r="DG217">
        <v>0.330901</v>
      </c>
      <c r="DH217">
        <v>0.386106</v>
      </c>
      <c r="DI217">
        <v>0.17085500000000001</v>
      </c>
      <c r="DJ217">
        <v>4.8409000000000001E-2</v>
      </c>
      <c r="DK217">
        <v>1</v>
      </c>
      <c r="DL217">
        <v>2</v>
      </c>
      <c r="DM217">
        <v>4</v>
      </c>
      <c r="DN217">
        <v>6</v>
      </c>
      <c r="DO217">
        <v>8</v>
      </c>
      <c r="DP217">
        <v>9</v>
      </c>
      <c r="DQ217">
        <v>12</v>
      </c>
      <c r="DR217">
        <v>15</v>
      </c>
      <c r="DS217">
        <v>18</v>
      </c>
      <c r="DT217">
        <v>22</v>
      </c>
      <c r="DU217">
        <v>26</v>
      </c>
      <c r="DV217">
        <v>31</v>
      </c>
      <c r="DW217">
        <v>38</v>
      </c>
      <c r="DX217">
        <v>40</v>
      </c>
      <c r="DY217">
        <v>44</v>
      </c>
      <c r="DZ217">
        <v>65.609924000000007</v>
      </c>
      <c r="EA217">
        <v>41.656987999999998</v>
      </c>
      <c r="EB217">
        <v>74.155754999999999</v>
      </c>
      <c r="EC217">
        <v>952</v>
      </c>
      <c r="ED217">
        <v>1076</v>
      </c>
      <c r="EE217">
        <v>65.127498000000003</v>
      </c>
      <c r="EF217">
        <v>100</v>
      </c>
      <c r="EG217">
        <v>41.037553000000003</v>
      </c>
      <c r="EH217">
        <v>98.644986000000003</v>
      </c>
      <c r="EI217">
        <v>73.053066999999999</v>
      </c>
      <c r="EJ217">
        <v>175.60303200000001</v>
      </c>
      <c r="EK217">
        <v>945</v>
      </c>
      <c r="EL217">
        <v>1451</v>
      </c>
      <c r="EM217">
        <v>1060</v>
      </c>
      <c r="EN217">
        <v>2548</v>
      </c>
      <c r="EO217">
        <v>1451</v>
      </c>
      <c r="EP217">
        <v>2583</v>
      </c>
      <c r="EQ217">
        <v>30.811039000000001</v>
      </c>
    </row>
    <row r="218" spans="1:147" x14ac:dyDescent="0.25">
      <c r="A218">
        <v>2022</v>
      </c>
      <c r="B218" t="str">
        <f t="shared" si="6"/>
        <v>RD</v>
      </c>
      <c r="C218" t="s">
        <v>1221</v>
      </c>
      <c r="D218" t="s">
        <v>1221</v>
      </c>
      <c r="E218">
        <v>25767</v>
      </c>
      <c r="F218" t="s">
        <v>1222</v>
      </c>
      <c r="G218" t="s">
        <v>1223</v>
      </c>
      <c r="H218" t="s">
        <v>1224</v>
      </c>
      <c r="I218">
        <v>37.770000000000003</v>
      </c>
      <c r="J218">
        <v>37.770000000000003</v>
      </c>
      <c r="K218" t="s">
        <v>527</v>
      </c>
      <c r="L218">
        <v>1</v>
      </c>
      <c r="M218">
        <v>2017</v>
      </c>
      <c r="N218">
        <v>3</v>
      </c>
      <c r="O218" t="str">
        <f t="shared" si="7"/>
        <v>Alto fuste</v>
      </c>
      <c r="P218" s="2">
        <v>43089</v>
      </c>
      <c r="Q218" t="s">
        <v>174</v>
      </c>
      <c r="R218" t="s">
        <v>367</v>
      </c>
      <c r="S218" t="s">
        <v>154</v>
      </c>
      <c r="T218" t="s">
        <v>527</v>
      </c>
      <c r="U218" t="s">
        <v>156</v>
      </c>
      <c r="V218" s="2">
        <v>44679</v>
      </c>
      <c r="W218" t="s">
        <v>1225</v>
      </c>
      <c r="X218">
        <v>65.47</v>
      </c>
      <c r="Y218">
        <v>21.6</v>
      </c>
      <c r="Z218">
        <v>30</v>
      </c>
      <c r="AA218">
        <v>14.3</v>
      </c>
      <c r="AB218">
        <v>7</v>
      </c>
      <c r="AC218">
        <v>308.88</v>
      </c>
      <c r="AD218">
        <v>265.504037738899</v>
      </c>
      <c r="AE218" s="2">
        <v>44679</v>
      </c>
      <c r="AF218">
        <v>52</v>
      </c>
      <c r="AG218">
        <v>4.3531827515400403</v>
      </c>
      <c r="AH218">
        <v>20.9230293985757</v>
      </c>
      <c r="AI218">
        <v>13.255263157894699</v>
      </c>
      <c r="AJ218">
        <v>20.2202784951198</v>
      </c>
      <c r="AK218">
        <v>38</v>
      </c>
      <c r="AL218">
        <v>1431.2400038665301</v>
      </c>
      <c r="AM218">
        <v>190.09761626219799</v>
      </c>
      <c r="AN218">
        <v>0.13282022284777201</v>
      </c>
      <c r="AO218" t="s">
        <v>367</v>
      </c>
      <c r="AP218" t="s">
        <v>158</v>
      </c>
      <c r="AQ218" t="s">
        <v>1226</v>
      </c>
      <c r="AR218">
        <v>9</v>
      </c>
      <c r="AS218">
        <v>1.2881160034798731</v>
      </c>
      <c r="AT218" t="s">
        <v>1227</v>
      </c>
      <c r="AU218" t="s">
        <v>1228</v>
      </c>
      <c r="AV218">
        <v>4985</v>
      </c>
      <c r="AW218">
        <v>2998</v>
      </c>
      <c r="AX218">
        <v>1920</v>
      </c>
      <c r="AY218">
        <v>66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-0.86399999999999999</v>
      </c>
      <c r="BH218">
        <v>24.858999000000001</v>
      </c>
      <c r="BI218">
        <v>10.296203999999999</v>
      </c>
      <c r="BJ218">
        <v>-4.7397000000000002E-2</v>
      </c>
      <c r="BK218">
        <v>9.9782089999999997</v>
      </c>
      <c r="BL218">
        <v>99.564660000000003</v>
      </c>
      <c r="BM218">
        <v>0.96911499999999995</v>
      </c>
      <c r="BN218">
        <v>20.387</v>
      </c>
      <c r="BO218">
        <v>7.6153999999999999E-2</v>
      </c>
      <c r="BP218">
        <v>1.0865089999999999</v>
      </c>
      <c r="BQ218">
        <v>9.8424820000000004</v>
      </c>
      <c r="BR218">
        <v>4.2359999999999998</v>
      </c>
      <c r="BS218">
        <v>3.814397</v>
      </c>
      <c r="BT218">
        <v>10.296203999999999</v>
      </c>
      <c r="BU218">
        <v>5.3117109999999998</v>
      </c>
      <c r="BV218">
        <v>0.32095899999999999</v>
      </c>
      <c r="BW218">
        <v>-1.0287010000000001</v>
      </c>
      <c r="BX218">
        <v>0.51588999999999996</v>
      </c>
      <c r="BY218">
        <v>6.0425E-2</v>
      </c>
      <c r="BZ218">
        <v>-0.19366700000000001</v>
      </c>
      <c r="CA218">
        <v>-0.39932000000000001</v>
      </c>
      <c r="CB218">
        <v>-0.1208</v>
      </c>
      <c r="CC218">
        <v>-8.0000000000000002E-3</v>
      </c>
      <c r="CD218">
        <v>0.16600000000000001</v>
      </c>
      <c r="CE218">
        <v>0.26200000000000001</v>
      </c>
      <c r="CF218">
        <v>0.40899999999999997</v>
      </c>
      <c r="CG218">
        <v>0.97960000000000003</v>
      </c>
      <c r="CH218">
        <v>3.7669999999999999</v>
      </c>
      <c r="CI218">
        <v>18.736601</v>
      </c>
      <c r="CJ218">
        <v>20.173399</v>
      </c>
      <c r="CK218">
        <v>20.649000000000001</v>
      </c>
      <c r="CL218">
        <v>21.0124</v>
      </c>
      <c r="CM218">
        <v>21.962599000000001</v>
      </c>
      <c r="CN218">
        <v>22.577798999999999</v>
      </c>
      <c r="CO218">
        <v>23.507480999999999</v>
      </c>
      <c r="CP218">
        <v>0.433861</v>
      </c>
      <c r="CQ218">
        <v>14.337242</v>
      </c>
      <c r="CR218">
        <v>16.187832</v>
      </c>
      <c r="CS218">
        <v>1</v>
      </c>
      <c r="CT218">
        <v>91</v>
      </c>
      <c r="CU218">
        <v>22.070812</v>
      </c>
      <c r="CV218">
        <v>1</v>
      </c>
      <c r="CW218">
        <v>17.70269</v>
      </c>
      <c r="CX218">
        <v>313.38523300000003</v>
      </c>
      <c r="CY218">
        <v>0.80208599999999997</v>
      </c>
      <c r="CZ218">
        <v>22</v>
      </c>
      <c r="DA218">
        <v>1.125667</v>
      </c>
      <c r="DB218">
        <v>3.781183</v>
      </c>
      <c r="DC218">
        <v>13.78378</v>
      </c>
      <c r="DD218">
        <v>22.070812</v>
      </c>
      <c r="DE218">
        <v>9.5301030000000004</v>
      </c>
      <c r="DF218">
        <v>2.2624590000000002</v>
      </c>
      <c r="DG218">
        <v>1.1815279999999999</v>
      </c>
      <c r="DH218">
        <v>0.43179699999999999</v>
      </c>
      <c r="DI218">
        <v>0.237401</v>
      </c>
      <c r="DJ218">
        <v>0.123978</v>
      </c>
      <c r="DK218">
        <v>1</v>
      </c>
      <c r="DL218">
        <v>2</v>
      </c>
      <c r="DM218">
        <v>3</v>
      </c>
      <c r="DN218">
        <v>6</v>
      </c>
      <c r="DO218">
        <v>8</v>
      </c>
      <c r="DP218">
        <v>10</v>
      </c>
      <c r="DQ218">
        <v>14</v>
      </c>
      <c r="DR218">
        <v>18</v>
      </c>
      <c r="DS218">
        <v>23</v>
      </c>
      <c r="DT218">
        <v>28</v>
      </c>
      <c r="DU218">
        <v>30</v>
      </c>
      <c r="DV218">
        <v>33</v>
      </c>
      <c r="DW218">
        <v>50</v>
      </c>
      <c r="DX218">
        <v>62</v>
      </c>
      <c r="DY218">
        <v>72.160156000000001</v>
      </c>
      <c r="DZ218">
        <v>81.087391999999994</v>
      </c>
      <c r="EA218">
        <v>51.033099</v>
      </c>
      <c r="EB218">
        <v>84.856571000000002</v>
      </c>
      <c r="EC218">
        <v>2431</v>
      </c>
      <c r="ED218">
        <v>2544</v>
      </c>
      <c r="EE218">
        <v>79.919946999999993</v>
      </c>
      <c r="EF218">
        <v>99.699799999999996</v>
      </c>
      <c r="EG218">
        <v>49.087262000000003</v>
      </c>
      <c r="EH218">
        <v>92.096288999999999</v>
      </c>
      <c r="EI218">
        <v>81.621081000000004</v>
      </c>
      <c r="EJ218">
        <v>153.135424</v>
      </c>
      <c r="EK218">
        <v>2396</v>
      </c>
      <c r="EL218">
        <v>2989</v>
      </c>
      <c r="EM218">
        <v>2447</v>
      </c>
      <c r="EN218">
        <v>4591</v>
      </c>
      <c r="EO218">
        <v>2998</v>
      </c>
      <c r="EP218">
        <v>4985</v>
      </c>
      <c r="EQ218">
        <v>42.845199000000001</v>
      </c>
    </row>
    <row r="219" spans="1:147" x14ac:dyDescent="0.25">
      <c r="A219">
        <v>2022</v>
      </c>
      <c r="B219" t="str">
        <f t="shared" si="6"/>
        <v>RD</v>
      </c>
      <c r="C219" t="s">
        <v>1229</v>
      </c>
      <c r="D219" t="s">
        <v>1229</v>
      </c>
      <c r="E219">
        <v>25768</v>
      </c>
      <c r="F219" t="s">
        <v>1222</v>
      </c>
      <c r="G219" t="s">
        <v>1223</v>
      </c>
      <c r="H219" t="s">
        <v>1230</v>
      </c>
      <c r="I219">
        <v>15.73</v>
      </c>
      <c r="J219">
        <v>15.73</v>
      </c>
      <c r="K219" t="s">
        <v>527</v>
      </c>
      <c r="L219">
        <v>1</v>
      </c>
      <c r="M219">
        <v>2017</v>
      </c>
      <c r="N219">
        <v>3</v>
      </c>
      <c r="O219" t="str">
        <f t="shared" si="7"/>
        <v>Alto fuste</v>
      </c>
      <c r="P219" s="2">
        <v>43090</v>
      </c>
      <c r="Q219" t="s">
        <v>174</v>
      </c>
      <c r="R219" t="s">
        <v>470</v>
      </c>
      <c r="S219" t="s">
        <v>154</v>
      </c>
      <c r="T219" t="s">
        <v>527</v>
      </c>
      <c r="U219" t="s">
        <v>156</v>
      </c>
      <c r="V219" s="2">
        <v>44679</v>
      </c>
      <c r="W219" t="s">
        <v>1225</v>
      </c>
      <c r="X219">
        <v>65.47</v>
      </c>
      <c r="Y219">
        <v>20.3</v>
      </c>
      <c r="Z219">
        <v>3</v>
      </c>
      <c r="AA219">
        <v>15.5</v>
      </c>
      <c r="AB219">
        <v>0</v>
      </c>
      <c r="AC219">
        <v>314.64999999999998</v>
      </c>
      <c r="AD219">
        <v>314.218783110527</v>
      </c>
      <c r="AE219" s="2">
        <v>44679</v>
      </c>
      <c r="AF219">
        <v>52</v>
      </c>
      <c r="AG219">
        <v>4.35044490075291</v>
      </c>
      <c r="AH219">
        <v>26.167707380921101</v>
      </c>
      <c r="AI219">
        <v>15.5103448275862</v>
      </c>
      <c r="AJ219">
        <v>17.640657964001601</v>
      </c>
      <c r="AK219">
        <v>29</v>
      </c>
      <c r="AL219">
        <v>922.92382119624097</v>
      </c>
      <c r="AM219">
        <v>204.62833125571601</v>
      </c>
      <c r="AN219">
        <v>0.221717466334858</v>
      </c>
      <c r="AO219" t="s">
        <v>470</v>
      </c>
      <c r="AP219" t="s">
        <v>158</v>
      </c>
      <c r="AQ219" t="s">
        <v>1226</v>
      </c>
      <c r="AR219">
        <v>9</v>
      </c>
      <c r="AS219">
        <v>0.83063143907661563</v>
      </c>
      <c r="AT219" t="s">
        <v>1231</v>
      </c>
      <c r="AU219" t="s">
        <v>1232</v>
      </c>
      <c r="AV219">
        <v>5035</v>
      </c>
      <c r="AW219">
        <v>2814</v>
      </c>
      <c r="AX219">
        <v>2142</v>
      </c>
      <c r="AY219">
        <v>78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-0.92700000000000005</v>
      </c>
      <c r="BH219">
        <v>26.524000000000001</v>
      </c>
      <c r="BI219">
        <v>10.377129</v>
      </c>
      <c r="BJ219">
        <v>-5.5539999999999999E-2</v>
      </c>
      <c r="BK219">
        <v>11.214601999999999</v>
      </c>
      <c r="BL219">
        <v>125.767292</v>
      </c>
      <c r="BM219">
        <v>1.0807040000000001</v>
      </c>
      <c r="BN219">
        <v>22.755500999999999</v>
      </c>
      <c r="BO219">
        <v>0.226247</v>
      </c>
      <c r="BP219">
        <v>1.1050169999999999</v>
      </c>
      <c r="BQ219">
        <v>11.025698999999999</v>
      </c>
      <c r="BR219">
        <v>1.5629999999999999</v>
      </c>
      <c r="BS219">
        <v>1.3745400000000001</v>
      </c>
      <c r="BT219">
        <v>10.377129</v>
      </c>
      <c r="BU219">
        <v>5.8417380000000003</v>
      </c>
      <c r="BV219">
        <v>0.75046999999999997</v>
      </c>
      <c r="BW219">
        <v>-1.157368</v>
      </c>
      <c r="BX219">
        <v>0.562944</v>
      </c>
      <c r="BY219">
        <v>0.128467</v>
      </c>
      <c r="BZ219">
        <v>-0.19811999999999999</v>
      </c>
      <c r="CA219">
        <v>-0.41458</v>
      </c>
      <c r="CB219">
        <v>-0.1973</v>
      </c>
      <c r="CC219">
        <v>-0.11600000000000001</v>
      </c>
      <c r="CD219">
        <v>-0.02</v>
      </c>
      <c r="CE219">
        <v>2.1000000000000001E-2</v>
      </c>
      <c r="CF219">
        <v>6.4000000000000001E-2</v>
      </c>
      <c r="CG219">
        <v>0.17299999999999999</v>
      </c>
      <c r="CH219">
        <v>1.319</v>
      </c>
      <c r="CI219">
        <v>20.716999000000001</v>
      </c>
      <c r="CJ219">
        <v>22.330798999999999</v>
      </c>
      <c r="CK219">
        <v>22.776501</v>
      </c>
      <c r="CL219">
        <v>23.200201</v>
      </c>
      <c r="CM219">
        <v>23.988201</v>
      </c>
      <c r="CN219">
        <v>24.577998999999998</v>
      </c>
      <c r="CO219">
        <v>25.276620999999999</v>
      </c>
      <c r="CP219">
        <v>0.41179300000000002</v>
      </c>
      <c r="CQ219">
        <v>15.278321999999999</v>
      </c>
      <c r="CR219">
        <v>17.490912000000002</v>
      </c>
      <c r="CS219">
        <v>1</v>
      </c>
      <c r="CT219">
        <v>69</v>
      </c>
      <c r="CU219">
        <v>18.048659000000001</v>
      </c>
      <c r="CV219">
        <v>1</v>
      </c>
      <c r="CW219">
        <v>13.77868</v>
      </c>
      <c r="CX219">
        <v>189.85202200000001</v>
      </c>
      <c r="CY219">
        <v>0.76341800000000004</v>
      </c>
      <c r="CZ219">
        <v>18</v>
      </c>
      <c r="DA219">
        <v>1.0307219999999999</v>
      </c>
      <c r="DB219">
        <v>3.6496330000000001</v>
      </c>
      <c r="DC219">
        <v>10.830412000000001</v>
      </c>
      <c r="DD219">
        <v>18.048659000000001</v>
      </c>
      <c r="DE219">
        <v>7.5052940000000001</v>
      </c>
      <c r="DF219">
        <v>1.6419220000000001</v>
      </c>
      <c r="DG219">
        <v>0.84852099999999997</v>
      </c>
      <c r="DH219">
        <v>0.41583700000000001</v>
      </c>
      <c r="DI219">
        <v>0.21876899999999999</v>
      </c>
      <c r="DJ219">
        <v>0.113056</v>
      </c>
      <c r="DK219">
        <v>1</v>
      </c>
      <c r="DL219">
        <v>2</v>
      </c>
      <c r="DM219">
        <v>3</v>
      </c>
      <c r="DN219">
        <v>6</v>
      </c>
      <c r="DO219">
        <v>7</v>
      </c>
      <c r="DP219">
        <v>9</v>
      </c>
      <c r="DQ219">
        <v>12</v>
      </c>
      <c r="DR219">
        <v>15</v>
      </c>
      <c r="DS219">
        <v>19</v>
      </c>
      <c r="DT219">
        <v>22</v>
      </c>
      <c r="DU219">
        <v>25</v>
      </c>
      <c r="DV219">
        <v>28</v>
      </c>
      <c r="DW219">
        <v>39</v>
      </c>
      <c r="DX219">
        <v>46</v>
      </c>
      <c r="DY219">
        <v>59</v>
      </c>
      <c r="DZ219">
        <v>80.454869000000002</v>
      </c>
      <c r="EA219">
        <v>46.534260000000003</v>
      </c>
      <c r="EB219">
        <v>83.262259999999998</v>
      </c>
      <c r="EC219">
        <v>2264</v>
      </c>
      <c r="ED219">
        <v>2343</v>
      </c>
      <c r="EE219">
        <v>79.175550999999999</v>
      </c>
      <c r="EF219">
        <v>99.786779999999993</v>
      </c>
      <c r="EG219">
        <v>44.647468000000003</v>
      </c>
      <c r="EH219">
        <v>83.972194999999999</v>
      </c>
      <c r="EI219">
        <v>79.886283000000006</v>
      </c>
      <c r="EJ219">
        <v>150.24875599999999</v>
      </c>
      <c r="EK219">
        <v>2228</v>
      </c>
      <c r="EL219">
        <v>2808</v>
      </c>
      <c r="EM219">
        <v>2248</v>
      </c>
      <c r="EN219">
        <v>4228</v>
      </c>
      <c r="EO219">
        <v>2814</v>
      </c>
      <c r="EP219">
        <v>5035</v>
      </c>
      <c r="EQ219">
        <v>40.232154000000001</v>
      </c>
    </row>
    <row r="220" spans="1:147" x14ac:dyDescent="0.25">
      <c r="A220">
        <v>2022</v>
      </c>
      <c r="B220" t="str">
        <f t="shared" si="6"/>
        <v>RD</v>
      </c>
      <c r="C220" t="s">
        <v>1233</v>
      </c>
      <c r="D220" t="s">
        <v>1233</v>
      </c>
      <c r="E220">
        <v>25770</v>
      </c>
      <c r="F220" t="s">
        <v>1234</v>
      </c>
      <c r="G220" t="s">
        <v>527</v>
      </c>
      <c r="H220" t="s">
        <v>1235</v>
      </c>
      <c r="I220">
        <v>59.7</v>
      </c>
      <c r="J220">
        <v>59.7</v>
      </c>
      <c r="K220" t="s">
        <v>527</v>
      </c>
      <c r="L220">
        <v>1</v>
      </c>
      <c r="M220">
        <v>2017</v>
      </c>
      <c r="N220">
        <v>2</v>
      </c>
      <c r="O220" t="str">
        <f t="shared" si="7"/>
        <v>Talhadia</v>
      </c>
      <c r="P220" s="2">
        <v>42961</v>
      </c>
      <c r="Q220" t="s">
        <v>237</v>
      </c>
      <c r="R220" t="s">
        <v>153</v>
      </c>
      <c r="S220" t="s">
        <v>154</v>
      </c>
      <c r="T220" t="s">
        <v>527</v>
      </c>
      <c r="U220" t="s">
        <v>156</v>
      </c>
      <c r="V220" s="2">
        <v>44677</v>
      </c>
      <c r="W220" t="s">
        <v>529</v>
      </c>
      <c r="X220">
        <v>91.33</v>
      </c>
      <c r="Y220">
        <v>19.5</v>
      </c>
      <c r="Z220">
        <v>30</v>
      </c>
      <c r="AA220">
        <v>14.1</v>
      </c>
      <c r="AB220">
        <v>1</v>
      </c>
      <c r="AC220">
        <v>274.95</v>
      </c>
      <c r="AD220">
        <v>238.07741890301099</v>
      </c>
      <c r="AE220" s="2">
        <v>44677</v>
      </c>
      <c r="AF220">
        <v>56</v>
      </c>
      <c r="AG220">
        <v>4.6981519507186897</v>
      </c>
      <c r="AH220">
        <v>22.035113490477301</v>
      </c>
      <c r="AI220">
        <v>13.647826086956499</v>
      </c>
      <c r="AJ220">
        <v>14.9463141604125</v>
      </c>
      <c r="AK220">
        <v>23</v>
      </c>
      <c r="AL220">
        <v>966.072301437786</v>
      </c>
      <c r="AM220">
        <v>152.79716888910701</v>
      </c>
      <c r="AN220">
        <v>0.15816328515133099</v>
      </c>
      <c r="AO220" t="s">
        <v>153</v>
      </c>
      <c r="AP220" t="s">
        <v>264</v>
      </c>
      <c r="AQ220" t="s">
        <v>166</v>
      </c>
      <c r="AR220">
        <v>7.5</v>
      </c>
      <c r="AS220">
        <v>0.72455422607834041</v>
      </c>
      <c r="AT220" t="s">
        <v>1236</v>
      </c>
      <c r="AU220" t="s">
        <v>1237</v>
      </c>
      <c r="AV220">
        <v>2153</v>
      </c>
      <c r="AW220">
        <v>1135</v>
      </c>
      <c r="AX220">
        <v>879</v>
      </c>
      <c r="AY220">
        <v>133</v>
      </c>
      <c r="AZ220">
        <v>6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-0.71399999999999997</v>
      </c>
      <c r="BH220">
        <v>25.846001000000001</v>
      </c>
      <c r="BI220">
        <v>10.785821</v>
      </c>
      <c r="BJ220">
        <v>-0.29241299999999998</v>
      </c>
      <c r="BK220">
        <v>9.7024980000000003</v>
      </c>
      <c r="BL220">
        <v>94.138475</v>
      </c>
      <c r="BM220">
        <v>0.89956100000000006</v>
      </c>
      <c r="BN220">
        <v>19.446999000000002</v>
      </c>
      <c r="BO220">
        <v>-2.9923000000000002E-2</v>
      </c>
      <c r="BP220">
        <v>1.2885150000000001</v>
      </c>
      <c r="BQ220">
        <v>9.1611840000000004</v>
      </c>
      <c r="BR220">
        <v>9.7200000000000006</v>
      </c>
      <c r="BS220">
        <v>14.048412000000001</v>
      </c>
      <c r="BT220">
        <v>10.785821</v>
      </c>
      <c r="BU220">
        <v>5.3403349999999996</v>
      </c>
      <c r="BV220">
        <v>0.21670800000000001</v>
      </c>
      <c r="BW220">
        <v>-0.751309</v>
      </c>
      <c r="BX220">
        <v>0.49512600000000001</v>
      </c>
      <c r="BY220">
        <v>4.0578999999999997E-2</v>
      </c>
      <c r="BZ220">
        <v>-0.14068600000000001</v>
      </c>
      <c r="CA220">
        <v>-0.35896</v>
      </c>
      <c r="CB220">
        <v>-0.18540000000000001</v>
      </c>
      <c r="CC220">
        <v>-9.5000000000000001E-2</v>
      </c>
      <c r="CD220">
        <v>1.7399999999999999E-2</v>
      </c>
      <c r="CE220">
        <v>6.0999999999999999E-2</v>
      </c>
      <c r="CF220">
        <v>0.1226</v>
      </c>
      <c r="CG220">
        <v>0.4526</v>
      </c>
      <c r="CH220">
        <v>13.756</v>
      </c>
      <c r="CI220">
        <v>16.622999</v>
      </c>
      <c r="CJ220">
        <v>18.747399999999999</v>
      </c>
      <c r="CK220">
        <v>19.507999000000002</v>
      </c>
      <c r="CL220">
        <v>20.590799000000001</v>
      </c>
      <c r="CM220">
        <v>22.871599</v>
      </c>
      <c r="CN220">
        <v>24.429600000000001</v>
      </c>
      <c r="CO220">
        <v>25.371599</v>
      </c>
      <c r="CP220">
        <v>0.432975</v>
      </c>
      <c r="CQ220">
        <v>14.506159999999999</v>
      </c>
      <c r="CR220">
        <v>16.226091</v>
      </c>
      <c r="CS220">
        <v>1</v>
      </c>
      <c r="CT220">
        <v>54</v>
      </c>
      <c r="CU220">
        <v>15.011612</v>
      </c>
      <c r="CV220">
        <v>3.5238100000000001</v>
      </c>
      <c r="CW220">
        <v>10.636760000000001</v>
      </c>
      <c r="CX220">
        <v>113.140664</v>
      </c>
      <c r="CY220">
        <v>0.708569</v>
      </c>
      <c r="CZ220">
        <v>14</v>
      </c>
      <c r="DA220">
        <v>1.057752</v>
      </c>
      <c r="DB220">
        <v>3.9509530000000002</v>
      </c>
      <c r="DC220">
        <v>8.2915799999999997</v>
      </c>
      <c r="DD220">
        <v>15.011612</v>
      </c>
      <c r="DE220">
        <v>5.7821619999999996</v>
      </c>
      <c r="DF220">
        <v>1.1652579999999999</v>
      </c>
      <c r="DG220">
        <v>0.71832700000000005</v>
      </c>
      <c r="DH220">
        <v>0.38517899999999999</v>
      </c>
      <c r="DI220">
        <v>0.20152600000000001</v>
      </c>
      <c r="DJ220">
        <v>0.12423099999999999</v>
      </c>
      <c r="DK220">
        <v>1</v>
      </c>
      <c r="DL220">
        <v>2</v>
      </c>
      <c r="DM220">
        <v>3</v>
      </c>
      <c r="DN220">
        <v>5</v>
      </c>
      <c r="DO220">
        <v>7</v>
      </c>
      <c r="DP220">
        <v>8</v>
      </c>
      <c r="DQ220">
        <v>11</v>
      </c>
      <c r="DR220">
        <v>13</v>
      </c>
      <c r="DS220">
        <v>16</v>
      </c>
      <c r="DT220">
        <v>19</v>
      </c>
      <c r="DU220">
        <v>21</v>
      </c>
      <c r="DV220">
        <v>23</v>
      </c>
      <c r="DW220">
        <v>29</v>
      </c>
      <c r="DX220">
        <v>38</v>
      </c>
      <c r="DY220">
        <v>47</v>
      </c>
      <c r="DZ220">
        <v>90.925110000000004</v>
      </c>
      <c r="EA220">
        <v>57.919182999999997</v>
      </c>
      <c r="EB220">
        <v>109.867841</v>
      </c>
      <c r="EC220">
        <v>1032</v>
      </c>
      <c r="ED220">
        <v>1247</v>
      </c>
      <c r="EE220">
        <v>89.691630000000004</v>
      </c>
      <c r="EF220">
        <v>100</v>
      </c>
      <c r="EG220">
        <v>55.736181999999999</v>
      </c>
      <c r="EH220">
        <v>98.095680000000002</v>
      </c>
      <c r="EI220">
        <v>105.726872</v>
      </c>
      <c r="EJ220">
        <v>186.079295</v>
      </c>
      <c r="EK220">
        <v>1018</v>
      </c>
      <c r="EL220">
        <v>1135</v>
      </c>
      <c r="EM220">
        <v>1200</v>
      </c>
      <c r="EN220">
        <v>2112</v>
      </c>
      <c r="EO220">
        <v>1135</v>
      </c>
      <c r="EP220">
        <v>2153</v>
      </c>
      <c r="EQ220">
        <v>41.523968000000004</v>
      </c>
    </row>
    <row r="221" spans="1:147" x14ac:dyDescent="0.25">
      <c r="A221">
        <v>2022</v>
      </c>
      <c r="B221" t="str">
        <f t="shared" si="6"/>
        <v>RD</v>
      </c>
      <c r="C221" t="s">
        <v>1238</v>
      </c>
      <c r="D221" t="s">
        <v>1238</v>
      </c>
      <c r="E221">
        <v>25771</v>
      </c>
      <c r="F221" t="s">
        <v>1222</v>
      </c>
      <c r="G221" t="s">
        <v>1223</v>
      </c>
      <c r="H221" t="s">
        <v>1224</v>
      </c>
      <c r="I221">
        <v>37.770000000000003</v>
      </c>
      <c r="J221">
        <v>37.770000000000003</v>
      </c>
      <c r="K221" t="s">
        <v>527</v>
      </c>
      <c r="L221">
        <v>1</v>
      </c>
      <c r="M221">
        <v>2017</v>
      </c>
      <c r="N221">
        <v>3</v>
      </c>
      <c r="O221" t="str">
        <f t="shared" si="7"/>
        <v>Alto fuste</v>
      </c>
      <c r="P221" s="2">
        <v>43089</v>
      </c>
      <c r="Q221" t="s">
        <v>174</v>
      </c>
      <c r="R221" t="s">
        <v>367</v>
      </c>
      <c r="S221" t="s">
        <v>154</v>
      </c>
      <c r="T221" t="s">
        <v>527</v>
      </c>
      <c r="U221" t="s">
        <v>156</v>
      </c>
      <c r="V221" s="2">
        <v>44679</v>
      </c>
      <c r="W221" t="s">
        <v>1225</v>
      </c>
      <c r="X221">
        <v>65.47</v>
      </c>
      <c r="Y221">
        <v>20</v>
      </c>
      <c r="Z221">
        <v>15</v>
      </c>
      <c r="AA221">
        <v>15.1</v>
      </c>
      <c r="AB221">
        <v>1</v>
      </c>
      <c r="AC221">
        <v>302</v>
      </c>
      <c r="AD221">
        <v>291.66517075436201</v>
      </c>
      <c r="AE221" s="2">
        <v>44679</v>
      </c>
      <c r="AF221">
        <v>52</v>
      </c>
      <c r="AG221">
        <v>4.3531827515400403</v>
      </c>
      <c r="AH221">
        <v>22.706766780572</v>
      </c>
      <c r="AI221">
        <v>14.064285714285701</v>
      </c>
      <c r="AJ221">
        <v>15.336077356086999</v>
      </c>
      <c r="AK221">
        <v>28</v>
      </c>
      <c r="AL221">
        <v>960.00492371375401</v>
      </c>
      <c r="AM221">
        <v>156.98132203278701</v>
      </c>
      <c r="AN221">
        <v>0.16352137177120801</v>
      </c>
      <c r="AO221" t="s">
        <v>367</v>
      </c>
      <c r="AP221" t="s">
        <v>158</v>
      </c>
      <c r="AQ221" t="s">
        <v>1226</v>
      </c>
      <c r="AR221">
        <v>9</v>
      </c>
      <c r="AS221">
        <v>0.86400443134237748</v>
      </c>
      <c r="AT221" t="s">
        <v>1239</v>
      </c>
      <c r="AU221" t="s">
        <v>1240</v>
      </c>
      <c r="AV221">
        <v>4290</v>
      </c>
      <c r="AW221">
        <v>2521</v>
      </c>
      <c r="AX221">
        <v>1680</v>
      </c>
      <c r="AY221">
        <v>87</v>
      </c>
      <c r="AZ221">
        <v>2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-0.82199999999999995</v>
      </c>
      <c r="BH221">
        <v>24.709</v>
      </c>
      <c r="BI221">
        <v>9.5163969999999996</v>
      </c>
      <c r="BJ221">
        <v>-1.1492E-2</v>
      </c>
      <c r="BK221">
        <v>9.7304849999999998</v>
      </c>
      <c r="BL221">
        <v>94.682336000000006</v>
      </c>
      <c r="BM221">
        <v>1.022497</v>
      </c>
      <c r="BN221">
        <v>19.715001000000001</v>
      </c>
      <c r="BO221">
        <v>0.14812600000000001</v>
      </c>
      <c r="BP221">
        <v>1.1143909999999999</v>
      </c>
      <c r="BQ221">
        <v>9.5333009999999998</v>
      </c>
      <c r="BR221">
        <v>3.0230000000000001</v>
      </c>
      <c r="BS221">
        <v>2.6324920000000001</v>
      </c>
      <c r="BT221">
        <v>9.5163969999999996</v>
      </c>
      <c r="BU221">
        <v>5.1644519999999998</v>
      </c>
      <c r="BV221">
        <v>0.496645</v>
      </c>
      <c r="BW221">
        <v>-0.98963299999999998</v>
      </c>
      <c r="BX221">
        <v>0.54269000000000001</v>
      </c>
      <c r="BY221">
        <v>9.6166000000000001E-2</v>
      </c>
      <c r="BZ221">
        <v>-0.19162399999999999</v>
      </c>
      <c r="CA221">
        <v>-0.45011000000000001</v>
      </c>
      <c r="CB221">
        <v>-0.193</v>
      </c>
      <c r="CC221">
        <v>-0.10299999999999999</v>
      </c>
      <c r="CD221">
        <v>3.0000000000000001E-3</v>
      </c>
      <c r="CE221">
        <v>4.7E-2</v>
      </c>
      <c r="CF221">
        <v>9.7699999999999995E-2</v>
      </c>
      <c r="CG221">
        <v>0.24399999999999999</v>
      </c>
      <c r="CH221">
        <v>2.621</v>
      </c>
      <c r="CI221">
        <v>18.115601000000002</v>
      </c>
      <c r="CJ221">
        <v>19.370901</v>
      </c>
      <c r="CK221">
        <v>19.762001000000001</v>
      </c>
      <c r="CL221">
        <v>20.239201000000001</v>
      </c>
      <c r="CM221">
        <v>21.146000000000001</v>
      </c>
      <c r="CN221">
        <v>21.83</v>
      </c>
      <c r="CO221">
        <v>23.154537000000001</v>
      </c>
      <c r="CP221">
        <v>0.40493499999999999</v>
      </c>
      <c r="CQ221">
        <v>13.609632</v>
      </c>
      <c r="CR221">
        <v>15.467822</v>
      </c>
      <c r="CS221">
        <v>1</v>
      </c>
      <c r="CT221">
        <v>68</v>
      </c>
      <c r="CU221">
        <v>18.646619999999999</v>
      </c>
      <c r="CV221">
        <v>1</v>
      </c>
      <c r="CW221">
        <v>13.379168999999999</v>
      </c>
      <c r="CX221">
        <v>179.002163</v>
      </c>
      <c r="CY221">
        <v>0.71751200000000004</v>
      </c>
      <c r="CZ221">
        <v>19</v>
      </c>
      <c r="DA221">
        <v>0.71657400000000004</v>
      </c>
      <c r="DB221">
        <v>2.8329780000000002</v>
      </c>
      <c r="DC221">
        <v>10.888614</v>
      </c>
      <c r="DD221">
        <v>18.646619999999999</v>
      </c>
      <c r="DE221">
        <v>7.4824140000000003</v>
      </c>
      <c r="DF221">
        <v>1.2268920000000001</v>
      </c>
      <c r="DG221">
        <v>0.55327099999999996</v>
      </c>
      <c r="DH221">
        <v>0.40127499999999999</v>
      </c>
      <c r="DI221">
        <v>0.16397</v>
      </c>
      <c r="DJ221">
        <v>7.3942999999999995E-2</v>
      </c>
      <c r="DK221">
        <v>1</v>
      </c>
      <c r="DL221">
        <v>2</v>
      </c>
      <c r="DM221">
        <v>3</v>
      </c>
      <c r="DN221">
        <v>6</v>
      </c>
      <c r="DO221">
        <v>7</v>
      </c>
      <c r="DP221">
        <v>9</v>
      </c>
      <c r="DQ221">
        <v>13</v>
      </c>
      <c r="DR221">
        <v>17</v>
      </c>
      <c r="DS221">
        <v>20</v>
      </c>
      <c r="DT221">
        <v>24</v>
      </c>
      <c r="DU221">
        <v>26</v>
      </c>
      <c r="DV221">
        <v>30</v>
      </c>
      <c r="DW221">
        <v>39</v>
      </c>
      <c r="DX221">
        <v>44</v>
      </c>
      <c r="DY221">
        <v>53</v>
      </c>
      <c r="DZ221">
        <v>80.206266999999997</v>
      </c>
      <c r="EA221">
        <v>49.557110000000002</v>
      </c>
      <c r="EB221">
        <v>84.331614000000002</v>
      </c>
      <c r="EC221">
        <v>2022</v>
      </c>
      <c r="ED221">
        <v>2126</v>
      </c>
      <c r="EE221">
        <v>77.627925000000005</v>
      </c>
      <c r="EF221">
        <v>99.047996999999995</v>
      </c>
      <c r="EG221">
        <v>47.202796999999997</v>
      </c>
      <c r="EH221">
        <v>81.561772000000005</v>
      </c>
      <c r="EI221">
        <v>80.325267999999994</v>
      </c>
      <c r="EJ221">
        <v>138.794129</v>
      </c>
      <c r="EK221">
        <v>1957</v>
      </c>
      <c r="EL221">
        <v>2497</v>
      </c>
      <c r="EM221">
        <v>2025</v>
      </c>
      <c r="EN221">
        <v>3499</v>
      </c>
      <c r="EO221">
        <v>2521</v>
      </c>
      <c r="EP221">
        <v>4290</v>
      </c>
      <c r="EQ221">
        <v>40.208711000000001</v>
      </c>
    </row>
    <row r="222" spans="1:147" x14ac:dyDescent="0.25">
      <c r="A222">
        <v>2022</v>
      </c>
      <c r="B222" t="str">
        <f t="shared" si="6"/>
        <v>RD</v>
      </c>
      <c r="C222" t="s">
        <v>1241</v>
      </c>
      <c r="D222" t="s">
        <v>1241</v>
      </c>
      <c r="E222">
        <v>25773</v>
      </c>
      <c r="F222" t="s">
        <v>1234</v>
      </c>
      <c r="G222" t="s">
        <v>527</v>
      </c>
      <c r="H222" t="s">
        <v>1235</v>
      </c>
      <c r="I222">
        <v>59.7</v>
      </c>
      <c r="J222">
        <v>59.7</v>
      </c>
      <c r="K222" t="s">
        <v>527</v>
      </c>
      <c r="L222">
        <v>1</v>
      </c>
      <c r="M222">
        <v>2017</v>
      </c>
      <c r="N222">
        <v>2</v>
      </c>
      <c r="O222" t="str">
        <f t="shared" si="7"/>
        <v>Talhadia</v>
      </c>
      <c r="P222" s="2">
        <v>42961</v>
      </c>
      <c r="Q222" t="s">
        <v>237</v>
      </c>
      <c r="R222" t="s">
        <v>153</v>
      </c>
      <c r="S222" t="s">
        <v>154</v>
      </c>
      <c r="T222" t="s">
        <v>527</v>
      </c>
      <c r="U222" t="s">
        <v>156</v>
      </c>
      <c r="V222" s="2">
        <v>44677</v>
      </c>
      <c r="W222" t="s">
        <v>529</v>
      </c>
      <c r="X222">
        <v>91.33</v>
      </c>
      <c r="Y222">
        <v>18.5</v>
      </c>
      <c r="Z222">
        <v>21</v>
      </c>
      <c r="AA222">
        <v>14.9</v>
      </c>
      <c r="AB222">
        <v>2</v>
      </c>
      <c r="AC222">
        <v>275.64999999999998</v>
      </c>
      <c r="AD222">
        <v>257.18467910905798</v>
      </c>
      <c r="AE222" s="2">
        <v>44677</v>
      </c>
      <c r="AF222">
        <v>56</v>
      </c>
      <c r="AG222">
        <v>4.6981519507186897</v>
      </c>
      <c r="AH222">
        <v>22.10265085472</v>
      </c>
      <c r="AI222">
        <v>14.272</v>
      </c>
      <c r="AJ222">
        <v>16.252419594602902</v>
      </c>
      <c r="AK222">
        <v>25</v>
      </c>
      <c r="AL222">
        <v>972.06412476066703</v>
      </c>
      <c r="AM222">
        <v>163.329323194891</v>
      </c>
      <c r="AN222">
        <v>0.16802319829991</v>
      </c>
      <c r="AO222" t="s">
        <v>153</v>
      </c>
      <c r="AP222" t="s">
        <v>264</v>
      </c>
      <c r="AQ222" t="s">
        <v>166</v>
      </c>
      <c r="AR222">
        <v>7.5</v>
      </c>
      <c r="AS222">
        <v>0.72904809357050193</v>
      </c>
      <c r="AT222" t="s">
        <v>1242</v>
      </c>
      <c r="AU222" t="s">
        <v>1243</v>
      </c>
      <c r="AV222">
        <v>10367</v>
      </c>
      <c r="AW222">
        <v>5735</v>
      </c>
      <c r="AX222">
        <v>4089</v>
      </c>
      <c r="AY222">
        <v>529</v>
      </c>
      <c r="AZ222">
        <v>14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-0.96499999999999997</v>
      </c>
      <c r="BH222">
        <v>26.85</v>
      </c>
      <c r="BI222">
        <v>12.285456999999999</v>
      </c>
      <c r="BJ222">
        <v>-8.1984000000000001E-2</v>
      </c>
      <c r="BK222">
        <v>11.066533</v>
      </c>
      <c r="BL222">
        <v>122.468153</v>
      </c>
      <c r="BM222">
        <v>0.900783</v>
      </c>
      <c r="BN222">
        <v>23.138000000000002</v>
      </c>
      <c r="BO222">
        <v>-9.1831999999999997E-2</v>
      </c>
      <c r="BP222">
        <v>1.1481300000000001</v>
      </c>
      <c r="BQ222">
        <v>10.676978999999999</v>
      </c>
      <c r="BR222">
        <v>9.2080000000000002</v>
      </c>
      <c r="BS222">
        <v>15.935985000000001</v>
      </c>
      <c r="BT222">
        <v>12.285456999999999</v>
      </c>
      <c r="BU222">
        <v>5.9689259999999997</v>
      </c>
      <c r="BV222">
        <v>-2.5562999999999999E-2</v>
      </c>
      <c r="BW222">
        <v>-1.1425719999999999</v>
      </c>
      <c r="BX222">
        <v>0.48585299999999998</v>
      </c>
      <c r="BY222">
        <v>-4.2830000000000003E-3</v>
      </c>
      <c r="BZ222">
        <v>-0.19142000000000001</v>
      </c>
      <c r="CA222">
        <v>-0.42802000000000001</v>
      </c>
      <c r="CB222">
        <v>-0.19400000000000001</v>
      </c>
      <c r="CC222">
        <v>-8.7999999999999995E-2</v>
      </c>
      <c r="CD222">
        <v>2.6200000000000001E-2</v>
      </c>
      <c r="CE222">
        <v>7.2999999999999995E-2</v>
      </c>
      <c r="CF222">
        <v>0.125</v>
      </c>
      <c r="CG222">
        <v>0.37180000000000002</v>
      </c>
      <c r="CH222">
        <v>15.853999999999999</v>
      </c>
      <c r="CI222">
        <v>21.268598999999998</v>
      </c>
      <c r="CJ222">
        <v>22.520201</v>
      </c>
      <c r="CK222">
        <v>23.210999999999999</v>
      </c>
      <c r="CL222">
        <v>23.738001000000001</v>
      </c>
      <c r="CM222">
        <v>24.75</v>
      </c>
      <c r="CN222">
        <v>25.299700000000001</v>
      </c>
      <c r="CO222">
        <v>26.084999</v>
      </c>
      <c r="CP222">
        <v>0.47637800000000002</v>
      </c>
      <c r="CQ222">
        <v>16.534472999999998</v>
      </c>
      <c r="CR222">
        <v>18.413392999999999</v>
      </c>
      <c r="CS222">
        <v>1</v>
      </c>
      <c r="CT222">
        <v>51</v>
      </c>
      <c r="CU222">
        <v>14.554259</v>
      </c>
      <c r="CV222">
        <v>1</v>
      </c>
      <c r="CW222">
        <v>9.5059070000000006</v>
      </c>
      <c r="CX222">
        <v>90.362263999999996</v>
      </c>
      <c r="CY222">
        <v>0.65313600000000005</v>
      </c>
      <c r="CZ222">
        <v>15</v>
      </c>
      <c r="DA222">
        <v>0.52116499999999999</v>
      </c>
      <c r="DB222">
        <v>2.7952240000000002</v>
      </c>
      <c r="DC222">
        <v>7.8229509999999998</v>
      </c>
      <c r="DD222">
        <v>14.554259</v>
      </c>
      <c r="DE222">
        <v>5.3678540000000003</v>
      </c>
      <c r="DF222">
        <v>0.53606200000000004</v>
      </c>
      <c r="DG222">
        <v>0.34345999999999999</v>
      </c>
      <c r="DH222">
        <v>0.36881700000000001</v>
      </c>
      <c r="DI222">
        <v>9.9864999999999995E-2</v>
      </c>
      <c r="DJ222">
        <v>6.3985E-2</v>
      </c>
      <c r="DK222">
        <v>1</v>
      </c>
      <c r="DL222">
        <v>1</v>
      </c>
      <c r="DM222">
        <v>3</v>
      </c>
      <c r="DN222">
        <v>5</v>
      </c>
      <c r="DO222">
        <v>6</v>
      </c>
      <c r="DP222">
        <v>8</v>
      </c>
      <c r="DQ222">
        <v>11</v>
      </c>
      <c r="DR222">
        <v>14</v>
      </c>
      <c r="DS222">
        <v>17</v>
      </c>
      <c r="DT222">
        <v>19</v>
      </c>
      <c r="DU222">
        <v>21</v>
      </c>
      <c r="DV222">
        <v>23</v>
      </c>
      <c r="DW222">
        <v>27</v>
      </c>
      <c r="DX222">
        <v>32</v>
      </c>
      <c r="DY222">
        <v>40</v>
      </c>
      <c r="DZ222">
        <v>93.443765999999997</v>
      </c>
      <c r="EA222">
        <v>57.683033000000002</v>
      </c>
      <c r="EB222">
        <v>104.272014</v>
      </c>
      <c r="EC222">
        <v>5359</v>
      </c>
      <c r="ED222">
        <v>5980</v>
      </c>
      <c r="EE222">
        <v>90.200523000000004</v>
      </c>
      <c r="EF222">
        <v>99.930252999999993</v>
      </c>
      <c r="EG222">
        <v>53.342336000000003</v>
      </c>
      <c r="EH222">
        <v>89.524452999999994</v>
      </c>
      <c r="EI222">
        <v>96.425458000000006</v>
      </c>
      <c r="EJ222">
        <v>161.83086299999999</v>
      </c>
      <c r="EK222">
        <v>5173</v>
      </c>
      <c r="EL222">
        <v>5731</v>
      </c>
      <c r="EM222">
        <v>5530</v>
      </c>
      <c r="EN222">
        <v>9281</v>
      </c>
      <c r="EO222">
        <v>5735</v>
      </c>
      <c r="EP222">
        <v>10367</v>
      </c>
      <c r="EQ222">
        <v>46.180135999999997</v>
      </c>
    </row>
    <row r="223" spans="1:147" x14ac:dyDescent="0.25">
      <c r="A223">
        <v>2022</v>
      </c>
      <c r="B223" t="str">
        <f t="shared" si="6"/>
        <v>GN</v>
      </c>
      <c r="C223" t="s">
        <v>1244</v>
      </c>
      <c r="D223" t="s">
        <v>1244</v>
      </c>
      <c r="E223">
        <v>25873</v>
      </c>
      <c r="F223" t="s">
        <v>1245</v>
      </c>
      <c r="G223" t="s">
        <v>924</v>
      </c>
      <c r="H223" t="s">
        <v>1246</v>
      </c>
      <c r="I223">
        <v>13.95</v>
      </c>
      <c r="J223">
        <v>13.95</v>
      </c>
      <c r="K223" t="s">
        <v>279</v>
      </c>
      <c r="L223">
        <v>1</v>
      </c>
      <c r="M223">
        <v>2017</v>
      </c>
      <c r="N223">
        <v>3</v>
      </c>
      <c r="O223" t="str">
        <f t="shared" si="7"/>
        <v>Alto fuste</v>
      </c>
      <c r="P223" s="2">
        <v>43012</v>
      </c>
      <c r="Q223" t="s">
        <v>174</v>
      </c>
      <c r="R223" t="s">
        <v>314</v>
      </c>
      <c r="S223" t="s">
        <v>154</v>
      </c>
      <c r="T223" t="s">
        <v>279</v>
      </c>
      <c r="U223" t="s">
        <v>156</v>
      </c>
      <c r="V223" s="2">
        <v>44652</v>
      </c>
      <c r="W223" t="s">
        <v>926</v>
      </c>
      <c r="X223">
        <v>37.03</v>
      </c>
      <c r="Y223">
        <v>19.899999999999999</v>
      </c>
      <c r="Z223">
        <v>13</v>
      </c>
      <c r="AA223">
        <v>14.8</v>
      </c>
      <c r="AB223">
        <v>7</v>
      </c>
      <c r="AC223">
        <v>294.52</v>
      </c>
      <c r="AD223">
        <v>284.832429648865</v>
      </c>
      <c r="AE223" s="2">
        <v>44652</v>
      </c>
      <c r="AF223">
        <v>54</v>
      </c>
      <c r="AG223">
        <v>4.4900752908966499</v>
      </c>
      <c r="AH223">
        <v>27.6824858933524</v>
      </c>
      <c r="AI223">
        <v>15.54</v>
      </c>
      <c r="AJ223">
        <v>20.168647644019298</v>
      </c>
      <c r="AK223">
        <v>30</v>
      </c>
      <c r="AL223">
        <v>1053.2508547914799</v>
      </c>
      <c r="AM223">
        <v>248.86098880864199</v>
      </c>
      <c r="AN223">
        <v>0.236278933623949</v>
      </c>
      <c r="AO223" t="s">
        <v>314</v>
      </c>
      <c r="AP223" t="s">
        <v>158</v>
      </c>
      <c r="AQ223" t="s">
        <v>1247</v>
      </c>
      <c r="AR223">
        <v>9</v>
      </c>
      <c r="AS223">
        <v>0.94792576931232841</v>
      </c>
      <c r="AT223" t="s">
        <v>1248</v>
      </c>
      <c r="AU223" t="s">
        <v>1249</v>
      </c>
      <c r="AV223">
        <v>3480</v>
      </c>
      <c r="AW223">
        <v>2078</v>
      </c>
      <c r="AX223">
        <v>1321</v>
      </c>
      <c r="AY223">
        <v>80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-1.3660000000000001</v>
      </c>
      <c r="BH223">
        <v>28.797001000000002</v>
      </c>
      <c r="BI223">
        <v>14.897899000000001</v>
      </c>
      <c r="BJ223">
        <v>-0.40844399999999997</v>
      </c>
      <c r="BK223">
        <v>12.347432</v>
      </c>
      <c r="BL223">
        <v>152.45907</v>
      </c>
      <c r="BM223">
        <v>0.82880399999999999</v>
      </c>
      <c r="BN223">
        <v>25.521249999999998</v>
      </c>
      <c r="BO223">
        <v>-0.35294599999999998</v>
      </c>
      <c r="BP223">
        <v>1.172887</v>
      </c>
      <c r="BQ223">
        <v>12.032192</v>
      </c>
      <c r="BR223">
        <v>2.617499</v>
      </c>
      <c r="BS223">
        <v>24.417946000000001</v>
      </c>
      <c r="BT223">
        <v>14.897899000000001</v>
      </c>
      <c r="BU223">
        <v>6.3770189999999998</v>
      </c>
      <c r="BV223">
        <v>-0.87977700000000003</v>
      </c>
      <c r="BW223">
        <v>-1.162515</v>
      </c>
      <c r="BX223">
        <v>0.42804799999999998</v>
      </c>
      <c r="BY223">
        <v>-0.137961</v>
      </c>
      <c r="BZ223">
        <v>-0.18229799999999999</v>
      </c>
      <c r="CA223">
        <v>-0.63163000000000002</v>
      </c>
      <c r="CB223">
        <v>-0.37805</v>
      </c>
      <c r="CC223">
        <v>-0.25009999999999999</v>
      </c>
      <c r="CD223">
        <v>-0.11700000000000001</v>
      </c>
      <c r="CE223">
        <v>-0.06</v>
      </c>
      <c r="CF223">
        <v>1.0699999999999999E-2</v>
      </c>
      <c r="CG223">
        <v>7.6521970000000001</v>
      </c>
      <c r="CH223">
        <v>24.009501</v>
      </c>
      <c r="CI223">
        <v>24.651797999999999</v>
      </c>
      <c r="CJ223">
        <v>25.212600999999999</v>
      </c>
      <c r="CK223">
        <v>25.46125</v>
      </c>
      <c r="CL223">
        <v>25.735199000000001</v>
      </c>
      <c r="CM223">
        <v>26.430201</v>
      </c>
      <c r="CN223">
        <v>26.951049999999999</v>
      </c>
      <c r="CO223">
        <v>27.574940000000002</v>
      </c>
      <c r="CP223">
        <v>0.53920000000000001</v>
      </c>
      <c r="CQ223">
        <v>19.348454</v>
      </c>
      <c r="CR223">
        <v>21.145118</v>
      </c>
      <c r="CS223">
        <v>1</v>
      </c>
      <c r="CT223">
        <v>53</v>
      </c>
      <c r="CU223">
        <v>13.525862</v>
      </c>
      <c r="CV223">
        <v>1</v>
      </c>
      <c r="CW223">
        <v>8.6940209999999993</v>
      </c>
      <c r="CX223">
        <v>75.585993999999999</v>
      </c>
      <c r="CY223">
        <v>0.64276999999999995</v>
      </c>
      <c r="CZ223">
        <v>15</v>
      </c>
      <c r="DA223">
        <v>0.186616</v>
      </c>
      <c r="DB223">
        <v>2.3848440000000002</v>
      </c>
      <c r="DC223">
        <v>7.4569510000000001</v>
      </c>
      <c r="DD223">
        <v>13.525862</v>
      </c>
      <c r="DE223">
        <v>4.9469219999999998</v>
      </c>
      <c r="DF223">
        <v>9.4154000000000002E-2</v>
      </c>
      <c r="DG223">
        <v>5.3921999999999998E-2</v>
      </c>
      <c r="DH223">
        <v>0.36573800000000001</v>
      </c>
      <c r="DI223">
        <v>1.9033000000000001E-2</v>
      </c>
      <c r="DJ223">
        <v>1.09E-2</v>
      </c>
      <c r="DK223">
        <v>1</v>
      </c>
      <c r="DL223">
        <v>1</v>
      </c>
      <c r="DM223">
        <v>2</v>
      </c>
      <c r="DN223">
        <v>4</v>
      </c>
      <c r="DO223">
        <v>5</v>
      </c>
      <c r="DP223">
        <v>7</v>
      </c>
      <c r="DQ223">
        <v>11</v>
      </c>
      <c r="DR223">
        <v>14</v>
      </c>
      <c r="DS223">
        <v>17</v>
      </c>
      <c r="DT223">
        <v>19</v>
      </c>
      <c r="DU223">
        <v>20</v>
      </c>
      <c r="DV223">
        <v>21</v>
      </c>
      <c r="DW223">
        <v>24</v>
      </c>
      <c r="DX223">
        <v>26</v>
      </c>
      <c r="DY223">
        <v>34</v>
      </c>
      <c r="DZ223">
        <v>98.026949000000002</v>
      </c>
      <c r="EA223">
        <v>61.034483000000002</v>
      </c>
      <c r="EB223">
        <v>102.213667</v>
      </c>
      <c r="EC223">
        <v>2037</v>
      </c>
      <c r="ED223">
        <v>2124</v>
      </c>
      <c r="EE223">
        <v>97.112607999999994</v>
      </c>
      <c r="EF223">
        <v>100</v>
      </c>
      <c r="EG223">
        <v>58.419539999999998</v>
      </c>
      <c r="EH223">
        <v>95.747125999999994</v>
      </c>
      <c r="EI223">
        <v>97.834456000000003</v>
      </c>
      <c r="EJ223">
        <v>160.346487</v>
      </c>
      <c r="EK223">
        <v>2018</v>
      </c>
      <c r="EL223">
        <v>2078</v>
      </c>
      <c r="EM223">
        <v>2033</v>
      </c>
      <c r="EN223">
        <v>3332</v>
      </c>
      <c r="EO223">
        <v>2078</v>
      </c>
      <c r="EP223">
        <v>3480</v>
      </c>
      <c r="EQ223">
        <v>53.242086999999998</v>
      </c>
    </row>
    <row r="224" spans="1:147" x14ac:dyDescent="0.25">
      <c r="A224">
        <v>2022</v>
      </c>
      <c r="B224" t="str">
        <f t="shared" si="6"/>
        <v>GN</v>
      </c>
      <c r="C224" t="s">
        <v>1250</v>
      </c>
      <c r="D224" t="s">
        <v>1250</v>
      </c>
      <c r="E224">
        <v>25875</v>
      </c>
      <c r="F224" t="s">
        <v>1245</v>
      </c>
      <c r="G224" t="s">
        <v>924</v>
      </c>
      <c r="H224" t="s">
        <v>1251</v>
      </c>
      <c r="I224">
        <v>23.08</v>
      </c>
      <c r="J224">
        <v>23.08</v>
      </c>
      <c r="K224" t="s">
        <v>279</v>
      </c>
      <c r="L224">
        <v>1</v>
      </c>
      <c r="M224">
        <v>2017</v>
      </c>
      <c r="N224">
        <v>3</v>
      </c>
      <c r="O224" t="str">
        <f t="shared" si="7"/>
        <v>Alto fuste</v>
      </c>
      <c r="P224" s="2">
        <v>43031</v>
      </c>
      <c r="Q224" t="s">
        <v>174</v>
      </c>
      <c r="R224" t="s">
        <v>695</v>
      </c>
      <c r="S224" t="s">
        <v>154</v>
      </c>
      <c r="T224" t="s">
        <v>279</v>
      </c>
      <c r="U224" t="s">
        <v>156</v>
      </c>
      <c r="V224" s="2">
        <v>44638</v>
      </c>
      <c r="W224" t="s">
        <v>926</v>
      </c>
      <c r="X224">
        <v>37.03</v>
      </c>
      <c r="Y224">
        <v>20.8</v>
      </c>
      <c r="Z224">
        <v>9</v>
      </c>
      <c r="AA224">
        <v>15</v>
      </c>
      <c r="AB224">
        <v>3</v>
      </c>
      <c r="AC224">
        <v>312</v>
      </c>
      <c r="AD224">
        <v>307.73644139192402</v>
      </c>
      <c r="AE224" s="2">
        <v>44638</v>
      </c>
      <c r="AF224">
        <v>53</v>
      </c>
      <c r="AG224">
        <v>4.3997262149212899</v>
      </c>
      <c r="AH224">
        <v>25.884757130954601</v>
      </c>
      <c r="AI224">
        <v>16.112903225806399</v>
      </c>
      <c r="AJ224">
        <v>20.900678584462</v>
      </c>
      <c r="AK224">
        <v>31</v>
      </c>
      <c r="AL224">
        <v>1007.35551044211</v>
      </c>
      <c r="AM224">
        <v>241.059747466435</v>
      </c>
      <c r="AN224">
        <v>0.23929957692953799</v>
      </c>
      <c r="AO224" t="s">
        <v>695</v>
      </c>
      <c r="AP224" t="s">
        <v>158</v>
      </c>
      <c r="AQ224" t="s">
        <v>166</v>
      </c>
      <c r="AR224">
        <v>9</v>
      </c>
      <c r="AS224">
        <v>0.90661995939789874</v>
      </c>
      <c r="AT224" t="s">
        <v>1252</v>
      </c>
      <c r="AU224" t="s">
        <v>1253</v>
      </c>
      <c r="AV224">
        <v>3006</v>
      </c>
      <c r="AW224">
        <v>1685</v>
      </c>
      <c r="AX224">
        <v>1268</v>
      </c>
      <c r="AY224">
        <v>50</v>
      </c>
      <c r="AZ224">
        <v>3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-0.999</v>
      </c>
      <c r="BH224">
        <v>28.533999999999999</v>
      </c>
      <c r="BI224">
        <v>13.564527999999999</v>
      </c>
      <c r="BJ224">
        <v>-6.1443999999999999E-2</v>
      </c>
      <c r="BK224">
        <v>12.276627</v>
      </c>
      <c r="BL224">
        <v>150.71558200000001</v>
      </c>
      <c r="BM224">
        <v>0.90505400000000003</v>
      </c>
      <c r="BN224">
        <v>24.784500999999999</v>
      </c>
      <c r="BO224">
        <v>-0.158605</v>
      </c>
      <c r="BP224">
        <v>1.0728569999999999</v>
      </c>
      <c r="BQ224">
        <v>12.108288999999999</v>
      </c>
      <c r="BR224">
        <v>4.2094990000000001</v>
      </c>
      <c r="BS224">
        <v>22.954944999999999</v>
      </c>
      <c r="BT224">
        <v>13.564527999999999</v>
      </c>
      <c r="BU224">
        <v>6.3988880000000004</v>
      </c>
      <c r="BV224">
        <v>-0.27217599999999997</v>
      </c>
      <c r="BW224">
        <v>-1.3092109999999999</v>
      </c>
      <c r="BX224">
        <v>0.47173700000000002</v>
      </c>
      <c r="BY224">
        <v>-4.2535000000000003E-2</v>
      </c>
      <c r="BZ224">
        <v>-0.2046</v>
      </c>
      <c r="CA224">
        <v>-0.43390000000000001</v>
      </c>
      <c r="CB224">
        <v>-0.186</v>
      </c>
      <c r="CC224">
        <v>-7.4999999999999997E-2</v>
      </c>
      <c r="CD224">
        <v>4.1000000000000002E-2</v>
      </c>
      <c r="CE224">
        <v>8.2000000000000003E-2</v>
      </c>
      <c r="CF224">
        <v>0.13250000000000001</v>
      </c>
      <c r="CG224">
        <v>0.26</v>
      </c>
      <c r="CH224">
        <v>22.893501000000001</v>
      </c>
      <c r="CI224">
        <v>23.886998999999999</v>
      </c>
      <c r="CJ224">
        <v>24.534500000000001</v>
      </c>
      <c r="CK224">
        <v>24.866501</v>
      </c>
      <c r="CL224">
        <v>25.253</v>
      </c>
      <c r="CM224">
        <v>26.140999000000001</v>
      </c>
      <c r="CN224">
        <v>26.741751000000001</v>
      </c>
      <c r="CO224">
        <v>27.797899000000001</v>
      </c>
      <c r="CP224">
        <v>0.49312699999999998</v>
      </c>
      <c r="CQ224">
        <v>18.293766000000002</v>
      </c>
      <c r="CR224">
        <v>20.274197999999998</v>
      </c>
      <c r="CS224">
        <v>1</v>
      </c>
      <c r="CT224">
        <v>49</v>
      </c>
      <c r="CU224">
        <v>14.208916</v>
      </c>
      <c r="CV224">
        <v>14.714286</v>
      </c>
      <c r="CW224">
        <v>8.9311059999999998</v>
      </c>
      <c r="CX224">
        <v>79.764658999999995</v>
      </c>
      <c r="CY224">
        <v>0.62855700000000003</v>
      </c>
      <c r="CZ224">
        <v>13</v>
      </c>
      <c r="DA224">
        <v>0.58017099999999999</v>
      </c>
      <c r="DB224">
        <v>3.24194</v>
      </c>
      <c r="DC224">
        <v>7.288824</v>
      </c>
      <c r="DD224">
        <v>14.208916</v>
      </c>
      <c r="DE224">
        <v>5.0076159999999996</v>
      </c>
      <c r="DF224">
        <v>0.43208999999999997</v>
      </c>
      <c r="DG224">
        <v>0.37859500000000001</v>
      </c>
      <c r="DH224">
        <v>0.35242800000000002</v>
      </c>
      <c r="DI224">
        <v>8.6287000000000003E-2</v>
      </c>
      <c r="DJ224">
        <v>7.5604000000000005E-2</v>
      </c>
      <c r="DK224">
        <v>1</v>
      </c>
      <c r="DL224">
        <v>2</v>
      </c>
      <c r="DM224">
        <v>3</v>
      </c>
      <c r="DN224">
        <v>5</v>
      </c>
      <c r="DO224">
        <v>7</v>
      </c>
      <c r="DP224">
        <v>8</v>
      </c>
      <c r="DQ224">
        <v>11</v>
      </c>
      <c r="DR224">
        <v>14</v>
      </c>
      <c r="DS224">
        <v>17</v>
      </c>
      <c r="DT224">
        <v>19</v>
      </c>
      <c r="DU224">
        <v>20</v>
      </c>
      <c r="DV224">
        <v>21</v>
      </c>
      <c r="DW224">
        <v>25</v>
      </c>
      <c r="DX224">
        <v>29</v>
      </c>
      <c r="DY224">
        <v>40</v>
      </c>
      <c r="DZ224">
        <v>95.548961000000006</v>
      </c>
      <c r="EA224">
        <v>55.655355999999998</v>
      </c>
      <c r="EB224">
        <v>99.287834000000004</v>
      </c>
      <c r="EC224">
        <v>1610</v>
      </c>
      <c r="ED224">
        <v>1673</v>
      </c>
      <c r="EE224">
        <v>94.777448000000007</v>
      </c>
      <c r="EF224">
        <v>100</v>
      </c>
      <c r="EG224">
        <v>54.158349999999999</v>
      </c>
      <c r="EH224">
        <v>89.321357000000006</v>
      </c>
      <c r="EI224">
        <v>96.617210999999998</v>
      </c>
      <c r="EJ224">
        <v>159.34718100000001</v>
      </c>
      <c r="EK224">
        <v>1597</v>
      </c>
      <c r="EL224">
        <v>1685</v>
      </c>
      <c r="EM224">
        <v>1628</v>
      </c>
      <c r="EN224">
        <v>2685</v>
      </c>
      <c r="EO224">
        <v>1685</v>
      </c>
      <c r="EP224">
        <v>3006</v>
      </c>
      <c r="EQ224">
        <v>47.932119999999998</v>
      </c>
    </row>
    <row r="225" spans="1:147" x14ac:dyDescent="0.25">
      <c r="A225">
        <v>2022</v>
      </c>
      <c r="B225" t="str">
        <f t="shared" si="6"/>
        <v>GN</v>
      </c>
      <c r="C225" t="s">
        <v>1254</v>
      </c>
      <c r="D225" t="s">
        <v>1254</v>
      </c>
      <c r="E225">
        <v>25877</v>
      </c>
      <c r="F225" t="s">
        <v>1245</v>
      </c>
      <c r="G225" t="s">
        <v>924</v>
      </c>
      <c r="H225" t="s">
        <v>1251</v>
      </c>
      <c r="I225">
        <v>23.08</v>
      </c>
      <c r="J225">
        <v>23.08</v>
      </c>
      <c r="K225" t="s">
        <v>279</v>
      </c>
      <c r="L225">
        <v>1</v>
      </c>
      <c r="M225">
        <v>2017</v>
      </c>
      <c r="N225">
        <v>3</v>
      </c>
      <c r="O225" t="str">
        <f t="shared" si="7"/>
        <v>Alto fuste</v>
      </c>
      <c r="P225" s="2">
        <v>43031</v>
      </c>
      <c r="Q225" t="s">
        <v>174</v>
      </c>
      <c r="R225" t="s">
        <v>695</v>
      </c>
      <c r="S225" t="s">
        <v>154</v>
      </c>
      <c r="T225" t="s">
        <v>279</v>
      </c>
      <c r="U225" t="s">
        <v>156</v>
      </c>
      <c r="V225" s="2">
        <v>44638</v>
      </c>
      <c r="W225" t="s">
        <v>926</v>
      </c>
      <c r="X225">
        <v>37.03</v>
      </c>
      <c r="Y225">
        <v>20.7</v>
      </c>
      <c r="Z225">
        <v>11</v>
      </c>
      <c r="AA225">
        <v>14.3</v>
      </c>
      <c r="AB225">
        <v>1</v>
      </c>
      <c r="AC225">
        <v>296.01</v>
      </c>
      <c r="AD225">
        <v>290.52720713117901</v>
      </c>
      <c r="AE225" s="2">
        <v>44638</v>
      </c>
      <c r="AF225">
        <v>53</v>
      </c>
      <c r="AG225">
        <v>4.3997262149212899</v>
      </c>
      <c r="AH225">
        <v>27.819434058920201</v>
      </c>
      <c r="AI225">
        <v>16.3705882352941</v>
      </c>
      <c r="AJ225">
        <v>25.524698967955199</v>
      </c>
      <c r="AK225">
        <v>34</v>
      </c>
      <c r="AL225">
        <v>1170.2862646061301</v>
      </c>
      <c r="AM225">
        <v>321.81778288824302</v>
      </c>
      <c r="AN225">
        <v>0.27499065196373301</v>
      </c>
      <c r="AO225" t="s">
        <v>695</v>
      </c>
      <c r="AP225" t="s">
        <v>158</v>
      </c>
      <c r="AQ225" t="s">
        <v>166</v>
      </c>
      <c r="AR225">
        <v>9</v>
      </c>
      <c r="AS225">
        <v>1.0532576381455201</v>
      </c>
      <c r="AT225" t="s">
        <v>1255</v>
      </c>
      <c r="AU225" t="s">
        <v>1256</v>
      </c>
      <c r="AV225">
        <v>3864</v>
      </c>
      <c r="AW225">
        <v>2244</v>
      </c>
      <c r="AX225">
        <v>1393</v>
      </c>
      <c r="AY225">
        <v>213</v>
      </c>
      <c r="AZ225">
        <v>14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-1.0009999999999999</v>
      </c>
      <c r="BH225">
        <v>29.402999999999999</v>
      </c>
      <c r="BI225">
        <v>15.436909999999999</v>
      </c>
      <c r="BJ225">
        <v>-3.5793999999999999E-2</v>
      </c>
      <c r="BK225">
        <v>12.040277</v>
      </c>
      <c r="BL225">
        <v>144.96825899999999</v>
      </c>
      <c r="BM225">
        <v>0.77996699999999997</v>
      </c>
      <c r="BN225">
        <v>25.481251</v>
      </c>
      <c r="BO225">
        <v>-0.40973599999999999</v>
      </c>
      <c r="BP225">
        <v>1.279785</v>
      </c>
      <c r="BQ225">
        <v>11.447825</v>
      </c>
      <c r="BR225">
        <v>3.8605</v>
      </c>
      <c r="BS225">
        <v>23.536293000000001</v>
      </c>
      <c r="BT225">
        <v>15.436909999999999</v>
      </c>
      <c r="BU225">
        <v>6.3486380000000002</v>
      </c>
      <c r="BV225">
        <v>-0.90624000000000005</v>
      </c>
      <c r="BW225">
        <v>-0.99445099999999997</v>
      </c>
      <c r="BX225">
        <v>0.41126400000000002</v>
      </c>
      <c r="BY225">
        <v>-0.14274600000000001</v>
      </c>
      <c r="BZ225">
        <v>-0.15664</v>
      </c>
      <c r="CA225">
        <v>-0.33348</v>
      </c>
      <c r="CB225">
        <v>-0.11484999999999999</v>
      </c>
      <c r="CC225">
        <v>-1.7000000000000001E-2</v>
      </c>
      <c r="CD225">
        <v>9.6000000000000002E-2</v>
      </c>
      <c r="CE225">
        <v>0.153</v>
      </c>
      <c r="CF225">
        <v>0.24390000000000001</v>
      </c>
      <c r="CG225">
        <v>15.2926</v>
      </c>
      <c r="CH225">
        <v>23.500499999999999</v>
      </c>
      <c r="CI225">
        <v>24.428801</v>
      </c>
      <c r="CJ225">
        <v>25.234100000000002</v>
      </c>
      <c r="CK225">
        <v>25.634250999999999</v>
      </c>
      <c r="CL225">
        <v>26.099401</v>
      </c>
      <c r="CM225">
        <v>27.018699999999999</v>
      </c>
      <c r="CN225">
        <v>27.826000000000001</v>
      </c>
      <c r="CO225">
        <v>28.673773000000001</v>
      </c>
      <c r="CP225">
        <v>0.54064999999999996</v>
      </c>
      <c r="CQ225">
        <v>19.576233999999999</v>
      </c>
      <c r="CR225">
        <v>21.308695</v>
      </c>
      <c r="CS225">
        <v>1</v>
      </c>
      <c r="CT225">
        <v>46</v>
      </c>
      <c r="CU225">
        <v>13.24793</v>
      </c>
      <c r="CV225">
        <v>1</v>
      </c>
      <c r="CW225">
        <v>8.0070589999999999</v>
      </c>
      <c r="CX225">
        <v>64.112990999999994</v>
      </c>
      <c r="CY225">
        <v>0.60440099999999997</v>
      </c>
      <c r="CZ225">
        <v>13</v>
      </c>
      <c r="DA225">
        <v>0.37567499999999998</v>
      </c>
      <c r="DB225">
        <v>2.7754310000000002</v>
      </c>
      <c r="DC225">
        <v>6.6525420000000004</v>
      </c>
      <c r="DD225">
        <v>13.24793</v>
      </c>
      <c r="DE225">
        <v>4.5389860000000004</v>
      </c>
      <c r="DF225">
        <v>0.24865699999999999</v>
      </c>
      <c r="DG225">
        <v>0.25660899999999998</v>
      </c>
      <c r="DH225">
        <v>0.34261900000000001</v>
      </c>
      <c r="DI225">
        <v>5.4781999999999997E-2</v>
      </c>
      <c r="DJ225">
        <v>5.6534000000000001E-2</v>
      </c>
      <c r="DK225">
        <v>1</v>
      </c>
      <c r="DL225">
        <v>1</v>
      </c>
      <c r="DM225">
        <v>3</v>
      </c>
      <c r="DN225">
        <v>5</v>
      </c>
      <c r="DO225">
        <v>6</v>
      </c>
      <c r="DP225">
        <v>8</v>
      </c>
      <c r="DQ225">
        <v>11</v>
      </c>
      <c r="DR225">
        <v>13</v>
      </c>
      <c r="DS225">
        <v>16</v>
      </c>
      <c r="DT225">
        <v>18</v>
      </c>
      <c r="DU225">
        <v>19</v>
      </c>
      <c r="DV225">
        <v>20</v>
      </c>
      <c r="DW225">
        <v>23</v>
      </c>
      <c r="DX225">
        <v>26</v>
      </c>
      <c r="DY225">
        <v>35</v>
      </c>
      <c r="DZ225">
        <v>97.237076999999999</v>
      </c>
      <c r="EA225">
        <v>63.716355999999998</v>
      </c>
      <c r="EB225">
        <v>109.714795</v>
      </c>
      <c r="EC225">
        <v>2182</v>
      </c>
      <c r="ED225">
        <v>2462</v>
      </c>
      <c r="EE225">
        <v>96.479500999999999</v>
      </c>
      <c r="EF225">
        <v>99.910872999999995</v>
      </c>
      <c r="EG225">
        <v>59.808489000000002</v>
      </c>
      <c r="EH225">
        <v>91.045548999999994</v>
      </c>
      <c r="EI225">
        <v>102.98574000000001</v>
      </c>
      <c r="EJ225">
        <v>156.773619</v>
      </c>
      <c r="EK225">
        <v>2165</v>
      </c>
      <c r="EL225">
        <v>2242</v>
      </c>
      <c r="EM225">
        <v>2311</v>
      </c>
      <c r="EN225">
        <v>3518</v>
      </c>
      <c r="EO225">
        <v>2244</v>
      </c>
      <c r="EP225">
        <v>3864</v>
      </c>
      <c r="EQ225">
        <v>52.880665</v>
      </c>
    </row>
    <row r="226" spans="1:147" x14ac:dyDescent="0.25">
      <c r="A226">
        <v>2022</v>
      </c>
      <c r="B226" t="str">
        <f t="shared" si="6"/>
        <v>GN</v>
      </c>
      <c r="C226" t="s">
        <v>1257</v>
      </c>
      <c r="D226" t="s">
        <v>1257</v>
      </c>
      <c r="E226">
        <v>25880</v>
      </c>
      <c r="F226" t="s">
        <v>1258</v>
      </c>
      <c r="G226" t="s">
        <v>1259</v>
      </c>
      <c r="H226" t="s">
        <v>1260</v>
      </c>
      <c r="I226">
        <v>32.89</v>
      </c>
      <c r="J226">
        <v>32.89</v>
      </c>
      <c r="K226" t="s">
        <v>199</v>
      </c>
      <c r="L226">
        <v>1</v>
      </c>
      <c r="M226">
        <v>2017</v>
      </c>
      <c r="N226">
        <v>1</v>
      </c>
      <c r="O226" t="str">
        <f t="shared" si="7"/>
        <v>Talhadia</v>
      </c>
      <c r="P226" s="2">
        <v>43043</v>
      </c>
      <c r="Q226" t="s">
        <v>322</v>
      </c>
      <c r="R226" t="s">
        <v>165</v>
      </c>
      <c r="S226" t="s">
        <v>154</v>
      </c>
      <c r="T226" t="s">
        <v>199</v>
      </c>
      <c r="U226" t="s">
        <v>156</v>
      </c>
      <c r="V226" s="2">
        <v>44713</v>
      </c>
      <c r="W226" t="s">
        <v>1261</v>
      </c>
      <c r="X226">
        <v>100.42</v>
      </c>
      <c r="Y226">
        <v>19.2</v>
      </c>
      <c r="Z226">
        <v>9</v>
      </c>
      <c r="AA226">
        <v>16.899999999999999</v>
      </c>
      <c r="AB226">
        <v>2</v>
      </c>
      <c r="AC226">
        <v>324.48</v>
      </c>
      <c r="AD226">
        <v>320.28988188483697</v>
      </c>
      <c r="AE226" s="2">
        <v>44713</v>
      </c>
      <c r="AF226">
        <v>55</v>
      </c>
      <c r="AG226">
        <v>4.5722108145106102</v>
      </c>
      <c r="AH226">
        <v>25.721620856827101</v>
      </c>
      <c r="AI226">
        <v>16.434374999999999</v>
      </c>
      <c r="AJ226">
        <v>21.776765396294</v>
      </c>
      <c r="AK226">
        <v>32</v>
      </c>
      <c r="AL226">
        <v>999.09493898736002</v>
      </c>
      <c r="AM226">
        <v>254.88809975268501</v>
      </c>
      <c r="AN226">
        <v>0.255118998011369</v>
      </c>
      <c r="AO226" t="s">
        <v>165</v>
      </c>
      <c r="AP226" t="s">
        <v>264</v>
      </c>
      <c r="AQ226" t="s">
        <v>286</v>
      </c>
      <c r="AR226">
        <v>9.99</v>
      </c>
      <c r="AS226">
        <v>0.99809584404837282</v>
      </c>
      <c r="AT226" t="s">
        <v>1262</v>
      </c>
      <c r="AU226" t="s">
        <v>1263</v>
      </c>
      <c r="AV226">
        <v>4244</v>
      </c>
      <c r="AW226">
        <v>2414</v>
      </c>
      <c r="AX226">
        <v>1654</v>
      </c>
      <c r="AY226">
        <v>165</v>
      </c>
      <c r="AZ226">
        <v>11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-1.087</v>
      </c>
      <c r="BH226">
        <v>27.48</v>
      </c>
      <c r="BI226">
        <v>13.080873</v>
      </c>
      <c r="BJ226">
        <v>-0.18011099999999999</v>
      </c>
      <c r="BK226">
        <v>11.560449999999999</v>
      </c>
      <c r="BL226">
        <v>133.64401000000001</v>
      </c>
      <c r="BM226">
        <v>0.883768</v>
      </c>
      <c r="BN226">
        <v>23.979248999999999</v>
      </c>
      <c r="BO226">
        <v>-0.14760899999999999</v>
      </c>
      <c r="BP226">
        <v>1.118015</v>
      </c>
      <c r="BQ226">
        <v>11.282057999999999</v>
      </c>
      <c r="BR226">
        <v>6.449999</v>
      </c>
      <c r="BS226">
        <v>19.942612</v>
      </c>
      <c r="BT226">
        <v>13.080873</v>
      </c>
      <c r="BU226">
        <v>6.1455840000000004</v>
      </c>
      <c r="BV226">
        <v>-0.26278400000000002</v>
      </c>
      <c r="BW226">
        <v>-1.228791</v>
      </c>
      <c r="BX226">
        <v>0.46981400000000001</v>
      </c>
      <c r="BY226">
        <v>-4.2759999999999999E-2</v>
      </c>
      <c r="BZ226">
        <v>-0.19994700000000001</v>
      </c>
      <c r="CA226">
        <v>-0.43857000000000002</v>
      </c>
      <c r="CB226">
        <v>-0.17899999999999999</v>
      </c>
      <c r="CC226">
        <v>-8.8700000000000001E-2</v>
      </c>
      <c r="CD226">
        <v>0.01</v>
      </c>
      <c r="CE226">
        <v>0.06</v>
      </c>
      <c r="CF226">
        <v>0.107</v>
      </c>
      <c r="CG226">
        <v>0.34939999999999999</v>
      </c>
      <c r="CH226">
        <v>19.762501</v>
      </c>
      <c r="CI226">
        <v>22.934799000000002</v>
      </c>
      <c r="CJ226">
        <v>23.697299999999998</v>
      </c>
      <c r="CK226">
        <v>24.039249000000002</v>
      </c>
      <c r="CL226">
        <v>24.3734</v>
      </c>
      <c r="CM226">
        <v>25.191998999999999</v>
      </c>
      <c r="CN226">
        <v>25.862850000000002</v>
      </c>
      <c r="CO226">
        <v>26.622419000000001</v>
      </c>
      <c r="CP226">
        <v>0.495952</v>
      </c>
      <c r="CQ226">
        <v>17.456281000000001</v>
      </c>
      <c r="CR226">
        <v>19.357548000000001</v>
      </c>
      <c r="CS226">
        <v>1</v>
      </c>
      <c r="CT226">
        <v>85</v>
      </c>
      <c r="CU226">
        <v>18.935438000000001</v>
      </c>
      <c r="CV226">
        <v>1</v>
      </c>
      <c r="CW226">
        <v>13.05898</v>
      </c>
      <c r="CX226">
        <v>170.536957</v>
      </c>
      <c r="CY226">
        <v>0.68965799999999999</v>
      </c>
      <c r="CZ226">
        <v>18</v>
      </c>
      <c r="DA226">
        <v>0.85002599999999995</v>
      </c>
      <c r="DB226">
        <v>4.146903</v>
      </c>
      <c r="DC226">
        <v>10.323449</v>
      </c>
      <c r="DD226">
        <v>18.935438000000001</v>
      </c>
      <c r="DE226">
        <v>7.1748089999999998</v>
      </c>
      <c r="DF226">
        <v>0.81838999999999995</v>
      </c>
      <c r="DG226">
        <v>0.72870800000000002</v>
      </c>
      <c r="DH226">
        <v>0.378909</v>
      </c>
      <c r="DI226">
        <v>0.114064</v>
      </c>
      <c r="DJ226">
        <v>0.101565</v>
      </c>
      <c r="DK226">
        <v>1</v>
      </c>
      <c r="DL226">
        <v>1</v>
      </c>
      <c r="DM226">
        <v>3</v>
      </c>
      <c r="DN226">
        <v>6</v>
      </c>
      <c r="DO226">
        <v>8</v>
      </c>
      <c r="DP226">
        <v>10</v>
      </c>
      <c r="DQ226">
        <v>15</v>
      </c>
      <c r="DR226">
        <v>19</v>
      </c>
      <c r="DS226">
        <v>22</v>
      </c>
      <c r="DT226">
        <v>25</v>
      </c>
      <c r="DU226">
        <v>26</v>
      </c>
      <c r="DV226">
        <v>28</v>
      </c>
      <c r="DW226">
        <v>34</v>
      </c>
      <c r="DX226">
        <v>42</v>
      </c>
      <c r="DY226">
        <v>61</v>
      </c>
      <c r="DZ226">
        <v>95.484673000000001</v>
      </c>
      <c r="EA226">
        <v>59.095193000000002</v>
      </c>
      <c r="EB226">
        <v>103.893952</v>
      </c>
      <c r="EC226">
        <v>2305</v>
      </c>
      <c r="ED226">
        <v>2508</v>
      </c>
      <c r="EE226">
        <v>91.300746000000004</v>
      </c>
      <c r="EF226">
        <v>99.958574999999996</v>
      </c>
      <c r="EG226">
        <v>53.039585000000002</v>
      </c>
      <c r="EH226">
        <v>95.028274999999994</v>
      </c>
      <c r="EI226">
        <v>93.247721999999996</v>
      </c>
      <c r="EJ226">
        <v>167.06710899999999</v>
      </c>
      <c r="EK226">
        <v>2204</v>
      </c>
      <c r="EL226">
        <v>2413</v>
      </c>
      <c r="EM226">
        <v>2251</v>
      </c>
      <c r="EN226">
        <v>4033</v>
      </c>
      <c r="EO226">
        <v>2414</v>
      </c>
      <c r="EP226">
        <v>4244</v>
      </c>
      <c r="EQ226">
        <v>48.246464000000003</v>
      </c>
    </row>
    <row r="227" spans="1:147" x14ac:dyDescent="0.25">
      <c r="A227">
        <v>2022</v>
      </c>
      <c r="B227" t="str">
        <f t="shared" si="6"/>
        <v>GN</v>
      </c>
      <c r="C227" t="s">
        <v>1264</v>
      </c>
      <c r="D227" t="s">
        <v>1264</v>
      </c>
      <c r="E227">
        <v>25882</v>
      </c>
      <c r="F227" t="s">
        <v>1258</v>
      </c>
      <c r="G227" t="s">
        <v>1259</v>
      </c>
      <c r="H227" t="s">
        <v>1260</v>
      </c>
      <c r="I227">
        <v>32.89</v>
      </c>
      <c r="J227">
        <v>32.89</v>
      </c>
      <c r="K227" t="s">
        <v>199</v>
      </c>
      <c r="L227">
        <v>1</v>
      </c>
      <c r="M227">
        <v>2017</v>
      </c>
      <c r="N227">
        <v>1</v>
      </c>
      <c r="O227" t="str">
        <f t="shared" si="7"/>
        <v>Talhadia</v>
      </c>
      <c r="P227" s="2">
        <v>43043</v>
      </c>
      <c r="Q227" t="s">
        <v>322</v>
      </c>
      <c r="R227" t="s">
        <v>165</v>
      </c>
      <c r="S227" t="s">
        <v>154</v>
      </c>
      <c r="T227" t="s">
        <v>199</v>
      </c>
      <c r="U227" t="s">
        <v>156</v>
      </c>
      <c r="V227" s="2">
        <v>44713</v>
      </c>
      <c r="W227" t="s">
        <v>1261</v>
      </c>
      <c r="X227">
        <v>100.42</v>
      </c>
      <c r="Y227">
        <v>18.7</v>
      </c>
      <c r="Z227">
        <v>13</v>
      </c>
      <c r="AA227">
        <v>17</v>
      </c>
      <c r="AB227">
        <v>1</v>
      </c>
      <c r="AC227">
        <v>317.89999999999998</v>
      </c>
      <c r="AD227">
        <v>309.70506682820798</v>
      </c>
      <c r="AE227" s="2">
        <v>44713</v>
      </c>
      <c r="AF227">
        <v>55</v>
      </c>
      <c r="AG227">
        <v>4.5722108145106102</v>
      </c>
      <c r="AH227">
        <v>25.6359382299913</v>
      </c>
      <c r="AI227">
        <v>16.968965517241401</v>
      </c>
      <c r="AJ227">
        <v>21.8118771622125</v>
      </c>
      <c r="AK227">
        <v>29</v>
      </c>
      <c r="AL227">
        <v>936.37473538933602</v>
      </c>
      <c r="AM227">
        <v>253.64043602942701</v>
      </c>
      <c r="AN227">
        <v>0.27087492479596298</v>
      </c>
      <c r="AO227" t="s">
        <v>165</v>
      </c>
      <c r="AP227" t="s">
        <v>264</v>
      </c>
      <c r="AQ227" t="s">
        <v>286</v>
      </c>
      <c r="AR227">
        <v>9.99</v>
      </c>
      <c r="AS227">
        <v>0.93543836065394714</v>
      </c>
      <c r="AT227" t="s">
        <v>1265</v>
      </c>
      <c r="AU227" t="s">
        <v>1266</v>
      </c>
      <c r="AV227">
        <v>4878</v>
      </c>
      <c r="AW227">
        <v>2828</v>
      </c>
      <c r="AX227">
        <v>1782</v>
      </c>
      <c r="AY227">
        <v>249</v>
      </c>
      <c r="AZ227">
        <v>19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-0.96799999999999997</v>
      </c>
      <c r="BH227">
        <v>30.240998999999999</v>
      </c>
      <c r="BI227">
        <v>15.003277000000001</v>
      </c>
      <c r="BJ227">
        <v>2.2762000000000001E-2</v>
      </c>
      <c r="BK227">
        <v>12.744018000000001</v>
      </c>
      <c r="BL227">
        <v>162.409999</v>
      </c>
      <c r="BM227">
        <v>0.84941599999999995</v>
      </c>
      <c r="BN227">
        <v>26.726751</v>
      </c>
      <c r="BO227">
        <v>-0.21714600000000001</v>
      </c>
      <c r="BP227">
        <v>1.160685</v>
      </c>
      <c r="BQ227">
        <v>12.321094</v>
      </c>
      <c r="BR227">
        <v>5.5084999999999997</v>
      </c>
      <c r="BS227">
        <v>23.612238000000001</v>
      </c>
      <c r="BT227">
        <v>15.003277000000001</v>
      </c>
      <c r="BU227">
        <v>6.7983960000000003</v>
      </c>
      <c r="BV227">
        <v>-0.48455900000000002</v>
      </c>
      <c r="BW227">
        <v>-1.296699</v>
      </c>
      <c r="BX227">
        <v>0.453127</v>
      </c>
      <c r="BY227">
        <v>-7.1275000000000005E-2</v>
      </c>
      <c r="BZ227">
        <v>-0.19073599999999999</v>
      </c>
      <c r="CA227">
        <v>-0.43946000000000002</v>
      </c>
      <c r="CB227">
        <v>-0.20230000000000001</v>
      </c>
      <c r="CC227">
        <v>-9.6299999999999997E-2</v>
      </c>
      <c r="CD227">
        <v>2.8000000000000001E-2</v>
      </c>
      <c r="CE227">
        <v>8.1000000000000003E-2</v>
      </c>
      <c r="CF227">
        <v>0.14299999999999999</v>
      </c>
      <c r="CG227">
        <v>7.3896009999999999</v>
      </c>
      <c r="CH227">
        <v>23.635000000000002</v>
      </c>
      <c r="CI227">
        <v>25.5182</v>
      </c>
      <c r="CJ227">
        <v>26.398800000000001</v>
      </c>
      <c r="CK227">
        <v>26.807751</v>
      </c>
      <c r="CL227">
        <v>27.251201999999999</v>
      </c>
      <c r="CM227">
        <v>28.192799000000001</v>
      </c>
      <c r="CN227">
        <v>28.784599</v>
      </c>
      <c r="CO227">
        <v>29.539218999999999</v>
      </c>
      <c r="CP227">
        <v>0.51175199999999998</v>
      </c>
      <c r="CQ227">
        <v>19.684384999999999</v>
      </c>
      <c r="CR227">
        <v>21.712799</v>
      </c>
      <c r="CS227">
        <v>1</v>
      </c>
      <c r="CT227">
        <v>65</v>
      </c>
      <c r="CU227">
        <v>14.626281000000001</v>
      </c>
      <c r="CV227">
        <v>1</v>
      </c>
      <c r="CW227">
        <v>9.944089</v>
      </c>
      <c r="CX227">
        <v>98.884911000000002</v>
      </c>
      <c r="CY227">
        <v>0.67987799999999998</v>
      </c>
      <c r="CZ227">
        <v>15</v>
      </c>
      <c r="DA227">
        <v>0.78112300000000001</v>
      </c>
      <c r="DB227">
        <v>3.885491</v>
      </c>
      <c r="DC227">
        <v>8.0142980000000001</v>
      </c>
      <c r="DD227">
        <v>14.626281000000001</v>
      </c>
      <c r="DE227">
        <v>5.503876</v>
      </c>
      <c r="DF227">
        <v>0.61357799999999996</v>
      </c>
      <c r="DG227">
        <v>0.46157199999999998</v>
      </c>
      <c r="DH227">
        <v>0.37630000000000002</v>
      </c>
      <c r="DI227">
        <v>0.111481</v>
      </c>
      <c r="DJ227">
        <v>8.3862999999999993E-2</v>
      </c>
      <c r="DK227">
        <v>1</v>
      </c>
      <c r="DL227">
        <v>1</v>
      </c>
      <c r="DM227">
        <v>2</v>
      </c>
      <c r="DN227">
        <v>5</v>
      </c>
      <c r="DO227">
        <v>6</v>
      </c>
      <c r="DP227">
        <v>8</v>
      </c>
      <c r="DQ227">
        <v>11</v>
      </c>
      <c r="DR227">
        <v>15</v>
      </c>
      <c r="DS227">
        <v>17</v>
      </c>
      <c r="DT227">
        <v>20</v>
      </c>
      <c r="DU227">
        <v>21</v>
      </c>
      <c r="DV227">
        <v>22</v>
      </c>
      <c r="DW227">
        <v>26</v>
      </c>
      <c r="DX227">
        <v>32</v>
      </c>
      <c r="DY227">
        <v>45</v>
      </c>
      <c r="DZ227">
        <v>94.731258999999994</v>
      </c>
      <c r="EA227">
        <v>61.090611000000003</v>
      </c>
      <c r="EB227">
        <v>105.37482300000001</v>
      </c>
      <c r="EC227">
        <v>2679</v>
      </c>
      <c r="ED227">
        <v>2980</v>
      </c>
      <c r="EE227">
        <v>90.594059000000001</v>
      </c>
      <c r="EF227">
        <v>99.787835999999999</v>
      </c>
      <c r="EG227">
        <v>54.653547000000003</v>
      </c>
      <c r="EH227">
        <v>80.422303999999997</v>
      </c>
      <c r="EI227">
        <v>94.271569999999997</v>
      </c>
      <c r="EJ227">
        <v>138.719943</v>
      </c>
      <c r="EK227">
        <v>2562</v>
      </c>
      <c r="EL227">
        <v>2822</v>
      </c>
      <c r="EM227">
        <v>2666</v>
      </c>
      <c r="EN227">
        <v>3923</v>
      </c>
      <c r="EO227">
        <v>2828</v>
      </c>
      <c r="EP227">
        <v>4878</v>
      </c>
      <c r="EQ227">
        <v>49.924622999999997</v>
      </c>
    </row>
    <row r="228" spans="1:147" x14ac:dyDescent="0.25">
      <c r="A228">
        <v>2022</v>
      </c>
      <c r="B228" t="str">
        <f t="shared" si="6"/>
        <v>GN</v>
      </c>
      <c r="C228" t="s">
        <v>1267</v>
      </c>
      <c r="D228" t="s">
        <v>1267</v>
      </c>
      <c r="E228">
        <v>25895</v>
      </c>
      <c r="F228" t="s">
        <v>1268</v>
      </c>
      <c r="G228" t="s">
        <v>1269</v>
      </c>
      <c r="H228" t="s">
        <v>1270</v>
      </c>
      <c r="I228">
        <v>44.64</v>
      </c>
      <c r="J228">
        <v>44.64</v>
      </c>
      <c r="K228" t="s">
        <v>279</v>
      </c>
      <c r="L228">
        <v>1</v>
      </c>
      <c r="M228">
        <v>2017</v>
      </c>
      <c r="N228">
        <v>3</v>
      </c>
      <c r="O228" t="str">
        <f t="shared" si="7"/>
        <v>Talhadia</v>
      </c>
      <c r="P228" s="2">
        <v>42780</v>
      </c>
      <c r="Q228" t="s">
        <v>174</v>
      </c>
      <c r="R228" t="s">
        <v>165</v>
      </c>
      <c r="S228" t="s">
        <v>154</v>
      </c>
      <c r="T228" t="s">
        <v>279</v>
      </c>
      <c r="U228" t="s">
        <v>156</v>
      </c>
      <c r="V228" s="2">
        <v>44631</v>
      </c>
      <c r="W228" t="s">
        <v>1271</v>
      </c>
      <c r="X228">
        <v>171.51</v>
      </c>
      <c r="Y228">
        <v>20.6</v>
      </c>
      <c r="Z228">
        <v>7</v>
      </c>
      <c r="AA228">
        <v>16.600000000000001</v>
      </c>
      <c r="AB228">
        <v>0</v>
      </c>
      <c r="AC228">
        <v>341.96</v>
      </c>
      <c r="AD228">
        <v>339.411082015266</v>
      </c>
      <c r="AE228" s="2">
        <v>44631</v>
      </c>
      <c r="AF228">
        <v>61</v>
      </c>
      <c r="AG228">
        <v>5.0677618069815198</v>
      </c>
      <c r="AH228">
        <v>25.092228970019701</v>
      </c>
      <c r="AI228">
        <v>16.583870967741898</v>
      </c>
      <c r="AJ228">
        <v>19.9474206988214</v>
      </c>
      <c r="AK228">
        <v>31</v>
      </c>
      <c r="AL228">
        <v>913.34672444801402</v>
      </c>
      <c r="AM228">
        <v>238.36225344719901</v>
      </c>
      <c r="AN228">
        <v>0.26097674307777702</v>
      </c>
      <c r="AO228" t="s">
        <v>165</v>
      </c>
      <c r="AP228" t="s">
        <v>264</v>
      </c>
      <c r="AQ228" t="s">
        <v>294</v>
      </c>
      <c r="AR228">
        <v>9</v>
      </c>
      <c r="AS228">
        <v>0.82201205200321403</v>
      </c>
      <c r="AT228" t="s">
        <v>1272</v>
      </c>
      <c r="AU228" t="s">
        <v>1273</v>
      </c>
      <c r="AV228">
        <v>6979</v>
      </c>
      <c r="AW228">
        <v>3708</v>
      </c>
      <c r="AX228">
        <v>3096</v>
      </c>
      <c r="AY228">
        <v>174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-0.999</v>
      </c>
      <c r="BH228">
        <v>29.636998999999999</v>
      </c>
      <c r="BI228">
        <v>13.051717</v>
      </c>
      <c r="BJ228">
        <v>-2.6429000000000001E-2</v>
      </c>
      <c r="BK228">
        <v>12.714527</v>
      </c>
      <c r="BL228">
        <v>161.659187</v>
      </c>
      <c r="BM228">
        <v>0.97416499999999995</v>
      </c>
      <c r="BN228">
        <v>25.786501000000001</v>
      </c>
      <c r="BO228">
        <v>-1.2810999999999999E-2</v>
      </c>
      <c r="BP228">
        <v>1.0480769999999999</v>
      </c>
      <c r="BQ228">
        <v>12.575850000000001</v>
      </c>
      <c r="BR228">
        <v>11.209999</v>
      </c>
      <c r="BS228">
        <v>16.660429000000001</v>
      </c>
      <c r="BT228">
        <v>13.051717</v>
      </c>
      <c r="BU228">
        <v>6.6344779999999997</v>
      </c>
      <c r="BV228">
        <v>0.155838</v>
      </c>
      <c r="BW228">
        <v>-1.4348270000000001</v>
      </c>
      <c r="BX228">
        <v>0.50832200000000005</v>
      </c>
      <c r="BY228">
        <v>2.3488999999999999E-2</v>
      </c>
      <c r="BZ228">
        <v>-0.21626799999999999</v>
      </c>
      <c r="CA228">
        <v>-0.40366000000000002</v>
      </c>
      <c r="CB228">
        <v>-0.19500000000000001</v>
      </c>
      <c r="CC228">
        <v>-0.1062</v>
      </c>
      <c r="CD228">
        <v>-1.4999999999999999E-2</v>
      </c>
      <c r="CE228">
        <v>2.4E-2</v>
      </c>
      <c r="CF228">
        <v>6.3399999999999998E-2</v>
      </c>
      <c r="CG228">
        <v>0.159</v>
      </c>
      <c r="CH228">
        <v>16.634001000000001</v>
      </c>
      <c r="CI228">
        <v>24.354799</v>
      </c>
      <c r="CJ228">
        <v>25.436399000000002</v>
      </c>
      <c r="CK228">
        <v>25.810500999999999</v>
      </c>
      <c r="CL228">
        <v>26.193999999999999</v>
      </c>
      <c r="CM228">
        <v>26.91</v>
      </c>
      <c r="CN228">
        <v>27.405100000000001</v>
      </c>
      <c r="CO228">
        <v>28.283321000000001</v>
      </c>
      <c r="CP228">
        <v>0.45863399999999999</v>
      </c>
      <c r="CQ228">
        <v>18.220410000000001</v>
      </c>
      <c r="CR228">
        <v>20.42896</v>
      </c>
      <c r="CS228">
        <v>1</v>
      </c>
      <c r="CT228">
        <v>64</v>
      </c>
      <c r="CU228">
        <v>16.409658</v>
      </c>
      <c r="CV228">
        <v>1</v>
      </c>
      <c r="CW228">
        <v>11.068624</v>
      </c>
      <c r="CX228">
        <v>122.514444</v>
      </c>
      <c r="CY228">
        <v>0.67451899999999998</v>
      </c>
      <c r="CZ228">
        <v>15</v>
      </c>
      <c r="DA228">
        <v>0.944739</v>
      </c>
      <c r="DB228">
        <v>4.178795</v>
      </c>
      <c r="DC228">
        <v>8.5587940000000007</v>
      </c>
      <c r="DD228">
        <v>16.409658</v>
      </c>
      <c r="DE228">
        <v>6.0382680000000004</v>
      </c>
      <c r="DF228">
        <v>0.83326999999999996</v>
      </c>
      <c r="DG228">
        <v>0.77240799999999998</v>
      </c>
      <c r="DH228">
        <v>0.36797000000000002</v>
      </c>
      <c r="DI228">
        <v>0.13799800000000001</v>
      </c>
      <c r="DJ228">
        <v>0.127919</v>
      </c>
      <c r="DK228">
        <v>1</v>
      </c>
      <c r="DL228">
        <v>2</v>
      </c>
      <c r="DM228">
        <v>3</v>
      </c>
      <c r="DN228">
        <v>6</v>
      </c>
      <c r="DO228">
        <v>7</v>
      </c>
      <c r="DP228">
        <v>9</v>
      </c>
      <c r="DQ228">
        <v>13</v>
      </c>
      <c r="DR228">
        <v>16</v>
      </c>
      <c r="DS228">
        <v>18.799804999999999</v>
      </c>
      <c r="DT228">
        <v>21</v>
      </c>
      <c r="DU228">
        <v>22</v>
      </c>
      <c r="DV228">
        <v>24</v>
      </c>
      <c r="DW228">
        <v>29</v>
      </c>
      <c r="DX228">
        <v>39</v>
      </c>
      <c r="DY228">
        <v>51</v>
      </c>
      <c r="DZ228">
        <v>93.635383000000004</v>
      </c>
      <c r="EA228">
        <v>52.314084999999999</v>
      </c>
      <c r="EB228">
        <v>98.462783000000002</v>
      </c>
      <c r="EC228">
        <v>3472</v>
      </c>
      <c r="ED228">
        <v>3651</v>
      </c>
      <c r="EE228">
        <v>92.961164999999994</v>
      </c>
      <c r="EF228">
        <v>99.946062999999995</v>
      </c>
      <c r="EG228">
        <v>50.637627000000002</v>
      </c>
      <c r="EH228">
        <v>81.358361000000002</v>
      </c>
      <c r="EI228">
        <v>95.307443000000006</v>
      </c>
      <c r="EJ228">
        <v>153.12837099999999</v>
      </c>
      <c r="EK228">
        <v>3447</v>
      </c>
      <c r="EL228">
        <v>3706</v>
      </c>
      <c r="EM228">
        <v>3534</v>
      </c>
      <c r="EN228">
        <v>5678</v>
      </c>
      <c r="EO228">
        <v>3708</v>
      </c>
      <c r="EP228">
        <v>6979</v>
      </c>
      <c r="EQ228">
        <v>45.247183</v>
      </c>
    </row>
    <row r="229" spans="1:147" x14ac:dyDescent="0.25">
      <c r="A229">
        <v>2022</v>
      </c>
      <c r="B229" t="str">
        <f t="shared" si="6"/>
        <v>GN</v>
      </c>
      <c r="C229" t="s">
        <v>1274</v>
      </c>
      <c r="D229" t="s">
        <v>1274</v>
      </c>
      <c r="E229">
        <v>25899</v>
      </c>
      <c r="F229" t="s">
        <v>1268</v>
      </c>
      <c r="G229" t="s">
        <v>1269</v>
      </c>
      <c r="H229" t="s">
        <v>1270</v>
      </c>
      <c r="I229">
        <v>44.64</v>
      </c>
      <c r="J229">
        <v>44.64</v>
      </c>
      <c r="K229" t="s">
        <v>279</v>
      </c>
      <c r="L229">
        <v>1</v>
      </c>
      <c r="M229">
        <v>2017</v>
      </c>
      <c r="N229">
        <v>3</v>
      </c>
      <c r="O229" t="str">
        <f t="shared" si="7"/>
        <v>Talhadia</v>
      </c>
      <c r="P229" s="2">
        <v>42780</v>
      </c>
      <c r="Q229" t="s">
        <v>174</v>
      </c>
      <c r="R229" t="s">
        <v>165</v>
      </c>
      <c r="S229" t="s">
        <v>154</v>
      </c>
      <c r="T229" t="s">
        <v>279</v>
      </c>
      <c r="U229" t="s">
        <v>156</v>
      </c>
      <c r="V229" s="2">
        <v>44631</v>
      </c>
      <c r="W229" t="s">
        <v>1271</v>
      </c>
      <c r="X229">
        <v>171.51</v>
      </c>
      <c r="Y229">
        <v>19.2</v>
      </c>
      <c r="Z229">
        <v>9</v>
      </c>
      <c r="AA229">
        <v>14.2</v>
      </c>
      <c r="AB229">
        <v>0</v>
      </c>
      <c r="AC229">
        <v>272.64</v>
      </c>
      <c r="AD229">
        <v>269.28334917985802</v>
      </c>
      <c r="AE229" s="2">
        <v>44631</v>
      </c>
      <c r="AF229">
        <v>61</v>
      </c>
      <c r="AG229">
        <v>5.0677618069815198</v>
      </c>
      <c r="AH229">
        <v>26.898105950800399</v>
      </c>
      <c r="AI229">
        <v>16.567741935483902</v>
      </c>
      <c r="AJ229">
        <v>25.6249880351717</v>
      </c>
      <c r="AK229">
        <v>31</v>
      </c>
      <c r="AL229">
        <v>1151.2037448440501</v>
      </c>
      <c r="AM229">
        <v>332.92228870299198</v>
      </c>
      <c r="AN229">
        <v>0.28919493199537299</v>
      </c>
      <c r="AO229" t="s">
        <v>165</v>
      </c>
      <c r="AP229" t="s">
        <v>264</v>
      </c>
      <c r="AQ229" t="s">
        <v>294</v>
      </c>
      <c r="AR229">
        <v>9</v>
      </c>
      <c r="AS229">
        <v>1.036083370359643</v>
      </c>
      <c r="AT229" t="s">
        <v>1275</v>
      </c>
      <c r="AU229" t="s">
        <v>1276</v>
      </c>
      <c r="AV229">
        <v>4442</v>
      </c>
      <c r="AW229">
        <v>2565</v>
      </c>
      <c r="AX229">
        <v>1685</v>
      </c>
      <c r="AY229">
        <v>185</v>
      </c>
      <c r="AZ229">
        <v>7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-0.92900000000000005</v>
      </c>
      <c r="BH229">
        <v>30.562000000000001</v>
      </c>
      <c r="BI229">
        <v>14.787974999999999</v>
      </c>
      <c r="BJ229">
        <v>-0.429143</v>
      </c>
      <c r="BK229">
        <v>12.740912</v>
      </c>
      <c r="BL229">
        <v>162.330848</v>
      </c>
      <c r="BM229">
        <v>0.861572</v>
      </c>
      <c r="BN229">
        <v>26.617999000000001</v>
      </c>
      <c r="BO229">
        <v>-0.206819</v>
      </c>
      <c r="BP229">
        <v>1.1457310000000001</v>
      </c>
      <c r="BQ229">
        <v>12.312196</v>
      </c>
      <c r="BR229">
        <v>5.3994989999999996</v>
      </c>
      <c r="BS229">
        <v>23.899142999999999</v>
      </c>
      <c r="BT229">
        <v>14.787974999999999</v>
      </c>
      <c r="BU229">
        <v>6.761978</v>
      </c>
      <c r="BV229">
        <v>-0.45455200000000001</v>
      </c>
      <c r="BW229">
        <v>-1.3340890000000001</v>
      </c>
      <c r="BX229">
        <v>0.457262</v>
      </c>
      <c r="BY229">
        <v>-6.7222000000000004E-2</v>
      </c>
      <c r="BZ229">
        <v>-0.197293</v>
      </c>
      <c r="CA229">
        <v>-0.44518000000000002</v>
      </c>
      <c r="CB229">
        <v>-0.19395000000000001</v>
      </c>
      <c r="CC229">
        <v>-8.8999999999999996E-2</v>
      </c>
      <c r="CD229">
        <v>1.7999999999999999E-2</v>
      </c>
      <c r="CE229">
        <v>6.4000000000000001E-2</v>
      </c>
      <c r="CF229">
        <v>0.12</v>
      </c>
      <c r="CG229">
        <v>0.44</v>
      </c>
      <c r="CH229">
        <v>23.470001</v>
      </c>
      <c r="CI229">
        <v>25.698999000000001</v>
      </c>
      <c r="CJ229">
        <v>26.3964</v>
      </c>
      <c r="CK229">
        <v>26.681999000000001</v>
      </c>
      <c r="CL229">
        <v>26.960599999999999</v>
      </c>
      <c r="CM229">
        <v>27.721700999999999</v>
      </c>
      <c r="CN229">
        <v>28.404852000000002</v>
      </c>
      <c r="CO229">
        <v>29.554337</v>
      </c>
      <c r="CP229">
        <v>0.49909399999999998</v>
      </c>
      <c r="CQ229">
        <v>19.518671000000001</v>
      </c>
      <c r="CR229">
        <v>21.548829999999999</v>
      </c>
      <c r="CS229">
        <v>1</v>
      </c>
      <c r="CT229">
        <v>62</v>
      </c>
      <c r="CU229">
        <v>14.677172000000001</v>
      </c>
      <c r="CV229">
        <v>1</v>
      </c>
      <c r="CW229">
        <v>10.816197000000001</v>
      </c>
      <c r="CX229">
        <v>116.99010699999999</v>
      </c>
      <c r="CY229">
        <v>0.73694000000000004</v>
      </c>
      <c r="CZ229">
        <v>14</v>
      </c>
      <c r="DA229">
        <v>1.2562960000000001</v>
      </c>
      <c r="DB229">
        <v>5.0700950000000002</v>
      </c>
      <c r="DC229">
        <v>8.1633410000000008</v>
      </c>
      <c r="DD229">
        <v>14.677172000000001</v>
      </c>
      <c r="DE229">
        <v>5.7804140000000004</v>
      </c>
      <c r="DF229">
        <v>1.142333</v>
      </c>
      <c r="DG229">
        <v>0.83662999999999998</v>
      </c>
      <c r="DH229">
        <v>0.39383699999999999</v>
      </c>
      <c r="DI229">
        <v>0.19762099999999999</v>
      </c>
      <c r="DJ229">
        <v>0.144735</v>
      </c>
      <c r="DK229">
        <v>1</v>
      </c>
      <c r="DL229">
        <v>1</v>
      </c>
      <c r="DM229">
        <v>3</v>
      </c>
      <c r="DN229">
        <v>5</v>
      </c>
      <c r="DO229">
        <v>6</v>
      </c>
      <c r="DP229">
        <v>8</v>
      </c>
      <c r="DQ229">
        <v>11</v>
      </c>
      <c r="DR229">
        <v>13</v>
      </c>
      <c r="DS229">
        <v>16</v>
      </c>
      <c r="DT229">
        <v>18</v>
      </c>
      <c r="DU229">
        <v>20</v>
      </c>
      <c r="DV229">
        <v>22</v>
      </c>
      <c r="DW229">
        <v>28</v>
      </c>
      <c r="DX229">
        <v>36</v>
      </c>
      <c r="DY229">
        <v>52</v>
      </c>
      <c r="DZ229">
        <v>92.397660999999999</v>
      </c>
      <c r="EA229">
        <v>59.702837000000002</v>
      </c>
      <c r="EB229">
        <v>103.391813</v>
      </c>
      <c r="EC229">
        <v>2370</v>
      </c>
      <c r="ED229">
        <v>2652</v>
      </c>
      <c r="EE229">
        <v>90.292398000000006</v>
      </c>
      <c r="EF229">
        <v>100</v>
      </c>
      <c r="EG229">
        <v>54.795136999999997</v>
      </c>
      <c r="EH229">
        <v>98.851868999999994</v>
      </c>
      <c r="EI229">
        <v>94.892787999999996</v>
      </c>
      <c r="EJ229">
        <v>171.18908400000001</v>
      </c>
      <c r="EK229">
        <v>2316</v>
      </c>
      <c r="EL229">
        <v>2565</v>
      </c>
      <c r="EM229">
        <v>2434</v>
      </c>
      <c r="EN229">
        <v>4391</v>
      </c>
      <c r="EO229">
        <v>2565</v>
      </c>
      <c r="EP229">
        <v>4442</v>
      </c>
      <c r="EQ229">
        <v>49.107421000000002</v>
      </c>
    </row>
    <row r="230" spans="1:147" x14ac:dyDescent="0.25">
      <c r="A230">
        <v>2022</v>
      </c>
      <c r="B230" t="str">
        <f t="shared" si="6"/>
        <v>GN</v>
      </c>
      <c r="C230" t="s">
        <v>1277</v>
      </c>
      <c r="D230" t="s">
        <v>1277</v>
      </c>
      <c r="E230">
        <v>25902</v>
      </c>
      <c r="F230" t="s">
        <v>1268</v>
      </c>
      <c r="G230" t="s">
        <v>1269</v>
      </c>
      <c r="H230" t="s">
        <v>1270</v>
      </c>
      <c r="I230">
        <v>44.64</v>
      </c>
      <c r="J230">
        <v>44.64</v>
      </c>
      <c r="K230" t="s">
        <v>279</v>
      </c>
      <c r="L230">
        <v>1</v>
      </c>
      <c r="M230">
        <v>2017</v>
      </c>
      <c r="N230">
        <v>3</v>
      </c>
      <c r="O230" t="str">
        <f t="shared" si="7"/>
        <v>Talhadia</v>
      </c>
      <c r="P230" s="2">
        <v>42780</v>
      </c>
      <c r="Q230" t="s">
        <v>174</v>
      </c>
      <c r="R230" t="s">
        <v>165</v>
      </c>
      <c r="S230" t="s">
        <v>154</v>
      </c>
      <c r="T230" t="s">
        <v>279</v>
      </c>
      <c r="U230" t="s">
        <v>156</v>
      </c>
      <c r="V230" s="2">
        <v>44631</v>
      </c>
      <c r="W230" t="s">
        <v>1271</v>
      </c>
      <c r="X230">
        <v>171.51</v>
      </c>
      <c r="Y230">
        <v>20</v>
      </c>
      <c r="Z230">
        <v>11</v>
      </c>
      <c r="AA230">
        <v>14.9</v>
      </c>
      <c r="AB230">
        <v>4</v>
      </c>
      <c r="AC230">
        <v>298</v>
      </c>
      <c r="AD230">
        <v>291.81232471162798</v>
      </c>
      <c r="AE230" s="2">
        <v>44631</v>
      </c>
      <c r="AF230">
        <v>61</v>
      </c>
      <c r="AG230">
        <v>5.0677618069815198</v>
      </c>
      <c r="AH230">
        <v>25.226139893828201</v>
      </c>
      <c r="AI230">
        <v>17.196551724137901</v>
      </c>
      <c r="AJ230">
        <v>23.795671084077199</v>
      </c>
      <c r="AK230">
        <v>29</v>
      </c>
      <c r="AL230">
        <v>993.78941683351104</v>
      </c>
      <c r="AM230">
        <v>291.07832834442502</v>
      </c>
      <c r="AN230">
        <v>0.29289739195641801</v>
      </c>
      <c r="AO230" t="s">
        <v>165</v>
      </c>
      <c r="AP230" t="s">
        <v>264</v>
      </c>
      <c r="AQ230" t="s">
        <v>294</v>
      </c>
      <c r="AR230">
        <v>9</v>
      </c>
      <c r="AS230">
        <v>0.89441047515016014</v>
      </c>
      <c r="AT230" t="s">
        <v>1278</v>
      </c>
      <c r="AU230" t="s">
        <v>1279</v>
      </c>
      <c r="AV230">
        <v>3152</v>
      </c>
      <c r="AW230">
        <v>1821</v>
      </c>
      <c r="AX230">
        <v>1311</v>
      </c>
      <c r="AY230">
        <v>20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-0.94599999999999995</v>
      </c>
      <c r="BH230">
        <v>30.084</v>
      </c>
      <c r="BI230">
        <v>14.360433</v>
      </c>
      <c r="BJ230">
        <v>-0.45345999999999997</v>
      </c>
      <c r="BK230">
        <v>13.268278</v>
      </c>
      <c r="BL230">
        <v>176.04720599999999</v>
      </c>
      <c r="BM230">
        <v>0.92394699999999996</v>
      </c>
      <c r="BN230">
        <v>26.722000000000001</v>
      </c>
      <c r="BO230">
        <v>-0.14186099999999999</v>
      </c>
      <c r="BP230">
        <v>1.043542</v>
      </c>
      <c r="BQ230">
        <v>13.175979999999999</v>
      </c>
      <c r="BR230">
        <v>3.746499</v>
      </c>
      <c r="BS230">
        <v>25.146961000000001</v>
      </c>
      <c r="BT230">
        <v>14.360433</v>
      </c>
      <c r="BU230">
        <v>6.8409430000000002</v>
      </c>
      <c r="BV230">
        <v>-0.27149499999999999</v>
      </c>
      <c r="BW230">
        <v>-1.472577</v>
      </c>
      <c r="BX230">
        <v>0.47637400000000002</v>
      </c>
      <c r="BY230">
        <v>-3.9687E-2</v>
      </c>
      <c r="BZ230">
        <v>-0.21525900000000001</v>
      </c>
      <c r="CA230">
        <v>-0.44441000000000003</v>
      </c>
      <c r="CB230">
        <v>-0.19800000000000001</v>
      </c>
      <c r="CC230">
        <v>-0.105</v>
      </c>
      <c r="CD230">
        <v>1E-3</v>
      </c>
      <c r="CE230">
        <v>4.2000000000000003E-2</v>
      </c>
      <c r="CF230">
        <v>8.3299999999999999E-2</v>
      </c>
      <c r="CG230">
        <v>0.19339999999999999</v>
      </c>
      <c r="CH230">
        <v>24.693501000000001</v>
      </c>
      <c r="CI230">
        <v>25.834</v>
      </c>
      <c r="CJ230">
        <v>26.507401000000002</v>
      </c>
      <c r="CK230">
        <v>26.763999999999999</v>
      </c>
      <c r="CL230">
        <v>27.0578</v>
      </c>
      <c r="CM230">
        <v>27.801000999999999</v>
      </c>
      <c r="CN230">
        <v>28.277799999999999</v>
      </c>
      <c r="CO230">
        <v>29.027920000000002</v>
      </c>
      <c r="CP230">
        <v>0.49327900000000002</v>
      </c>
      <c r="CQ230">
        <v>19.550277999999999</v>
      </c>
      <c r="CR230">
        <v>21.695605</v>
      </c>
      <c r="CS230">
        <v>1</v>
      </c>
      <c r="CT230">
        <v>53</v>
      </c>
      <c r="CU230">
        <v>14.452728</v>
      </c>
      <c r="CV230">
        <v>1</v>
      </c>
      <c r="CW230">
        <v>9.8262429999999998</v>
      </c>
      <c r="CX230">
        <v>96.555047999999999</v>
      </c>
      <c r="CY230">
        <v>0.67988800000000005</v>
      </c>
      <c r="CZ230">
        <v>12</v>
      </c>
      <c r="DA230">
        <v>0.93526500000000001</v>
      </c>
      <c r="DB230">
        <v>3.897526</v>
      </c>
      <c r="DC230">
        <v>7.4903979999999999</v>
      </c>
      <c r="DD230">
        <v>14.452728</v>
      </c>
      <c r="DE230">
        <v>5.3596589999999997</v>
      </c>
      <c r="DF230">
        <v>0.823299</v>
      </c>
      <c r="DG230">
        <v>0.75156500000000004</v>
      </c>
      <c r="DH230">
        <v>0.37084099999999998</v>
      </c>
      <c r="DI230">
        <v>0.15361</v>
      </c>
      <c r="DJ230">
        <v>0.14022599999999999</v>
      </c>
      <c r="DK230">
        <v>1</v>
      </c>
      <c r="DL230">
        <v>1</v>
      </c>
      <c r="DM230">
        <v>3</v>
      </c>
      <c r="DN230">
        <v>5</v>
      </c>
      <c r="DO230">
        <v>7</v>
      </c>
      <c r="DP230">
        <v>9</v>
      </c>
      <c r="DQ230">
        <v>12</v>
      </c>
      <c r="DR230">
        <v>14</v>
      </c>
      <c r="DS230">
        <v>16</v>
      </c>
      <c r="DT230">
        <v>18</v>
      </c>
      <c r="DU230">
        <v>19</v>
      </c>
      <c r="DV230">
        <v>21</v>
      </c>
      <c r="DW230">
        <v>27</v>
      </c>
      <c r="DX230">
        <v>36</v>
      </c>
      <c r="DY230">
        <v>44</v>
      </c>
      <c r="DZ230">
        <v>92.696320999999998</v>
      </c>
      <c r="EA230">
        <v>54.282995</v>
      </c>
      <c r="EB230">
        <v>93.959362999999996</v>
      </c>
      <c r="EC230">
        <v>1688</v>
      </c>
      <c r="ED230">
        <v>1711</v>
      </c>
      <c r="EE230">
        <v>92.586490999999995</v>
      </c>
      <c r="EF230">
        <v>100</v>
      </c>
      <c r="EG230">
        <v>53.902284000000002</v>
      </c>
      <c r="EH230">
        <v>99.079948999999999</v>
      </c>
      <c r="EI230">
        <v>93.300383999999994</v>
      </c>
      <c r="EJ230">
        <v>171.49917600000001</v>
      </c>
      <c r="EK230">
        <v>1686</v>
      </c>
      <c r="EL230">
        <v>1821</v>
      </c>
      <c r="EM230">
        <v>1699</v>
      </c>
      <c r="EN230">
        <v>3123</v>
      </c>
      <c r="EO230">
        <v>1821</v>
      </c>
      <c r="EP230">
        <v>3152</v>
      </c>
      <c r="EQ230">
        <v>48.462224999999997</v>
      </c>
    </row>
    <row r="231" spans="1:147" x14ac:dyDescent="0.25">
      <c r="A231">
        <v>2022</v>
      </c>
      <c r="B231" t="str">
        <f t="shared" si="6"/>
        <v>NE</v>
      </c>
      <c r="C231" t="s">
        <v>1280</v>
      </c>
      <c r="D231" t="s">
        <v>1280</v>
      </c>
      <c r="E231">
        <v>25967</v>
      </c>
      <c r="F231" t="s">
        <v>1281</v>
      </c>
      <c r="G231" t="s">
        <v>1282</v>
      </c>
      <c r="H231" t="s">
        <v>1283</v>
      </c>
      <c r="I231">
        <v>31.16</v>
      </c>
      <c r="J231">
        <v>31.16</v>
      </c>
      <c r="K231" t="s">
        <v>461</v>
      </c>
      <c r="L231">
        <v>1</v>
      </c>
      <c r="M231">
        <v>2018</v>
      </c>
      <c r="N231">
        <v>3</v>
      </c>
      <c r="O231" t="str">
        <f t="shared" si="7"/>
        <v>Alto fuste</v>
      </c>
      <c r="P231" s="2">
        <v>43151</v>
      </c>
      <c r="Q231" t="s">
        <v>174</v>
      </c>
      <c r="R231" t="s">
        <v>470</v>
      </c>
      <c r="S231" t="s">
        <v>154</v>
      </c>
      <c r="T231" t="s">
        <v>155</v>
      </c>
      <c r="U231" t="s">
        <v>156</v>
      </c>
      <c r="V231" s="2">
        <v>44741</v>
      </c>
      <c r="W231" t="s">
        <v>1284</v>
      </c>
      <c r="X231">
        <v>449.8</v>
      </c>
      <c r="Y231">
        <v>21.4</v>
      </c>
      <c r="Z231">
        <v>20</v>
      </c>
      <c r="AA231">
        <v>15</v>
      </c>
      <c r="AB231">
        <v>1</v>
      </c>
      <c r="AC231">
        <v>321</v>
      </c>
      <c r="AD231">
        <v>301.59538983649099</v>
      </c>
      <c r="AE231" s="2">
        <v>44741</v>
      </c>
      <c r="AF231">
        <v>52</v>
      </c>
      <c r="AG231">
        <v>4.3531827515400403</v>
      </c>
      <c r="AH231">
        <v>22.866182006113501</v>
      </c>
      <c r="AI231">
        <v>16.261290322580599</v>
      </c>
      <c r="AJ231">
        <v>21.720523432948099</v>
      </c>
      <c r="AK231">
        <v>31</v>
      </c>
      <c r="AL231">
        <v>1027.8671705428401</v>
      </c>
      <c r="AM231">
        <v>222.61142065625199</v>
      </c>
      <c r="AN231">
        <v>0.216576058693153</v>
      </c>
      <c r="AO231" t="s">
        <v>470</v>
      </c>
      <c r="AP231" t="s">
        <v>158</v>
      </c>
      <c r="AQ231" t="s">
        <v>1285</v>
      </c>
      <c r="AR231">
        <v>9</v>
      </c>
      <c r="AS231">
        <v>0.9250804534885595</v>
      </c>
      <c r="AT231" t="s">
        <v>1286</v>
      </c>
      <c r="AU231" t="s">
        <v>1287</v>
      </c>
      <c r="AV231">
        <v>4880</v>
      </c>
      <c r="AW231">
        <v>2909</v>
      </c>
      <c r="AX231">
        <v>1878</v>
      </c>
      <c r="AY231">
        <v>91</v>
      </c>
      <c r="AZ231">
        <v>2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-1.252</v>
      </c>
      <c r="BH231">
        <v>27.888000000000002</v>
      </c>
      <c r="BI231">
        <v>11.412088000000001</v>
      </c>
      <c r="BJ231">
        <v>-0.32692100000000002</v>
      </c>
      <c r="BK231">
        <v>12.255169</v>
      </c>
      <c r="BL231">
        <v>150.18916999999999</v>
      </c>
      <c r="BM231">
        <v>1.0738760000000001</v>
      </c>
      <c r="BN231">
        <v>25.137499999999999</v>
      </c>
      <c r="BO231">
        <v>0.20891899999999999</v>
      </c>
      <c r="BP231">
        <v>1.111872</v>
      </c>
      <c r="BQ231">
        <v>11.952107</v>
      </c>
      <c r="BR231">
        <v>0.66100000000000003</v>
      </c>
      <c r="BS231">
        <v>0.63792099999999996</v>
      </c>
      <c r="BT231">
        <v>11.412088000000001</v>
      </c>
      <c r="BU231">
        <v>6.3838499999999998</v>
      </c>
      <c r="BV231">
        <v>0.75777899999999998</v>
      </c>
      <c r="BW231">
        <v>-1.3199730000000001</v>
      </c>
      <c r="BX231">
        <v>0.55939399999999995</v>
      </c>
      <c r="BY231">
        <v>0.118702</v>
      </c>
      <c r="BZ231">
        <v>-0.20676800000000001</v>
      </c>
      <c r="CA231">
        <v>-0.42199999999999999</v>
      </c>
      <c r="CB231">
        <v>-0.21199999999999999</v>
      </c>
      <c r="CC231">
        <v>-0.1241</v>
      </c>
      <c r="CD231">
        <v>-0.03</v>
      </c>
      <c r="CE231">
        <v>8.9999999999999993E-3</v>
      </c>
      <c r="CF231">
        <v>0.05</v>
      </c>
      <c r="CG231">
        <v>0.14399999999999999</v>
      </c>
      <c r="CH231">
        <v>0.311</v>
      </c>
      <c r="CI231">
        <v>23.413799000000001</v>
      </c>
      <c r="CJ231">
        <v>24.7666</v>
      </c>
      <c r="CK231">
        <v>25.1465</v>
      </c>
      <c r="CL231">
        <v>25.495201000000002</v>
      </c>
      <c r="CM231">
        <v>26.134001000000001</v>
      </c>
      <c r="CN231">
        <v>26.542048999999999</v>
      </c>
      <c r="CO231">
        <v>27.105</v>
      </c>
      <c r="CP231">
        <v>0.43459500000000001</v>
      </c>
      <c r="CQ231">
        <v>16.744973999999999</v>
      </c>
      <c r="CR231">
        <v>19.139849000000002</v>
      </c>
      <c r="CS231">
        <v>1</v>
      </c>
      <c r="CT231">
        <v>52</v>
      </c>
      <c r="CU231">
        <v>14.859016</v>
      </c>
      <c r="CV231">
        <v>1</v>
      </c>
      <c r="CW231">
        <v>11.129517999999999</v>
      </c>
      <c r="CX231">
        <v>123.866162</v>
      </c>
      <c r="CY231">
        <v>0.74900800000000001</v>
      </c>
      <c r="CZ231">
        <v>15</v>
      </c>
      <c r="DA231">
        <v>0.80919700000000006</v>
      </c>
      <c r="DB231">
        <v>2.8969909999999999</v>
      </c>
      <c r="DC231">
        <v>8.9956600000000009</v>
      </c>
      <c r="DD231">
        <v>14.859016</v>
      </c>
      <c r="DE231">
        <v>6.1752649999999996</v>
      </c>
      <c r="DF231">
        <v>1.186207</v>
      </c>
      <c r="DG231">
        <v>0.49035600000000001</v>
      </c>
      <c r="DH231">
        <v>0.41559000000000001</v>
      </c>
      <c r="DI231">
        <v>0.19209000000000001</v>
      </c>
      <c r="DJ231">
        <v>7.9406000000000004E-2</v>
      </c>
      <c r="DK231">
        <v>1</v>
      </c>
      <c r="DL231">
        <v>1</v>
      </c>
      <c r="DM231">
        <v>2</v>
      </c>
      <c r="DN231">
        <v>4</v>
      </c>
      <c r="DO231">
        <v>6</v>
      </c>
      <c r="DP231">
        <v>7</v>
      </c>
      <c r="DQ231">
        <v>10</v>
      </c>
      <c r="DR231">
        <v>13</v>
      </c>
      <c r="DS231">
        <v>16</v>
      </c>
      <c r="DT231">
        <v>19</v>
      </c>
      <c r="DU231">
        <v>21</v>
      </c>
      <c r="DV231">
        <v>24</v>
      </c>
      <c r="DW231">
        <v>32</v>
      </c>
      <c r="DX231">
        <v>38</v>
      </c>
      <c r="DY231">
        <v>43</v>
      </c>
      <c r="DZ231">
        <v>77.380543000000003</v>
      </c>
      <c r="EA231">
        <v>48.094262000000001</v>
      </c>
      <c r="EB231">
        <v>80.680645999999996</v>
      </c>
      <c r="EC231">
        <v>2251</v>
      </c>
      <c r="ED231">
        <v>2347</v>
      </c>
      <c r="EE231">
        <v>75.214849999999998</v>
      </c>
      <c r="EF231">
        <v>100</v>
      </c>
      <c r="EG231">
        <v>45.696720999999997</v>
      </c>
      <c r="EH231">
        <v>97.745902000000001</v>
      </c>
      <c r="EI231">
        <v>76.658646000000005</v>
      </c>
      <c r="EJ231">
        <v>163.973874</v>
      </c>
      <c r="EK231">
        <v>2188</v>
      </c>
      <c r="EL231">
        <v>2909</v>
      </c>
      <c r="EM231">
        <v>2230</v>
      </c>
      <c r="EN231">
        <v>4770</v>
      </c>
      <c r="EO231">
        <v>2909</v>
      </c>
      <c r="EP231">
        <v>4880</v>
      </c>
      <c r="EQ231">
        <v>41.186902000000003</v>
      </c>
    </row>
    <row r="232" spans="1:147" x14ac:dyDescent="0.25">
      <c r="A232">
        <v>2022</v>
      </c>
      <c r="B232" t="str">
        <f t="shared" si="6"/>
        <v>NE</v>
      </c>
      <c r="C232" t="s">
        <v>1288</v>
      </c>
      <c r="D232" t="s">
        <v>1288</v>
      </c>
      <c r="E232">
        <v>25968</v>
      </c>
      <c r="F232" t="s">
        <v>1281</v>
      </c>
      <c r="G232" t="s">
        <v>1282</v>
      </c>
      <c r="H232" t="s">
        <v>1283</v>
      </c>
      <c r="I232">
        <v>31.16</v>
      </c>
      <c r="J232">
        <v>31.16</v>
      </c>
      <c r="K232" t="s">
        <v>461</v>
      </c>
      <c r="L232">
        <v>1</v>
      </c>
      <c r="M232">
        <v>2018</v>
      </c>
      <c r="N232">
        <v>3</v>
      </c>
      <c r="O232" t="str">
        <f t="shared" si="7"/>
        <v>Alto fuste</v>
      </c>
      <c r="P232" s="2">
        <v>43151</v>
      </c>
      <c r="Q232" t="s">
        <v>174</v>
      </c>
      <c r="R232" t="s">
        <v>470</v>
      </c>
      <c r="S232" t="s">
        <v>154</v>
      </c>
      <c r="T232" t="s">
        <v>155</v>
      </c>
      <c r="U232" t="s">
        <v>156</v>
      </c>
      <c r="V232" s="2">
        <v>44741</v>
      </c>
      <c r="W232" t="s">
        <v>1284</v>
      </c>
      <c r="X232">
        <v>449.8</v>
      </c>
      <c r="Y232">
        <v>20.2</v>
      </c>
      <c r="Z232">
        <v>26</v>
      </c>
      <c r="AA232">
        <v>15.4</v>
      </c>
      <c r="AB232">
        <v>2</v>
      </c>
      <c r="AC232">
        <v>311.08</v>
      </c>
      <c r="AD232">
        <v>279.42652907500798</v>
      </c>
      <c r="AE232" s="2">
        <v>44741</v>
      </c>
      <c r="AF232">
        <v>52</v>
      </c>
      <c r="AG232">
        <v>4.3531827515400403</v>
      </c>
      <c r="AH232">
        <v>25.824404385359401</v>
      </c>
      <c r="AI232">
        <v>14.922857142857101</v>
      </c>
      <c r="AJ232">
        <v>22.2796641729974</v>
      </c>
      <c r="AK232">
        <v>35</v>
      </c>
      <c r="AL232">
        <v>1252.5653922647</v>
      </c>
      <c r="AM232">
        <v>256.15828667225901</v>
      </c>
      <c r="AN232">
        <v>0.204506916967515</v>
      </c>
      <c r="AO232" t="s">
        <v>470</v>
      </c>
      <c r="AP232" t="s">
        <v>158</v>
      </c>
      <c r="AQ232" t="s">
        <v>1285</v>
      </c>
      <c r="AR232">
        <v>9</v>
      </c>
      <c r="AS232">
        <v>1.1273088530382269</v>
      </c>
      <c r="AT232" t="s">
        <v>1289</v>
      </c>
      <c r="AU232" t="s">
        <v>1290</v>
      </c>
      <c r="AV232">
        <v>4797</v>
      </c>
      <c r="AW232">
        <v>2761</v>
      </c>
      <c r="AX232">
        <v>1865</v>
      </c>
      <c r="AY232">
        <v>167</v>
      </c>
      <c r="AZ232">
        <v>4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-1.1020000000000001</v>
      </c>
      <c r="BH232">
        <v>27.322001</v>
      </c>
      <c r="BI232">
        <v>13.080007999999999</v>
      </c>
      <c r="BJ232">
        <v>-0.199651</v>
      </c>
      <c r="BK232">
        <v>11.724536000000001</v>
      </c>
      <c r="BL232">
        <v>137.464733</v>
      </c>
      <c r="BM232">
        <v>0.89637100000000003</v>
      </c>
      <c r="BN232">
        <v>24.25</v>
      </c>
      <c r="BO232">
        <v>-0.144705</v>
      </c>
      <c r="BP232">
        <v>1.089391</v>
      </c>
      <c r="BQ232">
        <v>11.495463000000001</v>
      </c>
      <c r="BR232">
        <v>4.851</v>
      </c>
      <c r="BS232">
        <v>21.299651999999998</v>
      </c>
      <c r="BT232">
        <v>13.080007999999999</v>
      </c>
      <c r="BU232">
        <v>6.1749289999999997</v>
      </c>
      <c r="BV232">
        <v>-0.27208399999999999</v>
      </c>
      <c r="BW232">
        <v>-1.296122</v>
      </c>
      <c r="BX232">
        <v>0.47208899999999998</v>
      </c>
      <c r="BY232">
        <v>-4.4062999999999998E-2</v>
      </c>
      <c r="BZ232">
        <v>-0.209901</v>
      </c>
      <c r="CA232">
        <v>-0.39707999999999999</v>
      </c>
      <c r="CB232">
        <v>-0.19020000000000001</v>
      </c>
      <c r="CC232">
        <v>-0.105</v>
      </c>
      <c r="CD232">
        <v>1.2E-2</v>
      </c>
      <c r="CE232">
        <v>5.8999999999999997E-2</v>
      </c>
      <c r="CF232">
        <v>0.123</v>
      </c>
      <c r="CG232">
        <v>0.41460000000000002</v>
      </c>
      <c r="CH232">
        <v>21.1</v>
      </c>
      <c r="CI232">
        <v>23.240998999999999</v>
      </c>
      <c r="CJ232">
        <v>24.009599999999999</v>
      </c>
      <c r="CK232">
        <v>24.309000000000001</v>
      </c>
      <c r="CL232">
        <v>24.589001</v>
      </c>
      <c r="CM232">
        <v>25.174999</v>
      </c>
      <c r="CN232">
        <v>25.589200999999999</v>
      </c>
      <c r="CO232">
        <v>26.37904</v>
      </c>
      <c r="CP232">
        <v>0.49894500000000003</v>
      </c>
      <c r="CQ232">
        <v>17.564813999999998</v>
      </c>
      <c r="CR232">
        <v>19.484870000000001</v>
      </c>
      <c r="CS232">
        <v>1</v>
      </c>
      <c r="CT232">
        <v>48</v>
      </c>
      <c r="CU232">
        <v>11.348343</v>
      </c>
      <c r="CV232">
        <v>1</v>
      </c>
      <c r="CW232">
        <v>8.1300279999999994</v>
      </c>
      <c r="CX232">
        <v>66.097356000000005</v>
      </c>
      <c r="CY232">
        <v>0.71640700000000002</v>
      </c>
      <c r="CZ232">
        <v>11</v>
      </c>
      <c r="DA232">
        <v>0.99235799999999996</v>
      </c>
      <c r="DB232">
        <v>3.9293629999999999</v>
      </c>
      <c r="DC232">
        <v>6.4530260000000004</v>
      </c>
      <c r="DD232">
        <v>11.348343</v>
      </c>
      <c r="DE232">
        <v>4.4526779999999997</v>
      </c>
      <c r="DF232">
        <v>0.83603400000000005</v>
      </c>
      <c r="DG232">
        <v>0.46289000000000002</v>
      </c>
      <c r="DH232">
        <v>0.39236399999999999</v>
      </c>
      <c r="DI232">
        <v>0.18776000000000001</v>
      </c>
      <c r="DJ232">
        <v>0.10395799999999999</v>
      </c>
      <c r="DK232">
        <v>1</v>
      </c>
      <c r="DL232">
        <v>1</v>
      </c>
      <c r="DM232">
        <v>2</v>
      </c>
      <c r="DN232">
        <v>4</v>
      </c>
      <c r="DO232">
        <v>5</v>
      </c>
      <c r="DP232">
        <v>6</v>
      </c>
      <c r="DQ232">
        <v>8</v>
      </c>
      <c r="DR232">
        <v>10</v>
      </c>
      <c r="DS232">
        <v>12</v>
      </c>
      <c r="DT232">
        <v>15</v>
      </c>
      <c r="DU232">
        <v>16</v>
      </c>
      <c r="DV232">
        <v>17</v>
      </c>
      <c r="DW232">
        <v>22</v>
      </c>
      <c r="DX232">
        <v>27</v>
      </c>
      <c r="DY232">
        <v>36</v>
      </c>
      <c r="DZ232">
        <v>91.090185000000005</v>
      </c>
      <c r="EA232">
        <v>57.264957000000003</v>
      </c>
      <c r="EB232">
        <v>99.492936999999998</v>
      </c>
      <c r="EC232">
        <v>2515</v>
      </c>
      <c r="ED232">
        <v>2747</v>
      </c>
      <c r="EE232">
        <v>88.409996000000007</v>
      </c>
      <c r="EF232">
        <v>100</v>
      </c>
      <c r="EG232">
        <v>53.616844</v>
      </c>
      <c r="EH232">
        <v>95.372107999999997</v>
      </c>
      <c r="EI232">
        <v>93.154653999999994</v>
      </c>
      <c r="EJ232">
        <v>165.70083299999999</v>
      </c>
      <c r="EK232">
        <v>2441</v>
      </c>
      <c r="EL232">
        <v>2761</v>
      </c>
      <c r="EM232">
        <v>2572</v>
      </c>
      <c r="EN232">
        <v>4575</v>
      </c>
      <c r="EO232">
        <v>2761</v>
      </c>
      <c r="EP232">
        <v>4797</v>
      </c>
      <c r="EQ232">
        <v>48.706195999999998</v>
      </c>
    </row>
    <row r="233" spans="1:147" x14ac:dyDescent="0.25">
      <c r="A233">
        <v>2022</v>
      </c>
      <c r="B233" t="str">
        <f t="shared" si="6"/>
        <v>NE</v>
      </c>
      <c r="C233" t="s">
        <v>1291</v>
      </c>
      <c r="D233" t="s">
        <v>1291</v>
      </c>
      <c r="E233">
        <v>26073</v>
      </c>
      <c r="F233" t="s">
        <v>1292</v>
      </c>
      <c r="G233" t="s">
        <v>1293</v>
      </c>
      <c r="H233" t="s">
        <v>1294</v>
      </c>
      <c r="I233">
        <v>85.3</v>
      </c>
      <c r="J233">
        <v>85.3</v>
      </c>
      <c r="K233" t="s">
        <v>151</v>
      </c>
      <c r="L233">
        <v>1</v>
      </c>
      <c r="M233">
        <v>2018</v>
      </c>
      <c r="N233">
        <v>3</v>
      </c>
      <c r="O233" t="str">
        <f t="shared" si="7"/>
        <v>Alto fuste</v>
      </c>
      <c r="P233" s="2">
        <v>43364</v>
      </c>
      <c r="Q233" t="s">
        <v>174</v>
      </c>
      <c r="R233" t="s">
        <v>695</v>
      </c>
      <c r="S233" t="s">
        <v>154</v>
      </c>
      <c r="T233" t="s">
        <v>155</v>
      </c>
      <c r="U233" t="s">
        <v>156</v>
      </c>
      <c r="V233" s="2">
        <v>44817</v>
      </c>
      <c r="W233" t="s">
        <v>1295</v>
      </c>
      <c r="X233">
        <v>87.41</v>
      </c>
      <c r="Y233">
        <v>20.3</v>
      </c>
      <c r="Z233">
        <v>28</v>
      </c>
      <c r="AA233">
        <v>15.5</v>
      </c>
      <c r="AB233">
        <v>2</v>
      </c>
      <c r="AC233">
        <v>314.64999999999998</v>
      </c>
      <c r="AD233">
        <v>277.65021998440301</v>
      </c>
      <c r="AE233" s="2">
        <v>44817</v>
      </c>
      <c r="AF233">
        <v>48</v>
      </c>
      <c r="AG233">
        <v>3.9780971937029399</v>
      </c>
      <c r="AH233">
        <v>20.280368674857499</v>
      </c>
      <c r="AI233">
        <v>15.490909090909099</v>
      </c>
      <c r="AJ233">
        <v>22.868264486073301</v>
      </c>
      <c r="AK233">
        <v>33</v>
      </c>
      <c r="AL233">
        <v>1188.5457898017801</v>
      </c>
      <c r="AM233">
        <v>200.429257036861</v>
      </c>
      <c r="AN233">
        <v>0.16863402214422701</v>
      </c>
      <c r="AO233" t="s">
        <v>695</v>
      </c>
      <c r="AP233" t="s">
        <v>158</v>
      </c>
      <c r="AQ233" t="s">
        <v>850</v>
      </c>
      <c r="AR233">
        <v>9</v>
      </c>
      <c r="AS233">
        <v>1.069691210821601</v>
      </c>
      <c r="AT233" t="s">
        <v>1296</v>
      </c>
      <c r="AU233" t="s">
        <v>1297</v>
      </c>
      <c r="AV233">
        <v>3714</v>
      </c>
      <c r="AW233">
        <v>2393</v>
      </c>
      <c r="AX233">
        <v>1237</v>
      </c>
      <c r="AY233">
        <v>83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-0.81899999999999995</v>
      </c>
      <c r="BH233">
        <v>25.239000000000001</v>
      </c>
      <c r="BI233">
        <v>13.394367000000001</v>
      </c>
      <c r="BJ233">
        <v>8.2380000000000005E-3</v>
      </c>
      <c r="BK233">
        <v>10.260558</v>
      </c>
      <c r="BL233">
        <v>105.27904700000001</v>
      </c>
      <c r="BM233">
        <v>0.76603500000000002</v>
      </c>
      <c r="BN233">
        <v>21.847750000000001</v>
      </c>
      <c r="BO233">
        <v>-0.46939700000000001</v>
      </c>
      <c r="BP233">
        <v>1.2983180000000001</v>
      </c>
      <c r="BQ233">
        <v>9.8291989999999991</v>
      </c>
      <c r="BR233">
        <v>2.9620000000000002</v>
      </c>
      <c r="BS233">
        <v>19.817761999999998</v>
      </c>
      <c r="BT233">
        <v>13.394367000000001</v>
      </c>
      <c r="BU233">
        <v>5.3428100000000001</v>
      </c>
      <c r="BV233">
        <v>-0.90756199999999998</v>
      </c>
      <c r="BW233">
        <v>-0.79273800000000005</v>
      </c>
      <c r="BX233">
        <v>0.39888499999999999</v>
      </c>
      <c r="BY233">
        <v>-0.16986599999999999</v>
      </c>
      <c r="BZ233">
        <v>-0.14837500000000001</v>
      </c>
      <c r="CA233">
        <v>-0.35487000000000002</v>
      </c>
      <c r="CB233">
        <v>-0.13835</v>
      </c>
      <c r="CC233">
        <v>-4.07E-2</v>
      </c>
      <c r="CD233">
        <v>9.5000000000000001E-2</v>
      </c>
      <c r="CE233">
        <v>0.16625000000000001</v>
      </c>
      <c r="CF233">
        <v>0.27600000000000002</v>
      </c>
      <c r="CG233">
        <v>17.969000000000001</v>
      </c>
      <c r="CH233">
        <v>19.826000000000001</v>
      </c>
      <c r="CI233">
        <v>20.851998999999999</v>
      </c>
      <c r="CJ233">
        <v>21.648099999999999</v>
      </c>
      <c r="CK233">
        <v>22.013999999999999</v>
      </c>
      <c r="CL233">
        <v>22.307600000000001</v>
      </c>
      <c r="CM233">
        <v>22.903400000000001</v>
      </c>
      <c r="CN233">
        <v>23.391399</v>
      </c>
      <c r="CO233">
        <v>24.15587</v>
      </c>
      <c r="CP233">
        <v>0.54545100000000002</v>
      </c>
      <c r="CQ233">
        <v>16.871863000000001</v>
      </c>
      <c r="CR233">
        <v>18.296976000000001</v>
      </c>
      <c r="CS233">
        <v>1</v>
      </c>
      <c r="CT233">
        <v>47</v>
      </c>
      <c r="CU233">
        <v>16.817447000000001</v>
      </c>
      <c r="CV233">
        <v>1</v>
      </c>
      <c r="CW233">
        <v>9.7991170000000007</v>
      </c>
      <c r="CX233">
        <v>96.022684999999996</v>
      </c>
      <c r="CY233">
        <v>0.58267599999999997</v>
      </c>
      <c r="CZ233">
        <v>16</v>
      </c>
      <c r="DA233">
        <v>7.0557999999999996E-2</v>
      </c>
      <c r="DB233">
        <v>2.2830840000000001</v>
      </c>
      <c r="DC233">
        <v>8.2677530000000008</v>
      </c>
      <c r="DD233">
        <v>16.817447000000001</v>
      </c>
      <c r="DE233">
        <v>5.5899619999999999</v>
      </c>
      <c r="DF233">
        <v>-3.7139999999999999E-2</v>
      </c>
      <c r="DG233">
        <v>0.254054</v>
      </c>
      <c r="DH233">
        <v>0.33239099999999999</v>
      </c>
      <c r="DI233">
        <v>-6.6439999999999997E-3</v>
      </c>
      <c r="DJ233">
        <v>4.5448000000000002E-2</v>
      </c>
      <c r="DK233">
        <v>1</v>
      </c>
      <c r="DL233">
        <v>1</v>
      </c>
      <c r="DM233">
        <v>3</v>
      </c>
      <c r="DN233">
        <v>6</v>
      </c>
      <c r="DO233">
        <v>8</v>
      </c>
      <c r="DP233">
        <v>10</v>
      </c>
      <c r="DQ233">
        <v>14</v>
      </c>
      <c r="DR233">
        <v>18</v>
      </c>
      <c r="DS233">
        <v>21</v>
      </c>
      <c r="DT233">
        <v>23</v>
      </c>
      <c r="DU233">
        <v>24</v>
      </c>
      <c r="DV233">
        <v>25</v>
      </c>
      <c r="DW233">
        <v>28</v>
      </c>
      <c r="DX233">
        <v>32</v>
      </c>
      <c r="DY233">
        <v>39</v>
      </c>
      <c r="DZ233">
        <v>94.818219999999997</v>
      </c>
      <c r="EA233">
        <v>64.028002000000001</v>
      </c>
      <c r="EB233">
        <v>99.373171999999997</v>
      </c>
      <c r="EC233">
        <v>2269</v>
      </c>
      <c r="ED233">
        <v>2378</v>
      </c>
      <c r="EE233">
        <v>93.773505999999998</v>
      </c>
      <c r="EF233">
        <v>99.749268999999998</v>
      </c>
      <c r="EG233">
        <v>62.089390999999999</v>
      </c>
      <c r="EH233">
        <v>86.752826999999996</v>
      </c>
      <c r="EI233">
        <v>96.364395999999999</v>
      </c>
      <c r="EJ233">
        <v>134.642708</v>
      </c>
      <c r="EK233">
        <v>2244</v>
      </c>
      <c r="EL233">
        <v>2387</v>
      </c>
      <c r="EM233">
        <v>2306</v>
      </c>
      <c r="EN233">
        <v>3222</v>
      </c>
      <c r="EO233">
        <v>2393</v>
      </c>
      <c r="EP233">
        <v>3714</v>
      </c>
      <c r="EQ233">
        <v>54.587065000000003</v>
      </c>
    </row>
    <row r="234" spans="1:147" x14ac:dyDescent="0.25">
      <c r="A234">
        <v>2022</v>
      </c>
      <c r="B234" t="str">
        <f t="shared" si="6"/>
        <v>NE</v>
      </c>
      <c r="C234" t="s">
        <v>1298</v>
      </c>
      <c r="D234" t="s">
        <v>1298</v>
      </c>
      <c r="E234">
        <v>26074</v>
      </c>
      <c r="F234" t="s">
        <v>1292</v>
      </c>
      <c r="G234" t="s">
        <v>1293</v>
      </c>
      <c r="H234" t="s">
        <v>1294</v>
      </c>
      <c r="I234">
        <v>85.3</v>
      </c>
      <c r="J234">
        <v>85.3</v>
      </c>
      <c r="K234" t="s">
        <v>151</v>
      </c>
      <c r="L234">
        <v>1</v>
      </c>
      <c r="M234">
        <v>2018</v>
      </c>
      <c r="N234">
        <v>3</v>
      </c>
      <c r="O234" t="str">
        <f t="shared" si="7"/>
        <v>Alto fuste</v>
      </c>
      <c r="P234" s="2">
        <v>43364</v>
      </c>
      <c r="Q234" t="s">
        <v>174</v>
      </c>
      <c r="R234" t="s">
        <v>695</v>
      </c>
      <c r="S234" t="s">
        <v>154</v>
      </c>
      <c r="T234" t="s">
        <v>155</v>
      </c>
      <c r="U234" t="s">
        <v>156</v>
      </c>
      <c r="V234" s="2">
        <v>44817</v>
      </c>
      <c r="W234" t="s">
        <v>1295</v>
      </c>
      <c r="X234">
        <v>87.41</v>
      </c>
      <c r="Y234">
        <v>19.7</v>
      </c>
      <c r="Z234">
        <v>33</v>
      </c>
      <c r="AA234">
        <v>15</v>
      </c>
      <c r="AB234">
        <v>8</v>
      </c>
      <c r="AC234">
        <v>295.5</v>
      </c>
      <c r="AD234">
        <v>245.41531601258001</v>
      </c>
      <c r="AE234" s="2">
        <v>44817</v>
      </c>
      <c r="AF234">
        <v>48</v>
      </c>
      <c r="AG234">
        <v>3.9780971937029399</v>
      </c>
      <c r="AH234">
        <v>25.7459445379526</v>
      </c>
      <c r="AI234">
        <v>15.953333333333299</v>
      </c>
      <c r="AJ234">
        <v>25.018394804407102</v>
      </c>
      <c r="AK234">
        <v>30</v>
      </c>
      <c r="AL234">
        <v>1222.4175934668301</v>
      </c>
      <c r="AM234">
        <v>284.21896712094002</v>
      </c>
      <c r="AN234">
        <v>0.23250562544251499</v>
      </c>
      <c r="AO234" t="s">
        <v>695</v>
      </c>
      <c r="AP234" t="s">
        <v>158</v>
      </c>
      <c r="AQ234" t="s">
        <v>850</v>
      </c>
      <c r="AR234">
        <v>9</v>
      </c>
      <c r="AS234">
        <v>1.100175834120148</v>
      </c>
      <c r="AT234" t="s">
        <v>1299</v>
      </c>
      <c r="AU234" t="s">
        <v>1300</v>
      </c>
      <c r="AV234">
        <v>2186</v>
      </c>
      <c r="AW234">
        <v>1504</v>
      </c>
      <c r="AX234">
        <v>640</v>
      </c>
      <c r="AY234">
        <v>41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-0.79600000000000004</v>
      </c>
      <c r="BH234">
        <v>25.709999</v>
      </c>
      <c r="BI234">
        <v>15.254267</v>
      </c>
      <c r="BJ234">
        <v>-0.37526999999999999</v>
      </c>
      <c r="BK234">
        <v>10.400264</v>
      </c>
      <c r="BL234">
        <v>108.165494</v>
      </c>
      <c r="BM234">
        <v>0.68179400000000001</v>
      </c>
      <c r="BN234">
        <v>22.861000000000001</v>
      </c>
      <c r="BO234">
        <v>-0.72214900000000004</v>
      </c>
      <c r="BP234">
        <v>1.6037079999999999</v>
      </c>
      <c r="BQ234">
        <v>9.5899570000000001</v>
      </c>
      <c r="BR234">
        <v>2.100501</v>
      </c>
      <c r="BS234">
        <v>21.921768</v>
      </c>
      <c r="BT234">
        <v>15.254267</v>
      </c>
      <c r="BU234">
        <v>5.2628659999999998</v>
      </c>
      <c r="BV234">
        <v>-1.4397899999999999</v>
      </c>
      <c r="BW234">
        <v>-0.44311299999999998</v>
      </c>
      <c r="BX234">
        <v>0.34500900000000001</v>
      </c>
      <c r="BY234">
        <v>-0.27357500000000001</v>
      </c>
      <c r="BZ234">
        <v>-8.4195999999999993E-2</v>
      </c>
      <c r="CA234">
        <v>-0.39250000000000002</v>
      </c>
      <c r="CB234">
        <v>-0.16675000000000001</v>
      </c>
      <c r="CC234">
        <v>-7.3999999999999996E-2</v>
      </c>
      <c r="CD234">
        <v>0.11799999999999999</v>
      </c>
      <c r="CE234">
        <v>0.25</v>
      </c>
      <c r="CF234">
        <v>0.80649999999999999</v>
      </c>
      <c r="CG234">
        <v>20.559999000000001</v>
      </c>
      <c r="CH234">
        <v>21.546499000000001</v>
      </c>
      <c r="CI234">
        <v>22.177999</v>
      </c>
      <c r="CJ234">
        <v>22.8445</v>
      </c>
      <c r="CK234">
        <v>23.111000000000001</v>
      </c>
      <c r="CL234">
        <v>23.364999999999998</v>
      </c>
      <c r="CM234">
        <v>23.931000000000001</v>
      </c>
      <c r="CN234">
        <v>24.274750000000001</v>
      </c>
      <c r="CO234">
        <v>24.953598</v>
      </c>
      <c r="CP234">
        <v>0.60553299999999999</v>
      </c>
      <c r="CQ234">
        <v>18.461003999999999</v>
      </c>
      <c r="CR234">
        <v>19.734175</v>
      </c>
      <c r="CS234">
        <v>1</v>
      </c>
      <c r="CT234">
        <v>38</v>
      </c>
      <c r="CU234">
        <v>13.873742</v>
      </c>
      <c r="CV234">
        <v>17.444444000000001</v>
      </c>
      <c r="CW234">
        <v>7.9410049999999996</v>
      </c>
      <c r="CX234">
        <v>63.059565999999997</v>
      </c>
      <c r="CY234">
        <v>0.57237700000000002</v>
      </c>
      <c r="CZ234">
        <v>12</v>
      </c>
      <c r="DA234">
        <v>0.205293</v>
      </c>
      <c r="DB234">
        <v>2.3643390000000002</v>
      </c>
      <c r="DC234">
        <v>6.5659340000000004</v>
      </c>
      <c r="DD234">
        <v>13.873742</v>
      </c>
      <c r="DE234">
        <v>4.5361349999999998</v>
      </c>
      <c r="DF234">
        <v>0.15692300000000001</v>
      </c>
      <c r="DG234">
        <v>0.30123800000000001</v>
      </c>
      <c r="DH234">
        <v>0.32695800000000003</v>
      </c>
      <c r="DI234">
        <v>3.4594E-2</v>
      </c>
      <c r="DJ234">
        <v>6.6407999999999995E-2</v>
      </c>
      <c r="DK234">
        <v>1</v>
      </c>
      <c r="DL234">
        <v>1</v>
      </c>
      <c r="DM234">
        <v>3</v>
      </c>
      <c r="DN234">
        <v>6</v>
      </c>
      <c r="DO234">
        <v>7</v>
      </c>
      <c r="DP234">
        <v>9</v>
      </c>
      <c r="DQ234">
        <v>12</v>
      </c>
      <c r="DR234">
        <v>14</v>
      </c>
      <c r="DS234">
        <v>16</v>
      </c>
      <c r="DT234">
        <v>18</v>
      </c>
      <c r="DU234">
        <v>19</v>
      </c>
      <c r="DV234">
        <v>21</v>
      </c>
      <c r="DW234">
        <v>25</v>
      </c>
      <c r="DX234">
        <v>27</v>
      </c>
      <c r="DY234">
        <v>32</v>
      </c>
      <c r="DZ234">
        <v>96.476063999999994</v>
      </c>
      <c r="EA234">
        <v>69.030192</v>
      </c>
      <c r="EB234">
        <v>100.332447</v>
      </c>
      <c r="EC234">
        <v>1451</v>
      </c>
      <c r="ED234">
        <v>1509</v>
      </c>
      <c r="EE234">
        <v>95.877660000000006</v>
      </c>
      <c r="EF234">
        <v>100</v>
      </c>
      <c r="EG234">
        <v>67.154619999999994</v>
      </c>
      <c r="EH234">
        <v>98.719121999999999</v>
      </c>
      <c r="EI234">
        <v>97.606382999999994</v>
      </c>
      <c r="EJ234">
        <v>143.48404300000001</v>
      </c>
      <c r="EK234">
        <v>1442</v>
      </c>
      <c r="EL234">
        <v>1504</v>
      </c>
      <c r="EM234">
        <v>1468</v>
      </c>
      <c r="EN234">
        <v>2158</v>
      </c>
      <c r="EO234">
        <v>1504</v>
      </c>
      <c r="EP234">
        <v>2186</v>
      </c>
      <c r="EQ234">
        <v>60.234358999999998</v>
      </c>
    </row>
    <row r="235" spans="1:147" x14ac:dyDescent="0.25">
      <c r="A235">
        <v>2022</v>
      </c>
      <c r="B235" t="str">
        <f t="shared" si="6"/>
        <v>NE</v>
      </c>
      <c r="C235" t="s">
        <v>1301</v>
      </c>
      <c r="D235" t="s">
        <v>1301</v>
      </c>
      <c r="E235">
        <v>26075</v>
      </c>
      <c r="F235" t="s">
        <v>1292</v>
      </c>
      <c r="G235" t="s">
        <v>1293</v>
      </c>
      <c r="H235" t="s">
        <v>1294</v>
      </c>
      <c r="I235">
        <v>85.3</v>
      </c>
      <c r="J235">
        <v>85.3</v>
      </c>
      <c r="K235" t="s">
        <v>151</v>
      </c>
      <c r="L235">
        <v>1</v>
      </c>
      <c r="M235">
        <v>2018</v>
      </c>
      <c r="N235">
        <v>3</v>
      </c>
      <c r="O235" t="str">
        <f t="shared" si="7"/>
        <v>Alto fuste</v>
      </c>
      <c r="P235" s="2">
        <v>43364</v>
      </c>
      <c r="Q235" t="s">
        <v>174</v>
      </c>
      <c r="R235" t="s">
        <v>695</v>
      </c>
      <c r="S235" t="s">
        <v>154</v>
      </c>
      <c r="T235" t="s">
        <v>155</v>
      </c>
      <c r="U235" t="s">
        <v>156</v>
      </c>
      <c r="V235" s="2">
        <v>44817</v>
      </c>
      <c r="W235" t="s">
        <v>1295</v>
      </c>
      <c r="X235">
        <v>87.41</v>
      </c>
      <c r="Y235">
        <v>20.3</v>
      </c>
      <c r="Z235">
        <v>7</v>
      </c>
      <c r="AA235">
        <v>15</v>
      </c>
      <c r="AB235">
        <v>2</v>
      </c>
      <c r="AC235">
        <v>304.5</v>
      </c>
      <c r="AD235">
        <v>302.046192640078</v>
      </c>
      <c r="AE235" s="2">
        <v>44817</v>
      </c>
      <c r="AF235">
        <v>48</v>
      </c>
      <c r="AG235">
        <v>3.9780971937029399</v>
      </c>
      <c r="AH235">
        <v>23.163297275709599</v>
      </c>
      <c r="AI235">
        <v>15.62</v>
      </c>
      <c r="AJ235">
        <v>23.035715575859602</v>
      </c>
      <c r="AK235">
        <v>35</v>
      </c>
      <c r="AL235">
        <v>1158.7631578493799</v>
      </c>
      <c r="AM235">
        <v>236.001395529099</v>
      </c>
      <c r="AN235">
        <v>0.20366663707802701</v>
      </c>
      <c r="AO235" t="s">
        <v>695</v>
      </c>
      <c r="AP235" t="s">
        <v>158</v>
      </c>
      <c r="AQ235" t="s">
        <v>850</v>
      </c>
      <c r="AR235">
        <v>9</v>
      </c>
      <c r="AS235">
        <v>1.042886842064445</v>
      </c>
      <c r="AT235" t="s">
        <v>1302</v>
      </c>
      <c r="AU235" t="s">
        <v>1303</v>
      </c>
      <c r="AV235">
        <v>3469</v>
      </c>
      <c r="AW235">
        <v>2276</v>
      </c>
      <c r="AX235">
        <v>1148</v>
      </c>
      <c r="AY235">
        <v>45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-0.78</v>
      </c>
      <c r="BH235">
        <v>25.065000999999999</v>
      </c>
      <c r="BI235">
        <v>14.349353000000001</v>
      </c>
      <c r="BJ235">
        <v>4.0475999999999998E-2</v>
      </c>
      <c r="BK235">
        <v>10.558748</v>
      </c>
      <c r="BL235">
        <v>111.487157</v>
      </c>
      <c r="BM235">
        <v>0.73583399999999999</v>
      </c>
      <c r="BN235">
        <v>22.547999999999998</v>
      </c>
      <c r="BO235">
        <v>-0.58274800000000004</v>
      </c>
      <c r="BP235">
        <v>1.3979010000000001</v>
      </c>
      <c r="BQ235">
        <v>10.008908</v>
      </c>
      <c r="BR235">
        <v>2.2589990000000002</v>
      </c>
      <c r="BS235">
        <v>21.042524</v>
      </c>
      <c r="BT235">
        <v>14.349353000000001</v>
      </c>
      <c r="BU235">
        <v>5.3818239999999999</v>
      </c>
      <c r="BV235">
        <v>-1.1946889999999999</v>
      </c>
      <c r="BW235">
        <v>-0.68302399999999996</v>
      </c>
      <c r="BX235">
        <v>0.37505699999999997</v>
      </c>
      <c r="BY235">
        <v>-0.22198599999999999</v>
      </c>
      <c r="BZ235">
        <v>-0.126913</v>
      </c>
      <c r="CA235">
        <v>-0.41464000000000001</v>
      </c>
      <c r="CB235">
        <v>-0.1696</v>
      </c>
      <c r="CC235">
        <v>-5.8999999999999997E-2</v>
      </c>
      <c r="CD235">
        <v>6.8599999999999994E-2</v>
      </c>
      <c r="CE235">
        <v>0.13</v>
      </c>
      <c r="CF235">
        <v>0.2354</v>
      </c>
      <c r="CG235">
        <v>19.955200000000001</v>
      </c>
      <c r="CH235">
        <v>21.082999999999998</v>
      </c>
      <c r="CI235">
        <v>21.805</v>
      </c>
      <c r="CJ235">
        <v>22.408999999999999</v>
      </c>
      <c r="CK235">
        <v>22.677999</v>
      </c>
      <c r="CL235">
        <v>22.968399000000002</v>
      </c>
      <c r="CM235">
        <v>23.527401000000001</v>
      </c>
      <c r="CN235">
        <v>23.932200999999999</v>
      </c>
      <c r="CO235">
        <v>24.576241</v>
      </c>
      <c r="CP235">
        <v>0.58538800000000002</v>
      </c>
      <c r="CQ235">
        <v>17.814571999999998</v>
      </c>
      <c r="CR235">
        <v>19.189889000000001</v>
      </c>
      <c r="CS235">
        <v>1</v>
      </c>
      <c r="CT235">
        <v>43</v>
      </c>
      <c r="CU235">
        <v>14.423465</v>
      </c>
      <c r="CV235">
        <v>1</v>
      </c>
      <c r="CW235">
        <v>8.6600359999999998</v>
      </c>
      <c r="CX235">
        <v>74.996230999999995</v>
      </c>
      <c r="CY235">
        <v>0.60041299999999997</v>
      </c>
      <c r="CZ235">
        <v>14</v>
      </c>
      <c r="DA235">
        <v>0.16081500000000001</v>
      </c>
      <c r="DB235">
        <v>2.1937069999999999</v>
      </c>
      <c r="DC235">
        <v>7.2736320000000001</v>
      </c>
      <c r="DD235">
        <v>14.423465</v>
      </c>
      <c r="DE235">
        <v>4.9611960000000002</v>
      </c>
      <c r="DF235">
        <v>0.14324300000000001</v>
      </c>
      <c r="DG235">
        <v>0.200406</v>
      </c>
      <c r="DH235">
        <v>0.34396700000000002</v>
      </c>
      <c r="DI235">
        <v>2.8872999999999999E-2</v>
      </c>
      <c r="DJ235">
        <v>4.0395E-2</v>
      </c>
      <c r="DK235">
        <v>1</v>
      </c>
      <c r="DL235">
        <v>1</v>
      </c>
      <c r="DM235">
        <v>2</v>
      </c>
      <c r="DN235">
        <v>5</v>
      </c>
      <c r="DO235">
        <v>7</v>
      </c>
      <c r="DP235">
        <v>9</v>
      </c>
      <c r="DQ235">
        <v>12</v>
      </c>
      <c r="DR235">
        <v>15</v>
      </c>
      <c r="DS235">
        <v>17</v>
      </c>
      <c r="DT235">
        <v>19</v>
      </c>
      <c r="DU235">
        <v>21</v>
      </c>
      <c r="DV235">
        <v>22</v>
      </c>
      <c r="DW235">
        <v>26</v>
      </c>
      <c r="DX235">
        <v>29</v>
      </c>
      <c r="DY235">
        <v>33</v>
      </c>
      <c r="DZ235">
        <v>97.891036999999997</v>
      </c>
      <c r="EA235">
        <v>65.465552000000002</v>
      </c>
      <c r="EB235">
        <v>99.780315999999999</v>
      </c>
      <c r="EC235">
        <v>2228</v>
      </c>
      <c r="ED235">
        <v>2271</v>
      </c>
      <c r="EE235">
        <v>97.407732999999993</v>
      </c>
      <c r="EF235">
        <v>99.868189999999998</v>
      </c>
      <c r="EG235">
        <v>64.139521000000002</v>
      </c>
      <c r="EH235">
        <v>82.358028000000004</v>
      </c>
      <c r="EI235">
        <v>97.759226999999996</v>
      </c>
      <c r="EJ235">
        <v>125.527241</v>
      </c>
      <c r="EK235">
        <v>2217</v>
      </c>
      <c r="EL235">
        <v>2273</v>
      </c>
      <c r="EM235">
        <v>2225</v>
      </c>
      <c r="EN235">
        <v>2857</v>
      </c>
      <c r="EO235">
        <v>2276</v>
      </c>
      <c r="EP235">
        <v>3469</v>
      </c>
      <c r="EQ235">
        <v>57.553604999999997</v>
      </c>
    </row>
    <row r="236" spans="1:147" x14ac:dyDescent="0.25">
      <c r="A236">
        <v>2022</v>
      </c>
      <c r="B236" t="str">
        <f t="shared" si="6"/>
        <v>NE</v>
      </c>
      <c r="C236" t="s">
        <v>1304</v>
      </c>
      <c r="D236" t="s">
        <v>1304</v>
      </c>
      <c r="E236">
        <v>26140</v>
      </c>
      <c r="F236" t="s">
        <v>1305</v>
      </c>
      <c r="G236" t="s">
        <v>351</v>
      </c>
      <c r="H236" t="s">
        <v>1306</v>
      </c>
      <c r="I236">
        <v>58.72</v>
      </c>
      <c r="J236">
        <v>58.72</v>
      </c>
      <c r="K236" t="s">
        <v>151</v>
      </c>
      <c r="L236">
        <v>1</v>
      </c>
      <c r="M236">
        <v>2018</v>
      </c>
      <c r="N236">
        <v>3</v>
      </c>
      <c r="O236" t="str">
        <f t="shared" si="7"/>
        <v>Talhadia</v>
      </c>
      <c r="P236" s="2">
        <v>43189</v>
      </c>
      <c r="Q236" t="s">
        <v>322</v>
      </c>
      <c r="R236" t="s">
        <v>314</v>
      </c>
      <c r="S236" t="s">
        <v>154</v>
      </c>
      <c r="T236" t="s">
        <v>155</v>
      </c>
      <c r="U236" t="s">
        <v>156</v>
      </c>
      <c r="V236" s="2">
        <v>44743</v>
      </c>
      <c r="W236" t="s">
        <v>353</v>
      </c>
      <c r="X236">
        <v>103.75</v>
      </c>
      <c r="Y236">
        <v>19.8</v>
      </c>
      <c r="Z236">
        <v>10</v>
      </c>
      <c r="AA236">
        <v>13.8</v>
      </c>
      <c r="AB236">
        <v>6</v>
      </c>
      <c r="AC236">
        <v>273.24</v>
      </c>
      <c r="AD236">
        <v>267.61477344559</v>
      </c>
      <c r="AE236" s="2">
        <v>44743</v>
      </c>
      <c r="AF236">
        <v>52</v>
      </c>
      <c r="AG236">
        <v>4.2546201232032903</v>
      </c>
      <c r="AH236">
        <v>20.407498791676801</v>
      </c>
      <c r="AI236">
        <v>16.231818181818198</v>
      </c>
      <c r="AJ236">
        <v>19.402636579660001</v>
      </c>
      <c r="AK236">
        <v>22</v>
      </c>
      <c r="AL236">
        <v>822.07718642531904</v>
      </c>
      <c r="AM236">
        <v>194.620533646084</v>
      </c>
      <c r="AN236">
        <v>0.23674240917980299</v>
      </c>
      <c r="AO236" t="s">
        <v>314</v>
      </c>
      <c r="AP236" t="s">
        <v>264</v>
      </c>
      <c r="AQ236" t="s">
        <v>315</v>
      </c>
      <c r="AR236">
        <v>9.99</v>
      </c>
      <c r="AS236">
        <v>0.82125510923889444</v>
      </c>
      <c r="AT236" t="s">
        <v>1307</v>
      </c>
      <c r="AU236" t="s">
        <v>1308</v>
      </c>
      <c r="AV236">
        <v>4476</v>
      </c>
      <c r="AW236">
        <v>2445</v>
      </c>
      <c r="AX236">
        <v>1751</v>
      </c>
      <c r="AY236">
        <v>268</v>
      </c>
      <c r="AZ236">
        <v>12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-1.244</v>
      </c>
      <c r="BH236">
        <v>27.353999999999999</v>
      </c>
      <c r="BI236">
        <v>11.204416999999999</v>
      </c>
      <c r="BJ236">
        <v>-0.33612700000000001</v>
      </c>
      <c r="BK236">
        <v>10.883092</v>
      </c>
      <c r="BL236">
        <v>118.441687</v>
      </c>
      <c r="BM236">
        <v>0.97132200000000002</v>
      </c>
      <c r="BN236">
        <v>22.743499</v>
      </c>
      <c r="BO236">
        <v>0.103172</v>
      </c>
      <c r="BP236">
        <v>1.199837</v>
      </c>
      <c r="BQ236">
        <v>10.384622</v>
      </c>
      <c r="BR236">
        <v>11.606</v>
      </c>
      <c r="BS236">
        <v>12.034127</v>
      </c>
      <c r="BT236">
        <v>11.204416999999999</v>
      </c>
      <c r="BU236">
        <v>5.9159689999999996</v>
      </c>
      <c r="BV236">
        <v>0.479267</v>
      </c>
      <c r="BW236">
        <v>-1.063264</v>
      </c>
      <c r="BX236">
        <v>0.528003</v>
      </c>
      <c r="BY236">
        <v>8.1012000000000001E-2</v>
      </c>
      <c r="BZ236">
        <v>-0.179728</v>
      </c>
      <c r="CA236">
        <v>-0.40450000000000003</v>
      </c>
      <c r="CB236">
        <v>-0.187</v>
      </c>
      <c r="CC236">
        <v>-9.6500000000000002E-2</v>
      </c>
      <c r="CD236">
        <v>4.0000000000000001E-3</v>
      </c>
      <c r="CE236">
        <v>0.05</v>
      </c>
      <c r="CF236">
        <v>0.10349999999999999</v>
      </c>
      <c r="CG236">
        <v>0.22800000000000001</v>
      </c>
      <c r="CH236">
        <v>11.698</v>
      </c>
      <c r="CI236">
        <v>18.905000999999999</v>
      </c>
      <c r="CJ236">
        <v>22.029999</v>
      </c>
      <c r="CK236">
        <v>22.793499000000001</v>
      </c>
      <c r="CL236">
        <v>23.431000000000001</v>
      </c>
      <c r="CM236">
        <v>24.655999999999999</v>
      </c>
      <c r="CN236">
        <v>25.5</v>
      </c>
      <c r="CO236">
        <v>26.487499</v>
      </c>
      <c r="CP236">
        <v>0.43529000000000001</v>
      </c>
      <c r="CQ236">
        <v>15.619033</v>
      </c>
      <c r="CR236">
        <v>17.672969999999999</v>
      </c>
      <c r="CS236">
        <v>1</v>
      </c>
      <c r="CT236">
        <v>68</v>
      </c>
      <c r="CU236">
        <v>18.510276999999999</v>
      </c>
      <c r="CV236">
        <v>1</v>
      </c>
      <c r="CW236">
        <v>13.114285000000001</v>
      </c>
      <c r="CX236">
        <v>171.984475</v>
      </c>
      <c r="CY236">
        <v>0.70848699999999998</v>
      </c>
      <c r="CZ236">
        <v>18</v>
      </c>
      <c r="DA236">
        <v>0.84688200000000002</v>
      </c>
      <c r="DB236">
        <v>3.4050980000000002</v>
      </c>
      <c r="DC236">
        <v>10.397427</v>
      </c>
      <c r="DD236">
        <v>18.510276999999999</v>
      </c>
      <c r="DE236">
        <v>7.2504239999999998</v>
      </c>
      <c r="DF236">
        <v>1.192231</v>
      </c>
      <c r="DG236">
        <v>0.75070599999999998</v>
      </c>
      <c r="DH236">
        <v>0.39169700000000002</v>
      </c>
      <c r="DI236">
        <v>0.164436</v>
      </c>
      <c r="DJ236">
        <v>0.10353999999999999</v>
      </c>
      <c r="DK236">
        <v>1</v>
      </c>
      <c r="DL236">
        <v>2</v>
      </c>
      <c r="DM236">
        <v>3</v>
      </c>
      <c r="DN236">
        <v>6</v>
      </c>
      <c r="DO236">
        <v>8</v>
      </c>
      <c r="DP236">
        <v>10</v>
      </c>
      <c r="DQ236">
        <v>14</v>
      </c>
      <c r="DR236">
        <v>17</v>
      </c>
      <c r="DS236">
        <v>20</v>
      </c>
      <c r="DT236">
        <v>23</v>
      </c>
      <c r="DU236">
        <v>26</v>
      </c>
      <c r="DV236">
        <v>28</v>
      </c>
      <c r="DW236">
        <v>37</v>
      </c>
      <c r="DX236">
        <v>45.25</v>
      </c>
      <c r="DY236">
        <v>56</v>
      </c>
      <c r="DZ236">
        <v>87.525561999999994</v>
      </c>
      <c r="EA236">
        <v>54.870420000000003</v>
      </c>
      <c r="EB236">
        <v>100.449898</v>
      </c>
      <c r="EC236">
        <v>2140</v>
      </c>
      <c r="ED236">
        <v>2456</v>
      </c>
      <c r="EE236">
        <v>84.744376000000003</v>
      </c>
      <c r="EF236">
        <v>100</v>
      </c>
      <c r="EG236">
        <v>50.245755000000003</v>
      </c>
      <c r="EH236">
        <v>98.145666000000006</v>
      </c>
      <c r="EI236">
        <v>91.983639999999994</v>
      </c>
      <c r="EJ236">
        <v>179.67280199999999</v>
      </c>
      <c r="EK236">
        <v>2072</v>
      </c>
      <c r="EL236">
        <v>2445</v>
      </c>
      <c r="EM236">
        <v>2249</v>
      </c>
      <c r="EN236">
        <v>4393</v>
      </c>
      <c r="EO236">
        <v>2445</v>
      </c>
      <c r="EP236">
        <v>4476</v>
      </c>
      <c r="EQ236">
        <v>41.395932999999999</v>
      </c>
    </row>
    <row r="237" spans="1:147" x14ac:dyDescent="0.25">
      <c r="A237">
        <v>2022</v>
      </c>
      <c r="B237" t="str">
        <f t="shared" si="6"/>
        <v>RD</v>
      </c>
      <c r="C237" t="s">
        <v>1309</v>
      </c>
      <c r="D237" t="s">
        <v>1309</v>
      </c>
      <c r="E237">
        <v>26147</v>
      </c>
      <c r="F237" t="s">
        <v>1310</v>
      </c>
      <c r="G237" t="s">
        <v>1311</v>
      </c>
      <c r="H237" t="s">
        <v>1312</v>
      </c>
      <c r="I237">
        <v>57.39</v>
      </c>
      <c r="J237">
        <v>57.39</v>
      </c>
      <c r="K237" t="s">
        <v>236</v>
      </c>
      <c r="L237">
        <v>1</v>
      </c>
      <c r="M237">
        <v>2018</v>
      </c>
      <c r="N237">
        <v>4</v>
      </c>
      <c r="O237" t="str">
        <f t="shared" si="7"/>
        <v>Alto fuste</v>
      </c>
      <c r="P237" s="2">
        <v>43130</v>
      </c>
      <c r="Q237" t="s">
        <v>237</v>
      </c>
      <c r="R237" t="s">
        <v>808</v>
      </c>
      <c r="S237" t="s">
        <v>154</v>
      </c>
      <c r="T237" t="s">
        <v>238</v>
      </c>
      <c r="U237" t="s">
        <v>156</v>
      </c>
      <c r="V237" s="2">
        <v>44616</v>
      </c>
      <c r="W237" t="s">
        <v>1313</v>
      </c>
      <c r="X237">
        <v>155.93</v>
      </c>
      <c r="Y237">
        <v>20</v>
      </c>
      <c r="Z237">
        <v>11</v>
      </c>
      <c r="AA237">
        <v>14.4</v>
      </c>
      <c r="AB237">
        <v>9</v>
      </c>
      <c r="AC237">
        <v>288</v>
      </c>
      <c r="AD237">
        <v>279.22801648392101</v>
      </c>
      <c r="AE237" s="2">
        <v>44616</v>
      </c>
      <c r="AF237">
        <v>49</v>
      </c>
      <c r="AG237">
        <v>4.0684462696782999</v>
      </c>
      <c r="AH237">
        <v>20.642841303381601</v>
      </c>
      <c r="AI237">
        <v>12.497142857142901</v>
      </c>
      <c r="AJ237">
        <v>15.563049543856501</v>
      </c>
      <c r="AK237">
        <v>35</v>
      </c>
      <c r="AL237">
        <v>1253.45588314257</v>
      </c>
      <c r="AM237">
        <v>148.15249857943999</v>
      </c>
      <c r="AN237">
        <v>0.118195223758497</v>
      </c>
      <c r="AO237" t="s">
        <v>808</v>
      </c>
      <c r="AP237" t="s">
        <v>158</v>
      </c>
      <c r="AQ237" t="s">
        <v>166</v>
      </c>
      <c r="AR237">
        <v>7.5</v>
      </c>
      <c r="AS237">
        <v>0.94009191235692391</v>
      </c>
      <c r="AT237" t="s">
        <v>1314</v>
      </c>
      <c r="AU237" t="s">
        <v>1315</v>
      </c>
      <c r="AV237">
        <v>7914</v>
      </c>
      <c r="AW237">
        <v>2506</v>
      </c>
      <c r="AX237">
        <v>2613</v>
      </c>
      <c r="AY237">
        <v>1791</v>
      </c>
      <c r="AZ237">
        <v>1004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-0.17</v>
      </c>
      <c r="BH237">
        <v>23.450001</v>
      </c>
      <c r="BI237">
        <v>9.6638339999999996</v>
      </c>
      <c r="BJ237">
        <v>-0.17</v>
      </c>
      <c r="BK237">
        <v>9.1343630000000005</v>
      </c>
      <c r="BL237">
        <v>83.436592000000005</v>
      </c>
      <c r="BM237">
        <v>0.94521100000000002</v>
      </c>
      <c r="BN237">
        <v>19.539999000000002</v>
      </c>
      <c r="BO237">
        <v>0.12295300000000001</v>
      </c>
      <c r="BP237">
        <v>1.2272019999999999</v>
      </c>
      <c r="BQ237">
        <v>8.7230349999999994</v>
      </c>
      <c r="BR237">
        <v>7.22</v>
      </c>
      <c r="BS237">
        <v>7.34</v>
      </c>
      <c r="BT237">
        <v>9.6638339999999996</v>
      </c>
      <c r="BU237">
        <v>5.0153699999999999</v>
      </c>
      <c r="BV237">
        <v>0.39546100000000001</v>
      </c>
      <c r="BW237">
        <v>-0.86782099999999995</v>
      </c>
      <c r="BX237">
        <v>0.51898299999999997</v>
      </c>
      <c r="BY237">
        <v>7.8850000000000003E-2</v>
      </c>
      <c r="BZ237">
        <v>-0.17303199999999999</v>
      </c>
      <c r="CA237">
        <v>-0.09</v>
      </c>
      <c r="CB237">
        <v>-0.05</v>
      </c>
      <c r="CC237">
        <v>-0.03</v>
      </c>
      <c r="CD237">
        <v>-0.01</v>
      </c>
      <c r="CE237">
        <v>0.01</v>
      </c>
      <c r="CF237">
        <v>0.03</v>
      </c>
      <c r="CG237">
        <v>2.2799999999999998</v>
      </c>
      <c r="CH237">
        <v>7.17</v>
      </c>
      <c r="CI237">
        <v>15.505997000000001</v>
      </c>
      <c r="CJ237">
        <v>18.649999999999999</v>
      </c>
      <c r="CK237">
        <v>19.549999</v>
      </c>
      <c r="CL237">
        <v>20.09</v>
      </c>
      <c r="CM237">
        <v>21.17</v>
      </c>
      <c r="CN237">
        <v>21.74</v>
      </c>
      <c r="CO237">
        <v>22.709999</v>
      </c>
      <c r="CP237">
        <v>0.41633500000000001</v>
      </c>
      <c r="CQ237">
        <v>13.297207999999999</v>
      </c>
      <c r="CR237">
        <v>15.058794000000001</v>
      </c>
      <c r="CS237">
        <v>1</v>
      </c>
      <c r="CT237">
        <v>165</v>
      </c>
      <c r="CU237">
        <v>35.030579000000003</v>
      </c>
      <c r="CV237">
        <v>1</v>
      </c>
      <c r="CW237">
        <v>36.292026</v>
      </c>
      <c r="CX237">
        <v>1317.111159</v>
      </c>
      <c r="CY237">
        <v>1.0360100000000001</v>
      </c>
      <c r="CZ237">
        <v>48</v>
      </c>
      <c r="DA237">
        <v>1.2619400000000001</v>
      </c>
      <c r="DB237">
        <v>3.9331999999999998</v>
      </c>
      <c r="DC237">
        <v>29.201325000000001</v>
      </c>
      <c r="DD237">
        <v>35.030579000000003</v>
      </c>
      <c r="DE237">
        <v>19.089734</v>
      </c>
      <c r="DF237">
        <v>6.1287890000000003</v>
      </c>
      <c r="DG237">
        <v>1.710718</v>
      </c>
      <c r="DH237">
        <v>0.54494500000000001</v>
      </c>
      <c r="DI237">
        <v>0.321052</v>
      </c>
      <c r="DJ237">
        <v>8.9615E-2</v>
      </c>
      <c r="DK237">
        <v>1</v>
      </c>
      <c r="DL237">
        <v>1</v>
      </c>
      <c r="DM237">
        <v>2</v>
      </c>
      <c r="DN237">
        <v>4</v>
      </c>
      <c r="DO237">
        <v>6</v>
      </c>
      <c r="DP237">
        <v>8</v>
      </c>
      <c r="DQ237">
        <v>13</v>
      </c>
      <c r="DR237">
        <v>21</v>
      </c>
      <c r="DS237">
        <v>33</v>
      </c>
      <c r="DT237">
        <v>47</v>
      </c>
      <c r="DU237">
        <v>54</v>
      </c>
      <c r="DV237">
        <v>63</v>
      </c>
      <c r="DW237">
        <v>88</v>
      </c>
      <c r="DX237">
        <v>115</v>
      </c>
      <c r="DY237">
        <v>144</v>
      </c>
      <c r="DZ237">
        <v>92.537908999999999</v>
      </c>
      <c r="EA237">
        <v>58.946171</v>
      </c>
      <c r="EB237">
        <v>186.153232</v>
      </c>
      <c r="EC237">
        <v>2319</v>
      </c>
      <c r="ED237">
        <v>4665</v>
      </c>
      <c r="EE237">
        <v>87.909018000000003</v>
      </c>
      <c r="EF237">
        <v>99.960095999999993</v>
      </c>
      <c r="EG237">
        <v>47.068486</v>
      </c>
      <c r="EH237">
        <v>99.949456999999995</v>
      </c>
      <c r="EI237">
        <v>148.64325600000001</v>
      </c>
      <c r="EJ237">
        <v>315.64245799999998</v>
      </c>
      <c r="EK237">
        <v>2203</v>
      </c>
      <c r="EL237">
        <v>2505</v>
      </c>
      <c r="EM237">
        <v>3725</v>
      </c>
      <c r="EN237">
        <v>7910</v>
      </c>
      <c r="EO237">
        <v>2506</v>
      </c>
      <c r="EP237">
        <v>7914</v>
      </c>
      <c r="EQ237">
        <v>41.589174</v>
      </c>
    </row>
    <row r="238" spans="1:147" x14ac:dyDescent="0.25">
      <c r="A238">
        <v>2022</v>
      </c>
      <c r="B238" t="str">
        <f t="shared" si="6"/>
        <v>RD</v>
      </c>
      <c r="C238" t="s">
        <v>1316</v>
      </c>
      <c r="D238" t="s">
        <v>1316</v>
      </c>
      <c r="E238">
        <v>26148</v>
      </c>
      <c r="F238" t="s">
        <v>1310</v>
      </c>
      <c r="G238" t="s">
        <v>1311</v>
      </c>
      <c r="H238" t="s">
        <v>1312</v>
      </c>
      <c r="I238">
        <v>57.39</v>
      </c>
      <c r="J238">
        <v>57.39</v>
      </c>
      <c r="K238" t="s">
        <v>236</v>
      </c>
      <c r="L238">
        <v>1</v>
      </c>
      <c r="M238">
        <v>2018</v>
      </c>
      <c r="N238">
        <v>4</v>
      </c>
      <c r="O238" t="str">
        <f t="shared" si="7"/>
        <v>Alto fuste</v>
      </c>
      <c r="P238" s="2">
        <v>43130</v>
      </c>
      <c r="Q238" t="s">
        <v>237</v>
      </c>
      <c r="R238" t="s">
        <v>808</v>
      </c>
      <c r="S238" t="s">
        <v>154</v>
      </c>
      <c r="T238" t="s">
        <v>238</v>
      </c>
      <c r="U238" t="s">
        <v>156</v>
      </c>
      <c r="V238" s="2">
        <v>44616</v>
      </c>
      <c r="W238" t="s">
        <v>1313</v>
      </c>
      <c r="X238">
        <v>155.93</v>
      </c>
      <c r="Y238">
        <v>20</v>
      </c>
      <c r="Z238">
        <v>26</v>
      </c>
      <c r="AA238">
        <v>15</v>
      </c>
      <c r="AB238">
        <v>3</v>
      </c>
      <c r="AC238">
        <v>300</v>
      </c>
      <c r="AD238">
        <v>269.26868408877499</v>
      </c>
      <c r="AE238" s="2">
        <v>44616</v>
      </c>
      <c r="AF238">
        <v>49</v>
      </c>
      <c r="AG238">
        <v>4.0684462696782999</v>
      </c>
      <c r="AH238">
        <v>20.977130511483001</v>
      </c>
      <c r="AI238">
        <v>11.7731707317073</v>
      </c>
      <c r="AJ238">
        <v>16.863873403362199</v>
      </c>
      <c r="AK238">
        <v>41</v>
      </c>
      <c r="AL238">
        <v>1522.6427142371599</v>
      </c>
      <c r="AM238">
        <v>167.043782145298</v>
      </c>
      <c r="AN238">
        <v>0.109706486349943</v>
      </c>
      <c r="AO238" t="s">
        <v>808</v>
      </c>
      <c r="AP238" t="s">
        <v>158</v>
      </c>
      <c r="AQ238" t="s">
        <v>166</v>
      </c>
      <c r="AR238">
        <v>7.5</v>
      </c>
      <c r="AS238">
        <v>1.141982035677868</v>
      </c>
      <c r="AT238" t="s">
        <v>1317</v>
      </c>
      <c r="AU238" t="s">
        <v>1318</v>
      </c>
      <c r="AV238">
        <v>6885</v>
      </c>
      <c r="AW238">
        <v>2603</v>
      </c>
      <c r="AX238">
        <v>2398</v>
      </c>
      <c r="AY238">
        <v>1356</v>
      </c>
      <c r="AZ238">
        <v>528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-0.16</v>
      </c>
      <c r="BH238">
        <v>23.48</v>
      </c>
      <c r="BI238">
        <v>9.4645679999999999</v>
      </c>
      <c r="BJ238">
        <v>-0.16</v>
      </c>
      <c r="BK238">
        <v>9.1273110000000006</v>
      </c>
      <c r="BL238">
        <v>83.307811000000001</v>
      </c>
      <c r="BM238">
        <v>0.96436599999999995</v>
      </c>
      <c r="BN238">
        <v>19.290001</v>
      </c>
      <c r="BO238">
        <v>0.12132999999999999</v>
      </c>
      <c r="BP238">
        <v>1.196536</v>
      </c>
      <c r="BQ238">
        <v>8.765352</v>
      </c>
      <c r="BR238">
        <v>6.85</v>
      </c>
      <c r="BS238">
        <v>6.95</v>
      </c>
      <c r="BT238">
        <v>9.4645679999999999</v>
      </c>
      <c r="BU238">
        <v>4.9685290000000002</v>
      </c>
      <c r="BV238">
        <v>0.40409200000000001</v>
      </c>
      <c r="BW238">
        <v>-0.90990800000000005</v>
      </c>
      <c r="BX238">
        <v>0.52496100000000001</v>
      </c>
      <c r="BY238">
        <v>8.133E-2</v>
      </c>
      <c r="BZ238">
        <v>-0.18313399999999999</v>
      </c>
      <c r="CA238">
        <v>-0.1</v>
      </c>
      <c r="CB238">
        <v>-0.06</v>
      </c>
      <c r="CC238">
        <v>-0.04</v>
      </c>
      <c r="CD238">
        <v>-0.01</v>
      </c>
      <c r="CE238">
        <v>0</v>
      </c>
      <c r="CF238">
        <v>0.01</v>
      </c>
      <c r="CG238">
        <v>0.09</v>
      </c>
      <c r="CH238">
        <v>6.79</v>
      </c>
      <c r="CI238">
        <v>15.773999</v>
      </c>
      <c r="CJ238">
        <v>18.700001</v>
      </c>
      <c r="CK238">
        <v>19.290001</v>
      </c>
      <c r="CL238">
        <v>19.760000000000002</v>
      </c>
      <c r="CM238">
        <v>20.74</v>
      </c>
      <c r="CN238">
        <v>21.379999000000002</v>
      </c>
      <c r="CO238">
        <v>22.248007000000001</v>
      </c>
      <c r="CP238">
        <v>0.40713100000000002</v>
      </c>
      <c r="CQ238">
        <v>13.148147</v>
      </c>
      <c r="CR238">
        <v>14.895768</v>
      </c>
      <c r="CS238">
        <v>1</v>
      </c>
      <c r="CT238">
        <v>172</v>
      </c>
      <c r="CU238">
        <v>41.204211999999998</v>
      </c>
      <c r="CV238">
        <v>1</v>
      </c>
      <c r="CW238">
        <v>40.551735000000001</v>
      </c>
      <c r="CX238">
        <v>1644.443184</v>
      </c>
      <c r="CY238">
        <v>0.98416499999999996</v>
      </c>
      <c r="CZ238">
        <v>59</v>
      </c>
      <c r="DA238">
        <v>0.97631800000000002</v>
      </c>
      <c r="DB238">
        <v>2.910155</v>
      </c>
      <c r="DC238">
        <v>33.626505999999999</v>
      </c>
      <c r="DD238">
        <v>41.204211999999998</v>
      </c>
      <c r="DE238">
        <v>21.925906999999999</v>
      </c>
      <c r="DF238">
        <v>6.1596989999999998</v>
      </c>
      <c r="DG238">
        <v>1.0494730000000001</v>
      </c>
      <c r="DH238">
        <v>0.53212800000000005</v>
      </c>
      <c r="DI238">
        <v>0.28093200000000002</v>
      </c>
      <c r="DJ238">
        <v>4.7863999999999997E-2</v>
      </c>
      <c r="DK238">
        <v>1</v>
      </c>
      <c r="DL238">
        <v>1</v>
      </c>
      <c r="DM238">
        <v>2</v>
      </c>
      <c r="DN238">
        <v>5</v>
      </c>
      <c r="DO238">
        <v>7</v>
      </c>
      <c r="DP238">
        <v>9</v>
      </c>
      <c r="DQ238">
        <v>16</v>
      </c>
      <c r="DR238">
        <v>27</v>
      </c>
      <c r="DS238">
        <v>42</v>
      </c>
      <c r="DT238">
        <v>57</v>
      </c>
      <c r="DU238">
        <v>66</v>
      </c>
      <c r="DV238">
        <v>74</v>
      </c>
      <c r="DW238">
        <v>107</v>
      </c>
      <c r="DX238">
        <v>129</v>
      </c>
      <c r="DY238">
        <v>143</v>
      </c>
      <c r="DZ238">
        <v>89.166347000000002</v>
      </c>
      <c r="EA238">
        <v>56.935366999999999</v>
      </c>
      <c r="EB238">
        <v>150.59546700000001</v>
      </c>
      <c r="EC238">
        <v>2321</v>
      </c>
      <c r="ED238">
        <v>3920</v>
      </c>
      <c r="EE238">
        <v>82.558586000000005</v>
      </c>
      <c r="EF238">
        <v>100</v>
      </c>
      <c r="EG238">
        <v>47.145969000000001</v>
      </c>
      <c r="EH238">
        <v>99.956427000000005</v>
      </c>
      <c r="EI238">
        <v>124.70226700000001</v>
      </c>
      <c r="EJ238">
        <v>264.38724500000001</v>
      </c>
      <c r="EK238">
        <v>2149</v>
      </c>
      <c r="EL238">
        <v>2603</v>
      </c>
      <c r="EM238">
        <v>3246</v>
      </c>
      <c r="EN238">
        <v>6882</v>
      </c>
      <c r="EO238">
        <v>2603</v>
      </c>
      <c r="EP238">
        <v>6885</v>
      </c>
      <c r="EQ238">
        <v>41.569530999999998</v>
      </c>
    </row>
    <row r="239" spans="1:147" x14ac:dyDescent="0.25">
      <c r="A239">
        <v>2022</v>
      </c>
      <c r="B239" t="str">
        <f t="shared" si="6"/>
        <v>RD</v>
      </c>
      <c r="C239" t="s">
        <v>1319</v>
      </c>
      <c r="D239" t="s">
        <v>1319</v>
      </c>
      <c r="E239">
        <v>26149</v>
      </c>
      <c r="F239" t="s">
        <v>1310</v>
      </c>
      <c r="G239" t="s">
        <v>1311</v>
      </c>
      <c r="H239" t="s">
        <v>1312</v>
      </c>
      <c r="I239">
        <v>57.39</v>
      </c>
      <c r="J239">
        <v>57.39</v>
      </c>
      <c r="K239" t="s">
        <v>236</v>
      </c>
      <c r="L239">
        <v>1</v>
      </c>
      <c r="M239">
        <v>2018</v>
      </c>
      <c r="N239">
        <v>4</v>
      </c>
      <c r="O239" t="str">
        <f t="shared" si="7"/>
        <v>Alto fuste</v>
      </c>
      <c r="P239" s="2">
        <v>43130</v>
      </c>
      <c r="Q239" t="s">
        <v>237</v>
      </c>
      <c r="R239" t="s">
        <v>808</v>
      </c>
      <c r="S239" t="s">
        <v>154</v>
      </c>
      <c r="T239" t="s">
        <v>238</v>
      </c>
      <c r="U239" t="s">
        <v>156</v>
      </c>
      <c r="V239" s="2">
        <v>44616</v>
      </c>
      <c r="W239" t="s">
        <v>1313</v>
      </c>
      <c r="X239">
        <v>155.93</v>
      </c>
      <c r="Y239">
        <v>20.5</v>
      </c>
      <c r="Z239">
        <v>10</v>
      </c>
      <c r="AA239">
        <v>15.2</v>
      </c>
      <c r="AB239">
        <v>3</v>
      </c>
      <c r="AC239">
        <v>311.60000000000002</v>
      </c>
      <c r="AD239">
        <v>306.44554651925802</v>
      </c>
      <c r="AE239" s="2">
        <v>44616</v>
      </c>
      <c r="AF239">
        <v>49</v>
      </c>
      <c r="AG239">
        <v>4.0684462696782999</v>
      </c>
      <c r="AH239">
        <v>22.147074656049799</v>
      </c>
      <c r="AI239">
        <v>12.671052631578901</v>
      </c>
      <c r="AJ239">
        <v>15.7670620271307</v>
      </c>
      <c r="AK239">
        <v>38</v>
      </c>
      <c r="AL239">
        <v>1240.0245469911599</v>
      </c>
      <c r="AM239">
        <v>162.41541654450199</v>
      </c>
      <c r="AN239">
        <v>0.130977581805612</v>
      </c>
      <c r="AO239" t="s">
        <v>808</v>
      </c>
      <c r="AP239" t="s">
        <v>158</v>
      </c>
      <c r="AQ239" t="s">
        <v>166</v>
      </c>
      <c r="AR239">
        <v>7.5</v>
      </c>
      <c r="AS239">
        <v>0.93001841024336673</v>
      </c>
      <c r="AT239" t="s">
        <v>1320</v>
      </c>
      <c r="AU239" t="s">
        <v>1321</v>
      </c>
      <c r="AV239">
        <v>14054</v>
      </c>
      <c r="AW239">
        <v>5611</v>
      </c>
      <c r="AX239">
        <v>4429</v>
      </c>
      <c r="AY239">
        <v>2772</v>
      </c>
      <c r="AZ239">
        <v>1242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-0.14000000000000001</v>
      </c>
      <c r="BH239">
        <v>24.639999</v>
      </c>
      <c r="BI239">
        <v>12.533462999999999</v>
      </c>
      <c r="BJ239">
        <v>-0.14000000000000001</v>
      </c>
      <c r="BK239">
        <v>9.4360409999999995</v>
      </c>
      <c r="BL239">
        <v>89.038867999999994</v>
      </c>
      <c r="BM239">
        <v>0.75286799999999998</v>
      </c>
      <c r="BN239">
        <v>21.49</v>
      </c>
      <c r="BO239">
        <v>-0.30299799999999999</v>
      </c>
      <c r="BP239">
        <v>1.377464</v>
      </c>
      <c r="BQ239">
        <v>8.7124919999999992</v>
      </c>
      <c r="BR239">
        <v>7.2649990000000004</v>
      </c>
      <c r="BS239">
        <v>15.255000000000001</v>
      </c>
      <c r="BT239">
        <v>12.533462999999999</v>
      </c>
      <c r="BU239">
        <v>5.2146160000000004</v>
      </c>
      <c r="BV239">
        <v>-0.51878599999999997</v>
      </c>
      <c r="BW239">
        <v>-0.74029599999999995</v>
      </c>
      <c r="BX239">
        <v>0.41605599999999998</v>
      </c>
      <c r="BY239">
        <v>-9.9487000000000006E-2</v>
      </c>
      <c r="BZ239">
        <v>-0.14196500000000001</v>
      </c>
      <c r="CA239">
        <v>-7.0000000000000007E-2</v>
      </c>
      <c r="CB239">
        <v>-0.04</v>
      </c>
      <c r="CC239">
        <v>-0.02</v>
      </c>
      <c r="CD239">
        <v>0.01</v>
      </c>
      <c r="CE239">
        <v>0.03</v>
      </c>
      <c r="CF239">
        <v>3.12</v>
      </c>
      <c r="CG239">
        <v>10.25</v>
      </c>
      <c r="CH239">
        <v>15.115</v>
      </c>
      <c r="CI239">
        <v>19.870000999999998</v>
      </c>
      <c r="CJ239">
        <v>21.139999</v>
      </c>
      <c r="CK239">
        <v>21.52</v>
      </c>
      <c r="CL239">
        <v>21.870000999999998</v>
      </c>
      <c r="CM239">
        <v>22.639999</v>
      </c>
      <c r="CN239">
        <v>23.153496000000001</v>
      </c>
      <c r="CO239">
        <v>23.93</v>
      </c>
      <c r="CP239">
        <v>0.51143899999999998</v>
      </c>
      <c r="CQ239">
        <v>15.688219</v>
      </c>
      <c r="CR239">
        <v>17.170096000000001</v>
      </c>
      <c r="CS239">
        <v>1</v>
      </c>
      <c r="CT239">
        <v>176</v>
      </c>
      <c r="CU239">
        <v>34.243845</v>
      </c>
      <c r="CV239">
        <v>1</v>
      </c>
      <c r="CW239">
        <v>35.428308999999999</v>
      </c>
      <c r="CX239">
        <v>1255.1651139999999</v>
      </c>
      <c r="CY239">
        <v>1.034589</v>
      </c>
      <c r="CZ239">
        <v>51</v>
      </c>
      <c r="DA239">
        <v>1.259034</v>
      </c>
      <c r="DB239">
        <v>4.1450180000000003</v>
      </c>
      <c r="DC239">
        <v>28.825516</v>
      </c>
      <c r="DD239">
        <v>34.243845</v>
      </c>
      <c r="DE239">
        <v>18.667269999999998</v>
      </c>
      <c r="DF239">
        <v>5.8562510000000003</v>
      </c>
      <c r="DG239">
        <v>1.3951039999999999</v>
      </c>
      <c r="DH239">
        <v>0.54512799999999995</v>
      </c>
      <c r="DI239">
        <v>0.313718</v>
      </c>
      <c r="DJ239">
        <v>7.4734999999999996E-2</v>
      </c>
      <c r="DK239">
        <v>1</v>
      </c>
      <c r="DL239">
        <v>1</v>
      </c>
      <c r="DM239">
        <v>2</v>
      </c>
      <c r="DN239">
        <v>4</v>
      </c>
      <c r="DO239">
        <v>5</v>
      </c>
      <c r="DP239">
        <v>7</v>
      </c>
      <c r="DQ239">
        <v>12</v>
      </c>
      <c r="DR239">
        <v>20</v>
      </c>
      <c r="DS239">
        <v>33</v>
      </c>
      <c r="DT239">
        <v>48</v>
      </c>
      <c r="DU239">
        <v>56</v>
      </c>
      <c r="DV239">
        <v>64</v>
      </c>
      <c r="DW239">
        <v>84</v>
      </c>
      <c r="DX239">
        <v>104</v>
      </c>
      <c r="DY239">
        <v>150</v>
      </c>
      <c r="DZ239">
        <v>96.310817999999998</v>
      </c>
      <c r="EA239">
        <v>70.037000000000006</v>
      </c>
      <c r="EB239">
        <v>175.42327599999999</v>
      </c>
      <c r="EC239">
        <v>5404</v>
      </c>
      <c r="ED239">
        <v>9843</v>
      </c>
      <c r="EE239">
        <v>89.609695000000002</v>
      </c>
      <c r="EF239">
        <v>100</v>
      </c>
      <c r="EG239">
        <v>57.513874999999999</v>
      </c>
      <c r="EH239">
        <v>99.978654000000006</v>
      </c>
      <c r="EI239">
        <v>144.056318</v>
      </c>
      <c r="EJ239">
        <v>250.41882000000001</v>
      </c>
      <c r="EK239">
        <v>5028</v>
      </c>
      <c r="EL239">
        <v>5611</v>
      </c>
      <c r="EM239">
        <v>8083</v>
      </c>
      <c r="EN239">
        <v>14051</v>
      </c>
      <c r="EO239">
        <v>5611</v>
      </c>
      <c r="EP239">
        <v>14054</v>
      </c>
      <c r="EQ239">
        <v>51.388449000000001</v>
      </c>
    </row>
    <row r="240" spans="1:147" x14ac:dyDescent="0.25">
      <c r="A240">
        <v>2022</v>
      </c>
      <c r="B240" t="str">
        <f t="shared" si="6"/>
        <v>RD</v>
      </c>
      <c r="C240" t="s">
        <v>1322</v>
      </c>
      <c r="D240" t="s">
        <v>1322</v>
      </c>
      <c r="E240">
        <v>26283</v>
      </c>
      <c r="F240" t="s">
        <v>1323</v>
      </c>
      <c r="G240" t="s">
        <v>1324</v>
      </c>
      <c r="H240" t="s">
        <v>1325</v>
      </c>
      <c r="I240">
        <v>34.549999999999997</v>
      </c>
      <c r="J240">
        <v>34.549999999999997</v>
      </c>
      <c r="K240" t="s">
        <v>261</v>
      </c>
      <c r="L240">
        <v>1</v>
      </c>
      <c r="M240">
        <v>2018</v>
      </c>
      <c r="N240">
        <v>2</v>
      </c>
      <c r="O240" t="str">
        <f t="shared" si="7"/>
        <v>Alto fuste</v>
      </c>
      <c r="P240" s="2">
        <v>43168</v>
      </c>
      <c r="Q240" t="s">
        <v>237</v>
      </c>
      <c r="R240" t="s">
        <v>808</v>
      </c>
      <c r="S240" t="s">
        <v>154</v>
      </c>
      <c r="T240" t="s">
        <v>221</v>
      </c>
      <c r="U240" t="s">
        <v>156</v>
      </c>
      <c r="V240" s="2">
        <v>44774</v>
      </c>
      <c r="W240" t="s">
        <v>1326</v>
      </c>
      <c r="X240">
        <v>169.67</v>
      </c>
      <c r="Y240">
        <v>20.6</v>
      </c>
      <c r="Z240">
        <v>7</v>
      </c>
      <c r="AA240">
        <v>16</v>
      </c>
      <c r="AB240">
        <v>1</v>
      </c>
      <c r="AC240">
        <v>329.6</v>
      </c>
      <c r="AD240">
        <v>327.09338608530197</v>
      </c>
      <c r="AE240" s="2">
        <v>44774</v>
      </c>
      <c r="AF240">
        <v>53</v>
      </c>
      <c r="AG240">
        <v>4.3969883641341498</v>
      </c>
      <c r="AH240">
        <v>23.580341260586898</v>
      </c>
      <c r="AI240">
        <v>13.6666666666667</v>
      </c>
      <c r="AJ240">
        <v>17.850581135165498</v>
      </c>
      <c r="AK240">
        <v>39</v>
      </c>
      <c r="AL240">
        <v>1192.32004250399</v>
      </c>
      <c r="AM240">
        <v>201.38156991040501</v>
      </c>
      <c r="AN240">
        <v>0.16889892204402199</v>
      </c>
      <c r="AO240" t="s">
        <v>808</v>
      </c>
      <c r="AP240" t="s">
        <v>158</v>
      </c>
      <c r="AQ240" t="s">
        <v>294</v>
      </c>
      <c r="AR240">
        <v>7.5</v>
      </c>
      <c r="AS240">
        <v>0.89424003187798962</v>
      </c>
      <c r="AT240" t="s">
        <v>1327</v>
      </c>
      <c r="AU240" t="s">
        <v>1328</v>
      </c>
      <c r="AV240">
        <v>5828</v>
      </c>
      <c r="AW240">
        <v>3204</v>
      </c>
      <c r="AX240">
        <v>2317</v>
      </c>
      <c r="AY240">
        <v>296</v>
      </c>
      <c r="AZ240">
        <v>11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-1.02</v>
      </c>
      <c r="BH240">
        <v>25.67</v>
      </c>
      <c r="BI240">
        <v>11.292569</v>
      </c>
      <c r="BJ240">
        <v>-0.17269799999999999</v>
      </c>
      <c r="BK240">
        <v>10.539230999999999</v>
      </c>
      <c r="BL240">
        <v>111.075395</v>
      </c>
      <c r="BM240">
        <v>0.93328900000000004</v>
      </c>
      <c r="BN240">
        <v>22.139999</v>
      </c>
      <c r="BO240">
        <v>1.2539E-2</v>
      </c>
      <c r="BP240">
        <v>1.149416</v>
      </c>
      <c r="BQ240">
        <v>10.132116999999999</v>
      </c>
      <c r="BR240">
        <v>11.56</v>
      </c>
      <c r="BS240">
        <v>12.102698</v>
      </c>
      <c r="BT240">
        <v>11.292569</v>
      </c>
      <c r="BU240">
        <v>5.7034890000000003</v>
      </c>
      <c r="BV240">
        <v>0.177756</v>
      </c>
      <c r="BW240">
        <v>-1.116247</v>
      </c>
      <c r="BX240">
        <v>0.50506600000000001</v>
      </c>
      <c r="BY240">
        <v>3.1165999999999999E-2</v>
      </c>
      <c r="BZ240">
        <v>-0.195713</v>
      </c>
      <c r="CA240">
        <v>-0.43730000000000002</v>
      </c>
      <c r="CB240">
        <v>-0.2</v>
      </c>
      <c r="CC240">
        <v>-0.1</v>
      </c>
      <c r="CD240">
        <v>0.03</v>
      </c>
      <c r="CE240">
        <v>0.08</v>
      </c>
      <c r="CF240">
        <v>0.14000000000000001</v>
      </c>
      <c r="CG240">
        <v>0.43</v>
      </c>
      <c r="CH240">
        <v>11.93</v>
      </c>
      <c r="CI240">
        <v>20.41</v>
      </c>
      <c r="CJ240">
        <v>21.74</v>
      </c>
      <c r="CK240">
        <v>22.219999000000001</v>
      </c>
      <c r="CL240">
        <v>22.706001000000001</v>
      </c>
      <c r="CM240">
        <v>23.532999</v>
      </c>
      <c r="CN240">
        <v>24.026499000000001</v>
      </c>
      <c r="CO240">
        <v>24.774601000000001</v>
      </c>
      <c r="CP240">
        <v>0.46131800000000001</v>
      </c>
      <c r="CQ240">
        <v>15.445985</v>
      </c>
      <c r="CR240">
        <v>17.343705</v>
      </c>
      <c r="CS240">
        <v>1</v>
      </c>
      <c r="CT240">
        <v>49</v>
      </c>
      <c r="CU240">
        <v>12.887955</v>
      </c>
      <c r="CV240">
        <v>1</v>
      </c>
      <c r="CW240">
        <v>9.1388979999999993</v>
      </c>
      <c r="CX240">
        <v>83.519450000000006</v>
      </c>
      <c r="CY240">
        <v>0.70910399999999996</v>
      </c>
      <c r="CZ240">
        <v>12</v>
      </c>
      <c r="DA240">
        <v>0.87522500000000003</v>
      </c>
      <c r="DB240">
        <v>3.446402</v>
      </c>
      <c r="DC240">
        <v>7.3409360000000001</v>
      </c>
      <c r="DD240">
        <v>12.887955</v>
      </c>
      <c r="DE240">
        <v>5.048292</v>
      </c>
      <c r="DF240">
        <v>0.88437699999999997</v>
      </c>
      <c r="DG240">
        <v>0.48000599999999999</v>
      </c>
      <c r="DH240">
        <v>0.391706</v>
      </c>
      <c r="DI240">
        <v>0.17518300000000001</v>
      </c>
      <c r="DJ240">
        <v>9.5083000000000001E-2</v>
      </c>
      <c r="DK240">
        <v>1</v>
      </c>
      <c r="DL240">
        <v>1</v>
      </c>
      <c r="DM240">
        <v>2</v>
      </c>
      <c r="DN240">
        <v>4</v>
      </c>
      <c r="DO240">
        <v>6</v>
      </c>
      <c r="DP240">
        <v>7</v>
      </c>
      <c r="DQ240">
        <v>9</v>
      </c>
      <c r="DR240">
        <v>11</v>
      </c>
      <c r="DS240">
        <v>14</v>
      </c>
      <c r="DT240">
        <v>17</v>
      </c>
      <c r="DU240">
        <v>18</v>
      </c>
      <c r="DV240">
        <v>20</v>
      </c>
      <c r="DW240">
        <v>25</v>
      </c>
      <c r="DX240">
        <v>31</v>
      </c>
      <c r="DY240">
        <v>39</v>
      </c>
      <c r="DZ240">
        <v>89.232209999999995</v>
      </c>
      <c r="EA240">
        <v>56.503089000000003</v>
      </c>
      <c r="EB240">
        <v>102.777778</v>
      </c>
      <c r="EC240">
        <v>2859</v>
      </c>
      <c r="ED240">
        <v>3293</v>
      </c>
      <c r="EE240">
        <v>84.425718000000003</v>
      </c>
      <c r="EF240">
        <v>99.968789000000001</v>
      </c>
      <c r="EG240">
        <v>50.703499999999998</v>
      </c>
      <c r="EH240">
        <v>94.166094999999999</v>
      </c>
      <c r="EI240">
        <v>92.228464000000002</v>
      </c>
      <c r="EJ240">
        <v>171.28589299999999</v>
      </c>
      <c r="EK240">
        <v>2705</v>
      </c>
      <c r="EL240">
        <v>3203</v>
      </c>
      <c r="EM240">
        <v>2955</v>
      </c>
      <c r="EN240">
        <v>5488</v>
      </c>
      <c r="EO240">
        <v>3204</v>
      </c>
      <c r="EP240">
        <v>5828</v>
      </c>
      <c r="EQ240">
        <v>44.690688999999999</v>
      </c>
    </row>
    <row r="241" spans="1:147" x14ac:dyDescent="0.25">
      <c r="A241">
        <v>2022</v>
      </c>
      <c r="B241" t="str">
        <f t="shared" si="6"/>
        <v>GN</v>
      </c>
      <c r="C241" t="s">
        <v>1329</v>
      </c>
      <c r="D241" t="s">
        <v>1329</v>
      </c>
      <c r="E241">
        <v>26292</v>
      </c>
      <c r="F241" t="s">
        <v>1330</v>
      </c>
      <c r="G241" t="s">
        <v>1331</v>
      </c>
      <c r="H241" t="s">
        <v>1332</v>
      </c>
      <c r="I241">
        <v>14.98</v>
      </c>
      <c r="J241">
        <v>14.98</v>
      </c>
      <c r="K241" t="s">
        <v>199</v>
      </c>
      <c r="L241">
        <v>1</v>
      </c>
      <c r="M241">
        <v>2018</v>
      </c>
      <c r="N241">
        <v>3</v>
      </c>
      <c r="O241" t="str">
        <f t="shared" si="7"/>
        <v>Alto fuste</v>
      </c>
      <c r="P241" s="2">
        <v>43130</v>
      </c>
      <c r="Q241" t="s">
        <v>174</v>
      </c>
      <c r="R241" t="s">
        <v>470</v>
      </c>
      <c r="S241" t="s">
        <v>154</v>
      </c>
      <c r="T241" t="s">
        <v>199</v>
      </c>
      <c r="U241" t="s">
        <v>156</v>
      </c>
      <c r="V241" s="2">
        <v>44734</v>
      </c>
      <c r="W241" t="s">
        <v>1333</v>
      </c>
      <c r="X241">
        <v>61.54</v>
      </c>
      <c r="Y241">
        <v>21</v>
      </c>
      <c r="Z241">
        <v>8</v>
      </c>
      <c r="AA241">
        <v>15.1</v>
      </c>
      <c r="AB241">
        <v>1</v>
      </c>
      <c r="AC241">
        <v>317.10000000000002</v>
      </c>
      <c r="AD241">
        <v>313.966178744091</v>
      </c>
      <c r="AE241" s="2">
        <v>44734</v>
      </c>
      <c r="AF241">
        <v>53</v>
      </c>
      <c r="AG241">
        <v>4.3915126625598901</v>
      </c>
      <c r="AH241">
        <v>23.241969869700998</v>
      </c>
      <c r="AI241">
        <v>14.479487179487201</v>
      </c>
      <c r="AJ241">
        <v>20.734868938966901</v>
      </c>
      <c r="AK241">
        <v>39</v>
      </c>
      <c r="AL241">
        <v>1242.17201215766</v>
      </c>
      <c r="AM241">
        <v>215.84231165916</v>
      </c>
      <c r="AN241">
        <v>0.17376201487927601</v>
      </c>
      <c r="AO241" t="s">
        <v>470</v>
      </c>
      <c r="AP241" t="s">
        <v>158</v>
      </c>
      <c r="AQ241" t="s">
        <v>850</v>
      </c>
      <c r="AR241">
        <v>9</v>
      </c>
      <c r="AS241">
        <v>1.1179548109418971</v>
      </c>
      <c r="AT241" t="s">
        <v>1334</v>
      </c>
      <c r="AU241" t="s">
        <v>1335</v>
      </c>
      <c r="AV241">
        <v>2388</v>
      </c>
      <c r="AW241">
        <v>1349</v>
      </c>
      <c r="AX241">
        <v>920</v>
      </c>
      <c r="AY241">
        <v>117</v>
      </c>
      <c r="AZ241">
        <v>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-0.84099999999999997</v>
      </c>
      <c r="BH241">
        <v>23.620999999999999</v>
      </c>
      <c r="BI241">
        <v>10.164702999999999</v>
      </c>
      <c r="BJ241">
        <v>-6.4429E-2</v>
      </c>
      <c r="BK241">
        <v>8.6274189999999997</v>
      </c>
      <c r="BL241">
        <v>74.432356999999996</v>
      </c>
      <c r="BM241">
        <v>0.84876300000000005</v>
      </c>
      <c r="BN241">
        <v>18.528751</v>
      </c>
      <c r="BO241">
        <v>-0.128249</v>
      </c>
      <c r="BP241">
        <v>1.3457140000000001</v>
      </c>
      <c r="BQ241">
        <v>7.966907</v>
      </c>
      <c r="BR241">
        <v>7.7794990000000004</v>
      </c>
      <c r="BS241">
        <v>12.848428999999999</v>
      </c>
      <c r="BT241">
        <v>10.164702999999999</v>
      </c>
      <c r="BU241">
        <v>4.7743169999999999</v>
      </c>
      <c r="BV241">
        <v>-1.565E-3</v>
      </c>
      <c r="BW241">
        <v>-0.61861100000000002</v>
      </c>
      <c r="BX241">
        <v>0.469696</v>
      </c>
      <c r="BY241">
        <v>-3.28E-4</v>
      </c>
      <c r="BZ241">
        <v>-0.12957099999999999</v>
      </c>
      <c r="CA241">
        <v>-0.43913000000000002</v>
      </c>
      <c r="CB241">
        <v>-0.20630000000000001</v>
      </c>
      <c r="CC241">
        <v>-0.11360000000000001</v>
      </c>
      <c r="CD241">
        <v>8.3999999999999995E-3</v>
      </c>
      <c r="CE241">
        <v>7.2999999999999995E-2</v>
      </c>
      <c r="CF241">
        <v>0.13619999999999999</v>
      </c>
      <c r="CG241">
        <v>9.2425990000000002</v>
      </c>
      <c r="CH241">
        <v>12.784000000000001</v>
      </c>
      <c r="CI241">
        <v>14.3132</v>
      </c>
      <c r="CJ241">
        <v>17.068999999999999</v>
      </c>
      <c r="CK241">
        <v>18.601751</v>
      </c>
      <c r="CL241">
        <v>19.525400000000001</v>
      </c>
      <c r="CM241">
        <v>20.674600999999999</v>
      </c>
      <c r="CN241">
        <v>21.340548999999999</v>
      </c>
      <c r="CO241">
        <v>22.523468000000001</v>
      </c>
      <c r="CP241">
        <v>0.44990999999999998</v>
      </c>
      <c r="CQ241">
        <v>13.331256</v>
      </c>
      <c r="CR241">
        <v>14.792251</v>
      </c>
      <c r="CS241">
        <v>1</v>
      </c>
      <c r="CT241">
        <v>49</v>
      </c>
      <c r="CU241">
        <v>13.029731999999999</v>
      </c>
      <c r="CV241">
        <v>1</v>
      </c>
      <c r="CW241">
        <v>8.7576619999999998</v>
      </c>
      <c r="CX241">
        <v>76.696644000000006</v>
      </c>
      <c r="CY241">
        <v>0.67212899999999998</v>
      </c>
      <c r="CZ241">
        <v>12</v>
      </c>
      <c r="DA241">
        <v>0.93135299999999999</v>
      </c>
      <c r="DB241">
        <v>4.082668</v>
      </c>
      <c r="DC241">
        <v>6.9022819999999996</v>
      </c>
      <c r="DD241">
        <v>13.029731999999999</v>
      </c>
      <c r="DE241">
        <v>4.8003470000000004</v>
      </c>
      <c r="DF241">
        <v>0.69664000000000004</v>
      </c>
      <c r="DG241">
        <v>0.53634999999999999</v>
      </c>
      <c r="DH241">
        <v>0.36841499999999999</v>
      </c>
      <c r="DI241">
        <v>0.145123</v>
      </c>
      <c r="DJ241">
        <v>0.111731</v>
      </c>
      <c r="DK241">
        <v>1</v>
      </c>
      <c r="DL241">
        <v>1</v>
      </c>
      <c r="DM241">
        <v>3</v>
      </c>
      <c r="DN241">
        <v>5</v>
      </c>
      <c r="DO241">
        <v>6</v>
      </c>
      <c r="DP241">
        <v>7</v>
      </c>
      <c r="DQ241">
        <v>10</v>
      </c>
      <c r="DR241">
        <v>12</v>
      </c>
      <c r="DS241">
        <v>15</v>
      </c>
      <c r="DT241">
        <v>17</v>
      </c>
      <c r="DU241">
        <v>18</v>
      </c>
      <c r="DV241">
        <v>19</v>
      </c>
      <c r="DW241">
        <v>23</v>
      </c>
      <c r="DX241">
        <v>30</v>
      </c>
      <c r="DY241">
        <v>40</v>
      </c>
      <c r="DZ241">
        <v>94.662712999999997</v>
      </c>
      <c r="EA241">
        <v>61.264657</v>
      </c>
      <c r="EB241">
        <v>108.450704</v>
      </c>
      <c r="EC241">
        <v>1277</v>
      </c>
      <c r="ED241">
        <v>1463</v>
      </c>
      <c r="EE241">
        <v>93.106003999999999</v>
      </c>
      <c r="EF241">
        <v>99.925871000000001</v>
      </c>
      <c r="EG241">
        <v>59.296481999999997</v>
      </c>
      <c r="EH241">
        <v>85.929648</v>
      </c>
      <c r="EI241">
        <v>104.96664199999999</v>
      </c>
      <c r="EJ241">
        <v>152.11267599999999</v>
      </c>
      <c r="EK241">
        <v>1256</v>
      </c>
      <c r="EL241">
        <v>1348</v>
      </c>
      <c r="EM241">
        <v>1416</v>
      </c>
      <c r="EN241">
        <v>2052</v>
      </c>
      <c r="EO241">
        <v>1349</v>
      </c>
      <c r="EP241">
        <v>2388</v>
      </c>
      <c r="EQ241">
        <v>44.267266999999997</v>
      </c>
    </row>
    <row r="242" spans="1:147" x14ac:dyDescent="0.25">
      <c r="A242">
        <v>2022</v>
      </c>
      <c r="B242" t="str">
        <f t="shared" si="6"/>
        <v>RD</v>
      </c>
      <c r="C242" t="s">
        <v>1336</v>
      </c>
      <c r="D242" t="s">
        <v>1336</v>
      </c>
      <c r="E242">
        <v>26296</v>
      </c>
      <c r="F242" t="s">
        <v>1323</v>
      </c>
      <c r="G242" t="s">
        <v>1324</v>
      </c>
      <c r="H242" t="s">
        <v>1337</v>
      </c>
      <c r="I242">
        <v>53.66</v>
      </c>
      <c r="J242">
        <v>53.66</v>
      </c>
      <c r="K242" t="s">
        <v>261</v>
      </c>
      <c r="L242">
        <v>1</v>
      </c>
      <c r="M242">
        <v>2018</v>
      </c>
      <c r="N242">
        <v>3</v>
      </c>
      <c r="O242" t="str">
        <f t="shared" si="7"/>
        <v>Alto fuste</v>
      </c>
      <c r="P242" s="2">
        <v>43182</v>
      </c>
      <c r="Q242" t="s">
        <v>237</v>
      </c>
      <c r="R242" t="s">
        <v>821</v>
      </c>
      <c r="S242" t="s">
        <v>154</v>
      </c>
      <c r="T242" t="s">
        <v>221</v>
      </c>
      <c r="U242" t="s">
        <v>156</v>
      </c>
      <c r="V242" s="2">
        <v>44774</v>
      </c>
      <c r="W242" t="s">
        <v>1326</v>
      </c>
      <c r="X242">
        <v>169.67</v>
      </c>
      <c r="Y242">
        <v>19.7</v>
      </c>
      <c r="Z242">
        <v>22</v>
      </c>
      <c r="AA242">
        <v>15.5</v>
      </c>
      <c r="AB242">
        <v>2</v>
      </c>
      <c r="AC242">
        <v>305.35000000000002</v>
      </c>
      <c r="AD242">
        <v>282.943123624073</v>
      </c>
      <c r="AE242" s="2">
        <v>44774</v>
      </c>
      <c r="AF242">
        <v>53</v>
      </c>
      <c r="AG242">
        <v>4.3586584531143098</v>
      </c>
      <c r="AH242">
        <v>20.5898080486906</v>
      </c>
      <c r="AI242">
        <v>13.8275862068966</v>
      </c>
      <c r="AJ242">
        <v>16.365935926868701</v>
      </c>
      <c r="AK242">
        <v>29</v>
      </c>
      <c r="AL242">
        <v>1024.94097147702</v>
      </c>
      <c r="AM242">
        <v>160.68894434435299</v>
      </c>
      <c r="AN242">
        <v>0.156778730498779</v>
      </c>
      <c r="AO242" t="s">
        <v>821</v>
      </c>
      <c r="AP242" t="s">
        <v>158</v>
      </c>
      <c r="AQ242" t="s">
        <v>294</v>
      </c>
      <c r="AR242">
        <v>7.5</v>
      </c>
      <c r="AS242">
        <v>0.7687057286077652</v>
      </c>
      <c r="AT242" t="s">
        <v>1338</v>
      </c>
      <c r="AU242" t="s">
        <v>1339</v>
      </c>
      <c r="AV242">
        <v>3623</v>
      </c>
      <c r="AW242">
        <v>2295</v>
      </c>
      <c r="AX242">
        <v>1263</v>
      </c>
      <c r="AY242">
        <v>65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-0.81</v>
      </c>
      <c r="BH242">
        <v>24.459999</v>
      </c>
      <c r="BI242">
        <v>8.1683079999999997</v>
      </c>
      <c r="BJ242">
        <v>-7.7780000000000002E-3</v>
      </c>
      <c r="BK242">
        <v>9.7971129999999995</v>
      </c>
      <c r="BL242">
        <v>95.983418</v>
      </c>
      <c r="BM242">
        <v>1.1994050000000001</v>
      </c>
      <c r="BN242">
        <v>20.044999000000001</v>
      </c>
      <c r="BO242">
        <v>0.46739999999999998</v>
      </c>
      <c r="BP242">
        <v>1.317428</v>
      </c>
      <c r="BQ242">
        <v>9.3688610000000008</v>
      </c>
      <c r="BR242">
        <v>0.53</v>
      </c>
      <c r="BS242">
        <v>0.38777800000000001</v>
      </c>
      <c r="BT242">
        <v>8.1683079999999997</v>
      </c>
      <c r="BU242">
        <v>5.0563250000000002</v>
      </c>
      <c r="BV242">
        <v>1.201989</v>
      </c>
      <c r="BW242">
        <v>-0.72872199999999998</v>
      </c>
      <c r="BX242">
        <v>0.61901700000000004</v>
      </c>
      <c r="BY242">
        <v>0.23771999999999999</v>
      </c>
      <c r="BZ242">
        <v>-0.144121</v>
      </c>
      <c r="CA242">
        <v>-0.39779999999999999</v>
      </c>
      <c r="CB242">
        <v>-0.219</v>
      </c>
      <c r="CC242">
        <v>-0.13</v>
      </c>
      <c r="CD242">
        <v>-0.03</v>
      </c>
      <c r="CE242">
        <v>0.02</v>
      </c>
      <c r="CF242">
        <v>0.06</v>
      </c>
      <c r="CG242">
        <v>0.16</v>
      </c>
      <c r="CH242">
        <v>0.34</v>
      </c>
      <c r="CI242">
        <v>8.7119940000000007</v>
      </c>
      <c r="CJ242">
        <v>19.450001</v>
      </c>
      <c r="CK242">
        <v>20.064999</v>
      </c>
      <c r="CL242">
        <v>20.486000000000001</v>
      </c>
      <c r="CM242">
        <v>21.57</v>
      </c>
      <c r="CN242">
        <v>22.348998999999999</v>
      </c>
      <c r="CO242">
        <v>23.48</v>
      </c>
      <c r="CP242">
        <v>0.35529500000000003</v>
      </c>
      <c r="CQ242">
        <v>12.754536</v>
      </c>
      <c r="CR242">
        <v>14.941725999999999</v>
      </c>
      <c r="CS242">
        <v>1</v>
      </c>
      <c r="CT242">
        <v>54</v>
      </c>
      <c r="CU242">
        <v>15.152084</v>
      </c>
      <c r="CV242">
        <v>1</v>
      </c>
      <c r="CW242">
        <v>11.169805</v>
      </c>
      <c r="CX242">
        <v>124.76455</v>
      </c>
      <c r="CY242">
        <v>0.73717900000000003</v>
      </c>
      <c r="CZ242">
        <v>18</v>
      </c>
      <c r="DA242">
        <v>0.57060299999999997</v>
      </c>
      <c r="DB242">
        <v>2.2258599999999999</v>
      </c>
      <c r="DC242">
        <v>9.533766</v>
      </c>
      <c r="DD242">
        <v>15.152084</v>
      </c>
      <c r="DE242">
        <v>6.3038990000000004</v>
      </c>
      <c r="DF242">
        <v>1.0047950000000001</v>
      </c>
      <c r="DG242">
        <v>0.140459</v>
      </c>
      <c r="DH242">
        <v>0.41604200000000002</v>
      </c>
      <c r="DI242">
        <v>0.15939300000000001</v>
      </c>
      <c r="DJ242">
        <v>2.2280999999999999E-2</v>
      </c>
      <c r="DK242">
        <v>1</v>
      </c>
      <c r="DL242">
        <v>1</v>
      </c>
      <c r="DM242">
        <v>2</v>
      </c>
      <c r="DN242">
        <v>4</v>
      </c>
      <c r="DO242">
        <v>6</v>
      </c>
      <c r="DP242">
        <v>7</v>
      </c>
      <c r="DQ242">
        <v>10</v>
      </c>
      <c r="DR242">
        <v>12</v>
      </c>
      <c r="DS242">
        <v>16</v>
      </c>
      <c r="DT242">
        <v>21</v>
      </c>
      <c r="DU242">
        <v>24</v>
      </c>
      <c r="DV242">
        <v>27</v>
      </c>
      <c r="DW242">
        <v>32</v>
      </c>
      <c r="DX242">
        <v>36</v>
      </c>
      <c r="DY242">
        <v>40</v>
      </c>
      <c r="DZ242">
        <v>63.877996000000003</v>
      </c>
      <c r="EA242">
        <v>42.451006999999997</v>
      </c>
      <c r="EB242">
        <v>67.015251000000006</v>
      </c>
      <c r="EC242">
        <v>1466</v>
      </c>
      <c r="ED242">
        <v>1538</v>
      </c>
      <c r="EE242">
        <v>61.960783999999997</v>
      </c>
      <c r="EF242">
        <v>95.119826000000003</v>
      </c>
      <c r="EG242">
        <v>40.491306000000002</v>
      </c>
      <c r="EH242">
        <v>77.642837</v>
      </c>
      <c r="EI242">
        <v>63.921568999999998</v>
      </c>
      <c r="EJ242">
        <v>122.570806</v>
      </c>
      <c r="EK242">
        <v>1422</v>
      </c>
      <c r="EL242">
        <v>2183</v>
      </c>
      <c r="EM242">
        <v>1467</v>
      </c>
      <c r="EN242">
        <v>2813</v>
      </c>
      <c r="EO242">
        <v>2295</v>
      </c>
      <c r="EP242">
        <v>3623</v>
      </c>
      <c r="EQ242">
        <v>33.928621</v>
      </c>
    </row>
    <row r="243" spans="1:147" x14ac:dyDescent="0.25">
      <c r="A243">
        <v>2022</v>
      </c>
      <c r="B243" t="str">
        <f t="shared" si="6"/>
        <v>RD</v>
      </c>
      <c r="C243" t="s">
        <v>1340</v>
      </c>
      <c r="D243" t="s">
        <v>1340</v>
      </c>
      <c r="E243">
        <v>26297</v>
      </c>
      <c r="F243" t="s">
        <v>1323</v>
      </c>
      <c r="G243" t="s">
        <v>1324</v>
      </c>
      <c r="H243" t="s">
        <v>1337</v>
      </c>
      <c r="I243">
        <v>53.66</v>
      </c>
      <c r="J243">
        <v>53.66</v>
      </c>
      <c r="K243" t="s">
        <v>261</v>
      </c>
      <c r="L243">
        <v>1</v>
      </c>
      <c r="M243">
        <v>2018</v>
      </c>
      <c r="N243">
        <v>3</v>
      </c>
      <c r="O243" t="str">
        <f t="shared" si="7"/>
        <v>Alto fuste</v>
      </c>
      <c r="P243" s="2">
        <v>43182</v>
      </c>
      <c r="Q243" t="s">
        <v>237</v>
      </c>
      <c r="R243" t="s">
        <v>821</v>
      </c>
      <c r="S243" t="s">
        <v>154</v>
      </c>
      <c r="T243" t="s">
        <v>221</v>
      </c>
      <c r="U243" t="s">
        <v>156</v>
      </c>
      <c r="V243" s="2">
        <v>44774</v>
      </c>
      <c r="W243" t="s">
        <v>1326</v>
      </c>
      <c r="X243">
        <v>169.67</v>
      </c>
      <c r="Y243">
        <v>20.399999999999999</v>
      </c>
      <c r="Z243">
        <v>2</v>
      </c>
      <c r="AA243">
        <v>16.100000000000001</v>
      </c>
      <c r="AB243">
        <v>7</v>
      </c>
      <c r="AC243">
        <v>328.44</v>
      </c>
      <c r="AD243">
        <v>325.79327261316001</v>
      </c>
      <c r="AE243" s="2">
        <v>44774</v>
      </c>
      <c r="AF243">
        <v>53</v>
      </c>
      <c r="AG243">
        <v>4.3586584531143098</v>
      </c>
      <c r="AH243">
        <v>23.620866775761399</v>
      </c>
      <c r="AI243">
        <v>13.785</v>
      </c>
      <c r="AJ243">
        <v>18.613308334056399</v>
      </c>
      <c r="AK243">
        <v>40</v>
      </c>
      <c r="AL243">
        <v>1227.7724361575499</v>
      </c>
      <c r="AM243">
        <v>209.07603133670901</v>
      </c>
      <c r="AN243">
        <v>0.17028891118539499</v>
      </c>
      <c r="AO243" t="s">
        <v>821</v>
      </c>
      <c r="AP243" t="s">
        <v>158</v>
      </c>
      <c r="AQ243" t="s">
        <v>294</v>
      </c>
      <c r="AR243">
        <v>7.5</v>
      </c>
      <c r="AS243">
        <v>0.9208293271181619</v>
      </c>
      <c r="AT243" t="s">
        <v>1341</v>
      </c>
      <c r="AU243" t="s">
        <v>1342</v>
      </c>
      <c r="AV243">
        <v>3365</v>
      </c>
      <c r="AW243">
        <v>1939</v>
      </c>
      <c r="AX243">
        <v>1367</v>
      </c>
      <c r="AY243">
        <v>58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-0.79</v>
      </c>
      <c r="BH243">
        <v>25.120000999999998</v>
      </c>
      <c r="BI243">
        <v>10.408315</v>
      </c>
      <c r="BJ243">
        <v>-0.37873000000000001</v>
      </c>
      <c r="BK243">
        <v>10.769679</v>
      </c>
      <c r="BL243">
        <v>115.985975</v>
      </c>
      <c r="BM243">
        <v>1.0347189999999999</v>
      </c>
      <c r="BN243">
        <v>21.81</v>
      </c>
      <c r="BO243">
        <v>0.122625</v>
      </c>
      <c r="BP243">
        <v>1.071442</v>
      </c>
      <c r="BQ243">
        <v>10.597500999999999</v>
      </c>
      <c r="BR243">
        <v>1.53</v>
      </c>
      <c r="BS243">
        <v>1.4687300000000001</v>
      </c>
      <c r="BT243">
        <v>10.408315</v>
      </c>
      <c r="BU243">
        <v>5.6206659999999999</v>
      </c>
      <c r="BV243">
        <v>0.46679500000000002</v>
      </c>
      <c r="BW243">
        <v>-1.184415</v>
      </c>
      <c r="BX243">
        <v>0.54001699999999997</v>
      </c>
      <c r="BY243">
        <v>8.3049999999999999E-2</v>
      </c>
      <c r="BZ243">
        <v>-0.210725</v>
      </c>
      <c r="CA243">
        <v>-0.36359999999999998</v>
      </c>
      <c r="CB243">
        <v>-0.19</v>
      </c>
      <c r="CC243">
        <v>-0.11</v>
      </c>
      <c r="CD243">
        <v>-0.02</v>
      </c>
      <c r="CE243">
        <v>0.02</v>
      </c>
      <c r="CF243">
        <v>0.06</v>
      </c>
      <c r="CG243">
        <v>0.15</v>
      </c>
      <c r="CH243">
        <v>1.0900000000000001</v>
      </c>
      <c r="CI243">
        <v>20.629999000000002</v>
      </c>
      <c r="CJ243">
        <v>21.530000999999999</v>
      </c>
      <c r="CK243">
        <v>21.83</v>
      </c>
      <c r="CL243">
        <v>22.129999000000002</v>
      </c>
      <c r="CM243">
        <v>22.84</v>
      </c>
      <c r="CN243">
        <v>23.360001</v>
      </c>
      <c r="CO243">
        <v>24.167202</v>
      </c>
      <c r="CP243">
        <v>0.43219999999999997</v>
      </c>
      <c r="CQ243">
        <v>14.976132</v>
      </c>
      <c r="CR243">
        <v>16.986457999999999</v>
      </c>
      <c r="CS243">
        <v>1</v>
      </c>
      <c r="CT243">
        <v>57</v>
      </c>
      <c r="CU243">
        <v>16.034472999999998</v>
      </c>
      <c r="CV243">
        <v>14.333333</v>
      </c>
      <c r="CW243">
        <v>11.831205000000001</v>
      </c>
      <c r="CX243">
        <v>139.977408</v>
      </c>
      <c r="CY243">
        <v>0.73786099999999999</v>
      </c>
      <c r="CZ243">
        <v>13</v>
      </c>
      <c r="DA243">
        <v>1.0547310000000001</v>
      </c>
      <c r="DB243">
        <v>3.3770340000000001</v>
      </c>
      <c r="DC243">
        <v>9.0839859999999994</v>
      </c>
      <c r="DD243">
        <v>16.034472999999998</v>
      </c>
      <c r="DE243">
        <v>6.3736920000000001</v>
      </c>
      <c r="DF243">
        <v>1.512529</v>
      </c>
      <c r="DG243">
        <v>0.88378699999999999</v>
      </c>
      <c r="DH243">
        <v>0.39749899999999999</v>
      </c>
      <c r="DI243">
        <v>0.23730799999999999</v>
      </c>
      <c r="DJ243">
        <v>0.13866200000000001</v>
      </c>
      <c r="DK243">
        <v>1</v>
      </c>
      <c r="DL243">
        <v>2</v>
      </c>
      <c r="DM243">
        <v>3</v>
      </c>
      <c r="DN243">
        <v>6</v>
      </c>
      <c r="DO243">
        <v>7</v>
      </c>
      <c r="DP243">
        <v>9</v>
      </c>
      <c r="DQ243">
        <v>11</v>
      </c>
      <c r="DR243">
        <v>13</v>
      </c>
      <c r="DS243">
        <v>16</v>
      </c>
      <c r="DT243">
        <v>18</v>
      </c>
      <c r="DU243">
        <v>20</v>
      </c>
      <c r="DV243">
        <v>23</v>
      </c>
      <c r="DW243">
        <v>37</v>
      </c>
      <c r="DX243">
        <v>42</v>
      </c>
      <c r="DY243">
        <v>47</v>
      </c>
      <c r="DZ243">
        <v>80.556988000000004</v>
      </c>
      <c r="EA243">
        <v>49.390788000000001</v>
      </c>
      <c r="EB243">
        <v>85.714286000000001</v>
      </c>
      <c r="EC243">
        <v>1562</v>
      </c>
      <c r="ED243">
        <v>1662</v>
      </c>
      <c r="EE243">
        <v>79.783394000000001</v>
      </c>
      <c r="EF243">
        <v>100</v>
      </c>
      <c r="EG243">
        <v>47.904902999999997</v>
      </c>
      <c r="EH243">
        <v>99.078751999999994</v>
      </c>
      <c r="EI243">
        <v>83.135637000000003</v>
      </c>
      <c r="EJ243">
        <v>171.944301</v>
      </c>
      <c r="EK243">
        <v>1547</v>
      </c>
      <c r="EL243">
        <v>1939</v>
      </c>
      <c r="EM243">
        <v>1612</v>
      </c>
      <c r="EN243">
        <v>3334</v>
      </c>
      <c r="EO243">
        <v>1939</v>
      </c>
      <c r="EP243">
        <v>3365</v>
      </c>
      <c r="EQ243">
        <v>42.162598000000003</v>
      </c>
    </row>
    <row r="244" spans="1:147" x14ac:dyDescent="0.25">
      <c r="A244">
        <v>2022</v>
      </c>
      <c r="B244" t="str">
        <f t="shared" si="6"/>
        <v>RD</v>
      </c>
      <c r="C244" t="s">
        <v>1343</v>
      </c>
      <c r="D244" t="s">
        <v>1343</v>
      </c>
      <c r="E244">
        <v>26328</v>
      </c>
      <c r="F244" t="s">
        <v>1344</v>
      </c>
      <c r="G244" t="s">
        <v>813</v>
      </c>
      <c r="H244" t="s">
        <v>1345</v>
      </c>
      <c r="I244">
        <v>88.34</v>
      </c>
      <c r="J244">
        <v>88.34</v>
      </c>
      <c r="K244" t="s">
        <v>261</v>
      </c>
      <c r="L244">
        <v>1</v>
      </c>
      <c r="M244">
        <v>2018</v>
      </c>
      <c r="N244">
        <v>2</v>
      </c>
      <c r="O244" t="str">
        <f t="shared" si="7"/>
        <v>Alto fuste</v>
      </c>
      <c r="P244" s="2">
        <v>43175</v>
      </c>
      <c r="Q244" t="s">
        <v>237</v>
      </c>
      <c r="R244" t="s">
        <v>323</v>
      </c>
      <c r="S244" t="s">
        <v>154</v>
      </c>
      <c r="T244" t="s">
        <v>221</v>
      </c>
      <c r="U244" t="s">
        <v>156</v>
      </c>
      <c r="V244" s="2">
        <v>44686</v>
      </c>
      <c r="W244" t="s">
        <v>816</v>
      </c>
      <c r="X244">
        <v>320.37</v>
      </c>
      <c r="Y244">
        <v>19</v>
      </c>
      <c r="Z244">
        <v>25</v>
      </c>
      <c r="AA244">
        <v>15</v>
      </c>
      <c r="AB244">
        <v>7</v>
      </c>
      <c r="AC244">
        <v>285</v>
      </c>
      <c r="AD244">
        <v>256.37240727435</v>
      </c>
      <c r="AE244" s="2">
        <v>44686</v>
      </c>
      <c r="AF244">
        <v>50</v>
      </c>
      <c r="AG244">
        <v>4.1368925393566096</v>
      </c>
      <c r="AH244">
        <v>22.1509107345933</v>
      </c>
      <c r="AI244">
        <v>12.8333333333333</v>
      </c>
      <c r="AJ244">
        <v>17.082257315225299</v>
      </c>
      <c r="AK244">
        <v>33</v>
      </c>
      <c r="AL244">
        <v>1287.1900042146899</v>
      </c>
      <c r="AM244">
        <v>183.14846698326701</v>
      </c>
      <c r="AN244">
        <v>0.1422854950579</v>
      </c>
      <c r="AO244" t="s">
        <v>323</v>
      </c>
      <c r="AP244" t="s">
        <v>158</v>
      </c>
      <c r="AQ244" t="s">
        <v>304</v>
      </c>
      <c r="AR244">
        <v>7.5</v>
      </c>
      <c r="AS244">
        <v>0.9653925031610151</v>
      </c>
      <c r="AT244" t="s">
        <v>1346</v>
      </c>
      <c r="AU244" t="s">
        <v>1347</v>
      </c>
      <c r="AV244">
        <v>2817</v>
      </c>
      <c r="AW244">
        <v>1251</v>
      </c>
      <c r="AX244">
        <v>1177</v>
      </c>
      <c r="AY244">
        <v>362</v>
      </c>
      <c r="AZ244">
        <v>27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-0.91</v>
      </c>
      <c r="BH244">
        <v>26.49</v>
      </c>
      <c r="BI244">
        <v>7.994796</v>
      </c>
      <c r="BJ244">
        <v>-4.0159E-2</v>
      </c>
      <c r="BK244">
        <v>7.9901340000000003</v>
      </c>
      <c r="BL244">
        <v>63.842239999999997</v>
      </c>
      <c r="BM244">
        <v>0.999417</v>
      </c>
      <c r="BN244">
        <v>15.35</v>
      </c>
      <c r="BO244">
        <v>0.49340699999999998</v>
      </c>
      <c r="BP244">
        <v>1.7428440000000001</v>
      </c>
      <c r="BQ244">
        <v>7.210426</v>
      </c>
      <c r="BR244">
        <v>5.23</v>
      </c>
      <c r="BS244">
        <v>5.2901590000000001</v>
      </c>
      <c r="BT244">
        <v>7.994796</v>
      </c>
      <c r="BU244">
        <v>4.437824</v>
      </c>
      <c r="BV244">
        <v>0.868614</v>
      </c>
      <c r="BW244">
        <v>-0.30378899999999998</v>
      </c>
      <c r="BX244">
        <v>0.55508900000000005</v>
      </c>
      <c r="BY244">
        <v>0.19572999999999999</v>
      </c>
      <c r="BZ244">
        <v>-6.8454000000000001E-2</v>
      </c>
      <c r="CA244">
        <v>-0.37840000000000001</v>
      </c>
      <c r="CB244">
        <v>-0.15</v>
      </c>
      <c r="CC244">
        <v>-0.02</v>
      </c>
      <c r="CD244">
        <v>0.21</v>
      </c>
      <c r="CE244">
        <v>0.35</v>
      </c>
      <c r="CF244">
        <v>0.55800000000000005</v>
      </c>
      <c r="CG244">
        <v>1.81</v>
      </c>
      <c r="CH244">
        <v>5.25</v>
      </c>
      <c r="CI244">
        <v>9.9619999999999997</v>
      </c>
      <c r="CJ244">
        <v>13.575998</v>
      </c>
      <c r="CK244">
        <v>15.7</v>
      </c>
      <c r="CL244">
        <v>16.998000999999999</v>
      </c>
      <c r="CM244">
        <v>20.017997999999999</v>
      </c>
      <c r="CN244">
        <v>21.540001</v>
      </c>
      <c r="CO244">
        <v>23.965202000000001</v>
      </c>
      <c r="CP244">
        <v>0.32499299999999998</v>
      </c>
      <c r="CQ244">
        <v>11.302049999999999</v>
      </c>
      <c r="CR244">
        <v>13.187182</v>
      </c>
      <c r="CS244">
        <v>1</v>
      </c>
      <c r="CT244">
        <v>47</v>
      </c>
      <c r="CU244">
        <v>10.385161999999999</v>
      </c>
      <c r="CV244">
        <v>5.3809519999999997</v>
      </c>
      <c r="CW244">
        <v>7.8881810000000003</v>
      </c>
      <c r="CX244">
        <v>62.223402</v>
      </c>
      <c r="CY244">
        <v>0.75956299999999999</v>
      </c>
      <c r="CZ244">
        <v>9</v>
      </c>
      <c r="DA244">
        <v>1.2554240000000001</v>
      </c>
      <c r="DB244">
        <v>4.6381269999999999</v>
      </c>
      <c r="DC244">
        <v>6.1462050000000001</v>
      </c>
      <c r="DD244">
        <v>10.385161999999999</v>
      </c>
      <c r="DE244">
        <v>4.2169759999999998</v>
      </c>
      <c r="DF244">
        <v>1.025288</v>
      </c>
      <c r="DG244">
        <v>0.54283499999999996</v>
      </c>
      <c r="DH244">
        <v>0.40605799999999997</v>
      </c>
      <c r="DI244">
        <v>0.24313299999999999</v>
      </c>
      <c r="DJ244">
        <v>0.12872600000000001</v>
      </c>
      <c r="DK244">
        <v>1</v>
      </c>
      <c r="DL244">
        <v>1</v>
      </c>
      <c r="DM244">
        <v>2</v>
      </c>
      <c r="DN244">
        <v>4</v>
      </c>
      <c r="DO244">
        <v>5</v>
      </c>
      <c r="DP244">
        <v>5</v>
      </c>
      <c r="DQ244">
        <v>7</v>
      </c>
      <c r="DR244">
        <v>8</v>
      </c>
      <c r="DS244">
        <v>10</v>
      </c>
      <c r="DT244">
        <v>13</v>
      </c>
      <c r="DU244">
        <v>14</v>
      </c>
      <c r="DV244">
        <v>16</v>
      </c>
      <c r="DW244">
        <v>21</v>
      </c>
      <c r="DX244">
        <v>26</v>
      </c>
      <c r="DY244">
        <v>36</v>
      </c>
      <c r="DZ244">
        <v>83.373300999999998</v>
      </c>
      <c r="EA244">
        <v>55.697550999999997</v>
      </c>
      <c r="EB244">
        <v>125.419664</v>
      </c>
      <c r="EC244">
        <v>1043</v>
      </c>
      <c r="ED244">
        <v>1569</v>
      </c>
      <c r="EE244">
        <v>73.780974999999998</v>
      </c>
      <c r="EF244">
        <v>98.960830999999999</v>
      </c>
      <c r="EG244">
        <v>44.302449000000003</v>
      </c>
      <c r="EH244">
        <v>90.770323000000005</v>
      </c>
      <c r="EI244">
        <v>99.760192000000004</v>
      </c>
      <c r="EJ244">
        <v>204.39648299999999</v>
      </c>
      <c r="EK244">
        <v>923</v>
      </c>
      <c r="EL244">
        <v>1238</v>
      </c>
      <c r="EM244">
        <v>1248</v>
      </c>
      <c r="EN244">
        <v>2557</v>
      </c>
      <c r="EO244">
        <v>1251</v>
      </c>
      <c r="EP244">
        <v>2817</v>
      </c>
      <c r="EQ244">
        <v>32.416558999999999</v>
      </c>
    </row>
    <row r="245" spans="1:147" x14ac:dyDescent="0.25">
      <c r="A245">
        <v>2022</v>
      </c>
      <c r="B245" t="str">
        <f t="shared" si="6"/>
        <v>GN</v>
      </c>
      <c r="C245" t="s">
        <v>1348</v>
      </c>
      <c r="D245" t="s">
        <v>1348</v>
      </c>
      <c r="E245">
        <v>26352</v>
      </c>
      <c r="F245" t="s">
        <v>1349</v>
      </c>
      <c r="G245" t="s">
        <v>405</v>
      </c>
      <c r="H245" t="s">
        <v>1350</v>
      </c>
      <c r="I245">
        <v>76.650000000000006</v>
      </c>
      <c r="J245">
        <v>76.650000000000006</v>
      </c>
      <c r="K245" t="s">
        <v>199</v>
      </c>
      <c r="L245">
        <v>1</v>
      </c>
      <c r="M245">
        <v>2018</v>
      </c>
      <c r="N245">
        <v>3</v>
      </c>
      <c r="O245" t="str">
        <f t="shared" si="7"/>
        <v>Alto fuste</v>
      </c>
      <c r="P245" s="2">
        <v>43402</v>
      </c>
      <c r="Q245" t="s">
        <v>174</v>
      </c>
      <c r="R245" t="s">
        <v>470</v>
      </c>
      <c r="S245" t="s">
        <v>154</v>
      </c>
      <c r="T245" t="s">
        <v>199</v>
      </c>
      <c r="U245" t="s">
        <v>156</v>
      </c>
      <c r="V245" s="2">
        <v>44714</v>
      </c>
      <c r="W245" t="s">
        <v>407</v>
      </c>
      <c r="X245">
        <v>137.77000000000001</v>
      </c>
      <c r="Y245">
        <v>21.2</v>
      </c>
      <c r="Z245">
        <v>7</v>
      </c>
      <c r="AA245">
        <v>15.8</v>
      </c>
      <c r="AB245">
        <v>1</v>
      </c>
      <c r="AC245">
        <v>334.96</v>
      </c>
      <c r="AD245">
        <v>332.41262318911703</v>
      </c>
      <c r="AE245" s="2">
        <v>44714</v>
      </c>
      <c r="AF245">
        <v>44</v>
      </c>
      <c r="AG245">
        <v>3.5920602327173201</v>
      </c>
      <c r="AH245">
        <v>24.521626804968101</v>
      </c>
      <c r="AI245">
        <v>15.352941176470599</v>
      </c>
      <c r="AJ245">
        <v>18.991737466222599</v>
      </c>
      <c r="AK245">
        <v>34</v>
      </c>
      <c r="AL245">
        <v>1022.82517654742</v>
      </c>
      <c r="AM245">
        <v>205.849346666174</v>
      </c>
      <c r="AN245">
        <v>0.20125565090314301</v>
      </c>
      <c r="AO245" t="s">
        <v>470</v>
      </c>
      <c r="AP245" t="s">
        <v>158</v>
      </c>
      <c r="AQ245" t="s">
        <v>530</v>
      </c>
      <c r="AR245">
        <v>9</v>
      </c>
      <c r="AS245">
        <v>0.92054265889267906</v>
      </c>
      <c r="AT245" t="s">
        <v>1351</v>
      </c>
      <c r="AU245" t="s">
        <v>1352</v>
      </c>
      <c r="AV245">
        <v>1872</v>
      </c>
      <c r="AW245">
        <v>1872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-0.38800000000000001</v>
      </c>
      <c r="BH245">
        <v>24.844000000000001</v>
      </c>
      <c r="BI245">
        <v>20.079311000000001</v>
      </c>
      <c r="BJ245">
        <v>21.239428</v>
      </c>
      <c r="BK245">
        <v>5.7413410000000002</v>
      </c>
      <c r="BL245">
        <v>32.962997000000001</v>
      </c>
      <c r="BM245">
        <v>0.28593299999999999</v>
      </c>
      <c r="BN245">
        <v>1.7694989999999999</v>
      </c>
      <c r="BO245">
        <v>-2.9198379999999999</v>
      </c>
      <c r="BP245">
        <v>10.222521</v>
      </c>
      <c r="BQ245">
        <v>3.149756</v>
      </c>
      <c r="BR245">
        <v>0.88149999999999995</v>
      </c>
      <c r="BS245">
        <v>0.98350000000000004</v>
      </c>
      <c r="BT245">
        <v>20.079311000000001</v>
      </c>
      <c r="BU245">
        <v>2.1167549999999999</v>
      </c>
      <c r="BV245">
        <v>-1.1598250000000001</v>
      </c>
      <c r="BW245">
        <v>0.94576499999999997</v>
      </c>
      <c r="BX245">
        <v>0.10542</v>
      </c>
      <c r="BY245">
        <v>-0.54792600000000002</v>
      </c>
      <c r="BZ245">
        <v>0.446799</v>
      </c>
      <c r="CA245">
        <v>-3.9449999999999999E-2</v>
      </c>
      <c r="CB245">
        <v>0.107</v>
      </c>
      <c r="CC245">
        <v>19.338100000000001</v>
      </c>
      <c r="CD245">
        <v>20.394600000000001</v>
      </c>
      <c r="CE245">
        <v>20.679749999999999</v>
      </c>
      <c r="CF245">
        <v>20.900600000000001</v>
      </c>
      <c r="CG245">
        <v>21.257999000000002</v>
      </c>
      <c r="CH245">
        <v>21.582999999999998</v>
      </c>
      <c r="CI245">
        <v>21.944201</v>
      </c>
      <c r="CJ245">
        <v>22.284700000000001</v>
      </c>
      <c r="CK245">
        <v>22.449248999999998</v>
      </c>
      <c r="CL245">
        <v>22.681000000000001</v>
      </c>
      <c r="CM245">
        <v>23.328201</v>
      </c>
      <c r="CN245">
        <v>23.7806</v>
      </c>
      <c r="CO245">
        <v>24.332611</v>
      </c>
      <c r="CP245">
        <v>0.81116500000000002</v>
      </c>
      <c r="CQ245">
        <v>20.883585</v>
      </c>
      <c r="CR245">
        <v>21.199767999999999</v>
      </c>
      <c r="CS245">
        <v>1</v>
      </c>
      <c r="CT245">
        <v>53</v>
      </c>
      <c r="CU245">
        <v>16.655449000000001</v>
      </c>
      <c r="CV245">
        <v>16.682539999999999</v>
      </c>
      <c r="CW245">
        <v>8.8265779999999996</v>
      </c>
      <c r="CX245">
        <v>77.908479</v>
      </c>
      <c r="CY245">
        <v>0.52995099999999995</v>
      </c>
      <c r="CZ245">
        <v>10</v>
      </c>
      <c r="DA245">
        <v>0.798315</v>
      </c>
      <c r="DB245">
        <v>4.6128910000000003</v>
      </c>
      <c r="DC245">
        <v>6.6085120000000002</v>
      </c>
      <c r="DD245">
        <v>16.655449000000001</v>
      </c>
      <c r="DE245">
        <v>4.7875199999999998</v>
      </c>
      <c r="DF245">
        <v>0.35872399999999999</v>
      </c>
      <c r="DG245">
        <v>0.83828800000000003</v>
      </c>
      <c r="DH245">
        <v>0.28744500000000001</v>
      </c>
      <c r="DI245">
        <v>7.4928999999999996E-2</v>
      </c>
      <c r="DJ245">
        <v>0.175099</v>
      </c>
      <c r="DK245">
        <v>1</v>
      </c>
      <c r="DL245">
        <v>3</v>
      </c>
      <c r="DM245">
        <v>5</v>
      </c>
      <c r="DN245">
        <v>9</v>
      </c>
      <c r="DO245">
        <v>11</v>
      </c>
      <c r="DP245">
        <v>12</v>
      </c>
      <c r="DQ245">
        <v>15</v>
      </c>
      <c r="DR245">
        <v>17</v>
      </c>
      <c r="DS245">
        <v>18</v>
      </c>
      <c r="DT245">
        <v>20</v>
      </c>
      <c r="DU245">
        <v>21</v>
      </c>
      <c r="DV245">
        <v>22.800049000000001</v>
      </c>
      <c r="DW245">
        <v>26</v>
      </c>
      <c r="DX245">
        <v>31.449950999999999</v>
      </c>
      <c r="DY245">
        <v>45.290039</v>
      </c>
      <c r="DZ245">
        <v>93.376068000000004</v>
      </c>
      <c r="EA245">
        <v>93.376068000000004</v>
      </c>
      <c r="EB245">
        <v>93.376068000000004</v>
      </c>
      <c r="EC245">
        <v>1748</v>
      </c>
      <c r="ED245">
        <v>1748</v>
      </c>
      <c r="EE245">
        <v>83.920940000000002</v>
      </c>
      <c r="EF245">
        <v>60.576923000000001</v>
      </c>
      <c r="EG245">
        <v>83.920940000000002</v>
      </c>
      <c r="EH245">
        <v>60.576923000000001</v>
      </c>
      <c r="EI245">
        <v>83.920940000000002</v>
      </c>
      <c r="EJ245">
        <v>60.576923000000001</v>
      </c>
      <c r="EK245">
        <v>1571</v>
      </c>
      <c r="EL245">
        <v>1134</v>
      </c>
      <c r="EM245">
        <v>1571</v>
      </c>
      <c r="EN245">
        <v>1134</v>
      </c>
      <c r="EO245">
        <v>1872</v>
      </c>
      <c r="EP245">
        <v>1872</v>
      </c>
      <c r="EQ245">
        <v>81.550557999999995</v>
      </c>
    </row>
    <row r="246" spans="1:147" x14ac:dyDescent="0.25">
      <c r="A246">
        <v>2022</v>
      </c>
      <c r="B246" t="str">
        <f t="shared" si="6"/>
        <v>GN</v>
      </c>
      <c r="C246" t="s">
        <v>1353</v>
      </c>
      <c r="D246" t="s">
        <v>1353</v>
      </c>
      <c r="E246">
        <v>26353</v>
      </c>
      <c r="F246" t="s">
        <v>1349</v>
      </c>
      <c r="G246" t="s">
        <v>405</v>
      </c>
      <c r="H246" t="s">
        <v>1350</v>
      </c>
      <c r="I246">
        <v>76.650000000000006</v>
      </c>
      <c r="J246">
        <v>76.650000000000006</v>
      </c>
      <c r="K246" t="s">
        <v>199</v>
      </c>
      <c r="L246">
        <v>1</v>
      </c>
      <c r="M246">
        <v>2018</v>
      </c>
      <c r="N246">
        <v>3</v>
      </c>
      <c r="O246" t="str">
        <f t="shared" si="7"/>
        <v>Alto fuste</v>
      </c>
      <c r="P246" s="2">
        <v>43402</v>
      </c>
      <c r="Q246" t="s">
        <v>174</v>
      </c>
      <c r="R246" t="s">
        <v>470</v>
      </c>
      <c r="S246" t="s">
        <v>154</v>
      </c>
      <c r="T246" t="s">
        <v>199</v>
      </c>
      <c r="U246" t="s">
        <v>156</v>
      </c>
      <c r="V246" s="2">
        <v>44714</v>
      </c>
      <c r="W246" t="s">
        <v>407</v>
      </c>
      <c r="X246">
        <v>137.77000000000001</v>
      </c>
      <c r="Y246">
        <v>20.8</v>
      </c>
      <c r="Z246">
        <v>15</v>
      </c>
      <c r="AA246">
        <v>15.7</v>
      </c>
      <c r="AB246">
        <v>1</v>
      </c>
      <c r="AC246">
        <v>326.56</v>
      </c>
      <c r="AD246">
        <v>315.38469589915297</v>
      </c>
      <c r="AE246" s="2">
        <v>44714</v>
      </c>
      <c r="AF246">
        <v>44</v>
      </c>
      <c r="AG246">
        <v>3.5920602327173201</v>
      </c>
      <c r="AH246">
        <v>25.104842294640498</v>
      </c>
      <c r="AI246">
        <v>15.203448275862099</v>
      </c>
      <c r="AJ246">
        <v>16.829179982654299</v>
      </c>
      <c r="AK246">
        <v>29</v>
      </c>
      <c r="AL246">
        <v>919.51196037974398</v>
      </c>
      <c r="AM246">
        <v>188.08383111971301</v>
      </c>
      <c r="AN246">
        <v>0.20454745476289099</v>
      </c>
      <c r="AO246" t="s">
        <v>470</v>
      </c>
      <c r="AP246" t="s">
        <v>158</v>
      </c>
      <c r="AQ246" t="s">
        <v>530</v>
      </c>
      <c r="AR246">
        <v>9</v>
      </c>
      <c r="AS246">
        <v>0.82756076434177084</v>
      </c>
      <c r="AT246" t="s">
        <v>1354</v>
      </c>
      <c r="AU246" t="s">
        <v>1355</v>
      </c>
      <c r="AV246">
        <v>2042</v>
      </c>
      <c r="AW246">
        <v>2042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-0.14000000000000001</v>
      </c>
      <c r="BH246">
        <v>26.673999999999999</v>
      </c>
      <c r="BI246">
        <v>19.416063000000001</v>
      </c>
      <c r="BJ246">
        <v>-0.14000000000000001</v>
      </c>
      <c r="BK246">
        <v>7.7468750000000002</v>
      </c>
      <c r="BL246">
        <v>60.014068000000002</v>
      </c>
      <c r="BM246">
        <v>0.39899299999999999</v>
      </c>
      <c r="BN246">
        <v>2.8052519999999999</v>
      </c>
      <c r="BO246">
        <v>-1.8407389999999999</v>
      </c>
      <c r="BP246">
        <v>4.7756179999999997</v>
      </c>
      <c r="BQ246">
        <v>5.520594</v>
      </c>
      <c r="BR246">
        <v>1.319501</v>
      </c>
      <c r="BS246">
        <v>22.543499000000001</v>
      </c>
      <c r="BT246">
        <v>19.416063000000001</v>
      </c>
      <c r="BU246">
        <v>3.4085450000000002</v>
      </c>
      <c r="BV246">
        <v>-1.7063250000000001</v>
      </c>
      <c r="BW246">
        <v>0.92556499999999997</v>
      </c>
      <c r="BX246">
        <v>0.17555299999999999</v>
      </c>
      <c r="BY246">
        <v>-0.50060199999999999</v>
      </c>
      <c r="BZ246">
        <v>0.27154299999999998</v>
      </c>
      <c r="CA246">
        <v>-3.7699999999999999E-3</v>
      </c>
      <c r="CB246">
        <v>0.11899999999999999</v>
      </c>
      <c r="CC246">
        <v>0.28320000000000001</v>
      </c>
      <c r="CD246">
        <v>19.720600000000001</v>
      </c>
      <c r="CE246">
        <v>20.763248000000001</v>
      </c>
      <c r="CF246">
        <v>21.2134</v>
      </c>
      <c r="CG246">
        <v>21.855399999999999</v>
      </c>
      <c r="CH246">
        <v>22.403500000000001</v>
      </c>
      <c r="CI246">
        <v>22.903199999999998</v>
      </c>
      <c r="CJ246">
        <v>23.355498999999998</v>
      </c>
      <c r="CK246">
        <v>23.568501000000001</v>
      </c>
      <c r="CL246">
        <v>23.822800000000001</v>
      </c>
      <c r="CM246">
        <v>24.450500000000002</v>
      </c>
      <c r="CN246">
        <v>25.028849000000001</v>
      </c>
      <c r="CO246">
        <v>25.853778999999999</v>
      </c>
      <c r="CP246">
        <v>0.72932300000000005</v>
      </c>
      <c r="CQ246">
        <v>20.903784000000002</v>
      </c>
      <c r="CR246">
        <v>21.514247000000001</v>
      </c>
      <c r="CS246">
        <v>1</v>
      </c>
      <c r="CT246">
        <v>56</v>
      </c>
      <c r="CU246">
        <v>18.600881000000001</v>
      </c>
      <c r="CV246">
        <v>21.952380999999999</v>
      </c>
      <c r="CW246">
        <v>11.073708</v>
      </c>
      <c r="CX246">
        <v>122.62700599999999</v>
      </c>
      <c r="CY246">
        <v>0.59533199999999997</v>
      </c>
      <c r="CZ246">
        <v>13</v>
      </c>
      <c r="DA246">
        <v>0.717414</v>
      </c>
      <c r="DB246">
        <v>3.47289</v>
      </c>
      <c r="DC246">
        <v>8.5568460000000002</v>
      </c>
      <c r="DD246">
        <v>18.600881000000001</v>
      </c>
      <c r="DE246">
        <v>6.1136650000000001</v>
      </c>
      <c r="DF246">
        <v>0.68837099999999996</v>
      </c>
      <c r="DG246">
        <v>0.89057200000000003</v>
      </c>
      <c r="DH246">
        <v>0.32867600000000002</v>
      </c>
      <c r="DI246">
        <v>0.112595</v>
      </c>
      <c r="DJ246">
        <v>0.14566899999999999</v>
      </c>
      <c r="DK246">
        <v>1</v>
      </c>
      <c r="DL246">
        <v>2</v>
      </c>
      <c r="DM246">
        <v>5</v>
      </c>
      <c r="DN246">
        <v>9</v>
      </c>
      <c r="DO246">
        <v>11</v>
      </c>
      <c r="DP246">
        <v>12</v>
      </c>
      <c r="DQ246">
        <v>15</v>
      </c>
      <c r="DR246">
        <v>18</v>
      </c>
      <c r="DS246">
        <v>21</v>
      </c>
      <c r="DT246">
        <v>23</v>
      </c>
      <c r="DU246">
        <v>24</v>
      </c>
      <c r="DV246">
        <v>26</v>
      </c>
      <c r="DW246">
        <v>32</v>
      </c>
      <c r="DX246">
        <v>42.949950999999999</v>
      </c>
      <c r="DY246">
        <v>49</v>
      </c>
      <c r="DZ246">
        <v>88.246816999999993</v>
      </c>
      <c r="EA246">
        <v>88.246816999999993</v>
      </c>
      <c r="EB246">
        <v>88.246816999999993</v>
      </c>
      <c r="EC246">
        <v>1802</v>
      </c>
      <c r="ED246">
        <v>1802</v>
      </c>
      <c r="EE246">
        <v>80.803134</v>
      </c>
      <c r="EF246">
        <v>99.951027999999994</v>
      </c>
      <c r="EG246">
        <v>80.803134</v>
      </c>
      <c r="EH246">
        <v>99.951027999999994</v>
      </c>
      <c r="EI246">
        <v>80.803134</v>
      </c>
      <c r="EJ246">
        <v>99.951027999999994</v>
      </c>
      <c r="EK246">
        <v>1650</v>
      </c>
      <c r="EL246">
        <v>2041</v>
      </c>
      <c r="EM246">
        <v>1650</v>
      </c>
      <c r="EN246">
        <v>2041</v>
      </c>
      <c r="EO246">
        <v>2042</v>
      </c>
      <c r="EP246">
        <v>2042</v>
      </c>
      <c r="EQ246">
        <v>74.078010000000006</v>
      </c>
    </row>
    <row r="247" spans="1:147" x14ac:dyDescent="0.25">
      <c r="A247">
        <v>2022</v>
      </c>
      <c r="B247" t="str">
        <f t="shared" si="6"/>
        <v>GN</v>
      </c>
      <c r="C247" t="s">
        <v>1356</v>
      </c>
      <c r="D247" t="s">
        <v>1356</v>
      </c>
      <c r="E247">
        <v>26354</v>
      </c>
      <c r="F247" t="s">
        <v>1349</v>
      </c>
      <c r="G247" t="s">
        <v>405</v>
      </c>
      <c r="H247" t="s">
        <v>1350</v>
      </c>
      <c r="I247">
        <v>76.650000000000006</v>
      </c>
      <c r="J247">
        <v>76.650000000000006</v>
      </c>
      <c r="K247" t="s">
        <v>199</v>
      </c>
      <c r="L247">
        <v>1</v>
      </c>
      <c r="M247">
        <v>2018</v>
      </c>
      <c r="N247">
        <v>3</v>
      </c>
      <c r="O247" t="str">
        <f t="shared" si="7"/>
        <v>Alto fuste</v>
      </c>
      <c r="P247" s="2">
        <v>43402</v>
      </c>
      <c r="Q247" t="s">
        <v>174</v>
      </c>
      <c r="R247" t="s">
        <v>470</v>
      </c>
      <c r="S247" t="s">
        <v>154</v>
      </c>
      <c r="T247" t="s">
        <v>199</v>
      </c>
      <c r="U247" t="s">
        <v>156</v>
      </c>
      <c r="V247" s="2">
        <v>44714</v>
      </c>
      <c r="W247" t="s">
        <v>407</v>
      </c>
      <c r="X247">
        <v>137.77000000000001</v>
      </c>
      <c r="Y247">
        <v>21.7</v>
      </c>
      <c r="Z247">
        <v>3</v>
      </c>
      <c r="AA247">
        <v>16.399999999999999</v>
      </c>
      <c r="AB247">
        <v>1</v>
      </c>
      <c r="AC247">
        <v>355.88</v>
      </c>
      <c r="AD247">
        <v>355.33815086301098</v>
      </c>
      <c r="AE247" s="2">
        <v>44714</v>
      </c>
      <c r="AF247">
        <v>44</v>
      </c>
      <c r="AG247">
        <v>3.5920602327173201</v>
      </c>
      <c r="AH247">
        <v>25.3961612644909</v>
      </c>
      <c r="AI247">
        <v>15.591666666666701</v>
      </c>
      <c r="AJ247">
        <v>19.4480883575768</v>
      </c>
      <c r="AK247">
        <v>36</v>
      </c>
      <c r="AL247">
        <v>1013.11947260846</v>
      </c>
      <c r="AM247">
        <v>218.93806061861801</v>
      </c>
      <c r="AN247">
        <v>0.21610290448264899</v>
      </c>
      <c r="AO247" t="s">
        <v>470</v>
      </c>
      <c r="AP247" t="s">
        <v>158</v>
      </c>
      <c r="AQ247" t="s">
        <v>530</v>
      </c>
      <c r="AR247">
        <v>9</v>
      </c>
      <c r="AS247">
        <v>0.91180752534761633</v>
      </c>
      <c r="AT247" t="s">
        <v>1357</v>
      </c>
      <c r="AU247" t="s">
        <v>1358</v>
      </c>
      <c r="AV247">
        <v>2148</v>
      </c>
      <c r="AW247">
        <v>2148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-0.183</v>
      </c>
      <c r="BH247">
        <v>24.705998999999998</v>
      </c>
      <c r="BI247">
        <v>19.120649</v>
      </c>
      <c r="BJ247">
        <v>21.545491999999999</v>
      </c>
      <c r="BK247">
        <v>6.6076129999999997</v>
      </c>
      <c r="BL247">
        <v>43.660544999999999</v>
      </c>
      <c r="BM247">
        <v>0.34557500000000002</v>
      </c>
      <c r="BN247">
        <v>2.1185</v>
      </c>
      <c r="BO247">
        <v>-2.3525140000000002</v>
      </c>
      <c r="BP247">
        <v>6.9568450000000004</v>
      </c>
      <c r="BQ247">
        <v>4.088743</v>
      </c>
      <c r="BR247">
        <v>1.0565</v>
      </c>
      <c r="BS247">
        <v>1.0729919999999999</v>
      </c>
      <c r="BT247">
        <v>19.120649</v>
      </c>
      <c r="BU247">
        <v>2.6319360000000001</v>
      </c>
      <c r="BV247">
        <v>-1.397246</v>
      </c>
      <c r="BW247">
        <v>0.99394499999999997</v>
      </c>
      <c r="BX247">
        <v>0.13764899999999999</v>
      </c>
      <c r="BY247">
        <v>-0.53088199999999997</v>
      </c>
      <c r="BZ247">
        <v>0.37764799999999998</v>
      </c>
      <c r="CA247">
        <v>-0.11906</v>
      </c>
      <c r="CB247">
        <v>-4.6499999999999996E-3</v>
      </c>
      <c r="CC247">
        <v>6.1037990000000004</v>
      </c>
      <c r="CD247">
        <v>19.725999999999999</v>
      </c>
      <c r="CE247">
        <v>20.028500000000001</v>
      </c>
      <c r="CF247">
        <v>20.2883</v>
      </c>
      <c r="CG247">
        <v>20.771601</v>
      </c>
      <c r="CH247">
        <v>21.155498999999999</v>
      </c>
      <c r="CI247">
        <v>21.575201</v>
      </c>
      <c r="CJ247">
        <v>21.902699999999999</v>
      </c>
      <c r="CK247">
        <v>22.146999000000001</v>
      </c>
      <c r="CL247">
        <v>22.417798999999999</v>
      </c>
      <c r="CM247">
        <v>23.114801</v>
      </c>
      <c r="CN247">
        <v>23.646650000000001</v>
      </c>
      <c r="CO247">
        <v>24.283892000000002</v>
      </c>
      <c r="CP247">
        <v>0.77559</v>
      </c>
      <c r="CQ247">
        <v>20.229666999999999</v>
      </c>
      <c r="CR247">
        <v>20.657644999999999</v>
      </c>
      <c r="CS247">
        <v>1</v>
      </c>
      <c r="CT247">
        <v>66</v>
      </c>
      <c r="CU247">
        <v>20.086592</v>
      </c>
      <c r="CV247">
        <v>22.666667</v>
      </c>
      <c r="CW247">
        <v>12.199358999999999</v>
      </c>
      <c r="CX247">
        <v>148.82435699999999</v>
      </c>
      <c r="CY247">
        <v>0.60733800000000004</v>
      </c>
      <c r="CZ247">
        <v>12</v>
      </c>
      <c r="DA247">
        <v>1.27678</v>
      </c>
      <c r="DB247">
        <v>5.1348640000000003</v>
      </c>
      <c r="DC247">
        <v>8.6535840000000004</v>
      </c>
      <c r="DD247">
        <v>20.086592</v>
      </c>
      <c r="DE247">
        <v>6.3711840000000004</v>
      </c>
      <c r="DF247">
        <v>1.1148579999999999</v>
      </c>
      <c r="DG247">
        <v>1.391025</v>
      </c>
      <c r="DH247">
        <v>0.31718600000000002</v>
      </c>
      <c r="DI247">
        <v>0.174984</v>
      </c>
      <c r="DJ247">
        <v>0.218331</v>
      </c>
      <c r="DK247">
        <v>1</v>
      </c>
      <c r="DL247">
        <v>3</v>
      </c>
      <c r="DM247">
        <v>6</v>
      </c>
      <c r="DN247">
        <v>11</v>
      </c>
      <c r="DO247">
        <v>12</v>
      </c>
      <c r="DP247">
        <v>14</v>
      </c>
      <c r="DQ247">
        <v>17</v>
      </c>
      <c r="DR247">
        <v>19</v>
      </c>
      <c r="DS247">
        <v>21</v>
      </c>
      <c r="DT247">
        <v>23</v>
      </c>
      <c r="DU247">
        <v>24</v>
      </c>
      <c r="DV247">
        <v>26</v>
      </c>
      <c r="DW247">
        <v>31</v>
      </c>
      <c r="DX247">
        <v>50</v>
      </c>
      <c r="DY247">
        <v>59</v>
      </c>
      <c r="DZ247">
        <v>90.130353999999997</v>
      </c>
      <c r="EA247">
        <v>90.130353999999997</v>
      </c>
      <c r="EB247">
        <v>90.130353999999997</v>
      </c>
      <c r="EC247">
        <v>1936</v>
      </c>
      <c r="ED247">
        <v>1936</v>
      </c>
      <c r="EE247">
        <v>86.312849</v>
      </c>
      <c r="EF247">
        <v>40.735568000000001</v>
      </c>
      <c r="EG247">
        <v>86.312849</v>
      </c>
      <c r="EH247">
        <v>40.735568000000001</v>
      </c>
      <c r="EI247">
        <v>86.312849</v>
      </c>
      <c r="EJ247">
        <v>40.735568000000001</v>
      </c>
      <c r="EK247">
        <v>1854</v>
      </c>
      <c r="EL247">
        <v>875</v>
      </c>
      <c r="EM247">
        <v>1854</v>
      </c>
      <c r="EN247">
        <v>875</v>
      </c>
      <c r="EO247">
        <v>2148</v>
      </c>
      <c r="EP247">
        <v>2148</v>
      </c>
      <c r="EQ247">
        <v>77.767304999999993</v>
      </c>
    </row>
    <row r="248" spans="1:147" x14ac:dyDescent="0.25">
      <c r="A248">
        <v>2022</v>
      </c>
      <c r="B248" t="str">
        <f t="shared" si="6"/>
        <v>GN</v>
      </c>
      <c r="C248" t="s">
        <v>1359</v>
      </c>
      <c r="D248" t="s">
        <v>1359</v>
      </c>
      <c r="E248">
        <v>26362</v>
      </c>
      <c r="F248" t="s">
        <v>1330</v>
      </c>
      <c r="G248" t="s">
        <v>1331</v>
      </c>
      <c r="H248" t="s">
        <v>1360</v>
      </c>
      <c r="I248">
        <v>33.78</v>
      </c>
      <c r="J248">
        <v>33.78</v>
      </c>
      <c r="K248" t="s">
        <v>199</v>
      </c>
      <c r="L248">
        <v>1</v>
      </c>
      <c r="M248">
        <v>2018</v>
      </c>
      <c r="N248">
        <v>3</v>
      </c>
      <c r="O248" t="str">
        <f t="shared" si="7"/>
        <v>Alto fuste</v>
      </c>
      <c r="P248" s="2">
        <v>43125</v>
      </c>
      <c r="Q248" t="s">
        <v>174</v>
      </c>
      <c r="R248" t="s">
        <v>314</v>
      </c>
      <c r="S248" t="s">
        <v>154</v>
      </c>
      <c r="T248" t="s">
        <v>199</v>
      </c>
      <c r="U248" t="s">
        <v>156</v>
      </c>
      <c r="V248" s="2">
        <v>44734</v>
      </c>
      <c r="W248" t="s">
        <v>1333</v>
      </c>
      <c r="X248">
        <v>61.54</v>
      </c>
      <c r="Y248">
        <v>21.5</v>
      </c>
      <c r="Z248">
        <v>7</v>
      </c>
      <c r="AA248">
        <v>14.7</v>
      </c>
      <c r="AB248">
        <v>1</v>
      </c>
      <c r="AC248">
        <v>316.05</v>
      </c>
      <c r="AD248">
        <v>313.64643407845801</v>
      </c>
      <c r="AE248" s="2">
        <v>44734</v>
      </c>
      <c r="AF248">
        <v>53</v>
      </c>
      <c r="AG248">
        <v>4.4052019164955496</v>
      </c>
      <c r="AH248">
        <v>24.284280760566901</v>
      </c>
      <c r="AI248">
        <v>15.1179487179487</v>
      </c>
      <c r="AJ248">
        <v>23.0589412495723</v>
      </c>
      <c r="AK248">
        <v>39</v>
      </c>
      <c r="AL248">
        <v>1243.4383357358399</v>
      </c>
      <c r="AM248">
        <v>254.97099142180599</v>
      </c>
      <c r="AN248">
        <v>0.205053185263842</v>
      </c>
      <c r="AO248" t="s">
        <v>314</v>
      </c>
      <c r="AP248" t="s">
        <v>158</v>
      </c>
      <c r="AQ248" t="s">
        <v>1247</v>
      </c>
      <c r="AR248">
        <v>9</v>
      </c>
      <c r="AS248">
        <v>1.11909450216226</v>
      </c>
      <c r="AT248" t="s">
        <v>1361</v>
      </c>
      <c r="AU248" t="s">
        <v>1362</v>
      </c>
      <c r="AV248">
        <v>3737</v>
      </c>
      <c r="AW248">
        <v>1942</v>
      </c>
      <c r="AX248">
        <v>1618</v>
      </c>
      <c r="AY248">
        <v>166</v>
      </c>
      <c r="AZ248">
        <v>11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-0.78500000000000003</v>
      </c>
      <c r="BH248">
        <v>27.247999</v>
      </c>
      <c r="BI248">
        <v>13.135187</v>
      </c>
      <c r="BJ248">
        <v>0.104936</v>
      </c>
      <c r="BK248">
        <v>11.8492</v>
      </c>
      <c r="BL248">
        <v>140.40354199999999</v>
      </c>
      <c r="BM248">
        <v>0.90209600000000001</v>
      </c>
      <c r="BN248">
        <v>24.421001</v>
      </c>
      <c r="BO248">
        <v>-0.117317</v>
      </c>
      <c r="BP248">
        <v>1.077558</v>
      </c>
      <c r="BQ248">
        <v>11.646485999999999</v>
      </c>
      <c r="BR248">
        <v>6.074001</v>
      </c>
      <c r="BS248">
        <v>19.924063</v>
      </c>
      <c r="BT248">
        <v>13.135187</v>
      </c>
      <c r="BU248">
        <v>6.2281789999999999</v>
      </c>
      <c r="BV248">
        <v>-0.23247899999999999</v>
      </c>
      <c r="BW248">
        <v>-1.3331489999999999</v>
      </c>
      <c r="BX248">
        <v>0.47416000000000003</v>
      </c>
      <c r="BY248">
        <v>-3.7326999999999999E-2</v>
      </c>
      <c r="BZ248">
        <v>-0.21405099999999999</v>
      </c>
      <c r="CA248">
        <v>-0.38928000000000001</v>
      </c>
      <c r="CB248">
        <v>-0.14599999999999999</v>
      </c>
      <c r="CC248">
        <v>-2.8000000000000001E-2</v>
      </c>
      <c r="CD248">
        <v>0.10100000000000001</v>
      </c>
      <c r="CE248">
        <v>0.161</v>
      </c>
      <c r="CF248">
        <v>0.2288</v>
      </c>
      <c r="CG248">
        <v>0.5766</v>
      </c>
      <c r="CH248">
        <v>20.028998999999999</v>
      </c>
      <c r="CI248">
        <v>23.677800999999999</v>
      </c>
      <c r="CJ248">
        <v>24.328199000000001</v>
      </c>
      <c r="CK248">
        <v>24.582001000000002</v>
      </c>
      <c r="CL248">
        <v>24.823999000000001</v>
      </c>
      <c r="CM248">
        <v>25.402000000000001</v>
      </c>
      <c r="CN248">
        <v>25.802999</v>
      </c>
      <c r="CO248">
        <v>26.442837000000001</v>
      </c>
      <c r="CP248">
        <v>0.49656400000000001</v>
      </c>
      <c r="CQ248">
        <v>17.688955</v>
      </c>
      <c r="CR248">
        <v>19.662955</v>
      </c>
      <c r="CS248">
        <v>1</v>
      </c>
      <c r="CT248">
        <v>72</v>
      </c>
      <c r="CU248">
        <v>21.565694000000001</v>
      </c>
      <c r="CV248">
        <v>1</v>
      </c>
      <c r="CW248">
        <v>14.818966</v>
      </c>
      <c r="CX248">
        <v>219.60174599999999</v>
      </c>
      <c r="CY248">
        <v>0.68715499999999996</v>
      </c>
      <c r="CZ248">
        <v>24</v>
      </c>
      <c r="DA248">
        <v>0.42048000000000002</v>
      </c>
      <c r="DB248">
        <v>2.2751139999999999</v>
      </c>
      <c r="DC248">
        <v>12.634086</v>
      </c>
      <c r="DD248">
        <v>21.565694000000001</v>
      </c>
      <c r="DE248">
        <v>8.4380579999999998</v>
      </c>
      <c r="DF248">
        <v>0.87156299999999998</v>
      </c>
      <c r="DG248">
        <v>0.19530900000000001</v>
      </c>
      <c r="DH248">
        <v>0.39127200000000001</v>
      </c>
      <c r="DI248">
        <v>0.10329000000000001</v>
      </c>
      <c r="DJ248">
        <v>2.3146E-2</v>
      </c>
      <c r="DK248">
        <v>1</v>
      </c>
      <c r="DL248">
        <v>2</v>
      </c>
      <c r="DM248">
        <v>3</v>
      </c>
      <c r="DN248">
        <v>6</v>
      </c>
      <c r="DO248">
        <v>8</v>
      </c>
      <c r="DP248">
        <v>10</v>
      </c>
      <c r="DQ248">
        <v>15</v>
      </c>
      <c r="DR248">
        <v>21</v>
      </c>
      <c r="DS248">
        <v>26</v>
      </c>
      <c r="DT248">
        <v>30</v>
      </c>
      <c r="DU248">
        <v>32</v>
      </c>
      <c r="DV248">
        <v>35</v>
      </c>
      <c r="DW248">
        <v>42</v>
      </c>
      <c r="DX248">
        <v>48</v>
      </c>
      <c r="DY248">
        <v>56</v>
      </c>
      <c r="DZ248">
        <v>98.197733999999997</v>
      </c>
      <c r="EA248">
        <v>56.810276000000002</v>
      </c>
      <c r="EB248">
        <v>109.32028800000001</v>
      </c>
      <c r="EC248">
        <v>1907</v>
      </c>
      <c r="ED248">
        <v>2123</v>
      </c>
      <c r="EE248">
        <v>97.837281000000004</v>
      </c>
      <c r="EF248">
        <v>99.948507000000006</v>
      </c>
      <c r="EG248">
        <v>52.769601000000002</v>
      </c>
      <c r="EH248">
        <v>79.529033999999996</v>
      </c>
      <c r="EI248">
        <v>101.544799</v>
      </c>
      <c r="EJ248">
        <v>153.038105</v>
      </c>
      <c r="EK248">
        <v>1900</v>
      </c>
      <c r="EL248">
        <v>1941</v>
      </c>
      <c r="EM248">
        <v>1972</v>
      </c>
      <c r="EN248">
        <v>2972</v>
      </c>
      <c r="EO248">
        <v>1942</v>
      </c>
      <c r="EP248">
        <v>3737</v>
      </c>
      <c r="EQ248">
        <v>48.679940999999999</v>
      </c>
    </row>
    <row r="249" spans="1:147" x14ac:dyDescent="0.25">
      <c r="A249">
        <v>2022</v>
      </c>
      <c r="B249" t="str">
        <f t="shared" si="6"/>
        <v>GN</v>
      </c>
      <c r="C249" t="s">
        <v>1363</v>
      </c>
      <c r="D249" t="s">
        <v>1363</v>
      </c>
      <c r="E249">
        <v>26363</v>
      </c>
      <c r="F249" t="s">
        <v>1330</v>
      </c>
      <c r="G249" t="s">
        <v>1331</v>
      </c>
      <c r="H249" t="s">
        <v>1360</v>
      </c>
      <c r="I249">
        <v>33.78</v>
      </c>
      <c r="J249">
        <v>33.78</v>
      </c>
      <c r="K249" t="s">
        <v>199</v>
      </c>
      <c r="L249">
        <v>1</v>
      </c>
      <c r="M249">
        <v>2018</v>
      </c>
      <c r="N249">
        <v>3</v>
      </c>
      <c r="O249" t="str">
        <f t="shared" si="7"/>
        <v>Alto fuste</v>
      </c>
      <c r="P249" s="2">
        <v>43125</v>
      </c>
      <c r="Q249" t="s">
        <v>174</v>
      </c>
      <c r="R249" t="s">
        <v>314</v>
      </c>
      <c r="S249" t="s">
        <v>154</v>
      </c>
      <c r="T249" t="s">
        <v>199</v>
      </c>
      <c r="U249" t="s">
        <v>156</v>
      </c>
      <c r="V249" s="2">
        <v>44734</v>
      </c>
      <c r="W249" t="s">
        <v>1333</v>
      </c>
      <c r="X249">
        <v>61.54</v>
      </c>
      <c r="Y249">
        <v>19.399999999999999</v>
      </c>
      <c r="Z249">
        <v>8</v>
      </c>
      <c r="AA249">
        <v>15.2</v>
      </c>
      <c r="AB249">
        <v>4</v>
      </c>
      <c r="AC249">
        <v>294.88</v>
      </c>
      <c r="AD249">
        <v>291.29892582250102</v>
      </c>
      <c r="AE249" s="2">
        <v>44734</v>
      </c>
      <c r="AF249">
        <v>53</v>
      </c>
      <c r="AG249">
        <v>4.4052019164955496</v>
      </c>
      <c r="AH249">
        <v>26.172911875603599</v>
      </c>
      <c r="AI249">
        <v>15.6033333333333</v>
      </c>
      <c r="AJ249">
        <v>20.022819950592599</v>
      </c>
      <c r="AK249">
        <v>30</v>
      </c>
      <c r="AL249">
        <v>1029.86991508098</v>
      </c>
      <c r="AM249">
        <v>235.198613412041</v>
      </c>
      <c r="AN249">
        <v>0.22837701147289699</v>
      </c>
      <c r="AO249" t="s">
        <v>314</v>
      </c>
      <c r="AP249" t="s">
        <v>158</v>
      </c>
      <c r="AQ249" t="s">
        <v>1247</v>
      </c>
      <c r="AR249">
        <v>9</v>
      </c>
      <c r="AS249">
        <v>0.92688292357288271</v>
      </c>
      <c r="AT249" t="s">
        <v>1364</v>
      </c>
      <c r="AU249" t="s">
        <v>1365</v>
      </c>
      <c r="AV249">
        <v>2969</v>
      </c>
      <c r="AW249">
        <v>1625</v>
      </c>
      <c r="AX249">
        <v>1194</v>
      </c>
      <c r="AY249">
        <v>140</v>
      </c>
      <c r="AZ249">
        <v>10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-1.01</v>
      </c>
      <c r="BH249">
        <v>28.372</v>
      </c>
      <c r="BI249">
        <v>14.077073</v>
      </c>
      <c r="BJ249">
        <v>-7.7238000000000001E-2</v>
      </c>
      <c r="BK249">
        <v>12.138693</v>
      </c>
      <c r="BL249">
        <v>147.34786800000001</v>
      </c>
      <c r="BM249">
        <v>0.86230200000000001</v>
      </c>
      <c r="BN249">
        <v>25.106999999999999</v>
      </c>
      <c r="BO249">
        <v>-0.232991</v>
      </c>
      <c r="BP249">
        <v>1.1311199999999999</v>
      </c>
      <c r="BQ249">
        <v>11.836161000000001</v>
      </c>
      <c r="BR249">
        <v>3.8050000000000002</v>
      </c>
      <c r="BS249">
        <v>23.185237999999998</v>
      </c>
      <c r="BT249">
        <v>14.077073</v>
      </c>
      <c r="BU249">
        <v>6.3887530000000003</v>
      </c>
      <c r="BV249">
        <v>-0.53342599999999996</v>
      </c>
      <c r="BW249">
        <v>-1.2514559999999999</v>
      </c>
      <c r="BX249">
        <v>0.45384099999999999</v>
      </c>
      <c r="BY249">
        <v>-8.3495E-2</v>
      </c>
      <c r="BZ249">
        <v>-0.195884</v>
      </c>
      <c r="CA249">
        <v>-0.60231999999999997</v>
      </c>
      <c r="CB249">
        <v>-0.34160000000000001</v>
      </c>
      <c r="CC249">
        <v>-0.19500000000000001</v>
      </c>
      <c r="CD249">
        <v>-5.6000000000000001E-2</v>
      </c>
      <c r="CE249">
        <v>-3.0000000000000001E-3</v>
      </c>
      <c r="CF249">
        <v>5.74E-2</v>
      </c>
      <c r="CG249">
        <v>0.78379799999999999</v>
      </c>
      <c r="CH249">
        <v>23.108000000000001</v>
      </c>
      <c r="CI249">
        <v>24.1556</v>
      </c>
      <c r="CJ249">
        <v>24.756599000000001</v>
      </c>
      <c r="CK249">
        <v>25.103999999999999</v>
      </c>
      <c r="CL249">
        <v>25.472000000000001</v>
      </c>
      <c r="CM249">
        <v>26.250401</v>
      </c>
      <c r="CN249">
        <v>26.750401</v>
      </c>
      <c r="CO249">
        <v>27.472920999999999</v>
      </c>
      <c r="CP249">
        <v>0.51348000000000005</v>
      </c>
      <c r="CQ249">
        <v>18.586614000000001</v>
      </c>
      <c r="CR249">
        <v>20.482877999999999</v>
      </c>
      <c r="CS249">
        <v>1</v>
      </c>
      <c r="CT249">
        <v>65</v>
      </c>
      <c r="CU249">
        <v>16.942067999999999</v>
      </c>
      <c r="CV249">
        <v>1</v>
      </c>
      <c r="CW249">
        <v>11.850171</v>
      </c>
      <c r="CX249">
        <v>140.42656199999999</v>
      </c>
      <c r="CY249">
        <v>0.69945199999999996</v>
      </c>
      <c r="CZ249">
        <v>20</v>
      </c>
      <c r="DA249">
        <v>0.46725100000000003</v>
      </c>
      <c r="DB249">
        <v>2.4547819999999998</v>
      </c>
      <c r="DC249">
        <v>10.096223</v>
      </c>
      <c r="DD249">
        <v>16.942067999999999</v>
      </c>
      <c r="DE249">
        <v>6.7271409999999996</v>
      </c>
      <c r="DF249">
        <v>0.72099000000000002</v>
      </c>
      <c r="DG249">
        <v>0.148284</v>
      </c>
      <c r="DH249">
        <v>0.397067</v>
      </c>
      <c r="DI249">
        <v>0.10717599999999999</v>
      </c>
      <c r="DJ249">
        <v>2.2043E-2</v>
      </c>
      <c r="DK249">
        <v>1</v>
      </c>
      <c r="DL249">
        <v>1</v>
      </c>
      <c r="DM249">
        <v>2</v>
      </c>
      <c r="DN249">
        <v>5</v>
      </c>
      <c r="DO249">
        <v>6</v>
      </c>
      <c r="DP249">
        <v>8</v>
      </c>
      <c r="DQ249">
        <v>12</v>
      </c>
      <c r="DR249">
        <v>16</v>
      </c>
      <c r="DS249">
        <v>20</v>
      </c>
      <c r="DT249">
        <v>24</v>
      </c>
      <c r="DU249">
        <v>26</v>
      </c>
      <c r="DV249">
        <v>28</v>
      </c>
      <c r="DW249">
        <v>33</v>
      </c>
      <c r="DX249">
        <v>37</v>
      </c>
      <c r="DY249">
        <v>46</v>
      </c>
      <c r="DZ249">
        <v>98.4</v>
      </c>
      <c r="EA249">
        <v>59.885483000000001</v>
      </c>
      <c r="EB249">
        <v>109.415385</v>
      </c>
      <c r="EC249">
        <v>1599</v>
      </c>
      <c r="ED249">
        <v>1778</v>
      </c>
      <c r="EE249">
        <v>97.476922999999999</v>
      </c>
      <c r="EF249">
        <v>99.938462000000001</v>
      </c>
      <c r="EG249">
        <v>55.304816000000002</v>
      </c>
      <c r="EH249">
        <v>81.104748999999998</v>
      </c>
      <c r="EI249">
        <v>101.046154</v>
      </c>
      <c r="EJ249">
        <v>148.18461500000001</v>
      </c>
      <c r="EK249">
        <v>1584</v>
      </c>
      <c r="EL249">
        <v>1624</v>
      </c>
      <c r="EM249">
        <v>1642</v>
      </c>
      <c r="EN249">
        <v>2408</v>
      </c>
      <c r="EO249">
        <v>1625</v>
      </c>
      <c r="EP249">
        <v>2969</v>
      </c>
      <c r="EQ249">
        <v>50.366241000000002</v>
      </c>
    </row>
    <row r="250" spans="1:147" x14ac:dyDescent="0.25">
      <c r="A250">
        <v>2022</v>
      </c>
      <c r="B250" t="str">
        <f t="shared" si="6"/>
        <v>RD</v>
      </c>
      <c r="C250" t="s">
        <v>1366</v>
      </c>
      <c r="D250" t="s">
        <v>1366</v>
      </c>
      <c r="E250">
        <v>26366</v>
      </c>
      <c r="F250" t="s">
        <v>1367</v>
      </c>
      <c r="G250" t="s">
        <v>291</v>
      </c>
      <c r="H250" t="s">
        <v>1368</v>
      </c>
      <c r="I250">
        <v>37.51</v>
      </c>
      <c r="J250">
        <v>37.51</v>
      </c>
      <c r="K250" t="s">
        <v>219</v>
      </c>
      <c r="L250">
        <v>1</v>
      </c>
      <c r="M250">
        <v>2018</v>
      </c>
      <c r="N250">
        <v>3</v>
      </c>
      <c r="O250" t="str">
        <f t="shared" si="7"/>
        <v>Talhadia</v>
      </c>
      <c r="P250" s="2">
        <v>43231</v>
      </c>
      <c r="Q250" t="s">
        <v>237</v>
      </c>
      <c r="R250" t="s">
        <v>249</v>
      </c>
      <c r="S250" t="s">
        <v>154</v>
      </c>
      <c r="T250" t="s">
        <v>221</v>
      </c>
      <c r="U250" t="s">
        <v>156</v>
      </c>
      <c r="V250" s="2">
        <v>44685</v>
      </c>
      <c r="W250" t="s">
        <v>293</v>
      </c>
      <c r="X250">
        <v>263.04000000000002</v>
      </c>
      <c r="Y250">
        <v>19.8</v>
      </c>
      <c r="Z250">
        <v>2</v>
      </c>
      <c r="AA250">
        <v>15.2</v>
      </c>
      <c r="AB250">
        <v>0</v>
      </c>
      <c r="AC250">
        <v>300.95999999999998</v>
      </c>
      <c r="AD250">
        <v>300.77666329966701</v>
      </c>
      <c r="AE250" s="2">
        <v>44685</v>
      </c>
      <c r="AF250">
        <v>48</v>
      </c>
      <c r="AG250">
        <v>3.98083504449008</v>
      </c>
      <c r="AH250">
        <v>20.237256599731602</v>
      </c>
      <c r="AI250">
        <v>13.0444444444444</v>
      </c>
      <c r="AJ250">
        <v>16.873531134509001</v>
      </c>
      <c r="AK250">
        <v>36</v>
      </c>
      <c r="AL250">
        <v>1196.9013687785</v>
      </c>
      <c r="AM250">
        <v>157.993138106911</v>
      </c>
      <c r="AN250">
        <v>0.13200180251122201</v>
      </c>
      <c r="AO250" t="s">
        <v>249</v>
      </c>
      <c r="AP250" t="s">
        <v>264</v>
      </c>
      <c r="AQ250" t="s">
        <v>1369</v>
      </c>
      <c r="AR250">
        <v>7.5</v>
      </c>
      <c r="AS250">
        <v>0.89767602658387136</v>
      </c>
      <c r="AT250" t="s">
        <v>1370</v>
      </c>
      <c r="AU250" t="s">
        <v>1371</v>
      </c>
      <c r="AV250">
        <v>2310</v>
      </c>
      <c r="AW250">
        <v>1337</v>
      </c>
      <c r="AX250">
        <v>830</v>
      </c>
      <c r="AY250">
        <v>136</v>
      </c>
      <c r="AZ250">
        <v>7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-0.75</v>
      </c>
      <c r="BH250">
        <v>24.200001</v>
      </c>
      <c r="BI250">
        <v>9.1339480000000002</v>
      </c>
      <c r="BJ250">
        <v>-0.353968</v>
      </c>
      <c r="BK250">
        <v>8.5809929999999994</v>
      </c>
      <c r="BL250">
        <v>73.633443</v>
      </c>
      <c r="BM250">
        <v>0.93946200000000002</v>
      </c>
      <c r="BN250">
        <v>17.077499</v>
      </c>
      <c r="BO250">
        <v>0.15596199999999999</v>
      </c>
      <c r="BP250">
        <v>1.405057</v>
      </c>
      <c r="BQ250">
        <v>7.9290589999999996</v>
      </c>
      <c r="BR250">
        <v>9.3099989999999995</v>
      </c>
      <c r="BS250">
        <v>9.8439680000000003</v>
      </c>
      <c r="BT250">
        <v>9.1339480000000002</v>
      </c>
      <c r="BU250">
        <v>4.7769740000000001</v>
      </c>
      <c r="BV250">
        <v>0.48757200000000001</v>
      </c>
      <c r="BW250">
        <v>-0.58562000000000003</v>
      </c>
      <c r="BX250">
        <v>0.52299099999999998</v>
      </c>
      <c r="BY250">
        <v>0.102067</v>
      </c>
      <c r="BZ250">
        <v>-0.12259200000000001</v>
      </c>
      <c r="CA250">
        <v>-0.38</v>
      </c>
      <c r="CB250">
        <v>-0.18</v>
      </c>
      <c r="CC250">
        <v>-0.09</v>
      </c>
      <c r="CD250">
        <v>0.04</v>
      </c>
      <c r="CE250">
        <v>0.08</v>
      </c>
      <c r="CF250">
        <v>0.15</v>
      </c>
      <c r="CG250">
        <v>0.68</v>
      </c>
      <c r="CH250">
        <v>9.49</v>
      </c>
      <c r="CI250">
        <v>13.13</v>
      </c>
      <c r="CJ250">
        <v>16.010000000000002</v>
      </c>
      <c r="CK250">
        <v>17.157499000000001</v>
      </c>
      <c r="CL250">
        <v>18.521999000000001</v>
      </c>
      <c r="CM250">
        <v>21.021001999999999</v>
      </c>
      <c r="CN250">
        <v>22.1355</v>
      </c>
      <c r="CO250">
        <v>23.109100000000002</v>
      </c>
      <c r="CP250">
        <v>0.39615</v>
      </c>
      <c r="CQ250">
        <v>12.531184</v>
      </c>
      <c r="CR250">
        <v>14.223215</v>
      </c>
      <c r="CS250">
        <v>1</v>
      </c>
      <c r="CT250">
        <v>45</v>
      </c>
      <c r="CU250">
        <v>12.188745000000001</v>
      </c>
      <c r="CV250">
        <v>3.7936510000000001</v>
      </c>
      <c r="CW250">
        <v>9.3157800000000002</v>
      </c>
      <c r="CX250">
        <v>86.783761999999996</v>
      </c>
      <c r="CY250">
        <v>0.76429400000000003</v>
      </c>
      <c r="CZ250">
        <v>12</v>
      </c>
      <c r="DA250">
        <v>1.102322</v>
      </c>
      <c r="DB250">
        <v>3.766492</v>
      </c>
      <c r="DC250">
        <v>7.3170440000000001</v>
      </c>
      <c r="DD250">
        <v>12.188745000000001</v>
      </c>
      <c r="DE250">
        <v>5.0362730000000004</v>
      </c>
      <c r="DF250">
        <v>1.2000869999999999</v>
      </c>
      <c r="DG250">
        <v>0.59304400000000002</v>
      </c>
      <c r="DH250">
        <v>0.41319</v>
      </c>
      <c r="DI250">
        <v>0.238289</v>
      </c>
      <c r="DJ250">
        <v>0.117755</v>
      </c>
      <c r="DK250">
        <v>1</v>
      </c>
      <c r="DL250">
        <v>1</v>
      </c>
      <c r="DM250">
        <v>2</v>
      </c>
      <c r="DN250">
        <v>4</v>
      </c>
      <c r="DO250">
        <v>5</v>
      </c>
      <c r="DP250">
        <v>6</v>
      </c>
      <c r="DQ250">
        <v>8</v>
      </c>
      <c r="DR250">
        <v>10</v>
      </c>
      <c r="DS250">
        <v>12</v>
      </c>
      <c r="DT250">
        <v>15</v>
      </c>
      <c r="DU250">
        <v>17</v>
      </c>
      <c r="DV250">
        <v>19</v>
      </c>
      <c r="DW250">
        <v>26</v>
      </c>
      <c r="DX250">
        <v>32</v>
      </c>
      <c r="DY250">
        <v>40</v>
      </c>
      <c r="DZ250">
        <v>83.994016000000002</v>
      </c>
      <c r="EA250">
        <v>57.489176999999998</v>
      </c>
      <c r="EB250">
        <v>99.326851000000005</v>
      </c>
      <c r="EC250">
        <v>1123</v>
      </c>
      <c r="ED250">
        <v>1328</v>
      </c>
      <c r="EE250">
        <v>77.711293999999995</v>
      </c>
      <c r="EF250">
        <v>100</v>
      </c>
      <c r="EG250">
        <v>50.952381000000003</v>
      </c>
      <c r="EH250">
        <v>98.614718999999994</v>
      </c>
      <c r="EI250">
        <v>88.032909000000004</v>
      </c>
      <c r="EJ250">
        <v>170.381451</v>
      </c>
      <c r="EK250">
        <v>1039</v>
      </c>
      <c r="EL250">
        <v>1337</v>
      </c>
      <c r="EM250">
        <v>1177</v>
      </c>
      <c r="EN250">
        <v>2278</v>
      </c>
      <c r="EO250">
        <v>1337</v>
      </c>
      <c r="EP250">
        <v>2310</v>
      </c>
      <c r="EQ250">
        <v>38.626173999999999</v>
      </c>
    </row>
    <row r="251" spans="1:147" x14ac:dyDescent="0.25">
      <c r="A251">
        <v>2022</v>
      </c>
      <c r="B251" t="str">
        <f t="shared" si="6"/>
        <v>RD</v>
      </c>
      <c r="C251" t="s">
        <v>1372</v>
      </c>
      <c r="D251" t="s">
        <v>1372</v>
      </c>
      <c r="E251">
        <v>26369</v>
      </c>
      <c r="F251" t="s">
        <v>1344</v>
      </c>
      <c r="G251" t="s">
        <v>813</v>
      </c>
      <c r="H251" t="s">
        <v>1373</v>
      </c>
      <c r="I251">
        <v>57.34</v>
      </c>
      <c r="J251">
        <v>57.34</v>
      </c>
      <c r="K251" t="s">
        <v>261</v>
      </c>
      <c r="L251">
        <v>1</v>
      </c>
      <c r="M251">
        <v>2018</v>
      </c>
      <c r="N251">
        <v>3</v>
      </c>
      <c r="O251" t="str">
        <f t="shared" si="7"/>
        <v>Alto fuste</v>
      </c>
      <c r="P251" s="2">
        <v>43152</v>
      </c>
      <c r="Q251" t="s">
        <v>237</v>
      </c>
      <c r="R251" t="s">
        <v>808</v>
      </c>
      <c r="S251" t="s">
        <v>154</v>
      </c>
      <c r="T251" t="s">
        <v>221</v>
      </c>
      <c r="U251" t="s">
        <v>156</v>
      </c>
      <c r="V251" s="2">
        <v>44686</v>
      </c>
      <c r="W251" t="s">
        <v>816</v>
      </c>
      <c r="X251">
        <v>320.37</v>
      </c>
      <c r="Y251">
        <v>20.3</v>
      </c>
      <c r="Z251">
        <v>17</v>
      </c>
      <c r="AA251">
        <v>14.7</v>
      </c>
      <c r="AB251">
        <v>3</v>
      </c>
      <c r="AC251">
        <v>298.41000000000003</v>
      </c>
      <c r="AD251">
        <v>284.979811323371</v>
      </c>
      <c r="AE251" s="2">
        <v>44686</v>
      </c>
      <c r="AF251">
        <v>51</v>
      </c>
      <c r="AG251">
        <v>4.1998631074606401</v>
      </c>
      <c r="AH251">
        <v>19.2013747983898</v>
      </c>
      <c r="AI251">
        <v>10.935714285714299</v>
      </c>
      <c r="AJ251">
        <v>14.5238124923768</v>
      </c>
      <c r="AK251">
        <v>42</v>
      </c>
      <c r="AL251">
        <v>1473.78860997076</v>
      </c>
      <c r="AM251">
        <v>138.487524658361</v>
      </c>
      <c r="AN251">
        <v>9.3967020589953695E-2</v>
      </c>
      <c r="AO251" t="s">
        <v>808</v>
      </c>
      <c r="AP251" t="s">
        <v>158</v>
      </c>
      <c r="AQ251" t="s">
        <v>901</v>
      </c>
      <c r="AR251">
        <v>7.5</v>
      </c>
      <c r="AS251">
        <v>1.1053414574780689</v>
      </c>
      <c r="AT251" t="s">
        <v>1374</v>
      </c>
      <c r="AU251" t="s">
        <v>1375</v>
      </c>
      <c r="AV251">
        <v>1809</v>
      </c>
      <c r="AW251">
        <v>1164</v>
      </c>
      <c r="AX251">
        <v>538</v>
      </c>
      <c r="AY251">
        <v>103</v>
      </c>
      <c r="AZ251">
        <v>4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-1.32</v>
      </c>
      <c r="BH251">
        <v>25.23</v>
      </c>
      <c r="BI251">
        <v>13.120756999999999</v>
      </c>
      <c r="BJ251">
        <v>-0.47714299999999998</v>
      </c>
      <c r="BK251">
        <v>9.0770309999999998</v>
      </c>
      <c r="BL251">
        <v>82.392495999999994</v>
      </c>
      <c r="BM251">
        <v>0.69180699999999995</v>
      </c>
      <c r="BN251">
        <v>20.130001</v>
      </c>
      <c r="BO251">
        <v>-0.58138299999999998</v>
      </c>
      <c r="BP251">
        <v>1.609613</v>
      </c>
      <c r="BQ251">
        <v>8.2431839999999994</v>
      </c>
      <c r="BR251">
        <v>3.699999</v>
      </c>
      <c r="BS251">
        <v>18.507142999999999</v>
      </c>
      <c r="BT251">
        <v>13.120756999999999</v>
      </c>
      <c r="BU251">
        <v>4.8947960000000004</v>
      </c>
      <c r="BV251">
        <v>-0.95522799999999997</v>
      </c>
      <c r="BW251">
        <v>-0.35660900000000001</v>
      </c>
      <c r="BX251">
        <v>0.37305700000000003</v>
      </c>
      <c r="BY251">
        <v>-0.19515199999999999</v>
      </c>
      <c r="BZ251">
        <v>-7.2855000000000003E-2</v>
      </c>
      <c r="CA251">
        <v>-0.84840000000000004</v>
      </c>
      <c r="CB251">
        <v>-0.47</v>
      </c>
      <c r="CC251">
        <v>-0.33200000000000002</v>
      </c>
      <c r="CD251">
        <v>-7.3999999999999996E-2</v>
      </c>
      <c r="CE251">
        <v>0.31</v>
      </c>
      <c r="CF251">
        <v>5.8540039999999998</v>
      </c>
      <c r="CG251">
        <v>14.716001</v>
      </c>
      <c r="CH251">
        <v>18.030000999999999</v>
      </c>
      <c r="CI251">
        <v>19.038001999999999</v>
      </c>
      <c r="CJ251">
        <v>19.986000000000001</v>
      </c>
      <c r="CK251">
        <v>20.440000999999999</v>
      </c>
      <c r="CL251">
        <v>20.809999000000001</v>
      </c>
      <c r="CM251">
        <v>21.751999000000001</v>
      </c>
      <c r="CN251">
        <v>22.792000000000002</v>
      </c>
      <c r="CO251">
        <v>24.195204</v>
      </c>
      <c r="CP251">
        <v>0.54390799999999995</v>
      </c>
      <c r="CQ251">
        <v>15.953094</v>
      </c>
      <c r="CR251">
        <v>17.174205000000001</v>
      </c>
      <c r="CS251">
        <v>1</v>
      </c>
      <c r="CT251">
        <v>40</v>
      </c>
      <c r="CU251">
        <v>13.537865999999999</v>
      </c>
      <c r="CV251">
        <v>16.476189999999999</v>
      </c>
      <c r="CW251">
        <v>7.964372</v>
      </c>
      <c r="CX251">
        <v>63.431226000000002</v>
      </c>
      <c r="CY251">
        <v>0.58830300000000002</v>
      </c>
      <c r="CZ251">
        <v>14</v>
      </c>
      <c r="DA251">
        <v>0.14804500000000001</v>
      </c>
      <c r="DB251">
        <v>2.2307130000000002</v>
      </c>
      <c r="DC251">
        <v>6.8082859999999998</v>
      </c>
      <c r="DD251">
        <v>13.537865999999999</v>
      </c>
      <c r="DE251">
        <v>4.5582190000000002</v>
      </c>
      <c r="DF251">
        <v>8.319E-2</v>
      </c>
      <c r="DG251">
        <v>0.13364300000000001</v>
      </c>
      <c r="DH251">
        <v>0.33670099999999997</v>
      </c>
      <c r="DI251">
        <v>1.8251E-2</v>
      </c>
      <c r="DJ251">
        <v>2.9319000000000001E-2</v>
      </c>
      <c r="DK251">
        <v>1</v>
      </c>
      <c r="DL251">
        <v>1</v>
      </c>
      <c r="DM251">
        <v>3</v>
      </c>
      <c r="DN251">
        <v>5</v>
      </c>
      <c r="DO251">
        <v>6</v>
      </c>
      <c r="DP251">
        <v>8</v>
      </c>
      <c r="DQ251">
        <v>11</v>
      </c>
      <c r="DR251">
        <v>14</v>
      </c>
      <c r="DS251">
        <v>17</v>
      </c>
      <c r="DT251">
        <v>18</v>
      </c>
      <c r="DU251">
        <v>20</v>
      </c>
      <c r="DV251">
        <v>21</v>
      </c>
      <c r="DW251">
        <v>24</v>
      </c>
      <c r="DX251">
        <v>26</v>
      </c>
      <c r="DY251">
        <v>31</v>
      </c>
      <c r="DZ251">
        <v>95.962198999999998</v>
      </c>
      <c r="EA251">
        <v>71.807629000000006</v>
      </c>
      <c r="EB251">
        <v>111.597938</v>
      </c>
      <c r="EC251">
        <v>1117</v>
      </c>
      <c r="ED251">
        <v>1299</v>
      </c>
      <c r="EE251">
        <v>91.580755999999994</v>
      </c>
      <c r="EF251">
        <v>100</v>
      </c>
      <c r="EG251">
        <v>62.023217000000002</v>
      </c>
      <c r="EH251">
        <v>95.245992000000001</v>
      </c>
      <c r="EI251">
        <v>96.391752999999994</v>
      </c>
      <c r="EJ251">
        <v>148.024055</v>
      </c>
      <c r="EK251">
        <v>1066</v>
      </c>
      <c r="EL251">
        <v>1164</v>
      </c>
      <c r="EM251">
        <v>1122</v>
      </c>
      <c r="EN251">
        <v>1723</v>
      </c>
      <c r="EO251">
        <v>1164</v>
      </c>
      <c r="EP251">
        <v>1809</v>
      </c>
      <c r="EQ251">
        <v>53.530808</v>
      </c>
    </row>
    <row r="252" spans="1:147" x14ac:dyDescent="0.25">
      <c r="A252">
        <v>2022</v>
      </c>
      <c r="B252" t="str">
        <f t="shared" si="6"/>
        <v>RD</v>
      </c>
      <c r="C252" t="s">
        <v>1376</v>
      </c>
      <c r="D252" t="s">
        <v>1376</v>
      </c>
      <c r="E252">
        <v>26370</v>
      </c>
      <c r="F252" t="s">
        <v>1344</v>
      </c>
      <c r="G252" t="s">
        <v>813</v>
      </c>
      <c r="H252" t="s">
        <v>1373</v>
      </c>
      <c r="I252">
        <v>57.34</v>
      </c>
      <c r="J252">
        <v>57.34</v>
      </c>
      <c r="K252" t="s">
        <v>261</v>
      </c>
      <c r="L252">
        <v>1</v>
      </c>
      <c r="M252">
        <v>2018</v>
      </c>
      <c r="N252">
        <v>3</v>
      </c>
      <c r="O252" t="str">
        <f t="shared" si="7"/>
        <v>Alto fuste</v>
      </c>
      <c r="P252" s="2">
        <v>43152</v>
      </c>
      <c r="Q252" t="s">
        <v>237</v>
      </c>
      <c r="R252" t="s">
        <v>808</v>
      </c>
      <c r="S252" t="s">
        <v>154</v>
      </c>
      <c r="T252" t="s">
        <v>221</v>
      </c>
      <c r="U252" t="s">
        <v>156</v>
      </c>
      <c r="V252" s="2">
        <v>44686</v>
      </c>
      <c r="W252" t="s">
        <v>816</v>
      </c>
      <c r="X252">
        <v>320.37</v>
      </c>
      <c r="Y252">
        <v>19.2</v>
      </c>
      <c r="Z252">
        <v>21</v>
      </c>
      <c r="AA252">
        <v>14.5</v>
      </c>
      <c r="AB252">
        <v>3</v>
      </c>
      <c r="AC252">
        <v>278.39999999999998</v>
      </c>
      <c r="AD252">
        <v>259.55259477213502</v>
      </c>
      <c r="AE252" s="2">
        <v>44686</v>
      </c>
      <c r="AF252">
        <v>51</v>
      </c>
      <c r="AG252">
        <v>4.1998631074606401</v>
      </c>
      <c r="AH252">
        <v>21.269101633259101</v>
      </c>
      <c r="AI252">
        <v>12.994444444444399</v>
      </c>
      <c r="AJ252">
        <v>19.138468582739399</v>
      </c>
      <c r="AK252">
        <v>36</v>
      </c>
      <c r="AL252">
        <v>1387.00212308048</v>
      </c>
      <c r="AM252">
        <v>195.60252299521201</v>
      </c>
      <c r="AN252">
        <v>0.14102539552050999</v>
      </c>
      <c r="AO252" t="s">
        <v>808</v>
      </c>
      <c r="AP252" t="s">
        <v>158</v>
      </c>
      <c r="AQ252" t="s">
        <v>901</v>
      </c>
      <c r="AR252">
        <v>7.5</v>
      </c>
      <c r="AS252">
        <v>1.040251592310363</v>
      </c>
      <c r="AT252" t="s">
        <v>1377</v>
      </c>
      <c r="AU252" t="s">
        <v>1378</v>
      </c>
      <c r="AV252">
        <v>3229</v>
      </c>
      <c r="AW252">
        <v>1782</v>
      </c>
      <c r="AX252">
        <v>1257</v>
      </c>
      <c r="AY252">
        <v>185</v>
      </c>
      <c r="AZ252">
        <v>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-1.19</v>
      </c>
      <c r="BH252">
        <v>25.950001</v>
      </c>
      <c r="BI252">
        <v>10.866989999999999</v>
      </c>
      <c r="BJ252">
        <v>-0.32841300000000001</v>
      </c>
      <c r="BK252">
        <v>10.197858999999999</v>
      </c>
      <c r="BL252">
        <v>103.99632</v>
      </c>
      <c r="BM252">
        <v>0.93842499999999995</v>
      </c>
      <c r="BN252">
        <v>21.560001</v>
      </c>
      <c r="BO252">
        <v>4.6174E-2</v>
      </c>
      <c r="BP252">
        <v>1.1781170000000001</v>
      </c>
      <c r="BQ252">
        <v>9.8038050000000005</v>
      </c>
      <c r="BR252">
        <v>10.96</v>
      </c>
      <c r="BS252">
        <v>12.098413000000001</v>
      </c>
      <c r="BT252">
        <v>10.866989999999999</v>
      </c>
      <c r="BU252">
        <v>5.5805420000000003</v>
      </c>
      <c r="BV252">
        <v>0.25049500000000002</v>
      </c>
      <c r="BW252">
        <v>-0.99830600000000003</v>
      </c>
      <c r="BX252">
        <v>0.51353199999999999</v>
      </c>
      <c r="BY252">
        <v>4.4887000000000003E-2</v>
      </c>
      <c r="BZ252">
        <v>-0.17888999999999999</v>
      </c>
      <c r="CA252">
        <v>-0.6</v>
      </c>
      <c r="CB252">
        <v>-0.36</v>
      </c>
      <c r="CC252">
        <v>-0.25</v>
      </c>
      <c r="CD252">
        <v>-0.11</v>
      </c>
      <c r="CE252">
        <v>-0.03</v>
      </c>
      <c r="CF252">
        <v>0.08</v>
      </c>
      <c r="CG252">
        <v>1.87</v>
      </c>
      <c r="CH252">
        <v>11.77</v>
      </c>
      <c r="CI252">
        <v>18.618002000000001</v>
      </c>
      <c r="CJ252">
        <v>20.82</v>
      </c>
      <c r="CK252">
        <v>21.530000999999999</v>
      </c>
      <c r="CL252">
        <v>22.030000999999999</v>
      </c>
      <c r="CM252">
        <v>23.16</v>
      </c>
      <c r="CN252">
        <v>23.782003</v>
      </c>
      <c r="CO252">
        <v>24.76</v>
      </c>
      <c r="CP252">
        <v>0.44425199999999998</v>
      </c>
      <c r="CQ252">
        <v>14.901529</v>
      </c>
      <c r="CR252">
        <v>16.776284</v>
      </c>
      <c r="CS252">
        <v>1</v>
      </c>
      <c r="CT252">
        <v>48</v>
      </c>
      <c r="CU252">
        <v>14.012078000000001</v>
      </c>
      <c r="CV252">
        <v>1</v>
      </c>
      <c r="CW252">
        <v>9.8728680000000004</v>
      </c>
      <c r="CX252">
        <v>97.473522000000003</v>
      </c>
      <c r="CY252">
        <v>0.70459700000000003</v>
      </c>
      <c r="CZ252">
        <v>15</v>
      </c>
      <c r="DA252">
        <v>0.69623699999999999</v>
      </c>
      <c r="DB252">
        <v>2.9068239999999999</v>
      </c>
      <c r="DC252">
        <v>8.1616040000000005</v>
      </c>
      <c r="DD252">
        <v>14.012078000000001</v>
      </c>
      <c r="DE252">
        <v>5.5308510000000002</v>
      </c>
      <c r="DF252">
        <v>0.84430300000000003</v>
      </c>
      <c r="DG252">
        <v>0.34706799999999999</v>
      </c>
      <c r="DH252">
        <v>0.39472000000000002</v>
      </c>
      <c r="DI252">
        <v>0.15265300000000001</v>
      </c>
      <c r="DJ252">
        <v>6.2751000000000001E-2</v>
      </c>
      <c r="DK252">
        <v>1</v>
      </c>
      <c r="DL252">
        <v>1</v>
      </c>
      <c r="DM252">
        <v>2</v>
      </c>
      <c r="DN252">
        <v>4</v>
      </c>
      <c r="DO252">
        <v>6</v>
      </c>
      <c r="DP252">
        <v>7</v>
      </c>
      <c r="DQ252">
        <v>10</v>
      </c>
      <c r="DR252">
        <v>12</v>
      </c>
      <c r="DS252">
        <v>16</v>
      </c>
      <c r="DT252">
        <v>19</v>
      </c>
      <c r="DU252">
        <v>21</v>
      </c>
      <c r="DV252">
        <v>23</v>
      </c>
      <c r="DW252">
        <v>28</v>
      </c>
      <c r="DX252">
        <v>33</v>
      </c>
      <c r="DY252">
        <v>40</v>
      </c>
      <c r="DZ252">
        <v>87.654320999999996</v>
      </c>
      <c r="EA252">
        <v>56.240321999999999</v>
      </c>
      <c r="EB252">
        <v>101.90796899999999</v>
      </c>
      <c r="EC252">
        <v>1562</v>
      </c>
      <c r="ED252">
        <v>1816</v>
      </c>
      <c r="EE252">
        <v>84.062850999999995</v>
      </c>
      <c r="EF252">
        <v>100</v>
      </c>
      <c r="EG252">
        <v>50.758749000000002</v>
      </c>
      <c r="EH252">
        <v>93.899039999999999</v>
      </c>
      <c r="EI252">
        <v>91.975308999999996</v>
      </c>
      <c r="EJ252">
        <v>170.145903</v>
      </c>
      <c r="EK252">
        <v>1498</v>
      </c>
      <c r="EL252">
        <v>1782</v>
      </c>
      <c r="EM252">
        <v>1639</v>
      </c>
      <c r="EN252">
        <v>3032</v>
      </c>
      <c r="EO252">
        <v>1782</v>
      </c>
      <c r="EP252">
        <v>3229</v>
      </c>
      <c r="EQ252">
        <v>43.121437999999998</v>
      </c>
    </row>
    <row r="253" spans="1:147" x14ac:dyDescent="0.25">
      <c r="A253">
        <v>2022</v>
      </c>
      <c r="B253" t="str">
        <f t="shared" si="6"/>
        <v>GN</v>
      </c>
      <c r="C253" t="s">
        <v>1379</v>
      </c>
      <c r="D253" t="s">
        <v>1379</v>
      </c>
      <c r="E253">
        <v>26401</v>
      </c>
      <c r="F253" t="s">
        <v>1380</v>
      </c>
      <c r="G253" t="s">
        <v>1381</v>
      </c>
      <c r="H253" t="s">
        <v>1382</v>
      </c>
      <c r="I253">
        <v>27.04</v>
      </c>
      <c r="J253">
        <v>27.04</v>
      </c>
      <c r="K253" t="s">
        <v>199</v>
      </c>
      <c r="L253">
        <v>1</v>
      </c>
      <c r="M253">
        <v>2018</v>
      </c>
      <c r="N253">
        <v>2</v>
      </c>
      <c r="O253" t="str">
        <f t="shared" si="7"/>
        <v>Talhadia</v>
      </c>
      <c r="P253" s="2">
        <v>43347</v>
      </c>
      <c r="Q253" t="s">
        <v>174</v>
      </c>
      <c r="R253" t="s">
        <v>278</v>
      </c>
      <c r="S253" t="s">
        <v>154</v>
      </c>
      <c r="T253" t="s">
        <v>199</v>
      </c>
      <c r="U253" t="s">
        <v>156</v>
      </c>
      <c r="V253" s="2">
        <v>44642</v>
      </c>
      <c r="W253" t="s">
        <v>1383</v>
      </c>
      <c r="X253">
        <v>431.88</v>
      </c>
      <c r="Y253">
        <v>21.5</v>
      </c>
      <c r="Z253">
        <v>21</v>
      </c>
      <c r="AA253">
        <v>15.1</v>
      </c>
      <c r="AB253">
        <v>2</v>
      </c>
      <c r="AC253">
        <v>324.64999999999998</v>
      </c>
      <c r="AD253">
        <v>302.902253120826</v>
      </c>
      <c r="AE253" s="2">
        <v>44642</v>
      </c>
      <c r="AF253">
        <v>42</v>
      </c>
      <c r="AG253">
        <v>3.5455167693360701</v>
      </c>
      <c r="AH253">
        <v>25.2286391668964</v>
      </c>
      <c r="AI253">
        <v>15.3185185185185</v>
      </c>
      <c r="AJ253">
        <v>16.681795135545801</v>
      </c>
      <c r="AK253">
        <v>27</v>
      </c>
      <c r="AL253">
        <v>891.37666431387697</v>
      </c>
      <c r="AM253">
        <v>190.634863259517</v>
      </c>
      <c r="AN253">
        <v>0.21386566520254999</v>
      </c>
      <c r="AO253" t="s">
        <v>278</v>
      </c>
      <c r="AP253" t="s">
        <v>264</v>
      </c>
      <c r="AQ253" t="s">
        <v>281</v>
      </c>
      <c r="AR253">
        <v>9</v>
      </c>
      <c r="AS253">
        <v>0.80223899788249076</v>
      </c>
      <c r="AT253" t="s">
        <v>1384</v>
      </c>
      <c r="AU253" t="s">
        <v>1385</v>
      </c>
      <c r="AV253">
        <v>1691</v>
      </c>
      <c r="AW253">
        <v>1691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-7.8E-2</v>
      </c>
      <c r="BH253">
        <v>27.391000999999999</v>
      </c>
      <c r="BI253">
        <v>17.100384999999999</v>
      </c>
      <c r="BJ253">
        <v>-7.8E-2</v>
      </c>
      <c r="BK253">
        <v>9.3654820000000001</v>
      </c>
      <c r="BL253">
        <v>87.712256999999994</v>
      </c>
      <c r="BM253">
        <v>0.54767699999999997</v>
      </c>
      <c r="BN253">
        <v>7.4130000000000003</v>
      </c>
      <c r="BO253">
        <v>-1.1344989999999999</v>
      </c>
      <c r="BP253">
        <v>2.4973890000000001</v>
      </c>
      <c r="BQ253">
        <v>7.8327819999999999</v>
      </c>
      <c r="BR253">
        <v>2.0120010000000002</v>
      </c>
      <c r="BS253">
        <v>21.501999000000001</v>
      </c>
      <c r="BT253">
        <v>17.100384999999999</v>
      </c>
      <c r="BU253">
        <v>4.5915990000000004</v>
      </c>
      <c r="BV253">
        <v>-1.64893</v>
      </c>
      <c r="BW253">
        <v>0.34378900000000001</v>
      </c>
      <c r="BX253">
        <v>0.268509</v>
      </c>
      <c r="BY253">
        <v>-0.35911900000000002</v>
      </c>
      <c r="BZ253">
        <v>7.4872999999999995E-2</v>
      </c>
      <c r="CA253">
        <v>-2.5999999999999999E-2</v>
      </c>
      <c r="CB253">
        <v>0.1055</v>
      </c>
      <c r="CC253">
        <v>0.17899999999999999</v>
      </c>
      <c r="CD253">
        <v>0.33900000000000002</v>
      </c>
      <c r="CE253">
        <v>15.739000000000001</v>
      </c>
      <c r="CF253">
        <v>19.548999999999999</v>
      </c>
      <c r="CG253">
        <v>20.690000999999999</v>
      </c>
      <c r="CH253">
        <v>21.423999999999999</v>
      </c>
      <c r="CI253">
        <v>22.070999</v>
      </c>
      <c r="CJ253">
        <v>22.715</v>
      </c>
      <c r="CK253">
        <v>23.152000000000001</v>
      </c>
      <c r="CL253">
        <v>23.527999999999999</v>
      </c>
      <c r="CM253">
        <v>24.415001</v>
      </c>
      <c r="CN253">
        <v>25.2395</v>
      </c>
      <c r="CO253">
        <v>26.517099000000002</v>
      </c>
      <c r="CP253">
        <v>0.62537299999999996</v>
      </c>
      <c r="CQ253">
        <v>19.495732</v>
      </c>
      <c r="CR253">
        <v>20.461133</v>
      </c>
      <c r="CS253">
        <v>1</v>
      </c>
      <c r="CT253">
        <v>57</v>
      </c>
      <c r="CU253">
        <v>16.726198</v>
      </c>
      <c r="CV253">
        <v>11.666667</v>
      </c>
      <c r="CW253">
        <v>12.537051</v>
      </c>
      <c r="CX253">
        <v>157.177651</v>
      </c>
      <c r="CY253">
        <v>0.74954600000000005</v>
      </c>
      <c r="CZ253">
        <v>13</v>
      </c>
      <c r="DA253">
        <v>1.1628069999999999</v>
      </c>
      <c r="DB253">
        <v>3.4657789999999999</v>
      </c>
      <c r="DC253">
        <v>9.8097580000000004</v>
      </c>
      <c r="DD253">
        <v>16.726198</v>
      </c>
      <c r="DE253">
        <v>6.6263009999999998</v>
      </c>
      <c r="DF253">
        <v>1.8893850000000001</v>
      </c>
      <c r="DG253">
        <v>1.0069220000000001</v>
      </c>
      <c r="DH253">
        <v>0.39616299999999999</v>
      </c>
      <c r="DI253">
        <v>0.285134</v>
      </c>
      <c r="DJ253">
        <v>0.15195800000000001</v>
      </c>
      <c r="DK253">
        <v>1</v>
      </c>
      <c r="DL253">
        <v>2</v>
      </c>
      <c r="DM253">
        <v>5</v>
      </c>
      <c r="DN253">
        <v>7</v>
      </c>
      <c r="DO253">
        <v>8</v>
      </c>
      <c r="DP253">
        <v>9</v>
      </c>
      <c r="DQ253">
        <v>11</v>
      </c>
      <c r="DR253">
        <v>13</v>
      </c>
      <c r="DS253">
        <v>15</v>
      </c>
      <c r="DT253">
        <v>18</v>
      </c>
      <c r="DU253">
        <v>21</v>
      </c>
      <c r="DV253">
        <v>27</v>
      </c>
      <c r="DW253">
        <v>38</v>
      </c>
      <c r="DX253">
        <v>44</v>
      </c>
      <c r="DY253">
        <v>51.099975999999998</v>
      </c>
      <c r="DZ253">
        <v>77.942046000000005</v>
      </c>
      <c r="EA253">
        <v>77.942046000000005</v>
      </c>
      <c r="EB253">
        <v>77.942046000000005</v>
      </c>
      <c r="EC253">
        <v>1318</v>
      </c>
      <c r="ED253">
        <v>1318</v>
      </c>
      <c r="EE253">
        <v>74.807805999999999</v>
      </c>
      <c r="EF253">
        <v>99.940862999999993</v>
      </c>
      <c r="EG253">
        <v>74.807805999999999</v>
      </c>
      <c r="EH253">
        <v>99.940862999999993</v>
      </c>
      <c r="EI253">
        <v>74.807805999999999</v>
      </c>
      <c r="EJ253">
        <v>99.940862999999993</v>
      </c>
      <c r="EK253">
        <v>1265</v>
      </c>
      <c r="EL253">
        <v>1690</v>
      </c>
      <c r="EM253">
        <v>1265</v>
      </c>
      <c r="EN253">
        <v>1690</v>
      </c>
      <c r="EO253">
        <v>1691</v>
      </c>
      <c r="EP253">
        <v>1691</v>
      </c>
      <c r="EQ253">
        <v>63.354875999999997</v>
      </c>
    </row>
    <row r="254" spans="1:147" x14ac:dyDescent="0.25">
      <c r="A254">
        <v>2022</v>
      </c>
      <c r="B254" t="str">
        <f t="shared" si="6"/>
        <v>NE</v>
      </c>
      <c r="C254" t="s">
        <v>1386</v>
      </c>
      <c r="D254" t="s">
        <v>1386</v>
      </c>
      <c r="E254">
        <v>26420</v>
      </c>
      <c r="F254" t="s">
        <v>1387</v>
      </c>
      <c r="G254" t="s">
        <v>1388</v>
      </c>
      <c r="H254" t="s">
        <v>1389</v>
      </c>
      <c r="I254">
        <v>11.3</v>
      </c>
      <c r="J254">
        <v>11.3</v>
      </c>
      <c r="K254" t="s">
        <v>151</v>
      </c>
      <c r="L254">
        <v>1</v>
      </c>
      <c r="M254">
        <v>2018</v>
      </c>
      <c r="N254">
        <v>3</v>
      </c>
      <c r="O254" t="str">
        <f t="shared" si="7"/>
        <v>Alto fuste</v>
      </c>
      <c r="P254" s="2">
        <v>43447</v>
      </c>
      <c r="Q254" t="s">
        <v>174</v>
      </c>
      <c r="R254" t="s">
        <v>695</v>
      </c>
      <c r="S254" t="s">
        <v>154</v>
      </c>
      <c r="T254" t="s">
        <v>155</v>
      </c>
      <c r="U254" t="s">
        <v>156</v>
      </c>
      <c r="V254" s="2">
        <v>44711</v>
      </c>
      <c r="W254" t="s">
        <v>1390</v>
      </c>
      <c r="X254">
        <v>42.78</v>
      </c>
      <c r="Y254">
        <v>19</v>
      </c>
      <c r="Z254">
        <v>25</v>
      </c>
      <c r="AA254">
        <v>15.6</v>
      </c>
      <c r="AB254">
        <v>2</v>
      </c>
      <c r="AC254">
        <v>296.39999999999998</v>
      </c>
      <c r="AD254">
        <v>268.465986166368</v>
      </c>
      <c r="AE254" s="2">
        <v>44711</v>
      </c>
      <c r="AF254">
        <v>41</v>
      </c>
      <c r="AG254">
        <v>3.46064339493498</v>
      </c>
      <c r="AH254">
        <v>19.501697724849901</v>
      </c>
      <c r="AI254">
        <v>15.519047619047599</v>
      </c>
      <c r="AJ254">
        <v>15.086791936010499</v>
      </c>
      <c r="AK254">
        <v>21</v>
      </c>
      <c r="AL254">
        <v>782.22199764950301</v>
      </c>
      <c r="AM254">
        <v>125.785199390176</v>
      </c>
      <c r="AN254">
        <v>0.160804988568651</v>
      </c>
      <c r="AO254" t="s">
        <v>695</v>
      </c>
      <c r="AP254" t="s">
        <v>158</v>
      </c>
      <c r="AQ254" t="s">
        <v>286</v>
      </c>
      <c r="AR254">
        <v>9</v>
      </c>
      <c r="AS254">
        <v>0.70399979788455203</v>
      </c>
      <c r="AT254" t="s">
        <v>1391</v>
      </c>
      <c r="AU254" t="s">
        <v>1392</v>
      </c>
      <c r="AV254">
        <v>11800</v>
      </c>
      <c r="AW254">
        <v>8138</v>
      </c>
      <c r="AX254">
        <v>3385</v>
      </c>
      <c r="AY254">
        <v>277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-1.43</v>
      </c>
      <c r="BH254">
        <v>25.100999999999999</v>
      </c>
      <c r="BI254">
        <v>11.515202</v>
      </c>
      <c r="BJ254">
        <v>-0.16661899999999999</v>
      </c>
      <c r="BK254">
        <v>9.6682570000000005</v>
      </c>
      <c r="BL254">
        <v>93.475188000000003</v>
      </c>
      <c r="BM254">
        <v>0.83960800000000002</v>
      </c>
      <c r="BN254">
        <v>20.253</v>
      </c>
      <c r="BO254">
        <v>-0.233046</v>
      </c>
      <c r="BP254">
        <v>1.1806680000000001</v>
      </c>
      <c r="BQ254">
        <v>9.354616</v>
      </c>
      <c r="BR254">
        <v>5.1044980000000004</v>
      </c>
      <c r="BS254">
        <v>17.21312</v>
      </c>
      <c r="BT254">
        <v>11.515202</v>
      </c>
      <c r="BU254">
        <v>5.1953120000000004</v>
      </c>
      <c r="BV254">
        <v>-0.32281399999999999</v>
      </c>
      <c r="BW254">
        <v>-0.88399700000000003</v>
      </c>
      <c r="BX254">
        <v>0.45117000000000002</v>
      </c>
      <c r="BY254">
        <v>-6.2135999999999997E-2</v>
      </c>
      <c r="BZ254">
        <v>-0.170153</v>
      </c>
      <c r="CA254">
        <v>-0.41299999999999998</v>
      </c>
      <c r="CB254">
        <v>-0.17299999999999999</v>
      </c>
      <c r="CC254">
        <v>-5.8000000000000003E-2</v>
      </c>
      <c r="CD254">
        <v>9.1999999999999998E-2</v>
      </c>
      <c r="CE254">
        <v>0.157</v>
      </c>
      <c r="CF254">
        <v>0.25700000000000001</v>
      </c>
      <c r="CG254">
        <v>2.8140000000000001</v>
      </c>
      <c r="CH254">
        <v>17.046500999999999</v>
      </c>
      <c r="CI254">
        <v>18.603000999999999</v>
      </c>
      <c r="CJ254">
        <v>19.812999999999999</v>
      </c>
      <c r="CK254">
        <v>20.41</v>
      </c>
      <c r="CL254">
        <v>20.956600000000002</v>
      </c>
      <c r="CM254">
        <v>21.798100000000002</v>
      </c>
      <c r="CN254">
        <v>22.460999999999999</v>
      </c>
      <c r="CO254">
        <v>23.25601</v>
      </c>
      <c r="CP254">
        <v>0.487927</v>
      </c>
      <c r="CQ254">
        <v>15.03553</v>
      </c>
      <c r="CR254">
        <v>16.564727000000001</v>
      </c>
      <c r="CS254">
        <v>1</v>
      </c>
      <c r="CT254">
        <v>35</v>
      </c>
      <c r="CU254">
        <v>12.453390000000001</v>
      </c>
      <c r="CV254">
        <v>1</v>
      </c>
      <c r="CW254">
        <v>7.8176430000000003</v>
      </c>
      <c r="CX254">
        <v>61.115549000000001</v>
      </c>
      <c r="CY254">
        <v>0.62775199999999998</v>
      </c>
      <c r="CZ254">
        <v>11</v>
      </c>
      <c r="DA254">
        <v>0.49058800000000002</v>
      </c>
      <c r="DB254">
        <v>2.6685629999999998</v>
      </c>
      <c r="DC254">
        <v>6.3643939999999999</v>
      </c>
      <c r="DD254">
        <v>12.453390000000001</v>
      </c>
      <c r="DE254">
        <v>4.4191370000000001</v>
      </c>
      <c r="DF254">
        <v>0.434867</v>
      </c>
      <c r="DG254">
        <v>0.35882700000000001</v>
      </c>
      <c r="DH254">
        <v>0.354854</v>
      </c>
      <c r="DI254">
        <v>9.8405000000000006E-2</v>
      </c>
      <c r="DJ254">
        <v>8.1198000000000006E-2</v>
      </c>
      <c r="DK254">
        <v>1</v>
      </c>
      <c r="DL254">
        <v>1</v>
      </c>
      <c r="DM254">
        <v>2</v>
      </c>
      <c r="DN254">
        <v>5</v>
      </c>
      <c r="DO254">
        <v>6</v>
      </c>
      <c r="DP254">
        <v>7</v>
      </c>
      <c r="DQ254">
        <v>10</v>
      </c>
      <c r="DR254">
        <v>12</v>
      </c>
      <c r="DS254">
        <v>14</v>
      </c>
      <c r="DT254">
        <v>16</v>
      </c>
      <c r="DU254">
        <v>17</v>
      </c>
      <c r="DV254">
        <v>19</v>
      </c>
      <c r="DW254">
        <v>23</v>
      </c>
      <c r="DX254">
        <v>27</v>
      </c>
      <c r="DY254">
        <v>32</v>
      </c>
      <c r="DZ254">
        <v>81.371343999999993</v>
      </c>
      <c r="EA254">
        <v>59.610168999999999</v>
      </c>
      <c r="EB254">
        <v>86.434012999999993</v>
      </c>
      <c r="EC254">
        <v>6622</v>
      </c>
      <c r="ED254">
        <v>7034</v>
      </c>
      <c r="EE254">
        <v>79.995085000000003</v>
      </c>
      <c r="EF254">
        <v>99.901696000000001</v>
      </c>
      <c r="EG254">
        <v>57.474575999999999</v>
      </c>
      <c r="EH254">
        <v>94.779661000000004</v>
      </c>
      <c r="EI254">
        <v>83.337429</v>
      </c>
      <c r="EJ254">
        <v>137.42934399999999</v>
      </c>
      <c r="EK254">
        <v>6510</v>
      </c>
      <c r="EL254">
        <v>8130</v>
      </c>
      <c r="EM254">
        <v>6782</v>
      </c>
      <c r="EN254">
        <v>11184</v>
      </c>
      <c r="EO254">
        <v>8138</v>
      </c>
      <c r="EP254">
        <v>11800</v>
      </c>
      <c r="EQ254">
        <v>48.594413000000003</v>
      </c>
    </row>
    <row r="255" spans="1:147" x14ac:dyDescent="0.25">
      <c r="A255">
        <v>2022</v>
      </c>
      <c r="B255" t="str">
        <f t="shared" si="6"/>
        <v>NE</v>
      </c>
      <c r="C255" t="s">
        <v>1393</v>
      </c>
      <c r="D255" t="s">
        <v>1393</v>
      </c>
      <c r="E255">
        <v>26432</v>
      </c>
      <c r="F255" t="s">
        <v>1281</v>
      </c>
      <c r="G255" t="s">
        <v>1282</v>
      </c>
      <c r="H255" t="s">
        <v>1394</v>
      </c>
      <c r="I255">
        <v>29.21</v>
      </c>
      <c r="J255">
        <v>29.21</v>
      </c>
      <c r="K255" t="s">
        <v>461</v>
      </c>
      <c r="L255">
        <v>1</v>
      </c>
      <c r="M255">
        <v>2018</v>
      </c>
      <c r="N255">
        <v>3</v>
      </c>
      <c r="O255" t="str">
        <f t="shared" si="7"/>
        <v>Alto fuste</v>
      </c>
      <c r="P255" s="2">
        <v>43132</v>
      </c>
      <c r="Q255" t="s">
        <v>174</v>
      </c>
      <c r="R255" t="s">
        <v>314</v>
      </c>
      <c r="S255" t="s">
        <v>154</v>
      </c>
      <c r="T255" t="s">
        <v>155</v>
      </c>
      <c r="U255" t="s">
        <v>156</v>
      </c>
      <c r="V255" s="2">
        <v>44741</v>
      </c>
      <c r="W255" t="s">
        <v>1284</v>
      </c>
      <c r="X255">
        <v>449.8</v>
      </c>
      <c r="Y255">
        <v>20.9</v>
      </c>
      <c r="Z255">
        <v>21</v>
      </c>
      <c r="AA255">
        <v>15</v>
      </c>
      <c r="AB255">
        <v>1</v>
      </c>
      <c r="AC255">
        <v>313.5</v>
      </c>
      <c r="AD255">
        <v>292.63288751153499</v>
      </c>
      <c r="AE255" s="2">
        <v>44741</v>
      </c>
      <c r="AF255">
        <v>52</v>
      </c>
      <c r="AG255">
        <v>4.4052019164955496</v>
      </c>
      <c r="AH255">
        <v>25.122587353779998</v>
      </c>
      <c r="AI255">
        <v>14.972727272727299</v>
      </c>
      <c r="AJ255">
        <v>20.112924427205002</v>
      </c>
      <c r="AK255">
        <v>33</v>
      </c>
      <c r="AL255">
        <v>1127.6927990091101</v>
      </c>
      <c r="AM255">
        <v>224.06407112989601</v>
      </c>
      <c r="AN255">
        <v>0.198692473097974</v>
      </c>
      <c r="AO255" t="s">
        <v>314</v>
      </c>
      <c r="AP255" t="s">
        <v>158</v>
      </c>
      <c r="AQ255" t="s">
        <v>166</v>
      </c>
      <c r="AR255">
        <v>9</v>
      </c>
      <c r="AS255">
        <v>1.014923519108196</v>
      </c>
      <c r="AT255" t="s">
        <v>1395</v>
      </c>
      <c r="AU255" t="s">
        <v>1396</v>
      </c>
      <c r="AV255">
        <v>5908</v>
      </c>
      <c r="AW255">
        <v>3145</v>
      </c>
      <c r="AX255">
        <v>2588</v>
      </c>
      <c r="AY255">
        <v>175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-1.1100000000000001</v>
      </c>
      <c r="BH255">
        <v>26.075001</v>
      </c>
      <c r="BI255">
        <v>11.685002000000001</v>
      </c>
      <c r="BJ255">
        <v>-0.24698400000000001</v>
      </c>
      <c r="BK255">
        <v>11.401759</v>
      </c>
      <c r="BL255">
        <v>130.00011599999999</v>
      </c>
      <c r="BM255">
        <v>0.97575999999999996</v>
      </c>
      <c r="BN255">
        <v>23.158999999999999</v>
      </c>
      <c r="BO255">
        <v>4.6889999999999996E-3</v>
      </c>
      <c r="BP255">
        <v>1.0541739999999999</v>
      </c>
      <c r="BQ255">
        <v>11.234311999999999</v>
      </c>
      <c r="BR255">
        <v>11.507999</v>
      </c>
      <c r="BS255">
        <v>11.747984000000001</v>
      </c>
      <c r="BT255">
        <v>11.685002000000001</v>
      </c>
      <c r="BU255">
        <v>5.9576560000000001</v>
      </c>
      <c r="BV255">
        <v>0.12955800000000001</v>
      </c>
      <c r="BW255">
        <v>-1.3000480000000001</v>
      </c>
      <c r="BX255">
        <v>0.50985499999999995</v>
      </c>
      <c r="BY255">
        <v>2.1746000000000001E-2</v>
      </c>
      <c r="BZ255">
        <v>-0.21821499999999999</v>
      </c>
      <c r="CA255">
        <v>-0.49686000000000002</v>
      </c>
      <c r="CB255">
        <v>-0.24465000000000001</v>
      </c>
      <c r="CC255">
        <v>-0.13</v>
      </c>
      <c r="CD255">
        <v>-2.5999999999999999E-2</v>
      </c>
      <c r="CE255">
        <v>2.1999999999999999E-2</v>
      </c>
      <c r="CF255">
        <v>7.0000000000000007E-2</v>
      </c>
      <c r="CG255">
        <v>0.188</v>
      </c>
      <c r="CH255">
        <v>11.500999</v>
      </c>
      <c r="CI255">
        <v>22.292998999999998</v>
      </c>
      <c r="CJ255">
        <v>22.913900000000002</v>
      </c>
      <c r="CK255">
        <v>23.181000000000001</v>
      </c>
      <c r="CL255">
        <v>23.456600000000002</v>
      </c>
      <c r="CM255">
        <v>24.055299999999999</v>
      </c>
      <c r="CN255">
        <v>24.558651000000001</v>
      </c>
      <c r="CO255">
        <v>25.248791000000001</v>
      </c>
      <c r="CP255">
        <v>0.47066400000000003</v>
      </c>
      <c r="CQ255">
        <v>16.32536</v>
      </c>
      <c r="CR255">
        <v>18.330110999999999</v>
      </c>
      <c r="CS255">
        <v>1</v>
      </c>
      <c r="CT255">
        <v>41</v>
      </c>
      <c r="CU255">
        <v>12.114929</v>
      </c>
      <c r="CV255">
        <v>1</v>
      </c>
      <c r="CW255">
        <v>7.9145269999999996</v>
      </c>
      <c r="CX255">
        <v>62.639743000000003</v>
      </c>
      <c r="CY255">
        <v>0.65328699999999995</v>
      </c>
      <c r="CZ255">
        <v>13</v>
      </c>
      <c r="DA255">
        <v>0.453148</v>
      </c>
      <c r="DB255">
        <v>2.5243630000000001</v>
      </c>
      <c r="DC255">
        <v>6.6949829999999997</v>
      </c>
      <c r="DD255">
        <v>12.114929</v>
      </c>
      <c r="DE255">
        <v>4.4917590000000001</v>
      </c>
      <c r="DF255">
        <v>0.430672</v>
      </c>
      <c r="DG255">
        <v>0.15274499999999999</v>
      </c>
      <c r="DH255">
        <v>0.37076199999999998</v>
      </c>
      <c r="DI255">
        <v>9.5880000000000007E-2</v>
      </c>
      <c r="DJ255">
        <v>3.4006000000000002E-2</v>
      </c>
      <c r="DK255">
        <v>1</v>
      </c>
      <c r="DL255">
        <v>1</v>
      </c>
      <c r="DM255">
        <v>2</v>
      </c>
      <c r="DN255">
        <v>4</v>
      </c>
      <c r="DO255">
        <v>5</v>
      </c>
      <c r="DP255">
        <v>6</v>
      </c>
      <c r="DQ255">
        <v>9</v>
      </c>
      <c r="DR255">
        <v>12</v>
      </c>
      <c r="DS255">
        <v>14</v>
      </c>
      <c r="DT255">
        <v>17</v>
      </c>
      <c r="DU255">
        <v>18</v>
      </c>
      <c r="DV255">
        <v>19</v>
      </c>
      <c r="DW255">
        <v>23</v>
      </c>
      <c r="DX255">
        <v>25</v>
      </c>
      <c r="DY255">
        <v>32</v>
      </c>
      <c r="DZ255">
        <v>93.449921000000003</v>
      </c>
      <c r="EA255">
        <v>52.911307000000001</v>
      </c>
      <c r="EB255">
        <v>99.395865999999998</v>
      </c>
      <c r="EC255">
        <v>2939</v>
      </c>
      <c r="ED255">
        <v>3126</v>
      </c>
      <c r="EE255">
        <v>91.701113000000007</v>
      </c>
      <c r="EF255">
        <v>100</v>
      </c>
      <c r="EG255">
        <v>49.966147999999997</v>
      </c>
      <c r="EH255">
        <v>95.040622999999997</v>
      </c>
      <c r="EI255">
        <v>93.863275000000002</v>
      </c>
      <c r="EJ255">
        <v>178.537361</v>
      </c>
      <c r="EK255">
        <v>2884</v>
      </c>
      <c r="EL255">
        <v>3145</v>
      </c>
      <c r="EM255">
        <v>2952</v>
      </c>
      <c r="EN255">
        <v>5615</v>
      </c>
      <c r="EO255">
        <v>3145</v>
      </c>
      <c r="EP255">
        <v>5908</v>
      </c>
      <c r="EQ255">
        <v>45.405627000000003</v>
      </c>
    </row>
    <row r="256" spans="1:147" x14ac:dyDescent="0.25">
      <c r="A256">
        <v>2022</v>
      </c>
      <c r="B256" t="str">
        <f t="shared" si="6"/>
        <v>RD</v>
      </c>
      <c r="C256" t="s">
        <v>1397</v>
      </c>
      <c r="D256" t="s">
        <v>1397</v>
      </c>
      <c r="E256">
        <v>26439</v>
      </c>
      <c r="F256" t="s">
        <v>1398</v>
      </c>
      <c r="G256" t="s">
        <v>775</v>
      </c>
      <c r="H256" t="s">
        <v>1399</v>
      </c>
      <c r="I256">
        <v>59.84</v>
      </c>
      <c r="J256">
        <v>59.84</v>
      </c>
      <c r="K256" t="s">
        <v>219</v>
      </c>
      <c r="L256">
        <v>1</v>
      </c>
      <c r="M256">
        <v>2018</v>
      </c>
      <c r="N256">
        <v>2</v>
      </c>
      <c r="O256" t="str">
        <f t="shared" si="7"/>
        <v>Alto fuste</v>
      </c>
      <c r="P256" s="2">
        <v>43434</v>
      </c>
      <c r="Q256" t="s">
        <v>237</v>
      </c>
      <c r="R256" t="s">
        <v>367</v>
      </c>
      <c r="S256" t="s">
        <v>154</v>
      </c>
      <c r="T256" t="s">
        <v>221</v>
      </c>
      <c r="U256" t="s">
        <v>156</v>
      </c>
      <c r="V256" s="2">
        <v>44798</v>
      </c>
      <c r="W256" t="s">
        <v>777</v>
      </c>
      <c r="X256">
        <v>235.67</v>
      </c>
      <c r="Y256">
        <v>19.100000000000001</v>
      </c>
      <c r="Z256">
        <v>7</v>
      </c>
      <c r="AA256">
        <v>15.6</v>
      </c>
      <c r="AB256">
        <v>2</v>
      </c>
      <c r="AC256">
        <v>297.95999999999998</v>
      </c>
      <c r="AD256">
        <v>295.55889510357201</v>
      </c>
      <c r="AE256" s="2">
        <v>44798</v>
      </c>
      <c r="AF256">
        <v>45</v>
      </c>
      <c r="AG256">
        <v>3.7344284736481899</v>
      </c>
      <c r="AH256">
        <v>22.695818674680599</v>
      </c>
      <c r="AI256">
        <v>13.939285714285701</v>
      </c>
      <c r="AJ256">
        <v>14.786751497517599</v>
      </c>
      <c r="AK256">
        <v>28</v>
      </c>
      <c r="AL256">
        <v>947.35771664689798</v>
      </c>
      <c r="AM256">
        <v>157.01461793398701</v>
      </c>
      <c r="AN256">
        <v>0.16573952497028099</v>
      </c>
      <c r="AO256" t="s">
        <v>367</v>
      </c>
      <c r="AP256" t="s">
        <v>158</v>
      </c>
      <c r="AQ256" t="s">
        <v>294</v>
      </c>
      <c r="AR256">
        <v>7.5</v>
      </c>
      <c r="AS256">
        <v>0.71051828748517343</v>
      </c>
      <c r="AT256" t="s">
        <v>1400</v>
      </c>
      <c r="AU256" t="s">
        <v>1401</v>
      </c>
      <c r="AV256">
        <v>3444</v>
      </c>
      <c r="AW256">
        <v>1893</v>
      </c>
      <c r="AX256">
        <v>1499</v>
      </c>
      <c r="AY256">
        <v>50</v>
      </c>
      <c r="AZ256">
        <v>2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-0.85</v>
      </c>
      <c r="BH256">
        <v>24.139999</v>
      </c>
      <c r="BI256">
        <v>6.4882609999999996</v>
      </c>
      <c r="BJ256">
        <v>-5.6667000000000002E-2</v>
      </c>
      <c r="BK256">
        <v>9.5238960000000006</v>
      </c>
      <c r="BL256">
        <v>90.704604000000003</v>
      </c>
      <c r="BM256">
        <v>1.4678659999999999</v>
      </c>
      <c r="BN256">
        <v>19.484999999999999</v>
      </c>
      <c r="BO256">
        <v>0.84582299999999999</v>
      </c>
      <c r="BP256">
        <v>1.7813840000000001</v>
      </c>
      <c r="BQ256">
        <v>8.7223240000000004</v>
      </c>
      <c r="BR256">
        <v>0.21</v>
      </c>
      <c r="BS256">
        <v>0.19666700000000001</v>
      </c>
      <c r="BT256">
        <v>6.4882609999999996</v>
      </c>
      <c r="BU256">
        <v>4.5752790000000001</v>
      </c>
      <c r="BV256">
        <v>1.795893</v>
      </c>
      <c r="BW256">
        <v>-0.15335199999999999</v>
      </c>
      <c r="BX256">
        <v>0.70516299999999998</v>
      </c>
      <c r="BY256">
        <v>0.39252100000000001</v>
      </c>
      <c r="BZ256">
        <v>-3.3517999999999999E-2</v>
      </c>
      <c r="CA256">
        <v>-0.4</v>
      </c>
      <c r="CB256">
        <v>-0.22</v>
      </c>
      <c r="CC256">
        <v>-0.14000000000000001</v>
      </c>
      <c r="CD256">
        <v>-0.06</v>
      </c>
      <c r="CE256">
        <v>-0.03</v>
      </c>
      <c r="CF256">
        <v>-0.01</v>
      </c>
      <c r="CG256">
        <v>0.05</v>
      </c>
      <c r="CH256">
        <v>0.11</v>
      </c>
      <c r="CI256">
        <v>0.21</v>
      </c>
      <c r="CJ256">
        <v>15.305005</v>
      </c>
      <c r="CK256">
        <v>19.454999999999998</v>
      </c>
      <c r="CL256">
        <v>20.58</v>
      </c>
      <c r="CM256">
        <v>21.546999</v>
      </c>
      <c r="CN256">
        <v>22.18</v>
      </c>
      <c r="CO256">
        <v>23.101402</v>
      </c>
      <c r="CP256">
        <v>0.29364800000000002</v>
      </c>
      <c r="CQ256">
        <v>11.522838</v>
      </c>
      <c r="CR256">
        <v>14.041767</v>
      </c>
      <c r="CS256">
        <v>1</v>
      </c>
      <c r="CT256">
        <v>49</v>
      </c>
      <c r="CU256">
        <v>17.986643000000001</v>
      </c>
      <c r="CV256">
        <v>1</v>
      </c>
      <c r="CW256">
        <v>12.089311</v>
      </c>
      <c r="CX256">
        <v>146.15143399999999</v>
      </c>
      <c r="CY256">
        <v>0.67212700000000003</v>
      </c>
      <c r="CZ256">
        <v>18.25</v>
      </c>
      <c r="DA256">
        <v>0.49123099999999997</v>
      </c>
      <c r="DB256">
        <v>2.2082079999999999</v>
      </c>
      <c r="DC256">
        <v>10.009026</v>
      </c>
      <c r="DD256">
        <v>17.986643000000001</v>
      </c>
      <c r="DE256">
        <v>6.8582789999999996</v>
      </c>
      <c r="DF256">
        <v>0.88517599999999996</v>
      </c>
      <c r="DG256">
        <v>0.32949400000000001</v>
      </c>
      <c r="DH256">
        <v>0.38129800000000003</v>
      </c>
      <c r="DI256">
        <v>0.12906699999999999</v>
      </c>
      <c r="DJ256">
        <v>4.8043000000000002E-2</v>
      </c>
      <c r="DK256">
        <v>1</v>
      </c>
      <c r="DL256">
        <v>1</v>
      </c>
      <c r="DM256">
        <v>3</v>
      </c>
      <c r="DN256">
        <v>6</v>
      </c>
      <c r="DO256">
        <v>8</v>
      </c>
      <c r="DP256">
        <v>10</v>
      </c>
      <c r="DQ256">
        <v>13</v>
      </c>
      <c r="DR256">
        <v>16</v>
      </c>
      <c r="DS256">
        <v>19</v>
      </c>
      <c r="DT256">
        <v>23</v>
      </c>
      <c r="DU256">
        <v>26.25</v>
      </c>
      <c r="DV256">
        <v>30</v>
      </c>
      <c r="DW256">
        <v>37</v>
      </c>
      <c r="DX256">
        <v>40</v>
      </c>
      <c r="DY256">
        <v>44</v>
      </c>
      <c r="DZ256">
        <v>57.210777</v>
      </c>
      <c r="EA256">
        <v>32.723576999999999</v>
      </c>
      <c r="EB256">
        <v>59.535128999999998</v>
      </c>
      <c r="EC256">
        <v>1083</v>
      </c>
      <c r="ED256">
        <v>1127</v>
      </c>
      <c r="EE256">
        <v>56.524036000000002</v>
      </c>
      <c r="EF256">
        <v>96.883253999999994</v>
      </c>
      <c r="EG256">
        <v>31.765388999999999</v>
      </c>
      <c r="EH256">
        <v>79.239256999999995</v>
      </c>
      <c r="EI256">
        <v>57.791865000000001</v>
      </c>
      <c r="EJ256">
        <v>144.16270499999999</v>
      </c>
      <c r="EK256">
        <v>1070</v>
      </c>
      <c r="EL256">
        <v>1834</v>
      </c>
      <c r="EM256">
        <v>1094</v>
      </c>
      <c r="EN256">
        <v>2729</v>
      </c>
      <c r="EO256">
        <v>1893</v>
      </c>
      <c r="EP256">
        <v>3444</v>
      </c>
      <c r="EQ256">
        <v>27.204412999999999</v>
      </c>
    </row>
    <row r="257" spans="1:147" x14ac:dyDescent="0.25">
      <c r="A257">
        <v>2022</v>
      </c>
      <c r="B257" t="str">
        <f t="shared" si="6"/>
        <v>RD</v>
      </c>
      <c r="C257" t="s">
        <v>1402</v>
      </c>
      <c r="D257" t="s">
        <v>1402</v>
      </c>
      <c r="E257">
        <v>26440</v>
      </c>
      <c r="F257" t="s">
        <v>1398</v>
      </c>
      <c r="G257" t="s">
        <v>775</v>
      </c>
      <c r="H257" t="s">
        <v>1399</v>
      </c>
      <c r="I257">
        <v>59.84</v>
      </c>
      <c r="J257">
        <v>59.84</v>
      </c>
      <c r="K257" t="s">
        <v>219</v>
      </c>
      <c r="L257">
        <v>1</v>
      </c>
      <c r="M257">
        <v>2018</v>
      </c>
      <c r="N257">
        <v>2</v>
      </c>
      <c r="O257" t="str">
        <f t="shared" si="7"/>
        <v>Alto fuste</v>
      </c>
      <c r="P257" s="2">
        <v>43434</v>
      </c>
      <c r="Q257" t="s">
        <v>237</v>
      </c>
      <c r="R257" t="s">
        <v>367</v>
      </c>
      <c r="S257" t="s">
        <v>154</v>
      </c>
      <c r="T257" t="s">
        <v>221</v>
      </c>
      <c r="U257" t="s">
        <v>156</v>
      </c>
      <c r="V257" s="2">
        <v>44798</v>
      </c>
      <c r="W257" t="s">
        <v>777</v>
      </c>
      <c r="X257">
        <v>235.67</v>
      </c>
      <c r="Y257">
        <v>20.8</v>
      </c>
      <c r="Z257">
        <v>2</v>
      </c>
      <c r="AA257">
        <v>15.7</v>
      </c>
      <c r="AB257">
        <v>2</v>
      </c>
      <c r="AC257">
        <v>326.56</v>
      </c>
      <c r="AD257">
        <v>326.16225812642398</v>
      </c>
      <c r="AE257" s="2">
        <v>44798</v>
      </c>
      <c r="AF257">
        <v>45</v>
      </c>
      <c r="AG257">
        <v>3.7344284736481899</v>
      </c>
      <c r="AH257">
        <v>19.273560764395601</v>
      </c>
      <c r="AI257">
        <v>12.897777777777801</v>
      </c>
      <c r="AJ257">
        <v>18.4826872811695</v>
      </c>
      <c r="AK257">
        <v>45</v>
      </c>
      <c r="AL257">
        <v>1379.6813971823001</v>
      </c>
      <c r="AM257">
        <v>163.50729617410701</v>
      </c>
      <c r="AN257">
        <v>0.118510908756206</v>
      </c>
      <c r="AO257" t="s">
        <v>367</v>
      </c>
      <c r="AP257" t="s">
        <v>158</v>
      </c>
      <c r="AQ257" t="s">
        <v>294</v>
      </c>
      <c r="AR257">
        <v>7.5</v>
      </c>
      <c r="AS257">
        <v>1.034761047886728</v>
      </c>
      <c r="AT257" t="s">
        <v>1403</v>
      </c>
      <c r="AU257" t="s">
        <v>1404</v>
      </c>
      <c r="AV257">
        <v>3060</v>
      </c>
      <c r="AW257">
        <v>1730</v>
      </c>
      <c r="AX257">
        <v>1253</v>
      </c>
      <c r="AY257">
        <v>77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-0.57999999999999996</v>
      </c>
      <c r="BH257">
        <v>22.389999</v>
      </c>
      <c r="BI257">
        <v>7.3291899999999996</v>
      </c>
      <c r="BJ257">
        <v>-0.21539700000000001</v>
      </c>
      <c r="BK257">
        <v>9.0357090000000007</v>
      </c>
      <c r="BL257">
        <v>81.644029000000003</v>
      </c>
      <c r="BM257">
        <v>1.232839</v>
      </c>
      <c r="BN257">
        <v>18.595001</v>
      </c>
      <c r="BO257">
        <v>0.49123299999999998</v>
      </c>
      <c r="BP257">
        <v>1.328632</v>
      </c>
      <c r="BQ257">
        <v>8.6525040000000004</v>
      </c>
      <c r="BR257">
        <v>0.31</v>
      </c>
      <c r="BS257">
        <v>0.37539699999999998</v>
      </c>
      <c r="BT257">
        <v>7.3291899999999996</v>
      </c>
      <c r="BU257">
        <v>4.6139530000000004</v>
      </c>
      <c r="BV257">
        <v>1.166482</v>
      </c>
      <c r="BW257">
        <v>-0.65281800000000001</v>
      </c>
      <c r="BX257">
        <v>0.62953099999999995</v>
      </c>
      <c r="BY257">
        <v>0.25281599999999999</v>
      </c>
      <c r="BZ257">
        <v>-0.141488</v>
      </c>
      <c r="CA257">
        <v>-0.35</v>
      </c>
      <c r="CB257">
        <v>-0.2</v>
      </c>
      <c r="CC257">
        <v>-0.13</v>
      </c>
      <c r="CD257">
        <v>-0.04</v>
      </c>
      <c r="CE257">
        <v>-0.02</v>
      </c>
      <c r="CF257">
        <v>0.01</v>
      </c>
      <c r="CG257">
        <v>7.0000000000000007E-2</v>
      </c>
      <c r="CH257">
        <v>0.16</v>
      </c>
      <c r="CI257">
        <v>8.14</v>
      </c>
      <c r="CJ257">
        <v>17.920000000000002</v>
      </c>
      <c r="CK257">
        <v>18.575001</v>
      </c>
      <c r="CL257">
        <v>18.98</v>
      </c>
      <c r="CM257">
        <v>19.801000999999999</v>
      </c>
      <c r="CN257">
        <v>20.32</v>
      </c>
      <c r="CO257">
        <v>21.156396999999998</v>
      </c>
      <c r="CP257">
        <v>0.34432699999999999</v>
      </c>
      <c r="CQ257">
        <v>11.633330000000001</v>
      </c>
      <c r="CR257">
        <v>13.662932</v>
      </c>
      <c r="CS257">
        <v>1</v>
      </c>
      <c r="CT257">
        <v>52</v>
      </c>
      <c r="CU257">
        <v>18.264706</v>
      </c>
      <c r="CV257">
        <v>1</v>
      </c>
      <c r="CW257">
        <v>12.892236</v>
      </c>
      <c r="CX257">
        <v>166.20973799999999</v>
      </c>
      <c r="CY257">
        <v>0.70585500000000001</v>
      </c>
      <c r="CZ257">
        <v>21</v>
      </c>
      <c r="DA257">
        <v>0.45876699999999998</v>
      </c>
      <c r="DB257">
        <v>2.0557729999999999</v>
      </c>
      <c r="DC257">
        <v>10.982853</v>
      </c>
      <c r="DD257">
        <v>18.264706</v>
      </c>
      <c r="DE257">
        <v>7.3337820000000002</v>
      </c>
      <c r="DF257">
        <v>0.95420199999999999</v>
      </c>
      <c r="DG257">
        <v>0.11321199999999999</v>
      </c>
      <c r="DH257">
        <v>0.401528</v>
      </c>
      <c r="DI257">
        <v>0.130111</v>
      </c>
      <c r="DJ257">
        <v>1.5436999999999999E-2</v>
      </c>
      <c r="DK257">
        <v>1</v>
      </c>
      <c r="DL257">
        <v>1</v>
      </c>
      <c r="DM257">
        <v>3</v>
      </c>
      <c r="DN257">
        <v>5</v>
      </c>
      <c r="DO257">
        <v>7</v>
      </c>
      <c r="DP257">
        <v>9</v>
      </c>
      <c r="DQ257">
        <v>12</v>
      </c>
      <c r="DR257">
        <v>16</v>
      </c>
      <c r="DS257">
        <v>20</v>
      </c>
      <c r="DT257">
        <v>25</v>
      </c>
      <c r="DU257">
        <v>28</v>
      </c>
      <c r="DV257">
        <v>32</v>
      </c>
      <c r="DW257">
        <v>38</v>
      </c>
      <c r="DX257">
        <v>41</v>
      </c>
      <c r="DY257">
        <v>46</v>
      </c>
      <c r="DZ257">
        <v>69.248554999999996</v>
      </c>
      <c r="EA257">
        <v>40.915033000000001</v>
      </c>
      <c r="EB257">
        <v>72.369941999999995</v>
      </c>
      <c r="EC257">
        <v>1198</v>
      </c>
      <c r="ED257">
        <v>1252</v>
      </c>
      <c r="EE257">
        <v>68.959537999999995</v>
      </c>
      <c r="EF257">
        <v>100</v>
      </c>
      <c r="EG257">
        <v>40.392156999999997</v>
      </c>
      <c r="EH257">
        <v>95.849672999999996</v>
      </c>
      <c r="EI257">
        <v>71.445087000000001</v>
      </c>
      <c r="EJ257">
        <v>169.53757200000001</v>
      </c>
      <c r="EK257">
        <v>1193</v>
      </c>
      <c r="EL257">
        <v>1730</v>
      </c>
      <c r="EM257">
        <v>1236</v>
      </c>
      <c r="EN257">
        <v>2933</v>
      </c>
      <c r="EO257">
        <v>1730</v>
      </c>
      <c r="EP257">
        <v>3060</v>
      </c>
      <c r="EQ257">
        <v>33.67174</v>
      </c>
    </row>
    <row r="258" spans="1:147" x14ac:dyDescent="0.25">
      <c r="A258">
        <v>2022</v>
      </c>
      <c r="B258" t="str">
        <f t="shared" si="6"/>
        <v>RD</v>
      </c>
      <c r="C258" t="s">
        <v>1405</v>
      </c>
      <c r="D258" t="s">
        <v>1405</v>
      </c>
      <c r="E258">
        <v>26441</v>
      </c>
      <c r="F258" t="s">
        <v>1398</v>
      </c>
      <c r="G258" t="s">
        <v>775</v>
      </c>
      <c r="H258" t="s">
        <v>1399</v>
      </c>
      <c r="I258">
        <v>59.84</v>
      </c>
      <c r="J258">
        <v>59.84</v>
      </c>
      <c r="K258" t="s">
        <v>219</v>
      </c>
      <c r="L258">
        <v>1</v>
      </c>
      <c r="M258">
        <v>2018</v>
      </c>
      <c r="N258">
        <v>2</v>
      </c>
      <c r="O258" t="str">
        <f t="shared" si="7"/>
        <v>Alto fuste</v>
      </c>
      <c r="P258" s="2">
        <v>43434</v>
      </c>
      <c r="Q258" t="s">
        <v>237</v>
      </c>
      <c r="R258" t="s">
        <v>367</v>
      </c>
      <c r="S258" t="s">
        <v>154</v>
      </c>
      <c r="T258" t="s">
        <v>221</v>
      </c>
      <c r="U258" t="s">
        <v>156</v>
      </c>
      <c r="V258" s="2">
        <v>44798</v>
      </c>
      <c r="W258" t="s">
        <v>777</v>
      </c>
      <c r="X258">
        <v>235.67</v>
      </c>
      <c r="Y258">
        <v>19.5</v>
      </c>
      <c r="Z258">
        <v>8</v>
      </c>
      <c r="AA258">
        <v>14.8</v>
      </c>
      <c r="AB258">
        <v>0</v>
      </c>
      <c r="AC258">
        <v>288.60000000000002</v>
      </c>
      <c r="AD258">
        <v>285.79136463881702</v>
      </c>
      <c r="AE258" s="2">
        <v>44798</v>
      </c>
      <c r="AF258">
        <v>45</v>
      </c>
      <c r="AG258">
        <v>3.7344284736481899</v>
      </c>
      <c r="AH258">
        <v>21.161771867058299</v>
      </c>
      <c r="AI258">
        <v>13.3324324324324</v>
      </c>
      <c r="AJ258">
        <v>18.696531249200099</v>
      </c>
      <c r="AK258">
        <v>37</v>
      </c>
      <c r="AL258">
        <v>1294.65073399823</v>
      </c>
      <c r="AM258">
        <v>185.97168999517399</v>
      </c>
      <c r="AN258">
        <v>0.14364622450785899</v>
      </c>
      <c r="AO258" t="s">
        <v>367</v>
      </c>
      <c r="AP258" t="s">
        <v>158</v>
      </c>
      <c r="AQ258" t="s">
        <v>294</v>
      </c>
      <c r="AR258">
        <v>7.5</v>
      </c>
      <c r="AS258">
        <v>0.97098805049867198</v>
      </c>
      <c r="AT258" t="s">
        <v>1406</v>
      </c>
      <c r="AU258" t="s">
        <v>1407</v>
      </c>
      <c r="AV258">
        <v>6120</v>
      </c>
      <c r="AW258">
        <v>3636</v>
      </c>
      <c r="AX258">
        <v>2400</v>
      </c>
      <c r="AY258">
        <v>84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-0.86</v>
      </c>
      <c r="BH258">
        <v>23.84</v>
      </c>
      <c r="BI258">
        <v>8.6084359999999993</v>
      </c>
      <c r="BJ258">
        <v>-7.5872999999999996E-2</v>
      </c>
      <c r="BK258">
        <v>9.7285620000000002</v>
      </c>
      <c r="BL258">
        <v>94.644925000000001</v>
      </c>
      <c r="BM258">
        <v>1.13012</v>
      </c>
      <c r="BN258">
        <v>19.512501</v>
      </c>
      <c r="BO258">
        <v>0.30265999999999998</v>
      </c>
      <c r="BP258">
        <v>1.162469</v>
      </c>
      <c r="BQ258">
        <v>9.5058319999999998</v>
      </c>
      <c r="BR258">
        <v>0.38</v>
      </c>
      <c r="BS258">
        <v>0.28587299999999999</v>
      </c>
      <c r="BT258">
        <v>8.6084359999999993</v>
      </c>
      <c r="BU258">
        <v>5.0461970000000003</v>
      </c>
      <c r="BV258">
        <v>0.87307900000000005</v>
      </c>
      <c r="BW258">
        <v>-0.90464800000000001</v>
      </c>
      <c r="BX258">
        <v>0.58619200000000005</v>
      </c>
      <c r="BY258">
        <v>0.173017</v>
      </c>
      <c r="BZ258">
        <v>-0.17927299999999999</v>
      </c>
      <c r="CA258">
        <v>-0.34</v>
      </c>
      <c r="CB258">
        <v>-0.18</v>
      </c>
      <c r="CC258">
        <v>-0.12</v>
      </c>
      <c r="CD258">
        <v>-0.03</v>
      </c>
      <c r="CE258">
        <v>0</v>
      </c>
      <c r="CF258">
        <v>0.03</v>
      </c>
      <c r="CG258">
        <v>0.09</v>
      </c>
      <c r="CH258">
        <v>0.19</v>
      </c>
      <c r="CI258">
        <v>16.66</v>
      </c>
      <c r="CJ258">
        <v>19.079999999999998</v>
      </c>
      <c r="CK258">
        <v>19.512501</v>
      </c>
      <c r="CL258">
        <v>20.030000999999999</v>
      </c>
      <c r="CM258">
        <v>21.02</v>
      </c>
      <c r="CN258">
        <v>21.620000999999998</v>
      </c>
      <c r="CO258">
        <v>22.6</v>
      </c>
      <c r="CP258">
        <v>0.38333699999999998</v>
      </c>
      <c r="CQ258">
        <v>12.989789999999999</v>
      </c>
      <c r="CR258">
        <v>14.978329</v>
      </c>
      <c r="CS258">
        <v>1</v>
      </c>
      <c r="CT258">
        <v>55</v>
      </c>
      <c r="CU258">
        <v>18.375</v>
      </c>
      <c r="CV258">
        <v>1</v>
      </c>
      <c r="CW258">
        <v>13.253499</v>
      </c>
      <c r="CX258">
        <v>175.65523400000001</v>
      </c>
      <c r="CY258">
        <v>0.721279</v>
      </c>
      <c r="CZ258">
        <v>19</v>
      </c>
      <c r="DA258">
        <v>0.65346400000000004</v>
      </c>
      <c r="DB258">
        <v>2.3462360000000002</v>
      </c>
      <c r="DC258">
        <v>11.008456000000001</v>
      </c>
      <c r="DD258">
        <v>18.375</v>
      </c>
      <c r="DE258">
        <v>7.4288959999999999</v>
      </c>
      <c r="DF258">
        <v>1.30593</v>
      </c>
      <c r="DG258">
        <v>0.396588</v>
      </c>
      <c r="DH258">
        <v>0.40429399999999999</v>
      </c>
      <c r="DI258">
        <v>0.175791</v>
      </c>
      <c r="DJ258">
        <v>5.3384000000000001E-2</v>
      </c>
      <c r="DK258">
        <v>1</v>
      </c>
      <c r="DL258">
        <v>1</v>
      </c>
      <c r="DM258">
        <v>3</v>
      </c>
      <c r="DN258">
        <v>6</v>
      </c>
      <c r="DO258">
        <v>8</v>
      </c>
      <c r="DP258">
        <v>9</v>
      </c>
      <c r="DQ258">
        <v>12</v>
      </c>
      <c r="DR258">
        <v>15</v>
      </c>
      <c r="DS258">
        <v>19</v>
      </c>
      <c r="DT258">
        <v>23.299804999999999</v>
      </c>
      <c r="DU258">
        <v>27</v>
      </c>
      <c r="DV258">
        <v>32</v>
      </c>
      <c r="DW258">
        <v>40</v>
      </c>
      <c r="DX258">
        <v>43</v>
      </c>
      <c r="DY258">
        <v>48</v>
      </c>
      <c r="DZ258">
        <v>73.624861999999993</v>
      </c>
      <c r="EA258">
        <v>45.163398999999998</v>
      </c>
      <c r="EB258">
        <v>76.017601999999997</v>
      </c>
      <c r="EC258">
        <v>2677</v>
      </c>
      <c r="ED258">
        <v>2764</v>
      </c>
      <c r="EE258">
        <v>72.194719000000006</v>
      </c>
      <c r="EF258">
        <v>99.394938999999994</v>
      </c>
      <c r="EG258">
        <v>43.529412000000001</v>
      </c>
      <c r="EH258">
        <v>85.343136999999999</v>
      </c>
      <c r="EI258">
        <v>73.267326999999995</v>
      </c>
      <c r="EJ258">
        <v>143.64686499999999</v>
      </c>
      <c r="EK258">
        <v>2625</v>
      </c>
      <c r="EL258">
        <v>3614</v>
      </c>
      <c r="EM258">
        <v>2664</v>
      </c>
      <c r="EN258">
        <v>5223</v>
      </c>
      <c r="EO258">
        <v>3636</v>
      </c>
      <c r="EP258">
        <v>6120</v>
      </c>
      <c r="EQ258">
        <v>37.273845000000001</v>
      </c>
    </row>
    <row r="259" spans="1:147" x14ac:dyDescent="0.25">
      <c r="A259">
        <v>2022</v>
      </c>
      <c r="B259" t="str">
        <f t="shared" ref="B259:B322" si="8">LEFT(C259,2)</f>
        <v>NE</v>
      </c>
      <c r="C259" t="s">
        <v>1408</v>
      </c>
      <c r="D259" t="s">
        <v>1408</v>
      </c>
      <c r="E259">
        <v>26452</v>
      </c>
      <c r="F259" t="s">
        <v>1387</v>
      </c>
      <c r="G259" t="s">
        <v>1388</v>
      </c>
      <c r="H259" t="s">
        <v>1409</v>
      </c>
      <c r="I259">
        <v>21.3</v>
      </c>
      <c r="J259">
        <v>21.3</v>
      </c>
      <c r="K259" t="s">
        <v>151</v>
      </c>
      <c r="L259">
        <v>1</v>
      </c>
      <c r="M259">
        <v>2018</v>
      </c>
      <c r="N259">
        <v>3</v>
      </c>
      <c r="O259" t="str">
        <f t="shared" ref="O259:O322" si="9">IF(MID(F259,12,1)="R","Talhadia","Alto fuste")</f>
        <v>Alto fuste</v>
      </c>
      <c r="P259" s="2">
        <v>43445</v>
      </c>
      <c r="Q259" t="s">
        <v>174</v>
      </c>
      <c r="R259" t="s">
        <v>165</v>
      </c>
      <c r="S259" t="s">
        <v>154</v>
      </c>
      <c r="T259" t="s">
        <v>155</v>
      </c>
      <c r="U259" t="s">
        <v>156</v>
      </c>
      <c r="V259" s="2">
        <v>44711</v>
      </c>
      <c r="W259" t="s">
        <v>1390</v>
      </c>
      <c r="X259">
        <v>42.78</v>
      </c>
      <c r="Y259">
        <v>20</v>
      </c>
      <c r="Z259">
        <v>25</v>
      </c>
      <c r="AA259">
        <v>14.4</v>
      </c>
      <c r="AB259">
        <v>3</v>
      </c>
      <c r="AC259">
        <v>288</v>
      </c>
      <c r="AD259">
        <v>260.65892842930299</v>
      </c>
      <c r="AE259" s="2">
        <v>44711</v>
      </c>
      <c r="AF259">
        <v>41</v>
      </c>
      <c r="AG259">
        <v>3.4661190965092401</v>
      </c>
      <c r="AH259">
        <v>17.407525350935501</v>
      </c>
      <c r="AI259">
        <v>12.55</v>
      </c>
      <c r="AJ259">
        <v>14.4282026273718</v>
      </c>
      <c r="AK259">
        <v>30</v>
      </c>
      <c r="AL259">
        <v>1150.92930753518</v>
      </c>
      <c r="AM259">
        <v>108.99997691203301</v>
      </c>
      <c r="AN259">
        <v>9.4706057269031196E-2</v>
      </c>
      <c r="AO259" t="s">
        <v>165</v>
      </c>
      <c r="AP259" t="s">
        <v>158</v>
      </c>
      <c r="AQ259" t="s">
        <v>304</v>
      </c>
      <c r="AR259">
        <v>9</v>
      </c>
      <c r="AS259">
        <v>1.035836376781663</v>
      </c>
      <c r="AT259" t="s">
        <v>1410</v>
      </c>
      <c r="AU259" t="s">
        <v>1411</v>
      </c>
      <c r="AV259">
        <v>2229</v>
      </c>
      <c r="AW259">
        <v>993</v>
      </c>
      <c r="AX259">
        <v>1193</v>
      </c>
      <c r="AY259">
        <v>42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-1.6240000000000001</v>
      </c>
      <c r="BH259">
        <v>17.728999999999999</v>
      </c>
      <c r="BI259">
        <v>5.2185090000000001</v>
      </c>
      <c r="BJ259">
        <v>-8.8048000000000001E-2</v>
      </c>
      <c r="BK259">
        <v>6.8312559999999998</v>
      </c>
      <c r="BL259">
        <v>46.666057000000002</v>
      </c>
      <c r="BM259">
        <v>1.3090440000000001</v>
      </c>
      <c r="BN259">
        <v>13.702</v>
      </c>
      <c r="BO259">
        <v>0.64209000000000005</v>
      </c>
      <c r="BP259">
        <v>1.515115</v>
      </c>
      <c r="BQ259">
        <v>6.437227</v>
      </c>
      <c r="BR259">
        <v>0.39900000000000002</v>
      </c>
      <c r="BS259">
        <v>0.37604799999999999</v>
      </c>
      <c r="BT259">
        <v>5.2185090000000001</v>
      </c>
      <c r="BU259">
        <v>3.4508179999999999</v>
      </c>
      <c r="BV259">
        <v>1.067137</v>
      </c>
      <c r="BW259">
        <v>-0.299151</v>
      </c>
      <c r="BX259">
        <v>0.66126499999999999</v>
      </c>
      <c r="BY259">
        <v>0.30924200000000002</v>
      </c>
      <c r="BZ259">
        <v>-8.6690000000000003E-2</v>
      </c>
      <c r="CA259">
        <v>-0.51571999999999996</v>
      </c>
      <c r="CB259">
        <v>-0.22459999999999999</v>
      </c>
      <c r="CC259">
        <v>-0.14699999999999999</v>
      </c>
      <c r="CD259">
        <v>-2.3400000000000001E-2</v>
      </c>
      <c r="CE259">
        <v>2.5000000000000001E-2</v>
      </c>
      <c r="CF259">
        <v>6.54E-2</v>
      </c>
      <c r="CG259">
        <v>0.15620000000000001</v>
      </c>
      <c r="CH259">
        <v>0.27100000000000002</v>
      </c>
      <c r="CI259">
        <v>0.53979999999999995</v>
      </c>
      <c r="CJ259">
        <v>12.5722</v>
      </c>
      <c r="CK259">
        <v>13.727</v>
      </c>
      <c r="CL259">
        <v>14.2828</v>
      </c>
      <c r="CM259">
        <v>15.284801</v>
      </c>
      <c r="CN259">
        <v>16.080400000000001</v>
      </c>
      <c r="CO259">
        <v>16.730639</v>
      </c>
      <c r="CP259">
        <v>0.35356300000000002</v>
      </c>
      <c r="CQ259">
        <v>8.5952289999999998</v>
      </c>
      <c r="CR259">
        <v>10.250241000000001</v>
      </c>
      <c r="CS259">
        <v>1</v>
      </c>
      <c r="CT259">
        <v>50</v>
      </c>
      <c r="CU259">
        <v>13.259758</v>
      </c>
      <c r="CV259">
        <v>1</v>
      </c>
      <c r="CW259">
        <v>9.5802530000000008</v>
      </c>
      <c r="CX259">
        <v>91.781238999999999</v>
      </c>
      <c r="CY259">
        <v>0.72250599999999998</v>
      </c>
      <c r="CZ259">
        <v>15</v>
      </c>
      <c r="DA259">
        <v>0.68396400000000002</v>
      </c>
      <c r="DB259">
        <v>2.928223</v>
      </c>
      <c r="DC259">
        <v>7.9501689999999998</v>
      </c>
      <c r="DD259">
        <v>13.259758</v>
      </c>
      <c r="DE259">
        <v>5.3686100000000003</v>
      </c>
      <c r="DF259">
        <v>0.80585099999999998</v>
      </c>
      <c r="DG259">
        <v>0.26343100000000003</v>
      </c>
      <c r="DH259">
        <v>0.40488000000000002</v>
      </c>
      <c r="DI259">
        <v>0.15010399999999999</v>
      </c>
      <c r="DJ259">
        <v>4.9069000000000002E-2</v>
      </c>
      <c r="DK259">
        <v>1</v>
      </c>
      <c r="DL259">
        <v>1</v>
      </c>
      <c r="DM259">
        <v>2</v>
      </c>
      <c r="DN259">
        <v>4</v>
      </c>
      <c r="DO259">
        <v>5</v>
      </c>
      <c r="DP259">
        <v>6</v>
      </c>
      <c r="DQ259">
        <v>9</v>
      </c>
      <c r="DR259">
        <v>12</v>
      </c>
      <c r="DS259">
        <v>15</v>
      </c>
      <c r="DT259">
        <v>18</v>
      </c>
      <c r="DU259">
        <v>20</v>
      </c>
      <c r="DV259">
        <v>22</v>
      </c>
      <c r="DW259">
        <v>27</v>
      </c>
      <c r="DX259">
        <v>30</v>
      </c>
      <c r="DY259">
        <v>39</v>
      </c>
      <c r="DZ259">
        <v>80.060423</v>
      </c>
      <c r="EA259">
        <v>37.371017999999999</v>
      </c>
      <c r="EB259">
        <v>83.887209999999996</v>
      </c>
      <c r="EC259">
        <v>795</v>
      </c>
      <c r="ED259">
        <v>833</v>
      </c>
      <c r="EE259">
        <v>79.758308</v>
      </c>
      <c r="EF259">
        <v>99.899294999999995</v>
      </c>
      <c r="EG259">
        <v>36.96725</v>
      </c>
      <c r="EH259">
        <v>86.002691999999996</v>
      </c>
      <c r="EI259">
        <v>82.980866000000006</v>
      </c>
      <c r="EJ259">
        <v>193.05135999999999</v>
      </c>
      <c r="EK259">
        <v>792</v>
      </c>
      <c r="EL259">
        <v>992</v>
      </c>
      <c r="EM259">
        <v>824</v>
      </c>
      <c r="EN259">
        <v>1917</v>
      </c>
      <c r="EO259">
        <v>993</v>
      </c>
      <c r="EP259">
        <v>2229</v>
      </c>
      <c r="EQ259">
        <v>30.437709999999999</v>
      </c>
    </row>
    <row r="260" spans="1:147" x14ac:dyDescent="0.25">
      <c r="A260">
        <v>2022</v>
      </c>
      <c r="B260" t="str">
        <f t="shared" si="8"/>
        <v>NE</v>
      </c>
      <c r="C260" t="s">
        <v>1412</v>
      </c>
      <c r="D260" t="s">
        <v>1412</v>
      </c>
      <c r="E260">
        <v>26453</v>
      </c>
      <c r="F260" t="s">
        <v>1387</v>
      </c>
      <c r="G260" t="s">
        <v>1388</v>
      </c>
      <c r="H260" t="s">
        <v>1409</v>
      </c>
      <c r="I260">
        <v>21.3</v>
      </c>
      <c r="J260">
        <v>21.3</v>
      </c>
      <c r="K260" t="s">
        <v>151</v>
      </c>
      <c r="L260">
        <v>1</v>
      </c>
      <c r="M260">
        <v>2018</v>
      </c>
      <c r="N260">
        <v>3</v>
      </c>
      <c r="O260" t="str">
        <f t="shared" si="9"/>
        <v>Alto fuste</v>
      </c>
      <c r="P260" s="2">
        <v>43445</v>
      </c>
      <c r="Q260" t="s">
        <v>174</v>
      </c>
      <c r="R260" t="s">
        <v>165</v>
      </c>
      <c r="S260" t="s">
        <v>154</v>
      </c>
      <c r="T260" t="s">
        <v>155</v>
      </c>
      <c r="U260" t="s">
        <v>156</v>
      </c>
      <c r="V260" s="2">
        <v>44711</v>
      </c>
      <c r="W260" t="s">
        <v>1390</v>
      </c>
      <c r="X260">
        <v>42.78</v>
      </c>
      <c r="Y260">
        <v>21</v>
      </c>
      <c r="Z260">
        <v>30</v>
      </c>
      <c r="AA260">
        <v>15.3</v>
      </c>
      <c r="AB260">
        <v>2</v>
      </c>
      <c r="AC260">
        <v>321.3</v>
      </c>
      <c r="AD260">
        <v>278.08445744031599</v>
      </c>
      <c r="AE260" s="2">
        <v>44711</v>
      </c>
      <c r="AF260">
        <v>41</v>
      </c>
      <c r="AG260">
        <v>3.4661190965092401</v>
      </c>
      <c r="AH260">
        <v>20.944447561927301</v>
      </c>
      <c r="AI260">
        <v>13.979411764705899</v>
      </c>
      <c r="AJ260">
        <v>18.9986883006959</v>
      </c>
      <c r="AK260">
        <v>34</v>
      </c>
      <c r="AL260">
        <v>1222.65013704684</v>
      </c>
      <c r="AM260">
        <v>173.02120535349101</v>
      </c>
      <c r="AN260">
        <v>0.14151325887175001</v>
      </c>
      <c r="AO260" t="s">
        <v>165</v>
      </c>
      <c r="AP260" t="s">
        <v>158</v>
      </c>
      <c r="AQ260" t="s">
        <v>304</v>
      </c>
      <c r="AR260">
        <v>9</v>
      </c>
      <c r="AS260">
        <v>1.1003851233421611</v>
      </c>
      <c r="AT260" t="s">
        <v>1413</v>
      </c>
      <c r="AU260" t="s">
        <v>1414</v>
      </c>
      <c r="AV260">
        <v>1260</v>
      </c>
      <c r="AW260">
        <v>841</v>
      </c>
      <c r="AX260">
        <v>404</v>
      </c>
      <c r="AY260">
        <v>15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-0.77400000000000002</v>
      </c>
      <c r="BH260">
        <v>22.614999999999998</v>
      </c>
      <c r="BI260">
        <v>11.96913</v>
      </c>
      <c r="BJ260">
        <v>-3.1491999999999999E-2</v>
      </c>
      <c r="BK260">
        <v>9.1857780000000009</v>
      </c>
      <c r="BL260">
        <v>84.378524999999996</v>
      </c>
      <c r="BM260">
        <v>0.76745600000000003</v>
      </c>
      <c r="BN260">
        <v>19.216749</v>
      </c>
      <c r="BO260">
        <v>-0.48063</v>
      </c>
      <c r="BP260">
        <v>1.294014</v>
      </c>
      <c r="BQ260">
        <v>8.8103490000000004</v>
      </c>
      <c r="BR260">
        <v>2.2989989999999998</v>
      </c>
      <c r="BS260">
        <v>17.966991</v>
      </c>
      <c r="BT260">
        <v>11.96913</v>
      </c>
      <c r="BU260">
        <v>4.7465739999999998</v>
      </c>
      <c r="BV260">
        <v>-0.83367500000000005</v>
      </c>
      <c r="BW260">
        <v>-0.67970200000000003</v>
      </c>
      <c r="BX260">
        <v>0.39656799999999998</v>
      </c>
      <c r="BY260">
        <v>-0.17563699999999999</v>
      </c>
      <c r="BZ260">
        <v>-0.14319799999999999</v>
      </c>
      <c r="CA260">
        <v>-0.34982000000000002</v>
      </c>
      <c r="CB260">
        <v>-0.13544999999999999</v>
      </c>
      <c r="CC260">
        <v>-4.1099999999999998E-2</v>
      </c>
      <c r="CD260">
        <v>9.3799999999999994E-2</v>
      </c>
      <c r="CE260">
        <v>0.1835</v>
      </c>
      <c r="CF260">
        <v>0.31640000000000001</v>
      </c>
      <c r="CG260">
        <v>16.571000999999999</v>
      </c>
      <c r="CH260">
        <v>17.935500999999999</v>
      </c>
      <c r="CI260">
        <v>18.6614</v>
      </c>
      <c r="CJ260">
        <v>19.108000000000001</v>
      </c>
      <c r="CK260">
        <v>19.400248999999999</v>
      </c>
      <c r="CL260">
        <v>19.667998999999998</v>
      </c>
      <c r="CM260">
        <v>20.407</v>
      </c>
      <c r="CN260">
        <v>20.982151000000002</v>
      </c>
      <c r="CO260">
        <v>21.546379000000002</v>
      </c>
      <c r="CP260">
        <v>0.54483400000000004</v>
      </c>
      <c r="CQ260">
        <v>15.085478</v>
      </c>
      <c r="CR260">
        <v>16.348938</v>
      </c>
      <c r="CS260">
        <v>1</v>
      </c>
      <c r="CT260">
        <v>37</v>
      </c>
      <c r="CU260">
        <v>11.616667</v>
      </c>
      <c r="CV260">
        <v>13.571429</v>
      </c>
      <c r="CW260">
        <v>6.4896719999999997</v>
      </c>
      <c r="CX260">
        <v>42.115845999999998</v>
      </c>
      <c r="CY260">
        <v>0.55865200000000004</v>
      </c>
      <c r="CZ260">
        <v>9</v>
      </c>
      <c r="DA260">
        <v>0.44958500000000001</v>
      </c>
      <c r="DB260">
        <v>3.5797560000000002</v>
      </c>
      <c r="DC260">
        <v>5.1265869999999998</v>
      </c>
      <c r="DD260">
        <v>11.616667</v>
      </c>
      <c r="DE260">
        <v>3.6111559999999998</v>
      </c>
      <c r="DF260">
        <v>0.10559200000000001</v>
      </c>
      <c r="DG260">
        <v>0.41681099999999999</v>
      </c>
      <c r="DH260">
        <v>0.31086000000000003</v>
      </c>
      <c r="DI260">
        <v>2.9241E-2</v>
      </c>
      <c r="DJ260">
        <v>0.115423</v>
      </c>
      <c r="DK260">
        <v>1</v>
      </c>
      <c r="DL260">
        <v>1</v>
      </c>
      <c r="DM260">
        <v>2</v>
      </c>
      <c r="DN260">
        <v>6</v>
      </c>
      <c r="DO260">
        <v>7</v>
      </c>
      <c r="DP260">
        <v>8</v>
      </c>
      <c r="DQ260">
        <v>10</v>
      </c>
      <c r="DR260">
        <v>12</v>
      </c>
      <c r="DS260">
        <v>13</v>
      </c>
      <c r="DT260">
        <v>15</v>
      </c>
      <c r="DU260">
        <v>16</v>
      </c>
      <c r="DV260">
        <v>17</v>
      </c>
      <c r="DW260">
        <v>19</v>
      </c>
      <c r="DX260">
        <v>22</v>
      </c>
      <c r="DY260">
        <v>31.410034</v>
      </c>
      <c r="DZ260">
        <v>92.746729999999999</v>
      </c>
      <c r="EA260">
        <v>63.253968</v>
      </c>
      <c r="EB260">
        <v>94.768133000000006</v>
      </c>
      <c r="EC260">
        <v>780</v>
      </c>
      <c r="ED260">
        <v>797</v>
      </c>
      <c r="EE260">
        <v>92.271106000000003</v>
      </c>
      <c r="EF260">
        <v>99.524376000000004</v>
      </c>
      <c r="EG260">
        <v>62.301586999999998</v>
      </c>
      <c r="EH260">
        <v>89.444444000000004</v>
      </c>
      <c r="EI260">
        <v>93.341260000000005</v>
      </c>
      <c r="EJ260">
        <v>134.00713400000001</v>
      </c>
      <c r="EK260">
        <v>776</v>
      </c>
      <c r="EL260">
        <v>837</v>
      </c>
      <c r="EM260">
        <v>785</v>
      </c>
      <c r="EN260">
        <v>1127</v>
      </c>
      <c r="EO260">
        <v>841</v>
      </c>
      <c r="EP260">
        <v>1260</v>
      </c>
      <c r="EQ260">
        <v>54.673355999999998</v>
      </c>
    </row>
    <row r="261" spans="1:147" x14ac:dyDescent="0.25">
      <c r="A261">
        <v>2022</v>
      </c>
      <c r="B261" t="str">
        <f t="shared" si="8"/>
        <v>NE</v>
      </c>
      <c r="C261" t="s">
        <v>1415</v>
      </c>
      <c r="D261" t="s">
        <v>1415</v>
      </c>
      <c r="E261">
        <v>26456</v>
      </c>
      <c r="F261" t="s">
        <v>1416</v>
      </c>
      <c r="G261" t="s">
        <v>1282</v>
      </c>
      <c r="H261" t="s">
        <v>1417</v>
      </c>
      <c r="I261">
        <v>31.95</v>
      </c>
      <c r="J261">
        <v>31.95</v>
      </c>
      <c r="K261" t="s">
        <v>461</v>
      </c>
      <c r="L261">
        <v>1</v>
      </c>
      <c r="M261">
        <v>2018</v>
      </c>
      <c r="N261">
        <v>3</v>
      </c>
      <c r="O261" t="str">
        <f t="shared" si="9"/>
        <v>Talhadia</v>
      </c>
      <c r="P261" s="2">
        <v>43368</v>
      </c>
      <c r="Q261" t="s">
        <v>174</v>
      </c>
      <c r="R261" t="s">
        <v>314</v>
      </c>
      <c r="S261" t="s">
        <v>154</v>
      </c>
      <c r="T261" t="s">
        <v>155</v>
      </c>
      <c r="U261" t="s">
        <v>156</v>
      </c>
      <c r="V261" s="2">
        <v>44741</v>
      </c>
      <c r="W261" t="s">
        <v>1284</v>
      </c>
      <c r="X261">
        <v>83.79</v>
      </c>
      <c r="Y261">
        <v>19.600000000000001</v>
      </c>
      <c r="Z261">
        <v>18</v>
      </c>
      <c r="AA261">
        <v>15.4</v>
      </c>
      <c r="AB261">
        <v>5</v>
      </c>
      <c r="AC261">
        <v>301.83999999999997</v>
      </c>
      <c r="AD261">
        <v>285.97452266043001</v>
      </c>
      <c r="AE261" s="2">
        <v>44741</v>
      </c>
      <c r="AF261">
        <v>45</v>
      </c>
      <c r="AG261">
        <v>3.7590691307323798</v>
      </c>
      <c r="AH261">
        <v>28.568765096647098</v>
      </c>
      <c r="AI261">
        <v>20.035294117647101</v>
      </c>
      <c r="AJ261">
        <v>19.060565226498699</v>
      </c>
      <c r="AK261">
        <v>17</v>
      </c>
      <c r="AL261">
        <v>594.45854972843301</v>
      </c>
      <c r="AM261">
        <v>225.737910377151</v>
      </c>
      <c r="AN261">
        <v>0.37973700686158102</v>
      </c>
      <c r="AO261" t="s">
        <v>314</v>
      </c>
      <c r="AP261" t="s">
        <v>264</v>
      </c>
      <c r="AQ261" t="s">
        <v>1418</v>
      </c>
      <c r="AR261">
        <v>9</v>
      </c>
      <c r="AS261">
        <v>0.53501269475558932</v>
      </c>
      <c r="AT261" t="s">
        <v>1419</v>
      </c>
      <c r="AU261" t="s">
        <v>1420</v>
      </c>
      <c r="AV261">
        <v>3903</v>
      </c>
      <c r="AW261">
        <v>2468</v>
      </c>
      <c r="AX261">
        <v>1375</v>
      </c>
      <c r="AY261">
        <v>60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-0.84699999999999998</v>
      </c>
      <c r="BH261">
        <v>27.891000999999999</v>
      </c>
      <c r="BI261">
        <v>13.154773</v>
      </c>
      <c r="BJ261">
        <v>-0.39084099999999999</v>
      </c>
      <c r="BK261">
        <v>11.829935000000001</v>
      </c>
      <c r="BL261">
        <v>139.94736900000001</v>
      </c>
      <c r="BM261">
        <v>0.89928799999999998</v>
      </c>
      <c r="BN261">
        <v>24.096501</v>
      </c>
      <c r="BO261">
        <v>-0.15770600000000001</v>
      </c>
      <c r="BP261">
        <v>1.0864830000000001</v>
      </c>
      <c r="BQ261">
        <v>11.633333</v>
      </c>
      <c r="BR261">
        <v>4.9389989999999999</v>
      </c>
      <c r="BS261">
        <v>21.802841000000001</v>
      </c>
      <c r="BT261">
        <v>13.154773</v>
      </c>
      <c r="BU261">
        <v>6.218642</v>
      </c>
      <c r="BV261">
        <v>-0.238787</v>
      </c>
      <c r="BW261">
        <v>-1.2450730000000001</v>
      </c>
      <c r="BX261">
        <v>0.47272900000000001</v>
      </c>
      <c r="BY261">
        <v>-3.8399000000000003E-2</v>
      </c>
      <c r="BZ261">
        <v>-0.20021600000000001</v>
      </c>
      <c r="CA261">
        <v>-0.41199999999999998</v>
      </c>
      <c r="CB261">
        <v>-0.2019</v>
      </c>
      <c r="CC261">
        <v>-9.8799999999999999E-2</v>
      </c>
      <c r="CD261">
        <v>2.1999999999999999E-2</v>
      </c>
      <c r="CE261">
        <v>6.9000000000000006E-2</v>
      </c>
      <c r="CF261">
        <v>0.1246</v>
      </c>
      <c r="CG261">
        <v>0.375</v>
      </c>
      <c r="CH261">
        <v>21.412001</v>
      </c>
      <c r="CI261">
        <v>22.877200999999999</v>
      </c>
      <c r="CJ261">
        <v>23.783999999999999</v>
      </c>
      <c r="CK261">
        <v>24.165500999999999</v>
      </c>
      <c r="CL261">
        <v>24.599599999999999</v>
      </c>
      <c r="CM261">
        <v>25.535799000000001</v>
      </c>
      <c r="CN261">
        <v>26.165800000000001</v>
      </c>
      <c r="CO261">
        <v>26.99296</v>
      </c>
      <c r="CP261">
        <v>0.48722199999999999</v>
      </c>
      <c r="CQ261">
        <v>17.690663000000001</v>
      </c>
      <c r="CR261">
        <v>19.606376999999998</v>
      </c>
      <c r="CS261">
        <v>1</v>
      </c>
      <c r="CT261">
        <v>51</v>
      </c>
      <c r="CU261">
        <v>13.713297000000001</v>
      </c>
      <c r="CV261">
        <v>1</v>
      </c>
      <c r="CW261">
        <v>8.9004429999999992</v>
      </c>
      <c r="CX261">
        <v>79.217883</v>
      </c>
      <c r="CY261">
        <v>0.64903699999999998</v>
      </c>
      <c r="CZ261">
        <v>11</v>
      </c>
      <c r="DA261">
        <v>0.71202200000000004</v>
      </c>
      <c r="DB261">
        <v>3.2982450000000001</v>
      </c>
      <c r="DC261">
        <v>7.0237100000000003</v>
      </c>
      <c r="DD261">
        <v>13.713297000000001</v>
      </c>
      <c r="DE261">
        <v>4.9462710000000003</v>
      </c>
      <c r="DF261">
        <v>0.61133999999999999</v>
      </c>
      <c r="DG261">
        <v>0.55716500000000002</v>
      </c>
      <c r="DH261">
        <v>0.36069200000000001</v>
      </c>
      <c r="DI261">
        <v>0.123596</v>
      </c>
      <c r="DJ261">
        <v>0.11264299999999999</v>
      </c>
      <c r="DK261">
        <v>1</v>
      </c>
      <c r="DL261">
        <v>1</v>
      </c>
      <c r="DM261">
        <v>3</v>
      </c>
      <c r="DN261">
        <v>5</v>
      </c>
      <c r="DO261">
        <v>7</v>
      </c>
      <c r="DP261">
        <v>8</v>
      </c>
      <c r="DQ261">
        <v>11</v>
      </c>
      <c r="DR261">
        <v>13</v>
      </c>
      <c r="DS261">
        <v>15</v>
      </c>
      <c r="DT261">
        <v>17</v>
      </c>
      <c r="DU261">
        <v>18</v>
      </c>
      <c r="DV261">
        <v>20</v>
      </c>
      <c r="DW261">
        <v>25</v>
      </c>
      <c r="DX261">
        <v>32</v>
      </c>
      <c r="DY261">
        <v>38</v>
      </c>
      <c r="DZ261">
        <v>85.858994999999993</v>
      </c>
      <c r="EA261">
        <v>55.956955999999998</v>
      </c>
      <c r="EB261">
        <v>88.492706999999996</v>
      </c>
      <c r="EC261">
        <v>2119</v>
      </c>
      <c r="ED261">
        <v>2184</v>
      </c>
      <c r="EE261">
        <v>84.886548000000005</v>
      </c>
      <c r="EF261">
        <v>100</v>
      </c>
      <c r="EG261">
        <v>54.342813</v>
      </c>
      <c r="EH261">
        <v>98.770177000000004</v>
      </c>
      <c r="EI261">
        <v>85.940032000000002</v>
      </c>
      <c r="EJ261">
        <v>156.199352</v>
      </c>
      <c r="EK261">
        <v>2095</v>
      </c>
      <c r="EL261">
        <v>2468</v>
      </c>
      <c r="EM261">
        <v>2121</v>
      </c>
      <c r="EN261">
        <v>3855</v>
      </c>
      <c r="EO261">
        <v>2468</v>
      </c>
      <c r="EP261">
        <v>3903</v>
      </c>
      <c r="EQ261">
        <v>47.773356999999997</v>
      </c>
    </row>
    <row r="262" spans="1:147" x14ac:dyDescent="0.25">
      <c r="A262">
        <v>2022</v>
      </c>
      <c r="B262" t="str">
        <f t="shared" si="8"/>
        <v>RD</v>
      </c>
      <c r="C262" t="s">
        <v>1421</v>
      </c>
      <c r="D262" t="s">
        <v>1421</v>
      </c>
      <c r="E262">
        <v>26493</v>
      </c>
      <c r="F262" t="s">
        <v>1344</v>
      </c>
      <c r="G262" t="s">
        <v>813</v>
      </c>
      <c r="H262" t="s">
        <v>1422</v>
      </c>
      <c r="I262">
        <v>32.090000000000003</v>
      </c>
      <c r="J262">
        <v>32.090000000000003</v>
      </c>
      <c r="K262" t="s">
        <v>261</v>
      </c>
      <c r="L262">
        <v>1</v>
      </c>
      <c r="M262">
        <v>2018</v>
      </c>
      <c r="N262">
        <v>2</v>
      </c>
      <c r="O262" t="str">
        <f t="shared" si="9"/>
        <v>Alto fuste</v>
      </c>
      <c r="P262" s="2">
        <v>43196</v>
      </c>
      <c r="Q262" t="s">
        <v>237</v>
      </c>
      <c r="R262" t="s">
        <v>815</v>
      </c>
      <c r="S262" t="s">
        <v>154</v>
      </c>
      <c r="T262" t="s">
        <v>221</v>
      </c>
      <c r="U262" t="s">
        <v>156</v>
      </c>
      <c r="V262" s="2">
        <v>44685</v>
      </c>
      <c r="W262" t="s">
        <v>816</v>
      </c>
      <c r="X262">
        <v>320.37</v>
      </c>
      <c r="Y262">
        <v>20</v>
      </c>
      <c r="Z262">
        <v>3</v>
      </c>
      <c r="AA262">
        <v>15.3</v>
      </c>
      <c r="AB262">
        <v>0</v>
      </c>
      <c r="AC262">
        <v>306</v>
      </c>
      <c r="AD262">
        <v>305.58063763489997</v>
      </c>
      <c r="AE262" s="2">
        <v>44685</v>
      </c>
      <c r="AF262">
        <v>49</v>
      </c>
      <c r="AG262">
        <v>4.0766598220396997</v>
      </c>
      <c r="AH262">
        <v>18.994942874057202</v>
      </c>
      <c r="AI262">
        <v>11.8</v>
      </c>
      <c r="AJ262">
        <v>13.957687266044401</v>
      </c>
      <c r="AK262">
        <v>38</v>
      </c>
      <c r="AL262">
        <v>1243.5342858797701</v>
      </c>
      <c r="AM262">
        <v>125.40185292879499</v>
      </c>
      <c r="AN262">
        <v>0.100843100469945</v>
      </c>
      <c r="AO262" t="s">
        <v>815</v>
      </c>
      <c r="AP262" t="s">
        <v>158</v>
      </c>
      <c r="AQ262" t="s">
        <v>166</v>
      </c>
      <c r="AR262">
        <v>7.5</v>
      </c>
      <c r="AS262">
        <v>0.93265071440982728</v>
      </c>
      <c r="AT262" t="s">
        <v>1423</v>
      </c>
      <c r="AU262" t="s">
        <v>1424</v>
      </c>
      <c r="AV262">
        <v>2636</v>
      </c>
      <c r="AW262">
        <v>1494</v>
      </c>
      <c r="AX262">
        <v>1016</v>
      </c>
      <c r="AY262">
        <v>123</v>
      </c>
      <c r="AZ262">
        <v>3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-0.82</v>
      </c>
      <c r="BH262">
        <v>22.02</v>
      </c>
      <c r="BI262">
        <v>9.8838810000000006</v>
      </c>
      <c r="BJ262">
        <v>-9.4921000000000005E-2</v>
      </c>
      <c r="BK262">
        <v>8.4657309999999999</v>
      </c>
      <c r="BL262">
        <v>71.668604999999999</v>
      </c>
      <c r="BM262">
        <v>0.85651900000000003</v>
      </c>
      <c r="BN262">
        <v>17.620000999999998</v>
      </c>
      <c r="BO262">
        <v>-0.16419300000000001</v>
      </c>
      <c r="BP262">
        <v>1.1722129999999999</v>
      </c>
      <c r="BQ262">
        <v>8.1393550000000001</v>
      </c>
      <c r="BR262">
        <v>5.89</v>
      </c>
      <c r="BS262">
        <v>13.609921</v>
      </c>
      <c r="BT262">
        <v>9.8838810000000006</v>
      </c>
      <c r="BU262">
        <v>4.5764769999999997</v>
      </c>
      <c r="BV262">
        <v>-0.19602700000000001</v>
      </c>
      <c r="BW262">
        <v>-0.81597699999999995</v>
      </c>
      <c r="BX262">
        <v>0.46302399999999999</v>
      </c>
      <c r="BY262">
        <v>-4.2833999999999997E-2</v>
      </c>
      <c r="BZ262">
        <v>-0.17829800000000001</v>
      </c>
      <c r="CA262">
        <v>-0.4</v>
      </c>
      <c r="CB262">
        <v>-0.18</v>
      </c>
      <c r="CC262">
        <v>-0.06</v>
      </c>
      <c r="CD262">
        <v>0.09</v>
      </c>
      <c r="CE262">
        <v>0.16</v>
      </c>
      <c r="CF262">
        <v>0.24</v>
      </c>
      <c r="CG262">
        <v>3.44</v>
      </c>
      <c r="CH262">
        <v>13.514999</v>
      </c>
      <c r="CI262">
        <v>16.799999</v>
      </c>
      <c r="CJ262">
        <v>17.450001</v>
      </c>
      <c r="CK262">
        <v>17.780000999999999</v>
      </c>
      <c r="CL262">
        <v>18.129999000000002</v>
      </c>
      <c r="CM262">
        <v>18.994999</v>
      </c>
      <c r="CN262">
        <v>19.622501</v>
      </c>
      <c r="CO262">
        <v>20.649495999999999</v>
      </c>
      <c r="CP262">
        <v>0.46864600000000001</v>
      </c>
      <c r="CQ262">
        <v>13.012783000000001</v>
      </c>
      <c r="CR262">
        <v>14.406883000000001</v>
      </c>
      <c r="CS262">
        <v>1</v>
      </c>
      <c r="CT262">
        <v>49</v>
      </c>
      <c r="CU262">
        <v>14.236722</v>
      </c>
      <c r="CV262">
        <v>4.8095239999999997</v>
      </c>
      <c r="CW262">
        <v>9.2950429999999997</v>
      </c>
      <c r="CX262">
        <v>86.397830999999996</v>
      </c>
      <c r="CY262">
        <v>0.65289200000000003</v>
      </c>
      <c r="CZ262">
        <v>13</v>
      </c>
      <c r="DA262">
        <v>0.80047999999999997</v>
      </c>
      <c r="DB262">
        <v>3.5198489999999998</v>
      </c>
      <c r="DC262">
        <v>7.4078609999999996</v>
      </c>
      <c r="DD262">
        <v>14.236722</v>
      </c>
      <c r="DE262">
        <v>5.1546799999999999</v>
      </c>
      <c r="DF262">
        <v>0.72971200000000003</v>
      </c>
      <c r="DG262">
        <v>0.53556000000000004</v>
      </c>
      <c r="DH262">
        <v>0.36206899999999997</v>
      </c>
      <c r="DI262">
        <v>0.14156299999999999</v>
      </c>
      <c r="DJ262">
        <v>0.103898</v>
      </c>
      <c r="DK262">
        <v>1</v>
      </c>
      <c r="DL262">
        <v>2</v>
      </c>
      <c r="DM262">
        <v>3</v>
      </c>
      <c r="DN262">
        <v>5</v>
      </c>
      <c r="DO262">
        <v>7</v>
      </c>
      <c r="DP262">
        <v>8</v>
      </c>
      <c r="DQ262">
        <v>11</v>
      </c>
      <c r="DR262">
        <v>13</v>
      </c>
      <c r="DS262">
        <v>16</v>
      </c>
      <c r="DT262">
        <v>18</v>
      </c>
      <c r="DU262">
        <v>20</v>
      </c>
      <c r="DV262">
        <v>21</v>
      </c>
      <c r="DW262">
        <v>26</v>
      </c>
      <c r="DX262">
        <v>32</v>
      </c>
      <c r="DY262">
        <v>42</v>
      </c>
      <c r="DZ262">
        <v>92.235608999999997</v>
      </c>
      <c r="EA262">
        <v>60.318665000000003</v>
      </c>
      <c r="EB262">
        <v>106.425703</v>
      </c>
      <c r="EC262">
        <v>1378</v>
      </c>
      <c r="ED262">
        <v>1590</v>
      </c>
      <c r="EE262">
        <v>90.763052000000002</v>
      </c>
      <c r="EF262">
        <v>99.866130999999996</v>
      </c>
      <c r="EG262">
        <v>55.235205000000001</v>
      </c>
      <c r="EH262">
        <v>91.312595000000002</v>
      </c>
      <c r="EI262">
        <v>97.456492999999995</v>
      </c>
      <c r="EJ262">
        <v>161.11111099999999</v>
      </c>
      <c r="EK262">
        <v>1356</v>
      </c>
      <c r="EL262">
        <v>1492</v>
      </c>
      <c r="EM262">
        <v>1456</v>
      </c>
      <c r="EN262">
        <v>2407</v>
      </c>
      <c r="EO262">
        <v>1494</v>
      </c>
      <c r="EP262">
        <v>2636</v>
      </c>
      <c r="EQ262">
        <v>46.980528999999997</v>
      </c>
    </row>
    <row r="263" spans="1:147" x14ac:dyDescent="0.25">
      <c r="A263">
        <v>2022</v>
      </c>
      <c r="B263" t="str">
        <f t="shared" si="8"/>
        <v>GN</v>
      </c>
      <c r="C263" t="s">
        <v>1425</v>
      </c>
      <c r="D263" t="s">
        <v>1425</v>
      </c>
      <c r="E263">
        <v>26501</v>
      </c>
      <c r="F263" t="s">
        <v>1380</v>
      </c>
      <c r="G263" t="s">
        <v>1381</v>
      </c>
      <c r="H263" t="s">
        <v>1426</v>
      </c>
      <c r="I263">
        <v>27.36</v>
      </c>
      <c r="J263">
        <v>27.36</v>
      </c>
      <c r="K263" t="s">
        <v>199</v>
      </c>
      <c r="L263">
        <v>1</v>
      </c>
      <c r="M263">
        <v>2018</v>
      </c>
      <c r="N263">
        <v>2</v>
      </c>
      <c r="O263" t="str">
        <f t="shared" si="9"/>
        <v>Talhadia</v>
      </c>
      <c r="P263" s="2">
        <v>43332</v>
      </c>
      <c r="Q263" t="s">
        <v>174</v>
      </c>
      <c r="R263" t="s">
        <v>249</v>
      </c>
      <c r="S263" t="s">
        <v>154</v>
      </c>
      <c r="T263" t="s">
        <v>199</v>
      </c>
      <c r="U263" t="s">
        <v>156</v>
      </c>
      <c r="V263" s="2">
        <v>44642</v>
      </c>
      <c r="W263" t="s">
        <v>1383</v>
      </c>
      <c r="X263">
        <v>431.88</v>
      </c>
      <c r="Y263">
        <v>19.399999999999999</v>
      </c>
      <c r="Z263">
        <v>10</v>
      </c>
      <c r="AA263">
        <v>15.4</v>
      </c>
      <c r="AB263">
        <v>3</v>
      </c>
      <c r="AC263">
        <v>298.76</v>
      </c>
      <c r="AD263">
        <v>293.817944409799</v>
      </c>
      <c r="AE263" s="2">
        <v>44642</v>
      </c>
      <c r="AF263">
        <v>43</v>
      </c>
      <c r="AG263">
        <v>3.5865845311430502</v>
      </c>
      <c r="AH263">
        <v>24.374218929364901</v>
      </c>
      <c r="AI263">
        <v>15.5103448275862</v>
      </c>
      <c r="AJ263">
        <v>19.025415918986798</v>
      </c>
      <c r="AK263">
        <v>29</v>
      </c>
      <c r="AL263">
        <v>987.00574800675201</v>
      </c>
      <c r="AM263">
        <v>209.201393762229</v>
      </c>
      <c r="AN263">
        <v>0.21195559821683799</v>
      </c>
      <c r="AO263" t="s">
        <v>249</v>
      </c>
      <c r="AP263" t="s">
        <v>264</v>
      </c>
      <c r="AQ263" t="s">
        <v>530</v>
      </c>
      <c r="AR263">
        <v>9</v>
      </c>
      <c r="AS263">
        <v>0.88830517320607705</v>
      </c>
      <c r="AT263" t="s">
        <v>1427</v>
      </c>
      <c r="AU263" t="s">
        <v>1428</v>
      </c>
      <c r="AV263">
        <v>1891</v>
      </c>
      <c r="AW263">
        <v>1891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-0.159</v>
      </c>
      <c r="BH263">
        <v>26.789000000000001</v>
      </c>
      <c r="BI263">
        <v>20.560654</v>
      </c>
      <c r="BJ263">
        <v>22.939285000000002</v>
      </c>
      <c r="BK263">
        <v>6.7761230000000001</v>
      </c>
      <c r="BL263">
        <v>45.915846999999999</v>
      </c>
      <c r="BM263">
        <v>0.329567</v>
      </c>
      <c r="BN263">
        <v>2.731001</v>
      </c>
      <c r="BO263">
        <v>-2.2699829999999999</v>
      </c>
      <c r="BP263">
        <v>6.9185249999999998</v>
      </c>
      <c r="BQ263">
        <v>4.3687760000000004</v>
      </c>
      <c r="BR263">
        <v>1.3419989999999999</v>
      </c>
      <c r="BS263">
        <v>1.301285</v>
      </c>
      <c r="BT263">
        <v>20.560654</v>
      </c>
      <c r="BU263">
        <v>2.864519</v>
      </c>
      <c r="BV263">
        <v>-1.4481809999999999</v>
      </c>
      <c r="BW263">
        <v>0.99879300000000004</v>
      </c>
      <c r="BX263">
        <v>0.13932</v>
      </c>
      <c r="BY263">
        <v>-0.50555799999999995</v>
      </c>
      <c r="BZ263">
        <v>0.34867700000000001</v>
      </c>
      <c r="CA263">
        <v>-7.5200000000000003E-2</v>
      </c>
      <c r="CB263">
        <v>6.7500000000000004E-2</v>
      </c>
      <c r="CC263">
        <v>9.3629999999999995</v>
      </c>
      <c r="CD263">
        <v>20.885999999999999</v>
      </c>
      <c r="CE263">
        <v>21.231999999999999</v>
      </c>
      <c r="CF263">
        <v>21.664000000000001</v>
      </c>
      <c r="CG263">
        <v>22.266999999999999</v>
      </c>
      <c r="CH263">
        <v>22.747999</v>
      </c>
      <c r="CI263">
        <v>23.155999999999999</v>
      </c>
      <c r="CJ263">
        <v>23.646000000000001</v>
      </c>
      <c r="CK263">
        <v>23.963000999999998</v>
      </c>
      <c r="CL263">
        <v>24.26</v>
      </c>
      <c r="CM263">
        <v>25.059999000000001</v>
      </c>
      <c r="CN263">
        <v>25.518501000000001</v>
      </c>
      <c r="CO263">
        <v>26.171099000000002</v>
      </c>
      <c r="CP263">
        <v>0.76887499999999998</v>
      </c>
      <c r="CQ263">
        <v>21.647911000000001</v>
      </c>
      <c r="CR263">
        <v>22.115511000000001</v>
      </c>
      <c r="CS263">
        <v>1</v>
      </c>
      <c r="CT263">
        <v>74</v>
      </c>
      <c r="CU263">
        <v>19.884188000000002</v>
      </c>
      <c r="CV263">
        <v>21.857143000000001</v>
      </c>
      <c r="CW263">
        <v>12.453801</v>
      </c>
      <c r="CX263">
        <v>155.09716299999999</v>
      </c>
      <c r="CY263">
        <v>0.62631700000000001</v>
      </c>
      <c r="CZ263">
        <v>16</v>
      </c>
      <c r="DA263">
        <v>0.76739999999999997</v>
      </c>
      <c r="DB263">
        <v>3.7189299999999998</v>
      </c>
      <c r="DC263">
        <v>9.7669619999999995</v>
      </c>
      <c r="DD263">
        <v>19.884188000000002</v>
      </c>
      <c r="DE263">
        <v>6.8962820000000002</v>
      </c>
      <c r="DF263">
        <v>0.81614900000000001</v>
      </c>
      <c r="DG263">
        <v>0.85679000000000005</v>
      </c>
      <c r="DH263">
        <v>0.34682200000000002</v>
      </c>
      <c r="DI263">
        <v>0.11834600000000001</v>
      </c>
      <c r="DJ263">
        <v>0.124239</v>
      </c>
      <c r="DK263">
        <v>1</v>
      </c>
      <c r="DL263">
        <v>2</v>
      </c>
      <c r="DM263">
        <v>4</v>
      </c>
      <c r="DN263">
        <v>9</v>
      </c>
      <c r="DO263">
        <v>11</v>
      </c>
      <c r="DP263">
        <v>12</v>
      </c>
      <c r="DQ263">
        <v>16</v>
      </c>
      <c r="DR263">
        <v>19</v>
      </c>
      <c r="DS263">
        <v>22</v>
      </c>
      <c r="DT263">
        <v>25</v>
      </c>
      <c r="DU263">
        <v>27</v>
      </c>
      <c r="DV263">
        <v>29</v>
      </c>
      <c r="DW263">
        <v>36</v>
      </c>
      <c r="DX263">
        <v>42</v>
      </c>
      <c r="DY263">
        <v>57</v>
      </c>
      <c r="DZ263">
        <v>92.384980999999996</v>
      </c>
      <c r="EA263">
        <v>92.384980999999996</v>
      </c>
      <c r="EB263">
        <v>92.384980999999996</v>
      </c>
      <c r="EC263">
        <v>1747</v>
      </c>
      <c r="ED263">
        <v>1747</v>
      </c>
      <c r="EE263">
        <v>82.390270000000001</v>
      </c>
      <c r="EF263">
        <v>45.478583</v>
      </c>
      <c r="EG263">
        <v>82.390270000000001</v>
      </c>
      <c r="EH263">
        <v>45.478583</v>
      </c>
      <c r="EI263">
        <v>82.390270000000001</v>
      </c>
      <c r="EJ263">
        <v>45.478583</v>
      </c>
      <c r="EK263">
        <v>1558</v>
      </c>
      <c r="EL263">
        <v>860</v>
      </c>
      <c r="EM263">
        <v>1558</v>
      </c>
      <c r="EN263">
        <v>860</v>
      </c>
      <c r="EO263">
        <v>1891</v>
      </c>
      <c r="EP263">
        <v>1891</v>
      </c>
      <c r="EQ263">
        <v>77.633780999999999</v>
      </c>
    </row>
    <row r="264" spans="1:147" x14ac:dyDescent="0.25">
      <c r="A264">
        <v>2022</v>
      </c>
      <c r="B264" t="str">
        <f t="shared" si="8"/>
        <v>NE</v>
      </c>
      <c r="C264" t="s">
        <v>1429</v>
      </c>
      <c r="D264" t="s">
        <v>1429</v>
      </c>
      <c r="E264">
        <v>26506</v>
      </c>
      <c r="F264" t="s">
        <v>1430</v>
      </c>
      <c r="G264" t="s">
        <v>1112</v>
      </c>
      <c r="H264" t="s">
        <v>1431</v>
      </c>
      <c r="I264">
        <v>54.01</v>
      </c>
      <c r="J264">
        <v>54.01</v>
      </c>
      <c r="K264" t="s">
        <v>1098</v>
      </c>
      <c r="L264">
        <v>1</v>
      </c>
      <c r="M264">
        <v>2018</v>
      </c>
      <c r="N264">
        <v>3</v>
      </c>
      <c r="O264" t="str">
        <f t="shared" si="9"/>
        <v>Talhadia</v>
      </c>
      <c r="P264" s="2">
        <v>43143</v>
      </c>
      <c r="Q264" t="s">
        <v>174</v>
      </c>
      <c r="R264" t="s">
        <v>278</v>
      </c>
      <c r="S264" t="s">
        <v>154</v>
      </c>
      <c r="T264" t="s">
        <v>1098</v>
      </c>
      <c r="U264" t="s">
        <v>156</v>
      </c>
      <c r="V264" s="2">
        <v>44826</v>
      </c>
      <c r="W264" t="s">
        <v>1114</v>
      </c>
      <c r="X264">
        <v>105.9</v>
      </c>
      <c r="Y264">
        <v>19.3</v>
      </c>
      <c r="Z264">
        <v>21</v>
      </c>
      <c r="AA264">
        <v>16.2</v>
      </c>
      <c r="AB264">
        <v>4</v>
      </c>
      <c r="AC264">
        <v>312.66000000000003</v>
      </c>
      <c r="AD264">
        <v>291.18221884714097</v>
      </c>
      <c r="AE264" s="2">
        <v>44826</v>
      </c>
      <c r="AF264">
        <v>55</v>
      </c>
      <c r="AG264">
        <v>4.6078028747433297</v>
      </c>
      <c r="AH264">
        <v>22.739443260462501</v>
      </c>
      <c r="AI264">
        <v>15.9161290322581</v>
      </c>
      <c r="AJ264">
        <v>22.741416513029801</v>
      </c>
      <c r="AK264">
        <v>31</v>
      </c>
      <c r="AL264">
        <v>1064.62544734827</v>
      </c>
      <c r="AM264">
        <v>246.03283546447199</v>
      </c>
      <c r="AN264">
        <v>0.231098022386447</v>
      </c>
      <c r="AO264" t="s">
        <v>278</v>
      </c>
      <c r="AP264" t="s">
        <v>264</v>
      </c>
      <c r="AQ264" t="s">
        <v>1126</v>
      </c>
      <c r="AR264">
        <v>9</v>
      </c>
      <c r="AS264">
        <v>0.95816290261344517</v>
      </c>
      <c r="AT264" t="s">
        <v>1432</v>
      </c>
      <c r="AU264" t="s">
        <v>1433</v>
      </c>
      <c r="AV264">
        <v>5713</v>
      </c>
      <c r="AW264">
        <v>2616</v>
      </c>
      <c r="AX264">
        <v>2212</v>
      </c>
      <c r="AY264">
        <v>794</v>
      </c>
      <c r="AZ264">
        <v>91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-1.1299999999999999</v>
      </c>
      <c r="BH264">
        <v>31.084</v>
      </c>
      <c r="BI264">
        <v>12.885922000000001</v>
      </c>
      <c r="BJ264">
        <v>-0.107333</v>
      </c>
      <c r="BK264">
        <v>11.428983000000001</v>
      </c>
      <c r="BL264">
        <v>130.621644</v>
      </c>
      <c r="BM264">
        <v>0.88693599999999995</v>
      </c>
      <c r="BN264">
        <v>24.684000000000001</v>
      </c>
      <c r="BO264">
        <v>8.7312000000000001E-2</v>
      </c>
      <c r="BP264">
        <v>1.325847</v>
      </c>
      <c r="BQ264">
        <v>10.492475000000001</v>
      </c>
      <c r="BR264">
        <v>12.089</v>
      </c>
      <c r="BS264">
        <v>12.286333000000001</v>
      </c>
      <c r="BT264">
        <v>12.885922000000001</v>
      </c>
      <c r="BU264">
        <v>6.3863750000000001</v>
      </c>
      <c r="BV264">
        <v>0.347723</v>
      </c>
      <c r="BW264">
        <v>-0.91920000000000002</v>
      </c>
      <c r="BX264">
        <v>0.49560900000000002</v>
      </c>
      <c r="BY264">
        <v>5.4448000000000003E-2</v>
      </c>
      <c r="BZ264">
        <v>-0.143931</v>
      </c>
      <c r="CA264">
        <v>-0.40388000000000002</v>
      </c>
      <c r="CB264">
        <v>-0.1678</v>
      </c>
      <c r="CC264">
        <v>-7.4999999999999997E-2</v>
      </c>
      <c r="CD264">
        <v>8.4000000000000005E-2</v>
      </c>
      <c r="CE264">
        <v>0.17100000000000001</v>
      </c>
      <c r="CF264">
        <v>0.30059999999999998</v>
      </c>
      <c r="CG264">
        <v>6.0578000000000003</v>
      </c>
      <c r="CH264">
        <v>12.179</v>
      </c>
      <c r="CI264">
        <v>20.020800000000001</v>
      </c>
      <c r="CJ264">
        <v>24.211599</v>
      </c>
      <c r="CK264">
        <v>24.855</v>
      </c>
      <c r="CL264">
        <v>25.523001000000001</v>
      </c>
      <c r="CM264">
        <v>27.376200000000001</v>
      </c>
      <c r="CN264">
        <v>28.555</v>
      </c>
      <c r="CO264">
        <v>29.703759999999999</v>
      </c>
      <c r="CP264">
        <v>0.43508799999999997</v>
      </c>
      <c r="CQ264">
        <v>17.223407999999999</v>
      </c>
      <c r="CR264">
        <v>19.415272999999999</v>
      </c>
      <c r="CS264">
        <v>1</v>
      </c>
      <c r="CT264">
        <v>47</v>
      </c>
      <c r="CU264">
        <v>11.849116</v>
      </c>
      <c r="CV264">
        <v>1</v>
      </c>
      <c r="CW264">
        <v>8.5069169999999996</v>
      </c>
      <c r="CX264">
        <v>72.367636000000005</v>
      </c>
      <c r="CY264">
        <v>0.71793700000000005</v>
      </c>
      <c r="CZ264">
        <v>13</v>
      </c>
      <c r="DA264">
        <v>0.74571900000000002</v>
      </c>
      <c r="DB264">
        <v>3.105289</v>
      </c>
      <c r="DC264">
        <v>7.1141800000000002</v>
      </c>
      <c r="DD264">
        <v>11.849116</v>
      </c>
      <c r="DE264">
        <v>4.7469770000000002</v>
      </c>
      <c r="DF264">
        <v>0.76296799999999998</v>
      </c>
      <c r="DG264">
        <v>0.23372200000000001</v>
      </c>
      <c r="DH264">
        <v>0.400619</v>
      </c>
      <c r="DI264">
        <v>0.16072700000000001</v>
      </c>
      <c r="DJ264">
        <v>4.9236000000000002E-2</v>
      </c>
      <c r="DK264">
        <v>1</v>
      </c>
      <c r="DL264">
        <v>1</v>
      </c>
      <c r="DM264">
        <v>2</v>
      </c>
      <c r="DN264">
        <v>4</v>
      </c>
      <c r="DO264">
        <v>5</v>
      </c>
      <c r="DP264">
        <v>6</v>
      </c>
      <c r="DQ264">
        <v>8</v>
      </c>
      <c r="DR264">
        <v>10</v>
      </c>
      <c r="DS264">
        <v>13</v>
      </c>
      <c r="DT264">
        <v>16</v>
      </c>
      <c r="DU264">
        <v>18</v>
      </c>
      <c r="DV264">
        <v>20</v>
      </c>
      <c r="DW264">
        <v>23</v>
      </c>
      <c r="DX264">
        <v>27</v>
      </c>
      <c r="DY264">
        <v>35.879883</v>
      </c>
      <c r="DZ264">
        <v>96.330275</v>
      </c>
      <c r="EA264">
        <v>63.731839999999998</v>
      </c>
      <c r="EB264">
        <v>139.18195700000001</v>
      </c>
      <c r="EC264">
        <v>2520</v>
      </c>
      <c r="ED264">
        <v>3641</v>
      </c>
      <c r="EE264">
        <v>88.532110000000003</v>
      </c>
      <c r="EF264">
        <v>99.923546999999999</v>
      </c>
      <c r="EG264">
        <v>47.243130000000001</v>
      </c>
      <c r="EH264">
        <v>92.053212000000002</v>
      </c>
      <c r="EI264">
        <v>103.172783</v>
      </c>
      <c r="EJ264">
        <v>201.03210999999999</v>
      </c>
      <c r="EK264">
        <v>2316</v>
      </c>
      <c r="EL264">
        <v>2614</v>
      </c>
      <c r="EM264">
        <v>2699</v>
      </c>
      <c r="EN264">
        <v>5259</v>
      </c>
      <c r="EO264">
        <v>2616</v>
      </c>
      <c r="EP264">
        <v>5713</v>
      </c>
      <c r="EQ264">
        <v>42.437185999999997</v>
      </c>
    </row>
    <row r="265" spans="1:147" x14ac:dyDescent="0.25">
      <c r="A265">
        <v>2022</v>
      </c>
      <c r="B265" t="str">
        <f t="shared" si="8"/>
        <v>NE</v>
      </c>
      <c r="C265" t="s">
        <v>1434</v>
      </c>
      <c r="D265" t="s">
        <v>1434</v>
      </c>
      <c r="E265">
        <v>26507</v>
      </c>
      <c r="F265" t="s">
        <v>1430</v>
      </c>
      <c r="G265" t="s">
        <v>1112</v>
      </c>
      <c r="H265" t="s">
        <v>1431</v>
      </c>
      <c r="I265">
        <v>54.01</v>
      </c>
      <c r="J265">
        <v>54.01</v>
      </c>
      <c r="K265" t="s">
        <v>1098</v>
      </c>
      <c r="L265">
        <v>1</v>
      </c>
      <c r="M265">
        <v>2018</v>
      </c>
      <c r="N265">
        <v>3</v>
      </c>
      <c r="O265" t="str">
        <f t="shared" si="9"/>
        <v>Talhadia</v>
      </c>
      <c r="P265" s="2">
        <v>43143</v>
      </c>
      <c r="Q265" t="s">
        <v>174</v>
      </c>
      <c r="R265" t="s">
        <v>278</v>
      </c>
      <c r="S265" t="s">
        <v>154</v>
      </c>
      <c r="T265" t="s">
        <v>1098</v>
      </c>
      <c r="U265" t="s">
        <v>156</v>
      </c>
      <c r="V265" s="2">
        <v>44826</v>
      </c>
      <c r="W265" t="s">
        <v>1114</v>
      </c>
      <c r="X265">
        <v>105.9</v>
      </c>
      <c r="Y265">
        <v>19.7</v>
      </c>
      <c r="Z265">
        <v>12</v>
      </c>
      <c r="AA265">
        <v>14.8</v>
      </c>
      <c r="AB265">
        <v>4</v>
      </c>
      <c r="AC265">
        <v>291.56</v>
      </c>
      <c r="AD265">
        <v>284.49400909503402</v>
      </c>
      <c r="AE265" s="2">
        <v>44826</v>
      </c>
      <c r="AF265">
        <v>55</v>
      </c>
      <c r="AG265">
        <v>4.6078028747433297</v>
      </c>
      <c r="AH265">
        <v>25.002399630595601</v>
      </c>
      <c r="AI265">
        <v>16.804347826087</v>
      </c>
      <c r="AJ265">
        <v>19.5983467850766</v>
      </c>
      <c r="AK265">
        <v>23</v>
      </c>
      <c r="AL265">
        <v>808.45287650036005</v>
      </c>
      <c r="AM265">
        <v>239.41058240925301</v>
      </c>
      <c r="AN265">
        <v>0.29613424525819698</v>
      </c>
      <c r="AO265" t="s">
        <v>278</v>
      </c>
      <c r="AP265" t="s">
        <v>264</v>
      </c>
      <c r="AQ265" t="s">
        <v>1126</v>
      </c>
      <c r="AR265">
        <v>9</v>
      </c>
      <c r="AS265">
        <v>0.7276075888503245</v>
      </c>
      <c r="AT265" t="s">
        <v>1435</v>
      </c>
      <c r="AU265" t="s">
        <v>1436</v>
      </c>
      <c r="AV265">
        <v>5284</v>
      </c>
      <c r="AW265">
        <v>2426</v>
      </c>
      <c r="AX265">
        <v>1956</v>
      </c>
      <c r="AY265">
        <v>804</v>
      </c>
      <c r="AZ265">
        <v>98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-1.022</v>
      </c>
      <c r="BH265">
        <v>29.332001000000002</v>
      </c>
      <c r="BI265">
        <v>10.464689</v>
      </c>
      <c r="BJ265">
        <v>-5.8381000000000002E-2</v>
      </c>
      <c r="BK265">
        <v>9.2823139999999995</v>
      </c>
      <c r="BL265">
        <v>86.161356999999995</v>
      </c>
      <c r="BM265">
        <v>0.88701300000000005</v>
      </c>
      <c r="BN265">
        <v>18.328999</v>
      </c>
      <c r="BO265">
        <v>0.27776800000000001</v>
      </c>
      <c r="BP265">
        <v>1.694377</v>
      </c>
      <c r="BQ265">
        <v>8.2066020000000002</v>
      </c>
      <c r="BR265">
        <v>9.4655000000000005</v>
      </c>
      <c r="BS265">
        <v>9.7763810000000007</v>
      </c>
      <c r="BT265">
        <v>10.464689</v>
      </c>
      <c r="BU265">
        <v>5.2588569999999999</v>
      </c>
      <c r="BV265">
        <v>0.60175500000000004</v>
      </c>
      <c r="BW265">
        <v>-0.34018399999999999</v>
      </c>
      <c r="BX265">
        <v>0.50253300000000001</v>
      </c>
      <c r="BY265">
        <v>0.114427</v>
      </c>
      <c r="BZ265">
        <v>-6.4687999999999996E-2</v>
      </c>
      <c r="CA265">
        <v>-0.30151</v>
      </c>
      <c r="CB265">
        <v>-0.12584999999999999</v>
      </c>
      <c r="CC265">
        <v>-4.8000000000000001E-2</v>
      </c>
      <c r="CD265">
        <v>8.5999999999999993E-2</v>
      </c>
      <c r="CE265">
        <v>0.18</v>
      </c>
      <c r="CF265">
        <v>0.38979999999999998</v>
      </c>
      <c r="CG265">
        <v>5.8397990000000002</v>
      </c>
      <c r="CH265">
        <v>9.718</v>
      </c>
      <c r="CI265">
        <v>13.4788</v>
      </c>
      <c r="CJ265">
        <v>16.622101000000001</v>
      </c>
      <c r="CK265">
        <v>18.508998999999999</v>
      </c>
      <c r="CL265">
        <v>20.346397</v>
      </c>
      <c r="CM265">
        <v>24.105702999999998</v>
      </c>
      <c r="CN265">
        <v>25.702801000000001</v>
      </c>
      <c r="CO265">
        <v>28.198208000000001</v>
      </c>
      <c r="CP265">
        <v>0.37842399999999998</v>
      </c>
      <c r="CQ265">
        <v>13.987665</v>
      </c>
      <c r="CR265">
        <v>15.969389</v>
      </c>
      <c r="CS265">
        <v>1</v>
      </c>
      <c r="CT265">
        <v>59</v>
      </c>
      <c r="CU265">
        <v>13.811128</v>
      </c>
      <c r="CV265">
        <v>2.8412700000000002</v>
      </c>
      <c r="CW265">
        <v>9.9958679999999998</v>
      </c>
      <c r="CX265">
        <v>99.917377999999999</v>
      </c>
      <c r="CY265">
        <v>0.72375500000000004</v>
      </c>
      <c r="CZ265">
        <v>14</v>
      </c>
      <c r="DA265">
        <v>1.0249250000000001</v>
      </c>
      <c r="DB265">
        <v>3.99668</v>
      </c>
      <c r="DC265">
        <v>7.9949719999999997</v>
      </c>
      <c r="DD265">
        <v>13.811128</v>
      </c>
      <c r="DE265">
        <v>5.463724</v>
      </c>
      <c r="DF265">
        <v>1.0797600000000001</v>
      </c>
      <c r="DG265">
        <v>0.53551300000000002</v>
      </c>
      <c r="DH265">
        <v>0.39560299999999998</v>
      </c>
      <c r="DI265">
        <v>0.19762299999999999</v>
      </c>
      <c r="DJ265">
        <v>9.8012000000000002E-2</v>
      </c>
      <c r="DK265">
        <v>1</v>
      </c>
      <c r="DL265">
        <v>2</v>
      </c>
      <c r="DM265">
        <v>3</v>
      </c>
      <c r="DN265">
        <v>5</v>
      </c>
      <c r="DO265">
        <v>6</v>
      </c>
      <c r="DP265">
        <v>7</v>
      </c>
      <c r="DQ265">
        <v>9</v>
      </c>
      <c r="DR265">
        <v>12</v>
      </c>
      <c r="DS265">
        <v>15</v>
      </c>
      <c r="DT265">
        <v>18</v>
      </c>
      <c r="DU265">
        <v>20</v>
      </c>
      <c r="DV265">
        <v>22</v>
      </c>
      <c r="DW265">
        <v>27</v>
      </c>
      <c r="DX265">
        <v>33</v>
      </c>
      <c r="DY265">
        <v>45.169922</v>
      </c>
      <c r="DZ265">
        <v>97.073372000000006</v>
      </c>
      <c r="EA265">
        <v>66.180924000000005</v>
      </c>
      <c r="EB265">
        <v>144.14674400000001</v>
      </c>
      <c r="EC265">
        <v>2355</v>
      </c>
      <c r="ED265">
        <v>3497</v>
      </c>
      <c r="EE265">
        <v>85.284419</v>
      </c>
      <c r="EF265">
        <v>100</v>
      </c>
      <c r="EG265">
        <v>47.445117000000003</v>
      </c>
      <c r="EH265">
        <v>90.802422000000007</v>
      </c>
      <c r="EI265">
        <v>103.338829</v>
      </c>
      <c r="EJ265">
        <v>197.774114</v>
      </c>
      <c r="EK265">
        <v>2069</v>
      </c>
      <c r="EL265">
        <v>2426</v>
      </c>
      <c r="EM265">
        <v>2507</v>
      </c>
      <c r="EN265">
        <v>4798</v>
      </c>
      <c r="EO265">
        <v>2426</v>
      </c>
      <c r="EP265">
        <v>5284</v>
      </c>
      <c r="EQ265">
        <v>36.160285000000002</v>
      </c>
    </row>
    <row r="266" spans="1:147" x14ac:dyDescent="0.25">
      <c r="A266">
        <v>2022</v>
      </c>
      <c r="B266" t="str">
        <f t="shared" si="8"/>
        <v>NE</v>
      </c>
      <c r="C266" t="s">
        <v>1437</v>
      </c>
      <c r="D266" t="s">
        <v>1437</v>
      </c>
      <c r="E266">
        <v>26508</v>
      </c>
      <c r="F266" t="s">
        <v>1430</v>
      </c>
      <c r="G266" t="s">
        <v>1112</v>
      </c>
      <c r="H266" t="s">
        <v>1431</v>
      </c>
      <c r="I266">
        <v>54.01</v>
      </c>
      <c r="J266">
        <v>54.01</v>
      </c>
      <c r="K266" t="s">
        <v>1098</v>
      </c>
      <c r="L266">
        <v>1</v>
      </c>
      <c r="M266">
        <v>2018</v>
      </c>
      <c r="N266">
        <v>3</v>
      </c>
      <c r="O266" t="str">
        <f t="shared" si="9"/>
        <v>Talhadia</v>
      </c>
      <c r="P266" s="2">
        <v>43143</v>
      </c>
      <c r="Q266" t="s">
        <v>174</v>
      </c>
      <c r="R266" t="s">
        <v>278</v>
      </c>
      <c r="S266" t="s">
        <v>154</v>
      </c>
      <c r="T266" t="s">
        <v>1098</v>
      </c>
      <c r="U266" t="s">
        <v>156</v>
      </c>
      <c r="V266" s="2">
        <v>44826</v>
      </c>
      <c r="W266" t="s">
        <v>1114</v>
      </c>
      <c r="X266">
        <v>105.9</v>
      </c>
      <c r="Y266">
        <v>21.1</v>
      </c>
      <c r="Z266">
        <v>25</v>
      </c>
      <c r="AA266">
        <v>14.1</v>
      </c>
      <c r="AB266">
        <v>6</v>
      </c>
      <c r="AC266">
        <v>297.51</v>
      </c>
      <c r="AD266">
        <v>268.15853752921902</v>
      </c>
      <c r="AE266" s="2">
        <v>44826</v>
      </c>
      <c r="AF266">
        <v>55</v>
      </c>
      <c r="AG266">
        <v>4.6078028747433297</v>
      </c>
      <c r="AH266">
        <v>15.9667782811748</v>
      </c>
      <c r="AI266">
        <v>13.366666666666699</v>
      </c>
      <c r="AJ266">
        <v>13.373397988506399</v>
      </c>
      <c r="AK266">
        <v>24</v>
      </c>
      <c r="AL266">
        <v>894.99294787080601</v>
      </c>
      <c r="AM266">
        <v>100.209925667378</v>
      </c>
      <c r="AN266">
        <v>0.111967279636983</v>
      </c>
      <c r="AO266" t="s">
        <v>278</v>
      </c>
      <c r="AP266" t="s">
        <v>264</v>
      </c>
      <c r="AQ266" t="s">
        <v>1126</v>
      </c>
      <c r="AR266">
        <v>9</v>
      </c>
      <c r="AS266">
        <v>0.80549365308372578</v>
      </c>
      <c r="AT266" t="s">
        <v>1438</v>
      </c>
      <c r="AU266" t="s">
        <v>1439</v>
      </c>
      <c r="AV266">
        <v>4269</v>
      </c>
      <c r="AW266">
        <v>2268</v>
      </c>
      <c r="AX266">
        <v>1677</v>
      </c>
      <c r="AY266">
        <v>316</v>
      </c>
      <c r="AZ266">
        <v>8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-0.873</v>
      </c>
      <c r="BH266">
        <v>16.864000000000001</v>
      </c>
      <c r="BI266">
        <v>8.4769179999999995</v>
      </c>
      <c r="BJ266">
        <v>-2.8381E-2</v>
      </c>
      <c r="BK266">
        <v>6.5861910000000004</v>
      </c>
      <c r="BL266">
        <v>43.377907999999998</v>
      </c>
      <c r="BM266">
        <v>0.77695599999999998</v>
      </c>
      <c r="BN266">
        <v>14.227</v>
      </c>
      <c r="BO266">
        <v>-0.30676900000000001</v>
      </c>
      <c r="BP266">
        <v>1.303134</v>
      </c>
      <c r="BQ266">
        <v>6.2009569999999998</v>
      </c>
      <c r="BR266">
        <v>3.7130000000000001</v>
      </c>
      <c r="BS266">
        <v>11.973381</v>
      </c>
      <c r="BT266">
        <v>8.4769179999999995</v>
      </c>
      <c r="BU266">
        <v>3.600482</v>
      </c>
      <c r="BV266">
        <v>-0.364373</v>
      </c>
      <c r="BW266">
        <v>-0.52813299999999996</v>
      </c>
      <c r="BX266">
        <v>0.42473899999999998</v>
      </c>
      <c r="BY266">
        <v>-0.101201</v>
      </c>
      <c r="BZ266">
        <v>-0.14668400000000001</v>
      </c>
      <c r="CA266">
        <v>-0.36931999999999998</v>
      </c>
      <c r="CB266">
        <v>-0.14699999999999999</v>
      </c>
      <c r="CC266">
        <v>-5.3999999999999999E-2</v>
      </c>
      <c r="CD266">
        <v>0.11</v>
      </c>
      <c r="CE266">
        <v>0.21199999999999999</v>
      </c>
      <c r="CF266">
        <v>0.47320000000000001</v>
      </c>
      <c r="CG266">
        <v>6.3638000000000003</v>
      </c>
      <c r="CH266">
        <v>11.945</v>
      </c>
      <c r="CI266">
        <v>13.3988</v>
      </c>
      <c r="CJ266">
        <v>14.1356</v>
      </c>
      <c r="CK266">
        <v>14.439</v>
      </c>
      <c r="CL266">
        <v>14.7384</v>
      </c>
      <c r="CM266">
        <v>15.458</v>
      </c>
      <c r="CN266">
        <v>15.8622</v>
      </c>
      <c r="CO266">
        <v>16.492918</v>
      </c>
      <c r="CP266">
        <v>0.527142</v>
      </c>
      <c r="CQ266">
        <v>10.734332</v>
      </c>
      <c r="CR266">
        <v>11.755195000000001</v>
      </c>
      <c r="CS266">
        <v>1</v>
      </c>
      <c r="CT266">
        <v>45</v>
      </c>
      <c r="CU266">
        <v>14.412743000000001</v>
      </c>
      <c r="CV266">
        <v>2.3968250000000002</v>
      </c>
      <c r="CW266">
        <v>9.1946659999999998</v>
      </c>
      <c r="CX266">
        <v>84.541881000000004</v>
      </c>
      <c r="CY266">
        <v>0.63795400000000002</v>
      </c>
      <c r="CZ266">
        <v>14</v>
      </c>
      <c r="DA266">
        <v>0.48352400000000001</v>
      </c>
      <c r="DB266">
        <v>2.3305820000000002</v>
      </c>
      <c r="DC266">
        <v>7.7799759999999996</v>
      </c>
      <c r="DD266">
        <v>14.412743000000001</v>
      </c>
      <c r="DE266">
        <v>5.2237710000000002</v>
      </c>
      <c r="DF266">
        <v>0.62807000000000002</v>
      </c>
      <c r="DG266">
        <v>0.196409</v>
      </c>
      <c r="DH266">
        <v>0.36244100000000001</v>
      </c>
      <c r="DI266">
        <v>0.12023300000000001</v>
      </c>
      <c r="DJ266">
        <v>3.7599E-2</v>
      </c>
      <c r="DK266">
        <v>1</v>
      </c>
      <c r="DL266">
        <v>2</v>
      </c>
      <c r="DM266">
        <v>3</v>
      </c>
      <c r="DN266">
        <v>5</v>
      </c>
      <c r="DO266">
        <v>7</v>
      </c>
      <c r="DP266">
        <v>8</v>
      </c>
      <c r="DQ266">
        <v>10</v>
      </c>
      <c r="DR266">
        <v>13</v>
      </c>
      <c r="DS266">
        <v>16</v>
      </c>
      <c r="DT266">
        <v>20</v>
      </c>
      <c r="DU266">
        <v>21</v>
      </c>
      <c r="DV266">
        <v>23</v>
      </c>
      <c r="DW266">
        <v>27</v>
      </c>
      <c r="DX266">
        <v>31</v>
      </c>
      <c r="DY266">
        <v>36</v>
      </c>
      <c r="DZ266">
        <v>98.765432000000004</v>
      </c>
      <c r="EA266">
        <v>64.933239999999998</v>
      </c>
      <c r="EB266">
        <v>122.222222</v>
      </c>
      <c r="EC266">
        <v>2240</v>
      </c>
      <c r="ED266">
        <v>2772</v>
      </c>
      <c r="EE266">
        <v>97.354496999999995</v>
      </c>
      <c r="EF266">
        <v>99.955907999999994</v>
      </c>
      <c r="EG266">
        <v>57.132818</v>
      </c>
      <c r="EH266">
        <v>88.428202999999996</v>
      </c>
      <c r="EI266">
        <v>107.539683</v>
      </c>
      <c r="EJ266">
        <v>166.44620800000001</v>
      </c>
      <c r="EK266">
        <v>2208</v>
      </c>
      <c r="EL266">
        <v>2267</v>
      </c>
      <c r="EM266">
        <v>2439</v>
      </c>
      <c r="EN266">
        <v>3775</v>
      </c>
      <c r="EO266">
        <v>2268</v>
      </c>
      <c r="EP266">
        <v>4269</v>
      </c>
      <c r="EQ266">
        <v>50.509372999999997</v>
      </c>
    </row>
    <row r="267" spans="1:147" x14ac:dyDescent="0.25">
      <c r="A267">
        <v>2022</v>
      </c>
      <c r="B267" t="str">
        <f t="shared" si="8"/>
        <v>NE</v>
      </c>
      <c r="C267" t="s">
        <v>1440</v>
      </c>
      <c r="D267" t="s">
        <v>1440</v>
      </c>
      <c r="E267">
        <v>26520</v>
      </c>
      <c r="F267" t="s">
        <v>1441</v>
      </c>
      <c r="G267" t="s">
        <v>1442</v>
      </c>
      <c r="H267" t="s">
        <v>1443</v>
      </c>
      <c r="I267">
        <v>17.489999999999998</v>
      </c>
      <c r="J267">
        <v>17.489999999999998</v>
      </c>
      <c r="K267" t="s">
        <v>190</v>
      </c>
      <c r="L267">
        <v>1</v>
      </c>
      <c r="M267">
        <v>2018</v>
      </c>
      <c r="N267">
        <v>2</v>
      </c>
      <c r="O267" t="str">
        <f t="shared" si="9"/>
        <v>Talhadia</v>
      </c>
      <c r="P267" s="2">
        <v>43454</v>
      </c>
      <c r="Q267" t="s">
        <v>322</v>
      </c>
      <c r="R267" t="s">
        <v>655</v>
      </c>
      <c r="S267" t="s">
        <v>154</v>
      </c>
      <c r="T267" t="s">
        <v>175</v>
      </c>
      <c r="U267" t="s">
        <v>156</v>
      </c>
      <c r="V267" s="2">
        <v>44586</v>
      </c>
      <c r="W267" t="s">
        <v>1444</v>
      </c>
      <c r="X267">
        <v>65.34</v>
      </c>
      <c r="Y267">
        <v>20</v>
      </c>
      <c r="Z267">
        <v>26</v>
      </c>
      <c r="AA267">
        <v>16.2</v>
      </c>
      <c r="AB267">
        <v>9</v>
      </c>
      <c r="AC267">
        <v>324</v>
      </c>
      <c r="AD267">
        <v>287.624001640828</v>
      </c>
      <c r="AE267" s="2">
        <v>44586</v>
      </c>
      <c r="AF267">
        <v>37</v>
      </c>
      <c r="AG267">
        <v>3.0992470910335399</v>
      </c>
      <c r="AH267">
        <v>17.5173938084931</v>
      </c>
      <c r="AI267">
        <v>13.4296296296296</v>
      </c>
      <c r="AJ267">
        <v>14.382946482608499</v>
      </c>
      <c r="AK267">
        <v>27</v>
      </c>
      <c r="AL267">
        <v>938.72555301265697</v>
      </c>
      <c r="AM267">
        <v>110.985352662051</v>
      </c>
      <c r="AN267">
        <v>0.118229819467325</v>
      </c>
      <c r="AO267" t="s">
        <v>655</v>
      </c>
      <c r="AP267" t="s">
        <v>264</v>
      </c>
      <c r="AQ267" t="s">
        <v>1126</v>
      </c>
      <c r="AR267">
        <v>9.99</v>
      </c>
      <c r="AS267">
        <v>0.9377868274596457</v>
      </c>
      <c r="AT267" t="s">
        <v>1445</v>
      </c>
      <c r="AU267" t="s">
        <v>1446</v>
      </c>
      <c r="AV267">
        <v>821</v>
      </c>
      <c r="AW267">
        <v>821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-0.318</v>
      </c>
      <c r="BH267">
        <v>20.934999000000001</v>
      </c>
      <c r="BI267">
        <v>14.969485000000001</v>
      </c>
      <c r="BJ267">
        <v>17.224157999999999</v>
      </c>
      <c r="BK267">
        <v>4.231293</v>
      </c>
      <c r="BL267">
        <v>17.903842000000001</v>
      </c>
      <c r="BM267">
        <v>0.282661</v>
      </c>
      <c r="BN267">
        <v>3.268999</v>
      </c>
      <c r="BO267">
        <v>-1.8706609999999999</v>
      </c>
      <c r="BP267">
        <v>6.7908150000000003</v>
      </c>
      <c r="BQ267">
        <v>2.9057840000000001</v>
      </c>
      <c r="BR267">
        <v>1.585</v>
      </c>
      <c r="BS267">
        <v>1.8371580000000001</v>
      </c>
      <c r="BT267">
        <v>14.969485000000001</v>
      </c>
      <c r="BU267">
        <v>2.0841959999999999</v>
      </c>
      <c r="BV267">
        <v>-0.64706799999999998</v>
      </c>
      <c r="BW267">
        <v>0.52922499999999995</v>
      </c>
      <c r="BX267">
        <v>0.13922999999999999</v>
      </c>
      <c r="BY267">
        <v>-0.31046400000000002</v>
      </c>
      <c r="BZ267">
        <v>0.25392300000000001</v>
      </c>
      <c r="CA267">
        <v>5.7599999999999998E-2</v>
      </c>
      <c r="CB267">
        <v>6.2439999999999998</v>
      </c>
      <c r="CC267">
        <v>9.0190000000000001</v>
      </c>
      <c r="CD267">
        <v>13.504</v>
      </c>
      <c r="CE267">
        <v>14.106999999999999</v>
      </c>
      <c r="CF267">
        <v>14.574999999999999</v>
      </c>
      <c r="CG267">
        <v>15.279</v>
      </c>
      <c r="CH267">
        <v>15.991</v>
      </c>
      <c r="CI267">
        <v>16.600999999999999</v>
      </c>
      <c r="CJ267">
        <v>17.170000000000002</v>
      </c>
      <c r="CK267">
        <v>17.375999</v>
      </c>
      <c r="CL267">
        <v>17.754999000000002</v>
      </c>
      <c r="CM267">
        <v>18.889999</v>
      </c>
      <c r="CN267">
        <v>19.478999999999999</v>
      </c>
      <c r="CO267">
        <v>20.381001000000001</v>
      </c>
      <c r="CP267">
        <v>0.71931</v>
      </c>
      <c r="CQ267">
        <v>15.555305000000001</v>
      </c>
      <c r="CR267">
        <v>15.895085999999999</v>
      </c>
      <c r="CS267">
        <v>1</v>
      </c>
      <c r="CT267">
        <v>33</v>
      </c>
      <c r="CU267">
        <v>13.387333</v>
      </c>
      <c r="CV267">
        <v>15.730159</v>
      </c>
      <c r="CW267">
        <v>5.3938569999999997</v>
      </c>
      <c r="CX267">
        <v>29.093692999999998</v>
      </c>
      <c r="CY267">
        <v>0.40290799999999999</v>
      </c>
      <c r="CZ267">
        <v>7</v>
      </c>
      <c r="DA267">
        <v>0.14229600000000001</v>
      </c>
      <c r="DB267">
        <v>3.465684</v>
      </c>
      <c r="DC267">
        <v>4.2332349999999996</v>
      </c>
      <c r="DD267">
        <v>13.387333</v>
      </c>
      <c r="DE267">
        <v>3.0064500000000001</v>
      </c>
      <c r="DF267">
        <v>-2.5954000000000001E-2</v>
      </c>
      <c r="DG267">
        <v>0.42768200000000001</v>
      </c>
      <c r="DH267">
        <v>0.224574</v>
      </c>
      <c r="DI267">
        <v>-8.633E-3</v>
      </c>
      <c r="DJ267">
        <v>0.14225499999999999</v>
      </c>
      <c r="DK267">
        <v>1</v>
      </c>
      <c r="DL267">
        <v>4</v>
      </c>
      <c r="DM267">
        <v>6</v>
      </c>
      <c r="DN267">
        <v>9</v>
      </c>
      <c r="DO267">
        <v>10</v>
      </c>
      <c r="DP267">
        <v>11</v>
      </c>
      <c r="DQ267">
        <v>12</v>
      </c>
      <c r="DR267">
        <v>13</v>
      </c>
      <c r="DS267">
        <v>15</v>
      </c>
      <c r="DT267">
        <v>16</v>
      </c>
      <c r="DU267">
        <v>17</v>
      </c>
      <c r="DV267">
        <v>18</v>
      </c>
      <c r="DW267">
        <v>19</v>
      </c>
      <c r="DX267">
        <v>22</v>
      </c>
      <c r="DY267">
        <v>28.799987999999999</v>
      </c>
      <c r="DZ267">
        <v>96.102314000000007</v>
      </c>
      <c r="EA267">
        <v>96.102314000000007</v>
      </c>
      <c r="EB267">
        <v>96.102314000000007</v>
      </c>
      <c r="EC267">
        <v>789</v>
      </c>
      <c r="ED267">
        <v>789</v>
      </c>
      <c r="EE267">
        <v>63.702801000000001</v>
      </c>
      <c r="EF267">
        <v>29.232642999999999</v>
      </c>
      <c r="EG267">
        <v>63.702801000000001</v>
      </c>
      <c r="EH267">
        <v>29.232642999999999</v>
      </c>
      <c r="EI267">
        <v>63.702801000000001</v>
      </c>
      <c r="EJ267">
        <v>29.232642999999999</v>
      </c>
      <c r="EK267">
        <v>523</v>
      </c>
      <c r="EL267">
        <v>240</v>
      </c>
      <c r="EM267">
        <v>523</v>
      </c>
      <c r="EN267">
        <v>240</v>
      </c>
      <c r="EO267">
        <v>821</v>
      </c>
      <c r="EP267">
        <v>821</v>
      </c>
      <c r="EQ267">
        <v>72.512186</v>
      </c>
    </row>
    <row r="268" spans="1:147" x14ac:dyDescent="0.25">
      <c r="A268">
        <v>2022</v>
      </c>
      <c r="B268" t="str">
        <f t="shared" si="8"/>
        <v>NE</v>
      </c>
      <c r="C268" t="s">
        <v>1447</v>
      </c>
      <c r="D268" t="s">
        <v>1447</v>
      </c>
      <c r="E268">
        <v>26524</v>
      </c>
      <c r="F268" t="s">
        <v>1448</v>
      </c>
      <c r="G268" t="s">
        <v>1112</v>
      </c>
      <c r="H268" t="s">
        <v>1449</v>
      </c>
      <c r="I268">
        <v>30.63</v>
      </c>
      <c r="J268">
        <v>30.63</v>
      </c>
      <c r="K268" t="s">
        <v>1098</v>
      </c>
      <c r="L268">
        <v>1</v>
      </c>
      <c r="M268">
        <v>2018</v>
      </c>
      <c r="N268">
        <v>4</v>
      </c>
      <c r="O268" t="str">
        <f t="shared" si="9"/>
        <v>Alto fuste</v>
      </c>
      <c r="P268" s="2">
        <v>43306</v>
      </c>
      <c r="Q268" t="s">
        <v>174</v>
      </c>
      <c r="R268" t="s">
        <v>470</v>
      </c>
      <c r="S268" t="s">
        <v>154</v>
      </c>
      <c r="T268" t="s">
        <v>1098</v>
      </c>
      <c r="U268" t="s">
        <v>156</v>
      </c>
      <c r="V268" s="2">
        <v>44825</v>
      </c>
      <c r="W268" t="s">
        <v>1114</v>
      </c>
      <c r="X268">
        <v>154.9</v>
      </c>
      <c r="Y268">
        <v>20.7</v>
      </c>
      <c r="Z268">
        <v>9</v>
      </c>
      <c r="AA268">
        <v>15.9</v>
      </c>
      <c r="AB268">
        <v>2</v>
      </c>
      <c r="AC268">
        <v>329.13</v>
      </c>
      <c r="AD268">
        <v>324.87983488891899</v>
      </c>
      <c r="AE268" s="2">
        <v>44825</v>
      </c>
      <c r="AF268">
        <v>50</v>
      </c>
      <c r="AG268">
        <v>4.1587953456536599</v>
      </c>
      <c r="AH268">
        <v>22.838202551463901</v>
      </c>
      <c r="AI268">
        <v>15.2967741935484</v>
      </c>
      <c r="AJ268">
        <v>18.250894917523301</v>
      </c>
      <c r="AK268">
        <v>31</v>
      </c>
      <c r="AL268">
        <v>954.19895822710396</v>
      </c>
      <c r="AM268">
        <v>187.05589185574499</v>
      </c>
      <c r="AN268">
        <v>0.196034475035787</v>
      </c>
      <c r="AO268" t="s">
        <v>470</v>
      </c>
      <c r="AP268" t="s">
        <v>158</v>
      </c>
      <c r="AQ268" t="s">
        <v>752</v>
      </c>
      <c r="AR268">
        <v>9</v>
      </c>
      <c r="AS268">
        <v>0.8587790624043935</v>
      </c>
      <c r="AT268" t="s">
        <v>1450</v>
      </c>
      <c r="AU268" t="s">
        <v>1451</v>
      </c>
      <c r="AV268">
        <v>7021</v>
      </c>
      <c r="AW268">
        <v>2784</v>
      </c>
      <c r="AX268">
        <v>3475</v>
      </c>
      <c r="AY268">
        <v>712</v>
      </c>
      <c r="AZ268">
        <v>50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-1.1619999999999999</v>
      </c>
      <c r="BH268">
        <v>27.186001000000001</v>
      </c>
      <c r="BI268">
        <v>7.5888350000000004</v>
      </c>
      <c r="BJ268">
        <v>-0.26206299999999999</v>
      </c>
      <c r="BK268">
        <v>9.9550640000000001</v>
      </c>
      <c r="BL268">
        <v>99.103305000000006</v>
      </c>
      <c r="BM268">
        <v>1.311804</v>
      </c>
      <c r="BN268">
        <v>17.847000000000001</v>
      </c>
      <c r="BO268">
        <v>0.82426200000000005</v>
      </c>
      <c r="BP268">
        <v>1.91805</v>
      </c>
      <c r="BQ268">
        <v>8.9086459999999992</v>
      </c>
      <c r="BR268">
        <v>0.501</v>
      </c>
      <c r="BS268">
        <v>0.55706299999999997</v>
      </c>
      <c r="BT268">
        <v>7.5888350000000004</v>
      </c>
      <c r="BU268">
        <v>5.0930039999999996</v>
      </c>
      <c r="BV268">
        <v>1.797428</v>
      </c>
      <c r="BW268">
        <v>-0.213477</v>
      </c>
      <c r="BX268">
        <v>0.67111799999999999</v>
      </c>
      <c r="BY268">
        <v>0.35292099999999998</v>
      </c>
      <c r="BZ268">
        <v>-4.1916000000000002E-2</v>
      </c>
      <c r="CA268">
        <v>-0.36699999999999999</v>
      </c>
      <c r="CB268">
        <v>-0.18</v>
      </c>
      <c r="CC268">
        <v>-0.111</v>
      </c>
      <c r="CD268">
        <v>-2.8000000000000001E-2</v>
      </c>
      <c r="CE268">
        <v>8.0000000000000002E-3</v>
      </c>
      <c r="CF268">
        <v>4.4999999999999998E-2</v>
      </c>
      <c r="CG268">
        <v>0.123</v>
      </c>
      <c r="CH268">
        <v>0.28899999999999998</v>
      </c>
      <c r="CI268">
        <v>4.6550000000000002</v>
      </c>
      <c r="CJ268">
        <v>12.225</v>
      </c>
      <c r="CK268">
        <v>17.855</v>
      </c>
      <c r="CL268">
        <v>21.908000999999999</v>
      </c>
      <c r="CM268">
        <v>24.163</v>
      </c>
      <c r="CN268">
        <v>25.010999999999999</v>
      </c>
      <c r="CO268">
        <v>26.106998000000001</v>
      </c>
      <c r="CP268">
        <v>0.308693</v>
      </c>
      <c r="CQ268">
        <v>12.517173</v>
      </c>
      <c r="CR268">
        <v>15.191674000000001</v>
      </c>
      <c r="CS268">
        <v>1</v>
      </c>
      <c r="CT268">
        <v>59</v>
      </c>
      <c r="CU268">
        <v>16.728670999999999</v>
      </c>
      <c r="CV268">
        <v>1</v>
      </c>
      <c r="CW268">
        <v>13.012421</v>
      </c>
      <c r="CX268">
        <v>169.323094</v>
      </c>
      <c r="CY268">
        <v>0.77785099999999996</v>
      </c>
      <c r="CZ268">
        <v>20</v>
      </c>
      <c r="DA268">
        <v>0.71416900000000005</v>
      </c>
      <c r="DB268">
        <v>2.5506799999999998</v>
      </c>
      <c r="DC268">
        <v>10.947479</v>
      </c>
      <c r="DD268">
        <v>16.728670999999999</v>
      </c>
      <c r="DE268">
        <v>7.2697909999999997</v>
      </c>
      <c r="DF268">
        <v>1.383904</v>
      </c>
      <c r="DG268">
        <v>0.28384700000000002</v>
      </c>
      <c r="DH268">
        <v>0.43457099999999999</v>
      </c>
      <c r="DI268">
        <v>0.19036400000000001</v>
      </c>
      <c r="DJ268">
        <v>3.9045000000000003E-2</v>
      </c>
      <c r="DK268">
        <v>1</v>
      </c>
      <c r="DL268">
        <v>1</v>
      </c>
      <c r="DM268">
        <v>2</v>
      </c>
      <c r="DN268">
        <v>4</v>
      </c>
      <c r="DO268">
        <v>6</v>
      </c>
      <c r="DP268">
        <v>7</v>
      </c>
      <c r="DQ268">
        <v>10</v>
      </c>
      <c r="DR268">
        <v>14</v>
      </c>
      <c r="DS268">
        <v>18</v>
      </c>
      <c r="DT268">
        <v>23</v>
      </c>
      <c r="DU268">
        <v>26</v>
      </c>
      <c r="DV268">
        <v>29</v>
      </c>
      <c r="DW268">
        <v>37</v>
      </c>
      <c r="DX268">
        <v>41</v>
      </c>
      <c r="DY268">
        <v>49</v>
      </c>
      <c r="DZ268">
        <v>77.693966000000003</v>
      </c>
      <c r="EA268">
        <v>43.469591000000001</v>
      </c>
      <c r="EB268">
        <v>109.626437</v>
      </c>
      <c r="EC268">
        <v>2163</v>
      </c>
      <c r="ED268">
        <v>3052</v>
      </c>
      <c r="EE268">
        <v>73.275862000000004</v>
      </c>
      <c r="EF268">
        <v>100</v>
      </c>
      <c r="EG268">
        <v>33.969520000000003</v>
      </c>
      <c r="EH268">
        <v>97.735365000000002</v>
      </c>
      <c r="EI268">
        <v>85.668103000000002</v>
      </c>
      <c r="EJ268">
        <v>246.479885</v>
      </c>
      <c r="EK268">
        <v>2040</v>
      </c>
      <c r="EL268">
        <v>2784</v>
      </c>
      <c r="EM268">
        <v>2385</v>
      </c>
      <c r="EN268">
        <v>6862</v>
      </c>
      <c r="EO268">
        <v>2784</v>
      </c>
      <c r="EP268">
        <v>7021</v>
      </c>
      <c r="EQ268">
        <v>28.155328000000001</v>
      </c>
    </row>
    <row r="269" spans="1:147" x14ac:dyDescent="0.25">
      <c r="A269">
        <v>2022</v>
      </c>
      <c r="B269" t="str">
        <f t="shared" si="8"/>
        <v>NE</v>
      </c>
      <c r="C269" t="s">
        <v>1452</v>
      </c>
      <c r="D269" t="s">
        <v>1452</v>
      </c>
      <c r="E269">
        <v>26525</v>
      </c>
      <c r="F269" t="s">
        <v>1448</v>
      </c>
      <c r="G269" t="s">
        <v>1112</v>
      </c>
      <c r="H269" t="s">
        <v>1449</v>
      </c>
      <c r="I269">
        <v>30.63</v>
      </c>
      <c r="J269">
        <v>30.63</v>
      </c>
      <c r="K269" t="s">
        <v>1098</v>
      </c>
      <c r="L269">
        <v>1</v>
      </c>
      <c r="M269">
        <v>2018</v>
      </c>
      <c r="N269">
        <v>4</v>
      </c>
      <c r="O269" t="str">
        <f t="shared" si="9"/>
        <v>Alto fuste</v>
      </c>
      <c r="P269" s="2">
        <v>43306</v>
      </c>
      <c r="Q269" t="s">
        <v>174</v>
      </c>
      <c r="R269" t="s">
        <v>470</v>
      </c>
      <c r="S269" t="s">
        <v>154</v>
      </c>
      <c r="T269" t="s">
        <v>1098</v>
      </c>
      <c r="U269" t="s">
        <v>156</v>
      </c>
      <c r="V269" s="2">
        <v>44825</v>
      </c>
      <c r="W269" t="s">
        <v>1114</v>
      </c>
      <c r="X269">
        <v>154.9</v>
      </c>
      <c r="Y269">
        <v>21.3</v>
      </c>
      <c r="Z269">
        <v>19</v>
      </c>
      <c r="AA269">
        <v>15.7</v>
      </c>
      <c r="AB269">
        <v>6</v>
      </c>
      <c r="AC269">
        <v>334.41</v>
      </c>
      <c r="AD269">
        <v>314.458740213878</v>
      </c>
      <c r="AE269" s="2">
        <v>44825</v>
      </c>
      <c r="AF269">
        <v>50</v>
      </c>
      <c r="AG269">
        <v>4.1587953456536599</v>
      </c>
      <c r="AH269">
        <v>22.778264509736601</v>
      </c>
      <c r="AI269">
        <v>15.2269230769231</v>
      </c>
      <c r="AJ269">
        <v>15.3812127368459</v>
      </c>
      <c r="AK269">
        <v>26</v>
      </c>
      <c r="AL269">
        <v>826.81753359172501</v>
      </c>
      <c r="AM269">
        <v>154.39318964848499</v>
      </c>
      <c r="AN269">
        <v>0.18673187659409701</v>
      </c>
      <c r="AO269" t="s">
        <v>470</v>
      </c>
      <c r="AP269" t="s">
        <v>158</v>
      </c>
      <c r="AQ269" t="s">
        <v>752</v>
      </c>
      <c r="AR269">
        <v>9</v>
      </c>
      <c r="AS269">
        <v>0.74413578023255356</v>
      </c>
      <c r="AT269" t="s">
        <v>1453</v>
      </c>
      <c r="AU269" t="s">
        <v>1454</v>
      </c>
      <c r="AV269">
        <v>5133</v>
      </c>
      <c r="AW269">
        <v>2792</v>
      </c>
      <c r="AX269">
        <v>1960</v>
      </c>
      <c r="AY269">
        <v>361</v>
      </c>
      <c r="AZ269">
        <v>20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-0.75700000000000001</v>
      </c>
      <c r="BH269">
        <v>26.01</v>
      </c>
      <c r="BI269">
        <v>10.079510000000001</v>
      </c>
      <c r="BJ269">
        <v>-0.33212700000000001</v>
      </c>
      <c r="BK269">
        <v>10.318752999999999</v>
      </c>
      <c r="BL269">
        <v>106.47665600000001</v>
      </c>
      <c r="BM269">
        <v>1.0237350000000001</v>
      </c>
      <c r="BN269">
        <v>21.947998999999999</v>
      </c>
      <c r="BO269">
        <v>0.29206399999999999</v>
      </c>
      <c r="BP269">
        <v>1.235339</v>
      </c>
      <c r="BQ269">
        <v>9.8587009999999999</v>
      </c>
      <c r="BR269">
        <v>5.008</v>
      </c>
      <c r="BS269">
        <v>5.218127</v>
      </c>
      <c r="BT269">
        <v>10.079510000000001</v>
      </c>
      <c r="BU269">
        <v>5.5597200000000004</v>
      </c>
      <c r="BV269">
        <v>0.73330300000000004</v>
      </c>
      <c r="BW269">
        <v>-0.96345999999999998</v>
      </c>
      <c r="BX269">
        <v>0.55158600000000002</v>
      </c>
      <c r="BY269">
        <v>0.13189600000000001</v>
      </c>
      <c r="BZ269">
        <v>-0.173293</v>
      </c>
      <c r="CA269">
        <v>-0.34267999999999998</v>
      </c>
      <c r="CB269">
        <v>-0.16900000000000001</v>
      </c>
      <c r="CC269">
        <v>-7.2999999999999995E-2</v>
      </c>
      <c r="CD269">
        <v>5.2999999999999999E-2</v>
      </c>
      <c r="CE269">
        <v>0.11600000000000001</v>
      </c>
      <c r="CF269">
        <v>0.20899999999999999</v>
      </c>
      <c r="CG269">
        <v>0.85960000000000003</v>
      </c>
      <c r="CH269">
        <v>4.8860000000000001</v>
      </c>
      <c r="CI269">
        <v>15.225199</v>
      </c>
      <c r="CJ269">
        <v>21.577998999999998</v>
      </c>
      <c r="CK269">
        <v>22.063998999999999</v>
      </c>
      <c r="CL269">
        <v>22.494599999999998</v>
      </c>
      <c r="CM269">
        <v>23.339797999999998</v>
      </c>
      <c r="CN269">
        <v>23.905401000000001</v>
      </c>
      <c r="CO269">
        <v>24.767361000000001</v>
      </c>
      <c r="CP269">
        <v>0.40484599999999998</v>
      </c>
      <c r="CQ269">
        <v>14.424023</v>
      </c>
      <c r="CR269">
        <v>16.587464000000001</v>
      </c>
      <c r="CS269">
        <v>1</v>
      </c>
      <c r="CT269">
        <v>58</v>
      </c>
      <c r="CU269">
        <v>15.160920000000001</v>
      </c>
      <c r="CV269">
        <v>1</v>
      </c>
      <c r="CW269">
        <v>10.992549</v>
      </c>
      <c r="CX269">
        <v>120.836142</v>
      </c>
      <c r="CY269">
        <v>0.72505799999999998</v>
      </c>
      <c r="CZ269">
        <v>16</v>
      </c>
      <c r="DA269">
        <v>0.82641399999999998</v>
      </c>
      <c r="DB269">
        <v>3.2309739999999998</v>
      </c>
      <c r="DC269">
        <v>8.8823139999999992</v>
      </c>
      <c r="DD269">
        <v>15.160920000000001</v>
      </c>
      <c r="DE269">
        <v>6.0990609999999998</v>
      </c>
      <c r="DF269">
        <v>1.06941</v>
      </c>
      <c r="DG269">
        <v>0.514903</v>
      </c>
      <c r="DH269">
        <v>0.40228799999999998</v>
      </c>
      <c r="DI269">
        <v>0.17534</v>
      </c>
      <c r="DJ269">
        <v>8.4422999999999998E-2</v>
      </c>
      <c r="DK269">
        <v>1</v>
      </c>
      <c r="DL269">
        <v>1</v>
      </c>
      <c r="DM269">
        <v>2</v>
      </c>
      <c r="DN269">
        <v>5</v>
      </c>
      <c r="DO269">
        <v>6</v>
      </c>
      <c r="DP269">
        <v>7.5999759999999998</v>
      </c>
      <c r="DQ269">
        <v>10</v>
      </c>
      <c r="DR269">
        <v>13</v>
      </c>
      <c r="DS269">
        <v>16</v>
      </c>
      <c r="DT269">
        <v>20</v>
      </c>
      <c r="DU269">
        <v>22</v>
      </c>
      <c r="DV269">
        <v>24</v>
      </c>
      <c r="DW269">
        <v>31</v>
      </c>
      <c r="DX269">
        <v>37</v>
      </c>
      <c r="DY269">
        <v>46</v>
      </c>
      <c r="DZ269">
        <v>85.100286999999994</v>
      </c>
      <c r="EA269">
        <v>56.516657000000002</v>
      </c>
      <c r="EB269">
        <v>103.904011</v>
      </c>
      <c r="EC269">
        <v>2376</v>
      </c>
      <c r="ED269">
        <v>2901</v>
      </c>
      <c r="EE269">
        <v>74.749284000000003</v>
      </c>
      <c r="EF269">
        <v>100</v>
      </c>
      <c r="EG269">
        <v>42.548217000000001</v>
      </c>
      <c r="EH269">
        <v>98.831092999999996</v>
      </c>
      <c r="EI269">
        <v>78.223495999999997</v>
      </c>
      <c r="EJ269">
        <v>181.69770800000001</v>
      </c>
      <c r="EK269">
        <v>2087</v>
      </c>
      <c r="EL269">
        <v>2792</v>
      </c>
      <c r="EM269">
        <v>2184</v>
      </c>
      <c r="EN269">
        <v>5073</v>
      </c>
      <c r="EO269">
        <v>2792</v>
      </c>
      <c r="EP269">
        <v>5133</v>
      </c>
      <c r="EQ269">
        <v>39.767415</v>
      </c>
    </row>
    <row r="270" spans="1:147" x14ac:dyDescent="0.25">
      <c r="A270">
        <v>2022</v>
      </c>
      <c r="B270" t="str">
        <f t="shared" si="8"/>
        <v>GN</v>
      </c>
      <c r="C270" t="s">
        <v>1455</v>
      </c>
      <c r="D270" t="s">
        <v>1455</v>
      </c>
      <c r="E270">
        <v>26532</v>
      </c>
      <c r="F270" t="s">
        <v>1380</v>
      </c>
      <c r="G270" t="s">
        <v>1381</v>
      </c>
      <c r="H270" t="s">
        <v>1456</v>
      </c>
      <c r="I270">
        <v>57.57</v>
      </c>
      <c r="J270">
        <v>57.57</v>
      </c>
      <c r="K270" t="s">
        <v>199</v>
      </c>
      <c r="L270">
        <v>1</v>
      </c>
      <c r="M270">
        <v>2018</v>
      </c>
      <c r="N270">
        <v>2</v>
      </c>
      <c r="O270" t="str">
        <f t="shared" si="9"/>
        <v>Talhadia</v>
      </c>
      <c r="P270" s="2">
        <v>43440</v>
      </c>
      <c r="Q270" t="s">
        <v>174</v>
      </c>
      <c r="R270" t="s">
        <v>367</v>
      </c>
      <c r="S270" t="s">
        <v>154</v>
      </c>
      <c r="T270" t="s">
        <v>199</v>
      </c>
      <c r="U270" t="s">
        <v>156</v>
      </c>
      <c r="V270" s="2">
        <v>44642</v>
      </c>
      <c r="W270" t="s">
        <v>1383</v>
      </c>
      <c r="X270">
        <v>431.88</v>
      </c>
      <c r="Y270">
        <v>19.7</v>
      </c>
      <c r="Z270">
        <v>7</v>
      </c>
      <c r="AA270">
        <v>14.8</v>
      </c>
      <c r="AB270">
        <v>1</v>
      </c>
      <c r="AC270">
        <v>291.56</v>
      </c>
      <c r="AD270">
        <v>289.34268096793301</v>
      </c>
      <c r="AE270" s="2">
        <v>44642</v>
      </c>
      <c r="AF270">
        <v>39</v>
      </c>
      <c r="AG270">
        <v>3.29089664613279</v>
      </c>
      <c r="AH270">
        <v>20.078022821958999</v>
      </c>
      <c r="AI270">
        <v>13.8185185185185</v>
      </c>
      <c r="AJ270">
        <v>14.612684134029699</v>
      </c>
      <c r="AK270">
        <v>27</v>
      </c>
      <c r="AL270">
        <v>933.14957577905102</v>
      </c>
      <c r="AM270">
        <v>133.95743978279</v>
      </c>
      <c r="AN270">
        <v>0.14355409171241901</v>
      </c>
      <c r="AO270" t="s">
        <v>367</v>
      </c>
      <c r="AP270" t="s">
        <v>264</v>
      </c>
      <c r="AQ270" t="s">
        <v>1247</v>
      </c>
      <c r="AR270">
        <v>9</v>
      </c>
      <c r="AS270">
        <v>0.83983461820114602</v>
      </c>
      <c r="AT270" t="s">
        <v>1457</v>
      </c>
      <c r="AU270" t="s">
        <v>1458</v>
      </c>
      <c r="AV270">
        <v>1569</v>
      </c>
      <c r="AW270">
        <v>1569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-0.20899999999999999</v>
      </c>
      <c r="BH270">
        <v>23.992000999999998</v>
      </c>
      <c r="BI270">
        <v>17.192112000000002</v>
      </c>
      <c r="BJ270">
        <v>-0.20899999999999999</v>
      </c>
      <c r="BK270">
        <v>7.411937</v>
      </c>
      <c r="BL270">
        <v>54.936816999999998</v>
      </c>
      <c r="BM270">
        <v>0.43112400000000001</v>
      </c>
      <c r="BN270">
        <v>4.4780009999999999</v>
      </c>
      <c r="BO270">
        <v>-1.6413850000000001</v>
      </c>
      <c r="BP270">
        <v>4.1179350000000001</v>
      </c>
      <c r="BQ270">
        <v>5.6128650000000002</v>
      </c>
      <c r="BR270">
        <v>1.330999</v>
      </c>
      <c r="BS270">
        <v>20.629000000000001</v>
      </c>
      <c r="BT270">
        <v>17.192112000000002</v>
      </c>
      <c r="BU270">
        <v>3.4160330000000001</v>
      </c>
      <c r="BV270">
        <v>-1.623092</v>
      </c>
      <c r="BW270">
        <v>0.69865200000000005</v>
      </c>
      <c r="BX270">
        <v>0.19869800000000001</v>
      </c>
      <c r="BY270">
        <v>-0.47513899999999998</v>
      </c>
      <c r="BZ270">
        <v>0.20452100000000001</v>
      </c>
      <c r="CA270">
        <v>-7.9920000000000005E-2</v>
      </c>
      <c r="CB270">
        <v>0.02</v>
      </c>
      <c r="CC270">
        <v>9.4600000000000004E-2</v>
      </c>
      <c r="CD270">
        <v>14.025001</v>
      </c>
      <c r="CE270">
        <v>17.038</v>
      </c>
      <c r="CF270">
        <v>19.167998999999998</v>
      </c>
      <c r="CG270">
        <v>19.919198999999999</v>
      </c>
      <c r="CH270">
        <v>20.420000000000002</v>
      </c>
      <c r="CI270">
        <v>20.864999999999998</v>
      </c>
      <c r="CJ270">
        <v>21.315199</v>
      </c>
      <c r="CK270">
        <v>21.516000999999999</v>
      </c>
      <c r="CL270">
        <v>21.754801</v>
      </c>
      <c r="CM270">
        <v>22.255998999999999</v>
      </c>
      <c r="CN270">
        <v>22.673601000000001</v>
      </c>
      <c r="CO270">
        <v>23.390478000000002</v>
      </c>
      <c r="CP270">
        <v>0.719024</v>
      </c>
      <c r="CQ270">
        <v>18.720858</v>
      </c>
      <c r="CR270">
        <v>19.350068</v>
      </c>
      <c r="CS270">
        <v>1</v>
      </c>
      <c r="CT270">
        <v>56</v>
      </c>
      <c r="CU270">
        <v>18.033142000000002</v>
      </c>
      <c r="CV270">
        <v>18.460317</v>
      </c>
      <c r="CW270">
        <v>10.607271000000001</v>
      </c>
      <c r="CX270">
        <v>112.514207</v>
      </c>
      <c r="CY270">
        <v>0.58821000000000001</v>
      </c>
      <c r="CZ270">
        <v>11</v>
      </c>
      <c r="DA270">
        <v>0.74301499999999998</v>
      </c>
      <c r="DB270">
        <v>3.3702529999999999</v>
      </c>
      <c r="DC270">
        <v>8.0084920000000004</v>
      </c>
      <c r="DD270">
        <v>18.033142000000002</v>
      </c>
      <c r="DE270">
        <v>5.8260509999999996</v>
      </c>
      <c r="DF270">
        <v>0.77212999999999998</v>
      </c>
      <c r="DG270">
        <v>0.96967000000000003</v>
      </c>
      <c r="DH270">
        <v>0.323075</v>
      </c>
      <c r="DI270">
        <v>0.13253100000000001</v>
      </c>
      <c r="DJ270">
        <v>0.166437</v>
      </c>
      <c r="DK270">
        <v>1</v>
      </c>
      <c r="DL270">
        <v>2</v>
      </c>
      <c r="DM270">
        <v>5</v>
      </c>
      <c r="DN270">
        <v>9</v>
      </c>
      <c r="DO270">
        <v>11</v>
      </c>
      <c r="DP270">
        <v>13</v>
      </c>
      <c r="DQ270">
        <v>15</v>
      </c>
      <c r="DR270">
        <v>17</v>
      </c>
      <c r="DS270">
        <v>19</v>
      </c>
      <c r="DT270">
        <v>21</v>
      </c>
      <c r="DU270">
        <v>22</v>
      </c>
      <c r="DV270">
        <v>24</v>
      </c>
      <c r="DW270">
        <v>35</v>
      </c>
      <c r="DX270">
        <v>40</v>
      </c>
      <c r="DY270">
        <v>46</v>
      </c>
      <c r="DZ270">
        <v>86.042064999999994</v>
      </c>
      <c r="EA270">
        <v>86.042064999999994</v>
      </c>
      <c r="EB270">
        <v>86.042064999999994</v>
      </c>
      <c r="EC270">
        <v>1350</v>
      </c>
      <c r="ED270">
        <v>1350</v>
      </c>
      <c r="EE270">
        <v>74.633525000000006</v>
      </c>
      <c r="EF270">
        <v>99.936265000000006</v>
      </c>
      <c r="EG270">
        <v>74.633525000000006</v>
      </c>
      <c r="EH270">
        <v>99.936265000000006</v>
      </c>
      <c r="EI270">
        <v>74.633525000000006</v>
      </c>
      <c r="EJ270">
        <v>99.936265000000006</v>
      </c>
      <c r="EK270">
        <v>1171</v>
      </c>
      <c r="EL270">
        <v>1568</v>
      </c>
      <c r="EM270">
        <v>1171</v>
      </c>
      <c r="EN270">
        <v>1568</v>
      </c>
      <c r="EO270">
        <v>1569</v>
      </c>
      <c r="EP270">
        <v>1569</v>
      </c>
      <c r="EQ270">
        <v>72.619255999999993</v>
      </c>
    </row>
    <row r="271" spans="1:147" x14ac:dyDescent="0.25">
      <c r="A271">
        <v>2022</v>
      </c>
      <c r="B271" t="str">
        <f t="shared" si="8"/>
        <v>GN</v>
      </c>
      <c r="C271" t="s">
        <v>1459</v>
      </c>
      <c r="D271" t="s">
        <v>1459</v>
      </c>
      <c r="E271">
        <v>26533</v>
      </c>
      <c r="F271" t="s">
        <v>1380</v>
      </c>
      <c r="G271" t="s">
        <v>1381</v>
      </c>
      <c r="H271" t="s">
        <v>1456</v>
      </c>
      <c r="I271">
        <v>57.57</v>
      </c>
      <c r="J271">
        <v>57.57</v>
      </c>
      <c r="K271" t="s">
        <v>199</v>
      </c>
      <c r="L271">
        <v>1</v>
      </c>
      <c r="M271">
        <v>2018</v>
      </c>
      <c r="N271">
        <v>2</v>
      </c>
      <c r="O271" t="str">
        <f t="shared" si="9"/>
        <v>Talhadia</v>
      </c>
      <c r="P271" s="2">
        <v>43440</v>
      </c>
      <c r="Q271" t="s">
        <v>174</v>
      </c>
      <c r="R271" t="s">
        <v>367</v>
      </c>
      <c r="S271" t="s">
        <v>154</v>
      </c>
      <c r="T271" t="s">
        <v>199</v>
      </c>
      <c r="U271" t="s">
        <v>156</v>
      </c>
      <c r="V271" s="2">
        <v>44642</v>
      </c>
      <c r="W271" t="s">
        <v>1383</v>
      </c>
      <c r="X271">
        <v>431.88</v>
      </c>
      <c r="Y271">
        <v>21.3</v>
      </c>
      <c r="Z271">
        <v>6</v>
      </c>
      <c r="AA271">
        <v>15.3</v>
      </c>
      <c r="AB271">
        <v>4</v>
      </c>
      <c r="AC271">
        <v>325.89</v>
      </c>
      <c r="AD271">
        <v>323.31523762320103</v>
      </c>
      <c r="AE271" s="2">
        <v>44642</v>
      </c>
      <c r="AF271">
        <v>39</v>
      </c>
      <c r="AG271">
        <v>3.29089664613279</v>
      </c>
      <c r="AH271">
        <v>20.444982044204</v>
      </c>
      <c r="AI271">
        <v>13.3</v>
      </c>
      <c r="AJ271">
        <v>15.3286074725736</v>
      </c>
      <c r="AK271">
        <v>34</v>
      </c>
      <c r="AL271">
        <v>1051.6052460114599</v>
      </c>
      <c r="AM271">
        <v>145.907589826014</v>
      </c>
      <c r="AN271">
        <v>0.138747491398901</v>
      </c>
      <c r="AO271" t="s">
        <v>367</v>
      </c>
      <c r="AP271" t="s">
        <v>264</v>
      </c>
      <c r="AQ271" t="s">
        <v>1247</v>
      </c>
      <c r="AR271">
        <v>9</v>
      </c>
      <c r="AS271">
        <v>0.94644472141031399</v>
      </c>
      <c r="AT271" t="s">
        <v>1460</v>
      </c>
      <c r="AU271" t="s">
        <v>1461</v>
      </c>
      <c r="AV271">
        <v>2021</v>
      </c>
      <c r="AW271">
        <v>2021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-0.11700000000000001</v>
      </c>
      <c r="BH271">
        <v>24.584999</v>
      </c>
      <c r="BI271">
        <v>18.275655</v>
      </c>
      <c r="BJ271">
        <v>21.056142000000001</v>
      </c>
      <c r="BK271">
        <v>6.6808930000000002</v>
      </c>
      <c r="BL271">
        <v>44.634331000000003</v>
      </c>
      <c r="BM271">
        <v>0.365562</v>
      </c>
      <c r="BN271">
        <v>2.35</v>
      </c>
      <c r="BO271">
        <v>-1.9803219999999999</v>
      </c>
      <c r="BP271">
        <v>5.5243500000000001</v>
      </c>
      <c r="BQ271">
        <v>4.7533649999999996</v>
      </c>
      <c r="BR271">
        <v>1.028999</v>
      </c>
      <c r="BS271">
        <v>1.012858</v>
      </c>
      <c r="BT271">
        <v>18.275655</v>
      </c>
      <c r="BU271">
        <v>2.9119250000000001</v>
      </c>
      <c r="BV271">
        <v>-1.537433</v>
      </c>
      <c r="BW271">
        <v>0.859877</v>
      </c>
      <c r="BX271">
        <v>0.159334</v>
      </c>
      <c r="BY271">
        <v>-0.52797799999999995</v>
      </c>
      <c r="BZ271">
        <v>0.29529499999999997</v>
      </c>
      <c r="CA271">
        <v>-2.98E-2</v>
      </c>
      <c r="CB271">
        <v>6.7000000000000004E-2</v>
      </c>
      <c r="CC271">
        <v>5.9210000000000003</v>
      </c>
      <c r="CD271">
        <v>17.997</v>
      </c>
      <c r="CE271">
        <v>19.462</v>
      </c>
      <c r="CF271">
        <v>20.007000000000001</v>
      </c>
      <c r="CG271">
        <v>20.506001000000001</v>
      </c>
      <c r="CH271">
        <v>20.947001</v>
      </c>
      <c r="CI271">
        <v>21.268000000000001</v>
      </c>
      <c r="CJ271">
        <v>21.622999</v>
      </c>
      <c r="CK271">
        <v>21.812000000000001</v>
      </c>
      <c r="CL271">
        <v>22.044001000000002</v>
      </c>
      <c r="CM271">
        <v>22.466999000000001</v>
      </c>
      <c r="CN271">
        <v>22.847000000000001</v>
      </c>
      <c r="CO271">
        <v>23.562201000000002</v>
      </c>
      <c r="CP271">
        <v>0.74458199999999997</v>
      </c>
      <c r="CQ271">
        <v>19.45795</v>
      </c>
      <c r="CR271">
        <v>19.966422000000001</v>
      </c>
      <c r="CS271">
        <v>1</v>
      </c>
      <c r="CT271">
        <v>65</v>
      </c>
      <c r="CU271">
        <v>16.533894</v>
      </c>
      <c r="CV271">
        <v>1</v>
      </c>
      <c r="CW271">
        <v>10.420584</v>
      </c>
      <c r="CX271">
        <v>108.588578</v>
      </c>
      <c r="CY271">
        <v>0.63025600000000004</v>
      </c>
      <c r="CZ271">
        <v>13</v>
      </c>
      <c r="DA271">
        <v>1.0174369999999999</v>
      </c>
      <c r="DB271">
        <v>4.7022640000000004</v>
      </c>
      <c r="DC271">
        <v>7.822654</v>
      </c>
      <c r="DD271">
        <v>16.533894</v>
      </c>
      <c r="DE271">
        <v>5.6375640000000002</v>
      </c>
      <c r="DF271">
        <v>0.76052699999999995</v>
      </c>
      <c r="DG271">
        <v>0.90946700000000003</v>
      </c>
      <c r="DH271">
        <v>0.34097</v>
      </c>
      <c r="DI271">
        <v>0.134903</v>
      </c>
      <c r="DJ271">
        <v>0.16132299999999999</v>
      </c>
      <c r="DK271">
        <v>1</v>
      </c>
      <c r="DL271">
        <v>2</v>
      </c>
      <c r="DM271">
        <v>4</v>
      </c>
      <c r="DN271">
        <v>7</v>
      </c>
      <c r="DO271">
        <v>9</v>
      </c>
      <c r="DP271">
        <v>11</v>
      </c>
      <c r="DQ271">
        <v>14</v>
      </c>
      <c r="DR271">
        <v>16</v>
      </c>
      <c r="DS271">
        <v>18</v>
      </c>
      <c r="DT271">
        <v>20</v>
      </c>
      <c r="DU271">
        <v>22</v>
      </c>
      <c r="DV271">
        <v>23</v>
      </c>
      <c r="DW271">
        <v>29</v>
      </c>
      <c r="DX271">
        <v>37</v>
      </c>
      <c r="DY271">
        <v>51.800049000000001</v>
      </c>
      <c r="DZ271">
        <v>90.499752999999998</v>
      </c>
      <c r="EA271">
        <v>90.499752999999998</v>
      </c>
      <c r="EB271">
        <v>90.499752999999998</v>
      </c>
      <c r="EC271">
        <v>1829</v>
      </c>
      <c r="ED271">
        <v>1829</v>
      </c>
      <c r="EE271">
        <v>79.811974000000006</v>
      </c>
      <c r="EF271">
        <v>47.253835000000002</v>
      </c>
      <c r="EG271">
        <v>79.811974000000006</v>
      </c>
      <c r="EH271">
        <v>47.253835000000002</v>
      </c>
      <c r="EI271">
        <v>79.811974000000006</v>
      </c>
      <c r="EJ271">
        <v>47.253835000000002</v>
      </c>
      <c r="EK271">
        <v>1613</v>
      </c>
      <c r="EL271">
        <v>955</v>
      </c>
      <c r="EM271">
        <v>1613</v>
      </c>
      <c r="EN271">
        <v>955</v>
      </c>
      <c r="EO271">
        <v>2021</v>
      </c>
      <c r="EP271">
        <v>2021</v>
      </c>
      <c r="EQ271">
        <v>76.562292999999997</v>
      </c>
    </row>
    <row r="272" spans="1:147" x14ac:dyDescent="0.25">
      <c r="A272">
        <v>2022</v>
      </c>
      <c r="B272" t="str">
        <f t="shared" si="8"/>
        <v>GN</v>
      </c>
      <c r="C272" t="s">
        <v>1462</v>
      </c>
      <c r="D272" t="s">
        <v>1462</v>
      </c>
      <c r="E272">
        <v>26534</v>
      </c>
      <c r="F272" t="s">
        <v>1380</v>
      </c>
      <c r="G272" t="s">
        <v>1381</v>
      </c>
      <c r="H272" t="s">
        <v>1456</v>
      </c>
      <c r="I272">
        <v>57.57</v>
      </c>
      <c r="J272">
        <v>57.57</v>
      </c>
      <c r="K272" t="s">
        <v>199</v>
      </c>
      <c r="L272">
        <v>1</v>
      </c>
      <c r="M272">
        <v>2018</v>
      </c>
      <c r="N272">
        <v>2</v>
      </c>
      <c r="O272" t="str">
        <f t="shared" si="9"/>
        <v>Talhadia</v>
      </c>
      <c r="P272" s="2">
        <v>43440</v>
      </c>
      <c r="Q272" t="s">
        <v>174</v>
      </c>
      <c r="R272" t="s">
        <v>367</v>
      </c>
      <c r="S272" t="s">
        <v>154</v>
      </c>
      <c r="T272" t="s">
        <v>199</v>
      </c>
      <c r="U272" t="s">
        <v>156</v>
      </c>
      <c r="V272" s="2">
        <v>44642</v>
      </c>
      <c r="W272" t="s">
        <v>1383</v>
      </c>
      <c r="X272">
        <v>431.88</v>
      </c>
      <c r="Y272">
        <v>20</v>
      </c>
      <c r="Z272">
        <v>30</v>
      </c>
      <c r="AA272">
        <v>15.1</v>
      </c>
      <c r="AB272">
        <v>2</v>
      </c>
      <c r="AC272">
        <v>302</v>
      </c>
      <c r="AD272">
        <v>261.38034904131803</v>
      </c>
      <c r="AE272" s="2">
        <v>44642</v>
      </c>
      <c r="AF272">
        <v>39</v>
      </c>
      <c r="AG272">
        <v>3.29089664613279</v>
      </c>
      <c r="AH272">
        <v>21.428111632284399</v>
      </c>
      <c r="AI272">
        <v>13.234615384615401</v>
      </c>
      <c r="AJ272">
        <v>13.9970337962132</v>
      </c>
      <c r="AK272">
        <v>26</v>
      </c>
      <c r="AL272">
        <v>994.71900222652096</v>
      </c>
      <c r="AM272">
        <v>137.035334579877</v>
      </c>
      <c r="AN272">
        <v>0.13776285993647</v>
      </c>
      <c r="AO272" t="s">
        <v>367</v>
      </c>
      <c r="AP272" t="s">
        <v>264</v>
      </c>
      <c r="AQ272" t="s">
        <v>1247</v>
      </c>
      <c r="AR272">
        <v>9</v>
      </c>
      <c r="AS272">
        <v>0.89524710200387003</v>
      </c>
      <c r="AT272" t="s">
        <v>1463</v>
      </c>
      <c r="AU272" t="s">
        <v>1464</v>
      </c>
      <c r="AV272">
        <v>1118</v>
      </c>
      <c r="AW272">
        <v>1118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-2.7E-2</v>
      </c>
      <c r="BH272">
        <v>23.978000999999999</v>
      </c>
      <c r="BI272">
        <v>16.031773000000001</v>
      </c>
      <c r="BJ272">
        <v>-2.7E-2</v>
      </c>
      <c r="BK272">
        <v>7.110036</v>
      </c>
      <c r="BL272">
        <v>50.552618000000002</v>
      </c>
      <c r="BM272">
        <v>0.44349699999999997</v>
      </c>
      <c r="BN272">
        <v>3.7720009999999999</v>
      </c>
      <c r="BO272">
        <v>-1.5908310000000001</v>
      </c>
      <c r="BP272">
        <v>3.929182</v>
      </c>
      <c r="BQ272">
        <v>5.1824870000000001</v>
      </c>
      <c r="BR272">
        <v>1.667999</v>
      </c>
      <c r="BS272">
        <v>18.752500999999999</v>
      </c>
      <c r="BT272">
        <v>16.031773000000001</v>
      </c>
      <c r="BU272">
        <v>3.3196620000000001</v>
      </c>
      <c r="BV272">
        <v>-1.3931659999999999</v>
      </c>
      <c r="BW272">
        <v>0.66568499999999997</v>
      </c>
      <c r="BX272">
        <v>0.207068</v>
      </c>
      <c r="BY272">
        <v>-0.41967100000000002</v>
      </c>
      <c r="BZ272">
        <v>0.20052800000000001</v>
      </c>
      <c r="CA272">
        <v>0.11700000000000001</v>
      </c>
      <c r="CB272">
        <v>0.20369999999999999</v>
      </c>
      <c r="CC272">
        <v>0.27700000000000002</v>
      </c>
      <c r="CD272">
        <v>15.4274</v>
      </c>
      <c r="CE272">
        <v>16.372499000000001</v>
      </c>
      <c r="CF272">
        <v>17.084098999999998</v>
      </c>
      <c r="CG272">
        <v>17.916</v>
      </c>
      <c r="CH272">
        <v>18.7255</v>
      </c>
      <c r="CI272">
        <v>19.416201000000001</v>
      </c>
      <c r="CJ272">
        <v>19.901700999999999</v>
      </c>
      <c r="CK272">
        <v>20.144501000000002</v>
      </c>
      <c r="CL272">
        <v>20.420400999999998</v>
      </c>
      <c r="CM272">
        <v>21.265799999999999</v>
      </c>
      <c r="CN272">
        <v>22.022449000000002</v>
      </c>
      <c r="CO272">
        <v>22.857469999999999</v>
      </c>
      <c r="CP272">
        <v>0.66897600000000002</v>
      </c>
      <c r="CQ272">
        <v>17.536394999999999</v>
      </c>
      <c r="CR272">
        <v>18.149304999999998</v>
      </c>
      <c r="CS272">
        <v>1</v>
      </c>
      <c r="CT272">
        <v>67</v>
      </c>
      <c r="CU272">
        <v>22.401610000000002</v>
      </c>
      <c r="CV272">
        <v>23</v>
      </c>
      <c r="CW272">
        <v>14.409185000000001</v>
      </c>
      <c r="CX272">
        <v>207.62459899999999</v>
      </c>
      <c r="CY272">
        <v>0.64322100000000004</v>
      </c>
      <c r="CZ272">
        <v>15</v>
      </c>
      <c r="DA272">
        <v>0.85936500000000005</v>
      </c>
      <c r="DB272">
        <v>3.179033</v>
      </c>
      <c r="DC272">
        <v>10.940726</v>
      </c>
      <c r="DD272">
        <v>22.401610000000002</v>
      </c>
      <c r="DE272">
        <v>7.8713559999999996</v>
      </c>
      <c r="DF272">
        <v>1.3912279999999999</v>
      </c>
      <c r="DG272">
        <v>1.1976</v>
      </c>
      <c r="DH272">
        <v>0.35137499999999999</v>
      </c>
      <c r="DI272">
        <v>0.17674599999999999</v>
      </c>
      <c r="DJ272">
        <v>0.152147</v>
      </c>
      <c r="DK272">
        <v>1</v>
      </c>
      <c r="DL272">
        <v>3</v>
      </c>
      <c r="DM272">
        <v>5</v>
      </c>
      <c r="DN272">
        <v>10</v>
      </c>
      <c r="DO272">
        <v>13</v>
      </c>
      <c r="DP272">
        <v>14</v>
      </c>
      <c r="DQ272">
        <v>18</v>
      </c>
      <c r="DR272">
        <v>20</v>
      </c>
      <c r="DS272">
        <v>23</v>
      </c>
      <c r="DT272">
        <v>26</v>
      </c>
      <c r="DU272">
        <v>28</v>
      </c>
      <c r="DV272">
        <v>30</v>
      </c>
      <c r="DW272">
        <v>48</v>
      </c>
      <c r="DX272">
        <v>53</v>
      </c>
      <c r="DY272">
        <v>59</v>
      </c>
      <c r="DZ272">
        <v>84.347048000000001</v>
      </c>
      <c r="EA272">
        <v>84.347048000000001</v>
      </c>
      <c r="EB272">
        <v>84.347048000000001</v>
      </c>
      <c r="EC272">
        <v>943</v>
      </c>
      <c r="ED272">
        <v>943</v>
      </c>
      <c r="EE272">
        <v>77.191412999999997</v>
      </c>
      <c r="EF272">
        <v>99.910555000000002</v>
      </c>
      <c r="EG272">
        <v>77.191412999999997</v>
      </c>
      <c r="EH272">
        <v>99.910555000000002</v>
      </c>
      <c r="EI272">
        <v>77.191412999999997</v>
      </c>
      <c r="EJ272">
        <v>99.910555000000002</v>
      </c>
      <c r="EK272">
        <v>863</v>
      </c>
      <c r="EL272">
        <v>1117</v>
      </c>
      <c r="EM272">
        <v>863</v>
      </c>
      <c r="EN272">
        <v>1117</v>
      </c>
      <c r="EO272">
        <v>1118</v>
      </c>
      <c r="EP272">
        <v>1118</v>
      </c>
      <c r="EQ272">
        <v>69.069117000000006</v>
      </c>
    </row>
    <row r="273" spans="1:147" x14ac:dyDescent="0.25">
      <c r="A273">
        <v>2022</v>
      </c>
      <c r="B273" t="str">
        <f t="shared" si="8"/>
        <v>GN</v>
      </c>
      <c r="C273" t="s">
        <v>1465</v>
      </c>
      <c r="D273" t="s">
        <v>1465</v>
      </c>
      <c r="E273">
        <v>26535</v>
      </c>
      <c r="F273" t="s">
        <v>1380</v>
      </c>
      <c r="G273" t="s">
        <v>1381</v>
      </c>
      <c r="H273" t="s">
        <v>1466</v>
      </c>
      <c r="I273">
        <v>47.83</v>
      </c>
      <c r="J273">
        <v>47.83</v>
      </c>
      <c r="K273" t="s">
        <v>199</v>
      </c>
      <c r="L273">
        <v>1</v>
      </c>
      <c r="M273">
        <v>2018</v>
      </c>
      <c r="N273">
        <v>3</v>
      </c>
      <c r="O273" t="str">
        <f t="shared" si="9"/>
        <v>Talhadia</v>
      </c>
      <c r="P273" s="2">
        <v>43389</v>
      </c>
      <c r="Q273" t="s">
        <v>174</v>
      </c>
      <c r="R273" t="s">
        <v>164</v>
      </c>
      <c r="S273" t="s">
        <v>154</v>
      </c>
      <c r="T273" t="s">
        <v>199</v>
      </c>
      <c r="U273" t="s">
        <v>156</v>
      </c>
      <c r="V273" s="2">
        <v>44642</v>
      </c>
      <c r="W273" t="s">
        <v>1383</v>
      </c>
      <c r="X273">
        <v>431.88</v>
      </c>
      <c r="Y273">
        <v>19.8</v>
      </c>
      <c r="Z273">
        <v>25</v>
      </c>
      <c r="AA273">
        <v>14.7</v>
      </c>
      <c r="AB273">
        <v>5</v>
      </c>
      <c r="AC273">
        <v>291.06</v>
      </c>
      <c r="AD273">
        <v>262.786144115723</v>
      </c>
      <c r="AE273" s="2">
        <v>44642</v>
      </c>
      <c r="AF273">
        <v>41</v>
      </c>
      <c r="AG273">
        <v>3.4305270362765201</v>
      </c>
      <c r="AH273">
        <v>21.413833679115399</v>
      </c>
      <c r="AI273">
        <v>11.81</v>
      </c>
      <c r="AJ273">
        <v>12.9449587500373</v>
      </c>
      <c r="AK273">
        <v>30</v>
      </c>
      <c r="AL273">
        <v>1141.6127018778</v>
      </c>
      <c r="AM273">
        <v>131.05920411862999</v>
      </c>
      <c r="AN273">
        <v>0.114801809670701</v>
      </c>
      <c r="AO273" t="s">
        <v>164</v>
      </c>
      <c r="AP273" t="s">
        <v>264</v>
      </c>
      <c r="AQ273" t="s">
        <v>1247</v>
      </c>
      <c r="AR273">
        <v>9</v>
      </c>
      <c r="AS273">
        <v>1.0274514316900221</v>
      </c>
      <c r="AT273" t="s">
        <v>1467</v>
      </c>
      <c r="AU273" t="s">
        <v>1468</v>
      </c>
      <c r="AV273">
        <v>1628</v>
      </c>
      <c r="AW273">
        <v>1628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-0.27700000000000002</v>
      </c>
      <c r="BH273">
        <v>23.388999999999999</v>
      </c>
      <c r="BI273">
        <v>14.538231</v>
      </c>
      <c r="BJ273">
        <v>-0.27700000000000002</v>
      </c>
      <c r="BK273">
        <v>8.9954970000000003</v>
      </c>
      <c r="BL273">
        <v>80.918966999999995</v>
      </c>
      <c r="BM273">
        <v>0.61874799999999996</v>
      </c>
      <c r="BN273">
        <v>16.72625</v>
      </c>
      <c r="BO273">
        <v>-0.812697</v>
      </c>
      <c r="BP273">
        <v>1.8599840000000001</v>
      </c>
      <c r="BQ273">
        <v>8.0882760000000005</v>
      </c>
      <c r="BR273">
        <v>2.1395</v>
      </c>
      <c r="BS273">
        <v>20.040500999999999</v>
      </c>
      <c r="BT273">
        <v>14.538231</v>
      </c>
      <c r="BU273">
        <v>4.6310450000000003</v>
      </c>
      <c r="BV273">
        <v>-1.388431</v>
      </c>
      <c r="BW273">
        <v>-0.20663200000000001</v>
      </c>
      <c r="BX273">
        <v>0.31854300000000002</v>
      </c>
      <c r="BY273">
        <v>-0.29981000000000002</v>
      </c>
      <c r="BZ273">
        <v>-4.4618999999999999E-2</v>
      </c>
      <c r="CA273">
        <v>-0.13292000000000001</v>
      </c>
      <c r="CB273">
        <v>-9.6500000000000006E-3</v>
      </c>
      <c r="CC273">
        <v>6.6400000000000001E-2</v>
      </c>
      <c r="CD273">
        <v>0.19439999999999999</v>
      </c>
      <c r="CE273">
        <v>4.5622499999999997</v>
      </c>
      <c r="CF273">
        <v>9.9635999999999996</v>
      </c>
      <c r="CG273">
        <v>18.825201</v>
      </c>
      <c r="CH273">
        <v>19.763500000000001</v>
      </c>
      <c r="CI273">
        <v>20.5002</v>
      </c>
      <c r="CJ273">
        <v>21.038799000000001</v>
      </c>
      <c r="CK273">
        <v>21.288499999999999</v>
      </c>
      <c r="CL273">
        <v>21.524999999999999</v>
      </c>
      <c r="CM273">
        <v>22.1264</v>
      </c>
      <c r="CN273">
        <v>22.519600000000001</v>
      </c>
      <c r="CO273">
        <v>23.011869000000001</v>
      </c>
      <c r="CP273">
        <v>0.62601300000000004</v>
      </c>
      <c r="CQ273">
        <v>17.094719000000001</v>
      </c>
      <c r="CR273">
        <v>18.179966</v>
      </c>
      <c r="CS273">
        <v>1</v>
      </c>
      <c r="CT273">
        <v>41</v>
      </c>
      <c r="CU273">
        <v>15.802826</v>
      </c>
      <c r="CV273">
        <v>1</v>
      </c>
      <c r="CW273">
        <v>9.7359010000000001</v>
      </c>
      <c r="CX273">
        <v>94.787773000000001</v>
      </c>
      <c r="CY273">
        <v>0.61608600000000002</v>
      </c>
      <c r="CZ273">
        <v>14</v>
      </c>
      <c r="DA273">
        <v>0.354792</v>
      </c>
      <c r="DB273">
        <v>2.2698170000000002</v>
      </c>
      <c r="DC273">
        <v>7.9407639999999997</v>
      </c>
      <c r="DD273">
        <v>15.802826</v>
      </c>
      <c r="DE273">
        <v>5.5482459999999998</v>
      </c>
      <c r="DF273">
        <v>0.46512999999999999</v>
      </c>
      <c r="DG273">
        <v>0.369946</v>
      </c>
      <c r="DH273">
        <v>0.35109200000000002</v>
      </c>
      <c r="DI273">
        <v>8.3834000000000006E-2</v>
      </c>
      <c r="DJ273">
        <v>6.6678000000000001E-2</v>
      </c>
      <c r="DK273">
        <v>1</v>
      </c>
      <c r="DL273">
        <v>1</v>
      </c>
      <c r="DM273">
        <v>3</v>
      </c>
      <c r="DN273">
        <v>6</v>
      </c>
      <c r="DO273">
        <v>8</v>
      </c>
      <c r="DP273">
        <v>10</v>
      </c>
      <c r="DQ273">
        <v>13</v>
      </c>
      <c r="DR273">
        <v>15</v>
      </c>
      <c r="DS273">
        <v>17</v>
      </c>
      <c r="DT273">
        <v>20</v>
      </c>
      <c r="DU273">
        <v>22</v>
      </c>
      <c r="DV273">
        <v>25</v>
      </c>
      <c r="DW273">
        <v>30.300049000000001</v>
      </c>
      <c r="DX273">
        <v>33</v>
      </c>
      <c r="DY273">
        <v>37</v>
      </c>
      <c r="DZ273">
        <v>75.061425</v>
      </c>
      <c r="EA273">
        <v>75.061425</v>
      </c>
      <c r="EB273">
        <v>75.061425</v>
      </c>
      <c r="EC273">
        <v>1222</v>
      </c>
      <c r="ED273">
        <v>1222</v>
      </c>
      <c r="EE273">
        <v>65.724816000000004</v>
      </c>
      <c r="EF273">
        <v>99.938575</v>
      </c>
      <c r="EG273">
        <v>65.724816000000004</v>
      </c>
      <c r="EH273">
        <v>99.938575</v>
      </c>
      <c r="EI273">
        <v>65.724816000000004</v>
      </c>
      <c r="EJ273">
        <v>99.938575</v>
      </c>
      <c r="EK273">
        <v>1070</v>
      </c>
      <c r="EL273">
        <v>1627</v>
      </c>
      <c r="EM273">
        <v>1070</v>
      </c>
      <c r="EN273">
        <v>1627</v>
      </c>
      <c r="EO273">
        <v>1628</v>
      </c>
      <c r="EP273">
        <v>1628</v>
      </c>
      <c r="EQ273">
        <v>62.235627000000001</v>
      </c>
    </row>
    <row r="274" spans="1:147" x14ac:dyDescent="0.25">
      <c r="A274">
        <v>2022</v>
      </c>
      <c r="B274" t="str">
        <f t="shared" si="8"/>
        <v>NE</v>
      </c>
      <c r="C274" t="s">
        <v>1469</v>
      </c>
      <c r="D274" t="s">
        <v>1469</v>
      </c>
      <c r="E274">
        <v>26537</v>
      </c>
      <c r="F274" t="s">
        <v>1305</v>
      </c>
      <c r="G274" t="s">
        <v>351</v>
      </c>
      <c r="H274" t="s">
        <v>1470</v>
      </c>
      <c r="I274">
        <v>18.77</v>
      </c>
      <c r="J274">
        <v>18.77</v>
      </c>
      <c r="K274" t="s">
        <v>151</v>
      </c>
      <c r="L274">
        <v>1</v>
      </c>
      <c r="M274">
        <v>2018</v>
      </c>
      <c r="N274">
        <v>3</v>
      </c>
      <c r="O274" t="str">
        <f t="shared" si="9"/>
        <v>Talhadia</v>
      </c>
      <c r="P274" s="2">
        <v>43189</v>
      </c>
      <c r="Q274" t="s">
        <v>322</v>
      </c>
      <c r="R274" t="s">
        <v>660</v>
      </c>
      <c r="S274" t="s">
        <v>154</v>
      </c>
      <c r="T274" t="s">
        <v>155</v>
      </c>
      <c r="U274" t="s">
        <v>156</v>
      </c>
      <c r="V274" s="2">
        <v>44743</v>
      </c>
      <c r="W274" t="s">
        <v>353</v>
      </c>
      <c r="X274">
        <v>103.75</v>
      </c>
      <c r="Y274">
        <v>18.8</v>
      </c>
      <c r="Z274">
        <v>22</v>
      </c>
      <c r="AA274">
        <v>16.3</v>
      </c>
      <c r="AB274">
        <v>0</v>
      </c>
      <c r="AC274">
        <v>306.44</v>
      </c>
      <c r="AD274">
        <v>284.12622039344598</v>
      </c>
      <c r="AE274" s="2">
        <v>44743</v>
      </c>
      <c r="AF274">
        <v>52</v>
      </c>
      <c r="AG274">
        <v>4.2546201232032903</v>
      </c>
      <c r="AH274">
        <v>22.163474941672799</v>
      </c>
      <c r="AI274">
        <v>15.810714285714299</v>
      </c>
      <c r="AJ274">
        <v>20.100495180815201</v>
      </c>
      <c r="AK274">
        <v>28</v>
      </c>
      <c r="AL274">
        <v>985.47750929945005</v>
      </c>
      <c r="AM274">
        <v>201.603403116995</v>
      </c>
      <c r="AN274">
        <v>0.20457433195031399</v>
      </c>
      <c r="AO274" t="s">
        <v>660</v>
      </c>
      <c r="AP274" t="s">
        <v>264</v>
      </c>
      <c r="AQ274" t="s">
        <v>315</v>
      </c>
      <c r="AR274">
        <v>9.99</v>
      </c>
      <c r="AS274">
        <v>0.98449203179015154</v>
      </c>
      <c r="AT274" t="s">
        <v>1471</v>
      </c>
      <c r="AU274" t="s">
        <v>1472</v>
      </c>
      <c r="AV274">
        <v>5300</v>
      </c>
      <c r="AW274">
        <v>3059</v>
      </c>
      <c r="AX274">
        <v>2149</v>
      </c>
      <c r="AY274">
        <v>91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-0.877</v>
      </c>
      <c r="BH274">
        <v>26.802999</v>
      </c>
      <c r="BI274">
        <v>11.949289</v>
      </c>
      <c r="BJ274">
        <v>1.73E-3</v>
      </c>
      <c r="BK274">
        <v>11.321077000000001</v>
      </c>
      <c r="BL274">
        <v>128.16679400000001</v>
      </c>
      <c r="BM274">
        <v>0.94742700000000002</v>
      </c>
      <c r="BN274">
        <v>22.925249999999998</v>
      </c>
      <c r="BO274">
        <v>-5.2824000000000003E-2</v>
      </c>
      <c r="BP274">
        <v>1.0762130000000001</v>
      </c>
      <c r="BQ274">
        <v>11.139286</v>
      </c>
      <c r="BR274">
        <v>9.0235000000000003</v>
      </c>
      <c r="BS274">
        <v>16.332768999999999</v>
      </c>
      <c r="BT274">
        <v>11.949289</v>
      </c>
      <c r="BU274">
        <v>5.9742749999999996</v>
      </c>
      <c r="BV274">
        <v>7.0437E-2</v>
      </c>
      <c r="BW274">
        <v>-1.220323</v>
      </c>
      <c r="BX274">
        <v>0.499969</v>
      </c>
      <c r="BY274">
        <v>1.179E-2</v>
      </c>
      <c r="BZ274">
        <v>-0.204263</v>
      </c>
      <c r="CA274">
        <v>-0.45402999999999999</v>
      </c>
      <c r="CB274">
        <v>-0.215</v>
      </c>
      <c r="CC274">
        <v>-0.114</v>
      </c>
      <c r="CD274">
        <v>-3.0000000000000001E-3</v>
      </c>
      <c r="CE274">
        <v>4.2999999999999997E-2</v>
      </c>
      <c r="CF274">
        <v>8.3000000000000004E-2</v>
      </c>
      <c r="CG274">
        <v>0.20100000000000001</v>
      </c>
      <c r="CH274">
        <v>16.334499000000001</v>
      </c>
      <c r="CI274">
        <v>21.6126</v>
      </c>
      <c r="CJ274">
        <v>22.605</v>
      </c>
      <c r="CK274">
        <v>22.968250000000001</v>
      </c>
      <c r="CL274">
        <v>23.382000000000001</v>
      </c>
      <c r="CM274">
        <v>24.401699000000001</v>
      </c>
      <c r="CN274">
        <v>25.042148999999998</v>
      </c>
      <c r="CO274">
        <v>26.013216</v>
      </c>
      <c r="CP274">
        <v>0.46337699999999998</v>
      </c>
      <c r="CQ274">
        <v>16.459893999999998</v>
      </c>
      <c r="CR274">
        <v>18.393778000000001</v>
      </c>
      <c r="CS274">
        <v>1</v>
      </c>
      <c r="CT274">
        <v>54</v>
      </c>
      <c r="CU274">
        <v>13.681509</v>
      </c>
      <c r="CV274">
        <v>1</v>
      </c>
      <c r="CW274">
        <v>9.490138</v>
      </c>
      <c r="CX274">
        <v>90.062726999999995</v>
      </c>
      <c r="CY274">
        <v>0.69364700000000001</v>
      </c>
      <c r="CZ274">
        <v>12</v>
      </c>
      <c r="DA274">
        <v>1.034402</v>
      </c>
      <c r="DB274">
        <v>4.1698120000000003</v>
      </c>
      <c r="DC274">
        <v>7.2949289999999998</v>
      </c>
      <c r="DD274">
        <v>13.681509</v>
      </c>
      <c r="DE274">
        <v>5.1611859999999998</v>
      </c>
      <c r="DF274">
        <v>0.91256999999999999</v>
      </c>
      <c r="DG274">
        <v>0.69824200000000003</v>
      </c>
      <c r="DH274">
        <v>0.37723800000000002</v>
      </c>
      <c r="DI274">
        <v>0.176814</v>
      </c>
      <c r="DJ274">
        <v>0.13528699999999999</v>
      </c>
      <c r="DK274">
        <v>1</v>
      </c>
      <c r="DL274">
        <v>1</v>
      </c>
      <c r="DM274">
        <v>2</v>
      </c>
      <c r="DN274">
        <v>5</v>
      </c>
      <c r="DO274">
        <v>6</v>
      </c>
      <c r="DP274">
        <v>8</v>
      </c>
      <c r="DQ274">
        <v>10</v>
      </c>
      <c r="DR274">
        <v>13</v>
      </c>
      <c r="DS274">
        <v>15</v>
      </c>
      <c r="DT274">
        <v>17</v>
      </c>
      <c r="DU274">
        <v>18</v>
      </c>
      <c r="DV274">
        <v>20</v>
      </c>
      <c r="DW274">
        <v>26</v>
      </c>
      <c r="DX274">
        <v>33</v>
      </c>
      <c r="DY274">
        <v>43</v>
      </c>
      <c r="DZ274">
        <v>89.931349999999995</v>
      </c>
      <c r="EA274">
        <v>53.924528000000002</v>
      </c>
      <c r="EB274">
        <v>93.429225000000002</v>
      </c>
      <c r="EC274">
        <v>2751</v>
      </c>
      <c r="ED274">
        <v>2858</v>
      </c>
      <c r="EE274">
        <v>88.656424000000001</v>
      </c>
      <c r="EF274">
        <v>99.640405000000001</v>
      </c>
      <c r="EG274">
        <v>52.094340000000003</v>
      </c>
      <c r="EH274">
        <v>79.566038000000006</v>
      </c>
      <c r="EI274">
        <v>90.258253999999994</v>
      </c>
      <c r="EJ274">
        <v>137.85550799999999</v>
      </c>
      <c r="EK274">
        <v>2712</v>
      </c>
      <c r="EL274">
        <v>3048</v>
      </c>
      <c r="EM274">
        <v>2761</v>
      </c>
      <c r="EN274">
        <v>4217</v>
      </c>
      <c r="EO274">
        <v>3059</v>
      </c>
      <c r="EP274">
        <v>5300</v>
      </c>
      <c r="EQ274">
        <v>44.990974000000001</v>
      </c>
    </row>
    <row r="275" spans="1:147" x14ac:dyDescent="0.25">
      <c r="A275">
        <v>2022</v>
      </c>
      <c r="B275" t="str">
        <f t="shared" si="8"/>
        <v>RD</v>
      </c>
      <c r="C275" t="s">
        <v>1473</v>
      </c>
      <c r="D275" t="s">
        <v>1473</v>
      </c>
      <c r="E275">
        <v>26540</v>
      </c>
      <c r="F275" t="s">
        <v>1367</v>
      </c>
      <c r="G275" t="s">
        <v>291</v>
      </c>
      <c r="H275" t="s">
        <v>1474</v>
      </c>
      <c r="I275">
        <v>42.27</v>
      </c>
      <c r="J275">
        <v>42.27</v>
      </c>
      <c r="K275" t="s">
        <v>219</v>
      </c>
      <c r="L275">
        <v>1</v>
      </c>
      <c r="M275">
        <v>2018</v>
      </c>
      <c r="N275">
        <v>2</v>
      </c>
      <c r="O275" t="str">
        <f t="shared" si="9"/>
        <v>Talhadia</v>
      </c>
      <c r="P275" s="2">
        <v>43182</v>
      </c>
      <c r="Q275" t="s">
        <v>237</v>
      </c>
      <c r="R275" t="s">
        <v>881</v>
      </c>
      <c r="S275" t="s">
        <v>154</v>
      </c>
      <c r="T275" t="s">
        <v>221</v>
      </c>
      <c r="U275" t="s">
        <v>156</v>
      </c>
      <c r="V275" s="2">
        <v>44685</v>
      </c>
      <c r="W275" t="s">
        <v>293</v>
      </c>
      <c r="X275">
        <v>263.04000000000002</v>
      </c>
      <c r="Y275">
        <v>19.3</v>
      </c>
      <c r="Z275">
        <v>2</v>
      </c>
      <c r="AA275">
        <v>13.8</v>
      </c>
      <c r="AB275">
        <v>0</v>
      </c>
      <c r="AC275">
        <v>266.33999999999997</v>
      </c>
      <c r="AD275">
        <v>266.177752868266</v>
      </c>
      <c r="AE275" s="2">
        <v>44685</v>
      </c>
      <c r="AF275">
        <v>50</v>
      </c>
      <c r="AG275">
        <v>4.1149897330595504</v>
      </c>
      <c r="AH275">
        <v>24.628655567907298</v>
      </c>
      <c r="AI275">
        <v>15.308695652173901</v>
      </c>
      <c r="AJ275">
        <v>16.117794037933098</v>
      </c>
      <c r="AK275">
        <v>23</v>
      </c>
      <c r="AL275">
        <v>864.08423514578703</v>
      </c>
      <c r="AM275">
        <v>176.63246350977099</v>
      </c>
      <c r="AN275">
        <v>0.204415792263552</v>
      </c>
      <c r="AO275" t="s">
        <v>881</v>
      </c>
      <c r="AP275" t="s">
        <v>264</v>
      </c>
      <c r="AQ275" t="s">
        <v>1475</v>
      </c>
      <c r="AR275">
        <v>7.5</v>
      </c>
      <c r="AS275">
        <v>0.64806317635934041</v>
      </c>
      <c r="AT275" t="s">
        <v>1476</v>
      </c>
      <c r="AU275" t="s">
        <v>1477</v>
      </c>
      <c r="AV275">
        <v>2168</v>
      </c>
      <c r="AW275">
        <v>1087</v>
      </c>
      <c r="AX275">
        <v>892</v>
      </c>
      <c r="AY275">
        <v>182</v>
      </c>
      <c r="AZ275">
        <v>7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-0.83</v>
      </c>
      <c r="BH275">
        <v>25.049999</v>
      </c>
      <c r="BI275">
        <v>6.4366240000000001</v>
      </c>
      <c r="BJ275">
        <v>-8.4130000000000003E-3</v>
      </c>
      <c r="BK275">
        <v>8.446555</v>
      </c>
      <c r="BL275">
        <v>71.344295000000002</v>
      </c>
      <c r="BM275">
        <v>1.312265</v>
      </c>
      <c r="BN275">
        <v>14.465</v>
      </c>
      <c r="BO275">
        <v>0.79129099999999997</v>
      </c>
      <c r="BP275">
        <v>1.9808539999999999</v>
      </c>
      <c r="BQ275">
        <v>7.6249900000000004</v>
      </c>
      <c r="BR275">
        <v>0.32500000000000001</v>
      </c>
      <c r="BS275">
        <v>0.23841300000000001</v>
      </c>
      <c r="BT275">
        <v>6.4366240000000001</v>
      </c>
      <c r="BU275">
        <v>4.3484730000000003</v>
      </c>
      <c r="BV275">
        <v>1.54043</v>
      </c>
      <c r="BW275">
        <v>-0.12704799999999999</v>
      </c>
      <c r="BX275">
        <v>0.67558300000000004</v>
      </c>
      <c r="BY275">
        <v>0.35424600000000001</v>
      </c>
      <c r="BZ275">
        <v>-2.9217E-2</v>
      </c>
      <c r="CA275">
        <v>-0.4133</v>
      </c>
      <c r="CB275">
        <v>-0.23</v>
      </c>
      <c r="CC275">
        <v>-0.14000000000000001</v>
      </c>
      <c r="CD275">
        <v>-7.0000000000000007E-2</v>
      </c>
      <c r="CE275">
        <v>-0.03</v>
      </c>
      <c r="CF275">
        <v>0</v>
      </c>
      <c r="CG275">
        <v>0.08</v>
      </c>
      <c r="CH275">
        <v>0.16</v>
      </c>
      <c r="CI275">
        <v>5.6059989999999997</v>
      </c>
      <c r="CJ275">
        <v>11.734000999999999</v>
      </c>
      <c r="CK275">
        <v>14.435</v>
      </c>
      <c r="CL275">
        <v>16.977999000000001</v>
      </c>
      <c r="CM275">
        <v>20.055002000000002</v>
      </c>
      <c r="CN275">
        <v>22.232997999999998</v>
      </c>
      <c r="CO275">
        <v>24.033301999999999</v>
      </c>
      <c r="CP275">
        <v>0.280781</v>
      </c>
      <c r="CQ275">
        <v>10.617981</v>
      </c>
      <c r="CR275">
        <v>12.846932000000001</v>
      </c>
      <c r="CS275">
        <v>1</v>
      </c>
      <c r="CT275">
        <v>45</v>
      </c>
      <c r="CU275">
        <v>12.191882</v>
      </c>
      <c r="CV275">
        <v>1</v>
      </c>
      <c r="CW275">
        <v>10.225021999999999</v>
      </c>
      <c r="CX275">
        <v>104.551074</v>
      </c>
      <c r="CY275">
        <v>0.83867499999999995</v>
      </c>
      <c r="CZ275">
        <v>12</v>
      </c>
      <c r="DA275">
        <v>1.1250599999999999</v>
      </c>
      <c r="DB275">
        <v>3.3555709999999999</v>
      </c>
      <c r="DC275">
        <v>8.1836610000000007</v>
      </c>
      <c r="DD275">
        <v>12.191882</v>
      </c>
      <c r="DE275">
        <v>5.4613610000000001</v>
      </c>
      <c r="DF275">
        <v>1.572786</v>
      </c>
      <c r="DG275">
        <v>0.59913799999999995</v>
      </c>
      <c r="DH275">
        <v>0.44795099999999999</v>
      </c>
      <c r="DI275">
        <v>0.28798400000000002</v>
      </c>
      <c r="DJ275">
        <v>0.109705</v>
      </c>
      <c r="DK275">
        <v>1</v>
      </c>
      <c r="DL275">
        <v>1</v>
      </c>
      <c r="DM275">
        <v>2</v>
      </c>
      <c r="DN275">
        <v>4</v>
      </c>
      <c r="DO275">
        <v>5</v>
      </c>
      <c r="DP275">
        <v>5</v>
      </c>
      <c r="DQ275">
        <v>7</v>
      </c>
      <c r="DR275">
        <v>9</v>
      </c>
      <c r="DS275">
        <v>11</v>
      </c>
      <c r="DT275">
        <v>14</v>
      </c>
      <c r="DU275">
        <v>17</v>
      </c>
      <c r="DV275">
        <v>21</v>
      </c>
      <c r="DW275">
        <v>29</v>
      </c>
      <c r="DX275">
        <v>34</v>
      </c>
      <c r="DY275">
        <v>40</v>
      </c>
      <c r="DZ275">
        <v>70.009200000000007</v>
      </c>
      <c r="EA275">
        <v>41.051661000000003</v>
      </c>
      <c r="EB275">
        <v>81.876724999999993</v>
      </c>
      <c r="EC275">
        <v>761</v>
      </c>
      <c r="ED275">
        <v>890</v>
      </c>
      <c r="EE275">
        <v>67.157314</v>
      </c>
      <c r="EF275">
        <v>94.940201999999999</v>
      </c>
      <c r="EG275">
        <v>38.653137000000001</v>
      </c>
      <c r="EH275">
        <v>70.848708000000002</v>
      </c>
      <c r="EI275">
        <v>77.092916000000002</v>
      </c>
      <c r="EJ275">
        <v>141.30634800000001</v>
      </c>
      <c r="EK275">
        <v>730</v>
      </c>
      <c r="EL275">
        <v>1032</v>
      </c>
      <c r="EM275">
        <v>838</v>
      </c>
      <c r="EN275">
        <v>1536</v>
      </c>
      <c r="EO275">
        <v>1087</v>
      </c>
      <c r="EP275">
        <v>2168</v>
      </c>
      <c r="EQ275">
        <v>25.946753000000001</v>
      </c>
    </row>
    <row r="276" spans="1:147" x14ac:dyDescent="0.25">
      <c r="A276">
        <v>2022</v>
      </c>
      <c r="B276" t="str">
        <f t="shared" si="8"/>
        <v>RD</v>
      </c>
      <c r="C276" t="s">
        <v>1478</v>
      </c>
      <c r="D276" t="s">
        <v>1478</v>
      </c>
      <c r="E276">
        <v>26541</v>
      </c>
      <c r="F276" t="s">
        <v>1367</v>
      </c>
      <c r="G276" t="s">
        <v>291</v>
      </c>
      <c r="H276" t="s">
        <v>1474</v>
      </c>
      <c r="I276">
        <v>42.27</v>
      </c>
      <c r="J276">
        <v>42.27</v>
      </c>
      <c r="K276" t="s">
        <v>219</v>
      </c>
      <c r="L276">
        <v>1</v>
      </c>
      <c r="M276">
        <v>2018</v>
      </c>
      <c r="N276">
        <v>2</v>
      </c>
      <c r="O276" t="str">
        <f t="shared" si="9"/>
        <v>Talhadia</v>
      </c>
      <c r="P276" s="2">
        <v>43182</v>
      </c>
      <c r="Q276" t="s">
        <v>237</v>
      </c>
      <c r="R276" t="s">
        <v>881</v>
      </c>
      <c r="S276" t="s">
        <v>154</v>
      </c>
      <c r="T276" t="s">
        <v>221</v>
      </c>
      <c r="U276" t="s">
        <v>156</v>
      </c>
      <c r="V276" s="2">
        <v>44685</v>
      </c>
      <c r="W276" t="s">
        <v>293</v>
      </c>
      <c r="X276">
        <v>263.04000000000002</v>
      </c>
      <c r="Y276">
        <v>19.399999999999999</v>
      </c>
      <c r="Z276">
        <v>0</v>
      </c>
      <c r="AA276">
        <v>16.399999999999999</v>
      </c>
      <c r="AB276">
        <v>0</v>
      </c>
      <c r="AC276">
        <v>318.16000000000003</v>
      </c>
      <c r="AD276">
        <v>318.16000000000003</v>
      </c>
      <c r="AE276" s="2">
        <v>44685</v>
      </c>
      <c r="AF276">
        <v>50</v>
      </c>
      <c r="AG276">
        <v>4.1149897330595504</v>
      </c>
      <c r="AH276">
        <v>22.488480617354501</v>
      </c>
      <c r="AI276">
        <v>15.115384615384601</v>
      </c>
      <c r="AJ276">
        <v>14.931797533994001</v>
      </c>
      <c r="AK276">
        <v>26</v>
      </c>
      <c r="AL276">
        <v>817.19889363842105</v>
      </c>
      <c r="AM276">
        <v>148.29441248926699</v>
      </c>
      <c r="AN276">
        <v>0.18146673183686601</v>
      </c>
      <c r="AO276" t="s">
        <v>881</v>
      </c>
      <c r="AP276" t="s">
        <v>264</v>
      </c>
      <c r="AQ276" t="s">
        <v>1475</v>
      </c>
      <c r="AR276">
        <v>7.5</v>
      </c>
      <c r="AS276">
        <v>0.61289917022881568</v>
      </c>
      <c r="AT276" t="s">
        <v>1479</v>
      </c>
      <c r="AU276" t="s">
        <v>1480</v>
      </c>
      <c r="AV276">
        <v>2423</v>
      </c>
      <c r="AW276">
        <v>1421</v>
      </c>
      <c r="AX276">
        <v>859</v>
      </c>
      <c r="AY276">
        <v>141</v>
      </c>
      <c r="AZ276">
        <v>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-0.73</v>
      </c>
      <c r="BH276">
        <v>20.239999999999998</v>
      </c>
      <c r="BI276">
        <v>5.9014899999999999</v>
      </c>
      <c r="BJ276">
        <v>-6.4285999999999996E-2</v>
      </c>
      <c r="BK276">
        <v>6.919308</v>
      </c>
      <c r="BL276">
        <v>47.876817000000003</v>
      </c>
      <c r="BM276">
        <v>1.1724680000000001</v>
      </c>
      <c r="BN276">
        <v>12.865</v>
      </c>
      <c r="BO276">
        <v>0.58124799999999999</v>
      </c>
      <c r="BP276">
        <v>1.687694</v>
      </c>
      <c r="BQ276">
        <v>6.2940610000000001</v>
      </c>
      <c r="BR276">
        <v>0.51</v>
      </c>
      <c r="BS276">
        <v>0.33428600000000003</v>
      </c>
      <c r="BT276">
        <v>5.9014899999999999</v>
      </c>
      <c r="BU276">
        <v>3.6954579999999999</v>
      </c>
      <c r="BV276">
        <v>0.99534100000000003</v>
      </c>
      <c r="BW276">
        <v>-0.29936400000000002</v>
      </c>
      <c r="BX276">
        <v>0.62619100000000005</v>
      </c>
      <c r="BY276">
        <v>0.26934200000000003</v>
      </c>
      <c r="BZ276">
        <v>-8.1008999999999998E-2</v>
      </c>
      <c r="CA276">
        <v>-0.36780000000000002</v>
      </c>
      <c r="CB276">
        <v>-0.19</v>
      </c>
      <c r="CC276">
        <v>-0.12</v>
      </c>
      <c r="CD276">
        <v>-0.04</v>
      </c>
      <c r="CE276">
        <v>0</v>
      </c>
      <c r="CF276">
        <v>0.04</v>
      </c>
      <c r="CG276">
        <v>0.11</v>
      </c>
      <c r="CH276">
        <v>0.24</v>
      </c>
      <c r="CI276">
        <v>6.77</v>
      </c>
      <c r="CJ276">
        <v>11.278001</v>
      </c>
      <c r="CK276">
        <v>12.865</v>
      </c>
      <c r="CL276">
        <v>14.226000000000001</v>
      </c>
      <c r="CM276">
        <v>16.510000000000002</v>
      </c>
      <c r="CN276">
        <v>17.649999999999999</v>
      </c>
      <c r="CO276">
        <v>18.997800999999999</v>
      </c>
      <c r="CP276">
        <v>0.31623699999999999</v>
      </c>
      <c r="CQ276">
        <v>9.0931099999999994</v>
      </c>
      <c r="CR276">
        <v>10.758629000000001</v>
      </c>
      <c r="CS276">
        <v>1</v>
      </c>
      <c r="CT276">
        <v>46</v>
      </c>
      <c r="CU276">
        <v>12.602145999999999</v>
      </c>
      <c r="CV276">
        <v>1.714286</v>
      </c>
      <c r="CW276">
        <v>10.818457</v>
      </c>
      <c r="CX276">
        <v>117.03900400000001</v>
      </c>
      <c r="CY276">
        <v>0.85846100000000003</v>
      </c>
      <c r="CZ276">
        <v>15</v>
      </c>
      <c r="DA276">
        <v>1.04148</v>
      </c>
      <c r="DB276">
        <v>2.9396089999999999</v>
      </c>
      <c r="DC276">
        <v>8.8443670000000001</v>
      </c>
      <c r="DD276">
        <v>12.602145999999999</v>
      </c>
      <c r="DE276">
        <v>5.7968950000000001</v>
      </c>
      <c r="DF276">
        <v>1.687325</v>
      </c>
      <c r="DG276">
        <v>0.49928699999999998</v>
      </c>
      <c r="DH276">
        <v>0.45999299999999999</v>
      </c>
      <c r="DI276">
        <v>0.291074</v>
      </c>
      <c r="DJ276">
        <v>8.6129999999999998E-2</v>
      </c>
      <c r="DK276">
        <v>1</v>
      </c>
      <c r="DL276">
        <v>1</v>
      </c>
      <c r="DM276">
        <v>2</v>
      </c>
      <c r="DN276">
        <v>4</v>
      </c>
      <c r="DO276">
        <v>4</v>
      </c>
      <c r="DP276">
        <v>5</v>
      </c>
      <c r="DQ276">
        <v>7</v>
      </c>
      <c r="DR276">
        <v>9</v>
      </c>
      <c r="DS276">
        <v>11</v>
      </c>
      <c r="DT276">
        <v>15</v>
      </c>
      <c r="DU276">
        <v>19</v>
      </c>
      <c r="DV276">
        <v>22.599976000000002</v>
      </c>
      <c r="DW276">
        <v>31.800049000000001</v>
      </c>
      <c r="DX276">
        <v>35</v>
      </c>
      <c r="DY276">
        <v>40</v>
      </c>
      <c r="DZ276">
        <v>69.176636000000002</v>
      </c>
      <c r="EA276">
        <v>47.29674</v>
      </c>
      <c r="EB276">
        <v>80.647430999999997</v>
      </c>
      <c r="EC276">
        <v>983</v>
      </c>
      <c r="ED276">
        <v>1146</v>
      </c>
      <c r="EE276">
        <v>64.461646999999999</v>
      </c>
      <c r="EF276">
        <v>97.255454</v>
      </c>
      <c r="EG276">
        <v>42.798183999999999</v>
      </c>
      <c r="EH276">
        <v>83.739165999999997</v>
      </c>
      <c r="EI276">
        <v>72.976776999999998</v>
      </c>
      <c r="EJ276">
        <v>142.78676999999999</v>
      </c>
      <c r="EK276">
        <v>916</v>
      </c>
      <c r="EL276">
        <v>1382</v>
      </c>
      <c r="EM276">
        <v>1037</v>
      </c>
      <c r="EN276">
        <v>2029</v>
      </c>
      <c r="EO276">
        <v>1421</v>
      </c>
      <c r="EP276">
        <v>2423</v>
      </c>
      <c r="EQ276">
        <v>30.226315</v>
      </c>
    </row>
    <row r="277" spans="1:147" x14ac:dyDescent="0.25">
      <c r="A277">
        <v>2022</v>
      </c>
      <c r="B277" t="str">
        <f t="shared" si="8"/>
        <v>NE</v>
      </c>
      <c r="C277" t="s">
        <v>1481</v>
      </c>
      <c r="D277" t="s">
        <v>1481</v>
      </c>
      <c r="E277">
        <v>26547</v>
      </c>
      <c r="F277" t="s">
        <v>1482</v>
      </c>
      <c r="G277" t="s">
        <v>1483</v>
      </c>
      <c r="H277" t="s">
        <v>1484</v>
      </c>
      <c r="I277">
        <v>44.19</v>
      </c>
      <c r="J277">
        <v>44.19</v>
      </c>
      <c r="K277" t="s">
        <v>173</v>
      </c>
      <c r="L277">
        <v>1</v>
      </c>
      <c r="M277">
        <v>2018</v>
      </c>
      <c r="N277">
        <v>3</v>
      </c>
      <c r="O277" t="str">
        <f t="shared" si="9"/>
        <v>Alto fuste</v>
      </c>
      <c r="P277" s="2">
        <v>43461</v>
      </c>
      <c r="Q277" t="s">
        <v>174</v>
      </c>
      <c r="R277" t="s">
        <v>314</v>
      </c>
      <c r="S277" t="s">
        <v>154</v>
      </c>
      <c r="T277" t="s">
        <v>175</v>
      </c>
      <c r="U277" t="s">
        <v>156</v>
      </c>
      <c r="V277" s="2">
        <v>44593</v>
      </c>
      <c r="W277" t="s">
        <v>1485</v>
      </c>
      <c r="X277">
        <v>116.96</v>
      </c>
      <c r="Y277">
        <v>21.6</v>
      </c>
      <c r="Z277">
        <v>25</v>
      </c>
      <c r="AA277">
        <v>16.8</v>
      </c>
      <c r="AB277">
        <v>0</v>
      </c>
      <c r="AC277">
        <v>362.88</v>
      </c>
      <c r="AD277">
        <v>328.88096975986002</v>
      </c>
      <c r="AE277" s="2">
        <v>44593</v>
      </c>
      <c r="AF277">
        <v>38</v>
      </c>
      <c r="AG277">
        <v>3.0992470910335399</v>
      </c>
      <c r="AH277">
        <v>22.673555653434999</v>
      </c>
      <c r="AI277">
        <v>14.0852941176471</v>
      </c>
      <c r="AJ277">
        <v>16.175242765603802</v>
      </c>
      <c r="AK277">
        <v>34</v>
      </c>
      <c r="AL277">
        <v>1033.8086762765799</v>
      </c>
      <c r="AM277">
        <v>156.877215871397</v>
      </c>
      <c r="AN277">
        <v>0.15174685555591699</v>
      </c>
      <c r="AO277" t="s">
        <v>314</v>
      </c>
      <c r="AP277" t="s">
        <v>158</v>
      </c>
      <c r="AQ277" t="s">
        <v>315</v>
      </c>
      <c r="AR277">
        <v>9</v>
      </c>
      <c r="AS277">
        <v>0.93042780864892527</v>
      </c>
      <c r="AT277" t="s">
        <v>1486</v>
      </c>
      <c r="AU277" t="s">
        <v>1487</v>
      </c>
      <c r="AV277">
        <v>2509</v>
      </c>
      <c r="AW277">
        <v>1535</v>
      </c>
      <c r="AX277">
        <v>897</v>
      </c>
      <c r="AY277">
        <v>77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-0.77600000000000002</v>
      </c>
      <c r="BH277">
        <v>22.582999999999998</v>
      </c>
      <c r="BI277">
        <v>12.350287</v>
      </c>
      <c r="BJ277">
        <v>-3.4444000000000002E-2</v>
      </c>
      <c r="BK277">
        <v>9.4979049999999994</v>
      </c>
      <c r="BL277">
        <v>90.210203000000007</v>
      </c>
      <c r="BM277">
        <v>0.76904300000000003</v>
      </c>
      <c r="BN277">
        <v>20.185001</v>
      </c>
      <c r="BO277">
        <v>-0.48364299999999999</v>
      </c>
      <c r="BP277">
        <v>1.3131330000000001</v>
      </c>
      <c r="BQ277">
        <v>9.058764</v>
      </c>
      <c r="BR277">
        <v>2.9750000000000001</v>
      </c>
      <c r="BS277">
        <v>18.092445000000001</v>
      </c>
      <c r="BT277">
        <v>12.350287</v>
      </c>
      <c r="BU277">
        <v>4.9384189999999997</v>
      </c>
      <c r="BV277">
        <v>-0.84817799999999999</v>
      </c>
      <c r="BW277">
        <v>-0.73770400000000003</v>
      </c>
      <c r="BX277">
        <v>0.39986300000000002</v>
      </c>
      <c r="BY277">
        <v>-0.17175099999999999</v>
      </c>
      <c r="BZ277">
        <v>-0.14938100000000001</v>
      </c>
      <c r="CA277">
        <v>-0.41676000000000002</v>
      </c>
      <c r="CB277">
        <v>-0.17460000000000001</v>
      </c>
      <c r="CC277">
        <v>-7.3400000000000007E-2</v>
      </c>
      <c r="CD277">
        <v>5.2999999999999999E-2</v>
      </c>
      <c r="CE277">
        <v>9.8000000000000004E-2</v>
      </c>
      <c r="CF277">
        <v>0.1734</v>
      </c>
      <c r="CG277">
        <v>15.968800999999999</v>
      </c>
      <c r="CH277">
        <v>18.058001000000001</v>
      </c>
      <c r="CI277">
        <v>19.399799000000002</v>
      </c>
      <c r="CJ277">
        <v>20.024799000000002</v>
      </c>
      <c r="CK277">
        <v>20.283000999999999</v>
      </c>
      <c r="CL277">
        <v>20.545000000000002</v>
      </c>
      <c r="CM277">
        <v>21.202000000000002</v>
      </c>
      <c r="CN277">
        <v>21.595600000000001</v>
      </c>
      <c r="CO277">
        <v>22.074359999999999</v>
      </c>
      <c r="CP277">
        <v>0.56193700000000002</v>
      </c>
      <c r="CQ277">
        <v>15.578955000000001</v>
      </c>
      <c r="CR277">
        <v>16.881049000000001</v>
      </c>
      <c r="CS277">
        <v>1</v>
      </c>
      <c r="CT277">
        <v>53</v>
      </c>
      <c r="CU277">
        <v>16.538063000000001</v>
      </c>
      <c r="CV277">
        <v>25.761904999999999</v>
      </c>
      <c r="CW277">
        <v>9.5522910000000003</v>
      </c>
      <c r="CX277">
        <v>91.246257999999997</v>
      </c>
      <c r="CY277">
        <v>0.57759400000000005</v>
      </c>
      <c r="CZ277">
        <v>16</v>
      </c>
      <c r="DA277">
        <v>9.5485E-2</v>
      </c>
      <c r="DB277">
        <v>2.3950849999999999</v>
      </c>
      <c r="DC277">
        <v>8.1286380000000005</v>
      </c>
      <c r="DD277">
        <v>16.538063000000001</v>
      </c>
      <c r="DE277">
        <v>5.4455650000000002</v>
      </c>
      <c r="DF277">
        <v>-4.8497999999999999E-2</v>
      </c>
      <c r="DG277">
        <v>0.16131100000000001</v>
      </c>
      <c r="DH277">
        <v>0.32927499999999998</v>
      </c>
      <c r="DI277">
        <v>-8.9060000000000007E-3</v>
      </c>
      <c r="DJ277">
        <v>2.9621999999999999E-2</v>
      </c>
      <c r="DK277">
        <v>1</v>
      </c>
      <c r="DL277">
        <v>2</v>
      </c>
      <c r="DM277">
        <v>3</v>
      </c>
      <c r="DN277">
        <v>6</v>
      </c>
      <c r="DO277">
        <v>8</v>
      </c>
      <c r="DP277">
        <v>10</v>
      </c>
      <c r="DQ277">
        <v>14</v>
      </c>
      <c r="DR277">
        <v>18</v>
      </c>
      <c r="DS277">
        <v>20</v>
      </c>
      <c r="DT277">
        <v>23</v>
      </c>
      <c r="DU277">
        <v>24</v>
      </c>
      <c r="DV277">
        <v>25</v>
      </c>
      <c r="DW277">
        <v>28</v>
      </c>
      <c r="DX277">
        <v>31</v>
      </c>
      <c r="DY277">
        <v>38</v>
      </c>
      <c r="DZ277">
        <v>98.110748999999998</v>
      </c>
      <c r="EA277">
        <v>63.491430999999999</v>
      </c>
      <c r="EB277">
        <v>103.778502</v>
      </c>
      <c r="EC277">
        <v>1506</v>
      </c>
      <c r="ED277">
        <v>1593</v>
      </c>
      <c r="EE277">
        <v>97.915308999999993</v>
      </c>
      <c r="EF277">
        <v>100</v>
      </c>
      <c r="EG277">
        <v>63.013153000000003</v>
      </c>
      <c r="EH277">
        <v>87.485054000000005</v>
      </c>
      <c r="EI277">
        <v>102.996743</v>
      </c>
      <c r="EJ277">
        <v>142.99674300000001</v>
      </c>
      <c r="EK277">
        <v>1503</v>
      </c>
      <c r="EL277">
        <v>1535</v>
      </c>
      <c r="EM277">
        <v>1581</v>
      </c>
      <c r="EN277">
        <v>2195</v>
      </c>
      <c r="EO277">
        <v>1535</v>
      </c>
      <c r="EP277">
        <v>2509</v>
      </c>
      <c r="EQ277">
        <v>55.174146999999998</v>
      </c>
    </row>
    <row r="278" spans="1:147" x14ac:dyDescent="0.25">
      <c r="A278">
        <v>2022</v>
      </c>
      <c r="B278" t="str">
        <f t="shared" si="8"/>
        <v>NE</v>
      </c>
      <c r="C278" t="s">
        <v>1488</v>
      </c>
      <c r="D278" t="s">
        <v>1488</v>
      </c>
      <c r="E278">
        <v>26549</v>
      </c>
      <c r="F278" t="s">
        <v>1482</v>
      </c>
      <c r="G278" t="s">
        <v>1483</v>
      </c>
      <c r="H278" t="s">
        <v>1484</v>
      </c>
      <c r="I278">
        <v>44.19</v>
      </c>
      <c r="J278">
        <v>44.19</v>
      </c>
      <c r="K278" t="s">
        <v>173</v>
      </c>
      <c r="L278">
        <v>1</v>
      </c>
      <c r="M278">
        <v>2018</v>
      </c>
      <c r="N278">
        <v>3</v>
      </c>
      <c r="O278" t="str">
        <f t="shared" si="9"/>
        <v>Alto fuste</v>
      </c>
      <c r="P278" s="2">
        <v>43461</v>
      </c>
      <c r="Q278" t="s">
        <v>174</v>
      </c>
      <c r="R278" t="s">
        <v>314</v>
      </c>
      <c r="S278" t="s">
        <v>154</v>
      </c>
      <c r="T278" t="s">
        <v>175</v>
      </c>
      <c r="U278" t="s">
        <v>156</v>
      </c>
      <c r="V278" s="2">
        <v>44593</v>
      </c>
      <c r="W278" t="s">
        <v>1485</v>
      </c>
      <c r="X278">
        <v>116.96</v>
      </c>
      <c r="Y278">
        <v>19.2</v>
      </c>
      <c r="Z278">
        <v>11</v>
      </c>
      <c r="AA278">
        <v>15.4</v>
      </c>
      <c r="AB278">
        <v>3</v>
      </c>
      <c r="AC278">
        <v>295.68</v>
      </c>
      <c r="AD278">
        <v>289.84975145539698</v>
      </c>
      <c r="AE278" s="2">
        <v>44593</v>
      </c>
      <c r="AF278">
        <v>38</v>
      </c>
      <c r="AG278">
        <v>3.0992470910335399</v>
      </c>
      <c r="AH278">
        <v>21.884938155037201</v>
      </c>
      <c r="AI278">
        <v>15.3357142857143</v>
      </c>
      <c r="AJ278">
        <v>17.9575476018587</v>
      </c>
      <c r="AK278">
        <v>28</v>
      </c>
      <c r="AL278">
        <v>966.01773365014299</v>
      </c>
      <c r="AM278">
        <v>166.461942711364</v>
      </c>
      <c r="AN278">
        <v>0.17231768829168301</v>
      </c>
      <c r="AO278" t="s">
        <v>314</v>
      </c>
      <c r="AP278" t="s">
        <v>158</v>
      </c>
      <c r="AQ278" t="s">
        <v>315</v>
      </c>
      <c r="AR278">
        <v>9</v>
      </c>
      <c r="AS278">
        <v>0.86941596028512924</v>
      </c>
      <c r="AT278" t="s">
        <v>1489</v>
      </c>
      <c r="AU278" t="s">
        <v>1490</v>
      </c>
      <c r="AV278">
        <v>4939</v>
      </c>
      <c r="AW278">
        <v>2868</v>
      </c>
      <c r="AX278">
        <v>1989</v>
      </c>
      <c r="AY278">
        <v>81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-0.82699999999999996</v>
      </c>
      <c r="BH278">
        <v>21.042998999999998</v>
      </c>
      <c r="BI278">
        <v>10.057959</v>
      </c>
      <c r="BJ278">
        <v>-0.132714</v>
      </c>
      <c r="BK278">
        <v>8.6432420000000008</v>
      </c>
      <c r="BL278">
        <v>74.705639000000005</v>
      </c>
      <c r="BM278">
        <v>0.859344</v>
      </c>
      <c r="BN278">
        <v>17.633001</v>
      </c>
      <c r="BO278">
        <v>-0.257492</v>
      </c>
      <c r="BP278">
        <v>1.135856</v>
      </c>
      <c r="BQ278">
        <v>8.4410550000000004</v>
      </c>
      <c r="BR278">
        <v>3.2410009999999998</v>
      </c>
      <c r="BS278">
        <v>16.144714</v>
      </c>
      <c r="BT278">
        <v>10.057959</v>
      </c>
      <c r="BU278">
        <v>4.5414589999999997</v>
      </c>
      <c r="BV278">
        <v>-0.35821199999999997</v>
      </c>
      <c r="BW278">
        <v>-0.82559400000000005</v>
      </c>
      <c r="BX278">
        <v>0.45152900000000001</v>
      </c>
      <c r="BY278">
        <v>-7.8876000000000002E-2</v>
      </c>
      <c r="BZ278">
        <v>-0.18179000000000001</v>
      </c>
      <c r="CA278">
        <v>-0.48361999999999999</v>
      </c>
      <c r="CB278">
        <v>-0.23100000000000001</v>
      </c>
      <c r="CC278">
        <v>-0.11219999999999999</v>
      </c>
      <c r="CD278">
        <v>1.9E-2</v>
      </c>
      <c r="CE278">
        <v>0.08</v>
      </c>
      <c r="CF278">
        <v>0.14000000000000001</v>
      </c>
      <c r="CG278">
        <v>0.377</v>
      </c>
      <c r="CH278">
        <v>16.011998999999999</v>
      </c>
      <c r="CI278">
        <v>16.804600000000001</v>
      </c>
      <c r="CJ278">
        <v>17.406600999999998</v>
      </c>
      <c r="CK278">
        <v>17.713000999999998</v>
      </c>
      <c r="CL278">
        <v>18.019400000000001</v>
      </c>
      <c r="CM278">
        <v>18.793199999999999</v>
      </c>
      <c r="CN278">
        <v>19.402401000000001</v>
      </c>
      <c r="CO278">
        <v>20.091961000000001</v>
      </c>
      <c r="CP278">
        <v>0.49771199999999999</v>
      </c>
      <c r="CQ278">
        <v>13.260959</v>
      </c>
      <c r="CR278">
        <v>14.58877</v>
      </c>
      <c r="CS278">
        <v>1</v>
      </c>
      <c r="CT278">
        <v>54</v>
      </c>
      <c r="CU278">
        <v>14.209152</v>
      </c>
      <c r="CV278">
        <v>1</v>
      </c>
      <c r="CW278">
        <v>9.2117979999999999</v>
      </c>
      <c r="CX278">
        <v>84.857219000000001</v>
      </c>
      <c r="CY278">
        <v>0.64829999999999999</v>
      </c>
      <c r="CZ278">
        <v>16</v>
      </c>
      <c r="DA278">
        <v>0.332509</v>
      </c>
      <c r="DB278">
        <v>2.8392689999999998</v>
      </c>
      <c r="DC278">
        <v>7.8292650000000004</v>
      </c>
      <c r="DD278">
        <v>14.209152</v>
      </c>
      <c r="DE278">
        <v>5.19475</v>
      </c>
      <c r="DF278">
        <v>0.17439199999999999</v>
      </c>
      <c r="DG278">
        <v>9.7332000000000002E-2</v>
      </c>
      <c r="DH278">
        <v>0.36559199999999997</v>
      </c>
      <c r="DI278">
        <v>3.3570999999999997E-2</v>
      </c>
      <c r="DJ278">
        <v>1.8737E-2</v>
      </c>
      <c r="DK278">
        <v>1</v>
      </c>
      <c r="DL278">
        <v>1</v>
      </c>
      <c r="DM278">
        <v>2</v>
      </c>
      <c r="DN278">
        <v>4</v>
      </c>
      <c r="DO278">
        <v>5</v>
      </c>
      <c r="DP278">
        <v>7</v>
      </c>
      <c r="DQ278">
        <v>12</v>
      </c>
      <c r="DR278">
        <v>15</v>
      </c>
      <c r="DS278">
        <v>18</v>
      </c>
      <c r="DT278">
        <v>20</v>
      </c>
      <c r="DU278">
        <v>21</v>
      </c>
      <c r="DV278">
        <v>22</v>
      </c>
      <c r="DW278">
        <v>25</v>
      </c>
      <c r="DX278">
        <v>28</v>
      </c>
      <c r="DY278">
        <v>39</v>
      </c>
      <c r="DZ278">
        <v>96.861924999999999</v>
      </c>
      <c r="EA278">
        <v>58.311399000000002</v>
      </c>
      <c r="EB278">
        <v>100.41840999999999</v>
      </c>
      <c r="EC278">
        <v>2778</v>
      </c>
      <c r="ED278">
        <v>2880</v>
      </c>
      <c r="EE278">
        <v>96.408647000000002</v>
      </c>
      <c r="EF278">
        <v>99.965131999999997</v>
      </c>
      <c r="EG278">
        <v>57.278801000000001</v>
      </c>
      <c r="EH278">
        <v>91.010326000000006</v>
      </c>
      <c r="EI278">
        <v>98.640167000000005</v>
      </c>
      <c r="EJ278">
        <v>156.72942800000001</v>
      </c>
      <c r="EK278">
        <v>2765</v>
      </c>
      <c r="EL278">
        <v>2867</v>
      </c>
      <c r="EM278">
        <v>2829</v>
      </c>
      <c r="EN278">
        <v>4495</v>
      </c>
      <c r="EO278">
        <v>2868</v>
      </c>
      <c r="EP278">
        <v>4939</v>
      </c>
      <c r="EQ278">
        <v>49.234327999999998</v>
      </c>
    </row>
    <row r="279" spans="1:147" x14ac:dyDescent="0.25">
      <c r="A279">
        <v>2022</v>
      </c>
      <c r="B279" t="str">
        <f t="shared" si="8"/>
        <v>NE</v>
      </c>
      <c r="C279" t="s">
        <v>1491</v>
      </c>
      <c r="D279" t="s">
        <v>1491</v>
      </c>
      <c r="E279">
        <v>26551</v>
      </c>
      <c r="F279" t="s">
        <v>1492</v>
      </c>
      <c r="G279" t="s">
        <v>1483</v>
      </c>
      <c r="H279" t="s">
        <v>1493</v>
      </c>
      <c r="I279">
        <v>14.21</v>
      </c>
      <c r="J279">
        <v>14.21</v>
      </c>
      <c r="K279" t="s">
        <v>173</v>
      </c>
      <c r="L279">
        <v>1</v>
      </c>
      <c r="M279">
        <v>2018</v>
      </c>
      <c r="N279">
        <v>3</v>
      </c>
      <c r="O279" t="str">
        <f t="shared" si="9"/>
        <v>Talhadia</v>
      </c>
      <c r="P279" s="2">
        <v>43363</v>
      </c>
      <c r="Q279" t="s">
        <v>174</v>
      </c>
      <c r="R279" t="s">
        <v>309</v>
      </c>
      <c r="S279" t="s">
        <v>154</v>
      </c>
      <c r="T279" t="s">
        <v>175</v>
      </c>
      <c r="U279" t="s">
        <v>156</v>
      </c>
      <c r="V279" s="2">
        <v>44593</v>
      </c>
      <c r="W279" t="s">
        <v>1485</v>
      </c>
      <c r="X279">
        <v>141.27000000000001</v>
      </c>
      <c r="Y279">
        <v>19.2</v>
      </c>
      <c r="Z279">
        <v>14</v>
      </c>
      <c r="AA279">
        <v>15.6</v>
      </c>
      <c r="AB279">
        <v>0</v>
      </c>
      <c r="AC279">
        <v>299.52</v>
      </c>
      <c r="AD279">
        <v>290.622975934186</v>
      </c>
      <c r="AE279" s="2">
        <v>44593</v>
      </c>
      <c r="AF279">
        <v>41</v>
      </c>
      <c r="AG279">
        <v>3.3675564681724799</v>
      </c>
      <c r="AH279">
        <v>18.706517942951599</v>
      </c>
      <c r="AI279">
        <v>14.8633333333333</v>
      </c>
      <c r="AJ279">
        <v>18.484503227285401</v>
      </c>
      <c r="AK279">
        <v>30</v>
      </c>
      <c r="AL279">
        <v>1032.26525375591</v>
      </c>
      <c r="AM279">
        <v>145.94183890887501</v>
      </c>
      <c r="AN279">
        <v>0.141380171790017</v>
      </c>
      <c r="AO279" t="s">
        <v>309</v>
      </c>
      <c r="AP279" t="s">
        <v>264</v>
      </c>
      <c r="AQ279" t="s">
        <v>315</v>
      </c>
      <c r="AR279">
        <v>9</v>
      </c>
      <c r="AS279">
        <v>0.9290387283803182</v>
      </c>
      <c r="AT279" t="s">
        <v>1494</v>
      </c>
      <c r="AU279" t="s">
        <v>1495</v>
      </c>
      <c r="AV279">
        <v>3402</v>
      </c>
      <c r="AW279">
        <v>1944</v>
      </c>
      <c r="AX279">
        <v>1133</v>
      </c>
      <c r="AY279">
        <v>304</v>
      </c>
      <c r="AZ279">
        <v>21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-0.86099999999999999</v>
      </c>
      <c r="BH279">
        <v>22.965</v>
      </c>
      <c r="BI279">
        <v>9.727169</v>
      </c>
      <c r="BJ279">
        <v>-0.104619</v>
      </c>
      <c r="BK279">
        <v>7.0485499999999996</v>
      </c>
      <c r="BL279">
        <v>49.682054000000001</v>
      </c>
      <c r="BM279">
        <v>0.72462499999999996</v>
      </c>
      <c r="BN279">
        <v>15.62125</v>
      </c>
      <c r="BO279">
        <v>-0.165801</v>
      </c>
      <c r="BP279">
        <v>1.675154</v>
      </c>
      <c r="BQ279">
        <v>6.0834330000000003</v>
      </c>
      <c r="BR279">
        <v>6.2824999999999998</v>
      </c>
      <c r="BS279">
        <v>10.978119</v>
      </c>
      <c r="BT279">
        <v>9.727169</v>
      </c>
      <c r="BU279">
        <v>4.0070110000000003</v>
      </c>
      <c r="BV279">
        <v>-0.13106699999999999</v>
      </c>
      <c r="BW279">
        <v>-0.175899</v>
      </c>
      <c r="BX279">
        <v>0.41193999999999997</v>
      </c>
      <c r="BY279">
        <v>-3.2709000000000002E-2</v>
      </c>
      <c r="BZ279">
        <v>-4.3898E-2</v>
      </c>
      <c r="CA279">
        <v>-0.29196</v>
      </c>
      <c r="CB279">
        <v>-9.2999999999999999E-2</v>
      </c>
      <c r="CC279">
        <v>-9.7999999999999997E-3</v>
      </c>
      <c r="CD279">
        <v>0.189</v>
      </c>
      <c r="CE279">
        <v>0.52100000000000002</v>
      </c>
      <c r="CF279">
        <v>4.8613</v>
      </c>
      <c r="CG279">
        <v>9.3228010000000001</v>
      </c>
      <c r="CH279">
        <v>10.8735</v>
      </c>
      <c r="CI279">
        <v>12.202800999999999</v>
      </c>
      <c r="CJ279">
        <v>14.5425</v>
      </c>
      <c r="CK279">
        <v>16.142250000000001</v>
      </c>
      <c r="CL279">
        <v>17.203600000000002</v>
      </c>
      <c r="CM279">
        <v>18.686700999999999</v>
      </c>
      <c r="CN279">
        <v>19.297999999999998</v>
      </c>
      <c r="CO279">
        <v>21.603919999999999</v>
      </c>
      <c r="CP279">
        <v>0.44439600000000001</v>
      </c>
      <c r="CQ279">
        <v>12.011881000000001</v>
      </c>
      <c r="CR279">
        <v>13.222384999999999</v>
      </c>
      <c r="CS279">
        <v>1</v>
      </c>
      <c r="CT279">
        <v>72</v>
      </c>
      <c r="CU279">
        <v>21.444444000000001</v>
      </c>
      <c r="CV279">
        <v>17.904762000000002</v>
      </c>
      <c r="CW279">
        <v>13.38635</v>
      </c>
      <c r="CX279">
        <v>179.194355</v>
      </c>
      <c r="CY279">
        <v>0.62423399999999996</v>
      </c>
      <c r="CZ279">
        <v>22</v>
      </c>
      <c r="DA279">
        <v>0.39882400000000001</v>
      </c>
      <c r="DB279">
        <v>2.3733399999999998</v>
      </c>
      <c r="DC279">
        <v>11.304657000000001</v>
      </c>
      <c r="DD279">
        <v>21.444444000000001</v>
      </c>
      <c r="DE279">
        <v>7.6317029999999999</v>
      </c>
      <c r="DF279">
        <v>0.67965900000000001</v>
      </c>
      <c r="DG279">
        <v>0.278557</v>
      </c>
      <c r="DH279">
        <v>0.355883</v>
      </c>
      <c r="DI279">
        <v>8.9056999999999997E-2</v>
      </c>
      <c r="DJ279">
        <v>3.6499999999999998E-2</v>
      </c>
      <c r="DK279">
        <v>1</v>
      </c>
      <c r="DL279">
        <v>3</v>
      </c>
      <c r="DM279">
        <v>5</v>
      </c>
      <c r="DN279">
        <v>8</v>
      </c>
      <c r="DO279">
        <v>10</v>
      </c>
      <c r="DP279">
        <v>12</v>
      </c>
      <c r="DQ279">
        <v>16</v>
      </c>
      <c r="DR279">
        <v>20</v>
      </c>
      <c r="DS279">
        <v>25</v>
      </c>
      <c r="DT279">
        <v>29</v>
      </c>
      <c r="DU279">
        <v>32</v>
      </c>
      <c r="DV279">
        <v>34</v>
      </c>
      <c r="DW279">
        <v>40</v>
      </c>
      <c r="DX279">
        <v>44.949950999999999</v>
      </c>
      <c r="DY279">
        <v>53</v>
      </c>
      <c r="DZ279">
        <v>99.588476999999997</v>
      </c>
      <c r="EA279">
        <v>72.427983999999995</v>
      </c>
      <c r="EB279">
        <v>126.748971</v>
      </c>
      <c r="EC279">
        <v>1936</v>
      </c>
      <c r="ED279">
        <v>2464</v>
      </c>
      <c r="EE279">
        <v>91.203704000000002</v>
      </c>
      <c r="EF279">
        <v>100</v>
      </c>
      <c r="EG279">
        <v>58.230452999999997</v>
      </c>
      <c r="EH279">
        <v>95.473251000000005</v>
      </c>
      <c r="EI279">
        <v>101.90329199999999</v>
      </c>
      <c r="EJ279">
        <v>167.07818900000001</v>
      </c>
      <c r="EK279">
        <v>1773</v>
      </c>
      <c r="EL279">
        <v>1944</v>
      </c>
      <c r="EM279">
        <v>1981</v>
      </c>
      <c r="EN279">
        <v>3248</v>
      </c>
      <c r="EO279">
        <v>1944</v>
      </c>
      <c r="EP279">
        <v>3402</v>
      </c>
      <c r="EQ279">
        <v>44.052411999999997</v>
      </c>
    </row>
    <row r="280" spans="1:147" x14ac:dyDescent="0.25">
      <c r="A280">
        <v>2022</v>
      </c>
      <c r="B280" t="str">
        <f t="shared" si="8"/>
        <v>NE</v>
      </c>
      <c r="C280" t="s">
        <v>1496</v>
      </c>
      <c r="D280" t="s">
        <v>1496</v>
      </c>
      <c r="E280">
        <v>26557</v>
      </c>
      <c r="F280" t="s">
        <v>1441</v>
      </c>
      <c r="G280" t="s">
        <v>1442</v>
      </c>
      <c r="H280" t="s">
        <v>1497</v>
      </c>
      <c r="I280">
        <v>47.85</v>
      </c>
      <c r="J280">
        <v>47.85</v>
      </c>
      <c r="K280" t="s">
        <v>190</v>
      </c>
      <c r="L280">
        <v>1</v>
      </c>
      <c r="M280">
        <v>2018</v>
      </c>
      <c r="N280">
        <v>2</v>
      </c>
      <c r="O280" t="str">
        <f t="shared" si="9"/>
        <v>Talhadia</v>
      </c>
      <c r="P280" s="2">
        <v>43454</v>
      </c>
      <c r="Q280" t="s">
        <v>322</v>
      </c>
      <c r="R280" t="s">
        <v>153</v>
      </c>
      <c r="S280" t="s">
        <v>154</v>
      </c>
      <c r="T280" t="s">
        <v>175</v>
      </c>
      <c r="U280" t="s">
        <v>156</v>
      </c>
      <c r="V280" s="2">
        <v>44586</v>
      </c>
      <c r="W280" t="s">
        <v>1444</v>
      </c>
      <c r="X280">
        <v>65.34</v>
      </c>
      <c r="Y280">
        <v>20.7</v>
      </c>
      <c r="Z280">
        <v>27</v>
      </c>
      <c r="AA280">
        <v>14.6</v>
      </c>
      <c r="AB280">
        <v>2</v>
      </c>
      <c r="AC280">
        <v>302.22000000000003</v>
      </c>
      <c r="AD280">
        <v>269.11595364494201</v>
      </c>
      <c r="AE280" s="2">
        <v>44586</v>
      </c>
      <c r="AF280">
        <v>37</v>
      </c>
      <c r="AG280">
        <v>3.0992470910335399</v>
      </c>
      <c r="AH280">
        <v>20.460854121397698</v>
      </c>
      <c r="AI280">
        <v>14.159090909090899</v>
      </c>
      <c r="AJ280">
        <v>13.626682080348001</v>
      </c>
      <c r="AK280">
        <v>22</v>
      </c>
      <c r="AL280">
        <v>817.49148283589602</v>
      </c>
      <c r="AM280">
        <v>123.53565323518301</v>
      </c>
      <c r="AN280">
        <v>0.151115523316079</v>
      </c>
      <c r="AO280" t="s">
        <v>153</v>
      </c>
      <c r="AP280" t="s">
        <v>264</v>
      </c>
      <c r="AQ280" t="s">
        <v>1126</v>
      </c>
      <c r="AR280">
        <v>9.99</v>
      </c>
      <c r="AS280">
        <v>0.81667399135306051</v>
      </c>
      <c r="AT280" t="s">
        <v>1498</v>
      </c>
      <c r="AU280" t="s">
        <v>1499</v>
      </c>
      <c r="AV280">
        <v>4899</v>
      </c>
      <c r="AW280">
        <v>4899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-0.36799999999999999</v>
      </c>
      <c r="BH280">
        <v>24.422001000000002</v>
      </c>
      <c r="BI280">
        <v>16.096011000000001</v>
      </c>
      <c r="BJ280">
        <v>16.158667000000001</v>
      </c>
      <c r="BK280">
        <v>6.0026279999999996</v>
      </c>
      <c r="BL280">
        <v>36.031543999999997</v>
      </c>
      <c r="BM280">
        <v>0.37292599999999998</v>
      </c>
      <c r="BN280">
        <v>4.4524990000000004</v>
      </c>
      <c r="BO280">
        <v>-1.6865810000000001</v>
      </c>
      <c r="BP280">
        <v>5.1482679999999998</v>
      </c>
      <c r="BQ280">
        <v>4.0786179999999996</v>
      </c>
      <c r="BR280">
        <v>2.2149999999999999</v>
      </c>
      <c r="BS280">
        <v>2.647332</v>
      </c>
      <c r="BT280">
        <v>16.096011000000001</v>
      </c>
      <c r="BU280">
        <v>2.93987</v>
      </c>
      <c r="BV280">
        <v>-0.93409399999999998</v>
      </c>
      <c r="BW280">
        <v>0.69734799999999997</v>
      </c>
      <c r="BX280">
        <v>0.182646</v>
      </c>
      <c r="BY280">
        <v>-0.31773299999999999</v>
      </c>
      <c r="BZ280">
        <v>0.237204</v>
      </c>
      <c r="CA280">
        <v>-0.17702000000000001</v>
      </c>
      <c r="CB280">
        <v>5.5E-2</v>
      </c>
      <c r="CC280">
        <v>5.4965999999999999</v>
      </c>
      <c r="CD280">
        <v>14.6258</v>
      </c>
      <c r="CE280">
        <v>15.3025</v>
      </c>
      <c r="CF280">
        <v>15.8058</v>
      </c>
      <c r="CG280">
        <v>16.5914</v>
      </c>
      <c r="CH280">
        <v>17.399999999999999</v>
      </c>
      <c r="CI280">
        <v>18.302399000000001</v>
      </c>
      <c r="CJ280">
        <v>19.157599999999999</v>
      </c>
      <c r="CK280">
        <v>19.754999000000002</v>
      </c>
      <c r="CL280">
        <v>20.424600999999999</v>
      </c>
      <c r="CM280">
        <v>21.748199</v>
      </c>
      <c r="CN280">
        <v>22.301400999999998</v>
      </c>
      <c r="CO280">
        <v>23.061001000000001</v>
      </c>
      <c r="CP280">
        <v>0.66413900000000003</v>
      </c>
      <c r="CQ280">
        <v>17.178643000000001</v>
      </c>
      <c r="CR280">
        <v>17.699759</v>
      </c>
      <c r="CS280">
        <v>1</v>
      </c>
      <c r="CT280">
        <v>39</v>
      </c>
      <c r="CU280">
        <v>10.082262</v>
      </c>
      <c r="CV280">
        <v>8.8412699999999997</v>
      </c>
      <c r="CW280">
        <v>6.12967</v>
      </c>
      <c r="CX280">
        <v>37.572856000000002</v>
      </c>
      <c r="CY280">
        <v>0.60796600000000001</v>
      </c>
      <c r="CZ280">
        <v>7</v>
      </c>
      <c r="DA280">
        <v>1.1971780000000001</v>
      </c>
      <c r="DB280">
        <v>5.0510359999999999</v>
      </c>
      <c r="DC280">
        <v>4.7053209999999996</v>
      </c>
      <c r="DD280">
        <v>10.082262</v>
      </c>
      <c r="DE280">
        <v>3.293444</v>
      </c>
      <c r="DF280">
        <v>0.61590999999999996</v>
      </c>
      <c r="DG280">
        <v>0.47823599999999999</v>
      </c>
      <c r="DH280">
        <v>0.32665699999999998</v>
      </c>
      <c r="DI280">
        <v>0.18701100000000001</v>
      </c>
      <c r="DJ280">
        <v>0.145209</v>
      </c>
      <c r="DK280">
        <v>1</v>
      </c>
      <c r="DL280">
        <v>2</v>
      </c>
      <c r="DM280">
        <v>3</v>
      </c>
      <c r="DN280">
        <v>5</v>
      </c>
      <c r="DO280">
        <v>6</v>
      </c>
      <c r="DP280">
        <v>6</v>
      </c>
      <c r="DQ280">
        <v>8</v>
      </c>
      <c r="DR280">
        <v>9</v>
      </c>
      <c r="DS280">
        <v>11</v>
      </c>
      <c r="DT280">
        <v>12</v>
      </c>
      <c r="DU280">
        <v>13</v>
      </c>
      <c r="DV280">
        <v>14</v>
      </c>
      <c r="DW280">
        <v>18</v>
      </c>
      <c r="DX280">
        <v>21</v>
      </c>
      <c r="DY280">
        <v>31.020019999999999</v>
      </c>
      <c r="DZ280">
        <v>90.385793000000007</v>
      </c>
      <c r="EA280">
        <v>90.385793000000007</v>
      </c>
      <c r="EB280">
        <v>90.385793000000007</v>
      </c>
      <c r="EC280">
        <v>4428</v>
      </c>
      <c r="ED280">
        <v>4428</v>
      </c>
      <c r="EE280">
        <v>66.748316000000003</v>
      </c>
      <c r="EF280">
        <v>65.707286999999994</v>
      </c>
      <c r="EG280">
        <v>66.748316000000003</v>
      </c>
      <c r="EH280">
        <v>65.707286999999994</v>
      </c>
      <c r="EI280">
        <v>66.748316000000003</v>
      </c>
      <c r="EJ280">
        <v>65.707286999999994</v>
      </c>
      <c r="EK280">
        <v>3270</v>
      </c>
      <c r="EL280">
        <v>3219</v>
      </c>
      <c r="EM280">
        <v>3270</v>
      </c>
      <c r="EN280">
        <v>3219</v>
      </c>
      <c r="EO280">
        <v>4899</v>
      </c>
      <c r="EP280">
        <v>4899</v>
      </c>
      <c r="EQ280">
        <v>68.816732999999999</v>
      </c>
    </row>
    <row r="281" spans="1:147" x14ac:dyDescent="0.25">
      <c r="A281">
        <v>2022</v>
      </c>
      <c r="B281" t="str">
        <f t="shared" si="8"/>
        <v>NE</v>
      </c>
      <c r="C281" t="s">
        <v>1500</v>
      </c>
      <c r="D281" t="s">
        <v>1500</v>
      </c>
      <c r="E281">
        <v>26561</v>
      </c>
      <c r="F281" t="s">
        <v>1501</v>
      </c>
      <c r="G281" t="s">
        <v>1502</v>
      </c>
      <c r="H281" t="s">
        <v>1503</v>
      </c>
      <c r="I281">
        <v>78.34</v>
      </c>
      <c r="J281">
        <v>78.34</v>
      </c>
      <c r="K281" t="s">
        <v>1098</v>
      </c>
      <c r="L281">
        <v>1</v>
      </c>
      <c r="M281">
        <v>2018</v>
      </c>
      <c r="N281">
        <v>3</v>
      </c>
      <c r="O281" t="str">
        <f t="shared" si="9"/>
        <v>Talhadia</v>
      </c>
      <c r="P281" s="2">
        <v>43269</v>
      </c>
      <c r="Q281" t="s">
        <v>174</v>
      </c>
      <c r="R281" t="s">
        <v>165</v>
      </c>
      <c r="S281" t="s">
        <v>154</v>
      </c>
      <c r="T281" t="s">
        <v>1098</v>
      </c>
      <c r="U281" t="s">
        <v>156</v>
      </c>
      <c r="V281" s="2">
        <v>44805</v>
      </c>
      <c r="W281" t="s">
        <v>1504</v>
      </c>
      <c r="X281">
        <v>78.34</v>
      </c>
      <c r="Y281">
        <v>20.2</v>
      </c>
      <c r="Z281">
        <v>12</v>
      </c>
      <c r="AA281">
        <v>15.4</v>
      </c>
      <c r="AB281">
        <v>5</v>
      </c>
      <c r="AC281">
        <v>311.08</v>
      </c>
      <c r="AD281">
        <v>303.124270168782</v>
      </c>
      <c r="AE281" s="2">
        <v>44805</v>
      </c>
      <c r="AF281">
        <v>51</v>
      </c>
      <c r="AG281">
        <v>4.2053388090349104</v>
      </c>
      <c r="AH281">
        <v>21.442726902517801</v>
      </c>
      <c r="AI281">
        <v>15.0628571428571</v>
      </c>
      <c r="AJ281">
        <v>22.346118142802801</v>
      </c>
      <c r="AK281">
        <v>35</v>
      </c>
      <c r="AL281">
        <v>1154.64195527833</v>
      </c>
      <c r="AM281">
        <v>232.35181140551299</v>
      </c>
      <c r="AN281">
        <v>0.20123278072768699</v>
      </c>
      <c r="AO281" t="s">
        <v>165</v>
      </c>
      <c r="AP281" t="s">
        <v>264</v>
      </c>
      <c r="AQ281" t="s">
        <v>1505</v>
      </c>
      <c r="AR281">
        <v>9</v>
      </c>
      <c r="AS281">
        <v>1.039177759750499</v>
      </c>
      <c r="AT281" t="s">
        <v>1506</v>
      </c>
      <c r="AU281" t="s">
        <v>1507</v>
      </c>
      <c r="AV281">
        <v>3479</v>
      </c>
      <c r="AW281">
        <v>1843</v>
      </c>
      <c r="AX281">
        <v>1490</v>
      </c>
      <c r="AY281">
        <v>138</v>
      </c>
      <c r="AZ281">
        <v>8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-1.0189999999999999</v>
      </c>
      <c r="BH281">
        <v>27.702000000000002</v>
      </c>
      <c r="BI281">
        <v>12.075032</v>
      </c>
      <c r="BJ281">
        <v>-0.56311100000000003</v>
      </c>
      <c r="BK281">
        <v>11.706948000000001</v>
      </c>
      <c r="BL281">
        <v>137.05262300000001</v>
      </c>
      <c r="BM281">
        <v>0.96951699999999996</v>
      </c>
      <c r="BN281">
        <v>24.061001000000001</v>
      </c>
      <c r="BO281">
        <v>3.6600000000000001E-4</v>
      </c>
      <c r="BP281">
        <v>1.1025050000000001</v>
      </c>
      <c r="BQ281">
        <v>11.429163000000001</v>
      </c>
      <c r="BR281">
        <v>11.422000000000001</v>
      </c>
      <c r="BS281">
        <v>15.339111000000001</v>
      </c>
      <c r="BT281">
        <v>12.075032</v>
      </c>
      <c r="BU281">
        <v>6.2375819999999997</v>
      </c>
      <c r="BV281">
        <v>0.22018199999999999</v>
      </c>
      <c r="BW281">
        <v>-1.2644679999999999</v>
      </c>
      <c r="BX281">
        <v>0.51656899999999994</v>
      </c>
      <c r="BY281">
        <v>3.5298999999999997E-2</v>
      </c>
      <c r="BZ281">
        <v>-0.20271800000000001</v>
      </c>
      <c r="CA281">
        <v>-0.52822000000000002</v>
      </c>
      <c r="CB281">
        <v>-0.34399999999999997</v>
      </c>
      <c r="CC281">
        <v>-0.2492</v>
      </c>
      <c r="CD281">
        <v>-0.14699999999999999</v>
      </c>
      <c r="CE281">
        <v>-0.105</v>
      </c>
      <c r="CF281">
        <v>-6.5000000000000002E-2</v>
      </c>
      <c r="CG281">
        <v>5.7000000000000002E-2</v>
      </c>
      <c r="CH281">
        <v>14.776</v>
      </c>
      <c r="CI281">
        <v>22.032202000000002</v>
      </c>
      <c r="CJ281">
        <v>23.387599999999999</v>
      </c>
      <c r="CK281">
        <v>23.956001000000001</v>
      </c>
      <c r="CL281">
        <v>24.412400999999999</v>
      </c>
      <c r="CM281">
        <v>25.356999999999999</v>
      </c>
      <c r="CN281">
        <v>26.045400999999998</v>
      </c>
      <c r="CO281">
        <v>27.056878999999999</v>
      </c>
      <c r="CP281">
        <v>0.45590399999999998</v>
      </c>
      <c r="CQ281">
        <v>16.817242</v>
      </c>
      <c r="CR281">
        <v>18.875001999999999</v>
      </c>
      <c r="CS281">
        <v>1</v>
      </c>
      <c r="CT281">
        <v>59</v>
      </c>
      <c r="CU281">
        <v>16.169301999999998</v>
      </c>
      <c r="CV281">
        <v>2.8412700000000002</v>
      </c>
      <c r="CW281">
        <v>10.756722999999999</v>
      </c>
      <c r="CX281">
        <v>115.70709600000001</v>
      </c>
      <c r="CY281">
        <v>0.66525599999999996</v>
      </c>
      <c r="CZ281">
        <v>14</v>
      </c>
      <c r="DA281">
        <v>0.79657599999999995</v>
      </c>
      <c r="DB281">
        <v>3.644863</v>
      </c>
      <c r="DC281">
        <v>8.548845</v>
      </c>
      <c r="DD281">
        <v>16.169301999999998</v>
      </c>
      <c r="DE281">
        <v>5.9507389999999996</v>
      </c>
      <c r="DF281">
        <v>0.76189399999999996</v>
      </c>
      <c r="DG281">
        <v>0.62653400000000004</v>
      </c>
      <c r="DH281">
        <v>0.36802699999999999</v>
      </c>
      <c r="DI281">
        <v>0.12803300000000001</v>
      </c>
      <c r="DJ281">
        <v>0.10528700000000001</v>
      </c>
      <c r="DK281">
        <v>1</v>
      </c>
      <c r="DL281">
        <v>2</v>
      </c>
      <c r="DM281">
        <v>3</v>
      </c>
      <c r="DN281">
        <v>6</v>
      </c>
      <c r="DO281">
        <v>8</v>
      </c>
      <c r="DP281">
        <v>9</v>
      </c>
      <c r="DQ281">
        <v>12</v>
      </c>
      <c r="DR281">
        <v>15</v>
      </c>
      <c r="DS281">
        <v>19</v>
      </c>
      <c r="DT281">
        <v>21</v>
      </c>
      <c r="DU281">
        <v>22</v>
      </c>
      <c r="DV281">
        <v>24</v>
      </c>
      <c r="DW281">
        <v>29</v>
      </c>
      <c r="DX281">
        <v>37</v>
      </c>
      <c r="DY281">
        <v>48</v>
      </c>
      <c r="DZ281">
        <v>93.977210999999997</v>
      </c>
      <c r="EA281">
        <v>54.096004999999998</v>
      </c>
      <c r="EB281">
        <v>102.11611499999999</v>
      </c>
      <c r="EC281">
        <v>1732</v>
      </c>
      <c r="ED281">
        <v>1882</v>
      </c>
      <c r="EE281">
        <v>93.000542999999993</v>
      </c>
      <c r="EF281">
        <v>100</v>
      </c>
      <c r="EG281">
        <v>50.962919999999997</v>
      </c>
      <c r="EH281">
        <v>99.223915000000005</v>
      </c>
      <c r="EI281">
        <v>96.201845000000006</v>
      </c>
      <c r="EJ281">
        <v>187.30331000000001</v>
      </c>
      <c r="EK281">
        <v>1714</v>
      </c>
      <c r="EL281">
        <v>1843</v>
      </c>
      <c r="EM281">
        <v>1773</v>
      </c>
      <c r="EN281">
        <v>3452</v>
      </c>
      <c r="EO281">
        <v>1843</v>
      </c>
      <c r="EP281">
        <v>3479</v>
      </c>
      <c r="EQ281">
        <v>43.911639999999998</v>
      </c>
    </row>
    <row r="282" spans="1:147" x14ac:dyDescent="0.25">
      <c r="A282">
        <v>2022</v>
      </c>
      <c r="B282" t="str">
        <f t="shared" si="8"/>
        <v>NE</v>
      </c>
      <c r="C282" t="s">
        <v>1508</v>
      </c>
      <c r="D282" t="s">
        <v>1508</v>
      </c>
      <c r="E282">
        <v>26562</v>
      </c>
      <c r="F282" t="s">
        <v>1501</v>
      </c>
      <c r="G282" t="s">
        <v>1502</v>
      </c>
      <c r="H282" t="s">
        <v>1503</v>
      </c>
      <c r="I282">
        <v>78.34</v>
      </c>
      <c r="J282">
        <v>78.34</v>
      </c>
      <c r="K282" t="s">
        <v>1098</v>
      </c>
      <c r="L282">
        <v>1</v>
      </c>
      <c r="M282">
        <v>2018</v>
      </c>
      <c r="N282">
        <v>3</v>
      </c>
      <c r="O282" t="str">
        <f t="shared" si="9"/>
        <v>Talhadia</v>
      </c>
      <c r="P282" s="2">
        <v>43269</v>
      </c>
      <c r="Q282" t="s">
        <v>174</v>
      </c>
      <c r="R282" t="s">
        <v>165</v>
      </c>
      <c r="S282" t="s">
        <v>154</v>
      </c>
      <c r="T282" t="s">
        <v>1098</v>
      </c>
      <c r="U282" t="s">
        <v>156</v>
      </c>
      <c r="V282" s="2">
        <v>44805</v>
      </c>
      <c r="W282" t="s">
        <v>1504</v>
      </c>
      <c r="X282">
        <v>78.34</v>
      </c>
      <c r="Y282">
        <v>19.5</v>
      </c>
      <c r="Z282">
        <v>14</v>
      </c>
      <c r="AA282">
        <v>15.3</v>
      </c>
      <c r="AB282">
        <v>2</v>
      </c>
      <c r="AC282">
        <v>298.35000000000002</v>
      </c>
      <c r="AD282">
        <v>289.31138183106401</v>
      </c>
      <c r="AE282" s="2">
        <v>44805</v>
      </c>
      <c r="AF282">
        <v>51</v>
      </c>
      <c r="AG282">
        <v>4.2053388090349104</v>
      </c>
      <c r="AH282">
        <v>23.939072372641899</v>
      </c>
      <c r="AI282">
        <v>17.039130434782599</v>
      </c>
      <c r="AJ282">
        <v>18.978496332680599</v>
      </c>
      <c r="AK282">
        <v>23</v>
      </c>
      <c r="AL282">
        <v>794.99119095944297</v>
      </c>
      <c r="AM282">
        <v>210.07150419879201</v>
      </c>
      <c r="AN282">
        <v>0.26424381375253397</v>
      </c>
      <c r="AO282" t="s">
        <v>165</v>
      </c>
      <c r="AP282" t="s">
        <v>264</v>
      </c>
      <c r="AQ282" t="s">
        <v>1505</v>
      </c>
      <c r="AR282">
        <v>9</v>
      </c>
      <c r="AS282">
        <v>0.7154920718634995</v>
      </c>
      <c r="AT282" t="s">
        <v>1509</v>
      </c>
      <c r="AU282" t="s">
        <v>1510</v>
      </c>
      <c r="AV282">
        <v>2261</v>
      </c>
      <c r="AW282">
        <v>1244</v>
      </c>
      <c r="AX282">
        <v>916</v>
      </c>
      <c r="AY282">
        <v>92</v>
      </c>
      <c r="AZ282">
        <v>9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-0.49299999999999999</v>
      </c>
      <c r="BH282">
        <v>28.153998999999999</v>
      </c>
      <c r="BI282">
        <v>11.262314</v>
      </c>
      <c r="BJ282">
        <v>-3.8286000000000001E-2</v>
      </c>
      <c r="BK282">
        <v>11.137501</v>
      </c>
      <c r="BL282">
        <v>124.04393899999999</v>
      </c>
      <c r="BM282">
        <v>0.98891799999999996</v>
      </c>
      <c r="BN282">
        <v>22.68</v>
      </c>
      <c r="BO282">
        <v>0.115298</v>
      </c>
      <c r="BP282">
        <v>1.173602</v>
      </c>
      <c r="BQ282">
        <v>10.740615999999999</v>
      </c>
      <c r="BR282">
        <v>11.455999</v>
      </c>
      <c r="BS282">
        <v>11.669285</v>
      </c>
      <c r="BT282">
        <v>11.262314</v>
      </c>
      <c r="BU282">
        <v>5.9911180000000002</v>
      </c>
      <c r="BV282">
        <v>0.58490799999999998</v>
      </c>
      <c r="BW282">
        <v>-1.077941</v>
      </c>
      <c r="BX282">
        <v>0.53196200000000005</v>
      </c>
      <c r="BY282">
        <v>9.7628999999999994E-2</v>
      </c>
      <c r="BZ282">
        <v>-0.179923</v>
      </c>
      <c r="CA282">
        <v>-0.189</v>
      </c>
      <c r="CB282">
        <v>-4.2999999999999997E-2</v>
      </c>
      <c r="CC282">
        <v>2.7E-2</v>
      </c>
      <c r="CD282">
        <v>0.11899999999999999</v>
      </c>
      <c r="CE282">
        <v>0.161</v>
      </c>
      <c r="CF282">
        <v>0.2</v>
      </c>
      <c r="CG282">
        <v>0.28599999999999998</v>
      </c>
      <c r="CH282">
        <v>11.631</v>
      </c>
      <c r="CI282">
        <v>18.972999999999999</v>
      </c>
      <c r="CJ282">
        <v>22.138999999999999</v>
      </c>
      <c r="CK282">
        <v>22.841000000000001</v>
      </c>
      <c r="CL282">
        <v>23.513999999999999</v>
      </c>
      <c r="CM282">
        <v>25.120000999999998</v>
      </c>
      <c r="CN282">
        <v>25.957001000000002</v>
      </c>
      <c r="CO282">
        <v>27.302793999999999</v>
      </c>
      <c r="CP282">
        <v>0.41035100000000002</v>
      </c>
      <c r="CQ282">
        <v>15.837574999999999</v>
      </c>
      <c r="CR282">
        <v>17.943168</v>
      </c>
      <c r="CS282">
        <v>1</v>
      </c>
      <c r="CT282">
        <v>51</v>
      </c>
      <c r="CU282">
        <v>15.205219</v>
      </c>
      <c r="CV282">
        <v>13.698413</v>
      </c>
      <c r="CW282">
        <v>10.969241</v>
      </c>
      <c r="CX282">
        <v>120.32423799999999</v>
      </c>
      <c r="CY282">
        <v>0.72141299999999997</v>
      </c>
      <c r="CZ282">
        <v>11</v>
      </c>
      <c r="DA282">
        <v>1.1967840000000001</v>
      </c>
      <c r="DB282">
        <v>3.9693849999999999</v>
      </c>
      <c r="DC282">
        <v>8.2796579999999995</v>
      </c>
      <c r="DD282">
        <v>15.205219</v>
      </c>
      <c r="DE282">
        <v>5.838578</v>
      </c>
      <c r="DF282">
        <v>1.430112</v>
      </c>
      <c r="DG282">
        <v>0.95265599999999995</v>
      </c>
      <c r="DH282">
        <v>0.38398500000000002</v>
      </c>
      <c r="DI282">
        <v>0.24494199999999999</v>
      </c>
      <c r="DJ282">
        <v>0.16316600000000001</v>
      </c>
      <c r="DK282">
        <v>1</v>
      </c>
      <c r="DL282">
        <v>2</v>
      </c>
      <c r="DM282">
        <v>4</v>
      </c>
      <c r="DN282">
        <v>6</v>
      </c>
      <c r="DO282">
        <v>8</v>
      </c>
      <c r="DP282">
        <v>9</v>
      </c>
      <c r="DQ282">
        <v>11</v>
      </c>
      <c r="DR282">
        <v>13</v>
      </c>
      <c r="DS282">
        <v>15</v>
      </c>
      <c r="DT282">
        <v>18</v>
      </c>
      <c r="DU282">
        <v>19</v>
      </c>
      <c r="DV282">
        <v>21</v>
      </c>
      <c r="DW282">
        <v>33</v>
      </c>
      <c r="DX282">
        <v>41</v>
      </c>
      <c r="DY282">
        <v>47</v>
      </c>
      <c r="DZ282">
        <v>84.807074</v>
      </c>
      <c r="EA282">
        <v>52.012383999999997</v>
      </c>
      <c r="EB282">
        <v>94.533761999999996</v>
      </c>
      <c r="EC282">
        <v>1055</v>
      </c>
      <c r="ED282">
        <v>1176</v>
      </c>
      <c r="EE282">
        <v>84.083601000000002</v>
      </c>
      <c r="EF282">
        <v>99.919613999999996</v>
      </c>
      <c r="EG282">
        <v>50.287483000000002</v>
      </c>
      <c r="EH282">
        <v>94.78107</v>
      </c>
      <c r="EI282">
        <v>91.398713999999998</v>
      </c>
      <c r="EJ282">
        <v>172.26688100000001</v>
      </c>
      <c r="EK282">
        <v>1046</v>
      </c>
      <c r="EL282">
        <v>1243</v>
      </c>
      <c r="EM282">
        <v>1137</v>
      </c>
      <c r="EN282">
        <v>2143</v>
      </c>
      <c r="EO282">
        <v>1244</v>
      </c>
      <c r="EP282">
        <v>2261</v>
      </c>
      <c r="EQ282">
        <v>40.263416999999997</v>
      </c>
    </row>
    <row r="283" spans="1:147" x14ac:dyDescent="0.25">
      <c r="A283">
        <v>2022</v>
      </c>
      <c r="B283" t="str">
        <f t="shared" si="8"/>
        <v>NE</v>
      </c>
      <c r="C283" t="s">
        <v>1511</v>
      </c>
      <c r="D283" t="s">
        <v>1511</v>
      </c>
      <c r="E283">
        <v>26563</v>
      </c>
      <c r="F283" t="s">
        <v>1501</v>
      </c>
      <c r="G283" t="s">
        <v>1502</v>
      </c>
      <c r="H283" t="s">
        <v>1503</v>
      </c>
      <c r="I283">
        <v>78.34</v>
      </c>
      <c r="J283">
        <v>78.34</v>
      </c>
      <c r="K283" t="s">
        <v>1098</v>
      </c>
      <c r="L283">
        <v>1</v>
      </c>
      <c r="M283">
        <v>2018</v>
      </c>
      <c r="N283">
        <v>3</v>
      </c>
      <c r="O283" t="str">
        <f t="shared" si="9"/>
        <v>Talhadia</v>
      </c>
      <c r="P283" s="2">
        <v>43269</v>
      </c>
      <c r="Q283" t="s">
        <v>174</v>
      </c>
      <c r="R283" t="s">
        <v>165</v>
      </c>
      <c r="S283" t="s">
        <v>154</v>
      </c>
      <c r="T283" t="s">
        <v>1098</v>
      </c>
      <c r="U283" t="s">
        <v>156</v>
      </c>
      <c r="V283" s="2">
        <v>44805</v>
      </c>
      <c r="W283" t="s">
        <v>1504</v>
      </c>
      <c r="X283">
        <v>78.34</v>
      </c>
      <c r="Y283">
        <v>19.8</v>
      </c>
      <c r="Z283">
        <v>12</v>
      </c>
      <c r="AA283">
        <v>15.7</v>
      </c>
      <c r="AB283">
        <v>6</v>
      </c>
      <c r="AC283">
        <v>310.86</v>
      </c>
      <c r="AD283">
        <v>302.40125252484597</v>
      </c>
      <c r="AE283" s="2">
        <v>44805</v>
      </c>
      <c r="AF283">
        <v>51</v>
      </c>
      <c r="AG283">
        <v>4.2053388090349104</v>
      </c>
      <c r="AH283">
        <v>20.847878075456201</v>
      </c>
      <c r="AI283">
        <v>16.237931034482799</v>
      </c>
      <c r="AJ283">
        <v>20.920567345922599</v>
      </c>
      <c r="AK283">
        <v>29</v>
      </c>
      <c r="AL283">
        <v>958.99073690567002</v>
      </c>
      <c r="AM283">
        <v>202.87245705492001</v>
      </c>
      <c r="AN283">
        <v>0.211547879711038</v>
      </c>
      <c r="AO283" t="s">
        <v>165</v>
      </c>
      <c r="AP283" t="s">
        <v>264</v>
      </c>
      <c r="AQ283" t="s">
        <v>1505</v>
      </c>
      <c r="AR283">
        <v>9</v>
      </c>
      <c r="AS283">
        <v>0.86309166321510411</v>
      </c>
      <c r="AT283" t="s">
        <v>1512</v>
      </c>
      <c r="AU283" t="s">
        <v>1513</v>
      </c>
      <c r="AV283">
        <v>3471</v>
      </c>
      <c r="AW283">
        <v>1922</v>
      </c>
      <c r="AX283">
        <v>1453</v>
      </c>
      <c r="AY283">
        <v>95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-0.61299999999999999</v>
      </c>
      <c r="BH283">
        <v>27.426000999999999</v>
      </c>
      <c r="BI283">
        <v>10.404863000000001</v>
      </c>
      <c r="BJ283">
        <v>-0.167936</v>
      </c>
      <c r="BK283">
        <v>10.569998999999999</v>
      </c>
      <c r="BL283">
        <v>111.72488</v>
      </c>
      <c r="BM283">
        <v>1.015871</v>
      </c>
      <c r="BN283">
        <v>21.435500999999999</v>
      </c>
      <c r="BO283">
        <v>0.16580400000000001</v>
      </c>
      <c r="BP283">
        <v>1.1715899999999999</v>
      </c>
      <c r="BQ283">
        <v>10.248314000000001</v>
      </c>
      <c r="BR283">
        <v>5.4429999999999996</v>
      </c>
      <c r="BS283">
        <v>5.4719360000000004</v>
      </c>
      <c r="BT283">
        <v>10.404863000000001</v>
      </c>
      <c r="BU283">
        <v>5.6505169999999998</v>
      </c>
      <c r="BV283">
        <v>0.66810599999999998</v>
      </c>
      <c r="BW283">
        <v>-1.0069539999999999</v>
      </c>
      <c r="BX283">
        <v>0.54306500000000002</v>
      </c>
      <c r="BY283">
        <v>0.118238</v>
      </c>
      <c r="BZ283">
        <v>-0.178206</v>
      </c>
      <c r="CA283">
        <v>-0.1883</v>
      </c>
      <c r="CB283">
        <v>-2.8000000000000001E-2</v>
      </c>
      <c r="CC283">
        <v>3.7999999999999999E-2</v>
      </c>
      <c r="CD283">
        <v>0.122</v>
      </c>
      <c r="CE283">
        <v>0.16</v>
      </c>
      <c r="CF283">
        <v>0.20300000000000001</v>
      </c>
      <c r="CG283">
        <v>0.29799999999999999</v>
      </c>
      <c r="CH283">
        <v>5.3040000000000003</v>
      </c>
      <c r="CI283">
        <v>18.176000999999999</v>
      </c>
      <c r="CJ283">
        <v>20.870999999999999</v>
      </c>
      <c r="CK283">
        <v>21.595500999999999</v>
      </c>
      <c r="CL283">
        <v>22.16</v>
      </c>
      <c r="CM283">
        <v>23.559000000000001</v>
      </c>
      <c r="CN283">
        <v>24.494999</v>
      </c>
      <c r="CO283">
        <v>26.206900000000001</v>
      </c>
      <c r="CP283">
        <v>0.39294800000000002</v>
      </c>
      <c r="CQ283">
        <v>14.830842000000001</v>
      </c>
      <c r="CR283">
        <v>16.878753</v>
      </c>
      <c r="CS283">
        <v>1</v>
      </c>
      <c r="CT283">
        <v>53</v>
      </c>
      <c r="CU283">
        <v>15.759147</v>
      </c>
      <c r="CV283">
        <v>11.730159</v>
      </c>
      <c r="CW283">
        <v>11.363811</v>
      </c>
      <c r="CX283">
        <v>129.13621000000001</v>
      </c>
      <c r="CY283">
        <v>0.72109299999999998</v>
      </c>
      <c r="CZ283">
        <v>12</v>
      </c>
      <c r="DA283">
        <v>1.1375930000000001</v>
      </c>
      <c r="DB283">
        <v>3.7174330000000002</v>
      </c>
      <c r="DC283">
        <v>8.6714509999999994</v>
      </c>
      <c r="DD283">
        <v>15.759147</v>
      </c>
      <c r="DE283">
        <v>6.0840759999999996</v>
      </c>
      <c r="DF283">
        <v>1.4838169999999999</v>
      </c>
      <c r="DG283">
        <v>0.92613199999999996</v>
      </c>
      <c r="DH283">
        <v>0.38606600000000002</v>
      </c>
      <c r="DI283">
        <v>0.24388499999999999</v>
      </c>
      <c r="DJ283">
        <v>0.152222</v>
      </c>
      <c r="DK283">
        <v>1</v>
      </c>
      <c r="DL283">
        <v>2</v>
      </c>
      <c r="DM283">
        <v>4</v>
      </c>
      <c r="DN283">
        <v>6</v>
      </c>
      <c r="DO283">
        <v>8</v>
      </c>
      <c r="DP283">
        <v>9</v>
      </c>
      <c r="DQ283">
        <v>11</v>
      </c>
      <c r="DR283">
        <v>13</v>
      </c>
      <c r="DS283">
        <v>15</v>
      </c>
      <c r="DT283">
        <v>18</v>
      </c>
      <c r="DU283">
        <v>20</v>
      </c>
      <c r="DV283">
        <v>23</v>
      </c>
      <c r="DW283">
        <v>34</v>
      </c>
      <c r="DX283">
        <v>42</v>
      </c>
      <c r="DY283">
        <v>48</v>
      </c>
      <c r="DZ283">
        <v>84.755463000000006</v>
      </c>
      <c r="EA283">
        <v>50.590608000000003</v>
      </c>
      <c r="EB283">
        <v>91.363163</v>
      </c>
      <c r="EC283">
        <v>1629</v>
      </c>
      <c r="ED283">
        <v>1756</v>
      </c>
      <c r="EE283">
        <v>82.466181000000006</v>
      </c>
      <c r="EF283">
        <v>100</v>
      </c>
      <c r="EG283">
        <v>48.631518</v>
      </c>
      <c r="EH283">
        <v>98.876403999999994</v>
      </c>
      <c r="EI283">
        <v>87.825181999999998</v>
      </c>
      <c r="EJ283">
        <v>178.563996</v>
      </c>
      <c r="EK283">
        <v>1585</v>
      </c>
      <c r="EL283">
        <v>1922</v>
      </c>
      <c r="EM283">
        <v>1688</v>
      </c>
      <c r="EN283">
        <v>3432</v>
      </c>
      <c r="EO283">
        <v>1922</v>
      </c>
      <c r="EP283">
        <v>3471</v>
      </c>
      <c r="EQ283">
        <v>38.695289000000002</v>
      </c>
    </row>
    <row r="284" spans="1:147" x14ac:dyDescent="0.25">
      <c r="A284">
        <v>2022</v>
      </c>
      <c r="B284" t="str">
        <f t="shared" si="8"/>
        <v>RD</v>
      </c>
      <c r="C284" t="s">
        <v>1514</v>
      </c>
      <c r="D284" t="s">
        <v>1514</v>
      </c>
      <c r="E284">
        <v>26599</v>
      </c>
      <c r="F284" t="s">
        <v>1344</v>
      </c>
      <c r="G284" t="s">
        <v>813</v>
      </c>
      <c r="H284" t="s">
        <v>1515</v>
      </c>
      <c r="I284">
        <v>37.85</v>
      </c>
      <c r="J284">
        <v>37.85</v>
      </c>
      <c r="K284" t="s">
        <v>261</v>
      </c>
      <c r="L284">
        <v>1</v>
      </c>
      <c r="M284">
        <v>2018</v>
      </c>
      <c r="N284">
        <v>2</v>
      </c>
      <c r="O284" t="str">
        <f t="shared" si="9"/>
        <v>Alto fuste</v>
      </c>
      <c r="P284" s="2">
        <v>43202</v>
      </c>
      <c r="Q284" t="s">
        <v>237</v>
      </c>
      <c r="R284" t="s">
        <v>821</v>
      </c>
      <c r="S284" t="s">
        <v>154</v>
      </c>
      <c r="T284" t="s">
        <v>221</v>
      </c>
      <c r="U284" t="s">
        <v>156</v>
      </c>
      <c r="V284" s="2">
        <v>44685</v>
      </c>
      <c r="W284" t="s">
        <v>816</v>
      </c>
      <c r="X284">
        <v>320.37</v>
      </c>
      <c r="Y284">
        <v>20.5</v>
      </c>
      <c r="Z284">
        <v>12</v>
      </c>
      <c r="AA284">
        <v>14.5</v>
      </c>
      <c r="AB284">
        <v>2</v>
      </c>
      <c r="AC284">
        <v>297.25</v>
      </c>
      <c r="AD284">
        <v>290.57725460920898</v>
      </c>
      <c r="AE284" s="2">
        <v>44685</v>
      </c>
      <c r="AF284">
        <v>49</v>
      </c>
      <c r="AG284">
        <v>4.0602327173169099</v>
      </c>
      <c r="AH284">
        <v>20.290229921077</v>
      </c>
      <c r="AI284">
        <v>12.633333333333301</v>
      </c>
      <c r="AJ284">
        <v>16.980821182579401</v>
      </c>
      <c r="AK284">
        <v>39</v>
      </c>
      <c r="AL284">
        <v>1342.1559802555801</v>
      </c>
      <c r="AM284">
        <v>160.06069546820601</v>
      </c>
      <c r="AN284">
        <v>0.11925640374356899</v>
      </c>
      <c r="AO284" t="s">
        <v>821</v>
      </c>
      <c r="AP284" t="s">
        <v>158</v>
      </c>
      <c r="AQ284" t="s">
        <v>304</v>
      </c>
      <c r="AR284">
        <v>7.5</v>
      </c>
      <c r="AS284">
        <v>1.00661698519169</v>
      </c>
      <c r="AT284" t="s">
        <v>1516</v>
      </c>
      <c r="AU284" t="s">
        <v>1517</v>
      </c>
      <c r="AV284">
        <v>3227</v>
      </c>
      <c r="AW284">
        <v>1768</v>
      </c>
      <c r="AX284">
        <v>1404</v>
      </c>
      <c r="AY284">
        <v>55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-1.32</v>
      </c>
      <c r="BH284">
        <v>22.77</v>
      </c>
      <c r="BI284">
        <v>9.9050419999999999</v>
      </c>
      <c r="BJ284">
        <v>-0.17285700000000001</v>
      </c>
      <c r="BK284">
        <v>9.8206089999999993</v>
      </c>
      <c r="BL284">
        <v>96.444359000000006</v>
      </c>
      <c r="BM284">
        <v>0.99147600000000002</v>
      </c>
      <c r="BN284">
        <v>19.79</v>
      </c>
      <c r="BO284">
        <v>4.0689999999999997E-2</v>
      </c>
      <c r="BP284">
        <v>1.050276</v>
      </c>
      <c r="BQ284">
        <v>9.7082080000000008</v>
      </c>
      <c r="BR284">
        <v>9.27</v>
      </c>
      <c r="BS284">
        <v>9.3828569999999996</v>
      </c>
      <c r="BT284">
        <v>9.9050419999999999</v>
      </c>
      <c r="BU284">
        <v>5.127154</v>
      </c>
      <c r="BV284">
        <v>0.249029</v>
      </c>
      <c r="BW284">
        <v>-1.087961</v>
      </c>
      <c r="BX284">
        <v>0.51763099999999995</v>
      </c>
      <c r="BY284">
        <v>4.8571000000000003E-2</v>
      </c>
      <c r="BZ284">
        <v>-0.212196</v>
      </c>
      <c r="CA284">
        <v>-0.37</v>
      </c>
      <c r="CB284">
        <v>-0.11</v>
      </c>
      <c r="CC284">
        <v>-0.02</v>
      </c>
      <c r="CD284">
        <v>0.1</v>
      </c>
      <c r="CE284">
        <v>0.14000000000000001</v>
      </c>
      <c r="CF284">
        <v>0.18</v>
      </c>
      <c r="CG284">
        <v>0.28000000000000003</v>
      </c>
      <c r="CH284">
        <v>9.2100000000000009</v>
      </c>
      <c r="CI284">
        <v>18.826000000000001</v>
      </c>
      <c r="CJ284">
        <v>19.629999000000002</v>
      </c>
      <c r="CK284">
        <v>19.93</v>
      </c>
      <c r="CL284">
        <v>20.238001000000001</v>
      </c>
      <c r="CM284">
        <v>20.950001</v>
      </c>
      <c r="CN284">
        <v>21.34</v>
      </c>
      <c r="CO284">
        <v>21.957398999999999</v>
      </c>
      <c r="CP284">
        <v>0.46596300000000002</v>
      </c>
      <c r="CQ284">
        <v>13.947198</v>
      </c>
      <c r="CR284">
        <v>15.707274</v>
      </c>
      <c r="CS284">
        <v>1</v>
      </c>
      <c r="CT284">
        <v>47</v>
      </c>
      <c r="CU284">
        <v>12.534242000000001</v>
      </c>
      <c r="CV284">
        <v>9.7619050000000005</v>
      </c>
      <c r="CW284">
        <v>8.2573109999999996</v>
      </c>
      <c r="CX284">
        <v>68.183188999999999</v>
      </c>
      <c r="CY284">
        <v>0.65878000000000003</v>
      </c>
      <c r="CZ284">
        <v>9</v>
      </c>
      <c r="DA284">
        <v>1.131769</v>
      </c>
      <c r="DB284">
        <v>4.5079010000000004</v>
      </c>
      <c r="DC284">
        <v>6.2599679999999998</v>
      </c>
      <c r="DD284">
        <v>12.534242000000001</v>
      </c>
      <c r="DE284">
        <v>4.4457789999999999</v>
      </c>
      <c r="DF284">
        <v>0.83242799999999995</v>
      </c>
      <c r="DG284">
        <v>0.70197500000000002</v>
      </c>
      <c r="DH284">
        <v>0.35469099999999998</v>
      </c>
      <c r="DI284">
        <v>0.18723999999999999</v>
      </c>
      <c r="DJ284">
        <v>0.15789700000000001</v>
      </c>
      <c r="DK284">
        <v>1</v>
      </c>
      <c r="DL284">
        <v>2</v>
      </c>
      <c r="DM284">
        <v>3</v>
      </c>
      <c r="DN284">
        <v>6</v>
      </c>
      <c r="DO284">
        <v>7</v>
      </c>
      <c r="DP284">
        <v>8</v>
      </c>
      <c r="DQ284">
        <v>10</v>
      </c>
      <c r="DR284">
        <v>11</v>
      </c>
      <c r="DS284">
        <v>13</v>
      </c>
      <c r="DT284">
        <v>15</v>
      </c>
      <c r="DU284">
        <v>16</v>
      </c>
      <c r="DV284">
        <v>18</v>
      </c>
      <c r="DW284">
        <v>23</v>
      </c>
      <c r="DX284">
        <v>30</v>
      </c>
      <c r="DY284">
        <v>38</v>
      </c>
      <c r="DZ284">
        <v>89.083709999999996</v>
      </c>
      <c r="EA284">
        <v>50.511310999999999</v>
      </c>
      <c r="EB284">
        <v>92.194569999999999</v>
      </c>
      <c r="EC284">
        <v>1575</v>
      </c>
      <c r="ED284">
        <v>1630</v>
      </c>
      <c r="EE284">
        <v>88.631221999999994</v>
      </c>
      <c r="EF284">
        <v>100</v>
      </c>
      <c r="EG284">
        <v>49.767586000000001</v>
      </c>
      <c r="EH284">
        <v>96.591261000000003</v>
      </c>
      <c r="EI284">
        <v>90.837103999999997</v>
      </c>
      <c r="EJ284">
        <v>176.300905</v>
      </c>
      <c r="EK284">
        <v>1567</v>
      </c>
      <c r="EL284">
        <v>1768</v>
      </c>
      <c r="EM284">
        <v>1606</v>
      </c>
      <c r="EN284">
        <v>3117</v>
      </c>
      <c r="EO284">
        <v>1768</v>
      </c>
      <c r="EP284">
        <v>3227</v>
      </c>
      <c r="EQ284">
        <v>44.171137000000002</v>
      </c>
    </row>
    <row r="285" spans="1:147" x14ac:dyDescent="0.25">
      <c r="A285">
        <v>2022</v>
      </c>
      <c r="B285" t="str">
        <f t="shared" si="8"/>
        <v>RD</v>
      </c>
      <c r="C285" t="s">
        <v>1518</v>
      </c>
      <c r="D285" t="s">
        <v>1518</v>
      </c>
      <c r="E285">
        <v>26600</v>
      </c>
      <c r="F285" t="s">
        <v>1344</v>
      </c>
      <c r="G285" t="s">
        <v>813</v>
      </c>
      <c r="H285" t="s">
        <v>1515</v>
      </c>
      <c r="I285">
        <v>37.85</v>
      </c>
      <c r="J285">
        <v>37.85</v>
      </c>
      <c r="K285" t="s">
        <v>261</v>
      </c>
      <c r="L285">
        <v>1</v>
      </c>
      <c r="M285">
        <v>2018</v>
      </c>
      <c r="N285">
        <v>2</v>
      </c>
      <c r="O285" t="str">
        <f t="shared" si="9"/>
        <v>Alto fuste</v>
      </c>
      <c r="P285" s="2">
        <v>43202</v>
      </c>
      <c r="Q285" t="s">
        <v>237</v>
      </c>
      <c r="R285" t="s">
        <v>821</v>
      </c>
      <c r="S285" t="s">
        <v>154</v>
      </c>
      <c r="T285" t="s">
        <v>221</v>
      </c>
      <c r="U285" t="s">
        <v>156</v>
      </c>
      <c r="V285" s="2">
        <v>44685</v>
      </c>
      <c r="W285" t="s">
        <v>816</v>
      </c>
      <c r="X285">
        <v>320.37</v>
      </c>
      <c r="Y285">
        <v>19.5</v>
      </c>
      <c r="Z285">
        <v>17</v>
      </c>
      <c r="AA285">
        <v>14.6</v>
      </c>
      <c r="AB285">
        <v>1</v>
      </c>
      <c r="AC285">
        <v>284.7</v>
      </c>
      <c r="AD285">
        <v>272.21849751143498</v>
      </c>
      <c r="AE285" s="2">
        <v>44685</v>
      </c>
      <c r="AF285">
        <v>49</v>
      </c>
      <c r="AG285">
        <v>4.0602327173169099</v>
      </c>
      <c r="AH285">
        <v>19.547772019083901</v>
      </c>
      <c r="AI285">
        <v>11.8880952380952</v>
      </c>
      <c r="AJ285">
        <v>17.6329525656135</v>
      </c>
      <c r="AK285">
        <v>42</v>
      </c>
      <c r="AL285">
        <v>1542.8782534601901</v>
      </c>
      <c r="AM285">
        <v>164.43987026134201</v>
      </c>
      <c r="AN285">
        <v>0.106579939079804</v>
      </c>
      <c r="AO285" t="s">
        <v>821</v>
      </c>
      <c r="AP285" t="s">
        <v>158</v>
      </c>
      <c r="AQ285" t="s">
        <v>304</v>
      </c>
      <c r="AR285">
        <v>7.5</v>
      </c>
      <c r="AS285">
        <v>1.1571586900951429</v>
      </c>
      <c r="AT285" t="s">
        <v>1519</v>
      </c>
      <c r="AU285" t="s">
        <v>1520</v>
      </c>
      <c r="AV285">
        <v>1561</v>
      </c>
      <c r="AW285">
        <v>881</v>
      </c>
      <c r="AX285">
        <v>650</v>
      </c>
      <c r="AY285">
        <v>30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-0.98</v>
      </c>
      <c r="BH285">
        <v>23.450001</v>
      </c>
      <c r="BI285">
        <v>10.850724</v>
      </c>
      <c r="BJ285">
        <v>-0.20444399999999999</v>
      </c>
      <c r="BK285">
        <v>9.8773619999999998</v>
      </c>
      <c r="BL285">
        <v>97.562271999999993</v>
      </c>
      <c r="BM285">
        <v>0.91029499999999997</v>
      </c>
      <c r="BN285">
        <v>20.47</v>
      </c>
      <c r="BO285">
        <v>-7.8153E-2</v>
      </c>
      <c r="BP285">
        <v>1.094822</v>
      </c>
      <c r="BQ285">
        <v>9.6663409999999992</v>
      </c>
      <c r="BR285">
        <v>6.5499989999999997</v>
      </c>
      <c r="BS285">
        <v>15.874445</v>
      </c>
      <c r="BT285">
        <v>10.850724</v>
      </c>
      <c r="BU285">
        <v>5.2774450000000002</v>
      </c>
      <c r="BV285">
        <v>-9.0206999999999996E-2</v>
      </c>
      <c r="BW285">
        <v>-1.058667</v>
      </c>
      <c r="BX285">
        <v>0.48636800000000002</v>
      </c>
      <c r="BY285">
        <v>-1.7093000000000001E-2</v>
      </c>
      <c r="BZ285">
        <v>-0.200602</v>
      </c>
      <c r="CA285">
        <v>-0.51400000000000001</v>
      </c>
      <c r="CB285">
        <v>-0.28000000000000003</v>
      </c>
      <c r="CC285">
        <v>-0.2</v>
      </c>
      <c r="CD285">
        <v>-0.04</v>
      </c>
      <c r="CE285">
        <v>0.04</v>
      </c>
      <c r="CF285">
        <v>0.16</v>
      </c>
      <c r="CG285">
        <v>1.68</v>
      </c>
      <c r="CH285">
        <v>15.67</v>
      </c>
      <c r="CI285">
        <v>19.440000999999999</v>
      </c>
      <c r="CJ285">
        <v>20.219999000000001</v>
      </c>
      <c r="CK285">
        <v>20.51</v>
      </c>
      <c r="CL285">
        <v>20.860001</v>
      </c>
      <c r="CM285">
        <v>21.530000999999999</v>
      </c>
      <c r="CN285">
        <v>22</v>
      </c>
      <c r="CO285">
        <v>22.844000000000001</v>
      </c>
      <c r="CP285">
        <v>0.48426999999999998</v>
      </c>
      <c r="CQ285">
        <v>14.670991000000001</v>
      </c>
      <c r="CR285">
        <v>16.35671</v>
      </c>
      <c r="CS285">
        <v>1</v>
      </c>
      <c r="CT285">
        <v>45</v>
      </c>
      <c r="CU285">
        <v>12.698270000000001</v>
      </c>
      <c r="CV285">
        <v>8.6825399999999995</v>
      </c>
      <c r="CW285">
        <v>8.4841820000000006</v>
      </c>
      <c r="CX285">
        <v>71.981336999999996</v>
      </c>
      <c r="CY285">
        <v>0.66813699999999998</v>
      </c>
      <c r="CZ285">
        <v>9</v>
      </c>
      <c r="DA285">
        <v>1.1621440000000001</v>
      </c>
      <c r="DB285">
        <v>4.3379580000000004</v>
      </c>
      <c r="DC285">
        <v>6.3891669999999996</v>
      </c>
      <c r="DD285">
        <v>12.698270000000001</v>
      </c>
      <c r="DE285">
        <v>4.5489300000000004</v>
      </c>
      <c r="DF285">
        <v>0.951878</v>
      </c>
      <c r="DG285">
        <v>0.75112500000000004</v>
      </c>
      <c r="DH285">
        <v>0.35823199999999999</v>
      </c>
      <c r="DI285">
        <v>0.20925299999999999</v>
      </c>
      <c r="DJ285">
        <v>0.16512099999999999</v>
      </c>
      <c r="DK285">
        <v>1</v>
      </c>
      <c r="DL285">
        <v>2</v>
      </c>
      <c r="DM285">
        <v>3</v>
      </c>
      <c r="DN285">
        <v>6</v>
      </c>
      <c r="DO285">
        <v>7</v>
      </c>
      <c r="DP285">
        <v>8</v>
      </c>
      <c r="DQ285">
        <v>10</v>
      </c>
      <c r="DR285">
        <v>11</v>
      </c>
      <c r="DS285">
        <v>13</v>
      </c>
      <c r="DT285">
        <v>15</v>
      </c>
      <c r="DU285">
        <v>16</v>
      </c>
      <c r="DV285">
        <v>18</v>
      </c>
      <c r="DW285">
        <v>24</v>
      </c>
      <c r="DX285">
        <v>32</v>
      </c>
      <c r="DY285">
        <v>39</v>
      </c>
      <c r="DZ285">
        <v>90.465379999999996</v>
      </c>
      <c r="EA285">
        <v>55.605381000000001</v>
      </c>
      <c r="EB285">
        <v>98.524404000000004</v>
      </c>
      <c r="EC285">
        <v>797</v>
      </c>
      <c r="ED285">
        <v>868</v>
      </c>
      <c r="EE285">
        <v>88.989784</v>
      </c>
      <c r="EF285">
        <v>99.659477999999993</v>
      </c>
      <c r="EG285">
        <v>52.274183000000001</v>
      </c>
      <c r="EH285">
        <v>90.454836999999998</v>
      </c>
      <c r="EI285">
        <v>92.622020000000006</v>
      </c>
      <c r="EJ285">
        <v>160.27241799999999</v>
      </c>
      <c r="EK285">
        <v>784</v>
      </c>
      <c r="EL285">
        <v>878</v>
      </c>
      <c r="EM285">
        <v>816</v>
      </c>
      <c r="EN285">
        <v>1412</v>
      </c>
      <c r="EO285">
        <v>881</v>
      </c>
      <c r="EP285">
        <v>1561</v>
      </c>
      <c r="EQ285">
        <v>46.699440000000003</v>
      </c>
    </row>
    <row r="286" spans="1:147" x14ac:dyDescent="0.25">
      <c r="A286">
        <v>2022</v>
      </c>
      <c r="B286" t="str">
        <f t="shared" si="8"/>
        <v>NE</v>
      </c>
      <c r="C286" t="s">
        <v>1521</v>
      </c>
      <c r="D286" t="s">
        <v>1521</v>
      </c>
      <c r="E286">
        <v>26640</v>
      </c>
      <c r="F286" t="s">
        <v>1492</v>
      </c>
      <c r="G286" t="s">
        <v>1483</v>
      </c>
      <c r="H286" t="s">
        <v>1522</v>
      </c>
      <c r="I286">
        <v>13.66</v>
      </c>
      <c r="J286">
        <v>13.66</v>
      </c>
      <c r="K286" t="s">
        <v>173</v>
      </c>
      <c r="L286">
        <v>1</v>
      </c>
      <c r="M286">
        <v>2018</v>
      </c>
      <c r="N286">
        <v>3</v>
      </c>
      <c r="O286" t="str">
        <f t="shared" si="9"/>
        <v>Talhadia</v>
      </c>
      <c r="P286" s="2">
        <v>43335</v>
      </c>
      <c r="Q286" t="s">
        <v>174</v>
      </c>
      <c r="R286" t="s">
        <v>323</v>
      </c>
      <c r="S286" t="s">
        <v>154</v>
      </c>
      <c r="T286" t="s">
        <v>175</v>
      </c>
      <c r="U286" t="s">
        <v>156</v>
      </c>
      <c r="V286" s="2">
        <v>44593</v>
      </c>
      <c r="W286" t="s">
        <v>1485</v>
      </c>
      <c r="X286">
        <v>141.27000000000001</v>
      </c>
      <c r="Y286">
        <v>20.399999999999999</v>
      </c>
      <c r="Z286">
        <v>14</v>
      </c>
      <c r="AA286">
        <v>14</v>
      </c>
      <c r="AB286">
        <v>12</v>
      </c>
      <c r="AC286">
        <v>285.60000000000002</v>
      </c>
      <c r="AD286">
        <v>271.06079990984801</v>
      </c>
      <c r="AE286" s="2">
        <v>44593</v>
      </c>
      <c r="AF286">
        <v>42</v>
      </c>
      <c r="AG286">
        <v>3.44421629021218</v>
      </c>
      <c r="AH286">
        <v>19.6616947999856</v>
      </c>
      <c r="AI286">
        <v>15.2541666666667</v>
      </c>
      <c r="AJ286">
        <v>16.9556085892151</v>
      </c>
      <c r="AK286">
        <v>24</v>
      </c>
      <c r="AL286">
        <v>885.410210845027</v>
      </c>
      <c r="AM286">
        <v>143.34274000736599</v>
      </c>
      <c r="AN286">
        <v>0.16189415736527399</v>
      </c>
      <c r="AO286" t="s">
        <v>323</v>
      </c>
      <c r="AP286" t="s">
        <v>264</v>
      </c>
      <c r="AQ286" t="s">
        <v>315</v>
      </c>
      <c r="AR286">
        <v>9</v>
      </c>
      <c r="AS286">
        <v>0.79686918976052357</v>
      </c>
      <c r="AT286" t="s">
        <v>1523</v>
      </c>
      <c r="AU286" t="s">
        <v>1524</v>
      </c>
      <c r="AV286">
        <v>4466</v>
      </c>
      <c r="AW286">
        <v>2396</v>
      </c>
      <c r="AX286">
        <v>1841</v>
      </c>
      <c r="AY286">
        <v>224</v>
      </c>
      <c r="AZ286">
        <v>5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-0.98799999999999999</v>
      </c>
      <c r="BH286">
        <v>25.148001000000001</v>
      </c>
      <c r="BI286">
        <v>11.23762</v>
      </c>
      <c r="BJ286">
        <v>-0.15828600000000001</v>
      </c>
      <c r="BK286">
        <v>10.046976000000001</v>
      </c>
      <c r="BL286">
        <v>100.941717</v>
      </c>
      <c r="BM286">
        <v>0.89404799999999995</v>
      </c>
      <c r="BN286">
        <v>21.020250000000001</v>
      </c>
      <c r="BO286">
        <v>-7.2543999999999997E-2</v>
      </c>
      <c r="BP286">
        <v>1.1393709999999999</v>
      </c>
      <c r="BQ286">
        <v>9.7146279999999994</v>
      </c>
      <c r="BR286">
        <v>7.8624999999999998</v>
      </c>
      <c r="BS286">
        <v>15.198286</v>
      </c>
      <c r="BT286">
        <v>11.23762</v>
      </c>
      <c r="BU286">
        <v>5.4215799999999996</v>
      </c>
      <c r="BV286">
        <v>5.9999999999999995E-4</v>
      </c>
      <c r="BW286">
        <v>-1.0368170000000001</v>
      </c>
      <c r="BX286">
        <v>0.48244900000000002</v>
      </c>
      <c r="BY286">
        <v>1.11E-4</v>
      </c>
      <c r="BZ286">
        <v>-0.19123899999999999</v>
      </c>
      <c r="CA286">
        <v>-0.2888</v>
      </c>
      <c r="CB286">
        <v>-7.775E-2</v>
      </c>
      <c r="CC286">
        <v>0.02</v>
      </c>
      <c r="CD286">
        <v>0.186</v>
      </c>
      <c r="CE286">
        <v>0.27200000000000002</v>
      </c>
      <c r="CF286">
        <v>0.377</v>
      </c>
      <c r="CG286">
        <v>0.84199999999999997</v>
      </c>
      <c r="CH286">
        <v>15.04</v>
      </c>
      <c r="CI286">
        <v>19.355</v>
      </c>
      <c r="CJ286">
        <v>20.823499999999999</v>
      </c>
      <c r="CK286">
        <v>21.292249999999999</v>
      </c>
      <c r="CL286">
        <v>21.693000999999999</v>
      </c>
      <c r="CM286">
        <v>22.464001</v>
      </c>
      <c r="CN286">
        <v>23.016749999999998</v>
      </c>
      <c r="CO286">
        <v>24.170850999999999</v>
      </c>
      <c r="CP286">
        <v>0.46776899999999999</v>
      </c>
      <c r="CQ286">
        <v>15.073262</v>
      </c>
      <c r="CR286">
        <v>16.807335999999999</v>
      </c>
      <c r="CS286">
        <v>1</v>
      </c>
      <c r="CT286">
        <v>52</v>
      </c>
      <c r="CU286">
        <v>11.799821</v>
      </c>
      <c r="CV286">
        <v>10.714286</v>
      </c>
      <c r="CW286">
        <v>8.0485509999999998</v>
      </c>
      <c r="CX286">
        <v>64.779179999999997</v>
      </c>
      <c r="CY286">
        <v>0.682091</v>
      </c>
      <c r="CZ286">
        <v>9</v>
      </c>
      <c r="DA286">
        <v>1.394774</v>
      </c>
      <c r="DB286">
        <v>5.6443260000000004</v>
      </c>
      <c r="DC286">
        <v>5.9590480000000001</v>
      </c>
      <c r="DD286">
        <v>11.799821</v>
      </c>
      <c r="DE286">
        <v>4.2429560000000004</v>
      </c>
      <c r="DF286">
        <v>0.90584299999999995</v>
      </c>
      <c r="DG286">
        <v>0.72897199999999995</v>
      </c>
      <c r="DH286">
        <v>0.35957800000000001</v>
      </c>
      <c r="DI286">
        <v>0.21349299999999999</v>
      </c>
      <c r="DJ286">
        <v>0.17180799999999999</v>
      </c>
      <c r="DK286">
        <v>1</v>
      </c>
      <c r="DL286">
        <v>2</v>
      </c>
      <c r="DM286">
        <v>3</v>
      </c>
      <c r="DN286">
        <v>5</v>
      </c>
      <c r="DO286">
        <v>6</v>
      </c>
      <c r="DP286">
        <v>7</v>
      </c>
      <c r="DQ286">
        <v>9</v>
      </c>
      <c r="DR286">
        <v>11</v>
      </c>
      <c r="DS286">
        <v>12</v>
      </c>
      <c r="DT286">
        <v>14</v>
      </c>
      <c r="DU286">
        <v>15</v>
      </c>
      <c r="DV286">
        <v>17</v>
      </c>
      <c r="DW286">
        <v>21</v>
      </c>
      <c r="DX286">
        <v>28</v>
      </c>
      <c r="DY286">
        <v>39</v>
      </c>
      <c r="DZ286">
        <v>93.238731000000001</v>
      </c>
      <c r="EA286">
        <v>56.784595000000003</v>
      </c>
      <c r="EB286">
        <v>105.84307200000001</v>
      </c>
      <c r="EC286">
        <v>2234</v>
      </c>
      <c r="ED286">
        <v>2536</v>
      </c>
      <c r="EE286">
        <v>92.111852999999996</v>
      </c>
      <c r="EF286">
        <v>100</v>
      </c>
      <c r="EG286">
        <v>52.507837000000002</v>
      </c>
      <c r="EH286">
        <v>97.268248999999997</v>
      </c>
      <c r="EI286">
        <v>97.871452000000005</v>
      </c>
      <c r="EJ286">
        <v>181.30216999999999</v>
      </c>
      <c r="EK286">
        <v>2207</v>
      </c>
      <c r="EL286">
        <v>2396</v>
      </c>
      <c r="EM286">
        <v>2345</v>
      </c>
      <c r="EN286">
        <v>4344</v>
      </c>
      <c r="EO286">
        <v>2396</v>
      </c>
      <c r="EP286">
        <v>4466</v>
      </c>
      <c r="EQ286">
        <v>45.501151</v>
      </c>
    </row>
    <row r="287" spans="1:147" x14ac:dyDescent="0.25">
      <c r="A287">
        <v>2022</v>
      </c>
      <c r="B287" t="str">
        <f t="shared" si="8"/>
        <v>NE</v>
      </c>
      <c r="C287" t="s">
        <v>1525</v>
      </c>
      <c r="D287" t="s">
        <v>1525</v>
      </c>
      <c r="E287">
        <v>26641</v>
      </c>
      <c r="F287" t="s">
        <v>1482</v>
      </c>
      <c r="G287" t="s">
        <v>1483</v>
      </c>
      <c r="H287" t="s">
        <v>1526</v>
      </c>
      <c r="I287">
        <v>12.1</v>
      </c>
      <c r="J287">
        <v>12.1</v>
      </c>
      <c r="K287" t="s">
        <v>173</v>
      </c>
      <c r="L287">
        <v>1</v>
      </c>
      <c r="M287">
        <v>2018</v>
      </c>
      <c r="N287">
        <v>3</v>
      </c>
      <c r="O287" t="str">
        <f t="shared" si="9"/>
        <v>Alto fuste</v>
      </c>
      <c r="P287" s="2">
        <v>43447</v>
      </c>
      <c r="Q287" t="s">
        <v>174</v>
      </c>
      <c r="R287" t="s">
        <v>314</v>
      </c>
      <c r="S287" t="s">
        <v>154</v>
      </c>
      <c r="T287" t="s">
        <v>175</v>
      </c>
      <c r="U287" t="s">
        <v>156</v>
      </c>
      <c r="V287" s="2">
        <v>44593</v>
      </c>
      <c r="W287" t="s">
        <v>1485</v>
      </c>
      <c r="X287">
        <v>116.96</v>
      </c>
      <c r="Y287">
        <v>19.399999999999999</v>
      </c>
      <c r="Z287">
        <v>14</v>
      </c>
      <c r="AA287">
        <v>16.2</v>
      </c>
      <c r="AB287">
        <v>3</v>
      </c>
      <c r="AC287">
        <v>314.27999999999997</v>
      </c>
      <c r="AD287">
        <v>304.52662495899699</v>
      </c>
      <c r="AE287" s="2">
        <v>44593</v>
      </c>
      <c r="AF287">
        <v>38</v>
      </c>
      <c r="AG287">
        <v>3.1375770020533902</v>
      </c>
      <c r="AH287">
        <v>18.478680617067301</v>
      </c>
      <c r="AI287">
        <v>14.5</v>
      </c>
      <c r="AJ287">
        <v>15.0475063244456</v>
      </c>
      <c r="AK287">
        <v>27</v>
      </c>
      <c r="AL287">
        <v>886.62198268001703</v>
      </c>
      <c r="AM287">
        <v>118.10869648961101</v>
      </c>
      <c r="AN287">
        <v>0.13321201007514</v>
      </c>
      <c r="AO287" t="s">
        <v>314</v>
      </c>
      <c r="AP287" t="s">
        <v>158</v>
      </c>
      <c r="AQ287" t="s">
        <v>315</v>
      </c>
      <c r="AR287">
        <v>9</v>
      </c>
      <c r="AS287">
        <v>0.79795978441201576</v>
      </c>
      <c r="AT287" t="s">
        <v>1527</v>
      </c>
      <c r="AU287" t="s">
        <v>1528</v>
      </c>
      <c r="AV287">
        <v>4683</v>
      </c>
      <c r="AW287">
        <v>2605</v>
      </c>
      <c r="AX287">
        <v>1824</v>
      </c>
      <c r="AY287">
        <v>242</v>
      </c>
      <c r="AZ287">
        <v>12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-0.79</v>
      </c>
      <c r="BH287">
        <v>23.070999</v>
      </c>
      <c r="BI287">
        <v>10.951441000000001</v>
      </c>
      <c r="BJ287">
        <v>-3.2508000000000002E-2</v>
      </c>
      <c r="BK287">
        <v>9.6530509999999996</v>
      </c>
      <c r="BL287">
        <v>93.181403000000003</v>
      </c>
      <c r="BM287">
        <v>0.88144100000000003</v>
      </c>
      <c r="BN287">
        <v>20.016999999999999</v>
      </c>
      <c r="BO287">
        <v>-0.17461399999999999</v>
      </c>
      <c r="BP287">
        <v>1.1398250000000001</v>
      </c>
      <c r="BQ287">
        <v>9.3653870000000001</v>
      </c>
      <c r="BR287">
        <v>5.6589999999999998</v>
      </c>
      <c r="BS287">
        <v>16.167508999999999</v>
      </c>
      <c r="BT287">
        <v>10.951441000000001</v>
      </c>
      <c r="BU287">
        <v>5.1541439999999996</v>
      </c>
      <c r="BV287">
        <v>-0.20135</v>
      </c>
      <c r="BW287">
        <v>-0.98240499999999997</v>
      </c>
      <c r="BX287">
        <v>0.470636</v>
      </c>
      <c r="BY287">
        <v>-3.9065999999999997E-2</v>
      </c>
      <c r="BZ287">
        <v>-0.190605</v>
      </c>
      <c r="CA287">
        <v>-0.48736000000000002</v>
      </c>
      <c r="CB287">
        <v>-0.21590000000000001</v>
      </c>
      <c r="CC287">
        <v>-0.104</v>
      </c>
      <c r="CD287">
        <v>1.6E-2</v>
      </c>
      <c r="CE287">
        <v>5.8500000000000003E-2</v>
      </c>
      <c r="CF287">
        <v>0.11700000000000001</v>
      </c>
      <c r="CG287">
        <v>0.29260000000000003</v>
      </c>
      <c r="CH287">
        <v>16.135000000000002</v>
      </c>
      <c r="CI287">
        <v>18.807199000000001</v>
      </c>
      <c r="CJ287">
        <v>19.666</v>
      </c>
      <c r="CK287">
        <v>20.075500000000002</v>
      </c>
      <c r="CL287">
        <v>20.441599</v>
      </c>
      <c r="CM287">
        <v>21.329599000000002</v>
      </c>
      <c r="CN287">
        <v>21.871500000000001</v>
      </c>
      <c r="CO287">
        <v>22.464361</v>
      </c>
      <c r="CP287">
        <v>0.49207699999999999</v>
      </c>
      <c r="CQ287">
        <v>14.597792999999999</v>
      </c>
      <c r="CR287">
        <v>16.156251000000001</v>
      </c>
      <c r="CS287">
        <v>1</v>
      </c>
      <c r="CT287">
        <v>65</v>
      </c>
      <c r="CU287">
        <v>14.99338</v>
      </c>
      <c r="CV287">
        <v>1</v>
      </c>
      <c r="CW287">
        <v>11.092162</v>
      </c>
      <c r="CX287">
        <v>123.036052</v>
      </c>
      <c r="CY287">
        <v>0.73980400000000002</v>
      </c>
      <c r="CZ287">
        <v>18</v>
      </c>
      <c r="DA287">
        <v>0.942778</v>
      </c>
      <c r="DB287">
        <v>4.2491709999999996</v>
      </c>
      <c r="DC287">
        <v>9.0953219999999995</v>
      </c>
      <c r="DD287">
        <v>14.99338</v>
      </c>
      <c r="DE287">
        <v>6.0992139999999999</v>
      </c>
      <c r="DF287">
        <v>0.94047700000000001</v>
      </c>
      <c r="DG287">
        <v>0.36346299999999998</v>
      </c>
      <c r="DH287">
        <v>0.40679399999999999</v>
      </c>
      <c r="DI287">
        <v>0.154196</v>
      </c>
      <c r="DJ287">
        <v>5.9591999999999999E-2</v>
      </c>
      <c r="DK287">
        <v>1</v>
      </c>
      <c r="DL287">
        <v>1</v>
      </c>
      <c r="DM287">
        <v>2</v>
      </c>
      <c r="DN287">
        <v>4</v>
      </c>
      <c r="DO287">
        <v>5</v>
      </c>
      <c r="DP287">
        <v>7</v>
      </c>
      <c r="DQ287">
        <v>10</v>
      </c>
      <c r="DR287">
        <v>13</v>
      </c>
      <c r="DS287">
        <v>18</v>
      </c>
      <c r="DT287">
        <v>21</v>
      </c>
      <c r="DU287">
        <v>23</v>
      </c>
      <c r="DV287">
        <v>24</v>
      </c>
      <c r="DW287">
        <v>29</v>
      </c>
      <c r="DX287">
        <v>32</v>
      </c>
      <c r="DY287">
        <v>53</v>
      </c>
      <c r="DZ287">
        <v>93.013435999999999</v>
      </c>
      <c r="EA287">
        <v>57.847534000000003</v>
      </c>
      <c r="EB287">
        <v>103.992322</v>
      </c>
      <c r="EC287">
        <v>2423</v>
      </c>
      <c r="ED287">
        <v>2709</v>
      </c>
      <c r="EE287">
        <v>91.669865999999999</v>
      </c>
      <c r="EF287">
        <v>99.462571999999994</v>
      </c>
      <c r="EG287">
        <v>55.584026999999999</v>
      </c>
      <c r="EH287">
        <v>84.710656</v>
      </c>
      <c r="EI287">
        <v>99.923225000000002</v>
      </c>
      <c r="EJ287">
        <v>152.28406899999999</v>
      </c>
      <c r="EK287">
        <v>2388</v>
      </c>
      <c r="EL287">
        <v>2591</v>
      </c>
      <c r="EM287">
        <v>2603</v>
      </c>
      <c r="EN287">
        <v>3967</v>
      </c>
      <c r="EO287">
        <v>2605</v>
      </c>
      <c r="EP287">
        <v>4683</v>
      </c>
      <c r="EQ287">
        <v>47.811700999999999</v>
      </c>
    </row>
    <row r="288" spans="1:147" x14ac:dyDescent="0.25">
      <c r="A288">
        <v>2022</v>
      </c>
      <c r="B288" t="str">
        <f t="shared" si="8"/>
        <v>NE</v>
      </c>
      <c r="C288" t="s">
        <v>1529</v>
      </c>
      <c r="D288" t="s">
        <v>1529</v>
      </c>
      <c r="E288">
        <v>26664</v>
      </c>
      <c r="F288" t="s">
        <v>1416</v>
      </c>
      <c r="G288" t="s">
        <v>1282</v>
      </c>
      <c r="H288" t="s">
        <v>1530</v>
      </c>
      <c r="I288">
        <v>41.02</v>
      </c>
      <c r="J288">
        <v>41.02</v>
      </c>
      <c r="K288" t="s">
        <v>461</v>
      </c>
      <c r="L288">
        <v>1</v>
      </c>
      <c r="M288">
        <v>2018</v>
      </c>
      <c r="N288">
        <v>3</v>
      </c>
      <c r="O288" t="str">
        <f t="shared" si="9"/>
        <v>Talhadia</v>
      </c>
      <c r="P288" s="2">
        <v>43337</v>
      </c>
      <c r="Q288" t="s">
        <v>174</v>
      </c>
      <c r="R288" t="s">
        <v>153</v>
      </c>
      <c r="S288" t="s">
        <v>154</v>
      </c>
      <c r="T288" t="s">
        <v>155</v>
      </c>
      <c r="U288" t="s">
        <v>156</v>
      </c>
      <c r="V288" s="2">
        <v>44741</v>
      </c>
      <c r="W288" t="s">
        <v>1284</v>
      </c>
      <c r="X288">
        <v>83.79</v>
      </c>
      <c r="Y288">
        <v>21</v>
      </c>
      <c r="Z288">
        <v>32</v>
      </c>
      <c r="AA288">
        <v>15.2</v>
      </c>
      <c r="AB288">
        <v>1</v>
      </c>
      <c r="AC288">
        <v>319.2</v>
      </c>
      <c r="AD288">
        <v>270.65572383614699</v>
      </c>
      <c r="AE288" s="2">
        <v>44741</v>
      </c>
      <c r="AF288">
        <v>46</v>
      </c>
      <c r="AG288">
        <v>3.8439425051334699</v>
      </c>
      <c r="AH288">
        <v>19.575865875890699</v>
      </c>
      <c r="AI288">
        <v>15.1</v>
      </c>
      <c r="AJ288">
        <v>18.423138944831098</v>
      </c>
      <c r="AK288">
        <v>27</v>
      </c>
      <c r="AL288">
        <v>997.57727704091099</v>
      </c>
      <c r="AM288">
        <v>142.280574615538</v>
      </c>
      <c r="AN288">
        <v>0.14262611818663401</v>
      </c>
      <c r="AO288" t="s">
        <v>153</v>
      </c>
      <c r="AP288" t="s">
        <v>264</v>
      </c>
      <c r="AQ288" t="s">
        <v>315</v>
      </c>
      <c r="AR288">
        <v>9</v>
      </c>
      <c r="AS288">
        <v>0.89781954933681896</v>
      </c>
      <c r="AT288" t="s">
        <v>1531</v>
      </c>
      <c r="AU288" t="s">
        <v>1532</v>
      </c>
      <c r="AV288">
        <v>4346</v>
      </c>
      <c r="AW288">
        <v>2363</v>
      </c>
      <c r="AX288">
        <v>1688</v>
      </c>
      <c r="AY288">
        <v>277</v>
      </c>
      <c r="AZ288">
        <v>18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-1.133</v>
      </c>
      <c r="BH288">
        <v>21.853999999999999</v>
      </c>
      <c r="BI288">
        <v>9.8552820000000008</v>
      </c>
      <c r="BJ288">
        <v>-3.8380999999999998E-2</v>
      </c>
      <c r="BK288">
        <v>8.550338</v>
      </c>
      <c r="BL288">
        <v>73.108282000000003</v>
      </c>
      <c r="BM288">
        <v>0.86758900000000005</v>
      </c>
      <c r="BN288">
        <v>17.797249999999998</v>
      </c>
      <c r="BO288">
        <v>-0.14463799999999999</v>
      </c>
      <c r="BP288">
        <v>1.2100610000000001</v>
      </c>
      <c r="BQ288">
        <v>8.1654079999999993</v>
      </c>
      <c r="BR288">
        <v>6.44</v>
      </c>
      <c r="BS288">
        <v>13.486381</v>
      </c>
      <c r="BT288">
        <v>9.8552820000000008</v>
      </c>
      <c r="BU288">
        <v>4.6636850000000001</v>
      </c>
      <c r="BV288">
        <v>-8.6371000000000003E-2</v>
      </c>
      <c r="BW288">
        <v>-0.78040500000000002</v>
      </c>
      <c r="BX288">
        <v>0.473217</v>
      </c>
      <c r="BY288">
        <v>-1.8519999999999998E-2</v>
      </c>
      <c r="BZ288">
        <v>-0.16733700000000001</v>
      </c>
      <c r="CA288">
        <v>-0.41585</v>
      </c>
      <c r="CB288">
        <v>-0.21</v>
      </c>
      <c r="CC288">
        <v>-0.109</v>
      </c>
      <c r="CD288">
        <v>2.4E-2</v>
      </c>
      <c r="CE288">
        <v>8.7999999999999995E-2</v>
      </c>
      <c r="CF288">
        <v>0.16700000000000001</v>
      </c>
      <c r="CG288">
        <v>0.66100000000000003</v>
      </c>
      <c r="CH288">
        <v>13.448</v>
      </c>
      <c r="CI288">
        <v>16.037001</v>
      </c>
      <c r="CJ288">
        <v>17.2395</v>
      </c>
      <c r="CK288">
        <v>17.885249999999999</v>
      </c>
      <c r="CL288">
        <v>18.638000000000002</v>
      </c>
      <c r="CM288">
        <v>19.640999000000001</v>
      </c>
      <c r="CN288">
        <v>20.22175</v>
      </c>
      <c r="CO288">
        <v>21.004698000000001</v>
      </c>
      <c r="CP288">
        <v>0.478022</v>
      </c>
      <c r="CQ288">
        <v>13.046764</v>
      </c>
      <c r="CR288">
        <v>14.466949</v>
      </c>
      <c r="CS288">
        <v>1</v>
      </c>
      <c r="CT288">
        <v>48</v>
      </c>
      <c r="CU288">
        <v>11.509664000000001</v>
      </c>
      <c r="CV288">
        <v>3.984127</v>
      </c>
      <c r="CW288">
        <v>7.5233439999999998</v>
      </c>
      <c r="CX288">
        <v>56.600712000000001</v>
      </c>
      <c r="CY288">
        <v>0.65365499999999999</v>
      </c>
      <c r="CZ288">
        <v>12</v>
      </c>
      <c r="DA288">
        <v>0.55822799999999995</v>
      </c>
      <c r="DB288">
        <v>2.704736</v>
      </c>
      <c r="DC288">
        <v>6.3246570000000002</v>
      </c>
      <c r="DD288">
        <v>11.509664000000001</v>
      </c>
      <c r="DE288">
        <v>4.2513949999999996</v>
      </c>
      <c r="DF288">
        <v>0.51711399999999996</v>
      </c>
      <c r="DG288">
        <v>0.19055800000000001</v>
      </c>
      <c r="DH288">
        <v>0.36937599999999998</v>
      </c>
      <c r="DI288">
        <v>0.12163400000000001</v>
      </c>
      <c r="DJ288">
        <v>4.4823000000000002E-2</v>
      </c>
      <c r="DK288">
        <v>1</v>
      </c>
      <c r="DL288">
        <v>1</v>
      </c>
      <c r="DM288">
        <v>2</v>
      </c>
      <c r="DN288">
        <v>4</v>
      </c>
      <c r="DO288">
        <v>5</v>
      </c>
      <c r="DP288">
        <v>6</v>
      </c>
      <c r="DQ288">
        <v>8</v>
      </c>
      <c r="DR288">
        <v>11</v>
      </c>
      <c r="DS288">
        <v>13</v>
      </c>
      <c r="DT288">
        <v>16</v>
      </c>
      <c r="DU288">
        <v>17</v>
      </c>
      <c r="DV288">
        <v>18</v>
      </c>
      <c r="DW288">
        <v>22</v>
      </c>
      <c r="DX288">
        <v>25</v>
      </c>
      <c r="DY288">
        <v>31</v>
      </c>
      <c r="DZ288">
        <v>95.090986000000001</v>
      </c>
      <c r="EA288">
        <v>59.664059000000002</v>
      </c>
      <c r="EB288">
        <v>109.73339</v>
      </c>
      <c r="EC288">
        <v>2247</v>
      </c>
      <c r="ED288">
        <v>2593</v>
      </c>
      <c r="EE288">
        <v>93.736774999999994</v>
      </c>
      <c r="EF288">
        <v>99.661446999999995</v>
      </c>
      <c r="EG288">
        <v>55.200184</v>
      </c>
      <c r="EH288">
        <v>84.445466999999994</v>
      </c>
      <c r="EI288">
        <v>101.523487</v>
      </c>
      <c r="EJ288">
        <v>155.31104500000001</v>
      </c>
      <c r="EK288">
        <v>2215</v>
      </c>
      <c r="EL288">
        <v>2355</v>
      </c>
      <c r="EM288">
        <v>2399</v>
      </c>
      <c r="EN288">
        <v>3670</v>
      </c>
      <c r="EO288">
        <v>2363</v>
      </c>
      <c r="EP288">
        <v>4346</v>
      </c>
      <c r="EQ288">
        <v>46.033721</v>
      </c>
    </row>
    <row r="289" spans="1:147" x14ac:dyDescent="0.25">
      <c r="A289">
        <v>2022</v>
      </c>
      <c r="B289" t="str">
        <f t="shared" si="8"/>
        <v>GN</v>
      </c>
      <c r="C289" t="s">
        <v>1533</v>
      </c>
      <c r="D289" t="s">
        <v>1533</v>
      </c>
      <c r="E289">
        <v>26678</v>
      </c>
      <c r="F289" t="s">
        <v>1534</v>
      </c>
      <c r="G289" t="s">
        <v>1535</v>
      </c>
      <c r="H289" t="s">
        <v>1536</v>
      </c>
      <c r="I289">
        <v>51.86</v>
      </c>
      <c r="J289">
        <v>51.86</v>
      </c>
      <c r="K289" t="s">
        <v>279</v>
      </c>
      <c r="L289">
        <v>1</v>
      </c>
      <c r="M289">
        <v>2018</v>
      </c>
      <c r="N289">
        <v>3</v>
      </c>
      <c r="O289" t="str">
        <f t="shared" si="9"/>
        <v>Talhadia</v>
      </c>
      <c r="P289" s="2">
        <v>43245</v>
      </c>
      <c r="Q289" t="s">
        <v>174</v>
      </c>
      <c r="R289" t="s">
        <v>660</v>
      </c>
      <c r="S289" t="s">
        <v>154</v>
      </c>
      <c r="T289" t="s">
        <v>279</v>
      </c>
      <c r="U289" t="s">
        <v>156</v>
      </c>
      <c r="V289" s="2">
        <v>44693</v>
      </c>
      <c r="W289" t="s">
        <v>1537</v>
      </c>
      <c r="X289">
        <v>161.27000000000001</v>
      </c>
      <c r="Y289">
        <v>21</v>
      </c>
      <c r="Z289">
        <v>16</v>
      </c>
      <c r="AA289">
        <v>15.3</v>
      </c>
      <c r="AB289">
        <v>0</v>
      </c>
      <c r="AC289">
        <v>321.3</v>
      </c>
      <c r="AD289">
        <v>308.85338290498203</v>
      </c>
      <c r="AE289" s="2">
        <v>44693</v>
      </c>
      <c r="AF289">
        <v>48</v>
      </c>
      <c r="AG289">
        <v>3.96440793976728</v>
      </c>
      <c r="AH289">
        <v>21.2811796523442</v>
      </c>
      <c r="AI289">
        <v>14.882352941176499</v>
      </c>
      <c r="AJ289">
        <v>19.8558483723242</v>
      </c>
      <c r="AK289">
        <v>34</v>
      </c>
      <c r="AL289">
        <v>1100.8459638747099</v>
      </c>
      <c r="AM289">
        <v>209.00884418812899</v>
      </c>
      <c r="AN289">
        <v>0.18986202524871701</v>
      </c>
      <c r="AO289" t="s">
        <v>660</v>
      </c>
      <c r="AP289" t="s">
        <v>264</v>
      </c>
      <c r="AQ289" t="s">
        <v>166</v>
      </c>
      <c r="AR289">
        <v>9</v>
      </c>
      <c r="AS289">
        <v>0.99076136748723953</v>
      </c>
      <c r="AT289" t="s">
        <v>1538</v>
      </c>
      <c r="AU289" t="s">
        <v>1539</v>
      </c>
      <c r="AV289">
        <v>4001</v>
      </c>
      <c r="AW289">
        <v>1837</v>
      </c>
      <c r="AX289">
        <v>2052</v>
      </c>
      <c r="AY289">
        <v>109</v>
      </c>
      <c r="AZ289">
        <v>3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-0.89400000000000002</v>
      </c>
      <c r="BH289">
        <v>24.900998999999999</v>
      </c>
      <c r="BI289">
        <v>8.4194940000000003</v>
      </c>
      <c r="BJ289">
        <v>-7.5110999999999997E-2</v>
      </c>
      <c r="BK289">
        <v>10.063238</v>
      </c>
      <c r="BL289">
        <v>101.268764</v>
      </c>
      <c r="BM289">
        <v>1.1952309999999999</v>
      </c>
      <c r="BN289">
        <v>20.450001</v>
      </c>
      <c r="BO289">
        <v>0.42627900000000002</v>
      </c>
      <c r="BP289">
        <v>1.249687</v>
      </c>
      <c r="BQ289">
        <v>9.7494099999999992</v>
      </c>
      <c r="BR289">
        <v>0.41</v>
      </c>
      <c r="BS289">
        <v>0.35911100000000001</v>
      </c>
      <c r="BT289">
        <v>8.4194940000000003</v>
      </c>
      <c r="BU289">
        <v>5.1559210000000002</v>
      </c>
      <c r="BV289">
        <v>1.1558839999999999</v>
      </c>
      <c r="BW289">
        <v>-0.80364599999999997</v>
      </c>
      <c r="BX289">
        <v>0.61237900000000001</v>
      </c>
      <c r="BY289">
        <v>0.224186</v>
      </c>
      <c r="BZ289">
        <v>-0.15586900000000001</v>
      </c>
      <c r="CA289">
        <v>-0.47399999999999998</v>
      </c>
      <c r="CB289">
        <v>-0.20100000000000001</v>
      </c>
      <c r="CC289">
        <v>-0.104</v>
      </c>
      <c r="CD289">
        <v>4.0000000000000001E-3</v>
      </c>
      <c r="CE289">
        <v>4.4999999999999998E-2</v>
      </c>
      <c r="CF289">
        <v>8.4000000000000005E-2</v>
      </c>
      <c r="CG289">
        <v>0.16600000000000001</v>
      </c>
      <c r="CH289">
        <v>0.26400000000000001</v>
      </c>
      <c r="CI289">
        <v>12.413</v>
      </c>
      <c r="CJ289">
        <v>19.902999999999999</v>
      </c>
      <c r="CK289">
        <v>20.495000999999998</v>
      </c>
      <c r="CL289">
        <v>20.900998999999999</v>
      </c>
      <c r="CM289">
        <v>21.843</v>
      </c>
      <c r="CN289">
        <v>22.431999000000001</v>
      </c>
      <c r="CO289">
        <v>23.513000000000002</v>
      </c>
      <c r="CP289">
        <v>0.36105799999999999</v>
      </c>
      <c r="CQ289">
        <v>13.119883</v>
      </c>
      <c r="CR289">
        <v>15.309711999999999</v>
      </c>
      <c r="CS289">
        <v>1</v>
      </c>
      <c r="CT289">
        <v>68</v>
      </c>
      <c r="CU289">
        <v>17.328168000000002</v>
      </c>
      <c r="CV289">
        <v>1</v>
      </c>
      <c r="CW289">
        <v>12.978811</v>
      </c>
      <c r="CX289">
        <v>168.44952900000001</v>
      </c>
      <c r="CY289">
        <v>0.74900100000000003</v>
      </c>
      <c r="CZ289">
        <v>19</v>
      </c>
      <c r="DA289">
        <v>0.781443</v>
      </c>
      <c r="DB289">
        <v>3.087269</v>
      </c>
      <c r="DC289">
        <v>10.610722000000001</v>
      </c>
      <c r="DD289">
        <v>17.328168000000002</v>
      </c>
      <c r="DE289">
        <v>7.2210000000000001</v>
      </c>
      <c r="DF289">
        <v>1.2406550000000001</v>
      </c>
      <c r="DG289">
        <v>0.47845900000000002</v>
      </c>
      <c r="DH289">
        <v>0.41671999999999998</v>
      </c>
      <c r="DI289">
        <v>0.17181199999999999</v>
      </c>
      <c r="DJ289">
        <v>6.6258999999999998E-2</v>
      </c>
      <c r="DK289">
        <v>1</v>
      </c>
      <c r="DL289">
        <v>1</v>
      </c>
      <c r="DM289">
        <v>3</v>
      </c>
      <c r="DN289">
        <v>5</v>
      </c>
      <c r="DO289">
        <v>6</v>
      </c>
      <c r="DP289">
        <v>7</v>
      </c>
      <c r="DQ289">
        <v>11</v>
      </c>
      <c r="DR289">
        <v>16</v>
      </c>
      <c r="DS289">
        <v>20</v>
      </c>
      <c r="DT289">
        <v>23</v>
      </c>
      <c r="DU289">
        <v>25</v>
      </c>
      <c r="DV289">
        <v>28</v>
      </c>
      <c r="DW289">
        <v>36</v>
      </c>
      <c r="DX289">
        <v>43</v>
      </c>
      <c r="DY289">
        <v>53</v>
      </c>
      <c r="DZ289">
        <v>84.921066999999994</v>
      </c>
      <c r="EA289">
        <v>41.814546</v>
      </c>
      <c r="EB289">
        <v>91.072400999999999</v>
      </c>
      <c r="EC289">
        <v>1560</v>
      </c>
      <c r="ED289">
        <v>1673</v>
      </c>
      <c r="EE289">
        <v>84.540011000000007</v>
      </c>
      <c r="EF289">
        <v>100</v>
      </c>
      <c r="EG289">
        <v>41.014746000000002</v>
      </c>
      <c r="EH289">
        <v>87.878029999999995</v>
      </c>
      <c r="EI289">
        <v>89.330430000000007</v>
      </c>
      <c r="EJ289">
        <v>191.39902000000001</v>
      </c>
      <c r="EK289">
        <v>1553</v>
      </c>
      <c r="EL289">
        <v>1837</v>
      </c>
      <c r="EM289">
        <v>1641</v>
      </c>
      <c r="EN289">
        <v>3516</v>
      </c>
      <c r="EO289">
        <v>1837</v>
      </c>
      <c r="EP289">
        <v>4001</v>
      </c>
      <c r="EQ289">
        <v>34.973906999999997</v>
      </c>
    </row>
    <row r="290" spans="1:147" x14ac:dyDescent="0.25">
      <c r="A290">
        <v>2022</v>
      </c>
      <c r="B290" t="str">
        <f t="shared" si="8"/>
        <v>GN</v>
      </c>
      <c r="C290" t="s">
        <v>1540</v>
      </c>
      <c r="D290" t="s">
        <v>1540</v>
      </c>
      <c r="E290">
        <v>26679</v>
      </c>
      <c r="F290" t="s">
        <v>1534</v>
      </c>
      <c r="G290" t="s">
        <v>1535</v>
      </c>
      <c r="H290" t="s">
        <v>1536</v>
      </c>
      <c r="I290">
        <v>51.86</v>
      </c>
      <c r="J290">
        <v>51.86</v>
      </c>
      <c r="K290" t="s">
        <v>279</v>
      </c>
      <c r="L290">
        <v>1</v>
      </c>
      <c r="M290">
        <v>2018</v>
      </c>
      <c r="N290">
        <v>3</v>
      </c>
      <c r="O290" t="str">
        <f t="shared" si="9"/>
        <v>Talhadia</v>
      </c>
      <c r="P290" s="2">
        <v>43245</v>
      </c>
      <c r="Q290" t="s">
        <v>174</v>
      </c>
      <c r="R290" t="s">
        <v>660</v>
      </c>
      <c r="S290" t="s">
        <v>154</v>
      </c>
      <c r="T290" t="s">
        <v>279</v>
      </c>
      <c r="U290" t="s">
        <v>156</v>
      </c>
      <c r="V290" s="2">
        <v>44693</v>
      </c>
      <c r="W290" t="s">
        <v>1537</v>
      </c>
      <c r="X290">
        <v>161.27000000000001</v>
      </c>
      <c r="Y290">
        <v>21.4</v>
      </c>
      <c r="Z290">
        <v>9</v>
      </c>
      <c r="AA290">
        <v>14.8</v>
      </c>
      <c r="AB290">
        <v>1</v>
      </c>
      <c r="AC290">
        <v>316.72000000000003</v>
      </c>
      <c r="AD290">
        <v>312.773007132928</v>
      </c>
      <c r="AE290" s="2">
        <v>44693</v>
      </c>
      <c r="AF290">
        <v>48</v>
      </c>
      <c r="AG290">
        <v>3.96440793976728</v>
      </c>
      <c r="AH290">
        <v>21.878944706817499</v>
      </c>
      <c r="AI290">
        <v>14.966666666666701</v>
      </c>
      <c r="AJ290">
        <v>17.735258550653299</v>
      </c>
      <c r="AK290">
        <v>30</v>
      </c>
      <c r="AL290">
        <v>959.16205413627699</v>
      </c>
      <c r="AM290">
        <v>194.06570559070801</v>
      </c>
      <c r="AN290">
        <v>0.20232838106326501</v>
      </c>
      <c r="AO290" t="s">
        <v>660</v>
      </c>
      <c r="AP290" t="s">
        <v>264</v>
      </c>
      <c r="AQ290" t="s">
        <v>166</v>
      </c>
      <c r="AR290">
        <v>9</v>
      </c>
      <c r="AS290">
        <v>0.86324584872265031</v>
      </c>
      <c r="AT290" t="s">
        <v>1541</v>
      </c>
      <c r="AU290" t="s">
        <v>1542</v>
      </c>
      <c r="AV290">
        <v>2654</v>
      </c>
      <c r="AW290">
        <v>1522</v>
      </c>
      <c r="AX290">
        <v>1088</v>
      </c>
      <c r="AY290">
        <v>42</v>
      </c>
      <c r="AZ290">
        <v>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-0.72499999999999998</v>
      </c>
      <c r="BH290">
        <v>25.577998999999998</v>
      </c>
      <c r="BI290">
        <v>10.804830000000001</v>
      </c>
      <c r="BJ290">
        <v>0.110016</v>
      </c>
      <c r="BK290">
        <v>10.549811</v>
      </c>
      <c r="BL290">
        <v>111.298512</v>
      </c>
      <c r="BM290">
        <v>0.97639799999999999</v>
      </c>
      <c r="BN290">
        <v>21.373999999999999</v>
      </c>
      <c r="BO290">
        <v>4.9224999999999998E-2</v>
      </c>
      <c r="BP290">
        <v>1.0995090000000001</v>
      </c>
      <c r="BQ290">
        <v>10.279609000000001</v>
      </c>
      <c r="BR290">
        <v>10.454499999999999</v>
      </c>
      <c r="BS290">
        <v>10.403484000000001</v>
      </c>
      <c r="BT290">
        <v>10.804830000000001</v>
      </c>
      <c r="BU290">
        <v>5.6032190000000002</v>
      </c>
      <c r="BV290">
        <v>0.317353</v>
      </c>
      <c r="BW290">
        <v>-1.12178</v>
      </c>
      <c r="BX290">
        <v>0.51858499999999996</v>
      </c>
      <c r="BY290">
        <v>5.6638000000000001E-2</v>
      </c>
      <c r="BZ290">
        <v>-0.20020299999999999</v>
      </c>
      <c r="CA290">
        <v>-0.35328999999999999</v>
      </c>
      <c r="CB290">
        <v>-0.1167</v>
      </c>
      <c r="CC290">
        <v>-2.47E-2</v>
      </c>
      <c r="CD290">
        <v>0.08</v>
      </c>
      <c r="CE290">
        <v>0.11924999999999999</v>
      </c>
      <c r="CF290">
        <v>0.16089999999999999</v>
      </c>
      <c r="CG290">
        <v>0.26400000000000001</v>
      </c>
      <c r="CH290">
        <v>10.513500000000001</v>
      </c>
      <c r="CI290">
        <v>20.112801000000001</v>
      </c>
      <c r="CJ290">
        <v>21.129200000000001</v>
      </c>
      <c r="CK290">
        <v>21.49325</v>
      </c>
      <c r="CL290">
        <v>21.849997999999999</v>
      </c>
      <c r="CM290">
        <v>23.092699</v>
      </c>
      <c r="CN290">
        <v>23.748450999999999</v>
      </c>
      <c r="CO290">
        <v>24.574349999999999</v>
      </c>
      <c r="CP290">
        <v>0.43834699999999999</v>
      </c>
      <c r="CQ290">
        <v>15.0997</v>
      </c>
      <c r="CR290">
        <v>17.014406000000001</v>
      </c>
      <c r="CS290">
        <v>1</v>
      </c>
      <c r="CT290">
        <v>69</v>
      </c>
      <c r="CU290">
        <v>18.233232999999998</v>
      </c>
      <c r="CV290">
        <v>13.952381000000001</v>
      </c>
      <c r="CW290">
        <v>13.812003000000001</v>
      </c>
      <c r="CX290">
        <v>190.77143899999999</v>
      </c>
      <c r="CY290">
        <v>0.75751800000000002</v>
      </c>
      <c r="CZ290">
        <v>14</v>
      </c>
      <c r="DA290">
        <v>1.272867</v>
      </c>
      <c r="DB290">
        <v>4.2664249999999999</v>
      </c>
      <c r="DC290">
        <v>10.194148999999999</v>
      </c>
      <c r="DD290">
        <v>18.233232999999998</v>
      </c>
      <c r="DE290">
        <v>7.2811089999999998</v>
      </c>
      <c r="DF290">
        <v>1.792645</v>
      </c>
      <c r="DG290">
        <v>1.2965390000000001</v>
      </c>
      <c r="DH290">
        <v>0.39933200000000002</v>
      </c>
      <c r="DI290">
        <v>0.24620500000000001</v>
      </c>
      <c r="DJ290">
        <v>0.17806900000000001</v>
      </c>
      <c r="DK290">
        <v>1</v>
      </c>
      <c r="DL290">
        <v>2</v>
      </c>
      <c r="DM290">
        <v>3</v>
      </c>
      <c r="DN290">
        <v>7</v>
      </c>
      <c r="DO290">
        <v>9</v>
      </c>
      <c r="DP290">
        <v>10</v>
      </c>
      <c r="DQ290">
        <v>13</v>
      </c>
      <c r="DR290">
        <v>16</v>
      </c>
      <c r="DS290">
        <v>18</v>
      </c>
      <c r="DT290">
        <v>21</v>
      </c>
      <c r="DU290">
        <v>23</v>
      </c>
      <c r="DV290">
        <v>25</v>
      </c>
      <c r="DW290">
        <v>40</v>
      </c>
      <c r="DX290">
        <v>51</v>
      </c>
      <c r="DY290">
        <v>59</v>
      </c>
      <c r="DZ290">
        <v>88.042050000000003</v>
      </c>
      <c r="EA290">
        <v>52.562170000000002</v>
      </c>
      <c r="EB290">
        <v>91.655715999999998</v>
      </c>
      <c r="EC290">
        <v>1340</v>
      </c>
      <c r="ED290">
        <v>1395</v>
      </c>
      <c r="EE290">
        <v>85.216819999999998</v>
      </c>
      <c r="EF290">
        <v>98.685940000000002</v>
      </c>
      <c r="EG290">
        <v>49.585531000000003</v>
      </c>
      <c r="EH290">
        <v>76.299925000000002</v>
      </c>
      <c r="EI290">
        <v>86.465176999999997</v>
      </c>
      <c r="EJ290">
        <v>133.04862</v>
      </c>
      <c r="EK290">
        <v>1297</v>
      </c>
      <c r="EL290">
        <v>1502</v>
      </c>
      <c r="EM290">
        <v>1316</v>
      </c>
      <c r="EN290">
        <v>2025</v>
      </c>
      <c r="EO290">
        <v>1522</v>
      </c>
      <c r="EP290">
        <v>2654</v>
      </c>
      <c r="EQ290">
        <v>43.011735000000002</v>
      </c>
    </row>
    <row r="291" spans="1:147" x14ac:dyDescent="0.25">
      <c r="A291">
        <v>2022</v>
      </c>
      <c r="B291" t="str">
        <f t="shared" si="8"/>
        <v>GN</v>
      </c>
      <c r="C291" t="s">
        <v>1543</v>
      </c>
      <c r="D291" t="s">
        <v>1543</v>
      </c>
      <c r="E291">
        <v>26680</v>
      </c>
      <c r="F291" t="s">
        <v>1534</v>
      </c>
      <c r="G291" t="s">
        <v>1535</v>
      </c>
      <c r="H291" t="s">
        <v>1536</v>
      </c>
      <c r="I291">
        <v>51.86</v>
      </c>
      <c r="J291">
        <v>51.86</v>
      </c>
      <c r="K291" t="s">
        <v>279</v>
      </c>
      <c r="L291">
        <v>1</v>
      </c>
      <c r="M291">
        <v>2018</v>
      </c>
      <c r="N291">
        <v>3</v>
      </c>
      <c r="O291" t="str">
        <f t="shared" si="9"/>
        <v>Talhadia</v>
      </c>
      <c r="P291" s="2">
        <v>43245</v>
      </c>
      <c r="Q291" t="s">
        <v>174</v>
      </c>
      <c r="R291" t="s">
        <v>660</v>
      </c>
      <c r="S291" t="s">
        <v>154</v>
      </c>
      <c r="T291" t="s">
        <v>279</v>
      </c>
      <c r="U291" t="s">
        <v>156</v>
      </c>
      <c r="V291" s="2">
        <v>44693</v>
      </c>
      <c r="W291" t="s">
        <v>1537</v>
      </c>
      <c r="X291">
        <v>161.27000000000001</v>
      </c>
      <c r="Y291">
        <v>20.6</v>
      </c>
      <c r="Z291">
        <v>15</v>
      </c>
      <c r="AA291">
        <v>15.4</v>
      </c>
      <c r="AB291">
        <v>1</v>
      </c>
      <c r="AC291">
        <v>317.24</v>
      </c>
      <c r="AD291">
        <v>306.38363831163502</v>
      </c>
      <c r="AE291" s="2">
        <v>44693</v>
      </c>
      <c r="AF291">
        <v>48</v>
      </c>
      <c r="AG291">
        <v>3.96440793976728</v>
      </c>
      <c r="AH291">
        <v>21.508051844557901</v>
      </c>
      <c r="AI291">
        <v>13.786111111111101</v>
      </c>
      <c r="AJ291">
        <v>18.2377705771788</v>
      </c>
      <c r="AK291">
        <v>36</v>
      </c>
      <c r="AL291">
        <v>1174.9974704387801</v>
      </c>
      <c r="AM291">
        <v>194.45725520510999</v>
      </c>
      <c r="AN291">
        <v>0.16549589262732101</v>
      </c>
      <c r="AO291" t="s">
        <v>660</v>
      </c>
      <c r="AP291" t="s">
        <v>264</v>
      </c>
      <c r="AQ291" t="s">
        <v>166</v>
      </c>
      <c r="AR291">
        <v>9</v>
      </c>
      <c r="AS291">
        <v>1.0574977233948979</v>
      </c>
      <c r="AT291" t="s">
        <v>1544</v>
      </c>
      <c r="AU291" t="s">
        <v>1545</v>
      </c>
      <c r="AV291">
        <v>3915</v>
      </c>
      <c r="AW291">
        <v>2143</v>
      </c>
      <c r="AX291">
        <v>1689</v>
      </c>
      <c r="AY291">
        <v>80</v>
      </c>
      <c r="AZ291">
        <v>3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-0.78800000000000003</v>
      </c>
      <c r="BH291">
        <v>23.908000999999999</v>
      </c>
      <c r="BI291">
        <v>10.684533</v>
      </c>
      <c r="BJ291">
        <v>-4.0000000000000001E-3</v>
      </c>
      <c r="BK291">
        <v>10.075430000000001</v>
      </c>
      <c r="BL291">
        <v>101.514291</v>
      </c>
      <c r="BM291">
        <v>0.94299200000000005</v>
      </c>
      <c r="BN291">
        <v>20.496499</v>
      </c>
      <c r="BO291">
        <v>-4.8486000000000001E-2</v>
      </c>
      <c r="BP291">
        <v>1.0834360000000001</v>
      </c>
      <c r="BQ291">
        <v>9.8844049999999992</v>
      </c>
      <c r="BR291">
        <v>8.4839990000000007</v>
      </c>
      <c r="BS291">
        <v>14.202</v>
      </c>
      <c r="BT291">
        <v>10.684533</v>
      </c>
      <c r="BU291">
        <v>5.3315650000000003</v>
      </c>
      <c r="BV291">
        <v>6.694E-2</v>
      </c>
      <c r="BW291">
        <v>-1.0882540000000001</v>
      </c>
      <c r="BX291">
        <v>0.498998</v>
      </c>
      <c r="BY291">
        <v>1.2555E-2</v>
      </c>
      <c r="BZ291">
        <v>-0.20411499999999999</v>
      </c>
      <c r="CA291">
        <v>-0.42859999999999998</v>
      </c>
      <c r="CB291">
        <v>-0.17399999999999999</v>
      </c>
      <c r="CC291">
        <v>-7.22E-2</v>
      </c>
      <c r="CD291">
        <v>3.4799999999999998E-2</v>
      </c>
      <c r="CE291">
        <v>8.1500000000000003E-2</v>
      </c>
      <c r="CF291">
        <v>0.12820000000000001</v>
      </c>
      <c r="CG291">
        <v>0.251</v>
      </c>
      <c r="CH291">
        <v>14.198</v>
      </c>
      <c r="CI291">
        <v>19.394798000000002</v>
      </c>
      <c r="CJ291">
        <v>20.290800000000001</v>
      </c>
      <c r="CK291">
        <v>20.577998999999998</v>
      </c>
      <c r="CL291">
        <v>20.921199999999999</v>
      </c>
      <c r="CM291">
        <v>21.724001000000001</v>
      </c>
      <c r="CN291">
        <v>22.410298999999998</v>
      </c>
      <c r="CO291">
        <v>23.212299000000002</v>
      </c>
      <c r="CP291">
        <v>0.46455000000000002</v>
      </c>
      <c r="CQ291">
        <v>14.684945000000001</v>
      </c>
      <c r="CR291">
        <v>16.415203000000002</v>
      </c>
      <c r="CS291">
        <v>1</v>
      </c>
      <c r="CT291">
        <v>51</v>
      </c>
      <c r="CU291">
        <v>13.350447000000001</v>
      </c>
      <c r="CV291">
        <v>13.698413</v>
      </c>
      <c r="CW291">
        <v>9.1705740000000002</v>
      </c>
      <c r="CX291">
        <v>84.099435</v>
      </c>
      <c r="CY291">
        <v>0.68691100000000005</v>
      </c>
      <c r="CZ291">
        <v>11</v>
      </c>
      <c r="DA291">
        <v>1.1832549999999999</v>
      </c>
      <c r="DB291">
        <v>4.7695949999999998</v>
      </c>
      <c r="DC291">
        <v>6.8681099999999997</v>
      </c>
      <c r="DD291">
        <v>13.350447000000001</v>
      </c>
      <c r="DE291">
        <v>4.9143980000000003</v>
      </c>
      <c r="DF291">
        <v>0.911277</v>
      </c>
      <c r="DG291">
        <v>0.78059800000000001</v>
      </c>
      <c r="DH291">
        <v>0.36810700000000002</v>
      </c>
      <c r="DI291">
        <v>0.18543000000000001</v>
      </c>
      <c r="DJ291">
        <v>0.15883900000000001</v>
      </c>
      <c r="DK291">
        <v>1</v>
      </c>
      <c r="DL291">
        <v>2</v>
      </c>
      <c r="DM291">
        <v>3</v>
      </c>
      <c r="DN291">
        <v>5</v>
      </c>
      <c r="DO291">
        <v>6</v>
      </c>
      <c r="DP291">
        <v>8</v>
      </c>
      <c r="DQ291">
        <v>10</v>
      </c>
      <c r="DR291">
        <v>12</v>
      </c>
      <c r="DS291">
        <v>14</v>
      </c>
      <c r="DT291">
        <v>16</v>
      </c>
      <c r="DU291">
        <v>17</v>
      </c>
      <c r="DV291">
        <v>19</v>
      </c>
      <c r="DW291">
        <v>25</v>
      </c>
      <c r="DX291">
        <v>32</v>
      </c>
      <c r="DY291">
        <v>43</v>
      </c>
      <c r="DZ291">
        <v>93.187121000000005</v>
      </c>
      <c r="EA291">
        <v>54.022989000000003</v>
      </c>
      <c r="EB291">
        <v>98.693420000000003</v>
      </c>
      <c r="EC291">
        <v>1997</v>
      </c>
      <c r="ED291">
        <v>2115</v>
      </c>
      <c r="EE291">
        <v>92.25385</v>
      </c>
      <c r="EF291">
        <v>99.860009000000005</v>
      </c>
      <c r="EG291">
        <v>52.337164999999999</v>
      </c>
      <c r="EH291">
        <v>83.908045999999999</v>
      </c>
      <c r="EI291">
        <v>95.613625999999996</v>
      </c>
      <c r="EJ291">
        <v>153.289781</v>
      </c>
      <c r="EK291">
        <v>1977</v>
      </c>
      <c r="EL291">
        <v>2140</v>
      </c>
      <c r="EM291">
        <v>2049</v>
      </c>
      <c r="EN291">
        <v>3285</v>
      </c>
      <c r="EO291">
        <v>2143</v>
      </c>
      <c r="EP291">
        <v>3915</v>
      </c>
      <c r="EQ291">
        <v>45.170192</v>
      </c>
    </row>
    <row r="292" spans="1:147" x14ac:dyDescent="0.25">
      <c r="A292">
        <v>2022</v>
      </c>
      <c r="B292" t="str">
        <f t="shared" si="8"/>
        <v>NE</v>
      </c>
      <c r="C292" t="s">
        <v>1546</v>
      </c>
      <c r="D292" t="s">
        <v>1546</v>
      </c>
      <c r="E292">
        <v>26686</v>
      </c>
      <c r="F292" t="s">
        <v>1448</v>
      </c>
      <c r="G292" t="s">
        <v>1112</v>
      </c>
      <c r="H292" t="s">
        <v>1547</v>
      </c>
      <c r="I292">
        <v>46.06</v>
      </c>
      <c r="J292">
        <v>46.06</v>
      </c>
      <c r="K292" t="s">
        <v>1098</v>
      </c>
      <c r="L292">
        <v>1</v>
      </c>
      <c r="M292">
        <v>2018</v>
      </c>
      <c r="N292">
        <v>3</v>
      </c>
      <c r="O292" t="str">
        <f t="shared" si="9"/>
        <v>Alto fuste</v>
      </c>
      <c r="P292" s="2">
        <v>43297</v>
      </c>
      <c r="Q292" t="s">
        <v>174</v>
      </c>
      <c r="R292" t="s">
        <v>427</v>
      </c>
      <c r="S292" t="s">
        <v>154</v>
      </c>
      <c r="T292" t="s">
        <v>1098</v>
      </c>
      <c r="U292" t="s">
        <v>156</v>
      </c>
      <c r="V292" s="2">
        <v>44823</v>
      </c>
      <c r="W292" t="s">
        <v>1114</v>
      </c>
      <c r="X292">
        <v>154.9</v>
      </c>
      <c r="Y292">
        <v>20.2</v>
      </c>
      <c r="Z292">
        <v>12</v>
      </c>
      <c r="AA292">
        <v>15.1</v>
      </c>
      <c r="AB292">
        <v>2</v>
      </c>
      <c r="AC292">
        <v>305.02</v>
      </c>
      <c r="AD292">
        <v>298.17283162624398</v>
      </c>
      <c r="AE292" s="2">
        <v>44823</v>
      </c>
      <c r="AF292">
        <v>50</v>
      </c>
      <c r="AG292">
        <v>4.1779603011635897</v>
      </c>
      <c r="AH292">
        <v>20.0656800343295</v>
      </c>
      <c r="AI292">
        <v>15.42</v>
      </c>
      <c r="AJ292">
        <v>19.2417956960245</v>
      </c>
      <c r="AK292">
        <v>30</v>
      </c>
      <c r="AL292">
        <v>1006.12788349559</v>
      </c>
      <c r="AM292">
        <v>167.65299948189701</v>
      </c>
      <c r="AN292">
        <v>0.16663189862050101</v>
      </c>
      <c r="AO292" t="s">
        <v>427</v>
      </c>
      <c r="AP292" t="s">
        <v>158</v>
      </c>
      <c r="AQ292" t="s">
        <v>1126</v>
      </c>
      <c r="AR292">
        <v>9</v>
      </c>
      <c r="AS292">
        <v>0.90551509514603168</v>
      </c>
      <c r="AT292" t="s">
        <v>1548</v>
      </c>
      <c r="AU292" t="s">
        <v>1549</v>
      </c>
      <c r="AV292">
        <v>4372</v>
      </c>
      <c r="AW292">
        <v>2288</v>
      </c>
      <c r="AX292">
        <v>1845</v>
      </c>
      <c r="AY292">
        <v>235</v>
      </c>
      <c r="AZ292">
        <v>4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-1.0820000000000001</v>
      </c>
      <c r="BH292">
        <v>23.292000000000002</v>
      </c>
      <c r="BI292">
        <v>10.304129</v>
      </c>
      <c r="BJ292">
        <v>-0.308222</v>
      </c>
      <c r="BK292">
        <v>9.6904160000000008</v>
      </c>
      <c r="BL292">
        <v>93.904156999999998</v>
      </c>
      <c r="BM292">
        <v>0.94044000000000005</v>
      </c>
      <c r="BN292">
        <v>19.978750000000002</v>
      </c>
      <c r="BO292">
        <v>-3.4492000000000002E-2</v>
      </c>
      <c r="BP292">
        <v>1.0947739999999999</v>
      </c>
      <c r="BQ292">
        <v>9.4744329999999994</v>
      </c>
      <c r="BR292">
        <v>8.5980000000000008</v>
      </c>
      <c r="BS292">
        <v>13.221221999999999</v>
      </c>
      <c r="BT292">
        <v>10.304129</v>
      </c>
      <c r="BU292">
        <v>5.1565310000000002</v>
      </c>
      <c r="BV292">
        <v>6.3140000000000002E-2</v>
      </c>
      <c r="BW292">
        <v>-1.059431</v>
      </c>
      <c r="BX292">
        <v>0.50043400000000005</v>
      </c>
      <c r="BY292">
        <v>1.2245000000000001E-2</v>
      </c>
      <c r="BZ292">
        <v>-0.205454</v>
      </c>
      <c r="CA292">
        <v>-0.43186999999999998</v>
      </c>
      <c r="CB292">
        <v>-0.20845</v>
      </c>
      <c r="CC292">
        <v>-0.108</v>
      </c>
      <c r="CD292">
        <v>1.1999999999999999E-3</v>
      </c>
      <c r="CE292">
        <v>4.5999999999999999E-2</v>
      </c>
      <c r="CF292">
        <v>0.1</v>
      </c>
      <c r="CG292">
        <v>0.251</v>
      </c>
      <c r="CH292">
        <v>12.913</v>
      </c>
      <c r="CI292">
        <v>18.718201000000001</v>
      </c>
      <c r="CJ292">
        <v>19.6327</v>
      </c>
      <c r="CK292">
        <v>20.024750000000001</v>
      </c>
      <c r="CL292">
        <v>20.3538</v>
      </c>
      <c r="CM292">
        <v>21.065398999999999</v>
      </c>
      <c r="CN292">
        <v>21.500250000000001</v>
      </c>
      <c r="CO292">
        <v>22.208382</v>
      </c>
      <c r="CP292">
        <v>0.467142</v>
      </c>
      <c r="CQ292">
        <v>14.144177000000001</v>
      </c>
      <c r="CR292">
        <v>15.827305000000001</v>
      </c>
      <c r="CS292">
        <v>1</v>
      </c>
      <c r="CT292">
        <v>45</v>
      </c>
      <c r="CU292">
        <v>11.857044999999999</v>
      </c>
      <c r="CV292">
        <v>3.7936510000000001</v>
      </c>
      <c r="CW292">
        <v>7.651014</v>
      </c>
      <c r="CX292">
        <v>58.538012999999999</v>
      </c>
      <c r="CY292">
        <v>0.64527199999999996</v>
      </c>
      <c r="CZ292">
        <v>11</v>
      </c>
      <c r="DA292">
        <v>0.70012300000000005</v>
      </c>
      <c r="DB292">
        <v>3.2498079999999998</v>
      </c>
      <c r="DC292">
        <v>6.2682279999999997</v>
      </c>
      <c r="DD292">
        <v>11.857044999999999</v>
      </c>
      <c r="DE292">
        <v>4.2793390000000002</v>
      </c>
      <c r="DF292">
        <v>0.55627400000000005</v>
      </c>
      <c r="DG292">
        <v>0.31390200000000001</v>
      </c>
      <c r="DH292">
        <v>0.36091099999999998</v>
      </c>
      <c r="DI292">
        <v>0.129991</v>
      </c>
      <c r="DJ292">
        <v>7.3353000000000002E-2</v>
      </c>
      <c r="DK292">
        <v>1</v>
      </c>
      <c r="DL292">
        <v>2</v>
      </c>
      <c r="DM292">
        <v>3</v>
      </c>
      <c r="DN292">
        <v>5</v>
      </c>
      <c r="DO292">
        <v>6</v>
      </c>
      <c r="DP292">
        <v>7</v>
      </c>
      <c r="DQ292">
        <v>9</v>
      </c>
      <c r="DR292">
        <v>11</v>
      </c>
      <c r="DS292">
        <v>13</v>
      </c>
      <c r="DT292">
        <v>16</v>
      </c>
      <c r="DU292">
        <v>17</v>
      </c>
      <c r="DV292">
        <v>18</v>
      </c>
      <c r="DW292">
        <v>22</v>
      </c>
      <c r="DX292">
        <v>25</v>
      </c>
      <c r="DY292">
        <v>34</v>
      </c>
      <c r="DZ292">
        <v>94.580420000000004</v>
      </c>
      <c r="EA292">
        <v>55.215004999999998</v>
      </c>
      <c r="EB292">
        <v>105.50699299999999</v>
      </c>
      <c r="EC292">
        <v>2164</v>
      </c>
      <c r="ED292">
        <v>2414</v>
      </c>
      <c r="EE292">
        <v>92.613636</v>
      </c>
      <c r="EF292">
        <v>100</v>
      </c>
      <c r="EG292">
        <v>51.235132999999998</v>
      </c>
      <c r="EH292">
        <v>97.621225999999993</v>
      </c>
      <c r="EI292">
        <v>97.902097999999995</v>
      </c>
      <c r="EJ292">
        <v>186.53846200000001</v>
      </c>
      <c r="EK292">
        <v>2119</v>
      </c>
      <c r="EL292">
        <v>2288</v>
      </c>
      <c r="EM292">
        <v>2240</v>
      </c>
      <c r="EN292">
        <v>4268</v>
      </c>
      <c r="EO292">
        <v>2288</v>
      </c>
      <c r="EP292">
        <v>4372</v>
      </c>
      <c r="EQ292">
        <v>45.541612000000001</v>
      </c>
    </row>
    <row r="293" spans="1:147" x14ac:dyDescent="0.25">
      <c r="A293">
        <v>2022</v>
      </c>
      <c r="B293" t="str">
        <f t="shared" si="8"/>
        <v>NE</v>
      </c>
      <c r="C293" t="s">
        <v>1550</v>
      </c>
      <c r="D293" t="s">
        <v>1550</v>
      </c>
      <c r="E293">
        <v>26831</v>
      </c>
      <c r="F293" t="s">
        <v>1551</v>
      </c>
      <c r="G293" t="s">
        <v>1552</v>
      </c>
      <c r="H293" t="s">
        <v>1553</v>
      </c>
      <c r="I293">
        <v>14.06</v>
      </c>
      <c r="J293">
        <v>14.06</v>
      </c>
      <c r="K293" t="s">
        <v>1098</v>
      </c>
      <c r="L293">
        <v>1</v>
      </c>
      <c r="M293">
        <v>2019</v>
      </c>
      <c r="N293">
        <v>3</v>
      </c>
      <c r="O293" t="str">
        <f t="shared" si="9"/>
        <v>Talhadia</v>
      </c>
      <c r="P293" s="2">
        <v>43494</v>
      </c>
      <c r="Q293" t="s">
        <v>174</v>
      </c>
      <c r="R293" t="s">
        <v>367</v>
      </c>
      <c r="S293" t="s">
        <v>154</v>
      </c>
      <c r="T293" t="s">
        <v>1098</v>
      </c>
      <c r="U293" t="s">
        <v>156</v>
      </c>
      <c r="V293" s="2">
        <v>44693</v>
      </c>
      <c r="W293" t="s">
        <v>1554</v>
      </c>
      <c r="X293">
        <v>57.22</v>
      </c>
      <c r="Y293">
        <v>20.399999999999999</v>
      </c>
      <c r="Z293">
        <v>9</v>
      </c>
      <c r="AA293">
        <v>15.3</v>
      </c>
      <c r="AB293">
        <v>1</v>
      </c>
      <c r="AC293">
        <v>312.12</v>
      </c>
      <c r="AD293">
        <v>308.23033274289497</v>
      </c>
      <c r="AE293" s="2">
        <v>44693</v>
      </c>
      <c r="AF293">
        <v>40</v>
      </c>
      <c r="AG293">
        <v>3.2826830937713898</v>
      </c>
      <c r="AH293">
        <v>23.4624144673462</v>
      </c>
      <c r="AI293">
        <v>17.2130434782609</v>
      </c>
      <c r="AJ293">
        <v>18.331891398413202</v>
      </c>
      <c r="AK293">
        <v>23</v>
      </c>
      <c r="AL293">
        <v>746.19521691218699</v>
      </c>
      <c r="AM293">
        <v>200.60127352513999</v>
      </c>
      <c r="AN293">
        <v>0.26883216211870498</v>
      </c>
      <c r="AO293" t="s">
        <v>367</v>
      </c>
      <c r="AP293" t="s">
        <v>264</v>
      </c>
      <c r="AQ293" t="s">
        <v>315</v>
      </c>
      <c r="AR293">
        <v>9</v>
      </c>
      <c r="AS293">
        <v>0.67157569522096794</v>
      </c>
      <c r="AT293" t="s">
        <v>1555</v>
      </c>
      <c r="AU293" t="s">
        <v>1556</v>
      </c>
      <c r="AV293">
        <v>4521</v>
      </c>
      <c r="AW293">
        <v>2905</v>
      </c>
      <c r="AX293">
        <v>1490</v>
      </c>
      <c r="AY293">
        <v>125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-0.98199999999999998</v>
      </c>
      <c r="BH293">
        <v>26.533000999999999</v>
      </c>
      <c r="BI293">
        <v>9.3456069999999993</v>
      </c>
      <c r="BJ293">
        <v>-0.10850799999999999</v>
      </c>
      <c r="BK293">
        <v>10.721814999999999</v>
      </c>
      <c r="BL293">
        <v>114.95732700000001</v>
      </c>
      <c r="BM293">
        <v>1.147257</v>
      </c>
      <c r="BN293">
        <v>21.981999999999999</v>
      </c>
      <c r="BO293">
        <v>0.41819200000000001</v>
      </c>
      <c r="BP293">
        <v>1.2861359999999999</v>
      </c>
      <c r="BQ293">
        <v>10.281420000000001</v>
      </c>
      <c r="BR293">
        <v>1.2050000000000001</v>
      </c>
      <c r="BS293">
        <v>1.072508</v>
      </c>
      <c r="BT293">
        <v>9.3456069999999993</v>
      </c>
      <c r="BU293">
        <v>5.6157859999999999</v>
      </c>
      <c r="BV293">
        <v>1.174725</v>
      </c>
      <c r="BW293">
        <v>-0.87676100000000001</v>
      </c>
      <c r="BX293">
        <v>0.60090100000000002</v>
      </c>
      <c r="BY293">
        <v>0.20918300000000001</v>
      </c>
      <c r="BZ293">
        <v>-0.15612400000000001</v>
      </c>
      <c r="CA293">
        <v>-0.38579999999999998</v>
      </c>
      <c r="CB293">
        <v>-0.19500000000000001</v>
      </c>
      <c r="CC293">
        <v>-0.113</v>
      </c>
      <c r="CD293">
        <v>-1.0999999999999999E-2</v>
      </c>
      <c r="CE293">
        <v>3.1E-2</v>
      </c>
      <c r="CF293">
        <v>7.8E-2</v>
      </c>
      <c r="CG293">
        <v>0.215</v>
      </c>
      <c r="CH293">
        <v>0.96399999999999997</v>
      </c>
      <c r="CI293">
        <v>12.54</v>
      </c>
      <c r="CJ293">
        <v>21.407</v>
      </c>
      <c r="CK293">
        <v>22.013000000000002</v>
      </c>
      <c r="CL293">
        <v>22.625</v>
      </c>
      <c r="CM293">
        <v>23.934000000000001</v>
      </c>
      <c r="CN293">
        <v>24.608000000000001</v>
      </c>
      <c r="CO293">
        <v>25.499599</v>
      </c>
      <c r="CP293">
        <v>0.37534499999999998</v>
      </c>
      <c r="CQ293">
        <v>14.222244999999999</v>
      </c>
      <c r="CR293">
        <v>16.575289999999999</v>
      </c>
      <c r="CS293">
        <v>1</v>
      </c>
      <c r="CT293">
        <v>55</v>
      </c>
      <c r="CU293">
        <v>19.308339</v>
      </c>
      <c r="CV293">
        <v>1</v>
      </c>
      <c r="CW293">
        <v>13.275753</v>
      </c>
      <c r="CX293">
        <v>176.24561399999999</v>
      </c>
      <c r="CY293">
        <v>0.68756600000000001</v>
      </c>
      <c r="CZ293">
        <v>21</v>
      </c>
      <c r="DA293">
        <v>0.479597</v>
      </c>
      <c r="DB293">
        <v>2.1507909999999999</v>
      </c>
      <c r="DC293">
        <v>11.177154</v>
      </c>
      <c r="DD293">
        <v>19.308339</v>
      </c>
      <c r="DE293">
        <v>7.5446479999999996</v>
      </c>
      <c r="DF293">
        <v>0.98040899999999997</v>
      </c>
      <c r="DG293">
        <v>0.254276</v>
      </c>
      <c r="DH293">
        <v>0.39074599999999998</v>
      </c>
      <c r="DI293">
        <v>0.12994800000000001</v>
      </c>
      <c r="DJ293">
        <v>3.3702999999999997E-2</v>
      </c>
      <c r="DK293">
        <v>1</v>
      </c>
      <c r="DL293">
        <v>1</v>
      </c>
      <c r="DM293">
        <v>3</v>
      </c>
      <c r="DN293">
        <v>7</v>
      </c>
      <c r="DO293">
        <v>8</v>
      </c>
      <c r="DP293">
        <v>10</v>
      </c>
      <c r="DQ293">
        <v>13</v>
      </c>
      <c r="DR293">
        <v>17</v>
      </c>
      <c r="DS293">
        <v>21</v>
      </c>
      <c r="DT293">
        <v>26</v>
      </c>
      <c r="DU293">
        <v>29</v>
      </c>
      <c r="DV293">
        <v>33</v>
      </c>
      <c r="DW293">
        <v>40</v>
      </c>
      <c r="DX293">
        <v>43</v>
      </c>
      <c r="DY293">
        <v>48</v>
      </c>
      <c r="DZ293">
        <v>65.748709000000005</v>
      </c>
      <c r="EA293">
        <v>45.675735000000003</v>
      </c>
      <c r="EB293">
        <v>71.084337000000005</v>
      </c>
      <c r="EC293">
        <v>1910</v>
      </c>
      <c r="ED293">
        <v>2065</v>
      </c>
      <c r="EE293">
        <v>61.893287000000001</v>
      </c>
      <c r="EF293">
        <v>99.104990999999998</v>
      </c>
      <c r="EG293">
        <v>41.340411000000003</v>
      </c>
      <c r="EH293">
        <v>89.604069999999993</v>
      </c>
      <c r="EI293">
        <v>64.337349000000003</v>
      </c>
      <c r="EJ293">
        <v>139.44922500000001</v>
      </c>
      <c r="EK293">
        <v>1798</v>
      </c>
      <c r="EL293">
        <v>2879</v>
      </c>
      <c r="EM293">
        <v>1869</v>
      </c>
      <c r="EN293">
        <v>4051</v>
      </c>
      <c r="EO293">
        <v>2905</v>
      </c>
      <c r="EP293">
        <v>4521</v>
      </c>
      <c r="EQ293">
        <v>35.748514</v>
      </c>
    </row>
    <row r="294" spans="1:147" x14ac:dyDescent="0.25">
      <c r="A294">
        <v>2022</v>
      </c>
      <c r="B294" t="str">
        <f t="shared" si="8"/>
        <v>NE</v>
      </c>
      <c r="C294" t="s">
        <v>1557</v>
      </c>
      <c r="D294" t="s">
        <v>1557</v>
      </c>
      <c r="E294">
        <v>26845</v>
      </c>
      <c r="F294" t="s">
        <v>1551</v>
      </c>
      <c r="G294" t="s">
        <v>1552</v>
      </c>
      <c r="H294" t="s">
        <v>1558</v>
      </c>
      <c r="I294">
        <v>34.28</v>
      </c>
      <c r="J294">
        <v>34.28</v>
      </c>
      <c r="K294" t="s">
        <v>1098</v>
      </c>
      <c r="L294">
        <v>1</v>
      </c>
      <c r="M294">
        <v>2019</v>
      </c>
      <c r="N294">
        <v>3</v>
      </c>
      <c r="O294" t="str">
        <f t="shared" si="9"/>
        <v>Talhadia</v>
      </c>
      <c r="P294" s="2">
        <v>43500</v>
      </c>
      <c r="Q294" t="s">
        <v>174</v>
      </c>
      <c r="R294" t="s">
        <v>165</v>
      </c>
      <c r="S294" t="s">
        <v>154</v>
      </c>
      <c r="T294" t="s">
        <v>1098</v>
      </c>
      <c r="U294" t="s">
        <v>156</v>
      </c>
      <c r="V294" s="2">
        <v>44693</v>
      </c>
      <c r="W294" t="s">
        <v>1554</v>
      </c>
      <c r="X294">
        <v>57.22</v>
      </c>
      <c r="Y294">
        <v>18.2</v>
      </c>
      <c r="Z294">
        <v>7</v>
      </c>
      <c r="AA294">
        <v>15.3</v>
      </c>
      <c r="AB294">
        <v>1</v>
      </c>
      <c r="AC294">
        <v>278.45999999999998</v>
      </c>
      <c r="AD294">
        <v>276.342306703014</v>
      </c>
      <c r="AE294" s="2">
        <v>44693</v>
      </c>
      <c r="AF294">
        <v>39</v>
      </c>
      <c r="AG294">
        <v>3.2662559890486</v>
      </c>
      <c r="AH294">
        <v>21.145103023194199</v>
      </c>
      <c r="AI294">
        <v>16.6260869565217</v>
      </c>
      <c r="AJ294">
        <v>18.637490069527001</v>
      </c>
      <c r="AK294">
        <v>23</v>
      </c>
      <c r="AL294">
        <v>832.30107884704796</v>
      </c>
      <c r="AM294">
        <v>178.81955001112999</v>
      </c>
      <c r="AN294">
        <v>0.21484959536378501</v>
      </c>
      <c r="AO294" t="s">
        <v>165</v>
      </c>
      <c r="AP294" t="s">
        <v>264</v>
      </c>
      <c r="AQ294" t="s">
        <v>294</v>
      </c>
      <c r="AR294">
        <v>9</v>
      </c>
      <c r="AS294">
        <v>0.74907097096234199</v>
      </c>
      <c r="AT294" t="s">
        <v>1559</v>
      </c>
      <c r="AU294" t="s">
        <v>1560</v>
      </c>
      <c r="AV294">
        <v>2244</v>
      </c>
      <c r="AW294">
        <v>1389</v>
      </c>
      <c r="AX294">
        <v>830</v>
      </c>
      <c r="AY294">
        <v>25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-0.72099999999999997</v>
      </c>
      <c r="BH294">
        <v>24.742000999999998</v>
      </c>
      <c r="BI294">
        <v>8.7599300000000007</v>
      </c>
      <c r="BJ294">
        <v>-0.31682500000000002</v>
      </c>
      <c r="BK294">
        <v>9.3543620000000001</v>
      </c>
      <c r="BL294">
        <v>87.504088999999993</v>
      </c>
      <c r="BM294">
        <v>1.067858</v>
      </c>
      <c r="BN294">
        <v>18.329000000000001</v>
      </c>
      <c r="BO294">
        <v>0.22058800000000001</v>
      </c>
      <c r="BP294">
        <v>1.183233</v>
      </c>
      <c r="BQ294">
        <v>9.1326579999999993</v>
      </c>
      <c r="BR294">
        <v>0.8</v>
      </c>
      <c r="BS294">
        <v>0.793825</v>
      </c>
      <c r="BT294">
        <v>8.7599300000000007</v>
      </c>
      <c r="BU294">
        <v>4.9593879999999997</v>
      </c>
      <c r="BV294">
        <v>0.72396700000000003</v>
      </c>
      <c r="BW294">
        <v>-0.82147999999999999</v>
      </c>
      <c r="BX294">
        <v>0.56614500000000001</v>
      </c>
      <c r="BY294">
        <v>0.145979</v>
      </c>
      <c r="BZ294">
        <v>-0.16564100000000001</v>
      </c>
      <c r="CA294">
        <v>-0.32400000000000001</v>
      </c>
      <c r="CB294">
        <v>-0.1857</v>
      </c>
      <c r="CC294">
        <v>-0.124</v>
      </c>
      <c r="CD294">
        <v>-3.1399999999999997E-2</v>
      </c>
      <c r="CE294">
        <v>4.0000000000000001E-3</v>
      </c>
      <c r="CF294">
        <v>4.3900000000000002E-2</v>
      </c>
      <c r="CG294">
        <v>0.124</v>
      </c>
      <c r="CH294">
        <v>0.47699999999999998</v>
      </c>
      <c r="CI294">
        <v>15.923</v>
      </c>
      <c r="CJ294">
        <v>17.591999000000001</v>
      </c>
      <c r="CK294">
        <v>18.332999999999998</v>
      </c>
      <c r="CL294">
        <v>18.969999000000001</v>
      </c>
      <c r="CM294">
        <v>20.710999999999999</v>
      </c>
      <c r="CN294">
        <v>21.677353</v>
      </c>
      <c r="CO294">
        <v>23.445999</v>
      </c>
      <c r="CP294">
        <v>0.37234099999999998</v>
      </c>
      <c r="CQ294">
        <v>12.814112</v>
      </c>
      <c r="CR294">
        <v>14.660907999999999</v>
      </c>
      <c r="CS294">
        <v>1</v>
      </c>
      <c r="CT294">
        <v>58</v>
      </c>
      <c r="CU294">
        <v>18.313725000000002</v>
      </c>
      <c r="CV294">
        <v>9.1428569999999993</v>
      </c>
      <c r="CW294">
        <v>12.8452</v>
      </c>
      <c r="CX294">
        <v>164.99916999999999</v>
      </c>
      <c r="CY294">
        <v>0.70139700000000005</v>
      </c>
      <c r="CZ294">
        <v>15</v>
      </c>
      <c r="DA294">
        <v>0.82570699999999997</v>
      </c>
      <c r="DB294">
        <v>2.7394790000000002</v>
      </c>
      <c r="DC294">
        <v>10.29936</v>
      </c>
      <c r="DD294">
        <v>18.313725000000002</v>
      </c>
      <c r="DE294">
        <v>7.0881740000000004</v>
      </c>
      <c r="DF294">
        <v>1.45533</v>
      </c>
      <c r="DG294">
        <v>0.65898400000000001</v>
      </c>
      <c r="DH294">
        <v>0.387042</v>
      </c>
      <c r="DI294">
        <v>0.205318</v>
      </c>
      <c r="DJ294">
        <v>9.2968999999999996E-2</v>
      </c>
      <c r="DK294">
        <v>1</v>
      </c>
      <c r="DL294">
        <v>2.1500020000000002</v>
      </c>
      <c r="DM294">
        <v>4</v>
      </c>
      <c r="DN294">
        <v>7</v>
      </c>
      <c r="DO294">
        <v>9</v>
      </c>
      <c r="DP294">
        <v>10</v>
      </c>
      <c r="DQ294">
        <v>13</v>
      </c>
      <c r="DR294">
        <v>15</v>
      </c>
      <c r="DS294">
        <v>18</v>
      </c>
      <c r="DT294">
        <v>22</v>
      </c>
      <c r="DU294">
        <v>24</v>
      </c>
      <c r="DV294">
        <v>29</v>
      </c>
      <c r="DW294">
        <v>41</v>
      </c>
      <c r="DX294">
        <v>44</v>
      </c>
      <c r="DY294">
        <v>49</v>
      </c>
      <c r="DZ294">
        <v>74.298056000000003</v>
      </c>
      <c r="EA294">
        <v>47.994652000000002</v>
      </c>
      <c r="EB294">
        <v>77.537796999999998</v>
      </c>
      <c r="EC294">
        <v>1032</v>
      </c>
      <c r="ED294">
        <v>1077</v>
      </c>
      <c r="EE294">
        <v>73.650108000000003</v>
      </c>
      <c r="EF294">
        <v>100</v>
      </c>
      <c r="EG294">
        <v>46.524064000000003</v>
      </c>
      <c r="EH294">
        <v>98.573975000000004</v>
      </c>
      <c r="EI294">
        <v>75.161986999999996</v>
      </c>
      <c r="EJ294">
        <v>159.25126</v>
      </c>
      <c r="EK294">
        <v>1023</v>
      </c>
      <c r="EL294">
        <v>1389</v>
      </c>
      <c r="EM294">
        <v>1044</v>
      </c>
      <c r="EN294">
        <v>2212</v>
      </c>
      <c r="EO294">
        <v>1389</v>
      </c>
      <c r="EP294">
        <v>2244</v>
      </c>
      <c r="EQ294">
        <v>36.446406000000003</v>
      </c>
    </row>
    <row r="295" spans="1:147" x14ac:dyDescent="0.25">
      <c r="A295">
        <v>2022</v>
      </c>
      <c r="B295" t="str">
        <f t="shared" si="8"/>
        <v>NE</v>
      </c>
      <c r="C295" t="s">
        <v>1561</v>
      </c>
      <c r="D295" t="s">
        <v>1561</v>
      </c>
      <c r="E295">
        <v>26846</v>
      </c>
      <c r="F295" t="s">
        <v>1551</v>
      </c>
      <c r="G295" t="s">
        <v>1552</v>
      </c>
      <c r="H295" t="s">
        <v>1558</v>
      </c>
      <c r="I295">
        <v>34.28</v>
      </c>
      <c r="J295">
        <v>34.28</v>
      </c>
      <c r="K295" t="s">
        <v>1098</v>
      </c>
      <c r="L295">
        <v>1</v>
      </c>
      <c r="M295">
        <v>2019</v>
      </c>
      <c r="N295">
        <v>3</v>
      </c>
      <c r="O295" t="str">
        <f t="shared" si="9"/>
        <v>Talhadia</v>
      </c>
      <c r="P295" s="2">
        <v>43500</v>
      </c>
      <c r="Q295" t="s">
        <v>174</v>
      </c>
      <c r="R295" t="s">
        <v>165</v>
      </c>
      <c r="S295" t="s">
        <v>154</v>
      </c>
      <c r="T295" t="s">
        <v>1098</v>
      </c>
      <c r="U295" t="s">
        <v>156</v>
      </c>
      <c r="V295" s="2">
        <v>44693</v>
      </c>
      <c r="W295" t="s">
        <v>1554</v>
      </c>
      <c r="X295">
        <v>57.22</v>
      </c>
      <c r="Y295">
        <v>20.7</v>
      </c>
      <c r="Z295">
        <v>7</v>
      </c>
      <c r="AA295">
        <v>15.1</v>
      </c>
      <c r="AB295">
        <v>3</v>
      </c>
      <c r="AC295">
        <v>312.57</v>
      </c>
      <c r="AD295">
        <v>309.81497727436999</v>
      </c>
      <c r="AE295" s="2">
        <v>44693</v>
      </c>
      <c r="AF295">
        <v>39</v>
      </c>
      <c r="AG295">
        <v>3.2662559890486</v>
      </c>
      <c r="AH295">
        <v>19.026030103179501</v>
      </c>
      <c r="AI295">
        <v>13.8709677419355</v>
      </c>
      <c r="AJ295">
        <v>16.3152116177503</v>
      </c>
      <c r="AK295">
        <v>31</v>
      </c>
      <c r="AL295">
        <v>1000.5972039417099</v>
      </c>
      <c r="AM295">
        <v>149.376432530416</v>
      </c>
      <c r="AN295">
        <v>0.14928727757979701</v>
      </c>
      <c r="AO295" t="s">
        <v>165</v>
      </c>
      <c r="AP295" t="s">
        <v>264</v>
      </c>
      <c r="AQ295" t="s">
        <v>294</v>
      </c>
      <c r="AR295">
        <v>9</v>
      </c>
      <c r="AS295">
        <v>0.90053748354754182</v>
      </c>
      <c r="AT295" t="s">
        <v>1562</v>
      </c>
      <c r="AU295" t="s">
        <v>1563</v>
      </c>
      <c r="AV295">
        <v>21232</v>
      </c>
      <c r="AW295">
        <v>12670</v>
      </c>
      <c r="AX295">
        <v>7825</v>
      </c>
      <c r="AY295">
        <v>721</v>
      </c>
      <c r="AZ295">
        <v>16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-0.81599999999999995</v>
      </c>
      <c r="BH295">
        <v>24.613001000000001</v>
      </c>
      <c r="BI295">
        <v>11.246193999999999</v>
      </c>
      <c r="BJ295">
        <v>-8.7299999999999999E-3</v>
      </c>
      <c r="BK295">
        <v>9.9743779999999997</v>
      </c>
      <c r="BL295">
        <v>99.488214999999997</v>
      </c>
      <c r="BM295">
        <v>0.886911</v>
      </c>
      <c r="BN295">
        <v>20.883001</v>
      </c>
      <c r="BO295">
        <v>-0.123062</v>
      </c>
      <c r="BP295">
        <v>1.1677230000000001</v>
      </c>
      <c r="BQ295">
        <v>9.5723830000000003</v>
      </c>
      <c r="BR295">
        <v>7.7265009999999998</v>
      </c>
      <c r="BS295">
        <v>15.114229</v>
      </c>
      <c r="BT295">
        <v>11.246193999999999</v>
      </c>
      <c r="BU295">
        <v>5.3938610000000002</v>
      </c>
      <c r="BV295">
        <v>-7.1248000000000006E-2</v>
      </c>
      <c r="BW295">
        <v>-0.98878299999999997</v>
      </c>
      <c r="BX295">
        <v>0.47961700000000002</v>
      </c>
      <c r="BY295">
        <v>-1.3209E-2</v>
      </c>
      <c r="BZ295">
        <v>-0.18331600000000001</v>
      </c>
      <c r="CA295">
        <v>-0.41</v>
      </c>
      <c r="CB295">
        <v>-0.183</v>
      </c>
      <c r="CC295">
        <v>-9.4E-2</v>
      </c>
      <c r="CD295">
        <v>1.4999999999999999E-2</v>
      </c>
      <c r="CE295">
        <v>6.4000000000000001E-2</v>
      </c>
      <c r="CF295">
        <v>0.11600000000000001</v>
      </c>
      <c r="CG295">
        <v>0.39939999999999998</v>
      </c>
      <c r="CH295">
        <v>15.105499</v>
      </c>
      <c r="CI295">
        <v>18.948</v>
      </c>
      <c r="CJ295">
        <v>20.345800000000001</v>
      </c>
      <c r="CK295">
        <v>20.947001</v>
      </c>
      <c r="CL295">
        <v>21.344999000000001</v>
      </c>
      <c r="CM295">
        <v>22.5</v>
      </c>
      <c r="CN295">
        <v>23.091898</v>
      </c>
      <c r="CO295">
        <v>23.790001</v>
      </c>
      <c r="CP295">
        <v>0.47434799999999999</v>
      </c>
      <c r="CQ295">
        <v>15.031980000000001</v>
      </c>
      <c r="CR295">
        <v>16.699089000000001</v>
      </c>
      <c r="CS295">
        <v>1</v>
      </c>
      <c r="CT295">
        <v>69</v>
      </c>
      <c r="CU295">
        <v>15.895346999999999</v>
      </c>
      <c r="CV295">
        <v>1</v>
      </c>
      <c r="CW295">
        <v>11.249428999999999</v>
      </c>
      <c r="CX295">
        <v>126.549643</v>
      </c>
      <c r="CY295">
        <v>0.70771799999999996</v>
      </c>
      <c r="CZ295">
        <v>14</v>
      </c>
      <c r="DA295">
        <v>1.155267</v>
      </c>
      <c r="DB295">
        <v>4.6385259999999997</v>
      </c>
      <c r="DC295">
        <v>8.5023759999999999</v>
      </c>
      <c r="DD295">
        <v>15.895346999999999</v>
      </c>
      <c r="DE295">
        <v>6.0489110000000004</v>
      </c>
      <c r="DF295">
        <v>1.123766</v>
      </c>
      <c r="DG295">
        <v>0.906748</v>
      </c>
      <c r="DH295">
        <v>0.380546</v>
      </c>
      <c r="DI295">
        <v>0.18578</v>
      </c>
      <c r="DJ295">
        <v>0.14990300000000001</v>
      </c>
      <c r="DK295">
        <v>1</v>
      </c>
      <c r="DL295">
        <v>2</v>
      </c>
      <c r="DM295">
        <v>3</v>
      </c>
      <c r="DN295">
        <v>6</v>
      </c>
      <c r="DO295">
        <v>7</v>
      </c>
      <c r="DP295">
        <v>9</v>
      </c>
      <c r="DQ295">
        <v>12</v>
      </c>
      <c r="DR295">
        <v>15</v>
      </c>
      <c r="DS295">
        <v>17</v>
      </c>
      <c r="DT295">
        <v>19.700195000000001</v>
      </c>
      <c r="DU295">
        <v>21</v>
      </c>
      <c r="DV295">
        <v>23</v>
      </c>
      <c r="DW295">
        <v>30</v>
      </c>
      <c r="DX295">
        <v>40</v>
      </c>
      <c r="DY295">
        <v>52</v>
      </c>
      <c r="DZ295">
        <v>89.273875000000004</v>
      </c>
      <c r="EA295">
        <v>58.246986</v>
      </c>
      <c r="EB295">
        <v>97.608524000000003</v>
      </c>
      <c r="EC295">
        <v>11311</v>
      </c>
      <c r="ED295">
        <v>12367</v>
      </c>
      <c r="EE295">
        <v>87.261246999999997</v>
      </c>
      <c r="EF295">
        <v>99.431728000000007</v>
      </c>
      <c r="EG295">
        <v>54.860588</v>
      </c>
      <c r="EH295">
        <v>82.375658999999999</v>
      </c>
      <c r="EI295">
        <v>91.933701999999997</v>
      </c>
      <c r="EJ295">
        <v>138.04262</v>
      </c>
      <c r="EK295">
        <v>11056</v>
      </c>
      <c r="EL295">
        <v>12598</v>
      </c>
      <c r="EM295">
        <v>11648</v>
      </c>
      <c r="EN295">
        <v>17490</v>
      </c>
      <c r="EO295">
        <v>12670</v>
      </c>
      <c r="EP295">
        <v>21232</v>
      </c>
      <c r="EQ295">
        <v>46.381824999999999</v>
      </c>
    </row>
    <row r="296" spans="1:147" x14ac:dyDescent="0.25">
      <c r="A296">
        <v>2022</v>
      </c>
      <c r="B296" t="str">
        <f t="shared" si="8"/>
        <v>RD</v>
      </c>
      <c r="C296" t="s">
        <v>1564</v>
      </c>
      <c r="D296" t="s">
        <v>1564</v>
      </c>
      <c r="E296">
        <v>26887</v>
      </c>
      <c r="F296" t="s">
        <v>1565</v>
      </c>
      <c r="G296" t="s">
        <v>775</v>
      </c>
      <c r="H296" t="s">
        <v>1566</v>
      </c>
      <c r="I296">
        <v>55.09</v>
      </c>
      <c r="J296">
        <v>55.09</v>
      </c>
      <c r="K296" t="s">
        <v>219</v>
      </c>
      <c r="L296">
        <v>1</v>
      </c>
      <c r="M296">
        <v>2019</v>
      </c>
      <c r="N296">
        <v>3</v>
      </c>
      <c r="O296" t="str">
        <f t="shared" si="9"/>
        <v>Alto fuste</v>
      </c>
      <c r="P296" s="2">
        <v>43692</v>
      </c>
      <c r="Q296" t="s">
        <v>237</v>
      </c>
      <c r="R296" t="s">
        <v>367</v>
      </c>
      <c r="S296" t="s">
        <v>154</v>
      </c>
      <c r="T296" t="s">
        <v>221</v>
      </c>
      <c r="U296" t="s">
        <v>156</v>
      </c>
      <c r="V296" s="2">
        <v>44797</v>
      </c>
      <c r="W296" t="s">
        <v>777</v>
      </c>
      <c r="X296">
        <v>250.77</v>
      </c>
      <c r="Y296">
        <v>20</v>
      </c>
      <c r="Z296">
        <v>0</v>
      </c>
      <c r="AA296">
        <v>14.6</v>
      </c>
      <c r="AB296">
        <v>0</v>
      </c>
      <c r="AC296">
        <v>292</v>
      </c>
      <c r="AD296">
        <v>292</v>
      </c>
      <c r="AE296" s="2">
        <v>44797</v>
      </c>
      <c r="AF296">
        <v>36</v>
      </c>
      <c r="AG296">
        <v>3.0253251197809701</v>
      </c>
      <c r="AH296">
        <v>19.494663153480602</v>
      </c>
      <c r="AI296">
        <v>12.3025641025641</v>
      </c>
      <c r="AJ296">
        <v>16.084416444532401</v>
      </c>
      <c r="AK296">
        <v>39</v>
      </c>
      <c r="AL296">
        <v>1335.61643835616</v>
      </c>
      <c r="AM296">
        <v>144.20692736070001</v>
      </c>
      <c r="AN296">
        <v>0.107970314844421</v>
      </c>
      <c r="AO296" t="s">
        <v>367</v>
      </c>
      <c r="AP296" t="s">
        <v>158</v>
      </c>
      <c r="AQ296" t="s">
        <v>294</v>
      </c>
      <c r="AR296">
        <v>7.5</v>
      </c>
      <c r="AS296">
        <v>1.001712328767123</v>
      </c>
      <c r="AT296" t="s">
        <v>1567</v>
      </c>
      <c r="AU296" t="s">
        <v>1568</v>
      </c>
      <c r="AV296">
        <v>2848</v>
      </c>
      <c r="AW296">
        <v>1755</v>
      </c>
      <c r="AX296">
        <v>1075</v>
      </c>
      <c r="AY296">
        <v>17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-0.88</v>
      </c>
      <c r="BH296">
        <v>20.84</v>
      </c>
      <c r="BI296">
        <v>7.7287679999999996</v>
      </c>
      <c r="BJ296">
        <v>-0.19047600000000001</v>
      </c>
      <c r="BK296">
        <v>8.7982150000000008</v>
      </c>
      <c r="BL296">
        <v>77.408586</v>
      </c>
      <c r="BM296">
        <v>1.1383719999999999</v>
      </c>
      <c r="BN296">
        <v>17.59</v>
      </c>
      <c r="BO296">
        <v>0.28501199999999999</v>
      </c>
      <c r="BP296">
        <v>1.1159349999999999</v>
      </c>
      <c r="BQ296">
        <v>8.6583389999999998</v>
      </c>
      <c r="BR296">
        <v>0.35</v>
      </c>
      <c r="BS296">
        <v>0.37047600000000003</v>
      </c>
      <c r="BT296">
        <v>7.7287679999999996</v>
      </c>
      <c r="BU296">
        <v>4.5034729999999996</v>
      </c>
      <c r="BV296">
        <v>0.72249600000000003</v>
      </c>
      <c r="BW296">
        <v>-0.85166500000000001</v>
      </c>
      <c r="BX296">
        <v>0.58269000000000004</v>
      </c>
      <c r="BY296">
        <v>0.16043099999999999</v>
      </c>
      <c r="BZ296">
        <v>-0.189113</v>
      </c>
      <c r="CA296">
        <v>-0.37</v>
      </c>
      <c r="CB296">
        <v>-0.18</v>
      </c>
      <c r="CC296">
        <v>-0.113</v>
      </c>
      <c r="CD296">
        <v>-0.03</v>
      </c>
      <c r="CE296">
        <v>0</v>
      </c>
      <c r="CF296">
        <v>0.03</v>
      </c>
      <c r="CG296">
        <v>0.09</v>
      </c>
      <c r="CH296">
        <v>0.18</v>
      </c>
      <c r="CI296">
        <v>16.351998999999999</v>
      </c>
      <c r="CJ296">
        <v>17.309999000000001</v>
      </c>
      <c r="CK296">
        <v>17.59</v>
      </c>
      <c r="CL296">
        <v>17.84</v>
      </c>
      <c r="CM296">
        <v>18.510000000000002</v>
      </c>
      <c r="CN296">
        <v>19.026499000000001</v>
      </c>
      <c r="CO296">
        <v>19.865300999999999</v>
      </c>
      <c r="CP296">
        <v>0.39635199999999998</v>
      </c>
      <c r="CQ296">
        <v>11.709622</v>
      </c>
      <c r="CR296">
        <v>13.480809000000001</v>
      </c>
      <c r="CS296">
        <v>1</v>
      </c>
      <c r="CT296">
        <v>61</v>
      </c>
      <c r="CU296">
        <v>19.231390000000001</v>
      </c>
      <c r="CV296">
        <v>13.380952000000001</v>
      </c>
      <c r="CW296">
        <v>14.130015999999999</v>
      </c>
      <c r="CX296">
        <v>199.657363</v>
      </c>
      <c r="CY296">
        <v>0.73473699999999997</v>
      </c>
      <c r="CZ296">
        <v>20</v>
      </c>
      <c r="DA296">
        <v>0.76790899999999995</v>
      </c>
      <c r="DB296">
        <v>2.4598640000000001</v>
      </c>
      <c r="DC296">
        <v>11.543480000000001</v>
      </c>
      <c r="DD296">
        <v>19.231390000000001</v>
      </c>
      <c r="DE296">
        <v>7.7984980000000004</v>
      </c>
      <c r="DF296">
        <v>1.6008070000000001</v>
      </c>
      <c r="DG296">
        <v>0.59519699999999998</v>
      </c>
      <c r="DH296">
        <v>0.40550900000000001</v>
      </c>
      <c r="DI296">
        <v>0.20527100000000001</v>
      </c>
      <c r="DJ296">
        <v>7.6322000000000001E-2</v>
      </c>
      <c r="DK296">
        <v>1</v>
      </c>
      <c r="DL296">
        <v>2</v>
      </c>
      <c r="DM296">
        <v>3</v>
      </c>
      <c r="DN296">
        <v>7</v>
      </c>
      <c r="DO296">
        <v>9</v>
      </c>
      <c r="DP296">
        <v>10</v>
      </c>
      <c r="DQ296">
        <v>13</v>
      </c>
      <c r="DR296">
        <v>15</v>
      </c>
      <c r="DS296">
        <v>18</v>
      </c>
      <c r="DT296">
        <v>22</v>
      </c>
      <c r="DU296">
        <v>29</v>
      </c>
      <c r="DV296">
        <v>35</v>
      </c>
      <c r="DW296">
        <v>43</v>
      </c>
      <c r="DX296">
        <v>46</v>
      </c>
      <c r="DY296">
        <v>51</v>
      </c>
      <c r="DZ296">
        <v>70.541310999999993</v>
      </c>
      <c r="EA296">
        <v>44.030898999999998</v>
      </c>
      <c r="EB296">
        <v>71.452990999999997</v>
      </c>
      <c r="EC296">
        <v>1238</v>
      </c>
      <c r="ED296">
        <v>1254</v>
      </c>
      <c r="EE296">
        <v>70.028490000000005</v>
      </c>
      <c r="EF296">
        <v>100</v>
      </c>
      <c r="EG296">
        <v>43.433988999999997</v>
      </c>
      <c r="EH296">
        <v>95.610955000000004</v>
      </c>
      <c r="EI296">
        <v>70.48433</v>
      </c>
      <c r="EJ296">
        <v>155.15669500000001</v>
      </c>
      <c r="EK296">
        <v>1229</v>
      </c>
      <c r="EL296">
        <v>1755</v>
      </c>
      <c r="EM296">
        <v>1237</v>
      </c>
      <c r="EN296">
        <v>2723</v>
      </c>
      <c r="EO296">
        <v>1755</v>
      </c>
      <c r="EP296">
        <v>2848</v>
      </c>
      <c r="EQ296">
        <v>38.081381</v>
      </c>
    </row>
    <row r="297" spans="1:147" x14ac:dyDescent="0.25">
      <c r="A297">
        <v>2022</v>
      </c>
      <c r="B297" t="str">
        <f t="shared" si="8"/>
        <v>RD</v>
      </c>
      <c r="C297" t="s">
        <v>1569</v>
      </c>
      <c r="D297" t="s">
        <v>1569</v>
      </c>
      <c r="E297">
        <v>26888</v>
      </c>
      <c r="F297" t="s">
        <v>1565</v>
      </c>
      <c r="G297" t="s">
        <v>775</v>
      </c>
      <c r="H297" t="s">
        <v>1566</v>
      </c>
      <c r="I297">
        <v>55.09</v>
      </c>
      <c r="J297">
        <v>55.09</v>
      </c>
      <c r="K297" t="s">
        <v>219</v>
      </c>
      <c r="L297">
        <v>1</v>
      </c>
      <c r="M297">
        <v>2019</v>
      </c>
      <c r="N297">
        <v>3</v>
      </c>
      <c r="O297" t="str">
        <f t="shared" si="9"/>
        <v>Alto fuste</v>
      </c>
      <c r="P297" s="2">
        <v>43692</v>
      </c>
      <c r="Q297" t="s">
        <v>237</v>
      </c>
      <c r="R297" t="s">
        <v>367</v>
      </c>
      <c r="S297" t="s">
        <v>154</v>
      </c>
      <c r="T297" t="s">
        <v>221</v>
      </c>
      <c r="U297" t="s">
        <v>156</v>
      </c>
      <c r="V297" s="2">
        <v>44797</v>
      </c>
      <c r="W297" t="s">
        <v>777</v>
      </c>
      <c r="X297">
        <v>250.77</v>
      </c>
      <c r="Y297">
        <v>20.8</v>
      </c>
      <c r="Z297">
        <v>25</v>
      </c>
      <c r="AA297">
        <v>15</v>
      </c>
      <c r="AB297">
        <v>0</v>
      </c>
      <c r="AC297">
        <v>312</v>
      </c>
      <c r="AD297">
        <v>282.76802955543502</v>
      </c>
      <c r="AE297" s="2">
        <v>44797</v>
      </c>
      <c r="AF297">
        <v>36</v>
      </c>
      <c r="AG297">
        <v>3.0253251197809701</v>
      </c>
      <c r="AH297">
        <v>19.071241374668499</v>
      </c>
      <c r="AI297">
        <v>10.7023255813953</v>
      </c>
      <c r="AJ297">
        <v>13.9373384708994</v>
      </c>
      <c r="AK297">
        <v>43</v>
      </c>
      <c r="AL297">
        <v>1520.6811062624099</v>
      </c>
      <c r="AM297">
        <v>127.23033394007599</v>
      </c>
      <c r="AN297">
        <v>8.3666676343989096E-2</v>
      </c>
      <c r="AO297" t="s">
        <v>367</v>
      </c>
      <c r="AP297" t="s">
        <v>158</v>
      </c>
      <c r="AQ297" t="s">
        <v>294</v>
      </c>
      <c r="AR297">
        <v>7.5</v>
      </c>
      <c r="AS297">
        <v>1.140510829696805</v>
      </c>
      <c r="AT297" t="s">
        <v>1570</v>
      </c>
      <c r="AU297" t="s">
        <v>1571</v>
      </c>
      <c r="AV297">
        <v>5135</v>
      </c>
      <c r="AW297">
        <v>3014</v>
      </c>
      <c r="AX297">
        <v>2003</v>
      </c>
      <c r="AY297">
        <v>115</v>
      </c>
      <c r="AZ297">
        <v>3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-0.96</v>
      </c>
      <c r="BH297">
        <v>23.09</v>
      </c>
      <c r="BI297">
        <v>8.9810809999999996</v>
      </c>
      <c r="BJ297">
        <v>-0.19650799999999999</v>
      </c>
      <c r="BK297">
        <v>9.0216530000000006</v>
      </c>
      <c r="BL297">
        <v>81.390220999999997</v>
      </c>
      <c r="BM297">
        <v>1.004518</v>
      </c>
      <c r="BN297">
        <v>18.04</v>
      </c>
      <c r="BO297">
        <v>7.0638999999999993E-2</v>
      </c>
      <c r="BP297">
        <v>1.083305</v>
      </c>
      <c r="BQ297">
        <v>8.8888119999999997</v>
      </c>
      <c r="BR297">
        <v>6.72</v>
      </c>
      <c r="BS297">
        <v>6.5865080000000003</v>
      </c>
      <c r="BT297">
        <v>8.9810809999999996</v>
      </c>
      <c r="BU297">
        <v>4.7606080000000004</v>
      </c>
      <c r="BV297">
        <v>0.335366</v>
      </c>
      <c r="BW297">
        <v>-0.92633799999999999</v>
      </c>
      <c r="BX297">
        <v>0.53007099999999996</v>
      </c>
      <c r="BY297">
        <v>7.0445999999999995E-2</v>
      </c>
      <c r="BZ297">
        <v>-0.19458400000000001</v>
      </c>
      <c r="CA297">
        <v>-0.43659999999999999</v>
      </c>
      <c r="CB297">
        <v>-0.2</v>
      </c>
      <c r="CC297">
        <v>-0.11</v>
      </c>
      <c r="CD297">
        <v>0</v>
      </c>
      <c r="CE297">
        <v>0.05</v>
      </c>
      <c r="CF297">
        <v>0.1</v>
      </c>
      <c r="CG297">
        <v>0.22</v>
      </c>
      <c r="CH297">
        <v>6.39</v>
      </c>
      <c r="CI297">
        <v>16.719999000000001</v>
      </c>
      <c r="CJ297">
        <v>17.709999</v>
      </c>
      <c r="CK297">
        <v>18.09</v>
      </c>
      <c r="CL297">
        <v>18.472002</v>
      </c>
      <c r="CM297">
        <v>19.489999999999998</v>
      </c>
      <c r="CN297">
        <v>20.139999</v>
      </c>
      <c r="CO297">
        <v>21.226600999999999</v>
      </c>
      <c r="CP297">
        <v>0.41335100000000002</v>
      </c>
      <c r="CQ297">
        <v>12.729265</v>
      </c>
      <c r="CR297">
        <v>14.372254999999999</v>
      </c>
      <c r="CS297">
        <v>1</v>
      </c>
      <c r="CT297">
        <v>42</v>
      </c>
      <c r="CU297">
        <v>12.290554999999999</v>
      </c>
      <c r="CV297">
        <v>1</v>
      </c>
      <c r="CW297">
        <v>8.5346799999999998</v>
      </c>
      <c r="CX297">
        <v>72.840766000000002</v>
      </c>
      <c r="CY297">
        <v>0.69440999999999997</v>
      </c>
      <c r="CZ297">
        <v>11</v>
      </c>
      <c r="DA297">
        <v>0.843024</v>
      </c>
      <c r="DB297">
        <v>3.135256</v>
      </c>
      <c r="DC297">
        <v>6.7794299999999996</v>
      </c>
      <c r="DD297">
        <v>12.290554999999999</v>
      </c>
      <c r="DE297">
        <v>4.7184220000000003</v>
      </c>
      <c r="DF297">
        <v>0.86975199999999997</v>
      </c>
      <c r="DG297">
        <v>0.49764999999999998</v>
      </c>
      <c r="DH297">
        <v>0.38390600000000003</v>
      </c>
      <c r="DI297">
        <v>0.18433099999999999</v>
      </c>
      <c r="DJ297">
        <v>0.10546999999999999</v>
      </c>
      <c r="DK297">
        <v>1</v>
      </c>
      <c r="DL297">
        <v>1</v>
      </c>
      <c r="DM297">
        <v>2</v>
      </c>
      <c r="DN297">
        <v>4</v>
      </c>
      <c r="DO297">
        <v>6</v>
      </c>
      <c r="DP297">
        <v>7</v>
      </c>
      <c r="DQ297">
        <v>9</v>
      </c>
      <c r="DR297">
        <v>11</v>
      </c>
      <c r="DS297">
        <v>13</v>
      </c>
      <c r="DT297">
        <v>15</v>
      </c>
      <c r="DU297">
        <v>17</v>
      </c>
      <c r="DV297">
        <v>19</v>
      </c>
      <c r="DW297">
        <v>25</v>
      </c>
      <c r="DX297">
        <v>30</v>
      </c>
      <c r="DY297">
        <v>35</v>
      </c>
      <c r="DZ297">
        <v>82.315859000000003</v>
      </c>
      <c r="EA297">
        <v>50.360272999999999</v>
      </c>
      <c r="EB297">
        <v>85.799601999999993</v>
      </c>
      <c r="EC297">
        <v>2481</v>
      </c>
      <c r="ED297">
        <v>2586</v>
      </c>
      <c r="EE297">
        <v>81.818181999999993</v>
      </c>
      <c r="EF297">
        <v>99.966820999999996</v>
      </c>
      <c r="EG297">
        <v>49.639727000000001</v>
      </c>
      <c r="EH297">
        <v>94.527750999999995</v>
      </c>
      <c r="EI297">
        <v>84.571996999999996</v>
      </c>
      <c r="EJ297">
        <v>161.048441</v>
      </c>
      <c r="EK297">
        <v>2466</v>
      </c>
      <c r="EL297">
        <v>3013</v>
      </c>
      <c r="EM297">
        <v>2549</v>
      </c>
      <c r="EN297">
        <v>4854</v>
      </c>
      <c r="EO297">
        <v>3014</v>
      </c>
      <c r="EP297">
        <v>5135</v>
      </c>
      <c r="EQ297">
        <v>41.432620999999997</v>
      </c>
    </row>
    <row r="298" spans="1:147" x14ac:dyDescent="0.25">
      <c r="A298">
        <v>2022</v>
      </c>
      <c r="B298" t="str">
        <f t="shared" si="8"/>
        <v>RD</v>
      </c>
      <c r="C298" t="s">
        <v>1572</v>
      </c>
      <c r="D298" t="s">
        <v>1572</v>
      </c>
      <c r="E298">
        <v>26889</v>
      </c>
      <c r="F298" t="s">
        <v>1565</v>
      </c>
      <c r="G298" t="s">
        <v>775</v>
      </c>
      <c r="H298" t="s">
        <v>1566</v>
      </c>
      <c r="I298">
        <v>55.09</v>
      </c>
      <c r="J298">
        <v>55.09</v>
      </c>
      <c r="K298" t="s">
        <v>219</v>
      </c>
      <c r="L298">
        <v>1</v>
      </c>
      <c r="M298">
        <v>2019</v>
      </c>
      <c r="N298">
        <v>3</v>
      </c>
      <c r="O298" t="str">
        <f t="shared" si="9"/>
        <v>Alto fuste</v>
      </c>
      <c r="P298" s="2">
        <v>43692</v>
      </c>
      <c r="Q298" t="s">
        <v>237</v>
      </c>
      <c r="R298" t="s">
        <v>367</v>
      </c>
      <c r="S298" t="s">
        <v>154</v>
      </c>
      <c r="T298" t="s">
        <v>221</v>
      </c>
      <c r="U298" t="s">
        <v>156</v>
      </c>
      <c r="V298" s="2">
        <v>44797</v>
      </c>
      <c r="W298" t="s">
        <v>777</v>
      </c>
      <c r="X298">
        <v>250.77</v>
      </c>
      <c r="Y298">
        <v>19.2</v>
      </c>
      <c r="Z298">
        <v>30</v>
      </c>
      <c r="AA298">
        <v>15</v>
      </c>
      <c r="AB298">
        <v>2</v>
      </c>
      <c r="AC298">
        <v>288</v>
      </c>
      <c r="AD298">
        <v>249.26337921821101</v>
      </c>
      <c r="AE298" s="2">
        <v>44797</v>
      </c>
      <c r="AF298">
        <v>36</v>
      </c>
      <c r="AG298">
        <v>3.0253251197809701</v>
      </c>
      <c r="AH298">
        <v>17.167839198366099</v>
      </c>
      <c r="AI298">
        <v>11.8263157894737</v>
      </c>
      <c r="AJ298">
        <v>17.044289181181298</v>
      </c>
      <c r="AK298">
        <v>38</v>
      </c>
      <c r="AL298">
        <v>1524.49188963028</v>
      </c>
      <c r="AM298">
        <v>132.30574416692099</v>
      </c>
      <c r="AN298">
        <v>8.6786781265859703E-2</v>
      </c>
      <c r="AO298" t="s">
        <v>367</v>
      </c>
      <c r="AP298" t="s">
        <v>158</v>
      </c>
      <c r="AQ298" t="s">
        <v>294</v>
      </c>
      <c r="AR298">
        <v>7.5</v>
      </c>
      <c r="AS298">
        <v>1.1433689172227111</v>
      </c>
      <c r="AT298" t="s">
        <v>1573</v>
      </c>
      <c r="AU298" t="s">
        <v>1574</v>
      </c>
      <c r="AV298">
        <v>4412</v>
      </c>
      <c r="AW298">
        <v>2567</v>
      </c>
      <c r="AX298">
        <v>1688</v>
      </c>
      <c r="AY298">
        <v>150</v>
      </c>
      <c r="AZ298">
        <v>7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-1.1599999999999999</v>
      </c>
      <c r="BH298">
        <v>24.110001</v>
      </c>
      <c r="BI298">
        <v>8.42483</v>
      </c>
      <c r="BJ298">
        <v>4.3333000000000003E-2</v>
      </c>
      <c r="BK298">
        <v>9.3704490000000007</v>
      </c>
      <c r="BL298">
        <v>87.805318999999997</v>
      </c>
      <c r="BM298">
        <v>1.112242</v>
      </c>
      <c r="BN298">
        <v>19.3</v>
      </c>
      <c r="BO298">
        <v>0.33206000000000002</v>
      </c>
      <c r="BP298">
        <v>1.2346360000000001</v>
      </c>
      <c r="BQ298">
        <v>9.0202299999999997</v>
      </c>
      <c r="BR298">
        <v>0.66500000000000004</v>
      </c>
      <c r="BS298">
        <v>0.42333300000000001</v>
      </c>
      <c r="BT298">
        <v>8.42483</v>
      </c>
      <c r="BU298">
        <v>4.9433790000000002</v>
      </c>
      <c r="BV298">
        <v>0.88212900000000005</v>
      </c>
      <c r="BW298">
        <v>-0.83403400000000005</v>
      </c>
      <c r="BX298">
        <v>0.58676300000000003</v>
      </c>
      <c r="BY298">
        <v>0.17844699999999999</v>
      </c>
      <c r="BZ298">
        <v>-0.16871700000000001</v>
      </c>
      <c r="CA298">
        <v>-0.44</v>
      </c>
      <c r="CB298">
        <v>-0.21</v>
      </c>
      <c r="CC298">
        <v>-0.13</v>
      </c>
      <c r="CD298">
        <v>-0.01</v>
      </c>
      <c r="CE298">
        <v>0.05</v>
      </c>
      <c r="CF298">
        <v>0.09</v>
      </c>
      <c r="CG298">
        <v>0.18</v>
      </c>
      <c r="CH298">
        <v>0.37</v>
      </c>
      <c r="CI298">
        <v>13.06</v>
      </c>
      <c r="CJ298">
        <v>18.780000999999999</v>
      </c>
      <c r="CK298">
        <v>19.350000000000001</v>
      </c>
      <c r="CL298">
        <v>19.850000000000001</v>
      </c>
      <c r="CM298">
        <v>20.709999</v>
      </c>
      <c r="CN298">
        <v>21.224501</v>
      </c>
      <c r="CO298">
        <v>22.43</v>
      </c>
      <c r="CP298">
        <v>0.379297</v>
      </c>
      <c r="CQ298">
        <v>12.600125999999999</v>
      </c>
      <c r="CR298">
        <v>14.565071</v>
      </c>
      <c r="CS298">
        <v>1</v>
      </c>
      <c r="CT298">
        <v>42</v>
      </c>
      <c r="CU298">
        <v>12.798731</v>
      </c>
      <c r="CV298">
        <v>1</v>
      </c>
      <c r="CW298">
        <v>9.4970470000000002</v>
      </c>
      <c r="CX298">
        <v>90.193894999999998</v>
      </c>
      <c r="CY298">
        <v>0.74202999999999997</v>
      </c>
      <c r="CZ298">
        <v>13</v>
      </c>
      <c r="DA298">
        <v>0.77686200000000005</v>
      </c>
      <c r="DB298">
        <v>2.6819839999999999</v>
      </c>
      <c r="DC298">
        <v>7.7155709999999997</v>
      </c>
      <c r="DD298">
        <v>12.798731</v>
      </c>
      <c r="DE298">
        <v>5.2748910000000002</v>
      </c>
      <c r="DF298">
        <v>1.033962</v>
      </c>
      <c r="DG298">
        <v>0.39422099999999999</v>
      </c>
      <c r="DH298">
        <v>0.41214200000000001</v>
      </c>
      <c r="DI298">
        <v>0.196016</v>
      </c>
      <c r="DJ298">
        <v>7.4734999999999996E-2</v>
      </c>
      <c r="DK298">
        <v>1</v>
      </c>
      <c r="DL298">
        <v>1</v>
      </c>
      <c r="DM298">
        <v>2</v>
      </c>
      <c r="DN298">
        <v>4</v>
      </c>
      <c r="DO298">
        <v>5</v>
      </c>
      <c r="DP298">
        <v>6</v>
      </c>
      <c r="DQ298">
        <v>9</v>
      </c>
      <c r="DR298">
        <v>11</v>
      </c>
      <c r="DS298">
        <v>13</v>
      </c>
      <c r="DT298">
        <v>16</v>
      </c>
      <c r="DU298">
        <v>18</v>
      </c>
      <c r="DV298">
        <v>21</v>
      </c>
      <c r="DW298">
        <v>28</v>
      </c>
      <c r="DX298">
        <v>32</v>
      </c>
      <c r="DY298">
        <v>36</v>
      </c>
      <c r="DZ298">
        <v>73.704713999999996</v>
      </c>
      <c r="EA298">
        <v>47.144151999999998</v>
      </c>
      <c r="EB298">
        <v>81.028437999999994</v>
      </c>
      <c r="EC298">
        <v>1892</v>
      </c>
      <c r="ED298">
        <v>2080</v>
      </c>
      <c r="EE298">
        <v>70.938839000000002</v>
      </c>
      <c r="EF298">
        <v>96.883521999999999</v>
      </c>
      <c r="EG298">
        <v>43.563009999999998</v>
      </c>
      <c r="EH298">
        <v>75.022665000000003</v>
      </c>
      <c r="EI298">
        <v>74.873392999999993</v>
      </c>
      <c r="EJ298">
        <v>128.94429299999999</v>
      </c>
      <c r="EK298">
        <v>1821</v>
      </c>
      <c r="EL298">
        <v>2487</v>
      </c>
      <c r="EM298">
        <v>1922</v>
      </c>
      <c r="EN298">
        <v>3310</v>
      </c>
      <c r="EO298">
        <v>2567</v>
      </c>
      <c r="EP298">
        <v>4412</v>
      </c>
      <c r="EQ298">
        <v>36.700285000000001</v>
      </c>
    </row>
    <row r="299" spans="1:147" x14ac:dyDescent="0.25">
      <c r="A299">
        <v>2022</v>
      </c>
      <c r="B299" t="str">
        <f t="shared" si="8"/>
        <v>RD</v>
      </c>
      <c r="C299" t="s">
        <v>1575</v>
      </c>
      <c r="D299" t="s">
        <v>1575</v>
      </c>
      <c r="E299">
        <v>27130</v>
      </c>
      <c r="F299" t="s">
        <v>1576</v>
      </c>
      <c r="G299" t="s">
        <v>1577</v>
      </c>
      <c r="H299" t="s">
        <v>1578</v>
      </c>
      <c r="I299">
        <v>46</v>
      </c>
      <c r="J299">
        <v>46</v>
      </c>
      <c r="K299" t="s">
        <v>219</v>
      </c>
      <c r="L299">
        <v>1</v>
      </c>
      <c r="M299">
        <v>2019</v>
      </c>
      <c r="N299">
        <v>2</v>
      </c>
      <c r="O299" t="str">
        <f t="shared" si="9"/>
        <v>Talhadia</v>
      </c>
      <c r="P299" s="2">
        <v>43672</v>
      </c>
      <c r="Q299" t="s">
        <v>237</v>
      </c>
      <c r="R299" t="s">
        <v>165</v>
      </c>
      <c r="S299" t="s">
        <v>154</v>
      </c>
      <c r="T299" t="s">
        <v>221</v>
      </c>
      <c r="U299" t="s">
        <v>156</v>
      </c>
      <c r="V299" s="2">
        <v>44810</v>
      </c>
      <c r="W299" t="s">
        <v>1579</v>
      </c>
      <c r="X299">
        <v>373.12</v>
      </c>
      <c r="Y299">
        <v>19.100000000000001</v>
      </c>
      <c r="Z299">
        <v>8</v>
      </c>
      <c r="AA299">
        <v>15.3</v>
      </c>
      <c r="AB299">
        <v>6</v>
      </c>
      <c r="AC299">
        <v>292.23</v>
      </c>
      <c r="AD299">
        <v>287.80075073471198</v>
      </c>
      <c r="AE299" s="2">
        <v>44810</v>
      </c>
      <c r="AF299">
        <v>38</v>
      </c>
      <c r="AG299">
        <v>3.1156741957563301</v>
      </c>
      <c r="AH299">
        <v>23.073983368539899</v>
      </c>
      <c r="AI299">
        <v>13.593548387096799</v>
      </c>
      <c r="AJ299">
        <v>16.211962123077601</v>
      </c>
      <c r="AK299">
        <v>31</v>
      </c>
      <c r="AL299">
        <v>1077.13409088967</v>
      </c>
      <c r="AM299">
        <v>172.55321458248099</v>
      </c>
      <c r="AN299">
        <v>0.16019659580169701</v>
      </c>
      <c r="AO299" t="s">
        <v>165</v>
      </c>
      <c r="AP299" t="s">
        <v>264</v>
      </c>
      <c r="AQ299" t="s">
        <v>294</v>
      </c>
      <c r="AR299">
        <v>7.5</v>
      </c>
      <c r="AS299">
        <v>0.80785056816725631</v>
      </c>
      <c r="AT299" t="s">
        <v>1580</v>
      </c>
      <c r="AU299" t="s">
        <v>1581</v>
      </c>
      <c r="AV299">
        <v>9845</v>
      </c>
      <c r="AW299">
        <v>5523</v>
      </c>
      <c r="AX299">
        <v>3840</v>
      </c>
      <c r="AY299">
        <v>460</v>
      </c>
      <c r="AZ299">
        <v>22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-1.28</v>
      </c>
      <c r="BH299">
        <v>27.690000999999999</v>
      </c>
      <c r="BI299">
        <v>10.624434000000001</v>
      </c>
      <c r="BJ299">
        <v>-0.360317</v>
      </c>
      <c r="BK299">
        <v>10.612007999999999</v>
      </c>
      <c r="BL299">
        <v>112.614724</v>
      </c>
      <c r="BM299">
        <v>0.99883100000000002</v>
      </c>
      <c r="BN299">
        <v>21.899999000000001</v>
      </c>
      <c r="BO299">
        <v>0.146734</v>
      </c>
      <c r="BP299">
        <v>1.166812</v>
      </c>
      <c r="BQ299">
        <v>10.272380999999999</v>
      </c>
      <c r="BR299">
        <v>6.19</v>
      </c>
      <c r="BS299">
        <v>6.3003169999999997</v>
      </c>
      <c r="BT299">
        <v>10.624434000000001</v>
      </c>
      <c r="BU299">
        <v>5.7204050000000004</v>
      </c>
      <c r="BV299">
        <v>0.55013800000000002</v>
      </c>
      <c r="BW299">
        <v>-1.0449550000000001</v>
      </c>
      <c r="BX299">
        <v>0.53842000000000001</v>
      </c>
      <c r="BY299">
        <v>9.6171000000000006E-2</v>
      </c>
      <c r="BZ299">
        <v>-0.182672</v>
      </c>
      <c r="CA299">
        <v>-0.46</v>
      </c>
      <c r="CB299">
        <v>-0.19</v>
      </c>
      <c r="CC299">
        <v>-0.1</v>
      </c>
      <c r="CD299">
        <v>0.01</v>
      </c>
      <c r="CE299">
        <v>0.06</v>
      </c>
      <c r="CF299">
        <v>0.11</v>
      </c>
      <c r="CG299">
        <v>0.25</v>
      </c>
      <c r="CH299">
        <v>5.94</v>
      </c>
      <c r="CI299">
        <v>18.600000000000001</v>
      </c>
      <c r="CJ299">
        <v>21.370000999999998</v>
      </c>
      <c r="CK299">
        <v>21.959999</v>
      </c>
      <c r="CL299">
        <v>22.530000999999999</v>
      </c>
      <c r="CM299">
        <v>23.700001</v>
      </c>
      <c r="CN299">
        <v>24.440000999999999</v>
      </c>
      <c r="CO299">
        <v>25.790001</v>
      </c>
      <c r="CP299">
        <v>0.41092299999999998</v>
      </c>
      <c r="CQ299">
        <v>15.016054</v>
      </c>
      <c r="CR299">
        <v>17.058214</v>
      </c>
      <c r="CS299">
        <v>1</v>
      </c>
      <c r="CT299">
        <v>54</v>
      </c>
      <c r="CU299">
        <v>11.802844</v>
      </c>
      <c r="CV299">
        <v>1</v>
      </c>
      <c r="CW299">
        <v>9.0046510000000008</v>
      </c>
      <c r="CX299">
        <v>81.083737999999997</v>
      </c>
      <c r="CY299">
        <v>0.76292199999999999</v>
      </c>
      <c r="CZ299">
        <v>11</v>
      </c>
      <c r="DA299">
        <v>1.217911</v>
      </c>
      <c r="DB299">
        <v>4.4867850000000002</v>
      </c>
      <c r="DC299">
        <v>6.9090470000000002</v>
      </c>
      <c r="DD299">
        <v>11.802844</v>
      </c>
      <c r="DE299">
        <v>4.8245060000000004</v>
      </c>
      <c r="DF299">
        <v>1.097734</v>
      </c>
      <c r="DG299">
        <v>0.65472799999999998</v>
      </c>
      <c r="DH299">
        <v>0.40875800000000001</v>
      </c>
      <c r="DI299">
        <v>0.22753300000000001</v>
      </c>
      <c r="DJ299">
        <v>0.135709</v>
      </c>
      <c r="DK299">
        <v>1</v>
      </c>
      <c r="DL299">
        <v>1</v>
      </c>
      <c r="DM299">
        <v>2</v>
      </c>
      <c r="DN299">
        <v>4</v>
      </c>
      <c r="DO299">
        <v>5</v>
      </c>
      <c r="DP299">
        <v>6</v>
      </c>
      <c r="DQ299">
        <v>8</v>
      </c>
      <c r="DR299">
        <v>10</v>
      </c>
      <c r="DS299">
        <v>12</v>
      </c>
      <c r="DT299">
        <v>14</v>
      </c>
      <c r="DU299">
        <v>16</v>
      </c>
      <c r="DV299">
        <v>18</v>
      </c>
      <c r="DW299">
        <v>24</v>
      </c>
      <c r="DX299">
        <v>31</v>
      </c>
      <c r="DY299">
        <v>41</v>
      </c>
      <c r="DZ299">
        <v>84.410646</v>
      </c>
      <c r="EA299">
        <v>54.718131</v>
      </c>
      <c r="EB299">
        <v>97.537570000000002</v>
      </c>
      <c r="EC299">
        <v>4662</v>
      </c>
      <c r="ED299">
        <v>5387</v>
      </c>
      <c r="EE299">
        <v>80.735107999999997</v>
      </c>
      <c r="EF299">
        <v>100</v>
      </c>
      <c r="EG299">
        <v>47.841543999999999</v>
      </c>
      <c r="EH299">
        <v>98.354495</v>
      </c>
      <c r="EI299">
        <v>85.279739000000006</v>
      </c>
      <c r="EJ299">
        <v>175.321383</v>
      </c>
      <c r="EK299">
        <v>4459</v>
      </c>
      <c r="EL299">
        <v>5523</v>
      </c>
      <c r="EM299">
        <v>4710</v>
      </c>
      <c r="EN299">
        <v>9683</v>
      </c>
      <c r="EO299">
        <v>5523</v>
      </c>
      <c r="EP299">
        <v>9845</v>
      </c>
      <c r="EQ299">
        <v>40.322085000000001</v>
      </c>
    </row>
    <row r="300" spans="1:147" x14ac:dyDescent="0.25">
      <c r="A300">
        <v>2022</v>
      </c>
      <c r="B300" t="str">
        <f t="shared" si="8"/>
        <v>RD</v>
      </c>
      <c r="C300" t="s">
        <v>1582</v>
      </c>
      <c r="D300" t="s">
        <v>1582</v>
      </c>
      <c r="E300">
        <v>27135</v>
      </c>
      <c r="F300" t="s">
        <v>1576</v>
      </c>
      <c r="G300" t="s">
        <v>1577</v>
      </c>
      <c r="H300" t="s">
        <v>1583</v>
      </c>
      <c r="I300">
        <v>43.02</v>
      </c>
      <c r="J300">
        <v>43.02</v>
      </c>
      <c r="K300" t="s">
        <v>219</v>
      </c>
      <c r="L300">
        <v>1</v>
      </c>
      <c r="M300">
        <v>2019</v>
      </c>
      <c r="N300">
        <v>2</v>
      </c>
      <c r="O300" t="str">
        <f t="shared" si="9"/>
        <v>Talhadia</v>
      </c>
      <c r="P300" s="2">
        <v>43630</v>
      </c>
      <c r="Q300" t="s">
        <v>237</v>
      </c>
      <c r="R300" t="s">
        <v>515</v>
      </c>
      <c r="S300" t="s">
        <v>154</v>
      </c>
      <c r="T300" t="s">
        <v>221</v>
      </c>
      <c r="U300" t="s">
        <v>156</v>
      </c>
      <c r="V300" s="2">
        <v>44810</v>
      </c>
      <c r="W300" t="s">
        <v>1579</v>
      </c>
      <c r="X300">
        <v>373.12</v>
      </c>
      <c r="Y300">
        <v>19.600000000000001</v>
      </c>
      <c r="Z300">
        <v>23</v>
      </c>
      <c r="AA300">
        <v>15.2</v>
      </c>
      <c r="AB300">
        <v>1</v>
      </c>
      <c r="AC300">
        <v>297.92</v>
      </c>
      <c r="AD300">
        <v>274.19503834671099</v>
      </c>
      <c r="AE300" s="2">
        <v>44810</v>
      </c>
      <c r="AF300">
        <v>39</v>
      </c>
      <c r="AG300">
        <v>3.23066392881588</v>
      </c>
      <c r="AH300">
        <v>19.2527092342531</v>
      </c>
      <c r="AI300">
        <v>13.036666666666701</v>
      </c>
      <c r="AJ300">
        <v>14.8224959833</v>
      </c>
      <c r="AK300">
        <v>30</v>
      </c>
      <c r="AL300">
        <v>1094.1117016882699</v>
      </c>
      <c r="AM300">
        <v>125.51707589278099</v>
      </c>
      <c r="AN300">
        <v>0.114720531458627</v>
      </c>
      <c r="AO300" t="s">
        <v>515</v>
      </c>
      <c r="AP300" t="s">
        <v>264</v>
      </c>
      <c r="AQ300" t="s">
        <v>294</v>
      </c>
      <c r="AR300">
        <v>7.5</v>
      </c>
      <c r="AS300">
        <v>0.82058377626620138</v>
      </c>
      <c r="AT300" t="s">
        <v>1584</v>
      </c>
      <c r="AU300" t="s">
        <v>1585</v>
      </c>
      <c r="AV300">
        <v>4414</v>
      </c>
      <c r="AW300">
        <v>2629</v>
      </c>
      <c r="AX300">
        <v>1705</v>
      </c>
      <c r="AY300">
        <v>78</v>
      </c>
      <c r="AZ300">
        <v>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-0.86</v>
      </c>
      <c r="BH300">
        <v>21.280000999999999</v>
      </c>
      <c r="BI300">
        <v>8.7512229999999995</v>
      </c>
      <c r="BJ300">
        <v>-0.157143</v>
      </c>
      <c r="BK300">
        <v>8.5976189999999999</v>
      </c>
      <c r="BL300">
        <v>73.919058000000007</v>
      </c>
      <c r="BM300">
        <v>0.98244799999999999</v>
      </c>
      <c r="BN300">
        <v>17.787500999999999</v>
      </c>
      <c r="BO300">
        <v>0.175457</v>
      </c>
      <c r="BP300">
        <v>1.131669</v>
      </c>
      <c r="BQ300">
        <v>8.3742959999999993</v>
      </c>
      <c r="BR300">
        <v>4.2350000000000003</v>
      </c>
      <c r="BS300">
        <v>4.2321419999999996</v>
      </c>
      <c r="BT300">
        <v>8.7512229999999995</v>
      </c>
      <c r="BU300">
        <v>4.6049069999999999</v>
      </c>
      <c r="BV300">
        <v>0.38394400000000001</v>
      </c>
      <c r="BW300">
        <v>-0.86899300000000002</v>
      </c>
      <c r="BX300">
        <v>0.52620199999999995</v>
      </c>
      <c r="BY300">
        <v>8.3377000000000007E-2</v>
      </c>
      <c r="BZ300">
        <v>-0.18870999999999999</v>
      </c>
      <c r="CA300">
        <v>-0.33</v>
      </c>
      <c r="CB300">
        <v>-0.14000000000000001</v>
      </c>
      <c r="CC300">
        <v>-2.7E-2</v>
      </c>
      <c r="CD300">
        <v>0.14000000000000001</v>
      </c>
      <c r="CE300">
        <v>0.2525</v>
      </c>
      <c r="CF300">
        <v>0.39</v>
      </c>
      <c r="CG300">
        <v>1.22</v>
      </c>
      <c r="CH300">
        <v>4.0750000000000002</v>
      </c>
      <c r="CI300">
        <v>16.860001</v>
      </c>
      <c r="CJ300">
        <v>17.719999000000001</v>
      </c>
      <c r="CK300">
        <v>18.040001</v>
      </c>
      <c r="CL300">
        <v>18.360001</v>
      </c>
      <c r="CM300">
        <v>19.097000000000001</v>
      </c>
      <c r="CN300">
        <v>19.629999000000002</v>
      </c>
      <c r="CO300">
        <v>20.318701000000001</v>
      </c>
      <c r="CP300">
        <v>0.43411100000000002</v>
      </c>
      <c r="CQ300">
        <v>12.267283000000001</v>
      </c>
      <c r="CR300">
        <v>13.962297</v>
      </c>
      <c r="CS300">
        <v>1</v>
      </c>
      <c r="CT300">
        <v>49</v>
      </c>
      <c r="CU300">
        <v>13.568419</v>
      </c>
      <c r="CV300">
        <v>1</v>
      </c>
      <c r="CW300">
        <v>9.0220769999999995</v>
      </c>
      <c r="CX300">
        <v>81.397878000000006</v>
      </c>
      <c r="CY300">
        <v>0.66493199999999997</v>
      </c>
      <c r="CZ300">
        <v>13</v>
      </c>
      <c r="DA300">
        <v>0.76833499999999999</v>
      </c>
      <c r="DB300">
        <v>3.3077230000000002</v>
      </c>
      <c r="DC300">
        <v>7.2764239999999996</v>
      </c>
      <c r="DD300">
        <v>13.568419</v>
      </c>
      <c r="DE300">
        <v>5.0237410000000002</v>
      </c>
      <c r="DF300">
        <v>0.74785199999999996</v>
      </c>
      <c r="DG300">
        <v>0.46501999999999999</v>
      </c>
      <c r="DH300">
        <v>0.37025200000000003</v>
      </c>
      <c r="DI300">
        <v>0.148864</v>
      </c>
      <c r="DJ300">
        <v>9.2563999999999994E-2</v>
      </c>
      <c r="DK300">
        <v>1</v>
      </c>
      <c r="DL300">
        <v>1</v>
      </c>
      <c r="DM300">
        <v>3</v>
      </c>
      <c r="DN300">
        <v>5</v>
      </c>
      <c r="DO300">
        <v>6</v>
      </c>
      <c r="DP300">
        <v>7</v>
      </c>
      <c r="DQ300">
        <v>10</v>
      </c>
      <c r="DR300">
        <v>12</v>
      </c>
      <c r="DS300">
        <v>15</v>
      </c>
      <c r="DT300">
        <v>18</v>
      </c>
      <c r="DU300">
        <v>19</v>
      </c>
      <c r="DV300">
        <v>21</v>
      </c>
      <c r="DW300">
        <v>26</v>
      </c>
      <c r="DX300">
        <v>31</v>
      </c>
      <c r="DY300">
        <v>39</v>
      </c>
      <c r="DZ300">
        <v>79.497907999999995</v>
      </c>
      <c r="EA300">
        <v>52.401449999999997</v>
      </c>
      <c r="EB300">
        <v>87.980221</v>
      </c>
      <c r="EC300">
        <v>2090</v>
      </c>
      <c r="ED300">
        <v>2313</v>
      </c>
      <c r="EE300">
        <v>75.351844999999997</v>
      </c>
      <c r="EF300">
        <v>99.923924999999997</v>
      </c>
      <c r="EG300">
        <v>45.333030999999998</v>
      </c>
      <c r="EH300">
        <v>95.468962000000005</v>
      </c>
      <c r="EI300">
        <v>76.112589999999997</v>
      </c>
      <c r="EJ300">
        <v>160.28908300000001</v>
      </c>
      <c r="EK300">
        <v>1981</v>
      </c>
      <c r="EL300">
        <v>2627</v>
      </c>
      <c r="EM300">
        <v>2001</v>
      </c>
      <c r="EN300">
        <v>4214</v>
      </c>
      <c r="EO300">
        <v>2629</v>
      </c>
      <c r="EP300">
        <v>4414</v>
      </c>
      <c r="EQ300">
        <v>42.158033000000003</v>
      </c>
    </row>
    <row r="301" spans="1:147" x14ac:dyDescent="0.25">
      <c r="A301">
        <v>2022</v>
      </c>
      <c r="B301" t="str">
        <f t="shared" si="8"/>
        <v>NE</v>
      </c>
      <c r="C301" t="s">
        <v>1586</v>
      </c>
      <c r="D301" t="s">
        <v>1586</v>
      </c>
      <c r="E301">
        <v>27150</v>
      </c>
      <c r="F301" t="s">
        <v>1587</v>
      </c>
      <c r="G301" t="s">
        <v>1588</v>
      </c>
      <c r="H301" t="s">
        <v>1589</v>
      </c>
      <c r="I301">
        <v>35.049999999999997</v>
      </c>
      <c r="J301">
        <v>35.049999999999997</v>
      </c>
      <c r="K301" t="s">
        <v>151</v>
      </c>
      <c r="L301">
        <v>1</v>
      </c>
      <c r="M301">
        <v>2019</v>
      </c>
      <c r="N301">
        <v>4</v>
      </c>
      <c r="O301" t="str">
        <f t="shared" si="9"/>
        <v>Alto fuste</v>
      </c>
      <c r="P301" s="2">
        <v>43572</v>
      </c>
      <c r="Q301" t="s">
        <v>174</v>
      </c>
      <c r="R301" t="s">
        <v>314</v>
      </c>
      <c r="S301" t="s">
        <v>154</v>
      </c>
      <c r="T301" t="s">
        <v>155</v>
      </c>
      <c r="U301" t="s">
        <v>156</v>
      </c>
      <c r="V301" s="2">
        <v>44736</v>
      </c>
      <c r="W301" t="s">
        <v>1590</v>
      </c>
      <c r="X301">
        <v>81.91</v>
      </c>
      <c r="Y301">
        <v>21.5</v>
      </c>
      <c r="Z301">
        <v>16</v>
      </c>
      <c r="AA301">
        <v>16.100000000000001</v>
      </c>
      <c r="AB301">
        <v>2</v>
      </c>
      <c r="AC301">
        <v>346.15</v>
      </c>
      <c r="AD301">
        <v>332.538039383002</v>
      </c>
      <c r="AE301" s="2">
        <v>44736</v>
      </c>
      <c r="AF301">
        <v>38</v>
      </c>
      <c r="AG301">
        <v>3.1868583162217701</v>
      </c>
      <c r="AH301">
        <v>22.229965932225401</v>
      </c>
      <c r="AI301">
        <v>14.4764705882353</v>
      </c>
      <c r="AJ301">
        <v>17.141591938474399</v>
      </c>
      <c r="AK301">
        <v>34</v>
      </c>
      <c r="AL301">
        <v>1022.4394196551</v>
      </c>
      <c r="AM301">
        <v>166.406389099953</v>
      </c>
      <c r="AN301">
        <v>0.16275427756501001</v>
      </c>
      <c r="AO301" t="s">
        <v>314</v>
      </c>
      <c r="AP301" t="s">
        <v>158</v>
      </c>
      <c r="AQ301" t="s">
        <v>1591</v>
      </c>
      <c r="AR301">
        <v>9</v>
      </c>
      <c r="AS301">
        <v>0.92019547768958632</v>
      </c>
      <c r="AT301" t="s">
        <v>1592</v>
      </c>
      <c r="AU301" t="s">
        <v>1593</v>
      </c>
      <c r="AV301">
        <v>2681</v>
      </c>
      <c r="AW301">
        <v>1620</v>
      </c>
      <c r="AX301">
        <v>1037</v>
      </c>
      <c r="AY301">
        <v>24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-1.3069999999999999</v>
      </c>
      <c r="BH301">
        <v>20.127001</v>
      </c>
      <c r="BI301">
        <v>8.6752109999999991</v>
      </c>
      <c r="BJ301">
        <v>-0.286333</v>
      </c>
      <c r="BK301">
        <v>8.2859529999999992</v>
      </c>
      <c r="BL301">
        <v>68.657025000000004</v>
      </c>
      <c r="BM301">
        <v>0.95513000000000003</v>
      </c>
      <c r="BN301">
        <v>16.774999000000001</v>
      </c>
      <c r="BO301">
        <v>-2.5255E-2</v>
      </c>
      <c r="BP301">
        <v>1.0918129999999999</v>
      </c>
      <c r="BQ301">
        <v>8.1131600000000006</v>
      </c>
      <c r="BR301">
        <v>7.3920000000000003</v>
      </c>
      <c r="BS301">
        <v>11.685333</v>
      </c>
      <c r="BT301">
        <v>8.6752109999999991</v>
      </c>
      <c r="BU301">
        <v>4.4019459999999997</v>
      </c>
      <c r="BV301">
        <v>0.11416800000000001</v>
      </c>
      <c r="BW301">
        <v>-0.869946</v>
      </c>
      <c r="BX301">
        <v>0.50741700000000001</v>
      </c>
      <c r="BY301">
        <v>2.5936000000000001E-2</v>
      </c>
      <c r="BZ301">
        <v>-0.197628</v>
      </c>
      <c r="CA301">
        <v>-0.42580000000000001</v>
      </c>
      <c r="CB301">
        <v>-0.20100000000000001</v>
      </c>
      <c r="CC301">
        <v>-0.109</v>
      </c>
      <c r="CD301">
        <v>-8.9999999999999993E-3</v>
      </c>
      <c r="CE301">
        <v>3.9E-2</v>
      </c>
      <c r="CF301">
        <v>7.8E-2</v>
      </c>
      <c r="CG301">
        <v>0.188</v>
      </c>
      <c r="CH301">
        <v>11.398999999999999</v>
      </c>
      <c r="CI301">
        <v>15.648</v>
      </c>
      <c r="CJ301">
        <v>16.497</v>
      </c>
      <c r="CK301">
        <v>16.813998999999999</v>
      </c>
      <c r="CL301">
        <v>17.158000999999999</v>
      </c>
      <c r="CM301">
        <v>17.933001000000001</v>
      </c>
      <c r="CN301">
        <v>18.568999999999999</v>
      </c>
      <c r="CO301">
        <v>19.337799</v>
      </c>
      <c r="CP301">
        <v>0.46571899999999999</v>
      </c>
      <c r="CQ301">
        <v>11.995445</v>
      </c>
      <c r="CR301">
        <v>13.434438</v>
      </c>
      <c r="CS301">
        <v>1</v>
      </c>
      <c r="CT301">
        <v>48</v>
      </c>
      <c r="CU301">
        <v>13.873182</v>
      </c>
      <c r="CV301">
        <v>13.682539999999999</v>
      </c>
      <c r="CW301">
        <v>9.7668890000000008</v>
      </c>
      <c r="CX301">
        <v>95.392120000000006</v>
      </c>
      <c r="CY301">
        <v>0.70401199999999997</v>
      </c>
      <c r="CZ301">
        <v>11</v>
      </c>
      <c r="DA301">
        <v>1.1004069999999999</v>
      </c>
      <c r="DB301">
        <v>4.0095970000000003</v>
      </c>
      <c r="DC301">
        <v>7.3264440000000004</v>
      </c>
      <c r="DD301">
        <v>13.873182</v>
      </c>
      <c r="DE301">
        <v>5.2508330000000001</v>
      </c>
      <c r="DF301">
        <v>1.050678</v>
      </c>
      <c r="DG301">
        <v>0.82766499999999998</v>
      </c>
      <c r="DH301">
        <v>0.37848799999999999</v>
      </c>
      <c r="DI301">
        <v>0.200097</v>
      </c>
      <c r="DJ301">
        <v>0.15762499999999999</v>
      </c>
      <c r="DK301">
        <v>1</v>
      </c>
      <c r="DL301">
        <v>2</v>
      </c>
      <c r="DM301">
        <v>3</v>
      </c>
      <c r="DN301">
        <v>5</v>
      </c>
      <c r="DO301">
        <v>7</v>
      </c>
      <c r="DP301">
        <v>8</v>
      </c>
      <c r="DQ301">
        <v>11</v>
      </c>
      <c r="DR301">
        <v>13</v>
      </c>
      <c r="DS301">
        <v>15</v>
      </c>
      <c r="DT301">
        <v>17</v>
      </c>
      <c r="DU301">
        <v>18</v>
      </c>
      <c r="DV301">
        <v>19</v>
      </c>
      <c r="DW301">
        <v>28</v>
      </c>
      <c r="DX301">
        <v>37</v>
      </c>
      <c r="DY301">
        <v>42</v>
      </c>
      <c r="DZ301">
        <v>86.666667000000004</v>
      </c>
      <c r="EA301">
        <v>53.599403000000002</v>
      </c>
      <c r="EB301">
        <v>88.703704000000002</v>
      </c>
      <c r="EC301">
        <v>1404</v>
      </c>
      <c r="ED301">
        <v>1437</v>
      </c>
      <c r="EE301">
        <v>85</v>
      </c>
      <c r="EF301">
        <v>100</v>
      </c>
      <c r="EG301">
        <v>51.585228999999998</v>
      </c>
      <c r="EH301">
        <v>97.463633000000002</v>
      </c>
      <c r="EI301">
        <v>85.370369999999994</v>
      </c>
      <c r="EJ301">
        <v>161.29629600000001</v>
      </c>
      <c r="EK301">
        <v>1377</v>
      </c>
      <c r="EL301">
        <v>1620</v>
      </c>
      <c r="EM301">
        <v>1383</v>
      </c>
      <c r="EN301">
        <v>2613</v>
      </c>
      <c r="EO301">
        <v>1620</v>
      </c>
      <c r="EP301">
        <v>2681</v>
      </c>
      <c r="EQ301">
        <v>43.987400000000001</v>
      </c>
    </row>
    <row r="302" spans="1:147" x14ac:dyDescent="0.25">
      <c r="A302">
        <v>2022</v>
      </c>
      <c r="B302" t="str">
        <f t="shared" si="8"/>
        <v>GN</v>
      </c>
      <c r="C302" t="s">
        <v>1594</v>
      </c>
      <c r="D302" t="s">
        <v>1594</v>
      </c>
      <c r="E302">
        <v>27153</v>
      </c>
      <c r="F302" t="s">
        <v>1595</v>
      </c>
      <c r="G302" t="s">
        <v>1596</v>
      </c>
      <c r="H302" t="s">
        <v>1597</v>
      </c>
      <c r="I302">
        <v>42.08</v>
      </c>
      <c r="J302">
        <v>42.08</v>
      </c>
      <c r="K302" t="s">
        <v>279</v>
      </c>
      <c r="L302">
        <v>1</v>
      </c>
      <c r="M302">
        <v>2019</v>
      </c>
      <c r="N302">
        <v>3</v>
      </c>
      <c r="O302" t="str">
        <f t="shared" si="9"/>
        <v>Alto fuste</v>
      </c>
      <c r="P302" s="2">
        <v>43519</v>
      </c>
      <c r="Q302" t="s">
        <v>174</v>
      </c>
      <c r="R302" t="s">
        <v>165</v>
      </c>
      <c r="S302" t="s">
        <v>154</v>
      </c>
      <c r="T302" t="s">
        <v>279</v>
      </c>
      <c r="U302" t="s">
        <v>156</v>
      </c>
      <c r="V302" s="2">
        <v>44742</v>
      </c>
      <c r="W302" t="s">
        <v>1598</v>
      </c>
      <c r="X302">
        <v>144.68</v>
      </c>
      <c r="Y302">
        <v>19.3</v>
      </c>
      <c r="Z302">
        <v>7</v>
      </c>
      <c r="AA302">
        <v>14.5</v>
      </c>
      <c r="AB302">
        <v>2</v>
      </c>
      <c r="AC302">
        <v>279.85000000000002</v>
      </c>
      <c r="AD302">
        <v>277.59483418826198</v>
      </c>
      <c r="AE302" s="2">
        <v>44742</v>
      </c>
      <c r="AF302">
        <v>40</v>
      </c>
      <c r="AG302">
        <v>3.3483915126625599</v>
      </c>
      <c r="AH302">
        <v>21.948452897595399</v>
      </c>
      <c r="AI302">
        <v>14.7928571428571</v>
      </c>
      <c r="AJ302">
        <v>17.518496231902098</v>
      </c>
      <c r="AK302">
        <v>28</v>
      </c>
      <c r="AL302">
        <v>1008.66430320568</v>
      </c>
      <c r="AM302">
        <v>168.866486993671</v>
      </c>
      <c r="AN302">
        <v>0.16741594448915201</v>
      </c>
      <c r="AO302" t="s">
        <v>165</v>
      </c>
      <c r="AP302" t="s">
        <v>158</v>
      </c>
      <c r="AQ302" t="s">
        <v>530</v>
      </c>
      <c r="AR302">
        <v>9</v>
      </c>
      <c r="AS302">
        <v>0.90779787288511349</v>
      </c>
      <c r="AT302" t="s">
        <v>1599</v>
      </c>
      <c r="AU302" t="s">
        <v>1600</v>
      </c>
      <c r="AV302">
        <v>2824</v>
      </c>
      <c r="AW302">
        <v>1835</v>
      </c>
      <c r="AX302">
        <v>908</v>
      </c>
      <c r="AY302">
        <v>78</v>
      </c>
      <c r="AZ302">
        <v>3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-1.1339999999999999</v>
      </c>
      <c r="BH302">
        <v>22.07</v>
      </c>
      <c r="BI302">
        <v>11.244581</v>
      </c>
      <c r="BJ302">
        <v>-2.9048000000000001E-2</v>
      </c>
      <c r="BK302">
        <v>8.9058600000000006</v>
      </c>
      <c r="BL302">
        <v>79.314351000000002</v>
      </c>
      <c r="BM302">
        <v>0.792014</v>
      </c>
      <c r="BN302">
        <v>18.694749999999999</v>
      </c>
      <c r="BO302">
        <v>-0.38854499999999997</v>
      </c>
      <c r="BP302">
        <v>1.2532719999999999</v>
      </c>
      <c r="BQ302">
        <v>8.5480420000000006</v>
      </c>
      <c r="BR302">
        <v>3.0479989999999999</v>
      </c>
      <c r="BS302">
        <v>16.980547000000001</v>
      </c>
      <c r="BT302">
        <v>11.244581</v>
      </c>
      <c r="BU302">
        <v>4.6972399999999999</v>
      </c>
      <c r="BV302">
        <v>-0.62357399999999996</v>
      </c>
      <c r="BW302">
        <v>-0.73536000000000001</v>
      </c>
      <c r="BX302">
        <v>0.41773399999999999</v>
      </c>
      <c r="BY302">
        <v>-0.13275300000000001</v>
      </c>
      <c r="BZ302">
        <v>-0.156552</v>
      </c>
      <c r="CA302">
        <v>-0.41023999999999999</v>
      </c>
      <c r="CB302">
        <v>-0.17185</v>
      </c>
      <c r="CC302">
        <v>-4.7E-2</v>
      </c>
      <c r="CD302">
        <v>7.6600000000000001E-2</v>
      </c>
      <c r="CE302">
        <v>0.14574999999999999</v>
      </c>
      <c r="CF302">
        <v>0.20699999999999999</v>
      </c>
      <c r="CG302">
        <v>10.022993</v>
      </c>
      <c r="CH302">
        <v>16.951499999999999</v>
      </c>
      <c r="CI302">
        <v>17.816599</v>
      </c>
      <c r="CJ302">
        <v>18.488099999999999</v>
      </c>
      <c r="CK302">
        <v>18.840499999999999</v>
      </c>
      <c r="CL302">
        <v>19.202200000000001</v>
      </c>
      <c r="CM302">
        <v>19.9207</v>
      </c>
      <c r="CN302">
        <v>20.458452000000001</v>
      </c>
      <c r="CO302">
        <v>21.287310000000002</v>
      </c>
      <c r="CP302">
        <v>0.53346800000000005</v>
      </c>
      <c r="CQ302">
        <v>14.343182000000001</v>
      </c>
      <c r="CR302">
        <v>15.635012</v>
      </c>
      <c r="CS302">
        <v>1</v>
      </c>
      <c r="CT302">
        <v>49</v>
      </c>
      <c r="CU302">
        <v>13.970255</v>
      </c>
      <c r="CV302">
        <v>17.761904999999999</v>
      </c>
      <c r="CW302">
        <v>8.7030250000000002</v>
      </c>
      <c r="CX302">
        <v>75.742649999999998</v>
      </c>
      <c r="CY302">
        <v>0.62296799999999997</v>
      </c>
      <c r="CZ302">
        <v>12</v>
      </c>
      <c r="DA302">
        <v>0.694299</v>
      </c>
      <c r="DB302">
        <v>3.6257290000000002</v>
      </c>
      <c r="DC302">
        <v>6.8616820000000001</v>
      </c>
      <c r="DD302">
        <v>13.970255</v>
      </c>
      <c r="DE302">
        <v>4.8260269999999998</v>
      </c>
      <c r="DF302">
        <v>0.46122299999999999</v>
      </c>
      <c r="DG302">
        <v>0.54883199999999999</v>
      </c>
      <c r="DH302">
        <v>0.34544999999999998</v>
      </c>
      <c r="DI302">
        <v>9.5570000000000002E-2</v>
      </c>
      <c r="DJ302">
        <v>0.113723</v>
      </c>
      <c r="DK302">
        <v>1</v>
      </c>
      <c r="DL302">
        <v>1</v>
      </c>
      <c r="DM302">
        <v>3</v>
      </c>
      <c r="DN302">
        <v>6</v>
      </c>
      <c r="DO302">
        <v>7</v>
      </c>
      <c r="DP302">
        <v>9</v>
      </c>
      <c r="DQ302">
        <v>11</v>
      </c>
      <c r="DR302">
        <v>14</v>
      </c>
      <c r="DS302">
        <v>16</v>
      </c>
      <c r="DT302">
        <v>18</v>
      </c>
      <c r="DU302">
        <v>19</v>
      </c>
      <c r="DV302">
        <v>20</v>
      </c>
      <c r="DW302">
        <v>24</v>
      </c>
      <c r="DX302">
        <v>30</v>
      </c>
      <c r="DY302">
        <v>40</v>
      </c>
      <c r="DZ302">
        <v>92.043597000000005</v>
      </c>
      <c r="EA302">
        <v>62.783285999999997</v>
      </c>
      <c r="EB302">
        <v>96.621252999999996</v>
      </c>
      <c r="EC302">
        <v>1689</v>
      </c>
      <c r="ED302">
        <v>1773</v>
      </c>
      <c r="EE302">
        <v>89.972752</v>
      </c>
      <c r="EF302">
        <v>99.673024999999996</v>
      </c>
      <c r="EG302">
        <v>59.277619999999999</v>
      </c>
      <c r="EH302">
        <v>88.668554999999998</v>
      </c>
      <c r="EI302">
        <v>91.226157999999998</v>
      </c>
      <c r="EJ302">
        <v>136.45776599999999</v>
      </c>
      <c r="EK302">
        <v>1651</v>
      </c>
      <c r="EL302">
        <v>1829</v>
      </c>
      <c r="EM302">
        <v>1674</v>
      </c>
      <c r="EN302">
        <v>2504</v>
      </c>
      <c r="EO302">
        <v>1835</v>
      </c>
      <c r="EP302">
        <v>2824</v>
      </c>
      <c r="EQ302">
        <v>51.896720000000002</v>
      </c>
    </row>
    <row r="303" spans="1:147" x14ac:dyDescent="0.25">
      <c r="A303">
        <v>2022</v>
      </c>
      <c r="B303" t="str">
        <f t="shared" si="8"/>
        <v>GN</v>
      </c>
      <c r="C303" t="s">
        <v>1601</v>
      </c>
      <c r="D303" t="s">
        <v>1601</v>
      </c>
      <c r="E303">
        <v>27154</v>
      </c>
      <c r="F303" t="s">
        <v>1595</v>
      </c>
      <c r="G303" t="s">
        <v>1596</v>
      </c>
      <c r="H303" t="s">
        <v>1597</v>
      </c>
      <c r="I303">
        <v>42.08</v>
      </c>
      <c r="J303">
        <v>42.08</v>
      </c>
      <c r="K303" t="s">
        <v>279</v>
      </c>
      <c r="L303">
        <v>1</v>
      </c>
      <c r="M303">
        <v>2019</v>
      </c>
      <c r="N303">
        <v>3</v>
      </c>
      <c r="O303" t="str">
        <f t="shared" si="9"/>
        <v>Alto fuste</v>
      </c>
      <c r="P303" s="2">
        <v>43519</v>
      </c>
      <c r="Q303" t="s">
        <v>174</v>
      </c>
      <c r="R303" t="s">
        <v>165</v>
      </c>
      <c r="S303" t="s">
        <v>154</v>
      </c>
      <c r="T303" t="s">
        <v>279</v>
      </c>
      <c r="U303" t="s">
        <v>156</v>
      </c>
      <c r="V303" s="2">
        <v>44742</v>
      </c>
      <c r="W303" t="s">
        <v>1598</v>
      </c>
      <c r="X303">
        <v>144.68</v>
      </c>
      <c r="Y303">
        <v>18.899999999999999</v>
      </c>
      <c r="Z303">
        <v>17</v>
      </c>
      <c r="AA303">
        <v>15</v>
      </c>
      <c r="AB303">
        <v>1</v>
      </c>
      <c r="AC303">
        <v>283.5</v>
      </c>
      <c r="AD303">
        <v>271.07110658409499</v>
      </c>
      <c r="AE303" s="2">
        <v>44742</v>
      </c>
      <c r="AF303">
        <v>40</v>
      </c>
      <c r="AG303">
        <v>3.3483915126625599</v>
      </c>
      <c r="AH303">
        <v>21.439669247432899</v>
      </c>
      <c r="AI303">
        <v>13.747999999999999</v>
      </c>
      <c r="AJ303">
        <v>13.876894817663301</v>
      </c>
      <c r="AK303">
        <v>25</v>
      </c>
      <c r="AL303">
        <v>922.26723515603499</v>
      </c>
      <c r="AM303">
        <v>132.28058277843999</v>
      </c>
      <c r="AN303">
        <v>0.143429775813363</v>
      </c>
      <c r="AO303" t="s">
        <v>165</v>
      </c>
      <c r="AP303" t="s">
        <v>158</v>
      </c>
      <c r="AQ303" t="s">
        <v>530</v>
      </c>
      <c r="AR303">
        <v>9</v>
      </c>
      <c r="AS303">
        <v>0.83004051164043102</v>
      </c>
      <c r="AT303" t="s">
        <v>1602</v>
      </c>
      <c r="AU303" t="s">
        <v>1603</v>
      </c>
      <c r="AV303">
        <v>2918</v>
      </c>
      <c r="AW303">
        <v>1797</v>
      </c>
      <c r="AX303">
        <v>1099</v>
      </c>
      <c r="AY303">
        <v>22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-1.4510000000000001</v>
      </c>
      <c r="BH303">
        <v>21.448999000000001</v>
      </c>
      <c r="BI303">
        <v>9.2767809999999997</v>
      </c>
      <c r="BJ303">
        <v>2.9680000000000002E-3</v>
      </c>
      <c r="BK303">
        <v>8.7521989999999992</v>
      </c>
      <c r="BL303">
        <v>76.600982000000002</v>
      </c>
      <c r="BM303">
        <v>0.94345199999999996</v>
      </c>
      <c r="BN303">
        <v>17.541248</v>
      </c>
      <c r="BO303">
        <v>-4.8809999999999999E-2</v>
      </c>
      <c r="BP303">
        <v>1.078325</v>
      </c>
      <c r="BQ303">
        <v>8.6444659999999995</v>
      </c>
      <c r="BR303">
        <v>5.5164999999999997</v>
      </c>
      <c r="BS303">
        <v>14.596532</v>
      </c>
      <c r="BT303">
        <v>9.2767809999999997</v>
      </c>
      <c r="BU303">
        <v>4.6249840000000004</v>
      </c>
      <c r="BV303">
        <v>0.105268</v>
      </c>
      <c r="BW303">
        <v>-0.88875499999999996</v>
      </c>
      <c r="BX303">
        <v>0.49855500000000003</v>
      </c>
      <c r="BY303">
        <v>2.2761E-2</v>
      </c>
      <c r="BZ303">
        <v>-0.192164</v>
      </c>
      <c r="CA303">
        <v>-0.32962000000000002</v>
      </c>
      <c r="CB303">
        <v>-0.108</v>
      </c>
      <c r="CC303">
        <v>-8.0000000000000002E-3</v>
      </c>
      <c r="CD303">
        <v>9.2399999999999996E-2</v>
      </c>
      <c r="CE303">
        <v>0.13900000000000001</v>
      </c>
      <c r="CF303">
        <v>0.19</v>
      </c>
      <c r="CG303">
        <v>0.31900000000000001</v>
      </c>
      <c r="CH303">
        <v>14.599500000000001</v>
      </c>
      <c r="CI303">
        <v>16.232400999999999</v>
      </c>
      <c r="CJ303">
        <v>17.195900000000002</v>
      </c>
      <c r="CK303">
        <v>17.680247999999999</v>
      </c>
      <c r="CL303">
        <v>18.1252</v>
      </c>
      <c r="CM303">
        <v>19.1402</v>
      </c>
      <c r="CN303">
        <v>19.771298999999999</v>
      </c>
      <c r="CO303">
        <v>20.500319999999999</v>
      </c>
      <c r="CP303">
        <v>0.46846199999999999</v>
      </c>
      <c r="CQ303">
        <v>12.75278</v>
      </c>
      <c r="CR303">
        <v>14.255076000000001</v>
      </c>
      <c r="CS303">
        <v>1</v>
      </c>
      <c r="CT303">
        <v>57</v>
      </c>
      <c r="CU303">
        <v>17.092872</v>
      </c>
      <c r="CV303">
        <v>15.222222</v>
      </c>
      <c r="CW303">
        <v>11.987821</v>
      </c>
      <c r="CX303">
        <v>143.70786100000001</v>
      </c>
      <c r="CY303">
        <v>0.70133500000000004</v>
      </c>
      <c r="CZ303">
        <v>12</v>
      </c>
      <c r="DA303">
        <v>1.1132740000000001</v>
      </c>
      <c r="DB303">
        <v>3.7670409999999999</v>
      </c>
      <c r="DC303">
        <v>8.9597069999999999</v>
      </c>
      <c r="DD303">
        <v>17.092872</v>
      </c>
      <c r="DE303">
        <v>6.4160019999999998</v>
      </c>
      <c r="DF303">
        <v>1.441505</v>
      </c>
      <c r="DG303">
        <v>1.0651360000000001</v>
      </c>
      <c r="DH303">
        <v>0.375361</v>
      </c>
      <c r="DI303">
        <v>0.22467300000000001</v>
      </c>
      <c r="DJ303">
        <v>0.16601199999999999</v>
      </c>
      <c r="DK303">
        <v>1</v>
      </c>
      <c r="DL303">
        <v>2</v>
      </c>
      <c r="DM303">
        <v>4</v>
      </c>
      <c r="DN303">
        <v>7</v>
      </c>
      <c r="DO303">
        <v>9</v>
      </c>
      <c r="DP303">
        <v>10</v>
      </c>
      <c r="DQ303">
        <v>13</v>
      </c>
      <c r="DR303">
        <v>15</v>
      </c>
      <c r="DS303">
        <v>17</v>
      </c>
      <c r="DT303">
        <v>19</v>
      </c>
      <c r="DU303">
        <v>21</v>
      </c>
      <c r="DV303">
        <v>23</v>
      </c>
      <c r="DW303">
        <v>38</v>
      </c>
      <c r="DX303">
        <v>44</v>
      </c>
      <c r="DY303">
        <v>51</v>
      </c>
      <c r="DZ303">
        <v>84.195881999999997</v>
      </c>
      <c r="EA303">
        <v>52.707334000000003</v>
      </c>
      <c r="EB303">
        <v>85.587090000000003</v>
      </c>
      <c r="EC303">
        <v>1513</v>
      </c>
      <c r="ED303">
        <v>1538</v>
      </c>
      <c r="EE303">
        <v>84.195881999999997</v>
      </c>
      <c r="EF303">
        <v>99.499165000000005</v>
      </c>
      <c r="EG303">
        <v>52.707334000000003</v>
      </c>
      <c r="EH303">
        <v>89.033585000000002</v>
      </c>
      <c r="EI303">
        <v>85.587090000000003</v>
      </c>
      <c r="EJ303">
        <v>144.57428999999999</v>
      </c>
      <c r="EK303">
        <v>1513</v>
      </c>
      <c r="EL303">
        <v>1788</v>
      </c>
      <c r="EM303">
        <v>1538</v>
      </c>
      <c r="EN303">
        <v>2598</v>
      </c>
      <c r="EO303">
        <v>1797</v>
      </c>
      <c r="EP303">
        <v>2918</v>
      </c>
      <c r="EQ303">
        <v>44.211222999999997</v>
      </c>
    </row>
    <row r="304" spans="1:147" x14ac:dyDescent="0.25">
      <c r="A304">
        <v>2022</v>
      </c>
      <c r="B304" t="str">
        <f t="shared" si="8"/>
        <v>NE</v>
      </c>
      <c r="C304" t="s">
        <v>1604</v>
      </c>
      <c r="D304" t="s">
        <v>1604</v>
      </c>
      <c r="E304">
        <v>27155</v>
      </c>
      <c r="F304" t="s">
        <v>1605</v>
      </c>
      <c r="G304" t="s">
        <v>1588</v>
      </c>
      <c r="H304" t="s">
        <v>1606</v>
      </c>
      <c r="I304">
        <v>42.03</v>
      </c>
      <c r="J304">
        <v>42.03</v>
      </c>
      <c r="K304" t="s">
        <v>151</v>
      </c>
      <c r="L304">
        <v>1</v>
      </c>
      <c r="M304">
        <v>2019</v>
      </c>
      <c r="N304">
        <v>3</v>
      </c>
      <c r="O304" t="str">
        <f t="shared" si="9"/>
        <v>Talhadia</v>
      </c>
      <c r="P304" s="2">
        <v>43586</v>
      </c>
      <c r="Q304" t="s">
        <v>174</v>
      </c>
      <c r="R304" t="s">
        <v>165</v>
      </c>
      <c r="S304" t="s">
        <v>154</v>
      </c>
      <c r="T304" t="s">
        <v>155</v>
      </c>
      <c r="U304" t="s">
        <v>156</v>
      </c>
      <c r="V304" s="2">
        <v>44732</v>
      </c>
      <c r="W304" t="s">
        <v>1590</v>
      </c>
      <c r="X304">
        <v>302.60000000000002</v>
      </c>
      <c r="Y304">
        <v>19.2</v>
      </c>
      <c r="Z304">
        <v>21</v>
      </c>
      <c r="AA304">
        <v>15.2</v>
      </c>
      <c r="AB304">
        <v>1</v>
      </c>
      <c r="AC304">
        <v>291.83999999999997</v>
      </c>
      <c r="AD304">
        <v>272.41461528346503</v>
      </c>
      <c r="AE304" s="2">
        <v>44732</v>
      </c>
      <c r="AF304">
        <v>37</v>
      </c>
      <c r="AG304">
        <v>3.1375770020533902</v>
      </c>
      <c r="AH304">
        <v>17.588153004137201</v>
      </c>
      <c r="AI304">
        <v>13.319230769230799</v>
      </c>
      <c r="AJ304">
        <v>14.029589672854501</v>
      </c>
      <c r="AK304">
        <v>26</v>
      </c>
      <c r="AL304">
        <v>954.42749916135301</v>
      </c>
      <c r="AM304">
        <v>111.66490086357599</v>
      </c>
      <c r="AN304">
        <v>0.116996734651605</v>
      </c>
      <c r="AO304" t="s">
        <v>165</v>
      </c>
      <c r="AP304" t="s">
        <v>264</v>
      </c>
      <c r="AQ304" t="s">
        <v>1607</v>
      </c>
      <c r="AR304">
        <v>9</v>
      </c>
      <c r="AS304">
        <v>0.85898474924521895</v>
      </c>
      <c r="AT304" t="s">
        <v>1608</v>
      </c>
      <c r="AU304" t="s">
        <v>1609</v>
      </c>
      <c r="AV304">
        <v>4076</v>
      </c>
      <c r="AW304">
        <v>2496</v>
      </c>
      <c r="AX304">
        <v>1504</v>
      </c>
      <c r="AY304">
        <v>75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-0.876</v>
      </c>
      <c r="BH304">
        <v>20.715</v>
      </c>
      <c r="BI304">
        <v>7.042656</v>
      </c>
      <c r="BJ304">
        <v>-0.19057099999999999</v>
      </c>
      <c r="BK304">
        <v>7.7147589999999999</v>
      </c>
      <c r="BL304">
        <v>59.517507000000002</v>
      </c>
      <c r="BM304">
        <v>1.0954330000000001</v>
      </c>
      <c r="BN304">
        <v>15.31625</v>
      </c>
      <c r="BO304">
        <v>0.30710300000000001</v>
      </c>
      <c r="BP304">
        <v>1.250526</v>
      </c>
      <c r="BQ304">
        <v>7.4204100000000004</v>
      </c>
      <c r="BR304">
        <v>0.70950000000000002</v>
      </c>
      <c r="BS304">
        <v>0.55057100000000003</v>
      </c>
      <c r="BT304">
        <v>7.042656</v>
      </c>
      <c r="BU304">
        <v>4.1060150000000002</v>
      </c>
      <c r="BV304">
        <v>0.71431500000000003</v>
      </c>
      <c r="BW304">
        <v>-0.63933099999999998</v>
      </c>
      <c r="BX304">
        <v>0.58302100000000001</v>
      </c>
      <c r="BY304">
        <v>0.17396800000000001</v>
      </c>
      <c r="BZ304">
        <v>-0.15570600000000001</v>
      </c>
      <c r="CA304">
        <v>-0.44974999999999998</v>
      </c>
      <c r="CB304">
        <v>-0.20499999999999999</v>
      </c>
      <c r="CC304">
        <v>-0.11799999999999999</v>
      </c>
      <c r="CD304">
        <v>-1.4999999999999999E-2</v>
      </c>
      <c r="CE304">
        <v>2.8000000000000001E-2</v>
      </c>
      <c r="CF304">
        <v>6.8000000000000005E-2</v>
      </c>
      <c r="CG304">
        <v>0.155</v>
      </c>
      <c r="CH304">
        <v>0.35549999999999998</v>
      </c>
      <c r="CI304">
        <v>12.246</v>
      </c>
      <c r="CJ304">
        <v>14.749001</v>
      </c>
      <c r="CK304">
        <v>15.344250000000001</v>
      </c>
      <c r="CL304">
        <v>15.975</v>
      </c>
      <c r="CM304">
        <v>17.2575</v>
      </c>
      <c r="CN304">
        <v>18.071498999999999</v>
      </c>
      <c r="CO304">
        <v>19.267749999999999</v>
      </c>
      <c r="CP304">
        <v>0.366757</v>
      </c>
      <c r="CQ304">
        <v>10.445186</v>
      </c>
      <c r="CR304">
        <v>12.044874999999999</v>
      </c>
      <c r="CS304">
        <v>1</v>
      </c>
      <c r="CT304">
        <v>47</v>
      </c>
      <c r="CU304">
        <v>13.042688999999999</v>
      </c>
      <c r="CV304">
        <v>9.7619050000000005</v>
      </c>
      <c r="CW304">
        <v>9.8481299999999994</v>
      </c>
      <c r="CX304">
        <v>96.985662000000005</v>
      </c>
      <c r="CY304">
        <v>0.75506899999999999</v>
      </c>
      <c r="CZ304">
        <v>11</v>
      </c>
      <c r="DA304">
        <v>1.04505</v>
      </c>
      <c r="DB304">
        <v>3.2922579999999999</v>
      </c>
      <c r="DC304">
        <v>7.6617759999999997</v>
      </c>
      <c r="DD304">
        <v>13.042688999999999</v>
      </c>
      <c r="DE304">
        <v>5.314514</v>
      </c>
      <c r="DF304">
        <v>1.3039700000000001</v>
      </c>
      <c r="DG304">
        <v>0.66973199999999999</v>
      </c>
      <c r="DH304">
        <v>0.40747100000000003</v>
      </c>
      <c r="DI304">
        <v>0.24535999999999999</v>
      </c>
      <c r="DJ304">
        <v>0.12601899999999999</v>
      </c>
      <c r="DK304">
        <v>1</v>
      </c>
      <c r="DL304">
        <v>1</v>
      </c>
      <c r="DM304">
        <v>3</v>
      </c>
      <c r="DN304">
        <v>5</v>
      </c>
      <c r="DO304">
        <v>6</v>
      </c>
      <c r="DP304">
        <v>7</v>
      </c>
      <c r="DQ304">
        <v>9</v>
      </c>
      <c r="DR304">
        <v>11</v>
      </c>
      <c r="DS304">
        <v>12</v>
      </c>
      <c r="DT304">
        <v>15</v>
      </c>
      <c r="DU304">
        <v>17</v>
      </c>
      <c r="DV304">
        <v>20</v>
      </c>
      <c r="DW304">
        <v>30</v>
      </c>
      <c r="DX304">
        <v>34</v>
      </c>
      <c r="DY304">
        <v>39</v>
      </c>
      <c r="DZ304">
        <v>74.038461999999996</v>
      </c>
      <c r="EA304">
        <v>47.865554000000003</v>
      </c>
      <c r="EB304">
        <v>78.165064000000001</v>
      </c>
      <c r="EC304">
        <v>1848</v>
      </c>
      <c r="ED304">
        <v>1951</v>
      </c>
      <c r="EE304">
        <v>70.432692000000003</v>
      </c>
      <c r="EF304">
        <v>99.959935999999999</v>
      </c>
      <c r="EG304">
        <v>44.185476000000001</v>
      </c>
      <c r="EH304">
        <v>94.357213000000002</v>
      </c>
      <c r="EI304">
        <v>72.155449000000004</v>
      </c>
      <c r="EJ304">
        <v>154.08653799999999</v>
      </c>
      <c r="EK304">
        <v>1758</v>
      </c>
      <c r="EL304">
        <v>2495</v>
      </c>
      <c r="EM304">
        <v>1801</v>
      </c>
      <c r="EN304">
        <v>3846</v>
      </c>
      <c r="EO304">
        <v>2496</v>
      </c>
      <c r="EP304">
        <v>4076</v>
      </c>
      <c r="EQ304">
        <v>35.687347000000003</v>
      </c>
    </row>
    <row r="305" spans="1:147" x14ac:dyDescent="0.25">
      <c r="A305">
        <v>2022</v>
      </c>
      <c r="B305" t="str">
        <f t="shared" si="8"/>
        <v>GN</v>
      </c>
      <c r="C305" t="s">
        <v>1610</v>
      </c>
      <c r="D305" t="s">
        <v>1610</v>
      </c>
      <c r="E305">
        <v>27221</v>
      </c>
      <c r="F305" t="s">
        <v>1611</v>
      </c>
      <c r="G305" t="s">
        <v>1612</v>
      </c>
      <c r="H305" t="s">
        <v>1613</v>
      </c>
      <c r="I305">
        <v>45.04</v>
      </c>
      <c r="J305">
        <v>45.04</v>
      </c>
      <c r="K305" t="s">
        <v>277</v>
      </c>
      <c r="L305">
        <v>1</v>
      </c>
      <c r="M305">
        <v>2019</v>
      </c>
      <c r="N305">
        <v>4</v>
      </c>
      <c r="O305" t="str">
        <f t="shared" si="9"/>
        <v>Alto fuste</v>
      </c>
      <c r="P305" s="2">
        <v>43637</v>
      </c>
      <c r="Q305" t="s">
        <v>174</v>
      </c>
      <c r="R305" t="s">
        <v>427</v>
      </c>
      <c r="S305" t="s">
        <v>154</v>
      </c>
      <c r="T305" t="s">
        <v>279</v>
      </c>
      <c r="U305" t="s">
        <v>156</v>
      </c>
      <c r="V305" s="2">
        <v>44714</v>
      </c>
      <c r="W305" t="s">
        <v>1614</v>
      </c>
      <c r="X305">
        <v>403.97</v>
      </c>
      <c r="Y305">
        <v>19</v>
      </c>
      <c r="Z305">
        <v>9</v>
      </c>
      <c r="AA305">
        <v>15.3</v>
      </c>
      <c r="AB305">
        <v>2</v>
      </c>
      <c r="AC305">
        <v>290.7</v>
      </c>
      <c r="AD305">
        <v>286.94609425518399</v>
      </c>
      <c r="AE305" s="2">
        <v>44714</v>
      </c>
      <c r="AF305">
        <v>36</v>
      </c>
      <c r="AG305">
        <v>2.94866529774127</v>
      </c>
      <c r="AH305">
        <v>22.983438910068099</v>
      </c>
      <c r="AI305">
        <v>14.12</v>
      </c>
      <c r="AJ305">
        <v>16.516440658688001</v>
      </c>
      <c r="AK305">
        <v>30</v>
      </c>
      <c r="AL305">
        <v>1045.4925367731501</v>
      </c>
      <c r="AM305">
        <v>168.59900279976401</v>
      </c>
      <c r="AN305">
        <v>0.16126275116236999</v>
      </c>
      <c r="AO305" t="s">
        <v>427</v>
      </c>
      <c r="AP305" t="s">
        <v>158</v>
      </c>
      <c r="AQ305" t="s">
        <v>281</v>
      </c>
      <c r="AR305">
        <v>9</v>
      </c>
      <c r="AS305">
        <v>0.94094328309583597</v>
      </c>
      <c r="AT305" t="s">
        <v>1615</v>
      </c>
      <c r="AU305" t="s">
        <v>1616</v>
      </c>
      <c r="AV305">
        <v>3823</v>
      </c>
      <c r="AW305">
        <v>2631</v>
      </c>
      <c r="AX305">
        <v>1135</v>
      </c>
      <c r="AY305">
        <v>57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-0.79400000000000004</v>
      </c>
      <c r="BH305">
        <v>20.533000999999999</v>
      </c>
      <c r="BI305">
        <v>12.233027999999999</v>
      </c>
      <c r="BJ305">
        <v>-0.116952</v>
      </c>
      <c r="BK305">
        <v>7.7460430000000002</v>
      </c>
      <c r="BL305">
        <v>60.001185999999997</v>
      </c>
      <c r="BM305">
        <v>0.63320699999999996</v>
      </c>
      <c r="BN305">
        <v>17.311499000000001</v>
      </c>
      <c r="BO305">
        <v>-0.87553199999999998</v>
      </c>
      <c r="BP305">
        <v>1.8907510000000001</v>
      </c>
      <c r="BQ305">
        <v>6.9114329999999997</v>
      </c>
      <c r="BR305">
        <v>1.6860010000000001</v>
      </c>
      <c r="BS305">
        <v>16.392952000000001</v>
      </c>
      <c r="BT305">
        <v>12.233027999999999</v>
      </c>
      <c r="BU305">
        <v>3.8870269999999998</v>
      </c>
      <c r="BV305">
        <v>-1.167513</v>
      </c>
      <c r="BW305">
        <v>-5.7708000000000002E-2</v>
      </c>
      <c r="BX305">
        <v>0.317749</v>
      </c>
      <c r="BY305">
        <v>-0.30036099999999999</v>
      </c>
      <c r="BZ305">
        <v>-1.4846E-2</v>
      </c>
      <c r="CA305">
        <v>-0.39678000000000002</v>
      </c>
      <c r="CB305">
        <v>-0.17180000000000001</v>
      </c>
      <c r="CC305">
        <v>-4.4999999999999998E-2</v>
      </c>
      <c r="CD305">
        <v>0.14199999999999999</v>
      </c>
      <c r="CE305">
        <v>0.27400000000000002</v>
      </c>
      <c r="CF305">
        <v>14.108999000000001</v>
      </c>
      <c r="CG305">
        <v>15.7448</v>
      </c>
      <c r="CH305">
        <v>16.275998999999999</v>
      </c>
      <c r="CI305">
        <v>16.813400000000001</v>
      </c>
      <c r="CJ305">
        <v>17.323999000000001</v>
      </c>
      <c r="CK305">
        <v>17.585498999999999</v>
      </c>
      <c r="CL305">
        <v>17.911200000000001</v>
      </c>
      <c r="CM305">
        <v>18.775798999999999</v>
      </c>
      <c r="CN305">
        <v>19.280000999999999</v>
      </c>
      <c r="CO305">
        <v>19.893559</v>
      </c>
      <c r="CP305">
        <v>0.610823</v>
      </c>
      <c r="CQ305">
        <v>14.47869</v>
      </c>
      <c r="CR305">
        <v>15.361908</v>
      </c>
      <c r="CS305">
        <v>1</v>
      </c>
      <c r="CT305">
        <v>58</v>
      </c>
      <c r="CU305">
        <v>20.328538000000002</v>
      </c>
      <c r="CV305">
        <v>24.523810000000001</v>
      </c>
      <c r="CW305">
        <v>11.31</v>
      </c>
      <c r="CX305">
        <v>127.916106</v>
      </c>
      <c r="CY305">
        <v>0.55636099999999999</v>
      </c>
      <c r="CZ305">
        <v>19</v>
      </c>
      <c r="DA305">
        <v>-0.210007</v>
      </c>
      <c r="DB305">
        <v>2.0810559999999998</v>
      </c>
      <c r="DC305">
        <v>9.5519309999999997</v>
      </c>
      <c r="DD305">
        <v>20.328538000000002</v>
      </c>
      <c r="DE305">
        <v>6.4310890000000001</v>
      </c>
      <c r="DF305">
        <v>-0.44815100000000002</v>
      </c>
      <c r="DG305">
        <v>0.24398</v>
      </c>
      <c r="DH305">
        <v>0.31635799999999997</v>
      </c>
      <c r="DI305">
        <v>-6.9684999999999997E-2</v>
      </c>
      <c r="DJ305">
        <v>3.7938E-2</v>
      </c>
      <c r="DK305">
        <v>1</v>
      </c>
      <c r="DL305">
        <v>2</v>
      </c>
      <c r="DM305">
        <v>3</v>
      </c>
      <c r="DN305">
        <v>7</v>
      </c>
      <c r="DO305">
        <v>10</v>
      </c>
      <c r="DP305">
        <v>14</v>
      </c>
      <c r="DQ305">
        <v>19</v>
      </c>
      <c r="DR305">
        <v>23</v>
      </c>
      <c r="DS305">
        <v>25</v>
      </c>
      <c r="DT305">
        <v>27.399902000000001</v>
      </c>
      <c r="DU305">
        <v>29</v>
      </c>
      <c r="DV305">
        <v>30</v>
      </c>
      <c r="DW305">
        <v>34</v>
      </c>
      <c r="DX305">
        <v>37</v>
      </c>
      <c r="DY305">
        <v>42</v>
      </c>
      <c r="DZ305">
        <v>99.429874999999996</v>
      </c>
      <c r="EA305">
        <v>72.194612000000006</v>
      </c>
      <c r="EB305">
        <v>104.90307900000001</v>
      </c>
      <c r="EC305">
        <v>2616</v>
      </c>
      <c r="ED305">
        <v>2760</v>
      </c>
      <c r="EE305">
        <v>99.277840999999995</v>
      </c>
      <c r="EF305">
        <v>100</v>
      </c>
      <c r="EG305">
        <v>70.755950999999996</v>
      </c>
      <c r="EH305">
        <v>93.251373000000001</v>
      </c>
      <c r="EI305">
        <v>102.812619</v>
      </c>
      <c r="EJ305">
        <v>135.49981</v>
      </c>
      <c r="EK305">
        <v>2612</v>
      </c>
      <c r="EL305">
        <v>2631</v>
      </c>
      <c r="EM305">
        <v>2705</v>
      </c>
      <c r="EN305">
        <v>3565</v>
      </c>
      <c r="EO305">
        <v>2631</v>
      </c>
      <c r="EP305">
        <v>3823</v>
      </c>
      <c r="EQ305">
        <v>60.624817999999998</v>
      </c>
    </row>
    <row r="306" spans="1:147" x14ac:dyDescent="0.25">
      <c r="A306">
        <v>2022</v>
      </c>
      <c r="B306" t="str">
        <f t="shared" si="8"/>
        <v>NE</v>
      </c>
      <c r="C306" t="s">
        <v>1617</v>
      </c>
      <c r="D306" t="s">
        <v>1617</v>
      </c>
      <c r="E306">
        <v>27270</v>
      </c>
      <c r="F306" t="s">
        <v>1618</v>
      </c>
      <c r="G306" t="s">
        <v>1112</v>
      </c>
      <c r="H306" t="s">
        <v>1619</v>
      </c>
      <c r="I306">
        <v>32.31</v>
      </c>
      <c r="J306">
        <v>32.31</v>
      </c>
      <c r="K306" t="s">
        <v>1098</v>
      </c>
      <c r="L306">
        <v>1</v>
      </c>
      <c r="M306">
        <v>2019</v>
      </c>
      <c r="N306">
        <v>3</v>
      </c>
      <c r="O306" t="str">
        <f t="shared" si="9"/>
        <v>Alto fuste</v>
      </c>
      <c r="P306" s="2">
        <v>43573</v>
      </c>
      <c r="Q306" t="s">
        <v>174</v>
      </c>
      <c r="R306" t="s">
        <v>165</v>
      </c>
      <c r="S306" t="s">
        <v>154</v>
      </c>
      <c r="T306" t="s">
        <v>1098</v>
      </c>
      <c r="U306" t="s">
        <v>156</v>
      </c>
      <c r="V306" s="2">
        <v>44824</v>
      </c>
      <c r="W306" t="s">
        <v>1114</v>
      </c>
      <c r="X306">
        <v>237.13</v>
      </c>
      <c r="Y306">
        <v>19.2</v>
      </c>
      <c r="Z306">
        <v>7</v>
      </c>
      <c r="AA306">
        <v>15</v>
      </c>
      <c r="AB306">
        <v>1</v>
      </c>
      <c r="AC306">
        <v>288</v>
      </c>
      <c r="AD306">
        <v>285.80975483181697</v>
      </c>
      <c r="AE306" s="2">
        <v>44824</v>
      </c>
      <c r="AF306">
        <v>41</v>
      </c>
      <c r="AG306">
        <v>3.42505133470226</v>
      </c>
      <c r="AH306">
        <v>22.9686954154677</v>
      </c>
      <c r="AI306">
        <v>15.290322580645199</v>
      </c>
      <c r="AJ306">
        <v>20.331390325510601</v>
      </c>
      <c r="AK306">
        <v>31</v>
      </c>
      <c r="AL306">
        <v>1084.6375771268399</v>
      </c>
      <c r="AM306">
        <v>205.432902484827</v>
      </c>
      <c r="AN306">
        <v>0.189402346753474</v>
      </c>
      <c r="AO306" t="s">
        <v>165</v>
      </c>
      <c r="AP306" t="s">
        <v>158</v>
      </c>
      <c r="AQ306" t="s">
        <v>1126</v>
      </c>
      <c r="AR306">
        <v>9</v>
      </c>
      <c r="AS306">
        <v>0.97617381941416193</v>
      </c>
      <c r="AT306" t="s">
        <v>1620</v>
      </c>
      <c r="AU306" t="s">
        <v>1621</v>
      </c>
      <c r="AV306">
        <v>4842</v>
      </c>
      <c r="AW306">
        <v>2625</v>
      </c>
      <c r="AX306">
        <v>1960</v>
      </c>
      <c r="AY306">
        <v>248</v>
      </c>
      <c r="AZ306">
        <v>9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-1.0529999999999999</v>
      </c>
      <c r="BH306">
        <v>22.584999</v>
      </c>
      <c r="BI306">
        <v>10.738204</v>
      </c>
      <c r="BJ306">
        <v>-0.30258699999999999</v>
      </c>
      <c r="BK306">
        <v>9.5459180000000003</v>
      </c>
      <c r="BL306">
        <v>91.124556999999996</v>
      </c>
      <c r="BM306">
        <v>0.88896799999999998</v>
      </c>
      <c r="BN306">
        <v>19.771750999999998</v>
      </c>
      <c r="BO306">
        <v>-0.15965799999999999</v>
      </c>
      <c r="BP306">
        <v>1.118152</v>
      </c>
      <c r="BQ306">
        <v>9.2826489999999993</v>
      </c>
      <c r="BR306">
        <v>4.5519999999999996</v>
      </c>
      <c r="BS306">
        <v>17.249088</v>
      </c>
      <c r="BT306">
        <v>10.738204</v>
      </c>
      <c r="BU306">
        <v>5.0665839999999998</v>
      </c>
      <c r="BV306">
        <v>-0.21620500000000001</v>
      </c>
      <c r="BW306">
        <v>-1.0146010000000001</v>
      </c>
      <c r="BX306">
        <v>0.47182800000000003</v>
      </c>
      <c r="BY306">
        <v>-4.2673000000000003E-2</v>
      </c>
      <c r="BZ306">
        <v>-0.20025299999999999</v>
      </c>
      <c r="CA306">
        <v>-0.46536</v>
      </c>
      <c r="CB306">
        <v>-0.21299999999999999</v>
      </c>
      <c r="CC306">
        <v>-0.10299999999999999</v>
      </c>
      <c r="CD306">
        <v>3.0000000000000001E-3</v>
      </c>
      <c r="CE306">
        <v>0.05</v>
      </c>
      <c r="CF306">
        <v>9.7299999999999998E-2</v>
      </c>
      <c r="CG306">
        <v>0.26440000000000002</v>
      </c>
      <c r="CH306">
        <v>16.946498999999999</v>
      </c>
      <c r="CI306">
        <v>18.713799999999999</v>
      </c>
      <c r="CJ306">
        <v>19.503401</v>
      </c>
      <c r="CK306">
        <v>19.821750999999999</v>
      </c>
      <c r="CL306">
        <v>20.131799999999998</v>
      </c>
      <c r="CM306">
        <v>20.771899999999999</v>
      </c>
      <c r="CN306">
        <v>21.202998999999998</v>
      </c>
      <c r="CO306">
        <v>21.834589000000001</v>
      </c>
      <c r="CP306">
        <v>0.49882399999999999</v>
      </c>
      <c r="CQ306">
        <v>14.367141999999999</v>
      </c>
      <c r="CR306">
        <v>15.919245</v>
      </c>
      <c r="CS306">
        <v>1</v>
      </c>
      <c r="CT306">
        <v>59</v>
      </c>
      <c r="CU306">
        <v>13.935563999999999</v>
      </c>
      <c r="CV306">
        <v>17.571428999999998</v>
      </c>
      <c r="CW306">
        <v>8.9912609999999997</v>
      </c>
      <c r="CX306">
        <v>80.842780000000005</v>
      </c>
      <c r="CY306">
        <v>0.64520299999999997</v>
      </c>
      <c r="CZ306">
        <v>13</v>
      </c>
      <c r="DA306">
        <v>0.81821600000000005</v>
      </c>
      <c r="DB306">
        <v>3.9655079999999998</v>
      </c>
      <c r="DC306">
        <v>7.2743890000000002</v>
      </c>
      <c r="DD306">
        <v>13.935563999999999</v>
      </c>
      <c r="DE306">
        <v>4.9843029999999997</v>
      </c>
      <c r="DF306">
        <v>0.62674600000000003</v>
      </c>
      <c r="DG306">
        <v>0.424205</v>
      </c>
      <c r="DH306">
        <v>0.35766799999999999</v>
      </c>
      <c r="DI306">
        <v>0.12574399999999999</v>
      </c>
      <c r="DJ306">
        <v>8.5108000000000003E-2</v>
      </c>
      <c r="DK306">
        <v>1</v>
      </c>
      <c r="DL306">
        <v>2</v>
      </c>
      <c r="DM306">
        <v>3</v>
      </c>
      <c r="DN306">
        <v>5</v>
      </c>
      <c r="DO306">
        <v>7</v>
      </c>
      <c r="DP306">
        <v>8</v>
      </c>
      <c r="DQ306">
        <v>10</v>
      </c>
      <c r="DR306">
        <v>13</v>
      </c>
      <c r="DS306">
        <v>16</v>
      </c>
      <c r="DT306">
        <v>18</v>
      </c>
      <c r="DU306">
        <v>20</v>
      </c>
      <c r="DV306">
        <v>21</v>
      </c>
      <c r="DW306">
        <v>25</v>
      </c>
      <c r="DX306">
        <v>29</v>
      </c>
      <c r="DY306">
        <v>41</v>
      </c>
      <c r="DZ306">
        <v>96.876189999999994</v>
      </c>
      <c r="EA306">
        <v>57.703428000000002</v>
      </c>
      <c r="EB306">
        <v>106.438095</v>
      </c>
      <c r="EC306">
        <v>2543</v>
      </c>
      <c r="ED306">
        <v>2794</v>
      </c>
      <c r="EE306">
        <v>94.971429000000001</v>
      </c>
      <c r="EF306">
        <v>100</v>
      </c>
      <c r="EG306">
        <v>53.758777000000002</v>
      </c>
      <c r="EH306">
        <v>97.232549000000006</v>
      </c>
      <c r="EI306">
        <v>99.161905000000004</v>
      </c>
      <c r="EJ306">
        <v>179.35238100000001</v>
      </c>
      <c r="EK306">
        <v>2493</v>
      </c>
      <c r="EL306">
        <v>2625</v>
      </c>
      <c r="EM306">
        <v>2603</v>
      </c>
      <c r="EN306">
        <v>4708</v>
      </c>
      <c r="EO306">
        <v>2625</v>
      </c>
      <c r="EP306">
        <v>4842</v>
      </c>
      <c r="EQ306">
        <v>48.292586</v>
      </c>
    </row>
    <row r="307" spans="1:147" x14ac:dyDescent="0.25">
      <c r="A307">
        <v>2022</v>
      </c>
      <c r="B307" t="str">
        <f t="shared" si="8"/>
        <v>NE</v>
      </c>
      <c r="C307" t="s">
        <v>1622</v>
      </c>
      <c r="D307" t="s">
        <v>1622</v>
      </c>
      <c r="E307">
        <v>27495</v>
      </c>
      <c r="F307" t="s">
        <v>1618</v>
      </c>
      <c r="G307" t="s">
        <v>1112</v>
      </c>
      <c r="H307" t="s">
        <v>1623</v>
      </c>
      <c r="I307">
        <v>47.89</v>
      </c>
      <c r="J307">
        <v>47.89</v>
      </c>
      <c r="K307" t="s">
        <v>1098</v>
      </c>
      <c r="L307">
        <v>1</v>
      </c>
      <c r="M307">
        <v>2019</v>
      </c>
      <c r="N307">
        <v>3</v>
      </c>
      <c r="O307" t="str">
        <f t="shared" si="9"/>
        <v>Alto fuste</v>
      </c>
      <c r="P307" s="2">
        <v>43571</v>
      </c>
      <c r="Q307" t="s">
        <v>174</v>
      </c>
      <c r="R307" t="s">
        <v>695</v>
      </c>
      <c r="S307" t="s">
        <v>154</v>
      </c>
      <c r="T307" t="s">
        <v>1098</v>
      </c>
      <c r="U307" t="s">
        <v>156</v>
      </c>
      <c r="V307" s="2">
        <v>44824</v>
      </c>
      <c r="W307" t="s">
        <v>1114</v>
      </c>
      <c r="X307">
        <v>237.13</v>
      </c>
      <c r="Y307">
        <v>19</v>
      </c>
      <c r="Z307">
        <v>5</v>
      </c>
      <c r="AA307">
        <v>15.2</v>
      </c>
      <c r="AB307">
        <v>0</v>
      </c>
      <c r="AC307">
        <v>288.8</v>
      </c>
      <c r="AD307">
        <v>287.70102880889601</v>
      </c>
      <c r="AE307" s="2">
        <v>44824</v>
      </c>
      <c r="AF307">
        <v>41</v>
      </c>
      <c r="AG307">
        <v>3.4305270362765201</v>
      </c>
      <c r="AH307">
        <v>19.056892436602901</v>
      </c>
      <c r="AI307">
        <v>14.7458333333333</v>
      </c>
      <c r="AJ307">
        <v>14.530578441494599</v>
      </c>
      <c r="AK307">
        <v>24</v>
      </c>
      <c r="AL307">
        <v>834.19931097785104</v>
      </c>
      <c r="AM307">
        <v>120.21883212524099</v>
      </c>
      <c r="AN307">
        <v>0.14411284035264901</v>
      </c>
      <c r="AO307" t="s">
        <v>695</v>
      </c>
      <c r="AP307" t="s">
        <v>158</v>
      </c>
      <c r="AQ307" t="s">
        <v>408</v>
      </c>
      <c r="AR307">
        <v>9</v>
      </c>
      <c r="AS307">
        <v>0.75077937988006616</v>
      </c>
      <c r="AT307" t="s">
        <v>1624</v>
      </c>
      <c r="AU307" t="s">
        <v>1625</v>
      </c>
      <c r="AV307">
        <v>5679</v>
      </c>
      <c r="AW307">
        <v>2788</v>
      </c>
      <c r="AX307">
        <v>2659</v>
      </c>
      <c r="AY307">
        <v>225</v>
      </c>
      <c r="AZ307">
        <v>7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-0.97</v>
      </c>
      <c r="BH307">
        <v>22.023001000000001</v>
      </c>
      <c r="BI307">
        <v>7.7828720000000002</v>
      </c>
      <c r="BJ307">
        <v>-0.240063</v>
      </c>
      <c r="BK307">
        <v>8.7102170000000001</v>
      </c>
      <c r="BL307">
        <v>75.867873000000003</v>
      </c>
      <c r="BM307">
        <v>1.1191519999999999</v>
      </c>
      <c r="BN307">
        <v>17.649501000000001</v>
      </c>
      <c r="BO307">
        <v>0.30300300000000002</v>
      </c>
      <c r="BP307">
        <v>1.1997040000000001</v>
      </c>
      <c r="BQ307">
        <v>8.4492879999999992</v>
      </c>
      <c r="BR307">
        <v>0.43099999999999999</v>
      </c>
      <c r="BS307">
        <v>0.457063</v>
      </c>
      <c r="BT307">
        <v>7.7828720000000002</v>
      </c>
      <c r="BU307">
        <v>4.5690059999999999</v>
      </c>
      <c r="BV307">
        <v>0.80365699999999995</v>
      </c>
      <c r="BW307">
        <v>-0.78041300000000002</v>
      </c>
      <c r="BX307">
        <v>0.587059</v>
      </c>
      <c r="BY307">
        <v>0.17589299999999999</v>
      </c>
      <c r="BZ307">
        <v>-0.17080600000000001</v>
      </c>
      <c r="CA307">
        <v>-0.39844000000000002</v>
      </c>
      <c r="CB307">
        <v>-0.19309999999999999</v>
      </c>
      <c r="CC307">
        <v>-0.11600000000000001</v>
      </c>
      <c r="CD307">
        <v>-0.03</v>
      </c>
      <c r="CE307">
        <v>1E-3</v>
      </c>
      <c r="CF307">
        <v>3.3000000000000002E-2</v>
      </c>
      <c r="CG307">
        <v>0.10199999999999999</v>
      </c>
      <c r="CH307">
        <v>0.215</v>
      </c>
      <c r="CI307">
        <v>13.834201</v>
      </c>
      <c r="CJ307">
        <v>17.024801</v>
      </c>
      <c r="CK307">
        <v>17.650500999999998</v>
      </c>
      <c r="CL307">
        <v>18.166799999999999</v>
      </c>
      <c r="CM307">
        <v>19.155401000000001</v>
      </c>
      <c r="CN307">
        <v>19.665901000000002</v>
      </c>
      <c r="CO307">
        <v>20.71088</v>
      </c>
      <c r="CP307">
        <v>0.38067600000000001</v>
      </c>
      <c r="CQ307">
        <v>11.680223</v>
      </c>
      <c r="CR307">
        <v>13.467641</v>
      </c>
      <c r="CS307">
        <v>1</v>
      </c>
      <c r="CT307">
        <v>62</v>
      </c>
      <c r="CU307">
        <v>17.660328</v>
      </c>
      <c r="CV307">
        <v>2.9365079999999999</v>
      </c>
      <c r="CW307">
        <v>11.975949</v>
      </c>
      <c r="CX307">
        <v>143.423348</v>
      </c>
      <c r="CY307">
        <v>0.67812700000000004</v>
      </c>
      <c r="CZ307">
        <v>16</v>
      </c>
      <c r="DA307">
        <v>0.79570300000000005</v>
      </c>
      <c r="DB307">
        <v>3.176739</v>
      </c>
      <c r="DC307">
        <v>9.5415799999999997</v>
      </c>
      <c r="DD307">
        <v>17.660328</v>
      </c>
      <c r="DE307">
        <v>6.6471830000000001</v>
      </c>
      <c r="DF307">
        <v>1.080292</v>
      </c>
      <c r="DG307">
        <v>0.68938500000000003</v>
      </c>
      <c r="DH307">
        <v>0.37639099999999998</v>
      </c>
      <c r="DI307">
        <v>0.162519</v>
      </c>
      <c r="DJ307">
        <v>0.103711</v>
      </c>
      <c r="DK307">
        <v>1</v>
      </c>
      <c r="DL307">
        <v>2</v>
      </c>
      <c r="DM307">
        <v>3</v>
      </c>
      <c r="DN307">
        <v>6</v>
      </c>
      <c r="DO307">
        <v>8</v>
      </c>
      <c r="DP307">
        <v>10</v>
      </c>
      <c r="DQ307">
        <v>13</v>
      </c>
      <c r="DR307">
        <v>16</v>
      </c>
      <c r="DS307">
        <v>19</v>
      </c>
      <c r="DT307">
        <v>22</v>
      </c>
      <c r="DU307">
        <v>24</v>
      </c>
      <c r="DV307">
        <v>26.399902000000001</v>
      </c>
      <c r="DW307">
        <v>35</v>
      </c>
      <c r="DX307">
        <v>43</v>
      </c>
      <c r="DY307">
        <v>50</v>
      </c>
      <c r="DZ307">
        <v>85.688665999999998</v>
      </c>
      <c r="EA307">
        <v>45.923577999999999</v>
      </c>
      <c r="EB307">
        <v>93.543758999999994</v>
      </c>
      <c r="EC307">
        <v>2389</v>
      </c>
      <c r="ED307">
        <v>2608</v>
      </c>
      <c r="EE307">
        <v>85.007174000000006</v>
      </c>
      <c r="EF307">
        <v>99.964132000000006</v>
      </c>
      <c r="EG307">
        <v>44.497270999999998</v>
      </c>
      <c r="EH307">
        <v>96.742384000000001</v>
      </c>
      <c r="EI307">
        <v>90.638451000000003</v>
      </c>
      <c r="EJ307">
        <v>197.05882399999999</v>
      </c>
      <c r="EK307">
        <v>2370</v>
      </c>
      <c r="EL307">
        <v>2787</v>
      </c>
      <c r="EM307">
        <v>2527</v>
      </c>
      <c r="EN307">
        <v>5494</v>
      </c>
      <c r="EO307">
        <v>2788</v>
      </c>
      <c r="EP307">
        <v>5679</v>
      </c>
      <c r="EQ307">
        <v>36.619619</v>
      </c>
    </row>
    <row r="308" spans="1:147" x14ac:dyDescent="0.25">
      <c r="A308">
        <v>2022</v>
      </c>
      <c r="B308" t="str">
        <f t="shared" si="8"/>
        <v>NE</v>
      </c>
      <c r="C308" t="s">
        <v>1626</v>
      </c>
      <c r="D308" t="s">
        <v>1626</v>
      </c>
      <c r="E308">
        <v>27496</v>
      </c>
      <c r="F308" t="s">
        <v>1618</v>
      </c>
      <c r="G308" t="s">
        <v>1112</v>
      </c>
      <c r="H308" t="s">
        <v>1623</v>
      </c>
      <c r="I308">
        <v>47.89</v>
      </c>
      <c r="J308">
        <v>47.89</v>
      </c>
      <c r="K308" t="s">
        <v>1098</v>
      </c>
      <c r="L308">
        <v>1</v>
      </c>
      <c r="M308">
        <v>2019</v>
      </c>
      <c r="N308">
        <v>3</v>
      </c>
      <c r="O308" t="str">
        <f t="shared" si="9"/>
        <v>Alto fuste</v>
      </c>
      <c r="P308" s="2">
        <v>43571</v>
      </c>
      <c r="Q308" t="s">
        <v>174</v>
      </c>
      <c r="R308" t="s">
        <v>695</v>
      </c>
      <c r="S308" t="s">
        <v>154</v>
      </c>
      <c r="T308" t="s">
        <v>1098</v>
      </c>
      <c r="U308" t="s">
        <v>156</v>
      </c>
      <c r="V308" s="2">
        <v>44824</v>
      </c>
      <c r="W308" t="s">
        <v>1114</v>
      </c>
      <c r="X308">
        <v>237.13</v>
      </c>
      <c r="Y308">
        <v>21</v>
      </c>
      <c r="Z308">
        <v>12</v>
      </c>
      <c r="AA308">
        <v>15.5</v>
      </c>
      <c r="AB308">
        <v>0</v>
      </c>
      <c r="AC308">
        <v>325.5</v>
      </c>
      <c r="AD308">
        <v>318.38704403885401</v>
      </c>
      <c r="AE308" s="2">
        <v>44824</v>
      </c>
      <c r="AF308">
        <v>41</v>
      </c>
      <c r="AG308">
        <v>3.4305270362765201</v>
      </c>
      <c r="AH308">
        <v>19.5758291979948</v>
      </c>
      <c r="AI308">
        <v>13.67</v>
      </c>
      <c r="AJ308">
        <v>14.2235129650673</v>
      </c>
      <c r="AK308">
        <v>30</v>
      </c>
      <c r="AL308">
        <v>942.24939618896701</v>
      </c>
      <c r="AM308">
        <v>123.625379528228</v>
      </c>
      <c r="AN308">
        <v>0.13120239718724599</v>
      </c>
      <c r="AO308" t="s">
        <v>695</v>
      </c>
      <c r="AP308" t="s">
        <v>158</v>
      </c>
      <c r="AQ308" t="s">
        <v>408</v>
      </c>
      <c r="AR308">
        <v>9</v>
      </c>
      <c r="AS308">
        <v>0.84802445657006975</v>
      </c>
      <c r="AT308" t="s">
        <v>1627</v>
      </c>
      <c r="AU308" t="s">
        <v>1628</v>
      </c>
      <c r="AV308">
        <v>5745</v>
      </c>
      <c r="AW308">
        <v>3082</v>
      </c>
      <c r="AX308">
        <v>2382</v>
      </c>
      <c r="AY308">
        <v>271</v>
      </c>
      <c r="AZ308">
        <v>10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-1.075</v>
      </c>
      <c r="BH308">
        <v>21.358000000000001</v>
      </c>
      <c r="BI308">
        <v>9.3754019999999993</v>
      </c>
      <c r="BJ308">
        <v>-6.7619999999999998E-3</v>
      </c>
      <c r="BK308">
        <v>8.6094810000000006</v>
      </c>
      <c r="BL308">
        <v>74.123158000000004</v>
      </c>
      <c r="BM308">
        <v>0.91830500000000004</v>
      </c>
      <c r="BN308">
        <v>17.861000000000001</v>
      </c>
      <c r="BO308">
        <v>-6.6854999999999998E-2</v>
      </c>
      <c r="BP308">
        <v>1.137202</v>
      </c>
      <c r="BQ308">
        <v>8.3509100000000007</v>
      </c>
      <c r="BR308">
        <v>7.0599990000000004</v>
      </c>
      <c r="BS308">
        <v>12.624762</v>
      </c>
      <c r="BT308">
        <v>9.3754019999999993</v>
      </c>
      <c r="BU308">
        <v>4.6374690000000003</v>
      </c>
      <c r="BV308">
        <v>5.1702999999999999E-2</v>
      </c>
      <c r="BW308">
        <v>-0.87451800000000002</v>
      </c>
      <c r="BX308">
        <v>0.49464200000000003</v>
      </c>
      <c r="BY308">
        <v>1.1148999999999999E-2</v>
      </c>
      <c r="BZ308">
        <v>-0.18857699999999999</v>
      </c>
      <c r="CA308">
        <v>-0.38956000000000002</v>
      </c>
      <c r="CB308">
        <v>-0.17080000000000001</v>
      </c>
      <c r="CC308">
        <v>-9.9000000000000005E-2</v>
      </c>
      <c r="CD308">
        <v>3.8E-3</v>
      </c>
      <c r="CE308">
        <v>4.9000000000000002E-2</v>
      </c>
      <c r="CF308">
        <v>9.4E-2</v>
      </c>
      <c r="CG308">
        <v>0.28499999999999998</v>
      </c>
      <c r="CH308">
        <v>12.618</v>
      </c>
      <c r="CI308">
        <v>15.987</v>
      </c>
      <c r="CJ308">
        <v>17.4084</v>
      </c>
      <c r="CK308">
        <v>17.91</v>
      </c>
      <c r="CL308">
        <v>18.344999000000001</v>
      </c>
      <c r="CM308">
        <v>19.153998999999999</v>
      </c>
      <c r="CN308">
        <v>19.681197999999998</v>
      </c>
      <c r="CO308">
        <v>20.555720999999998</v>
      </c>
      <c r="CP308">
        <v>0.46584999999999999</v>
      </c>
      <c r="CQ308">
        <v>12.728253</v>
      </c>
      <c r="CR308">
        <v>14.204254000000001</v>
      </c>
      <c r="CS308">
        <v>1</v>
      </c>
      <c r="CT308">
        <v>59</v>
      </c>
      <c r="CU308">
        <v>14.513664</v>
      </c>
      <c r="CV308">
        <v>3.7619050000000001</v>
      </c>
      <c r="CW308">
        <v>9.9113860000000003</v>
      </c>
      <c r="CX308">
        <v>98.235580999999996</v>
      </c>
      <c r="CY308">
        <v>0.68289999999999995</v>
      </c>
      <c r="CZ308">
        <v>13</v>
      </c>
      <c r="DA308">
        <v>1.0888359999999999</v>
      </c>
      <c r="DB308">
        <v>4.4406290000000004</v>
      </c>
      <c r="DC308">
        <v>7.7147870000000003</v>
      </c>
      <c r="DD308">
        <v>14.513664</v>
      </c>
      <c r="DE308">
        <v>5.383502</v>
      </c>
      <c r="DF308">
        <v>0.99745899999999998</v>
      </c>
      <c r="DG308">
        <v>0.675153</v>
      </c>
      <c r="DH308">
        <v>0.37092599999999998</v>
      </c>
      <c r="DI308">
        <v>0.185281</v>
      </c>
      <c r="DJ308">
        <v>0.12541099999999999</v>
      </c>
      <c r="DK308">
        <v>1</v>
      </c>
      <c r="DL308">
        <v>2</v>
      </c>
      <c r="DM308">
        <v>3</v>
      </c>
      <c r="DN308">
        <v>6</v>
      </c>
      <c r="DO308">
        <v>7</v>
      </c>
      <c r="DP308">
        <v>8</v>
      </c>
      <c r="DQ308">
        <v>11</v>
      </c>
      <c r="DR308">
        <v>13</v>
      </c>
      <c r="DS308">
        <v>16</v>
      </c>
      <c r="DT308">
        <v>18</v>
      </c>
      <c r="DU308">
        <v>20</v>
      </c>
      <c r="DV308">
        <v>22</v>
      </c>
      <c r="DW308">
        <v>27</v>
      </c>
      <c r="DX308">
        <v>34</v>
      </c>
      <c r="DY308">
        <v>47</v>
      </c>
      <c r="DZ308">
        <v>91.758598000000006</v>
      </c>
      <c r="EA308">
        <v>55.89208</v>
      </c>
      <c r="EB308">
        <v>104.18559399999999</v>
      </c>
      <c r="EC308">
        <v>2828</v>
      </c>
      <c r="ED308">
        <v>3211</v>
      </c>
      <c r="EE308">
        <v>90.850097000000005</v>
      </c>
      <c r="EF308">
        <v>99.545749999999998</v>
      </c>
      <c r="EG308">
        <v>53.507398000000002</v>
      </c>
      <c r="EH308">
        <v>80.992166999999995</v>
      </c>
      <c r="EI308">
        <v>99.740427999999994</v>
      </c>
      <c r="EJ308">
        <v>150.97339400000001</v>
      </c>
      <c r="EK308">
        <v>2800</v>
      </c>
      <c r="EL308">
        <v>3068</v>
      </c>
      <c r="EM308">
        <v>3074</v>
      </c>
      <c r="EN308">
        <v>4653</v>
      </c>
      <c r="EO308">
        <v>3082</v>
      </c>
      <c r="EP308">
        <v>5745</v>
      </c>
      <c r="EQ308">
        <v>44.742047999999997</v>
      </c>
    </row>
    <row r="309" spans="1:147" x14ac:dyDescent="0.25">
      <c r="A309">
        <v>2022</v>
      </c>
      <c r="B309" t="str">
        <f t="shared" si="8"/>
        <v>RD</v>
      </c>
      <c r="C309" t="s">
        <v>1629</v>
      </c>
      <c r="D309" t="s">
        <v>1629</v>
      </c>
      <c r="E309">
        <v>27498</v>
      </c>
      <c r="F309" t="s">
        <v>1630</v>
      </c>
      <c r="G309" t="s">
        <v>259</v>
      </c>
      <c r="H309" t="s">
        <v>1631</v>
      </c>
      <c r="I309">
        <v>32.97</v>
      </c>
      <c r="J309">
        <v>32.97</v>
      </c>
      <c r="K309" t="s">
        <v>261</v>
      </c>
      <c r="L309">
        <v>1</v>
      </c>
      <c r="M309">
        <v>2019</v>
      </c>
      <c r="N309">
        <v>2</v>
      </c>
      <c r="O309" t="str">
        <f t="shared" si="9"/>
        <v>Talhadia</v>
      </c>
      <c r="P309" s="2">
        <v>43693</v>
      </c>
      <c r="Q309" t="s">
        <v>237</v>
      </c>
      <c r="R309" t="s">
        <v>165</v>
      </c>
      <c r="S309" t="s">
        <v>154</v>
      </c>
      <c r="T309" t="s">
        <v>221</v>
      </c>
      <c r="U309" t="s">
        <v>156</v>
      </c>
      <c r="V309" s="2">
        <v>44796</v>
      </c>
      <c r="W309" t="s">
        <v>263</v>
      </c>
      <c r="X309">
        <v>166.99</v>
      </c>
      <c r="Y309">
        <v>21.2</v>
      </c>
      <c r="Z309">
        <v>10</v>
      </c>
      <c r="AA309">
        <v>15.2</v>
      </c>
      <c r="AB309">
        <v>3</v>
      </c>
      <c r="AC309">
        <v>322.24</v>
      </c>
      <c r="AD309">
        <v>316.90954079064699</v>
      </c>
      <c r="AE309" s="2">
        <v>44796</v>
      </c>
      <c r="AF309">
        <v>36</v>
      </c>
      <c r="AG309">
        <v>3.0198494182067099</v>
      </c>
      <c r="AH309">
        <v>20.804125998579401</v>
      </c>
      <c r="AI309">
        <v>13.788</v>
      </c>
      <c r="AJ309">
        <v>12.3441593106842</v>
      </c>
      <c r="AK309">
        <v>25</v>
      </c>
      <c r="AL309">
        <v>788.86864490189703</v>
      </c>
      <c r="AM309">
        <v>117.745295977693</v>
      </c>
      <c r="AN309">
        <v>0.149258430714198</v>
      </c>
      <c r="AO309" t="s">
        <v>165</v>
      </c>
      <c r="AP309" t="s">
        <v>264</v>
      </c>
      <c r="AQ309" t="s">
        <v>166</v>
      </c>
      <c r="AR309">
        <v>7.5</v>
      </c>
      <c r="AS309">
        <v>0.5916514836764224</v>
      </c>
      <c r="AT309" t="s">
        <v>1632</v>
      </c>
      <c r="AU309" t="s">
        <v>1633</v>
      </c>
      <c r="AV309">
        <v>4596</v>
      </c>
      <c r="AW309">
        <v>3109</v>
      </c>
      <c r="AX309">
        <v>1417</v>
      </c>
      <c r="AY309">
        <v>69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-1.17</v>
      </c>
      <c r="BH309">
        <v>24.67</v>
      </c>
      <c r="BI309">
        <v>8.5756530000000009</v>
      </c>
      <c r="BJ309">
        <v>-0.34968199999999999</v>
      </c>
      <c r="BK309">
        <v>9.8849020000000003</v>
      </c>
      <c r="BL309">
        <v>97.711287999999996</v>
      </c>
      <c r="BM309">
        <v>1.152671</v>
      </c>
      <c r="BN309">
        <v>20.079999999999998</v>
      </c>
      <c r="BO309">
        <v>0.37676599999999999</v>
      </c>
      <c r="BP309">
        <v>1.2396</v>
      </c>
      <c r="BQ309">
        <v>9.5616149999999998</v>
      </c>
      <c r="BR309">
        <v>0.66</v>
      </c>
      <c r="BS309">
        <v>0.80968200000000001</v>
      </c>
      <c r="BT309">
        <v>8.5756530000000009</v>
      </c>
      <c r="BU309">
        <v>5.149972</v>
      </c>
      <c r="BV309">
        <v>1.045061</v>
      </c>
      <c r="BW309">
        <v>-0.819963</v>
      </c>
      <c r="BX309">
        <v>0.60053400000000001</v>
      </c>
      <c r="BY309">
        <v>0.202926</v>
      </c>
      <c r="BZ309">
        <v>-0.159217</v>
      </c>
      <c r="CA309">
        <v>-0.43</v>
      </c>
      <c r="CB309">
        <v>-0.22</v>
      </c>
      <c r="CC309">
        <v>-0.13</v>
      </c>
      <c r="CD309">
        <v>-0.03</v>
      </c>
      <c r="CE309">
        <v>0.02</v>
      </c>
      <c r="CF309">
        <v>7.0000000000000007E-2</v>
      </c>
      <c r="CG309">
        <v>0.18</v>
      </c>
      <c r="CH309">
        <v>0.46</v>
      </c>
      <c r="CI309">
        <v>14.76</v>
      </c>
      <c r="CJ309">
        <v>19.395</v>
      </c>
      <c r="CK309">
        <v>20.100000000000001</v>
      </c>
      <c r="CL309">
        <v>20.610001</v>
      </c>
      <c r="CM309">
        <v>21.665001</v>
      </c>
      <c r="CN309">
        <v>22.5</v>
      </c>
      <c r="CO309">
        <v>23.59</v>
      </c>
      <c r="CP309">
        <v>0.37715399999999999</v>
      </c>
      <c r="CQ309">
        <v>13.085559</v>
      </c>
      <c r="CR309">
        <v>15.194157000000001</v>
      </c>
      <c r="CS309">
        <v>1</v>
      </c>
      <c r="CT309">
        <v>57</v>
      </c>
      <c r="CU309">
        <v>20.221062</v>
      </c>
      <c r="CV309">
        <v>1</v>
      </c>
      <c r="CW309">
        <v>13.598481</v>
      </c>
      <c r="CX309">
        <v>184.91869399999999</v>
      </c>
      <c r="CY309">
        <v>0.67249099999999995</v>
      </c>
      <c r="CZ309">
        <v>23</v>
      </c>
      <c r="DA309">
        <v>0.44303100000000001</v>
      </c>
      <c r="DB309">
        <v>2.063523</v>
      </c>
      <c r="DC309">
        <v>11.604962</v>
      </c>
      <c r="DD309">
        <v>20.221062</v>
      </c>
      <c r="DE309">
        <v>7.7334620000000003</v>
      </c>
      <c r="DF309">
        <v>0.95019900000000002</v>
      </c>
      <c r="DG309">
        <v>0.19765099999999999</v>
      </c>
      <c r="DH309">
        <v>0.38244600000000001</v>
      </c>
      <c r="DI309">
        <v>0.12286900000000001</v>
      </c>
      <c r="DJ309">
        <v>2.5558000000000001E-2</v>
      </c>
      <c r="DK309">
        <v>1</v>
      </c>
      <c r="DL309">
        <v>2</v>
      </c>
      <c r="DM309">
        <v>3</v>
      </c>
      <c r="DN309">
        <v>7</v>
      </c>
      <c r="DO309">
        <v>9</v>
      </c>
      <c r="DP309">
        <v>11</v>
      </c>
      <c r="DQ309">
        <v>14</v>
      </c>
      <c r="DR309">
        <v>17</v>
      </c>
      <c r="DS309">
        <v>21</v>
      </c>
      <c r="DT309">
        <v>29</v>
      </c>
      <c r="DU309">
        <v>32</v>
      </c>
      <c r="DV309">
        <v>35</v>
      </c>
      <c r="DW309">
        <v>41</v>
      </c>
      <c r="DX309">
        <v>44</v>
      </c>
      <c r="DY309">
        <v>49</v>
      </c>
      <c r="DZ309">
        <v>62.367320999999997</v>
      </c>
      <c r="EA309">
        <v>44.016536000000002</v>
      </c>
      <c r="EB309">
        <v>65.069153999999997</v>
      </c>
      <c r="EC309">
        <v>1939</v>
      </c>
      <c r="ED309">
        <v>2023</v>
      </c>
      <c r="EE309">
        <v>60.308781000000003</v>
      </c>
      <c r="EF309">
        <v>99.967834999999994</v>
      </c>
      <c r="EG309">
        <v>42.145344000000001</v>
      </c>
      <c r="EH309">
        <v>98.21584</v>
      </c>
      <c r="EI309">
        <v>62.302990999999999</v>
      </c>
      <c r="EJ309">
        <v>145.19138000000001</v>
      </c>
      <c r="EK309">
        <v>1875</v>
      </c>
      <c r="EL309">
        <v>3108</v>
      </c>
      <c r="EM309">
        <v>1937</v>
      </c>
      <c r="EN309">
        <v>4514</v>
      </c>
      <c r="EO309">
        <v>3109</v>
      </c>
      <c r="EP309">
        <v>4596</v>
      </c>
      <c r="EQ309">
        <v>35.518503000000003</v>
      </c>
    </row>
    <row r="310" spans="1:147" x14ac:dyDescent="0.25">
      <c r="A310">
        <v>2022</v>
      </c>
      <c r="B310" t="str">
        <f t="shared" si="8"/>
        <v>GN</v>
      </c>
      <c r="C310" t="s">
        <v>1634</v>
      </c>
      <c r="D310" t="s">
        <v>1634</v>
      </c>
      <c r="E310">
        <v>27509</v>
      </c>
      <c r="F310" t="s">
        <v>1595</v>
      </c>
      <c r="G310" t="s">
        <v>1596</v>
      </c>
      <c r="H310" t="s">
        <v>1635</v>
      </c>
      <c r="I310">
        <v>31.85</v>
      </c>
      <c r="J310">
        <v>31.85</v>
      </c>
      <c r="K310" t="s">
        <v>279</v>
      </c>
      <c r="L310">
        <v>1</v>
      </c>
      <c r="M310">
        <v>2019</v>
      </c>
      <c r="N310">
        <v>3</v>
      </c>
      <c r="O310" t="str">
        <f t="shared" si="9"/>
        <v>Alto fuste</v>
      </c>
      <c r="P310" s="2">
        <v>43524</v>
      </c>
      <c r="Q310" t="s">
        <v>174</v>
      </c>
      <c r="R310" t="s">
        <v>470</v>
      </c>
      <c r="S310" t="s">
        <v>154</v>
      </c>
      <c r="T310" t="s">
        <v>279</v>
      </c>
      <c r="U310" t="s">
        <v>156</v>
      </c>
      <c r="V310" s="2">
        <v>44742</v>
      </c>
      <c r="W310" t="s">
        <v>1598</v>
      </c>
      <c r="X310">
        <v>144.68</v>
      </c>
      <c r="Y310">
        <v>20.5</v>
      </c>
      <c r="Z310">
        <v>8</v>
      </c>
      <c r="AA310">
        <v>15.6</v>
      </c>
      <c r="AB310">
        <v>3</v>
      </c>
      <c r="AC310">
        <v>319.8</v>
      </c>
      <c r="AD310">
        <v>316.25371885815201</v>
      </c>
      <c r="AE310" s="2">
        <v>44742</v>
      </c>
      <c r="AF310">
        <v>40</v>
      </c>
      <c r="AG310">
        <v>3.3347022587269</v>
      </c>
      <c r="AH310">
        <v>22.705556895063999</v>
      </c>
      <c r="AI310">
        <v>13.4342857142857</v>
      </c>
      <c r="AJ310">
        <v>15.7719507321258</v>
      </c>
      <c r="AK310">
        <v>35</v>
      </c>
      <c r="AL310">
        <v>1106.70635356856</v>
      </c>
      <c r="AM310">
        <v>159.85871466183301</v>
      </c>
      <c r="AN310">
        <v>0.144445465724826</v>
      </c>
      <c r="AO310" t="s">
        <v>470</v>
      </c>
      <c r="AP310" t="s">
        <v>158</v>
      </c>
      <c r="AQ310" t="s">
        <v>530</v>
      </c>
      <c r="AR310">
        <v>9</v>
      </c>
      <c r="AS310">
        <v>0.99603571821169845</v>
      </c>
      <c r="AT310" t="s">
        <v>1636</v>
      </c>
      <c r="AU310" t="s">
        <v>1637</v>
      </c>
      <c r="AV310">
        <v>2740</v>
      </c>
      <c r="AW310">
        <v>1644</v>
      </c>
      <c r="AX310">
        <v>1068</v>
      </c>
      <c r="AY310">
        <v>26</v>
      </c>
      <c r="AZ310">
        <v>2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-0.88400000000000001</v>
      </c>
      <c r="BH310">
        <v>22.032</v>
      </c>
      <c r="BI310">
        <v>10.093858000000001</v>
      </c>
      <c r="BJ310">
        <v>-0.15650800000000001</v>
      </c>
      <c r="BK310">
        <v>9.4717490000000009</v>
      </c>
      <c r="BL310">
        <v>89.714028999999996</v>
      </c>
      <c r="BM310">
        <v>0.93836799999999998</v>
      </c>
      <c r="BN310">
        <v>19.052250000000001</v>
      </c>
      <c r="BO310">
        <v>-0.108621</v>
      </c>
      <c r="BP310">
        <v>1.0549580000000001</v>
      </c>
      <c r="BQ310">
        <v>9.3846740000000004</v>
      </c>
      <c r="BR310">
        <v>3.9805009999999998</v>
      </c>
      <c r="BS310">
        <v>16.991508</v>
      </c>
      <c r="BT310">
        <v>10.093858000000001</v>
      </c>
      <c r="BU310">
        <v>4.9430560000000003</v>
      </c>
      <c r="BV310">
        <v>-7.8824000000000005E-2</v>
      </c>
      <c r="BW310">
        <v>-1.0179830000000001</v>
      </c>
      <c r="BX310">
        <v>0.48970900000000001</v>
      </c>
      <c r="BY310">
        <v>-1.5945999999999998E-2</v>
      </c>
      <c r="BZ310">
        <v>-0.20594199999999999</v>
      </c>
      <c r="CA310">
        <v>-0.47865999999999997</v>
      </c>
      <c r="CB310">
        <v>-0.23599999999999999</v>
      </c>
      <c r="CC310">
        <v>-0.16400000000000001</v>
      </c>
      <c r="CD310">
        <v>-4.9200000000000001E-2</v>
      </c>
      <c r="CE310">
        <v>-1E-3</v>
      </c>
      <c r="CF310">
        <v>4.2999999999999997E-2</v>
      </c>
      <c r="CG310">
        <v>0.1686</v>
      </c>
      <c r="CH310">
        <v>16.834999</v>
      </c>
      <c r="CI310">
        <v>18.087399999999999</v>
      </c>
      <c r="CJ310">
        <v>18.768599999999999</v>
      </c>
      <c r="CK310">
        <v>19.05125</v>
      </c>
      <c r="CL310">
        <v>19.387599999999999</v>
      </c>
      <c r="CM310">
        <v>20.048100000000002</v>
      </c>
      <c r="CN310">
        <v>20.599050999999999</v>
      </c>
      <c r="CO310">
        <v>21.342269999999999</v>
      </c>
      <c r="CP310">
        <v>0.47904799999999997</v>
      </c>
      <c r="CQ310">
        <v>13.840782000000001</v>
      </c>
      <c r="CR310">
        <v>15.399407999999999</v>
      </c>
      <c r="CS310">
        <v>1</v>
      </c>
      <c r="CT310">
        <v>57</v>
      </c>
      <c r="CU310">
        <v>16.866423000000001</v>
      </c>
      <c r="CV310">
        <v>1</v>
      </c>
      <c r="CW310">
        <v>11.717733000000001</v>
      </c>
      <c r="CX310">
        <v>137.305261</v>
      </c>
      <c r="CY310">
        <v>0.69473700000000005</v>
      </c>
      <c r="CZ310">
        <v>14</v>
      </c>
      <c r="DA310">
        <v>0.90989900000000001</v>
      </c>
      <c r="DB310">
        <v>3.5075989999999999</v>
      </c>
      <c r="DC310">
        <v>9.1281090000000003</v>
      </c>
      <c r="DD310">
        <v>16.866423000000001</v>
      </c>
      <c r="DE310">
        <v>6.4307299999999996</v>
      </c>
      <c r="DF310">
        <v>1.123826</v>
      </c>
      <c r="DG310">
        <v>0.80171599999999998</v>
      </c>
      <c r="DH310">
        <v>0.381274</v>
      </c>
      <c r="DI310">
        <v>0.174759</v>
      </c>
      <c r="DJ310">
        <v>0.124669</v>
      </c>
      <c r="DK310">
        <v>1</v>
      </c>
      <c r="DL310">
        <v>2</v>
      </c>
      <c r="DM310">
        <v>3</v>
      </c>
      <c r="DN310">
        <v>6</v>
      </c>
      <c r="DO310">
        <v>8</v>
      </c>
      <c r="DP310">
        <v>9</v>
      </c>
      <c r="DQ310">
        <v>12</v>
      </c>
      <c r="DR310">
        <v>15</v>
      </c>
      <c r="DS310">
        <v>18</v>
      </c>
      <c r="DT310">
        <v>21</v>
      </c>
      <c r="DU310">
        <v>22</v>
      </c>
      <c r="DV310">
        <v>24</v>
      </c>
      <c r="DW310">
        <v>34</v>
      </c>
      <c r="DX310">
        <v>42</v>
      </c>
      <c r="DY310">
        <v>50</v>
      </c>
      <c r="DZ310">
        <v>87.956204</v>
      </c>
      <c r="EA310">
        <v>53.79562</v>
      </c>
      <c r="EB310">
        <v>89.659367000000003</v>
      </c>
      <c r="EC310">
        <v>1446</v>
      </c>
      <c r="ED310">
        <v>1474</v>
      </c>
      <c r="EE310">
        <v>87.712895000000003</v>
      </c>
      <c r="EF310">
        <v>100</v>
      </c>
      <c r="EG310">
        <v>53.357664</v>
      </c>
      <c r="EH310">
        <v>89.635035999999999</v>
      </c>
      <c r="EI310">
        <v>88.92944</v>
      </c>
      <c r="EJ310">
        <v>149.391727</v>
      </c>
      <c r="EK310">
        <v>1442</v>
      </c>
      <c r="EL310">
        <v>1644</v>
      </c>
      <c r="EM310">
        <v>1462</v>
      </c>
      <c r="EN310">
        <v>2456</v>
      </c>
      <c r="EO310">
        <v>1644</v>
      </c>
      <c r="EP310">
        <v>2740</v>
      </c>
      <c r="EQ310">
        <v>46.442635000000003</v>
      </c>
    </row>
    <row r="311" spans="1:147" x14ac:dyDescent="0.25">
      <c r="A311">
        <v>2025</v>
      </c>
      <c r="B311" t="str">
        <f t="shared" si="8"/>
        <v>GN</v>
      </c>
      <c r="C311" t="s">
        <v>1638</v>
      </c>
      <c r="D311" t="s">
        <v>1638</v>
      </c>
      <c r="E311">
        <v>28366</v>
      </c>
      <c r="F311" t="s">
        <v>1639</v>
      </c>
      <c r="G311" t="s">
        <v>1640</v>
      </c>
      <c r="H311" t="s">
        <v>1641</v>
      </c>
      <c r="I311">
        <v>16.79</v>
      </c>
      <c r="J311">
        <v>16.79</v>
      </c>
      <c r="K311" t="s">
        <v>277</v>
      </c>
      <c r="L311">
        <v>1</v>
      </c>
      <c r="M311">
        <v>2021</v>
      </c>
      <c r="O311" t="str">
        <f t="shared" si="9"/>
        <v>Talhadia</v>
      </c>
      <c r="P311" s="2">
        <v>44377</v>
      </c>
      <c r="Q311" t="s">
        <v>152</v>
      </c>
      <c r="R311" t="s">
        <v>200</v>
      </c>
      <c r="S311" t="s">
        <v>154</v>
      </c>
      <c r="T311" t="s">
        <v>279</v>
      </c>
      <c r="U311" t="s">
        <v>156</v>
      </c>
      <c r="V311" s="2">
        <v>45716</v>
      </c>
      <c r="W311" t="s">
        <v>1642</v>
      </c>
      <c r="X311">
        <v>31.07</v>
      </c>
      <c r="Y311">
        <v>20.5</v>
      </c>
      <c r="Z311">
        <v>22</v>
      </c>
      <c r="AA311">
        <v>16.5</v>
      </c>
      <c r="AB311">
        <v>4</v>
      </c>
      <c r="AC311">
        <v>338.25</v>
      </c>
      <c r="AD311">
        <v>312.85597639876403</v>
      </c>
      <c r="AE311" s="2">
        <v>45716</v>
      </c>
      <c r="AF311">
        <v>44</v>
      </c>
      <c r="AG311">
        <v>3.6659822039698802</v>
      </c>
      <c r="AH311">
        <v>23.402905237484301</v>
      </c>
      <c r="AI311">
        <v>14.7214285714286</v>
      </c>
      <c r="AJ311">
        <v>15.5333400259291</v>
      </c>
      <c r="AK311">
        <v>28</v>
      </c>
      <c r="AL311">
        <v>894.98050580025904</v>
      </c>
      <c r="AM311">
        <v>178.48976765282401</v>
      </c>
      <c r="AN311">
        <v>0.19943425191504599</v>
      </c>
      <c r="AO311" t="s">
        <v>200</v>
      </c>
      <c r="AP311" t="s">
        <v>264</v>
      </c>
      <c r="AQ311" t="s">
        <v>286</v>
      </c>
      <c r="AR311">
        <v>9.99</v>
      </c>
      <c r="AS311">
        <v>0.89408552529445962</v>
      </c>
      <c r="AT311" t="s">
        <v>1643</v>
      </c>
      <c r="AU311" t="s">
        <v>1638</v>
      </c>
      <c r="AV311">
        <v>1249</v>
      </c>
      <c r="AW311">
        <v>694</v>
      </c>
      <c r="AX311">
        <v>389</v>
      </c>
      <c r="AY311">
        <v>144</v>
      </c>
      <c r="AZ311">
        <v>22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24.236999999999998</v>
      </c>
      <c r="BI311">
        <v>11.838372</v>
      </c>
      <c r="BJ311">
        <v>0</v>
      </c>
      <c r="BK311">
        <v>9.6721260000000004</v>
      </c>
      <c r="BL311">
        <v>93.550015000000002</v>
      </c>
      <c r="BM311">
        <v>0.81701500000000005</v>
      </c>
      <c r="BN311">
        <v>20.555001000000001</v>
      </c>
      <c r="BO311">
        <v>-0.23585200000000001</v>
      </c>
      <c r="BP311">
        <v>1.1847749999999999</v>
      </c>
      <c r="BQ311">
        <v>9.3580260000000006</v>
      </c>
      <c r="BR311">
        <v>5.0330009999999996</v>
      </c>
      <c r="BS311">
        <v>17.469999000000001</v>
      </c>
      <c r="BT311">
        <v>11.838372</v>
      </c>
      <c r="BU311">
        <v>5.2147220000000001</v>
      </c>
      <c r="BV311">
        <v>-0.37930799999999998</v>
      </c>
      <c r="BW311">
        <v>-0.89830900000000002</v>
      </c>
      <c r="BX311">
        <v>0.44049300000000002</v>
      </c>
      <c r="BY311">
        <v>-7.2737999999999997E-2</v>
      </c>
      <c r="BZ311">
        <v>-0.172264</v>
      </c>
      <c r="CA311">
        <v>1E-3</v>
      </c>
      <c r="CB311">
        <v>8.9999999999999993E-3</v>
      </c>
      <c r="CC311">
        <v>0.02</v>
      </c>
      <c r="CD311">
        <v>6.3600000000000004E-2</v>
      </c>
      <c r="CE311">
        <v>0.13100000000000001</v>
      </c>
      <c r="CF311">
        <v>0.42359999999999998</v>
      </c>
      <c r="CG311">
        <v>4.6734</v>
      </c>
      <c r="CH311">
        <v>17.469999000000001</v>
      </c>
      <c r="CI311">
        <v>19.1084</v>
      </c>
      <c r="CJ311">
        <v>20.216200000000001</v>
      </c>
      <c r="CK311">
        <v>20.686001000000001</v>
      </c>
      <c r="CL311">
        <v>21.141400999999998</v>
      </c>
      <c r="CM311">
        <v>22.115798999999999</v>
      </c>
      <c r="CN311">
        <v>22.595199999999998</v>
      </c>
      <c r="CO311">
        <v>23.58596</v>
      </c>
      <c r="CP311">
        <v>0.48844199999999999</v>
      </c>
      <c r="CQ311">
        <v>15.284703</v>
      </c>
      <c r="CR311">
        <v>16.828322</v>
      </c>
      <c r="CS311">
        <v>19</v>
      </c>
      <c r="CT311">
        <v>584</v>
      </c>
      <c r="CU311">
        <v>146.25220200000001</v>
      </c>
      <c r="CV311">
        <v>45.904761999999998</v>
      </c>
      <c r="CW311">
        <v>123.288214</v>
      </c>
      <c r="CX311">
        <v>15199.983620000001</v>
      </c>
      <c r="CY311">
        <v>0.84298399999999996</v>
      </c>
      <c r="CZ311">
        <v>121</v>
      </c>
      <c r="DA311">
        <v>1.5418750000000001</v>
      </c>
      <c r="DB311">
        <v>4.597423</v>
      </c>
      <c r="DC311">
        <v>92.665402999999998</v>
      </c>
      <c r="DD311">
        <v>146.25220200000001</v>
      </c>
      <c r="DE311">
        <v>62.298352000000001</v>
      </c>
      <c r="DF311">
        <v>22.940147</v>
      </c>
      <c r="DG311">
        <v>10.413864</v>
      </c>
      <c r="DH311">
        <v>0.42596499999999998</v>
      </c>
      <c r="DI311">
        <v>0.36823</v>
      </c>
      <c r="DJ311">
        <v>0.167161</v>
      </c>
      <c r="DK311">
        <v>26.48</v>
      </c>
      <c r="DL311">
        <v>34</v>
      </c>
      <c r="DM311">
        <v>40</v>
      </c>
      <c r="DN311">
        <v>52</v>
      </c>
      <c r="DO311">
        <v>60</v>
      </c>
      <c r="DP311">
        <v>66</v>
      </c>
      <c r="DQ311">
        <v>81.200012000000001</v>
      </c>
      <c r="DR311">
        <v>103</v>
      </c>
      <c r="DS311">
        <v>128</v>
      </c>
      <c r="DT311">
        <v>159</v>
      </c>
      <c r="DU311">
        <v>181</v>
      </c>
      <c r="DV311">
        <v>212</v>
      </c>
      <c r="DW311">
        <v>350.99975599999999</v>
      </c>
      <c r="DX311">
        <v>446.199951</v>
      </c>
      <c r="DY311">
        <v>522</v>
      </c>
      <c r="DZ311">
        <v>75.936599000000001</v>
      </c>
      <c r="EA311">
        <v>61.489190999999998</v>
      </c>
      <c r="EB311">
        <v>110.662824</v>
      </c>
      <c r="EC311">
        <v>527</v>
      </c>
      <c r="ED311">
        <v>768</v>
      </c>
      <c r="EE311">
        <v>72.478386</v>
      </c>
      <c r="EF311">
        <v>99.567723000000001</v>
      </c>
      <c r="EG311">
        <v>56.445155999999997</v>
      </c>
      <c r="EH311">
        <v>99.599680000000006</v>
      </c>
      <c r="EI311">
        <v>101.585014</v>
      </c>
      <c r="EJ311">
        <v>179.25072</v>
      </c>
      <c r="EK311">
        <v>503</v>
      </c>
      <c r="EL311">
        <v>691</v>
      </c>
      <c r="EM311">
        <v>705</v>
      </c>
      <c r="EN311">
        <v>1244</v>
      </c>
      <c r="EO311">
        <v>694</v>
      </c>
      <c r="EP311">
        <v>1249</v>
      </c>
      <c r="EQ311">
        <v>49.186759000000002</v>
      </c>
    </row>
    <row r="312" spans="1:147" x14ac:dyDescent="0.25">
      <c r="A312">
        <v>2025</v>
      </c>
      <c r="B312" t="str">
        <f t="shared" si="8"/>
        <v>GN</v>
      </c>
      <c r="C312" t="s">
        <v>1644</v>
      </c>
      <c r="D312" t="s">
        <v>1644</v>
      </c>
      <c r="E312">
        <v>28367</v>
      </c>
      <c r="F312" t="s">
        <v>1639</v>
      </c>
      <c r="G312" t="s">
        <v>1640</v>
      </c>
      <c r="H312" t="s">
        <v>1641</v>
      </c>
      <c r="I312">
        <v>16.79</v>
      </c>
      <c r="J312">
        <v>16.79</v>
      </c>
      <c r="K312" t="s">
        <v>277</v>
      </c>
      <c r="L312">
        <v>1</v>
      </c>
      <c r="M312">
        <v>2021</v>
      </c>
      <c r="O312" t="str">
        <f t="shared" si="9"/>
        <v>Talhadia</v>
      </c>
      <c r="P312" s="2">
        <v>44377</v>
      </c>
      <c r="Q312" t="s">
        <v>152</v>
      </c>
      <c r="R312" t="s">
        <v>200</v>
      </c>
      <c r="S312" t="s">
        <v>154</v>
      </c>
      <c r="T312" t="s">
        <v>279</v>
      </c>
      <c r="U312" t="s">
        <v>156</v>
      </c>
      <c r="V312" s="2">
        <v>44743</v>
      </c>
      <c r="W312" t="s">
        <v>1642</v>
      </c>
      <c r="X312">
        <v>31.07</v>
      </c>
      <c r="Y312">
        <v>21</v>
      </c>
      <c r="Z312">
        <v>10</v>
      </c>
      <c r="AA312">
        <v>16</v>
      </c>
      <c r="AB312">
        <v>4</v>
      </c>
      <c r="AC312">
        <v>336</v>
      </c>
      <c r="AD312">
        <v>330.08936043623697</v>
      </c>
      <c r="AE312" s="2">
        <v>45716</v>
      </c>
      <c r="AF312">
        <v>44</v>
      </c>
      <c r="AG312">
        <v>3.6659822039698802</v>
      </c>
      <c r="AH312">
        <v>22.521829427644999</v>
      </c>
      <c r="AI312">
        <v>14.7275862068966</v>
      </c>
      <c r="AJ312">
        <v>15.478124688618999</v>
      </c>
      <c r="AK312">
        <v>29</v>
      </c>
      <c r="AL312">
        <v>878.54997694183101</v>
      </c>
      <c r="AM312">
        <v>174.910666651978</v>
      </c>
      <c r="AN312">
        <v>0.19909017271940499</v>
      </c>
      <c r="AO312" t="s">
        <v>200</v>
      </c>
      <c r="AP312" t="s">
        <v>264</v>
      </c>
      <c r="AQ312" t="s">
        <v>286</v>
      </c>
      <c r="AR312">
        <v>9.99</v>
      </c>
      <c r="AS312">
        <v>0.87767142696488998</v>
      </c>
      <c r="AT312" t="s">
        <v>1645</v>
      </c>
      <c r="AU312" t="s">
        <v>1644</v>
      </c>
      <c r="AV312">
        <v>907</v>
      </c>
      <c r="AW312">
        <v>469</v>
      </c>
      <c r="AX312">
        <v>299</v>
      </c>
      <c r="AY312">
        <v>121</v>
      </c>
      <c r="AZ312">
        <v>16</v>
      </c>
      <c r="BA312">
        <v>2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2E-3</v>
      </c>
      <c r="BH312">
        <v>27.055</v>
      </c>
      <c r="BI312">
        <v>12.155970999999999</v>
      </c>
      <c r="BJ312">
        <v>2E-3</v>
      </c>
      <c r="BK312">
        <v>9.2184629999999999</v>
      </c>
      <c r="BL312">
        <v>84.980054999999993</v>
      </c>
      <c r="BM312">
        <v>0.75834900000000005</v>
      </c>
      <c r="BN312">
        <v>18.9345</v>
      </c>
      <c r="BO312">
        <v>8.829E-3</v>
      </c>
      <c r="BP312">
        <v>1.3995299999999999</v>
      </c>
      <c r="BQ312">
        <v>8.4324499999999993</v>
      </c>
      <c r="BR312">
        <v>9.6570009999999993</v>
      </c>
      <c r="BS312">
        <v>11.551000999999999</v>
      </c>
      <c r="BT312">
        <v>12.155970999999999</v>
      </c>
      <c r="BU312">
        <v>5.2420850000000003</v>
      </c>
      <c r="BV312">
        <v>2.4837000000000001E-2</v>
      </c>
      <c r="BW312">
        <v>-0.55821299999999996</v>
      </c>
      <c r="BX312">
        <v>0.43123499999999998</v>
      </c>
      <c r="BY312">
        <v>4.738E-3</v>
      </c>
      <c r="BZ312">
        <v>-0.106487</v>
      </c>
      <c r="CA312">
        <v>2.018E-2</v>
      </c>
      <c r="CB312">
        <v>7.8299999999999995E-2</v>
      </c>
      <c r="CC312">
        <v>0.2112</v>
      </c>
      <c r="CD312">
        <v>1.1514</v>
      </c>
      <c r="CE312">
        <v>2.4790000000000001</v>
      </c>
      <c r="CF312">
        <v>4.2469999999999999</v>
      </c>
      <c r="CG312">
        <v>7.5275999999999996</v>
      </c>
      <c r="CH312">
        <v>11.553000000000001</v>
      </c>
      <c r="CI312">
        <v>17.671600000000002</v>
      </c>
      <c r="CJ312">
        <v>20.702998999999998</v>
      </c>
      <c r="CK312">
        <v>21.413499999999999</v>
      </c>
      <c r="CL312">
        <v>22.337199999999999</v>
      </c>
      <c r="CM312">
        <v>23.680799</v>
      </c>
      <c r="CN312">
        <v>24.487400000000001</v>
      </c>
      <c r="CO312">
        <v>25.794661000000001</v>
      </c>
      <c r="CP312">
        <v>0.44926500000000003</v>
      </c>
      <c r="CQ312">
        <v>15.253</v>
      </c>
      <c r="CR312">
        <v>16.983597</v>
      </c>
      <c r="CS312">
        <v>24</v>
      </c>
      <c r="CT312">
        <v>531</v>
      </c>
      <c r="CU312">
        <v>114.628445</v>
      </c>
      <c r="CV312">
        <v>48.142856999999999</v>
      </c>
      <c r="CW312">
        <v>86.411420000000007</v>
      </c>
      <c r="CX312">
        <v>7466.9335389999997</v>
      </c>
      <c r="CY312">
        <v>0.75383900000000004</v>
      </c>
      <c r="CZ312">
        <v>88.5</v>
      </c>
      <c r="DA312">
        <v>1.7631190000000001</v>
      </c>
      <c r="DB312">
        <v>6.2883690000000003</v>
      </c>
      <c r="DC312">
        <v>63.862999000000002</v>
      </c>
      <c r="DD312">
        <v>114.628445</v>
      </c>
      <c r="DE312">
        <v>43.418821999999999</v>
      </c>
      <c r="DF312">
        <v>15.148315</v>
      </c>
      <c r="DG312">
        <v>7.7340140000000002</v>
      </c>
      <c r="DH312">
        <v>0.37877899999999998</v>
      </c>
      <c r="DI312">
        <v>0.34888799999999998</v>
      </c>
      <c r="DJ312">
        <v>0.17812600000000001</v>
      </c>
      <c r="DK312">
        <v>27</v>
      </c>
      <c r="DL312">
        <v>34</v>
      </c>
      <c r="DM312">
        <v>39</v>
      </c>
      <c r="DN312">
        <v>49</v>
      </c>
      <c r="DO312">
        <v>54</v>
      </c>
      <c r="DP312">
        <v>58.799987999999999</v>
      </c>
      <c r="DQ312">
        <v>72</v>
      </c>
      <c r="DR312">
        <v>88</v>
      </c>
      <c r="DS312">
        <v>104</v>
      </c>
      <c r="DT312">
        <v>126.200012</v>
      </c>
      <c r="DU312">
        <v>142.5</v>
      </c>
      <c r="DV312">
        <v>168.79998800000001</v>
      </c>
      <c r="DW312">
        <v>227.400024</v>
      </c>
      <c r="DX312">
        <v>315.800049</v>
      </c>
      <c r="DY312">
        <v>421.92004400000002</v>
      </c>
      <c r="DZ312">
        <v>89.978678000000002</v>
      </c>
      <c r="EA312">
        <v>73.980153999999999</v>
      </c>
      <c r="EB312">
        <v>143.07036199999999</v>
      </c>
      <c r="EC312">
        <v>422</v>
      </c>
      <c r="ED312">
        <v>671</v>
      </c>
      <c r="EE312">
        <v>70.575693000000001</v>
      </c>
      <c r="EF312">
        <v>100</v>
      </c>
      <c r="EG312">
        <v>47.298786999999997</v>
      </c>
      <c r="EH312">
        <v>99.889746000000002</v>
      </c>
      <c r="EI312">
        <v>91.471215000000001</v>
      </c>
      <c r="EJ312">
        <v>193.17697200000001</v>
      </c>
      <c r="EK312">
        <v>331</v>
      </c>
      <c r="EL312">
        <v>469</v>
      </c>
      <c r="EM312">
        <v>429</v>
      </c>
      <c r="EN312">
        <v>906</v>
      </c>
      <c r="EO312">
        <v>469</v>
      </c>
      <c r="EP312">
        <v>907</v>
      </c>
      <c r="EQ312">
        <v>46.095851000000003</v>
      </c>
    </row>
    <row r="313" spans="1:147" x14ac:dyDescent="0.25">
      <c r="A313">
        <v>2025</v>
      </c>
      <c r="B313" t="str">
        <f t="shared" si="8"/>
        <v>GN</v>
      </c>
      <c r="C313" t="s">
        <v>1646</v>
      </c>
      <c r="D313" t="s">
        <v>1646</v>
      </c>
      <c r="E313">
        <v>27433</v>
      </c>
      <c r="F313" t="s">
        <v>1647</v>
      </c>
      <c r="G313" t="s">
        <v>1612</v>
      </c>
      <c r="H313" t="s">
        <v>1648</v>
      </c>
      <c r="I313">
        <v>50.21</v>
      </c>
      <c r="J313">
        <v>50.21</v>
      </c>
      <c r="K313" t="s">
        <v>277</v>
      </c>
      <c r="L313">
        <v>1</v>
      </c>
      <c r="M313">
        <v>2019</v>
      </c>
      <c r="O313" t="str">
        <f t="shared" si="9"/>
        <v>Talhadia</v>
      </c>
      <c r="P313" s="2">
        <v>43580</v>
      </c>
      <c r="Q313" t="s">
        <v>174</v>
      </c>
      <c r="R313" t="s">
        <v>164</v>
      </c>
      <c r="S313" t="s">
        <v>154</v>
      </c>
      <c r="T313" t="s">
        <v>279</v>
      </c>
      <c r="U313" t="s">
        <v>156</v>
      </c>
      <c r="V313" s="2">
        <v>45716</v>
      </c>
      <c r="W313" t="s">
        <v>1614</v>
      </c>
      <c r="X313">
        <v>457.43000000000012</v>
      </c>
      <c r="Y313">
        <v>21.1</v>
      </c>
      <c r="Z313">
        <v>9</v>
      </c>
      <c r="AA313">
        <v>15.4</v>
      </c>
      <c r="AB313">
        <v>2</v>
      </c>
      <c r="AC313">
        <v>324.94</v>
      </c>
      <c r="AD313">
        <v>320.74394175190798</v>
      </c>
      <c r="AE313" s="2">
        <v>45716</v>
      </c>
      <c r="AF313">
        <v>70</v>
      </c>
      <c r="AG313">
        <v>5.8480492813141698</v>
      </c>
      <c r="AH313">
        <v>27.0761508759748</v>
      </c>
      <c r="AI313">
        <v>16.0657142857143</v>
      </c>
      <c r="AJ313">
        <v>22.994125582518301</v>
      </c>
      <c r="AK313">
        <v>35</v>
      </c>
      <c r="AL313">
        <v>1091.2131281055399</v>
      </c>
      <c r="AM313">
        <v>309.05415779870498</v>
      </c>
      <c r="AN313">
        <v>0.28322071082049299</v>
      </c>
      <c r="AO313" t="s">
        <v>164</v>
      </c>
      <c r="AP313" t="s">
        <v>264</v>
      </c>
      <c r="AQ313" t="s">
        <v>1649</v>
      </c>
      <c r="AR313">
        <v>9</v>
      </c>
      <c r="AS313">
        <v>0.98209181529498424</v>
      </c>
      <c r="AT313" t="s">
        <v>1650</v>
      </c>
      <c r="AU313" t="s">
        <v>1646</v>
      </c>
      <c r="AV313">
        <v>1322</v>
      </c>
      <c r="AW313">
        <v>817</v>
      </c>
      <c r="AX313">
        <v>397</v>
      </c>
      <c r="AY313">
        <v>98</v>
      </c>
      <c r="AZ313">
        <v>9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29.715</v>
      </c>
      <c r="BI313">
        <v>17.983606999999999</v>
      </c>
      <c r="BJ313">
        <v>0</v>
      </c>
      <c r="BK313">
        <v>11.302393</v>
      </c>
      <c r="BL313">
        <v>127.744089</v>
      </c>
      <c r="BM313">
        <v>0.62848300000000001</v>
      </c>
      <c r="BN313">
        <v>24.413751000000001</v>
      </c>
      <c r="BO313">
        <v>-0.80681000000000003</v>
      </c>
      <c r="BP313">
        <v>1.83345</v>
      </c>
      <c r="BQ313">
        <v>10.099411999999999</v>
      </c>
      <c r="BR313">
        <v>3.0819999999999999</v>
      </c>
      <c r="BS313">
        <v>24.283501000000001</v>
      </c>
      <c r="BT313">
        <v>17.983606999999999</v>
      </c>
      <c r="BU313">
        <v>5.8277830000000002</v>
      </c>
      <c r="BV313">
        <v>-1.6750240000000001</v>
      </c>
      <c r="BW313">
        <v>-0.28688000000000002</v>
      </c>
      <c r="BX313">
        <v>0.32406099999999999</v>
      </c>
      <c r="BY313">
        <v>-0.28742000000000001</v>
      </c>
      <c r="BZ313">
        <v>-4.9225999999999999E-2</v>
      </c>
      <c r="CA313">
        <v>1.2099999999999999E-3</v>
      </c>
      <c r="CB313">
        <v>6.0000000000000001E-3</v>
      </c>
      <c r="CC313">
        <v>1.4999999999999999E-2</v>
      </c>
      <c r="CD313">
        <v>0.04</v>
      </c>
      <c r="CE313">
        <v>2.11225</v>
      </c>
      <c r="CF313">
        <v>13.668298</v>
      </c>
      <c r="CG313">
        <v>22.645802</v>
      </c>
      <c r="CH313">
        <v>24.283501000000001</v>
      </c>
      <c r="CI313">
        <v>25.360600000000002</v>
      </c>
      <c r="CJ313">
        <v>26.253401</v>
      </c>
      <c r="CK313">
        <v>26.526001000000001</v>
      </c>
      <c r="CL313">
        <v>26.868798999999999</v>
      </c>
      <c r="CM313">
        <v>27.654800000000002</v>
      </c>
      <c r="CN313">
        <v>28.119700999999999</v>
      </c>
      <c r="CO313">
        <v>28.861588999999999</v>
      </c>
      <c r="CP313">
        <v>0.60520300000000005</v>
      </c>
      <c r="CQ313">
        <v>21.238116999999999</v>
      </c>
      <c r="CR313">
        <v>22.597113</v>
      </c>
      <c r="CS313">
        <v>21</v>
      </c>
      <c r="CT313">
        <v>755</v>
      </c>
      <c r="CU313">
        <v>237.97503800000001</v>
      </c>
      <c r="CV313">
        <v>32.650793999999998</v>
      </c>
      <c r="CW313">
        <v>167.36124599999999</v>
      </c>
      <c r="CX313">
        <v>28009.786660000002</v>
      </c>
      <c r="CY313">
        <v>0.70327200000000001</v>
      </c>
      <c r="CZ313">
        <v>280</v>
      </c>
      <c r="DA313">
        <v>0.57648900000000003</v>
      </c>
      <c r="DB313">
        <v>2.5807760000000002</v>
      </c>
      <c r="DC313">
        <v>141.89973699999999</v>
      </c>
      <c r="DD313">
        <v>237.97503800000001</v>
      </c>
      <c r="DE313">
        <v>94.197410000000005</v>
      </c>
      <c r="DF313">
        <v>12.937238000000001</v>
      </c>
      <c r="DG313">
        <v>2.2961209999999999</v>
      </c>
      <c r="DH313">
        <v>0.39582899999999999</v>
      </c>
      <c r="DI313">
        <v>0.13734199999999999</v>
      </c>
      <c r="DJ313">
        <v>2.4375999999999998E-2</v>
      </c>
      <c r="DK313">
        <v>25</v>
      </c>
      <c r="DL313">
        <v>34</v>
      </c>
      <c r="DM313">
        <v>42</v>
      </c>
      <c r="DN313">
        <v>65</v>
      </c>
      <c r="DO313">
        <v>79</v>
      </c>
      <c r="DP313">
        <v>99</v>
      </c>
      <c r="DQ313">
        <v>157</v>
      </c>
      <c r="DR313">
        <v>225.5</v>
      </c>
      <c r="DS313">
        <v>283</v>
      </c>
      <c r="DT313">
        <v>333</v>
      </c>
      <c r="DU313">
        <v>359</v>
      </c>
      <c r="DV313">
        <v>378.800049</v>
      </c>
      <c r="DW313">
        <v>460</v>
      </c>
      <c r="DX313">
        <v>545.94995100000006</v>
      </c>
      <c r="DY313">
        <v>673.53027299999997</v>
      </c>
      <c r="DZ313">
        <v>94.124847000000003</v>
      </c>
      <c r="EA313">
        <v>74.432677999999996</v>
      </c>
      <c r="EB313">
        <v>120.440636</v>
      </c>
      <c r="EC313">
        <v>769</v>
      </c>
      <c r="ED313">
        <v>984</v>
      </c>
      <c r="EE313">
        <v>89.351285000000004</v>
      </c>
      <c r="EF313">
        <v>100</v>
      </c>
      <c r="EG313">
        <v>67.851740000000007</v>
      </c>
      <c r="EH313">
        <v>99.621785000000003</v>
      </c>
      <c r="EI313">
        <v>109.791922</v>
      </c>
      <c r="EJ313">
        <v>161.19951</v>
      </c>
      <c r="EK313">
        <v>730</v>
      </c>
      <c r="EL313">
        <v>817</v>
      </c>
      <c r="EM313">
        <v>897</v>
      </c>
      <c r="EN313">
        <v>1317</v>
      </c>
      <c r="EO313">
        <v>817</v>
      </c>
      <c r="EP313">
        <v>1322</v>
      </c>
      <c r="EQ313">
        <v>61.304150999999997</v>
      </c>
    </row>
    <row r="314" spans="1:147" x14ac:dyDescent="0.25">
      <c r="A314">
        <v>2025</v>
      </c>
      <c r="B314" t="str">
        <f t="shared" si="8"/>
        <v>GN</v>
      </c>
      <c r="C314" t="s">
        <v>1651</v>
      </c>
      <c r="D314" t="s">
        <v>1651</v>
      </c>
      <c r="E314">
        <v>33342</v>
      </c>
      <c r="F314" t="s">
        <v>1647</v>
      </c>
      <c r="G314" t="s">
        <v>1612</v>
      </c>
      <c r="H314" t="s">
        <v>1648</v>
      </c>
      <c r="I314">
        <v>50.21</v>
      </c>
      <c r="J314">
        <v>50.21</v>
      </c>
      <c r="K314" t="s">
        <v>277</v>
      </c>
      <c r="L314">
        <v>1</v>
      </c>
      <c r="M314">
        <v>2019</v>
      </c>
      <c r="O314" t="str">
        <f t="shared" si="9"/>
        <v>Talhadia</v>
      </c>
      <c r="P314" s="2">
        <v>43580</v>
      </c>
      <c r="Q314" t="s">
        <v>174</v>
      </c>
      <c r="R314" t="s">
        <v>164</v>
      </c>
      <c r="S314" t="s">
        <v>154</v>
      </c>
      <c r="T314" t="s">
        <v>279</v>
      </c>
      <c r="U314" t="s">
        <v>156</v>
      </c>
      <c r="V314" s="2">
        <v>45716</v>
      </c>
      <c r="W314" t="s">
        <v>1614</v>
      </c>
      <c r="X314">
        <v>457.43000000000012</v>
      </c>
      <c r="Y314">
        <v>21.1</v>
      </c>
      <c r="Z314">
        <v>2</v>
      </c>
      <c r="AA314">
        <v>15.4</v>
      </c>
      <c r="AB314">
        <v>1</v>
      </c>
      <c r="AC314">
        <v>324.94</v>
      </c>
      <c r="AD314">
        <v>324.69259554363401</v>
      </c>
      <c r="AE314" s="2">
        <v>45716</v>
      </c>
      <c r="AF314">
        <v>70</v>
      </c>
      <c r="AG314">
        <v>5.8480492813141698</v>
      </c>
      <c r="AH314">
        <v>28.334924673137301</v>
      </c>
      <c r="AI314">
        <v>17.038235294117602</v>
      </c>
      <c r="AJ314">
        <v>24.431567968267199</v>
      </c>
      <c r="AK314">
        <v>34</v>
      </c>
      <c r="AL314">
        <v>1047.1442979188901</v>
      </c>
      <c r="AM314">
        <v>337.08691247094498</v>
      </c>
      <c r="AN314">
        <v>0.32191066039406202</v>
      </c>
      <c r="AO314" t="s">
        <v>164</v>
      </c>
      <c r="AP314" t="s">
        <v>264</v>
      </c>
      <c r="AQ314" t="s">
        <v>1649</v>
      </c>
      <c r="AR314">
        <v>9</v>
      </c>
      <c r="AS314">
        <v>0.94242986812699903</v>
      </c>
      <c r="AT314" t="s">
        <v>1652</v>
      </c>
      <c r="AU314" t="s">
        <v>1651</v>
      </c>
      <c r="AV314">
        <v>1298</v>
      </c>
      <c r="AW314">
        <v>738</v>
      </c>
      <c r="AX314">
        <v>402</v>
      </c>
      <c r="AY314">
        <v>140</v>
      </c>
      <c r="AZ314">
        <v>15</v>
      </c>
      <c r="BA314">
        <v>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30.867999999999999</v>
      </c>
      <c r="BI314">
        <v>18.710236999999999</v>
      </c>
      <c r="BJ314">
        <v>0</v>
      </c>
      <c r="BK314">
        <v>11.909943999999999</v>
      </c>
      <c r="BL314">
        <v>141.84675799999999</v>
      </c>
      <c r="BM314">
        <v>0.63654699999999997</v>
      </c>
      <c r="BN314">
        <v>24.01</v>
      </c>
      <c r="BO314">
        <v>-0.73321800000000004</v>
      </c>
      <c r="BP314">
        <v>1.7245280000000001</v>
      </c>
      <c r="BQ314">
        <v>10.842976</v>
      </c>
      <c r="BR314">
        <v>3.1510009999999999</v>
      </c>
      <c r="BS314">
        <v>25.737998999999999</v>
      </c>
      <c r="BT314">
        <v>18.710236999999999</v>
      </c>
      <c r="BU314">
        <v>6.2003360000000001</v>
      </c>
      <c r="BV314">
        <v>-1.696993</v>
      </c>
      <c r="BW314">
        <v>-0.38924199999999998</v>
      </c>
      <c r="BX314">
        <v>0.33138699999999999</v>
      </c>
      <c r="BY314">
        <v>-0.27369399999999999</v>
      </c>
      <c r="BZ314">
        <v>-6.2778E-2</v>
      </c>
      <c r="CA314">
        <v>1E-3</v>
      </c>
      <c r="CB314">
        <v>6.0000000000000001E-3</v>
      </c>
      <c r="CC314">
        <v>1.4E-2</v>
      </c>
      <c r="CD314">
        <v>4.9000000000000002E-2</v>
      </c>
      <c r="CE314">
        <v>3.82</v>
      </c>
      <c r="CF314">
        <v>10.1974</v>
      </c>
      <c r="CG314">
        <v>24.158199</v>
      </c>
      <c r="CH314">
        <v>25.737998999999999</v>
      </c>
      <c r="CI314">
        <v>26.616599999999998</v>
      </c>
      <c r="CJ314">
        <v>27.3948</v>
      </c>
      <c r="CK314">
        <v>27.83</v>
      </c>
      <c r="CL314">
        <v>28.267199000000002</v>
      </c>
      <c r="CM314">
        <v>29.1374</v>
      </c>
      <c r="CN314">
        <v>29.595099999999999</v>
      </c>
      <c r="CO314">
        <v>30.342238999999999</v>
      </c>
      <c r="CP314">
        <v>0.60613700000000004</v>
      </c>
      <c r="CQ314">
        <v>22.176798999999999</v>
      </c>
      <c r="CR314">
        <v>23.673843000000002</v>
      </c>
      <c r="CS314">
        <v>23</v>
      </c>
      <c r="CT314">
        <v>794</v>
      </c>
      <c r="CU314">
        <v>224.03389799999999</v>
      </c>
      <c r="CV314">
        <v>35.238095000000001</v>
      </c>
      <c r="CW314">
        <v>162.57311899999999</v>
      </c>
      <c r="CX314">
        <v>26430.018899999999</v>
      </c>
      <c r="CY314">
        <v>0.72566299999999995</v>
      </c>
      <c r="CZ314">
        <v>254</v>
      </c>
      <c r="DA314">
        <v>0.87950099999999998</v>
      </c>
      <c r="DB314">
        <v>3.3961009999999998</v>
      </c>
      <c r="DC314">
        <v>134.371602</v>
      </c>
      <c r="DD314">
        <v>224.03389799999999</v>
      </c>
      <c r="DE314">
        <v>89.727948999999995</v>
      </c>
      <c r="DF314">
        <v>16.849767</v>
      </c>
      <c r="DG314">
        <v>5.1833080000000002</v>
      </c>
      <c r="DH314">
        <v>0.40051100000000001</v>
      </c>
      <c r="DI314">
        <v>0.18778700000000001</v>
      </c>
      <c r="DJ314">
        <v>5.7766999999999999E-2</v>
      </c>
      <c r="DK314">
        <v>27</v>
      </c>
      <c r="DL314">
        <v>34.849997999999999</v>
      </c>
      <c r="DM314">
        <v>43.699997000000003</v>
      </c>
      <c r="DN314">
        <v>67</v>
      </c>
      <c r="DO314">
        <v>80</v>
      </c>
      <c r="DP314">
        <v>99</v>
      </c>
      <c r="DQ314">
        <v>138.79998800000001</v>
      </c>
      <c r="DR314">
        <v>193</v>
      </c>
      <c r="DS314">
        <v>252.20001199999999</v>
      </c>
      <c r="DT314">
        <v>309</v>
      </c>
      <c r="DU314">
        <v>334</v>
      </c>
      <c r="DV314">
        <v>358</v>
      </c>
      <c r="DW314">
        <v>429.600098</v>
      </c>
      <c r="DX314">
        <v>533.45007299999997</v>
      </c>
      <c r="DY314">
        <v>723.06005900000002</v>
      </c>
      <c r="DZ314">
        <v>95.121950999999996</v>
      </c>
      <c r="EA314">
        <v>75.346687000000003</v>
      </c>
      <c r="EB314">
        <v>132.52032500000001</v>
      </c>
      <c r="EC314">
        <v>702</v>
      </c>
      <c r="ED314">
        <v>978</v>
      </c>
      <c r="EE314">
        <v>89.159891999999999</v>
      </c>
      <c r="EF314">
        <v>100</v>
      </c>
      <c r="EG314">
        <v>64.946071000000003</v>
      </c>
      <c r="EH314">
        <v>99.768874999999994</v>
      </c>
      <c r="EI314">
        <v>114.227642</v>
      </c>
      <c r="EJ314">
        <v>175.474255</v>
      </c>
      <c r="EK314">
        <v>658</v>
      </c>
      <c r="EL314">
        <v>738</v>
      </c>
      <c r="EM314">
        <v>843</v>
      </c>
      <c r="EN314">
        <v>1295</v>
      </c>
      <c r="EO314">
        <v>738</v>
      </c>
      <c r="EP314">
        <v>1298</v>
      </c>
      <c r="EQ314">
        <v>60.659725000000002</v>
      </c>
    </row>
    <row r="315" spans="1:147" x14ac:dyDescent="0.25">
      <c r="A315">
        <v>2025</v>
      </c>
      <c r="B315" t="str">
        <f t="shared" si="8"/>
        <v>GN</v>
      </c>
      <c r="C315" t="s">
        <v>1653</v>
      </c>
      <c r="D315" t="s">
        <v>1653</v>
      </c>
      <c r="E315">
        <v>33348</v>
      </c>
      <c r="F315" t="s">
        <v>1647</v>
      </c>
      <c r="G315" t="s">
        <v>1612</v>
      </c>
      <c r="H315" t="s">
        <v>1648</v>
      </c>
      <c r="I315">
        <v>50.21</v>
      </c>
      <c r="J315">
        <v>50.21</v>
      </c>
      <c r="K315" t="s">
        <v>277</v>
      </c>
      <c r="L315">
        <v>1</v>
      </c>
      <c r="M315">
        <v>2019</v>
      </c>
      <c r="O315" t="str">
        <f t="shared" si="9"/>
        <v>Talhadia</v>
      </c>
      <c r="P315" s="2">
        <v>43580</v>
      </c>
      <c r="Q315" t="s">
        <v>174</v>
      </c>
      <c r="R315" t="s">
        <v>164</v>
      </c>
      <c r="S315" t="s">
        <v>154</v>
      </c>
      <c r="T315" t="s">
        <v>279</v>
      </c>
      <c r="U315" t="s">
        <v>156</v>
      </c>
      <c r="V315" s="2">
        <v>44745</v>
      </c>
      <c r="W315" t="s">
        <v>1614</v>
      </c>
      <c r="X315">
        <v>457.43000000000012</v>
      </c>
      <c r="Y315">
        <v>19</v>
      </c>
      <c r="Z315">
        <v>9</v>
      </c>
      <c r="AA315">
        <v>15</v>
      </c>
      <c r="AB315">
        <v>2</v>
      </c>
      <c r="AC315">
        <v>285</v>
      </c>
      <c r="AD315">
        <v>281.31970025018097</v>
      </c>
      <c r="AE315" s="2">
        <v>45716</v>
      </c>
      <c r="AF315">
        <v>70</v>
      </c>
      <c r="AG315">
        <v>5.8480492813141698</v>
      </c>
      <c r="AH315">
        <v>26.0256140643578</v>
      </c>
      <c r="AI315">
        <v>15.2529411764706</v>
      </c>
      <c r="AJ315">
        <v>23.015105385972898</v>
      </c>
      <c r="AK315">
        <v>34</v>
      </c>
      <c r="AL315">
        <v>1208.5893725097601</v>
      </c>
      <c r="AM315">
        <v>299.166889813686</v>
      </c>
      <c r="AN315">
        <v>0.247533940491661</v>
      </c>
      <c r="AO315" t="s">
        <v>164</v>
      </c>
      <c r="AP315" t="s">
        <v>264</v>
      </c>
      <c r="AQ315" t="s">
        <v>1649</v>
      </c>
      <c r="AR315">
        <v>9</v>
      </c>
      <c r="AS315">
        <v>1.087730435258784</v>
      </c>
      <c r="AT315" t="s">
        <v>1654</v>
      </c>
      <c r="AU315" t="s">
        <v>1653</v>
      </c>
      <c r="AV315">
        <v>1155</v>
      </c>
      <c r="AW315">
        <v>707</v>
      </c>
      <c r="AX315">
        <v>319</v>
      </c>
      <c r="AY315">
        <v>114</v>
      </c>
      <c r="AZ315">
        <v>15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30.190000999999999</v>
      </c>
      <c r="BI315">
        <v>18.907177000000001</v>
      </c>
      <c r="BJ315">
        <v>0</v>
      </c>
      <c r="BK315">
        <v>10.809556000000001</v>
      </c>
      <c r="BL315">
        <v>116.84649</v>
      </c>
      <c r="BM315">
        <v>0.57171700000000003</v>
      </c>
      <c r="BN315">
        <v>16.316998999999999</v>
      </c>
      <c r="BO315">
        <v>-0.99897499999999995</v>
      </c>
      <c r="BP315">
        <v>2.2207940000000002</v>
      </c>
      <c r="BQ315">
        <v>9.3241700000000005</v>
      </c>
      <c r="BR315">
        <v>2.5790000000000002</v>
      </c>
      <c r="BS315">
        <v>24.535999</v>
      </c>
      <c r="BT315">
        <v>18.907177000000001</v>
      </c>
      <c r="BU315">
        <v>5.4530649999999996</v>
      </c>
      <c r="BV315">
        <v>-1.863078</v>
      </c>
      <c r="BW315">
        <v>0.1036</v>
      </c>
      <c r="BX315">
        <v>0.288412</v>
      </c>
      <c r="BY315">
        <v>-0.34165699999999999</v>
      </c>
      <c r="BZ315">
        <v>1.8998999999999999E-2</v>
      </c>
      <c r="CA315">
        <v>2E-3</v>
      </c>
      <c r="CB315">
        <v>1.0999999999999999E-2</v>
      </c>
      <c r="CC315">
        <v>2.3E-2</v>
      </c>
      <c r="CD315">
        <v>7.46E-2</v>
      </c>
      <c r="CE315">
        <v>10.1845</v>
      </c>
      <c r="CF315">
        <v>19.191400999999999</v>
      </c>
      <c r="CG315">
        <v>23.384198999999999</v>
      </c>
      <c r="CH315">
        <v>24.535999</v>
      </c>
      <c r="CI315">
        <v>25.398401</v>
      </c>
      <c r="CJ315">
        <v>26.184598999999999</v>
      </c>
      <c r="CK315">
        <v>26.501498999999999</v>
      </c>
      <c r="CL315">
        <v>26.859200000000001</v>
      </c>
      <c r="CM315">
        <v>27.499599</v>
      </c>
      <c r="CN315">
        <v>28.390799999999999</v>
      </c>
      <c r="CO315">
        <v>29.096800000000002</v>
      </c>
      <c r="CP315">
        <v>0.62627299999999997</v>
      </c>
      <c r="CQ315">
        <v>21.776745999999999</v>
      </c>
      <c r="CR315">
        <v>22.970506</v>
      </c>
      <c r="CS315">
        <v>22</v>
      </c>
      <c r="CT315">
        <v>766</v>
      </c>
      <c r="CU315">
        <v>227.64675299999999</v>
      </c>
      <c r="CV315">
        <v>33.809524000000003</v>
      </c>
      <c r="CW315">
        <v>160.60293100000001</v>
      </c>
      <c r="CX315">
        <v>25793.301449999999</v>
      </c>
      <c r="CY315">
        <v>0.70549200000000001</v>
      </c>
      <c r="CZ315">
        <v>279.5</v>
      </c>
      <c r="DA315">
        <v>0.48830000000000001</v>
      </c>
      <c r="DB315">
        <v>2.2861020000000001</v>
      </c>
      <c r="DC315">
        <v>139.75144499999999</v>
      </c>
      <c r="DD315">
        <v>227.64675299999999</v>
      </c>
      <c r="DE315">
        <v>90.767061999999996</v>
      </c>
      <c r="DF315">
        <v>11.722146</v>
      </c>
      <c r="DG315">
        <v>-0.267065</v>
      </c>
      <c r="DH315">
        <v>0.39871899999999999</v>
      </c>
      <c r="DI315">
        <v>0.12914500000000001</v>
      </c>
      <c r="DJ315">
        <v>-2.9420000000000002E-3</v>
      </c>
      <c r="DK315">
        <v>25</v>
      </c>
      <c r="DL315">
        <v>32</v>
      </c>
      <c r="DM315">
        <v>39</v>
      </c>
      <c r="DN315">
        <v>61</v>
      </c>
      <c r="DO315">
        <v>74</v>
      </c>
      <c r="DP315">
        <v>91.200012000000001</v>
      </c>
      <c r="DQ315">
        <v>141.60000600000001</v>
      </c>
      <c r="DR315">
        <v>208</v>
      </c>
      <c r="DS315">
        <v>282.40002399999997</v>
      </c>
      <c r="DT315">
        <v>330</v>
      </c>
      <c r="DU315">
        <v>353.5</v>
      </c>
      <c r="DV315">
        <v>378.20001200000002</v>
      </c>
      <c r="DW315">
        <v>435</v>
      </c>
      <c r="DX315">
        <v>503.300049</v>
      </c>
      <c r="DY315">
        <v>622.37988299999995</v>
      </c>
      <c r="DZ315">
        <v>95.332390000000004</v>
      </c>
      <c r="EA315">
        <v>78.008657999999997</v>
      </c>
      <c r="EB315">
        <v>127.439887</v>
      </c>
      <c r="EC315">
        <v>674</v>
      </c>
      <c r="ED315">
        <v>901</v>
      </c>
      <c r="EE315">
        <v>90.947665999999998</v>
      </c>
      <c r="EF315">
        <v>100</v>
      </c>
      <c r="EG315">
        <v>70.389610000000005</v>
      </c>
      <c r="EH315">
        <v>99.653679999999994</v>
      </c>
      <c r="EI315">
        <v>114.99292800000001</v>
      </c>
      <c r="EJ315">
        <v>162.800566</v>
      </c>
      <c r="EK315">
        <v>643</v>
      </c>
      <c r="EL315">
        <v>707</v>
      </c>
      <c r="EM315">
        <v>813</v>
      </c>
      <c r="EN315">
        <v>1151</v>
      </c>
      <c r="EO315">
        <v>707</v>
      </c>
      <c r="EP315">
        <v>1155</v>
      </c>
      <c r="EQ315">
        <v>63.951152</v>
      </c>
    </row>
    <row r="316" spans="1:147" x14ac:dyDescent="0.25">
      <c r="A316">
        <v>2025</v>
      </c>
      <c r="B316" t="str">
        <f t="shared" si="8"/>
        <v>GN</v>
      </c>
      <c r="C316" t="s">
        <v>1655</v>
      </c>
      <c r="D316" t="s">
        <v>1655</v>
      </c>
      <c r="E316">
        <v>27709</v>
      </c>
      <c r="F316" t="s">
        <v>1656</v>
      </c>
      <c r="G316" t="s">
        <v>1657</v>
      </c>
      <c r="H316" t="s">
        <v>1658</v>
      </c>
      <c r="I316">
        <v>73.39</v>
      </c>
      <c r="J316">
        <v>73.39</v>
      </c>
      <c r="K316" t="s">
        <v>277</v>
      </c>
      <c r="L316">
        <v>1</v>
      </c>
      <c r="M316">
        <v>2020</v>
      </c>
      <c r="O316" t="str">
        <f t="shared" si="9"/>
        <v>Talhadia</v>
      </c>
      <c r="P316" s="2">
        <v>44117</v>
      </c>
      <c r="Q316" t="s">
        <v>152</v>
      </c>
      <c r="R316" t="s">
        <v>200</v>
      </c>
      <c r="S316" t="s">
        <v>154</v>
      </c>
      <c r="T316" t="s">
        <v>279</v>
      </c>
      <c r="U316" t="s">
        <v>156</v>
      </c>
      <c r="V316" s="2">
        <v>44746</v>
      </c>
      <c r="W316" t="s">
        <v>1659</v>
      </c>
      <c r="X316">
        <v>163.80000000000001</v>
      </c>
      <c r="Y316">
        <v>20.3</v>
      </c>
      <c r="Z316">
        <v>5</v>
      </c>
      <c r="AA316">
        <v>14.2</v>
      </c>
      <c r="AB316">
        <v>3</v>
      </c>
      <c r="AC316">
        <v>288.26</v>
      </c>
      <c r="AD316">
        <v>286.769536645985</v>
      </c>
      <c r="AE316" s="2">
        <v>45715</v>
      </c>
      <c r="AF316">
        <v>52</v>
      </c>
      <c r="AG316">
        <v>4.3750855578371004</v>
      </c>
      <c r="AH316">
        <v>23.375839159868001</v>
      </c>
      <c r="AI316">
        <v>15.4185185185185</v>
      </c>
      <c r="AJ316">
        <v>18.772325446753499</v>
      </c>
      <c r="AK316">
        <v>27</v>
      </c>
      <c r="AL316">
        <v>941.52260089366905</v>
      </c>
      <c r="AM316">
        <v>224.72601589014201</v>
      </c>
      <c r="AN316">
        <v>0.23868361277449701</v>
      </c>
      <c r="AO316" t="s">
        <v>200</v>
      </c>
      <c r="AP316" t="s">
        <v>264</v>
      </c>
      <c r="AQ316" t="s">
        <v>304</v>
      </c>
      <c r="AR316">
        <v>9.99</v>
      </c>
      <c r="AS316">
        <v>0.94058107829277493</v>
      </c>
      <c r="AT316" t="s">
        <v>1660</v>
      </c>
      <c r="AU316" t="s">
        <v>1655</v>
      </c>
      <c r="AV316">
        <v>1168</v>
      </c>
      <c r="AW316">
        <v>698</v>
      </c>
      <c r="AX316">
        <v>361</v>
      </c>
      <c r="AY316">
        <v>94</v>
      </c>
      <c r="AZ316">
        <v>14</v>
      </c>
      <c r="BA316">
        <v>1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24.207999999999998</v>
      </c>
      <c r="BI316">
        <v>17.468447999999999</v>
      </c>
      <c r="BJ316">
        <v>0</v>
      </c>
      <c r="BK316">
        <v>7.5545410000000004</v>
      </c>
      <c r="BL316">
        <v>57.071091000000003</v>
      </c>
      <c r="BM316">
        <v>0.43246800000000002</v>
      </c>
      <c r="BN316">
        <v>3.2997489999999998</v>
      </c>
      <c r="BO316">
        <v>-1.679387</v>
      </c>
      <c r="BP316">
        <v>4.1628020000000001</v>
      </c>
      <c r="BQ316">
        <v>5.5714940000000004</v>
      </c>
      <c r="BR316">
        <v>1.480499</v>
      </c>
      <c r="BS316">
        <v>20.589500000000001</v>
      </c>
      <c r="BT316">
        <v>17.468447999999999</v>
      </c>
      <c r="BU316">
        <v>3.4284059999999998</v>
      </c>
      <c r="BV316">
        <v>-1.6317349999999999</v>
      </c>
      <c r="BW316">
        <v>0.74070400000000003</v>
      </c>
      <c r="BX316">
        <v>0.19626299999999999</v>
      </c>
      <c r="BY316">
        <v>-0.47594599999999998</v>
      </c>
      <c r="BZ316">
        <v>0.21604899999999999</v>
      </c>
      <c r="CA316">
        <v>3.0000000000000001E-3</v>
      </c>
      <c r="CB316">
        <v>1.2E-2</v>
      </c>
      <c r="CC316">
        <v>2.9000000000000001E-2</v>
      </c>
      <c r="CD316">
        <v>17.361398999999999</v>
      </c>
      <c r="CE316">
        <v>18.535499999999999</v>
      </c>
      <c r="CF316">
        <v>19.0471</v>
      </c>
      <c r="CG316">
        <v>19.793600000000001</v>
      </c>
      <c r="CH316">
        <v>20.589500000000001</v>
      </c>
      <c r="CI316">
        <v>21.131401</v>
      </c>
      <c r="CJ316">
        <v>21.615599</v>
      </c>
      <c r="CK316">
        <v>21.835249000000001</v>
      </c>
      <c r="CL316">
        <v>22.0562</v>
      </c>
      <c r="CM316">
        <v>22.632899999999999</v>
      </c>
      <c r="CN316">
        <v>22.954799999999999</v>
      </c>
      <c r="CO316">
        <v>23.726268999999998</v>
      </c>
      <c r="CP316">
        <v>0.72159799999999996</v>
      </c>
      <c r="CQ316">
        <v>19.030736000000001</v>
      </c>
      <c r="CR316">
        <v>19.656863000000001</v>
      </c>
      <c r="CS316">
        <v>24</v>
      </c>
      <c r="CT316">
        <v>617</v>
      </c>
      <c r="CU316">
        <v>158.89640399999999</v>
      </c>
      <c r="CV316">
        <v>42.825397000000002</v>
      </c>
      <c r="CW316">
        <v>102.586776</v>
      </c>
      <c r="CX316">
        <v>10524.04667</v>
      </c>
      <c r="CY316">
        <v>0.645621</v>
      </c>
      <c r="CZ316">
        <v>146.25</v>
      </c>
      <c r="DA316">
        <v>1.021172</v>
      </c>
      <c r="DB316">
        <v>4.0170370000000002</v>
      </c>
      <c r="DC316">
        <v>82.840823999999998</v>
      </c>
      <c r="DD316">
        <v>158.89640399999999</v>
      </c>
      <c r="DE316">
        <v>56.154159</v>
      </c>
      <c r="DF316">
        <v>11.298323</v>
      </c>
      <c r="DG316">
        <v>4.6758110000000004</v>
      </c>
      <c r="DH316">
        <v>0.35340100000000002</v>
      </c>
      <c r="DI316">
        <v>0.20120199999999999</v>
      </c>
      <c r="DJ316">
        <v>8.3266999999999994E-2</v>
      </c>
      <c r="DK316">
        <v>29</v>
      </c>
      <c r="DL316">
        <v>39</v>
      </c>
      <c r="DM316">
        <v>47</v>
      </c>
      <c r="DN316">
        <v>64</v>
      </c>
      <c r="DO316">
        <v>75</v>
      </c>
      <c r="DP316">
        <v>84</v>
      </c>
      <c r="DQ316">
        <v>108</v>
      </c>
      <c r="DR316">
        <v>136</v>
      </c>
      <c r="DS316">
        <v>169</v>
      </c>
      <c r="DT316">
        <v>205</v>
      </c>
      <c r="DU316">
        <v>221.25</v>
      </c>
      <c r="DV316">
        <v>241.599976</v>
      </c>
      <c r="DW316">
        <v>298</v>
      </c>
      <c r="DX316">
        <v>350.65002399999997</v>
      </c>
      <c r="DY316">
        <v>465.989868</v>
      </c>
      <c r="DZ316">
        <v>98.567335</v>
      </c>
      <c r="EA316">
        <v>85.787671000000003</v>
      </c>
      <c r="EB316">
        <v>143.553009</v>
      </c>
      <c r="EC316">
        <v>688</v>
      </c>
      <c r="ED316">
        <v>1002</v>
      </c>
      <c r="EE316">
        <v>94.555874000000003</v>
      </c>
      <c r="EF316">
        <v>100</v>
      </c>
      <c r="EG316">
        <v>79.880137000000005</v>
      </c>
      <c r="EH316">
        <v>99.828766999999999</v>
      </c>
      <c r="EI316">
        <v>133.66762199999999</v>
      </c>
      <c r="EJ316">
        <v>167.048711</v>
      </c>
      <c r="EK316">
        <v>660</v>
      </c>
      <c r="EL316">
        <v>698</v>
      </c>
      <c r="EM316">
        <v>933</v>
      </c>
      <c r="EN316">
        <v>1166</v>
      </c>
      <c r="EO316">
        <v>698</v>
      </c>
      <c r="EP316">
        <v>1168</v>
      </c>
      <c r="EQ316">
        <v>72.666775999999999</v>
      </c>
    </row>
    <row r="317" spans="1:147" x14ac:dyDescent="0.25">
      <c r="A317">
        <v>2025</v>
      </c>
      <c r="B317" t="str">
        <f t="shared" si="8"/>
        <v>GN</v>
      </c>
      <c r="C317" t="s">
        <v>1661</v>
      </c>
      <c r="D317" t="s">
        <v>1661</v>
      </c>
      <c r="E317">
        <v>27710</v>
      </c>
      <c r="F317" t="s">
        <v>1656</v>
      </c>
      <c r="G317" t="s">
        <v>1657</v>
      </c>
      <c r="H317" t="s">
        <v>1658</v>
      </c>
      <c r="I317">
        <v>73.39</v>
      </c>
      <c r="J317">
        <v>73.39</v>
      </c>
      <c r="K317" t="s">
        <v>277</v>
      </c>
      <c r="L317">
        <v>1</v>
      </c>
      <c r="M317">
        <v>2020</v>
      </c>
      <c r="O317" t="str">
        <f t="shared" si="9"/>
        <v>Talhadia</v>
      </c>
      <c r="P317" s="2">
        <v>44117</v>
      </c>
      <c r="Q317" t="s">
        <v>152</v>
      </c>
      <c r="R317" t="s">
        <v>200</v>
      </c>
      <c r="S317" t="s">
        <v>154</v>
      </c>
      <c r="T317" t="s">
        <v>279</v>
      </c>
      <c r="U317" t="s">
        <v>156</v>
      </c>
      <c r="V317" s="2">
        <v>45715</v>
      </c>
      <c r="W317" t="s">
        <v>1659</v>
      </c>
      <c r="X317">
        <v>163.80000000000001</v>
      </c>
      <c r="Y317">
        <v>21.1</v>
      </c>
      <c r="Z317">
        <v>1</v>
      </c>
      <c r="AA317">
        <v>16.3</v>
      </c>
      <c r="AB317">
        <v>0</v>
      </c>
      <c r="AC317">
        <v>343.93</v>
      </c>
      <c r="AD317">
        <v>343.87761779513801</v>
      </c>
      <c r="AE317" s="2">
        <v>45715</v>
      </c>
      <c r="AF317">
        <v>52</v>
      </c>
      <c r="AG317">
        <v>4.3750855578371004</v>
      </c>
      <c r="AH317">
        <v>25.8764827368502</v>
      </c>
      <c r="AI317">
        <v>16.175000000000001</v>
      </c>
      <c r="AJ317">
        <v>19.8567242996997</v>
      </c>
      <c r="AK317">
        <v>32</v>
      </c>
      <c r="AL317">
        <v>930.56361752115401</v>
      </c>
      <c r="AM317">
        <v>254.31335837301199</v>
      </c>
      <c r="AN317">
        <v>0.273289599533726</v>
      </c>
      <c r="AO317" t="s">
        <v>200</v>
      </c>
      <c r="AP317" t="s">
        <v>264</v>
      </c>
      <c r="AQ317" t="s">
        <v>304</v>
      </c>
      <c r="AR317">
        <v>9.99</v>
      </c>
      <c r="AS317">
        <v>0.92963305390363171</v>
      </c>
      <c r="AT317" t="s">
        <v>1662</v>
      </c>
      <c r="AU317" t="s">
        <v>1661</v>
      </c>
      <c r="AV317">
        <v>1564</v>
      </c>
      <c r="AW317">
        <v>881</v>
      </c>
      <c r="AX317">
        <v>495</v>
      </c>
      <c r="AY317">
        <v>164</v>
      </c>
      <c r="AZ317">
        <v>23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24.66</v>
      </c>
      <c r="BI317">
        <v>17.306073999999999</v>
      </c>
      <c r="BJ317">
        <v>0</v>
      </c>
      <c r="BK317">
        <v>8.0241799999999994</v>
      </c>
      <c r="BL317">
        <v>64.387469999999993</v>
      </c>
      <c r="BM317">
        <v>0.46366299999999999</v>
      </c>
      <c r="BN317">
        <v>3.578001</v>
      </c>
      <c r="BO317">
        <v>-1.47872</v>
      </c>
      <c r="BP317">
        <v>3.4554010000000002</v>
      </c>
      <c r="BQ317">
        <v>6.2422800000000001</v>
      </c>
      <c r="BR317">
        <v>1.494</v>
      </c>
      <c r="BS317">
        <v>20.816998999999999</v>
      </c>
      <c r="BT317">
        <v>17.306073999999999</v>
      </c>
      <c r="BU317">
        <v>3.7357049999999998</v>
      </c>
      <c r="BV317">
        <v>-1.7055929999999999</v>
      </c>
      <c r="BW317">
        <v>0.63585700000000001</v>
      </c>
      <c r="BX317">
        <v>0.215861</v>
      </c>
      <c r="BY317">
        <v>-0.456565</v>
      </c>
      <c r="BZ317">
        <v>0.170211</v>
      </c>
      <c r="CA317">
        <v>2E-3</v>
      </c>
      <c r="CB317">
        <v>1.2999999999999999E-2</v>
      </c>
      <c r="CC317">
        <v>3.5299999999999998E-2</v>
      </c>
      <c r="CD317">
        <v>13.384399</v>
      </c>
      <c r="CE317">
        <v>18.548248000000001</v>
      </c>
      <c r="CF317">
        <v>19.4055</v>
      </c>
      <c r="CG317">
        <v>20.168998999999999</v>
      </c>
      <c r="CH317">
        <v>20.816998999999999</v>
      </c>
      <c r="CI317">
        <v>21.362200000000001</v>
      </c>
      <c r="CJ317">
        <v>21.902999999999999</v>
      </c>
      <c r="CK317">
        <v>22.126249000000001</v>
      </c>
      <c r="CL317">
        <v>22.360001</v>
      </c>
      <c r="CM317">
        <v>22.946501000000001</v>
      </c>
      <c r="CN317">
        <v>23.296251000000002</v>
      </c>
      <c r="CO317">
        <v>23.929869</v>
      </c>
      <c r="CP317">
        <v>0.70178700000000005</v>
      </c>
      <c r="CQ317">
        <v>19.074760999999999</v>
      </c>
      <c r="CR317">
        <v>19.798314000000001</v>
      </c>
      <c r="CS317">
        <v>22</v>
      </c>
      <c r="CT317">
        <v>626</v>
      </c>
      <c r="CU317">
        <v>146.18798000000001</v>
      </c>
      <c r="CV317">
        <v>50.761904999999999</v>
      </c>
      <c r="CW317">
        <v>99.643083000000004</v>
      </c>
      <c r="CX317">
        <v>9928.7439119999999</v>
      </c>
      <c r="CY317">
        <v>0.68160900000000002</v>
      </c>
      <c r="CZ317">
        <v>129</v>
      </c>
      <c r="DA317">
        <v>1.413948</v>
      </c>
      <c r="DB317">
        <v>5.5840899999999998</v>
      </c>
      <c r="DC317">
        <v>77.102312999999995</v>
      </c>
      <c r="DD317">
        <v>146.18798000000001</v>
      </c>
      <c r="DE317">
        <v>52.733277000000001</v>
      </c>
      <c r="DF317">
        <v>13.351967999999999</v>
      </c>
      <c r="DG317">
        <v>6.4508179999999999</v>
      </c>
      <c r="DH317">
        <v>0.36072199999999999</v>
      </c>
      <c r="DI317">
        <v>0.25319799999999998</v>
      </c>
      <c r="DJ317">
        <v>0.12232899999999999</v>
      </c>
      <c r="DK317">
        <v>27</v>
      </c>
      <c r="DL317">
        <v>37</v>
      </c>
      <c r="DM317">
        <v>47</v>
      </c>
      <c r="DN317">
        <v>60.600006</v>
      </c>
      <c r="DO317">
        <v>68</v>
      </c>
      <c r="DP317">
        <v>76.899994000000007</v>
      </c>
      <c r="DQ317">
        <v>98.200012000000001</v>
      </c>
      <c r="DR317">
        <v>122.5</v>
      </c>
      <c r="DS317">
        <v>148</v>
      </c>
      <c r="DT317">
        <v>176</v>
      </c>
      <c r="DU317">
        <v>197</v>
      </c>
      <c r="DV317">
        <v>220</v>
      </c>
      <c r="DW317">
        <v>279</v>
      </c>
      <c r="DX317">
        <v>327.84997600000003</v>
      </c>
      <c r="DY317">
        <v>498.47998000000001</v>
      </c>
      <c r="DZ317">
        <v>97.389330000000001</v>
      </c>
      <c r="EA317">
        <v>85.038363000000004</v>
      </c>
      <c r="EB317">
        <v>150.96481299999999</v>
      </c>
      <c r="EC317">
        <v>858</v>
      </c>
      <c r="ED317">
        <v>1330</v>
      </c>
      <c r="EE317">
        <v>93.984109000000004</v>
      </c>
      <c r="EF317">
        <v>100</v>
      </c>
      <c r="EG317">
        <v>78.260869999999997</v>
      </c>
      <c r="EH317">
        <v>99.680306999999999</v>
      </c>
      <c r="EI317">
        <v>138.933031</v>
      </c>
      <c r="EJ317">
        <v>176.95800199999999</v>
      </c>
      <c r="EK317">
        <v>828</v>
      </c>
      <c r="EL317">
        <v>881</v>
      </c>
      <c r="EM317">
        <v>1224</v>
      </c>
      <c r="EN317">
        <v>1559</v>
      </c>
      <c r="EO317">
        <v>881</v>
      </c>
      <c r="EP317">
        <v>1564</v>
      </c>
      <c r="EQ317">
        <v>71.368087000000003</v>
      </c>
    </row>
    <row r="318" spans="1:147" x14ac:dyDescent="0.25">
      <c r="A318">
        <v>2025</v>
      </c>
      <c r="B318" t="str">
        <f t="shared" si="8"/>
        <v>GN</v>
      </c>
      <c r="C318" t="s">
        <v>1663</v>
      </c>
      <c r="D318" t="s">
        <v>1663</v>
      </c>
      <c r="E318">
        <v>27711</v>
      </c>
      <c r="F318" t="s">
        <v>1656</v>
      </c>
      <c r="G318" t="s">
        <v>1657</v>
      </c>
      <c r="H318" t="s">
        <v>1658</v>
      </c>
      <c r="I318">
        <v>73.39</v>
      </c>
      <c r="J318">
        <v>73.39</v>
      </c>
      <c r="K318" t="s">
        <v>277</v>
      </c>
      <c r="L318">
        <v>1</v>
      </c>
      <c r="M318">
        <v>2020</v>
      </c>
      <c r="O318" t="str">
        <f t="shared" si="9"/>
        <v>Talhadia</v>
      </c>
      <c r="P318" s="2">
        <v>44117</v>
      </c>
      <c r="Q318" t="s">
        <v>152</v>
      </c>
      <c r="R318" t="s">
        <v>200</v>
      </c>
      <c r="S318" t="s">
        <v>154</v>
      </c>
      <c r="T318" t="s">
        <v>279</v>
      </c>
      <c r="U318" t="s">
        <v>156</v>
      </c>
      <c r="V318" s="2">
        <v>44747</v>
      </c>
      <c r="W318" t="s">
        <v>1659</v>
      </c>
      <c r="X318">
        <v>163.80000000000001</v>
      </c>
      <c r="Y318">
        <v>18.8</v>
      </c>
      <c r="Z318">
        <v>4</v>
      </c>
      <c r="AA318">
        <v>13.9</v>
      </c>
      <c r="AB318">
        <v>2</v>
      </c>
      <c r="AC318">
        <v>261.32</v>
      </c>
      <c r="AD318">
        <v>260.52463630713402</v>
      </c>
      <c r="AE318" s="2">
        <v>45715</v>
      </c>
      <c r="AF318">
        <v>52</v>
      </c>
      <c r="AG318">
        <v>4.3750855578371004</v>
      </c>
      <c r="AH318">
        <v>26.250576192470401</v>
      </c>
      <c r="AI318">
        <v>15.78</v>
      </c>
      <c r="AJ318">
        <v>19.739244172931102</v>
      </c>
      <c r="AK318">
        <v>25</v>
      </c>
      <c r="AL318">
        <v>959.60214566914794</v>
      </c>
      <c r="AM318">
        <v>260.76526295162898</v>
      </c>
      <c r="AN318">
        <v>0.27174310116802902</v>
      </c>
      <c r="AO318" t="s">
        <v>200</v>
      </c>
      <c r="AP318" t="s">
        <v>264</v>
      </c>
      <c r="AQ318" t="s">
        <v>304</v>
      </c>
      <c r="AR318">
        <v>9.99</v>
      </c>
      <c r="AS318">
        <v>0.958642543523478</v>
      </c>
      <c r="AT318" t="s">
        <v>1664</v>
      </c>
      <c r="AU318" t="s">
        <v>1663</v>
      </c>
      <c r="AV318">
        <v>1075</v>
      </c>
      <c r="AW318">
        <v>594</v>
      </c>
      <c r="AX318">
        <v>325</v>
      </c>
      <c r="AY318">
        <v>131</v>
      </c>
      <c r="AZ318">
        <v>24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24.889999</v>
      </c>
      <c r="BI318">
        <v>16.186529</v>
      </c>
      <c r="BJ318">
        <v>0</v>
      </c>
      <c r="BK318">
        <v>8.9380179999999996</v>
      </c>
      <c r="BL318">
        <v>79.888161999999994</v>
      </c>
      <c r="BM318">
        <v>0.55218900000000004</v>
      </c>
      <c r="BN318">
        <v>13.278</v>
      </c>
      <c r="BO318">
        <v>-1.0681970000000001</v>
      </c>
      <c r="BP318">
        <v>2.3226330000000002</v>
      </c>
      <c r="BQ318">
        <v>7.6591459999999998</v>
      </c>
      <c r="BR318">
        <v>1.8869990000000001</v>
      </c>
      <c r="BS318">
        <v>20.714001</v>
      </c>
      <c r="BT318">
        <v>16.186529</v>
      </c>
      <c r="BU318">
        <v>4.4197300000000004</v>
      </c>
      <c r="BV318">
        <v>-1.629734</v>
      </c>
      <c r="BW318">
        <v>0.21776300000000001</v>
      </c>
      <c r="BX318">
        <v>0.27305000000000001</v>
      </c>
      <c r="BY318">
        <v>-0.36874099999999999</v>
      </c>
      <c r="BZ318">
        <v>4.9271000000000002E-2</v>
      </c>
      <c r="CA318">
        <v>2E-3</v>
      </c>
      <c r="CB318">
        <v>0.01</v>
      </c>
      <c r="CC318">
        <v>2.5000000000000001E-2</v>
      </c>
      <c r="CD318">
        <v>2.3397999999999999</v>
      </c>
      <c r="CE318">
        <v>8.8925000000000001</v>
      </c>
      <c r="CF318">
        <v>18.552199999999999</v>
      </c>
      <c r="CG318">
        <v>20.009799999999998</v>
      </c>
      <c r="CH318">
        <v>20.714001</v>
      </c>
      <c r="CI318">
        <v>21.279599999999999</v>
      </c>
      <c r="CJ318">
        <v>21.884198999999999</v>
      </c>
      <c r="CK318">
        <v>22.170500000000001</v>
      </c>
      <c r="CL318">
        <v>22.518000000000001</v>
      </c>
      <c r="CM318">
        <v>23.187798999999998</v>
      </c>
      <c r="CN318">
        <v>23.679300000000001</v>
      </c>
      <c r="CO318">
        <v>24.36364</v>
      </c>
      <c r="CP318">
        <v>0.65032299999999998</v>
      </c>
      <c r="CQ318">
        <v>18.488309000000001</v>
      </c>
      <c r="CR318">
        <v>19.447039</v>
      </c>
      <c r="CS318">
        <v>19</v>
      </c>
      <c r="CT318">
        <v>659</v>
      </c>
      <c r="CU318">
        <v>144.25581399999999</v>
      </c>
      <c r="CV318">
        <v>39.317459999999997</v>
      </c>
      <c r="CW318">
        <v>100.47489</v>
      </c>
      <c r="CX318">
        <v>10095.203589999999</v>
      </c>
      <c r="CY318">
        <v>0.69650500000000004</v>
      </c>
      <c r="CZ318">
        <v>128</v>
      </c>
      <c r="DA318">
        <v>1.5435449999999999</v>
      </c>
      <c r="DB318">
        <v>6.3852149999999996</v>
      </c>
      <c r="DC318">
        <v>76.663148000000007</v>
      </c>
      <c r="DD318">
        <v>144.25581399999999</v>
      </c>
      <c r="DE318">
        <v>52.663871</v>
      </c>
      <c r="DF318">
        <v>13.248804</v>
      </c>
      <c r="DG318">
        <v>6.9921629999999997</v>
      </c>
      <c r="DH318">
        <v>0.36507299999999998</v>
      </c>
      <c r="DI318">
        <v>0.25157299999999999</v>
      </c>
      <c r="DJ318">
        <v>0.13277</v>
      </c>
      <c r="DK318">
        <v>28</v>
      </c>
      <c r="DL318">
        <v>34</v>
      </c>
      <c r="DM318">
        <v>43</v>
      </c>
      <c r="DN318">
        <v>59</v>
      </c>
      <c r="DO318">
        <v>68</v>
      </c>
      <c r="DP318">
        <v>77</v>
      </c>
      <c r="DQ318">
        <v>98</v>
      </c>
      <c r="DR318">
        <v>121</v>
      </c>
      <c r="DS318">
        <v>146</v>
      </c>
      <c r="DT318">
        <v>178.79998800000001</v>
      </c>
      <c r="DU318">
        <v>196</v>
      </c>
      <c r="DV318">
        <v>214.20001199999999</v>
      </c>
      <c r="DW318">
        <v>263</v>
      </c>
      <c r="DX318">
        <v>337</v>
      </c>
      <c r="DY318">
        <v>508.720215</v>
      </c>
      <c r="DZ318">
        <v>95.959596000000005</v>
      </c>
      <c r="EA318">
        <v>78.976743999999997</v>
      </c>
      <c r="EB318">
        <v>142.929293</v>
      </c>
      <c r="EC318">
        <v>570</v>
      </c>
      <c r="ED318">
        <v>849</v>
      </c>
      <c r="EE318">
        <v>93.265992999999995</v>
      </c>
      <c r="EF318">
        <v>100</v>
      </c>
      <c r="EG318">
        <v>73.488371999999998</v>
      </c>
      <c r="EH318">
        <v>99.534884000000005</v>
      </c>
      <c r="EI318">
        <v>132.996633</v>
      </c>
      <c r="EJ318">
        <v>180.13468</v>
      </c>
      <c r="EK318">
        <v>554</v>
      </c>
      <c r="EL318">
        <v>594</v>
      </c>
      <c r="EM318">
        <v>790</v>
      </c>
      <c r="EN318">
        <v>1070</v>
      </c>
      <c r="EO318">
        <v>594</v>
      </c>
      <c r="EP318">
        <v>1075</v>
      </c>
      <c r="EQ318">
        <v>65.418091000000004</v>
      </c>
    </row>
    <row r="319" spans="1:147" x14ac:dyDescent="0.25">
      <c r="A319">
        <v>2025</v>
      </c>
      <c r="B319" t="str">
        <f t="shared" si="8"/>
        <v>GN</v>
      </c>
      <c r="C319" t="s">
        <v>1665</v>
      </c>
      <c r="D319" t="s">
        <v>1665</v>
      </c>
      <c r="E319">
        <v>33370</v>
      </c>
      <c r="F319" t="s">
        <v>1656</v>
      </c>
      <c r="G319" t="s">
        <v>1657</v>
      </c>
      <c r="H319" t="s">
        <v>1658</v>
      </c>
      <c r="I319">
        <v>73.39</v>
      </c>
      <c r="J319">
        <v>73.39</v>
      </c>
      <c r="K319" t="s">
        <v>277</v>
      </c>
      <c r="L319">
        <v>1</v>
      </c>
      <c r="M319">
        <v>2020</v>
      </c>
      <c r="O319" t="str">
        <f t="shared" si="9"/>
        <v>Talhadia</v>
      </c>
      <c r="P319" s="2">
        <v>44117</v>
      </c>
      <c r="Q319" t="s">
        <v>152</v>
      </c>
      <c r="R319" t="s">
        <v>200</v>
      </c>
      <c r="S319" t="s">
        <v>154</v>
      </c>
      <c r="T319" t="s">
        <v>279</v>
      </c>
      <c r="U319" t="s">
        <v>156</v>
      </c>
      <c r="V319" s="2">
        <v>45715</v>
      </c>
      <c r="W319" t="s">
        <v>1659</v>
      </c>
      <c r="X319">
        <v>163.80000000000001</v>
      </c>
      <c r="Y319">
        <v>21.1</v>
      </c>
      <c r="Z319">
        <v>11</v>
      </c>
      <c r="AA319">
        <v>13.8</v>
      </c>
      <c r="AB319">
        <v>0</v>
      </c>
      <c r="AC319">
        <v>291.18</v>
      </c>
      <c r="AD319">
        <v>285.830203276291</v>
      </c>
      <c r="AE319" s="2">
        <v>45715</v>
      </c>
      <c r="AF319">
        <v>52</v>
      </c>
      <c r="AG319">
        <v>4.3750855578371004</v>
      </c>
      <c r="AH319">
        <v>22.931679190921798</v>
      </c>
      <c r="AI319">
        <v>15.910714285714301</v>
      </c>
      <c r="AJ319">
        <v>19.7887607789139</v>
      </c>
      <c r="AK319">
        <v>28</v>
      </c>
      <c r="AL319">
        <v>979.60256400666196</v>
      </c>
      <c r="AM319">
        <v>223.610571783659</v>
      </c>
      <c r="AN319">
        <v>0.22826662567018099</v>
      </c>
      <c r="AO319" t="s">
        <v>200</v>
      </c>
      <c r="AP319" t="s">
        <v>264</v>
      </c>
      <c r="AQ319" t="s">
        <v>304</v>
      </c>
      <c r="AR319">
        <v>9.99</v>
      </c>
      <c r="AS319">
        <v>0.97862296144265515</v>
      </c>
      <c r="AT319" t="s">
        <v>1666</v>
      </c>
      <c r="AU319" t="s">
        <v>1665</v>
      </c>
      <c r="AV319">
        <v>1251</v>
      </c>
      <c r="AW319">
        <v>703</v>
      </c>
      <c r="AX319">
        <v>406</v>
      </c>
      <c r="AY319">
        <v>116</v>
      </c>
      <c r="AZ319">
        <v>23</v>
      </c>
      <c r="BA319">
        <v>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24.437000000000001</v>
      </c>
      <c r="BI319">
        <v>16.848037999999999</v>
      </c>
      <c r="BJ319">
        <v>0</v>
      </c>
      <c r="BK319">
        <v>8.5844839999999998</v>
      </c>
      <c r="BL319">
        <v>73.693361999999993</v>
      </c>
      <c r="BM319">
        <v>0.50952399999999998</v>
      </c>
      <c r="BN319">
        <v>3.7639999999999998</v>
      </c>
      <c r="BO319">
        <v>-1.2933809999999999</v>
      </c>
      <c r="BP319">
        <v>2.8636550000000001</v>
      </c>
      <c r="BQ319">
        <v>7.049512</v>
      </c>
      <c r="BR319">
        <v>1.435999</v>
      </c>
      <c r="BS319">
        <v>21.02</v>
      </c>
      <c r="BT319">
        <v>16.848037999999999</v>
      </c>
      <c r="BU319">
        <v>4.0628039999999999</v>
      </c>
      <c r="BV319">
        <v>-1.769595</v>
      </c>
      <c r="BW319">
        <v>0.45127200000000001</v>
      </c>
      <c r="BX319">
        <v>0.241144</v>
      </c>
      <c r="BY319">
        <v>-0.43556</v>
      </c>
      <c r="BZ319">
        <v>0.11107400000000001</v>
      </c>
      <c r="CA319">
        <v>2E-3</v>
      </c>
      <c r="CB319">
        <v>0.01</v>
      </c>
      <c r="CC319">
        <v>2.4E-2</v>
      </c>
      <c r="CD319">
        <v>5.13</v>
      </c>
      <c r="CE319">
        <v>18.425498999999999</v>
      </c>
      <c r="CF319">
        <v>19.436001000000001</v>
      </c>
      <c r="CG319">
        <v>20.447001</v>
      </c>
      <c r="CH319">
        <v>21.02</v>
      </c>
      <c r="CI319">
        <v>21.521999000000001</v>
      </c>
      <c r="CJ319">
        <v>22.002001</v>
      </c>
      <c r="CK319">
        <v>22.189499000000001</v>
      </c>
      <c r="CL319">
        <v>22.391000999999999</v>
      </c>
      <c r="CM319">
        <v>22.959999</v>
      </c>
      <c r="CN319">
        <v>23.323999000000001</v>
      </c>
      <c r="CO319">
        <v>23.870498999999999</v>
      </c>
      <c r="CP319">
        <v>0.68944799999999995</v>
      </c>
      <c r="CQ319">
        <v>18.907427999999999</v>
      </c>
      <c r="CR319">
        <v>19.735381</v>
      </c>
      <c r="CS319">
        <v>24</v>
      </c>
      <c r="CT319">
        <v>571</v>
      </c>
      <c r="CU319">
        <v>130.31654700000001</v>
      </c>
      <c r="CV319">
        <v>41.365079000000001</v>
      </c>
      <c r="CW319">
        <v>83.594059999999999</v>
      </c>
      <c r="CX319">
        <v>6987.9669180000001</v>
      </c>
      <c r="CY319">
        <v>0.64146899999999996</v>
      </c>
      <c r="CZ319">
        <v>108.5</v>
      </c>
      <c r="DA319">
        <v>1.428221</v>
      </c>
      <c r="DB319">
        <v>6.2100059999999999</v>
      </c>
      <c r="DC319">
        <v>64.876650999999995</v>
      </c>
      <c r="DD319">
        <v>130.31654700000001</v>
      </c>
      <c r="DE319">
        <v>44.424936000000002</v>
      </c>
      <c r="DF319">
        <v>10.123163</v>
      </c>
      <c r="DG319">
        <v>5.1979160000000002</v>
      </c>
      <c r="DH319">
        <v>0.34089999999999998</v>
      </c>
      <c r="DI319">
        <v>0.22787099999999999</v>
      </c>
      <c r="DJ319">
        <v>0.117004</v>
      </c>
      <c r="DK319">
        <v>28.5</v>
      </c>
      <c r="DL319">
        <v>35.5</v>
      </c>
      <c r="DM319">
        <v>43</v>
      </c>
      <c r="DN319">
        <v>58</v>
      </c>
      <c r="DO319">
        <v>67</v>
      </c>
      <c r="DP319">
        <v>74</v>
      </c>
      <c r="DQ319">
        <v>92</v>
      </c>
      <c r="DR319">
        <v>111</v>
      </c>
      <c r="DS319">
        <v>134</v>
      </c>
      <c r="DT319">
        <v>162</v>
      </c>
      <c r="DU319">
        <v>175.5</v>
      </c>
      <c r="DV319">
        <v>192</v>
      </c>
      <c r="DW319">
        <v>239</v>
      </c>
      <c r="DX319">
        <v>278</v>
      </c>
      <c r="DY319">
        <v>418.5</v>
      </c>
      <c r="DZ319">
        <v>98.150782000000007</v>
      </c>
      <c r="EA319">
        <v>81.614707999999993</v>
      </c>
      <c r="EB319">
        <v>145.23470800000001</v>
      </c>
      <c r="EC319">
        <v>690</v>
      </c>
      <c r="ED319">
        <v>1021</v>
      </c>
      <c r="EE319">
        <v>94.452347000000003</v>
      </c>
      <c r="EF319">
        <v>100</v>
      </c>
      <c r="EG319">
        <v>75.619504000000006</v>
      </c>
      <c r="EH319">
        <v>99.840128000000007</v>
      </c>
      <c r="EI319">
        <v>134.56614500000001</v>
      </c>
      <c r="EJ319">
        <v>177.66714099999999</v>
      </c>
      <c r="EK319">
        <v>664</v>
      </c>
      <c r="EL319">
        <v>703</v>
      </c>
      <c r="EM319">
        <v>946</v>
      </c>
      <c r="EN319">
        <v>1249</v>
      </c>
      <c r="EO319">
        <v>703</v>
      </c>
      <c r="EP319">
        <v>1251</v>
      </c>
      <c r="EQ319">
        <v>69.603102000000007</v>
      </c>
    </row>
    <row r="320" spans="1:147" x14ac:dyDescent="0.25">
      <c r="A320">
        <v>2025</v>
      </c>
      <c r="B320" t="str">
        <f t="shared" si="8"/>
        <v>GN</v>
      </c>
      <c r="C320" t="s">
        <v>1667</v>
      </c>
      <c r="D320" t="s">
        <v>1667</v>
      </c>
      <c r="E320">
        <v>33371</v>
      </c>
      <c r="F320" t="s">
        <v>1656</v>
      </c>
      <c r="G320" t="s">
        <v>1657</v>
      </c>
      <c r="H320" t="s">
        <v>1658</v>
      </c>
      <c r="I320">
        <v>73.39</v>
      </c>
      <c r="J320">
        <v>73.39</v>
      </c>
      <c r="K320" t="s">
        <v>277</v>
      </c>
      <c r="L320">
        <v>1</v>
      </c>
      <c r="M320">
        <v>2020</v>
      </c>
      <c r="O320" t="str">
        <f t="shared" si="9"/>
        <v>Talhadia</v>
      </c>
      <c r="P320" s="2">
        <v>44117</v>
      </c>
      <c r="Q320" t="s">
        <v>152</v>
      </c>
      <c r="R320" t="s">
        <v>200</v>
      </c>
      <c r="S320" t="s">
        <v>154</v>
      </c>
      <c r="T320" t="s">
        <v>279</v>
      </c>
      <c r="U320" t="s">
        <v>156</v>
      </c>
      <c r="V320" s="2">
        <v>44748</v>
      </c>
      <c r="W320" t="s">
        <v>1659</v>
      </c>
      <c r="X320">
        <v>163.80000000000001</v>
      </c>
      <c r="Y320">
        <v>18.899999999999999</v>
      </c>
      <c r="Z320">
        <v>5</v>
      </c>
      <c r="AA320">
        <v>14</v>
      </c>
      <c r="AB320">
        <v>0</v>
      </c>
      <c r="AC320">
        <v>264.60000000000002</v>
      </c>
      <c r="AD320">
        <v>263.59311711507598</v>
      </c>
      <c r="AE320" s="2">
        <v>45715</v>
      </c>
      <c r="AF320">
        <v>52</v>
      </c>
      <c r="AG320">
        <v>4.3750855578371004</v>
      </c>
      <c r="AH320">
        <v>23.920915691718399</v>
      </c>
      <c r="AI320">
        <v>17.469565217391299</v>
      </c>
      <c r="AJ320">
        <v>21.5949016425221</v>
      </c>
      <c r="AK320">
        <v>23</v>
      </c>
      <c r="AL320">
        <v>872.55692605808702</v>
      </c>
      <c r="AM320">
        <v>256.60600986176797</v>
      </c>
      <c r="AN320">
        <v>0.29408512178228402</v>
      </c>
      <c r="AO320" t="s">
        <v>200</v>
      </c>
      <c r="AP320" t="s">
        <v>264</v>
      </c>
      <c r="AQ320" t="s">
        <v>304</v>
      </c>
      <c r="AR320">
        <v>9.99</v>
      </c>
      <c r="AS320">
        <v>0.87168436913202885</v>
      </c>
      <c r="AT320" t="s">
        <v>1668</v>
      </c>
      <c r="AU320" t="s">
        <v>1667</v>
      </c>
      <c r="AV320">
        <v>1140</v>
      </c>
      <c r="AW320">
        <v>645</v>
      </c>
      <c r="AX320">
        <v>360</v>
      </c>
      <c r="AY320">
        <v>104</v>
      </c>
      <c r="AZ320">
        <v>29</v>
      </c>
      <c r="BA320">
        <v>2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24.643999000000001</v>
      </c>
      <c r="BI320">
        <v>17.068966</v>
      </c>
      <c r="BJ320">
        <v>0</v>
      </c>
      <c r="BK320">
        <v>8.3210080000000008</v>
      </c>
      <c r="BL320">
        <v>69.239165999999997</v>
      </c>
      <c r="BM320">
        <v>0.48749300000000001</v>
      </c>
      <c r="BN320">
        <v>3.3122500000000001</v>
      </c>
      <c r="BO320">
        <v>-1.3977360000000001</v>
      </c>
      <c r="BP320">
        <v>3.162296</v>
      </c>
      <c r="BQ320">
        <v>6.6467739999999997</v>
      </c>
      <c r="BR320">
        <v>1.4030020000000001</v>
      </c>
      <c r="BS320">
        <v>20.872501</v>
      </c>
      <c r="BT320">
        <v>17.068966</v>
      </c>
      <c r="BU320">
        <v>3.878619</v>
      </c>
      <c r="BV320">
        <v>-1.7400519999999999</v>
      </c>
      <c r="BW320">
        <v>0.57811000000000001</v>
      </c>
      <c r="BX320">
        <v>0.22723199999999999</v>
      </c>
      <c r="BY320">
        <v>-0.448627</v>
      </c>
      <c r="BZ320">
        <v>0.14905099999999999</v>
      </c>
      <c r="CA320">
        <v>3.0000000000000001E-3</v>
      </c>
      <c r="CB320">
        <v>0.01</v>
      </c>
      <c r="CC320">
        <v>2.69E-2</v>
      </c>
      <c r="CD320">
        <v>8.4497999999999998</v>
      </c>
      <c r="CE320">
        <v>18.760999999999999</v>
      </c>
      <c r="CF320">
        <v>19.4697</v>
      </c>
      <c r="CG320">
        <v>20.338200000000001</v>
      </c>
      <c r="CH320">
        <v>20.872501</v>
      </c>
      <c r="CI320">
        <v>21.351400000000002</v>
      </c>
      <c r="CJ320">
        <v>21.847601000000001</v>
      </c>
      <c r="CK320">
        <v>22.073250000000002</v>
      </c>
      <c r="CL320">
        <v>22.275801000000001</v>
      </c>
      <c r="CM320">
        <v>22.943100000000001</v>
      </c>
      <c r="CN320">
        <v>23.380400000000002</v>
      </c>
      <c r="CO320">
        <v>23.886009000000001</v>
      </c>
      <c r="CP320">
        <v>0.69262199999999996</v>
      </c>
      <c r="CQ320">
        <v>18.987575</v>
      </c>
      <c r="CR320">
        <v>19.756084999999999</v>
      </c>
      <c r="CS320">
        <v>18</v>
      </c>
      <c r="CT320">
        <v>604</v>
      </c>
      <c r="CU320">
        <v>162.79122799999999</v>
      </c>
      <c r="CV320">
        <v>36.603175</v>
      </c>
      <c r="CW320">
        <v>105.92446099999999</v>
      </c>
      <c r="CX320">
        <v>11219.9915</v>
      </c>
      <c r="CY320">
        <v>0.65067699999999995</v>
      </c>
      <c r="CZ320">
        <v>154</v>
      </c>
      <c r="DA320">
        <v>0.90749000000000002</v>
      </c>
      <c r="DB320">
        <v>3.582363</v>
      </c>
      <c r="DC320">
        <v>86.216099999999997</v>
      </c>
      <c r="DD320">
        <v>162.79122799999999</v>
      </c>
      <c r="DE320">
        <v>58.493479999999998</v>
      </c>
      <c r="DF320">
        <v>10.917344999999999</v>
      </c>
      <c r="DG320">
        <v>4.3876379999999999</v>
      </c>
      <c r="DH320">
        <v>0.35931600000000002</v>
      </c>
      <c r="DI320">
        <v>0.186642</v>
      </c>
      <c r="DJ320">
        <v>7.5010999999999994E-2</v>
      </c>
      <c r="DK320">
        <v>27</v>
      </c>
      <c r="DL320">
        <v>35.950001</v>
      </c>
      <c r="DM320">
        <v>45</v>
      </c>
      <c r="DN320">
        <v>63</v>
      </c>
      <c r="DO320">
        <v>74</v>
      </c>
      <c r="DP320">
        <v>86</v>
      </c>
      <c r="DQ320">
        <v>112.60000599999999</v>
      </c>
      <c r="DR320">
        <v>144</v>
      </c>
      <c r="DS320">
        <v>175.400024</v>
      </c>
      <c r="DT320">
        <v>211</v>
      </c>
      <c r="DU320">
        <v>228</v>
      </c>
      <c r="DV320">
        <v>248.20001199999999</v>
      </c>
      <c r="DW320">
        <v>311.09997600000003</v>
      </c>
      <c r="DX320">
        <v>363.050049</v>
      </c>
      <c r="DY320">
        <v>467.87988300000001</v>
      </c>
      <c r="DZ320">
        <v>98.914728999999994</v>
      </c>
      <c r="EA320">
        <v>82.894737000000006</v>
      </c>
      <c r="EB320">
        <v>146.511628</v>
      </c>
      <c r="EC320">
        <v>638</v>
      </c>
      <c r="ED320">
        <v>945</v>
      </c>
      <c r="EE320">
        <v>95.813952999999998</v>
      </c>
      <c r="EF320">
        <v>100</v>
      </c>
      <c r="EG320">
        <v>77.807017999999999</v>
      </c>
      <c r="EH320">
        <v>99.824561000000003</v>
      </c>
      <c r="EI320">
        <v>137.51938000000001</v>
      </c>
      <c r="EJ320">
        <v>176.43410900000001</v>
      </c>
      <c r="EK320">
        <v>618</v>
      </c>
      <c r="EL320">
        <v>645</v>
      </c>
      <c r="EM320">
        <v>887</v>
      </c>
      <c r="EN320">
        <v>1138</v>
      </c>
      <c r="EO320">
        <v>645</v>
      </c>
      <c r="EP320">
        <v>1140</v>
      </c>
      <c r="EQ320">
        <v>70.424772000000004</v>
      </c>
    </row>
    <row r="321" spans="1:147" x14ac:dyDescent="0.25">
      <c r="A321">
        <v>2025</v>
      </c>
      <c r="B321" t="str">
        <f t="shared" si="8"/>
        <v>GN</v>
      </c>
      <c r="C321" t="s">
        <v>1669</v>
      </c>
      <c r="D321" t="s">
        <v>1669</v>
      </c>
      <c r="E321">
        <v>27543</v>
      </c>
      <c r="F321" t="s">
        <v>1670</v>
      </c>
      <c r="G321" t="s">
        <v>1671</v>
      </c>
      <c r="H321" t="s">
        <v>1672</v>
      </c>
      <c r="I321">
        <v>83.65</v>
      </c>
      <c r="J321">
        <v>83.65</v>
      </c>
      <c r="K321" t="s">
        <v>415</v>
      </c>
      <c r="L321">
        <v>1</v>
      </c>
      <c r="M321">
        <v>2020</v>
      </c>
      <c r="O321" t="str">
        <f t="shared" si="9"/>
        <v>Talhadia</v>
      </c>
      <c r="P321" s="2">
        <v>44048</v>
      </c>
      <c r="Q321" t="s">
        <v>174</v>
      </c>
      <c r="R321" t="s">
        <v>314</v>
      </c>
      <c r="S321" t="s">
        <v>154</v>
      </c>
      <c r="T321" t="s">
        <v>279</v>
      </c>
      <c r="U321" t="s">
        <v>156</v>
      </c>
      <c r="V321" s="2">
        <v>44749</v>
      </c>
      <c r="W321" t="s">
        <v>1673</v>
      </c>
      <c r="X321">
        <v>90.910000000000011</v>
      </c>
      <c r="Y321">
        <v>20.5</v>
      </c>
      <c r="Z321">
        <v>24</v>
      </c>
      <c r="AA321">
        <v>15.4</v>
      </c>
      <c r="AB321">
        <v>3</v>
      </c>
      <c r="AC321">
        <v>315.7</v>
      </c>
      <c r="AD321">
        <v>288.01105016571699</v>
      </c>
      <c r="AE321" s="2">
        <v>45733</v>
      </c>
      <c r="AF321">
        <v>55</v>
      </c>
      <c r="AG321">
        <v>4.6132785763175903</v>
      </c>
      <c r="AH321">
        <v>26.658904744243902</v>
      </c>
      <c r="AI321">
        <v>14.82</v>
      </c>
      <c r="AJ321">
        <v>16.410128638314902</v>
      </c>
      <c r="AK321">
        <v>25</v>
      </c>
      <c r="AL321">
        <v>868.02225073014995</v>
      </c>
      <c r="AM321">
        <v>232.128205570923</v>
      </c>
      <c r="AN321">
        <v>0.26742195303826</v>
      </c>
      <c r="AO321" t="s">
        <v>314</v>
      </c>
      <c r="AP321" t="s">
        <v>264</v>
      </c>
      <c r="AQ321" t="s">
        <v>530</v>
      </c>
      <c r="AR321">
        <v>9</v>
      </c>
      <c r="AS321">
        <v>0.78122002565713566</v>
      </c>
      <c r="AT321" t="s">
        <v>1674</v>
      </c>
      <c r="AU321" t="s">
        <v>1669</v>
      </c>
      <c r="AV321">
        <v>1037</v>
      </c>
      <c r="AW321">
        <v>562</v>
      </c>
      <c r="AX321">
        <v>339</v>
      </c>
      <c r="AY321">
        <v>114</v>
      </c>
      <c r="AZ321">
        <v>21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2E-3</v>
      </c>
      <c r="BH321">
        <v>32.014999000000003</v>
      </c>
      <c r="BI321">
        <v>17.194807000000001</v>
      </c>
      <c r="BJ321">
        <v>2E-3</v>
      </c>
      <c r="BK321">
        <v>11.490365000000001</v>
      </c>
      <c r="BL321">
        <v>132.02849499999999</v>
      </c>
      <c r="BM321">
        <v>0.66824600000000001</v>
      </c>
      <c r="BN321">
        <v>24.920999999999999</v>
      </c>
      <c r="BO321">
        <v>-0.482456</v>
      </c>
      <c r="BP321">
        <v>1.554953</v>
      </c>
      <c r="BQ321">
        <v>10.333627</v>
      </c>
      <c r="BR321">
        <v>7.2430000000000003</v>
      </c>
      <c r="BS321">
        <v>21.024999999999999</v>
      </c>
      <c r="BT321">
        <v>17.194807000000001</v>
      </c>
      <c r="BU321">
        <v>6.3181430000000001</v>
      </c>
      <c r="BV321">
        <v>-1.0514669999999999</v>
      </c>
      <c r="BW321">
        <v>-0.597468</v>
      </c>
      <c r="BX321">
        <v>0.36744500000000002</v>
      </c>
      <c r="BY321">
        <v>-0.16642000000000001</v>
      </c>
      <c r="BZ321">
        <v>-9.4563999999999995E-2</v>
      </c>
      <c r="CA321">
        <v>8.9999999999999993E-3</v>
      </c>
      <c r="CB321">
        <v>3.5000000000000003E-2</v>
      </c>
      <c r="CC321">
        <v>0.1236</v>
      </c>
      <c r="CD321">
        <v>1.163</v>
      </c>
      <c r="CE321">
        <v>2.3740000000000001</v>
      </c>
      <c r="CF321">
        <v>8.8719990000000006</v>
      </c>
      <c r="CG321">
        <v>17.709999</v>
      </c>
      <c r="CH321">
        <v>21.027000000000001</v>
      </c>
      <c r="CI321">
        <v>25.676600000000001</v>
      </c>
      <c r="CJ321">
        <v>26.799600999999999</v>
      </c>
      <c r="CK321">
        <v>27.295000000000002</v>
      </c>
      <c r="CL321">
        <v>27.696199</v>
      </c>
      <c r="CM321">
        <v>28.771999000000001</v>
      </c>
      <c r="CN321">
        <v>29.554400999999999</v>
      </c>
      <c r="CO321">
        <v>31.12668</v>
      </c>
      <c r="CP321">
        <v>0.53705700000000001</v>
      </c>
      <c r="CQ321">
        <v>20.677586000000002</v>
      </c>
      <c r="CR321">
        <v>22.344888000000001</v>
      </c>
      <c r="CS321">
        <v>24</v>
      </c>
      <c r="CT321">
        <v>441</v>
      </c>
      <c r="CU321">
        <v>112.626808</v>
      </c>
      <c r="CV321">
        <v>43.857143000000001</v>
      </c>
      <c r="CW321">
        <v>72.660212000000001</v>
      </c>
      <c r="CX321">
        <v>5279.5063460000001</v>
      </c>
      <c r="CY321">
        <v>0.64514099999999996</v>
      </c>
      <c r="CZ321">
        <v>91</v>
      </c>
      <c r="DA321">
        <v>1.3589880000000001</v>
      </c>
      <c r="DB321">
        <v>5.0704529999999997</v>
      </c>
      <c r="DC321">
        <v>56.260558000000003</v>
      </c>
      <c r="DD321">
        <v>112.626808</v>
      </c>
      <c r="DE321">
        <v>38.5304</v>
      </c>
      <c r="DF321">
        <v>9.8695419999999991</v>
      </c>
      <c r="DG321">
        <v>4.7357459999999998</v>
      </c>
      <c r="DH321">
        <v>0.34210699999999999</v>
      </c>
      <c r="DI321">
        <v>0.25614900000000002</v>
      </c>
      <c r="DJ321">
        <v>0.122909</v>
      </c>
      <c r="DK321">
        <v>26</v>
      </c>
      <c r="DL321">
        <v>35</v>
      </c>
      <c r="DM321">
        <v>40</v>
      </c>
      <c r="DN321">
        <v>49</v>
      </c>
      <c r="DO321">
        <v>58</v>
      </c>
      <c r="DP321">
        <v>62</v>
      </c>
      <c r="DQ321">
        <v>77</v>
      </c>
      <c r="DR321">
        <v>96</v>
      </c>
      <c r="DS321">
        <v>114</v>
      </c>
      <c r="DT321">
        <v>136</v>
      </c>
      <c r="DU321">
        <v>149</v>
      </c>
      <c r="DV321">
        <v>167</v>
      </c>
      <c r="DW321">
        <v>207.400024</v>
      </c>
      <c r="DX321">
        <v>245.800049</v>
      </c>
      <c r="DY321">
        <v>354.20007299999997</v>
      </c>
      <c r="DZ321">
        <v>89.323842999999997</v>
      </c>
      <c r="EA321">
        <v>73.577628000000004</v>
      </c>
      <c r="EB321">
        <v>135.76512500000001</v>
      </c>
      <c r="EC321">
        <v>502</v>
      </c>
      <c r="ED321">
        <v>763</v>
      </c>
      <c r="EE321">
        <v>85.231317000000004</v>
      </c>
      <c r="EF321">
        <v>100</v>
      </c>
      <c r="EG321">
        <v>60.75217</v>
      </c>
      <c r="EH321">
        <v>99.614272</v>
      </c>
      <c r="EI321">
        <v>112.099644</v>
      </c>
      <c r="EJ321">
        <v>183.807829</v>
      </c>
      <c r="EK321">
        <v>479</v>
      </c>
      <c r="EL321">
        <v>562</v>
      </c>
      <c r="EM321">
        <v>630</v>
      </c>
      <c r="EN321">
        <v>1033</v>
      </c>
      <c r="EO321">
        <v>562</v>
      </c>
      <c r="EP321">
        <v>1037</v>
      </c>
      <c r="EQ321">
        <v>54.245117</v>
      </c>
    </row>
    <row r="322" spans="1:147" x14ac:dyDescent="0.25">
      <c r="A322">
        <v>2025</v>
      </c>
      <c r="B322" t="str">
        <f t="shared" si="8"/>
        <v>GN</v>
      </c>
      <c r="C322" t="s">
        <v>1675</v>
      </c>
      <c r="D322" t="s">
        <v>1675</v>
      </c>
      <c r="E322">
        <v>27544</v>
      </c>
      <c r="F322" t="s">
        <v>1670</v>
      </c>
      <c r="G322" t="s">
        <v>1671</v>
      </c>
      <c r="H322" t="s">
        <v>1672</v>
      </c>
      <c r="I322">
        <v>83.65</v>
      </c>
      <c r="J322">
        <v>83.65</v>
      </c>
      <c r="K322" t="s">
        <v>415</v>
      </c>
      <c r="L322">
        <v>1</v>
      </c>
      <c r="M322">
        <v>2020</v>
      </c>
      <c r="O322" t="str">
        <f t="shared" si="9"/>
        <v>Talhadia</v>
      </c>
      <c r="P322" s="2">
        <v>44048</v>
      </c>
      <c r="Q322" t="s">
        <v>174</v>
      </c>
      <c r="R322" t="s">
        <v>314</v>
      </c>
      <c r="S322" t="s">
        <v>154</v>
      </c>
      <c r="T322" t="s">
        <v>279</v>
      </c>
      <c r="U322" t="s">
        <v>156</v>
      </c>
      <c r="V322" s="2">
        <v>45733</v>
      </c>
      <c r="W322" t="s">
        <v>1673</v>
      </c>
      <c r="X322">
        <v>90.910000000000011</v>
      </c>
      <c r="Y322">
        <v>19.5</v>
      </c>
      <c r="Z322">
        <v>14</v>
      </c>
      <c r="AA322">
        <v>15.4</v>
      </c>
      <c r="AB322">
        <v>1</v>
      </c>
      <c r="AC322">
        <v>300.3</v>
      </c>
      <c r="AD322">
        <v>291.33542804480697</v>
      </c>
      <c r="AE322" s="2">
        <v>45733</v>
      </c>
      <c r="AF322">
        <v>55</v>
      </c>
      <c r="AG322">
        <v>4.6132785763175903</v>
      </c>
      <c r="AH322">
        <v>27.956006491733401</v>
      </c>
      <c r="AI322">
        <v>18.03</v>
      </c>
      <c r="AJ322">
        <v>19.722500098887402</v>
      </c>
      <c r="AK322">
        <v>20</v>
      </c>
      <c r="AL322">
        <v>686.49391988550201</v>
      </c>
      <c r="AM322">
        <v>300.52176295832902</v>
      </c>
      <c r="AN322">
        <v>0.43776318224122301</v>
      </c>
      <c r="AO322" t="s">
        <v>314</v>
      </c>
      <c r="AP322" t="s">
        <v>264</v>
      </c>
      <c r="AQ322" t="s">
        <v>530</v>
      </c>
      <c r="AR322">
        <v>9</v>
      </c>
      <c r="AS322">
        <v>0.61784452789695132</v>
      </c>
      <c r="AT322" t="s">
        <v>1676</v>
      </c>
      <c r="AU322" t="s">
        <v>1675</v>
      </c>
      <c r="AV322">
        <v>1176</v>
      </c>
      <c r="AW322">
        <v>707</v>
      </c>
      <c r="AX322">
        <v>361</v>
      </c>
      <c r="AY322">
        <v>99</v>
      </c>
      <c r="AZ322">
        <v>9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34.446998999999998</v>
      </c>
      <c r="BI322">
        <v>18.503872999999999</v>
      </c>
      <c r="BJ322">
        <v>0</v>
      </c>
      <c r="BK322">
        <v>12.042562999999999</v>
      </c>
      <c r="BL322">
        <v>145.023315</v>
      </c>
      <c r="BM322">
        <v>0.65081299999999997</v>
      </c>
      <c r="BN322">
        <v>21.943000000000001</v>
      </c>
      <c r="BO322">
        <v>-0.51947100000000002</v>
      </c>
      <c r="BP322">
        <v>1.658126</v>
      </c>
      <c r="BQ322">
        <v>10.881807999999999</v>
      </c>
      <c r="BR322">
        <v>6.49</v>
      </c>
      <c r="BS322">
        <v>24.714500000000001</v>
      </c>
      <c r="BT322">
        <v>18.503872999999999</v>
      </c>
      <c r="BU322">
        <v>6.6409310000000001</v>
      </c>
      <c r="BV322">
        <v>-1.151071</v>
      </c>
      <c r="BW322">
        <v>-0.47983999999999999</v>
      </c>
      <c r="BX322">
        <v>0.35889399999999999</v>
      </c>
      <c r="BY322">
        <v>-0.17333000000000001</v>
      </c>
      <c r="BZ322">
        <v>-7.2255E-2</v>
      </c>
      <c r="CA322">
        <v>2E-3</v>
      </c>
      <c r="CB322">
        <v>7.0000000000000001E-3</v>
      </c>
      <c r="CC322">
        <v>1.4E-2</v>
      </c>
      <c r="CD322">
        <v>5.2999999999999999E-2</v>
      </c>
      <c r="CE322">
        <v>6.6927500000000002</v>
      </c>
      <c r="CF322">
        <v>11.644501</v>
      </c>
      <c r="CG322">
        <v>16.18</v>
      </c>
      <c r="CH322">
        <v>24.714500000000001</v>
      </c>
      <c r="CI322">
        <v>26.705998999999998</v>
      </c>
      <c r="CJ322">
        <v>28.056000000000001</v>
      </c>
      <c r="CK322">
        <v>28.635750000000002</v>
      </c>
      <c r="CL322">
        <v>29.497999</v>
      </c>
      <c r="CM322">
        <v>30.781500000000001</v>
      </c>
      <c r="CN322">
        <v>31.934249999999999</v>
      </c>
      <c r="CO322">
        <v>33.185501000000002</v>
      </c>
      <c r="CP322">
        <v>0.53716900000000001</v>
      </c>
      <c r="CQ322">
        <v>22.074721</v>
      </c>
      <c r="CR322">
        <v>23.794992000000001</v>
      </c>
      <c r="CS322">
        <v>24</v>
      </c>
      <c r="CT322">
        <v>450</v>
      </c>
      <c r="CU322">
        <v>109.65306099999999</v>
      </c>
      <c r="CV322">
        <v>37.523809999999997</v>
      </c>
      <c r="CW322">
        <v>78.445137000000003</v>
      </c>
      <c r="CX322">
        <v>6153.6395309999998</v>
      </c>
      <c r="CY322">
        <v>0.71539399999999997</v>
      </c>
      <c r="CZ322">
        <v>82</v>
      </c>
      <c r="DA322">
        <v>1.797029</v>
      </c>
      <c r="DB322">
        <v>6.4864220000000001</v>
      </c>
      <c r="DC322">
        <v>56.609502999999997</v>
      </c>
      <c r="DD322">
        <v>109.65306099999999</v>
      </c>
      <c r="DE322">
        <v>39.407246000000001</v>
      </c>
      <c r="DF322">
        <v>12.811931</v>
      </c>
      <c r="DG322">
        <v>7.3657700000000004</v>
      </c>
      <c r="DH322">
        <v>0.35938100000000001</v>
      </c>
      <c r="DI322">
        <v>0.32511600000000002</v>
      </c>
      <c r="DJ322">
        <v>0.186914</v>
      </c>
      <c r="DK322">
        <v>27</v>
      </c>
      <c r="DL322">
        <v>33</v>
      </c>
      <c r="DM322">
        <v>38.5</v>
      </c>
      <c r="DN322">
        <v>49</v>
      </c>
      <c r="DO322">
        <v>54</v>
      </c>
      <c r="DP322">
        <v>59</v>
      </c>
      <c r="DQ322">
        <v>74</v>
      </c>
      <c r="DR322">
        <v>90</v>
      </c>
      <c r="DS322">
        <v>106</v>
      </c>
      <c r="DT322">
        <v>123</v>
      </c>
      <c r="DU322">
        <v>136</v>
      </c>
      <c r="DV322">
        <v>150</v>
      </c>
      <c r="DW322">
        <v>205.5</v>
      </c>
      <c r="DX322">
        <v>281</v>
      </c>
      <c r="DY322">
        <v>390.5</v>
      </c>
      <c r="DZ322">
        <v>92.220651000000004</v>
      </c>
      <c r="EA322">
        <v>77.210883999999993</v>
      </c>
      <c r="EB322">
        <v>128.42998600000001</v>
      </c>
      <c r="EC322">
        <v>652</v>
      </c>
      <c r="ED322">
        <v>908</v>
      </c>
      <c r="EE322">
        <v>80.19802</v>
      </c>
      <c r="EF322">
        <v>99.858557000000005</v>
      </c>
      <c r="EG322">
        <v>57.227891</v>
      </c>
      <c r="EH322">
        <v>99.829931999999999</v>
      </c>
      <c r="EI322">
        <v>95.190948000000006</v>
      </c>
      <c r="EJ322">
        <v>166.05374800000001</v>
      </c>
      <c r="EK322">
        <v>567</v>
      </c>
      <c r="EL322">
        <v>706</v>
      </c>
      <c r="EM322">
        <v>673</v>
      </c>
      <c r="EN322">
        <v>1174</v>
      </c>
      <c r="EO322">
        <v>707</v>
      </c>
      <c r="EP322">
        <v>1176</v>
      </c>
      <c r="EQ322">
        <v>54.749513</v>
      </c>
    </row>
    <row r="323" spans="1:147" x14ac:dyDescent="0.25">
      <c r="A323">
        <v>2025</v>
      </c>
      <c r="B323" t="str">
        <f t="shared" ref="B323:B386" si="10">LEFT(C323,2)</f>
        <v>GN</v>
      </c>
      <c r="C323" t="s">
        <v>1677</v>
      </c>
      <c r="D323" t="s">
        <v>1677</v>
      </c>
      <c r="E323">
        <v>27545</v>
      </c>
      <c r="F323" t="s">
        <v>1670</v>
      </c>
      <c r="G323" t="s">
        <v>1671</v>
      </c>
      <c r="H323" t="s">
        <v>1672</v>
      </c>
      <c r="I323">
        <v>83.65</v>
      </c>
      <c r="J323">
        <v>83.65</v>
      </c>
      <c r="K323" t="s">
        <v>415</v>
      </c>
      <c r="L323">
        <v>1</v>
      </c>
      <c r="M323">
        <v>2020</v>
      </c>
      <c r="O323" t="str">
        <f t="shared" ref="O323:O386" si="11">IF(MID(F323,12,1)="R","Talhadia","Alto fuste")</f>
        <v>Talhadia</v>
      </c>
      <c r="P323" s="2">
        <v>44048</v>
      </c>
      <c r="Q323" t="s">
        <v>174</v>
      </c>
      <c r="R323" t="s">
        <v>314</v>
      </c>
      <c r="S323" t="s">
        <v>154</v>
      </c>
      <c r="T323" t="s">
        <v>279</v>
      </c>
      <c r="U323" t="s">
        <v>156</v>
      </c>
      <c r="V323" s="2">
        <v>44750</v>
      </c>
      <c r="W323" t="s">
        <v>1673</v>
      </c>
      <c r="X323">
        <v>90.910000000000011</v>
      </c>
      <c r="Y323">
        <v>20.5</v>
      </c>
      <c r="Z323">
        <v>8</v>
      </c>
      <c r="AA323">
        <v>15.5</v>
      </c>
      <c r="AB323">
        <v>6</v>
      </c>
      <c r="AC323">
        <v>317.75</v>
      </c>
      <c r="AD323">
        <v>312.93395115475801</v>
      </c>
      <c r="AE323" s="2">
        <v>45733</v>
      </c>
      <c r="AF323">
        <v>55</v>
      </c>
      <c r="AG323">
        <v>4.6132785763175903</v>
      </c>
      <c r="AH323">
        <v>28.4645133177678</v>
      </c>
      <c r="AI323">
        <v>17.456521739130402</v>
      </c>
      <c r="AJ323">
        <v>18.876498940464099</v>
      </c>
      <c r="AK323">
        <v>23</v>
      </c>
      <c r="AL323">
        <v>734.97937552405801</v>
      </c>
      <c r="AM323">
        <v>274.993382129336</v>
      </c>
      <c r="AN323">
        <v>0.37415115483105799</v>
      </c>
      <c r="AO323" t="s">
        <v>314</v>
      </c>
      <c r="AP323" t="s">
        <v>264</v>
      </c>
      <c r="AQ323" t="s">
        <v>530</v>
      </c>
      <c r="AR323">
        <v>9</v>
      </c>
      <c r="AS323">
        <v>0.66148143797165182</v>
      </c>
      <c r="AT323" t="s">
        <v>1678</v>
      </c>
      <c r="AU323" t="s">
        <v>1677</v>
      </c>
      <c r="AV323">
        <v>1119</v>
      </c>
      <c r="AW323">
        <v>730</v>
      </c>
      <c r="AX323">
        <v>314</v>
      </c>
      <c r="AY323">
        <v>66</v>
      </c>
      <c r="AZ323">
        <v>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34.334000000000003</v>
      </c>
      <c r="BI323">
        <v>20.778307000000002</v>
      </c>
      <c r="BJ323">
        <v>0</v>
      </c>
      <c r="BK323">
        <v>12.46712</v>
      </c>
      <c r="BL323">
        <v>155.429079</v>
      </c>
      <c r="BM323">
        <v>0.60000699999999996</v>
      </c>
      <c r="BN323">
        <v>21.473499</v>
      </c>
      <c r="BO323">
        <v>-0.87110900000000002</v>
      </c>
      <c r="BP323">
        <v>1.9939480000000001</v>
      </c>
      <c r="BQ323">
        <v>10.983969</v>
      </c>
      <c r="BR323">
        <v>3.3319990000000002</v>
      </c>
      <c r="BS323">
        <v>27.753</v>
      </c>
      <c r="BT323">
        <v>20.778307000000002</v>
      </c>
      <c r="BU323">
        <v>6.428166</v>
      </c>
      <c r="BV323">
        <v>-1.9644919999999999</v>
      </c>
      <c r="BW323">
        <v>-0.13802600000000001</v>
      </c>
      <c r="BX323">
        <v>0.30936900000000001</v>
      </c>
      <c r="BY323">
        <v>-0.30560700000000002</v>
      </c>
      <c r="BZ323">
        <v>-2.1472000000000002E-2</v>
      </c>
      <c r="CA323">
        <v>1E-3</v>
      </c>
      <c r="CB323">
        <v>7.0000000000000001E-3</v>
      </c>
      <c r="CC323">
        <v>1.5800000000000002E-2</v>
      </c>
      <c r="CD323">
        <v>7.3599999999999999E-2</v>
      </c>
      <c r="CE323">
        <v>8.4894999999999996</v>
      </c>
      <c r="CF323">
        <v>16.917000000000002</v>
      </c>
      <c r="CG323">
        <v>25.883600000000001</v>
      </c>
      <c r="CH323">
        <v>27.753</v>
      </c>
      <c r="CI323">
        <v>28.697201</v>
      </c>
      <c r="CJ323">
        <v>29.520399000000001</v>
      </c>
      <c r="CK323">
        <v>29.962999</v>
      </c>
      <c r="CL323">
        <v>30.357800000000001</v>
      </c>
      <c r="CM323">
        <v>31.315601000000001</v>
      </c>
      <c r="CN323">
        <v>32.038097</v>
      </c>
      <c r="CO323">
        <v>32.783352000000001</v>
      </c>
      <c r="CP323">
        <v>0.605182</v>
      </c>
      <c r="CQ323">
        <v>24.228664999999999</v>
      </c>
      <c r="CR323">
        <v>25.694796</v>
      </c>
      <c r="CS323">
        <v>20</v>
      </c>
      <c r="CT323">
        <v>406</v>
      </c>
      <c r="CU323">
        <v>105.769437</v>
      </c>
      <c r="CV323">
        <v>44.507936999999998</v>
      </c>
      <c r="CW323">
        <v>66.185058999999995</v>
      </c>
      <c r="CX323">
        <v>4380.4619990000001</v>
      </c>
      <c r="CY323">
        <v>0.62574799999999997</v>
      </c>
      <c r="CZ323">
        <v>81</v>
      </c>
      <c r="DA323">
        <v>1.48533</v>
      </c>
      <c r="DB323">
        <v>5.7578800000000001</v>
      </c>
      <c r="DC323">
        <v>49.957343999999999</v>
      </c>
      <c r="DD323">
        <v>105.769437</v>
      </c>
      <c r="DE323">
        <v>34.717959999999998</v>
      </c>
      <c r="DF323">
        <v>8.6980950000000004</v>
      </c>
      <c r="DG323">
        <v>5.0824160000000003</v>
      </c>
      <c r="DH323">
        <v>0.32824199999999998</v>
      </c>
      <c r="DI323">
        <v>0.25053599999999998</v>
      </c>
      <c r="DJ323">
        <v>0.14639199999999999</v>
      </c>
      <c r="DK323">
        <v>26</v>
      </c>
      <c r="DL323">
        <v>33</v>
      </c>
      <c r="DM323">
        <v>39</v>
      </c>
      <c r="DN323">
        <v>49</v>
      </c>
      <c r="DO323">
        <v>55</v>
      </c>
      <c r="DP323">
        <v>62</v>
      </c>
      <c r="DQ323">
        <v>75.200012000000001</v>
      </c>
      <c r="DR323">
        <v>92</v>
      </c>
      <c r="DS323">
        <v>109</v>
      </c>
      <c r="DT323">
        <v>125.599976</v>
      </c>
      <c r="DU323">
        <v>136</v>
      </c>
      <c r="DV323">
        <v>147</v>
      </c>
      <c r="DW323">
        <v>189.20001199999999</v>
      </c>
      <c r="DX323">
        <v>235.199951</v>
      </c>
      <c r="DY323">
        <v>346</v>
      </c>
      <c r="DZ323">
        <v>92.465753000000007</v>
      </c>
      <c r="EA323">
        <v>76.675602999999995</v>
      </c>
      <c r="EB323">
        <v>117.53424699999999</v>
      </c>
      <c r="EC323">
        <v>675</v>
      </c>
      <c r="ED323">
        <v>858</v>
      </c>
      <c r="EE323">
        <v>87.534246999999993</v>
      </c>
      <c r="EF323">
        <v>100</v>
      </c>
      <c r="EG323">
        <v>66.934763000000004</v>
      </c>
      <c r="EH323">
        <v>99.553172000000004</v>
      </c>
      <c r="EI323">
        <v>102.60274</v>
      </c>
      <c r="EJ323">
        <v>152.60274000000001</v>
      </c>
      <c r="EK323">
        <v>639</v>
      </c>
      <c r="EL323">
        <v>730</v>
      </c>
      <c r="EM323">
        <v>749</v>
      </c>
      <c r="EN323">
        <v>1114</v>
      </c>
      <c r="EO323">
        <v>730</v>
      </c>
      <c r="EP323">
        <v>1119</v>
      </c>
      <c r="EQ323">
        <v>62.354886999999998</v>
      </c>
    </row>
    <row r="324" spans="1:147" x14ac:dyDescent="0.25">
      <c r="A324">
        <v>2025</v>
      </c>
      <c r="B324" t="str">
        <f t="shared" si="10"/>
        <v>GN</v>
      </c>
      <c r="C324" t="s">
        <v>1679</v>
      </c>
      <c r="D324" t="s">
        <v>1679</v>
      </c>
      <c r="E324">
        <v>27546</v>
      </c>
      <c r="F324" t="s">
        <v>1670</v>
      </c>
      <c r="G324" t="s">
        <v>1671</v>
      </c>
      <c r="H324" t="s">
        <v>1672</v>
      </c>
      <c r="I324">
        <v>83.65</v>
      </c>
      <c r="J324">
        <v>83.65</v>
      </c>
      <c r="K324" t="s">
        <v>415</v>
      </c>
      <c r="L324">
        <v>1</v>
      </c>
      <c r="M324">
        <v>2020</v>
      </c>
      <c r="O324" t="str">
        <f t="shared" si="11"/>
        <v>Talhadia</v>
      </c>
      <c r="P324" s="2">
        <v>44048</v>
      </c>
      <c r="Q324" t="s">
        <v>174</v>
      </c>
      <c r="R324" t="s">
        <v>314</v>
      </c>
      <c r="S324" t="s">
        <v>154</v>
      </c>
      <c r="T324" t="s">
        <v>279</v>
      </c>
      <c r="U324" t="s">
        <v>156</v>
      </c>
      <c r="V324" s="2">
        <v>45733</v>
      </c>
      <c r="W324" t="s">
        <v>1673</v>
      </c>
      <c r="X324">
        <v>90.910000000000011</v>
      </c>
      <c r="Y324">
        <v>21.4</v>
      </c>
      <c r="Z324">
        <v>14</v>
      </c>
      <c r="AA324">
        <v>14.6</v>
      </c>
      <c r="AB324">
        <v>1</v>
      </c>
      <c r="AC324">
        <v>312.44</v>
      </c>
      <c r="AD324">
        <v>303.11302410362799</v>
      </c>
      <c r="AE324" s="2">
        <v>45733</v>
      </c>
      <c r="AF324">
        <v>55</v>
      </c>
      <c r="AG324">
        <v>4.6132785763175903</v>
      </c>
      <c r="AH324">
        <v>29.319090603014601</v>
      </c>
      <c r="AI324">
        <v>16.696000000000002</v>
      </c>
      <c r="AJ324">
        <v>19.074379564321699</v>
      </c>
      <c r="AK324">
        <v>25</v>
      </c>
      <c r="AL324">
        <v>824.774853338306</v>
      </c>
      <c r="AM324">
        <v>279.58370000820997</v>
      </c>
      <c r="AN324">
        <v>0.33898184319828001</v>
      </c>
      <c r="AO324" t="s">
        <v>314</v>
      </c>
      <c r="AP324" t="s">
        <v>264</v>
      </c>
      <c r="AQ324" t="s">
        <v>530</v>
      </c>
      <c r="AR324">
        <v>9</v>
      </c>
      <c r="AS324">
        <v>0.74229736800447477</v>
      </c>
      <c r="AT324" t="s">
        <v>1680</v>
      </c>
      <c r="AU324" t="s">
        <v>1679</v>
      </c>
      <c r="AV324">
        <v>1352</v>
      </c>
      <c r="AW324">
        <v>746</v>
      </c>
      <c r="AX324">
        <v>457</v>
      </c>
      <c r="AY324">
        <v>130</v>
      </c>
      <c r="AZ324">
        <v>17</v>
      </c>
      <c r="BA324">
        <v>2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31.375999</v>
      </c>
      <c r="BI324">
        <v>18.481401000000002</v>
      </c>
      <c r="BJ324">
        <v>0</v>
      </c>
      <c r="BK324">
        <v>11.209611000000001</v>
      </c>
      <c r="BL324">
        <v>125.65537399999999</v>
      </c>
      <c r="BM324">
        <v>0.60653500000000005</v>
      </c>
      <c r="BN324">
        <v>18.827500000000001</v>
      </c>
      <c r="BO324">
        <v>-0.68541099999999999</v>
      </c>
      <c r="BP324">
        <v>1.850797</v>
      </c>
      <c r="BQ324">
        <v>9.9201910000000009</v>
      </c>
      <c r="BR324">
        <v>4.7300000000000004</v>
      </c>
      <c r="BS324">
        <v>24.613499000000001</v>
      </c>
      <c r="BT324">
        <v>18.481401000000002</v>
      </c>
      <c r="BU324">
        <v>6.0692700000000004</v>
      </c>
      <c r="BV324">
        <v>-1.4345190000000001</v>
      </c>
      <c r="BW324">
        <v>-0.30163600000000002</v>
      </c>
      <c r="BX324">
        <v>0.328399</v>
      </c>
      <c r="BY324">
        <v>-0.23635800000000001</v>
      </c>
      <c r="BZ324">
        <v>-4.9699E-2</v>
      </c>
      <c r="CA324">
        <v>4.0000000000000001E-3</v>
      </c>
      <c r="CB324">
        <v>1.4999999999999999E-2</v>
      </c>
      <c r="CC324">
        <v>3.3099999999999997E-2</v>
      </c>
      <c r="CD324">
        <v>0.93520099999999995</v>
      </c>
      <c r="CE324">
        <v>8.8422499999999999</v>
      </c>
      <c r="CF324">
        <v>13.079898999999999</v>
      </c>
      <c r="CG324">
        <v>18.710000999999998</v>
      </c>
      <c r="CH324">
        <v>24.613499000000001</v>
      </c>
      <c r="CI324">
        <v>26.163601</v>
      </c>
      <c r="CJ324">
        <v>27.203099999999999</v>
      </c>
      <c r="CK324">
        <v>27.669750000000001</v>
      </c>
      <c r="CL324">
        <v>28.155398999999999</v>
      </c>
      <c r="CM324">
        <v>29.115998999999999</v>
      </c>
      <c r="CN324">
        <v>29.795999999999999</v>
      </c>
      <c r="CO324">
        <v>30.612110000000001</v>
      </c>
      <c r="CP324">
        <v>0.58903000000000005</v>
      </c>
      <c r="CQ324">
        <v>21.613066</v>
      </c>
      <c r="CR324">
        <v>23.089459000000002</v>
      </c>
      <c r="CS324">
        <v>25</v>
      </c>
      <c r="CT324">
        <v>486</v>
      </c>
      <c r="CU324">
        <v>99.392751000000004</v>
      </c>
      <c r="CV324">
        <v>46.952381000000003</v>
      </c>
      <c r="CW324">
        <v>66.680465999999996</v>
      </c>
      <c r="CX324">
        <v>4446.2845660000003</v>
      </c>
      <c r="CY324">
        <v>0.670879</v>
      </c>
      <c r="CZ324">
        <v>74</v>
      </c>
      <c r="DA324">
        <v>2.0651269999999999</v>
      </c>
      <c r="DB324">
        <v>8.9803029999999993</v>
      </c>
      <c r="DC324">
        <v>47.966693999999997</v>
      </c>
      <c r="DD324">
        <v>99.392751000000004</v>
      </c>
      <c r="DE324">
        <v>33.184479000000003</v>
      </c>
      <c r="DF324">
        <v>10.051716000000001</v>
      </c>
      <c r="DG324">
        <v>5.8976800000000003</v>
      </c>
      <c r="DH324">
        <v>0.333872</v>
      </c>
      <c r="DI324">
        <v>0.30290400000000001</v>
      </c>
      <c r="DJ324">
        <v>0.17772399999999999</v>
      </c>
      <c r="DK324">
        <v>28</v>
      </c>
      <c r="DL324">
        <v>33</v>
      </c>
      <c r="DM324">
        <v>38</v>
      </c>
      <c r="DN324">
        <v>47</v>
      </c>
      <c r="DO324">
        <v>52</v>
      </c>
      <c r="DP324">
        <v>58</v>
      </c>
      <c r="DQ324">
        <v>69</v>
      </c>
      <c r="DR324">
        <v>83</v>
      </c>
      <c r="DS324">
        <v>99</v>
      </c>
      <c r="DT324">
        <v>117</v>
      </c>
      <c r="DU324">
        <v>126</v>
      </c>
      <c r="DV324">
        <v>138</v>
      </c>
      <c r="DW324">
        <v>170.900024</v>
      </c>
      <c r="DX324">
        <v>219.34985399999999</v>
      </c>
      <c r="DY324">
        <v>356.48998999999998</v>
      </c>
      <c r="DZ324">
        <v>94.504020999999995</v>
      </c>
      <c r="EA324">
        <v>78.772188999999997</v>
      </c>
      <c r="EB324">
        <v>142.761394</v>
      </c>
      <c r="EC324">
        <v>705</v>
      </c>
      <c r="ED324">
        <v>1065</v>
      </c>
      <c r="EE324">
        <v>84.316354000000004</v>
      </c>
      <c r="EF324">
        <v>100</v>
      </c>
      <c r="EG324">
        <v>60.133136</v>
      </c>
      <c r="EH324">
        <v>99.926035999999996</v>
      </c>
      <c r="EI324">
        <v>108.981233</v>
      </c>
      <c r="EJ324">
        <v>181.09919600000001</v>
      </c>
      <c r="EK324">
        <v>629</v>
      </c>
      <c r="EL324">
        <v>746</v>
      </c>
      <c r="EM324">
        <v>813</v>
      </c>
      <c r="EN324">
        <v>1351</v>
      </c>
      <c r="EO324">
        <v>746</v>
      </c>
      <c r="EP324">
        <v>1352</v>
      </c>
      <c r="EQ324">
        <v>59.387818000000003</v>
      </c>
    </row>
    <row r="325" spans="1:147" x14ac:dyDescent="0.25">
      <c r="A325">
        <v>2025</v>
      </c>
      <c r="B325" t="str">
        <f t="shared" si="10"/>
        <v>GN</v>
      </c>
      <c r="C325" t="s">
        <v>1681</v>
      </c>
      <c r="D325" t="s">
        <v>1681</v>
      </c>
      <c r="E325">
        <v>27676</v>
      </c>
      <c r="F325" t="s">
        <v>1682</v>
      </c>
      <c r="G325" t="s">
        <v>1683</v>
      </c>
      <c r="H325" t="s">
        <v>1684</v>
      </c>
      <c r="I325">
        <v>53.58</v>
      </c>
      <c r="J325">
        <v>53.58</v>
      </c>
      <c r="K325" t="s">
        <v>415</v>
      </c>
      <c r="L325">
        <v>1</v>
      </c>
      <c r="M325">
        <v>2020</v>
      </c>
      <c r="O325" t="str">
        <f t="shared" si="11"/>
        <v>Alto fuste</v>
      </c>
      <c r="P325" s="2">
        <v>44133</v>
      </c>
      <c r="Q325" t="s">
        <v>174</v>
      </c>
      <c r="R325" t="s">
        <v>695</v>
      </c>
      <c r="S325" t="s">
        <v>154</v>
      </c>
      <c r="T325" t="s">
        <v>279</v>
      </c>
      <c r="U325" t="s">
        <v>156</v>
      </c>
      <c r="V325" s="2">
        <v>44751</v>
      </c>
      <c r="W325" t="s">
        <v>1685</v>
      </c>
      <c r="X325">
        <v>53.58</v>
      </c>
      <c r="Y325">
        <v>20.399999999999999</v>
      </c>
      <c r="Z325">
        <v>30</v>
      </c>
      <c r="AA325">
        <v>16.399999999999999</v>
      </c>
      <c r="AB325">
        <v>6</v>
      </c>
      <c r="AC325">
        <v>334.56</v>
      </c>
      <c r="AD325">
        <v>288.15024697349497</v>
      </c>
      <c r="AE325" s="2">
        <v>45734</v>
      </c>
      <c r="AF325">
        <v>53</v>
      </c>
      <c r="AG325">
        <v>4.3832991101984904</v>
      </c>
      <c r="AH325">
        <v>24.217838659626199</v>
      </c>
      <c r="AI325">
        <v>15.683999999999999</v>
      </c>
      <c r="AJ325">
        <v>17.359015327343201</v>
      </c>
      <c r="AK325">
        <v>25</v>
      </c>
      <c r="AL325">
        <v>867.60293501672902</v>
      </c>
      <c r="AM325">
        <v>192.85037346667801</v>
      </c>
      <c r="AN325">
        <v>0.22227953097341599</v>
      </c>
      <c r="AO325" t="s">
        <v>695</v>
      </c>
      <c r="AP325" t="s">
        <v>158</v>
      </c>
      <c r="AQ325" t="s">
        <v>281</v>
      </c>
      <c r="AR325">
        <v>9</v>
      </c>
      <c r="AS325">
        <v>0.78084264151505745</v>
      </c>
      <c r="AT325" t="s">
        <v>1686</v>
      </c>
      <c r="AU325" t="s">
        <v>1681</v>
      </c>
      <c r="AV325">
        <v>1253</v>
      </c>
      <c r="AW325">
        <v>570</v>
      </c>
      <c r="AX325">
        <v>419</v>
      </c>
      <c r="AY325">
        <v>194</v>
      </c>
      <c r="AZ325">
        <v>59</v>
      </c>
      <c r="BA325">
        <v>11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30.038</v>
      </c>
      <c r="BI325">
        <v>16.097484999999999</v>
      </c>
      <c r="BJ325">
        <v>0</v>
      </c>
      <c r="BK325">
        <v>10.324592000000001</v>
      </c>
      <c r="BL325">
        <v>106.59719200000001</v>
      </c>
      <c r="BM325">
        <v>0.64137900000000003</v>
      </c>
      <c r="BN325">
        <v>20.683</v>
      </c>
      <c r="BO325">
        <v>-0.38104399999999999</v>
      </c>
      <c r="BP325">
        <v>1.3786929999999999</v>
      </c>
      <c r="BQ325">
        <v>9.7156470000000006</v>
      </c>
      <c r="BR325">
        <v>5.3959999999999999</v>
      </c>
      <c r="BS325">
        <v>21.361000000000001</v>
      </c>
      <c r="BT325">
        <v>16.097484999999999</v>
      </c>
      <c r="BU325">
        <v>5.6636240000000004</v>
      </c>
      <c r="BV325">
        <v>-0.78327500000000005</v>
      </c>
      <c r="BW325">
        <v>-0.55770200000000003</v>
      </c>
      <c r="BX325">
        <v>0.35183300000000001</v>
      </c>
      <c r="BY325">
        <v>-0.13829900000000001</v>
      </c>
      <c r="BZ325">
        <v>-9.8471000000000003E-2</v>
      </c>
      <c r="CA325">
        <v>2.6079999999999999E-2</v>
      </c>
      <c r="CB325">
        <v>0.2492</v>
      </c>
      <c r="CC325">
        <v>1.907</v>
      </c>
      <c r="CD325">
        <v>3.8395999999999999</v>
      </c>
      <c r="CE325">
        <v>4.3760000000000003</v>
      </c>
      <c r="CF325">
        <v>5.2510000000000003</v>
      </c>
      <c r="CG325">
        <v>17.029596000000002</v>
      </c>
      <c r="CH325">
        <v>21.361000000000001</v>
      </c>
      <c r="CI325">
        <v>23.257000000000001</v>
      </c>
      <c r="CJ325">
        <v>24.430401</v>
      </c>
      <c r="CK325">
        <v>25.059000000000001</v>
      </c>
      <c r="CL325">
        <v>25.6418</v>
      </c>
      <c r="CM325">
        <v>26.853000999999999</v>
      </c>
      <c r="CN325">
        <v>27.677600999999999</v>
      </c>
      <c r="CO325">
        <v>28.875919</v>
      </c>
      <c r="CP325">
        <v>0.53590400000000005</v>
      </c>
      <c r="CQ325">
        <v>19.121745000000001</v>
      </c>
      <c r="CR325">
        <v>20.720419</v>
      </c>
      <c r="CS325">
        <v>23</v>
      </c>
      <c r="CT325">
        <v>361</v>
      </c>
      <c r="CU325">
        <v>100.189944</v>
      </c>
      <c r="CV325">
        <v>33.730159</v>
      </c>
      <c r="CW325">
        <v>63.239193</v>
      </c>
      <c r="CX325">
        <v>3999.195522</v>
      </c>
      <c r="CY325">
        <v>0.631193</v>
      </c>
      <c r="CZ325">
        <v>87</v>
      </c>
      <c r="DA325">
        <v>1.162947</v>
      </c>
      <c r="DB325">
        <v>4.0847290000000003</v>
      </c>
      <c r="DC325">
        <v>50.62453</v>
      </c>
      <c r="DD325">
        <v>100.189944</v>
      </c>
      <c r="DE325">
        <v>34.058134000000003</v>
      </c>
      <c r="DF325">
        <v>8.6280009999999994</v>
      </c>
      <c r="DG325">
        <v>3.2934869999999998</v>
      </c>
      <c r="DH325">
        <v>0.33993600000000002</v>
      </c>
      <c r="DI325">
        <v>0.253332</v>
      </c>
      <c r="DJ325">
        <v>9.6701999999999996E-2</v>
      </c>
      <c r="DK325">
        <v>27</v>
      </c>
      <c r="DL325">
        <v>32</v>
      </c>
      <c r="DM325">
        <v>36</v>
      </c>
      <c r="DN325">
        <v>44</v>
      </c>
      <c r="DO325">
        <v>49</v>
      </c>
      <c r="DP325">
        <v>55</v>
      </c>
      <c r="DQ325">
        <v>67</v>
      </c>
      <c r="DR325">
        <v>83</v>
      </c>
      <c r="DS325">
        <v>101</v>
      </c>
      <c r="DT325">
        <v>124</v>
      </c>
      <c r="DU325">
        <v>136</v>
      </c>
      <c r="DV325">
        <v>150</v>
      </c>
      <c r="DW325">
        <v>190</v>
      </c>
      <c r="DX325">
        <v>224</v>
      </c>
      <c r="DY325">
        <v>294.47998000000001</v>
      </c>
      <c r="DZ325">
        <v>98.070175000000006</v>
      </c>
      <c r="EA325">
        <v>85.554669000000004</v>
      </c>
      <c r="EB325">
        <v>188.07017500000001</v>
      </c>
      <c r="EC325">
        <v>559</v>
      </c>
      <c r="ED325">
        <v>1072</v>
      </c>
      <c r="EE325">
        <v>92.807017999999999</v>
      </c>
      <c r="EF325">
        <v>100</v>
      </c>
      <c r="EG325">
        <v>60.574621</v>
      </c>
      <c r="EH325">
        <v>99.920192</v>
      </c>
      <c r="EI325">
        <v>133.157895</v>
      </c>
      <c r="EJ325">
        <v>219.649123</v>
      </c>
      <c r="EK325">
        <v>529</v>
      </c>
      <c r="EL325">
        <v>570</v>
      </c>
      <c r="EM325">
        <v>759</v>
      </c>
      <c r="EN325">
        <v>1252</v>
      </c>
      <c r="EO325">
        <v>570</v>
      </c>
      <c r="EP325">
        <v>1253</v>
      </c>
      <c r="EQ325">
        <v>54.756241000000003</v>
      </c>
    </row>
    <row r="326" spans="1:147" x14ac:dyDescent="0.25">
      <c r="A326">
        <v>2025</v>
      </c>
      <c r="B326" t="str">
        <f t="shared" si="10"/>
        <v>GN</v>
      </c>
      <c r="C326" t="s">
        <v>1687</v>
      </c>
      <c r="D326" t="s">
        <v>1687</v>
      </c>
      <c r="E326">
        <v>27677</v>
      </c>
      <c r="F326" t="s">
        <v>1682</v>
      </c>
      <c r="G326" t="s">
        <v>1683</v>
      </c>
      <c r="H326" t="s">
        <v>1684</v>
      </c>
      <c r="I326">
        <v>53.58</v>
      </c>
      <c r="J326">
        <v>53.58</v>
      </c>
      <c r="K326" t="s">
        <v>415</v>
      </c>
      <c r="L326">
        <v>1</v>
      </c>
      <c r="M326">
        <v>2020</v>
      </c>
      <c r="O326" t="str">
        <f t="shared" si="11"/>
        <v>Alto fuste</v>
      </c>
      <c r="P326" s="2">
        <v>44133</v>
      </c>
      <c r="Q326" t="s">
        <v>174</v>
      </c>
      <c r="R326" t="s">
        <v>695</v>
      </c>
      <c r="S326" t="s">
        <v>154</v>
      </c>
      <c r="T326" t="s">
        <v>279</v>
      </c>
      <c r="U326" t="s">
        <v>156</v>
      </c>
      <c r="V326" s="2">
        <v>45734</v>
      </c>
      <c r="W326" t="s">
        <v>1685</v>
      </c>
      <c r="X326">
        <v>53.58</v>
      </c>
      <c r="Y326">
        <v>19.3</v>
      </c>
      <c r="Z326">
        <v>14</v>
      </c>
      <c r="AA326">
        <v>15.5</v>
      </c>
      <c r="AB326">
        <v>1</v>
      </c>
      <c r="AC326">
        <v>299.14999999999998</v>
      </c>
      <c r="AD326">
        <v>290.21975790743898</v>
      </c>
      <c r="AE326" s="2">
        <v>45734</v>
      </c>
      <c r="AF326">
        <v>53</v>
      </c>
      <c r="AG326">
        <v>4.3832991101984904</v>
      </c>
      <c r="AH326">
        <v>30.093860776363801</v>
      </c>
      <c r="AI326">
        <v>17.579310344827601</v>
      </c>
      <c r="AJ326">
        <v>24.381407610758401</v>
      </c>
      <c r="AK326">
        <v>29</v>
      </c>
      <c r="AL326">
        <v>999.24278791690995</v>
      </c>
      <c r="AM326">
        <v>328.50148614718103</v>
      </c>
      <c r="AN326">
        <v>0.328750419937479</v>
      </c>
      <c r="AO326" t="s">
        <v>695</v>
      </c>
      <c r="AP326" t="s">
        <v>158</v>
      </c>
      <c r="AQ326" t="s">
        <v>281</v>
      </c>
      <c r="AR326">
        <v>9</v>
      </c>
      <c r="AS326">
        <v>0.89931850912521893</v>
      </c>
      <c r="AT326" t="s">
        <v>1688</v>
      </c>
      <c r="AU326" t="s">
        <v>1687</v>
      </c>
      <c r="AV326">
        <v>1134</v>
      </c>
      <c r="AW326">
        <v>716</v>
      </c>
      <c r="AX326">
        <v>334</v>
      </c>
      <c r="AY326">
        <v>80</v>
      </c>
      <c r="AZ326">
        <v>4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29.635000000000002</v>
      </c>
      <c r="BI326">
        <v>19.923660999999999</v>
      </c>
      <c r="BJ326">
        <v>0</v>
      </c>
      <c r="BK326">
        <v>10.934472</v>
      </c>
      <c r="BL326">
        <v>119.562674</v>
      </c>
      <c r="BM326">
        <v>0.54881800000000003</v>
      </c>
      <c r="BN326">
        <v>4.3112510000000004</v>
      </c>
      <c r="BO326">
        <v>-1.1870229999999999</v>
      </c>
      <c r="BP326">
        <v>2.5271520000000001</v>
      </c>
      <c r="BQ326">
        <v>9.2128029999999992</v>
      </c>
      <c r="BR326">
        <v>1.802999</v>
      </c>
      <c r="BS326">
        <v>25.269000999999999</v>
      </c>
      <c r="BT326">
        <v>19.923660999999999</v>
      </c>
      <c r="BU326">
        <v>5.1871109999999998</v>
      </c>
      <c r="BV326">
        <v>-2.1069870000000002</v>
      </c>
      <c r="BW326">
        <v>0.387874</v>
      </c>
      <c r="BX326">
        <v>0.260349</v>
      </c>
      <c r="BY326">
        <v>-0.40619699999999997</v>
      </c>
      <c r="BZ326">
        <v>7.4775999999999995E-2</v>
      </c>
      <c r="CA326">
        <v>2E-3</v>
      </c>
      <c r="CB326">
        <v>9.6500000000000006E-3</v>
      </c>
      <c r="CC326">
        <v>2.3E-2</v>
      </c>
      <c r="CD326">
        <v>0.08</v>
      </c>
      <c r="CE326">
        <v>22.524249999999999</v>
      </c>
      <c r="CF326">
        <v>23.672799999999999</v>
      </c>
      <c r="CG326">
        <v>24.542400000000001</v>
      </c>
      <c r="CH326">
        <v>25.269000999999999</v>
      </c>
      <c r="CI326">
        <v>25.951398999999999</v>
      </c>
      <c r="CJ326">
        <v>26.485099999999999</v>
      </c>
      <c r="CK326">
        <v>26.835501000000001</v>
      </c>
      <c r="CL326">
        <v>27.1294</v>
      </c>
      <c r="CM326">
        <v>27.958099000000001</v>
      </c>
      <c r="CN326">
        <v>28.366050999999999</v>
      </c>
      <c r="CO326">
        <v>28.947102000000001</v>
      </c>
      <c r="CP326">
        <v>0.67230199999999996</v>
      </c>
      <c r="CQ326">
        <v>22.724646</v>
      </c>
      <c r="CR326">
        <v>23.810025</v>
      </c>
      <c r="CS326">
        <v>21</v>
      </c>
      <c r="CT326">
        <v>499</v>
      </c>
      <c r="CU326">
        <v>116.162257</v>
      </c>
      <c r="CV326">
        <v>43.761904999999999</v>
      </c>
      <c r="CW326">
        <v>73.759586999999996</v>
      </c>
      <c r="CX326">
        <v>5440.4767380000003</v>
      </c>
      <c r="CY326">
        <v>0.63497000000000003</v>
      </c>
      <c r="CZ326">
        <v>92</v>
      </c>
      <c r="DA326">
        <v>1.5698859999999999</v>
      </c>
      <c r="DB326">
        <v>6.4313380000000002</v>
      </c>
      <c r="DC326">
        <v>55.253267999999998</v>
      </c>
      <c r="DD326">
        <v>116.162257</v>
      </c>
      <c r="DE326">
        <v>38.492308999999999</v>
      </c>
      <c r="DF326">
        <v>9.3160120000000006</v>
      </c>
      <c r="DG326">
        <v>5.8478430000000001</v>
      </c>
      <c r="DH326">
        <v>0.33136700000000002</v>
      </c>
      <c r="DI326">
        <v>0.24202299999999999</v>
      </c>
      <c r="DJ326">
        <v>0.151922</v>
      </c>
      <c r="DK326">
        <v>25.33</v>
      </c>
      <c r="DL326">
        <v>33</v>
      </c>
      <c r="DM326">
        <v>40</v>
      </c>
      <c r="DN326">
        <v>54.600006</v>
      </c>
      <c r="DO326">
        <v>60</v>
      </c>
      <c r="DP326">
        <v>67.899994000000007</v>
      </c>
      <c r="DQ326">
        <v>84</v>
      </c>
      <c r="DR326">
        <v>101</v>
      </c>
      <c r="DS326">
        <v>120.799988</v>
      </c>
      <c r="DT326">
        <v>140</v>
      </c>
      <c r="DU326">
        <v>152</v>
      </c>
      <c r="DV326">
        <v>161</v>
      </c>
      <c r="DW326">
        <v>204</v>
      </c>
      <c r="DX326">
        <v>248.349976</v>
      </c>
      <c r="DY326">
        <v>390.35021999999998</v>
      </c>
      <c r="DZ326">
        <v>93.854748999999998</v>
      </c>
      <c r="EA326">
        <v>78.218694999999997</v>
      </c>
      <c r="EB326">
        <v>123.882682</v>
      </c>
      <c r="EC326">
        <v>672</v>
      </c>
      <c r="ED326">
        <v>887</v>
      </c>
      <c r="EE326">
        <v>91.899440999999996</v>
      </c>
      <c r="EF326">
        <v>100</v>
      </c>
      <c r="EG326">
        <v>75.573192000000006</v>
      </c>
      <c r="EH326">
        <v>99.382716000000002</v>
      </c>
      <c r="EI326">
        <v>119.69273699999999</v>
      </c>
      <c r="EJ326">
        <v>157.40223499999999</v>
      </c>
      <c r="EK326">
        <v>658</v>
      </c>
      <c r="EL326">
        <v>716</v>
      </c>
      <c r="EM326">
        <v>857</v>
      </c>
      <c r="EN326">
        <v>1127</v>
      </c>
      <c r="EO326">
        <v>716</v>
      </c>
      <c r="EP326">
        <v>1134</v>
      </c>
      <c r="EQ326">
        <v>67.860450999999998</v>
      </c>
    </row>
    <row r="327" spans="1:147" x14ac:dyDescent="0.25">
      <c r="A327">
        <v>2025</v>
      </c>
      <c r="B327" t="str">
        <f t="shared" si="10"/>
        <v>GN</v>
      </c>
      <c r="C327" t="s">
        <v>1689</v>
      </c>
      <c r="D327" t="s">
        <v>1689</v>
      </c>
      <c r="E327">
        <v>28911</v>
      </c>
      <c r="F327" t="s">
        <v>1690</v>
      </c>
      <c r="G327" t="s">
        <v>1691</v>
      </c>
      <c r="H327" t="s">
        <v>1692</v>
      </c>
      <c r="I327">
        <v>52.59</v>
      </c>
      <c r="J327">
        <v>52.59</v>
      </c>
      <c r="K327" t="s">
        <v>415</v>
      </c>
      <c r="L327">
        <v>1</v>
      </c>
      <c r="M327">
        <v>2021</v>
      </c>
      <c r="O327" t="str">
        <f t="shared" si="11"/>
        <v>Talhadia</v>
      </c>
      <c r="P327" s="2">
        <v>44538</v>
      </c>
      <c r="Q327" t="s">
        <v>152</v>
      </c>
      <c r="R327" t="s">
        <v>200</v>
      </c>
      <c r="S327" t="s">
        <v>154</v>
      </c>
      <c r="T327" t="s">
        <v>279</v>
      </c>
      <c r="U327" t="s">
        <v>156</v>
      </c>
      <c r="V327" s="2">
        <v>44752</v>
      </c>
      <c r="W327" t="s">
        <v>1693</v>
      </c>
      <c r="X327">
        <v>197.09</v>
      </c>
      <c r="Y327">
        <v>21.2</v>
      </c>
      <c r="Z327">
        <v>24</v>
      </c>
      <c r="AA327">
        <v>14.2</v>
      </c>
      <c r="AB327">
        <v>1</v>
      </c>
      <c r="AC327">
        <v>301.04000000000002</v>
      </c>
      <c r="AD327">
        <v>274.97183864641801</v>
      </c>
      <c r="AE327" s="2">
        <v>45734</v>
      </c>
      <c r="AF327">
        <v>39</v>
      </c>
      <c r="AG327">
        <v>3.27446954140999</v>
      </c>
      <c r="AH327">
        <v>18.791732855741898</v>
      </c>
      <c r="AI327">
        <v>12.992307692307699</v>
      </c>
      <c r="AJ327">
        <v>12.937889373927799</v>
      </c>
      <c r="AK327">
        <v>26</v>
      </c>
      <c r="AL327">
        <v>945.551374569416</v>
      </c>
      <c r="AM327">
        <v>123.384152552998</v>
      </c>
      <c r="AN327">
        <v>0.13048910495126201</v>
      </c>
      <c r="AO327" t="s">
        <v>200</v>
      </c>
      <c r="AP327" t="s">
        <v>264</v>
      </c>
      <c r="AQ327" t="s">
        <v>417</v>
      </c>
      <c r="AR327">
        <v>9.99</v>
      </c>
      <c r="AS327">
        <v>0.94460582319484587</v>
      </c>
      <c r="AT327" t="s">
        <v>1694</v>
      </c>
      <c r="AU327" t="s">
        <v>1689</v>
      </c>
      <c r="AV327">
        <v>1057</v>
      </c>
      <c r="AW327">
        <v>542</v>
      </c>
      <c r="AX327">
        <v>361</v>
      </c>
      <c r="AY327">
        <v>127</v>
      </c>
      <c r="AZ327">
        <v>27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21.761998999999999</v>
      </c>
      <c r="BI327">
        <v>11.705137000000001</v>
      </c>
      <c r="BJ327">
        <v>0</v>
      </c>
      <c r="BK327">
        <v>7.5535379999999996</v>
      </c>
      <c r="BL327">
        <v>57.055942999999999</v>
      </c>
      <c r="BM327">
        <v>0.64531799999999995</v>
      </c>
      <c r="BN327">
        <v>16.561001000000001</v>
      </c>
      <c r="BO327">
        <v>-0.69495600000000002</v>
      </c>
      <c r="BP327">
        <v>1.7544519999999999</v>
      </c>
      <c r="BQ327">
        <v>6.7145840000000003</v>
      </c>
      <c r="BR327">
        <v>3.0489999999999999</v>
      </c>
      <c r="BS327">
        <v>15.093999999999999</v>
      </c>
      <c r="BT327">
        <v>11.705137000000001</v>
      </c>
      <c r="BU327">
        <v>4.0144849999999996</v>
      </c>
      <c r="BV327">
        <v>-0.86832699999999996</v>
      </c>
      <c r="BW327">
        <v>-0.16079499999999999</v>
      </c>
      <c r="BX327">
        <v>0.342968</v>
      </c>
      <c r="BY327">
        <v>-0.21629899999999999</v>
      </c>
      <c r="BZ327">
        <v>-4.0053999999999999E-2</v>
      </c>
      <c r="CA327">
        <v>4.0000000000000001E-3</v>
      </c>
      <c r="CB327">
        <v>1.4E-2</v>
      </c>
      <c r="CC327">
        <v>3.4000000000000002E-2</v>
      </c>
      <c r="CD327">
        <v>0.12</v>
      </c>
      <c r="CE327">
        <v>0.92</v>
      </c>
      <c r="CF327">
        <v>5.8621999999999996</v>
      </c>
      <c r="CG327">
        <v>13.903399</v>
      </c>
      <c r="CH327">
        <v>15.093999999999999</v>
      </c>
      <c r="CI327">
        <v>16.150801000000001</v>
      </c>
      <c r="CJ327">
        <v>17.030601999999998</v>
      </c>
      <c r="CK327">
        <v>17.481000999999999</v>
      </c>
      <c r="CL327">
        <v>17.989999999999998</v>
      </c>
      <c r="CM327">
        <v>18.966000000000001</v>
      </c>
      <c r="CN327">
        <v>19.605599999999999</v>
      </c>
      <c r="CO327">
        <v>20.795593</v>
      </c>
      <c r="CP327">
        <v>0.53786999999999996</v>
      </c>
      <c r="CQ327">
        <v>13.928826000000001</v>
      </c>
      <c r="CR327">
        <v>14.897289000000001</v>
      </c>
      <c r="CS327">
        <v>23</v>
      </c>
      <c r="CT327">
        <v>518</v>
      </c>
      <c r="CU327">
        <v>108.955535</v>
      </c>
      <c r="CV327">
        <v>38.714286000000001</v>
      </c>
      <c r="CW327">
        <v>74.699314999999999</v>
      </c>
      <c r="CX327">
        <v>5579.9876039999999</v>
      </c>
      <c r="CY327">
        <v>0.68559400000000004</v>
      </c>
      <c r="CZ327">
        <v>89</v>
      </c>
      <c r="DA327">
        <v>1.6757439999999999</v>
      </c>
      <c r="DB327">
        <v>6.6418520000000001</v>
      </c>
      <c r="DC327">
        <v>56.227578999999999</v>
      </c>
      <c r="DD327">
        <v>108.955535</v>
      </c>
      <c r="DE327">
        <v>38.474055</v>
      </c>
      <c r="DF327">
        <v>11.247187</v>
      </c>
      <c r="DG327">
        <v>5.735849</v>
      </c>
      <c r="DH327">
        <v>0.35311700000000001</v>
      </c>
      <c r="DI327">
        <v>0.29233199999999998</v>
      </c>
      <c r="DJ327">
        <v>0.14908399999999999</v>
      </c>
      <c r="DK327">
        <v>27</v>
      </c>
      <c r="DL327">
        <v>32</v>
      </c>
      <c r="DM327">
        <v>38</v>
      </c>
      <c r="DN327">
        <v>48</v>
      </c>
      <c r="DO327">
        <v>54</v>
      </c>
      <c r="DP327">
        <v>59</v>
      </c>
      <c r="DQ327">
        <v>73</v>
      </c>
      <c r="DR327">
        <v>89</v>
      </c>
      <c r="DS327">
        <v>106</v>
      </c>
      <c r="DT327">
        <v>128</v>
      </c>
      <c r="DU327">
        <v>143</v>
      </c>
      <c r="DV327">
        <v>158.79998800000001</v>
      </c>
      <c r="DW327">
        <v>205</v>
      </c>
      <c r="DX327">
        <v>257.800049</v>
      </c>
      <c r="DY327">
        <v>379.19970699999999</v>
      </c>
      <c r="DZ327">
        <v>95.018450000000001</v>
      </c>
      <c r="EA327">
        <v>72.753074999999995</v>
      </c>
      <c r="EB327">
        <v>141.88191900000001</v>
      </c>
      <c r="EC327">
        <v>515</v>
      </c>
      <c r="ED327">
        <v>769</v>
      </c>
      <c r="EE327">
        <v>92.619926000000007</v>
      </c>
      <c r="EF327">
        <v>100</v>
      </c>
      <c r="EG327">
        <v>68.495743000000004</v>
      </c>
      <c r="EH327">
        <v>99.905393000000004</v>
      </c>
      <c r="EI327">
        <v>133.57933600000001</v>
      </c>
      <c r="EJ327">
        <v>194.83394799999999</v>
      </c>
      <c r="EK327">
        <v>502</v>
      </c>
      <c r="EL327">
        <v>542</v>
      </c>
      <c r="EM327">
        <v>724</v>
      </c>
      <c r="EN327">
        <v>1056</v>
      </c>
      <c r="EO327">
        <v>542</v>
      </c>
      <c r="EP327">
        <v>1057</v>
      </c>
      <c r="EQ327">
        <v>55.224532000000004</v>
      </c>
    </row>
    <row r="328" spans="1:147" x14ac:dyDescent="0.25">
      <c r="A328">
        <v>2025</v>
      </c>
      <c r="B328" t="str">
        <f t="shared" si="10"/>
        <v>GN</v>
      </c>
      <c r="C328" t="s">
        <v>1695</v>
      </c>
      <c r="D328" t="s">
        <v>1695</v>
      </c>
      <c r="E328">
        <v>28912</v>
      </c>
      <c r="F328" t="s">
        <v>1690</v>
      </c>
      <c r="G328" t="s">
        <v>1691</v>
      </c>
      <c r="H328" t="s">
        <v>1692</v>
      </c>
      <c r="I328">
        <v>52.59</v>
      </c>
      <c r="J328">
        <v>52.59</v>
      </c>
      <c r="K328" t="s">
        <v>415</v>
      </c>
      <c r="L328">
        <v>1</v>
      </c>
      <c r="M328">
        <v>2021</v>
      </c>
      <c r="O328" t="str">
        <f t="shared" si="11"/>
        <v>Talhadia</v>
      </c>
      <c r="P328" s="2">
        <v>44538</v>
      </c>
      <c r="Q328" t="s">
        <v>152</v>
      </c>
      <c r="R328" t="s">
        <v>200</v>
      </c>
      <c r="S328" t="s">
        <v>154</v>
      </c>
      <c r="T328" t="s">
        <v>279</v>
      </c>
      <c r="U328" t="s">
        <v>156</v>
      </c>
      <c r="V328" s="2">
        <v>45734</v>
      </c>
      <c r="W328" t="s">
        <v>1693</v>
      </c>
      <c r="X328">
        <v>197.09</v>
      </c>
      <c r="Y328">
        <v>20.5</v>
      </c>
      <c r="Z328">
        <v>29</v>
      </c>
      <c r="AA328">
        <v>13.9</v>
      </c>
      <c r="AB328">
        <v>1</v>
      </c>
      <c r="AC328">
        <v>284.95</v>
      </c>
      <c r="AD328">
        <v>249.18492769676399</v>
      </c>
      <c r="AE328" s="2">
        <v>45734</v>
      </c>
      <c r="AF328">
        <v>39</v>
      </c>
      <c r="AG328">
        <v>3.27446954140999</v>
      </c>
      <c r="AH328">
        <v>19.089598818376398</v>
      </c>
      <c r="AI328">
        <v>12.827999999999999</v>
      </c>
      <c r="AJ328">
        <v>13.705175926844399</v>
      </c>
      <c r="AK328">
        <v>25</v>
      </c>
      <c r="AL328">
        <v>1003.27095346725</v>
      </c>
      <c r="AM328">
        <v>135.963510322605</v>
      </c>
      <c r="AN328">
        <v>0.135520229956546</v>
      </c>
      <c r="AO328" t="s">
        <v>200</v>
      </c>
      <c r="AP328" t="s">
        <v>264</v>
      </c>
      <c r="AQ328" t="s">
        <v>417</v>
      </c>
      <c r="AR328">
        <v>9.99</v>
      </c>
      <c r="AS328">
        <v>1.002267682513782</v>
      </c>
      <c r="AT328" t="s">
        <v>1696</v>
      </c>
      <c r="AU328" t="s">
        <v>1695</v>
      </c>
      <c r="AV328">
        <v>1021</v>
      </c>
      <c r="AW328">
        <v>576</v>
      </c>
      <c r="AX328">
        <v>326</v>
      </c>
      <c r="AY328">
        <v>104</v>
      </c>
      <c r="AZ328">
        <v>15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1E-3</v>
      </c>
      <c r="BH328">
        <v>22.542000000000002</v>
      </c>
      <c r="BI328">
        <v>14.575393999999999</v>
      </c>
      <c r="BJ328">
        <v>1E-3</v>
      </c>
      <c r="BK328">
        <v>7.5524069999999996</v>
      </c>
      <c r="BL328">
        <v>57.038845999999999</v>
      </c>
      <c r="BM328">
        <v>0.51816099999999998</v>
      </c>
      <c r="BN328">
        <v>5.41</v>
      </c>
      <c r="BO328">
        <v>-1.1825829999999999</v>
      </c>
      <c r="BP328">
        <v>2.6939160000000002</v>
      </c>
      <c r="BQ328">
        <v>6.1665049999999999</v>
      </c>
      <c r="BR328">
        <v>2.042999</v>
      </c>
      <c r="BS328">
        <v>17.878</v>
      </c>
      <c r="BT328">
        <v>14.575393999999999</v>
      </c>
      <c r="BU328">
        <v>3.7528589999999999</v>
      </c>
      <c r="BV328">
        <v>-1.376037</v>
      </c>
      <c r="BW328">
        <v>0.33626899999999998</v>
      </c>
      <c r="BX328">
        <v>0.25747900000000001</v>
      </c>
      <c r="BY328">
        <v>-0.36666399999999999</v>
      </c>
      <c r="BZ328">
        <v>8.9604000000000003E-2</v>
      </c>
      <c r="CA328">
        <v>6.0000000000000001E-3</v>
      </c>
      <c r="CB328">
        <v>2.1999999999999999E-2</v>
      </c>
      <c r="CC328">
        <v>6.7000000000000004E-2</v>
      </c>
      <c r="CD328">
        <v>3.6509999999999998</v>
      </c>
      <c r="CE328">
        <v>14.276999999999999</v>
      </c>
      <c r="CF328">
        <v>15.882</v>
      </c>
      <c r="CG328">
        <v>17.091000000000001</v>
      </c>
      <c r="CH328">
        <v>17.879000000000001</v>
      </c>
      <c r="CI328">
        <v>18.587999</v>
      </c>
      <c r="CJ328">
        <v>19.360001</v>
      </c>
      <c r="CK328">
        <v>19.687000000000001</v>
      </c>
      <c r="CL328">
        <v>19.959</v>
      </c>
      <c r="CM328">
        <v>20.632000000000001</v>
      </c>
      <c r="CN328">
        <v>21.166</v>
      </c>
      <c r="CO328">
        <v>22.013598999999999</v>
      </c>
      <c r="CP328">
        <v>0.64657299999999995</v>
      </c>
      <c r="CQ328">
        <v>16.414173000000002</v>
      </c>
      <c r="CR328">
        <v>17.189502000000001</v>
      </c>
      <c r="CS328">
        <v>23</v>
      </c>
      <c r="CT328">
        <v>351</v>
      </c>
      <c r="CU328">
        <v>94.564153000000005</v>
      </c>
      <c r="CV328">
        <v>43.825397000000002</v>
      </c>
      <c r="CW328">
        <v>53.752364999999998</v>
      </c>
      <c r="CX328">
        <v>2889.316714</v>
      </c>
      <c r="CY328">
        <v>0.56842199999999998</v>
      </c>
      <c r="CZ328">
        <v>74</v>
      </c>
      <c r="DA328">
        <v>1.253941</v>
      </c>
      <c r="DB328">
        <v>5.0295439999999996</v>
      </c>
      <c r="DC328">
        <v>42.524330999999997</v>
      </c>
      <c r="DD328">
        <v>94.564153000000005</v>
      </c>
      <c r="DE328">
        <v>28.887319000000002</v>
      </c>
      <c r="DF328">
        <v>6.5521029999999998</v>
      </c>
      <c r="DG328">
        <v>3.039698</v>
      </c>
      <c r="DH328">
        <v>0.305479</v>
      </c>
      <c r="DI328">
        <v>0.22681599999999999</v>
      </c>
      <c r="DJ328">
        <v>0.105226</v>
      </c>
      <c r="DK328">
        <v>28</v>
      </c>
      <c r="DL328">
        <v>34</v>
      </c>
      <c r="DM328">
        <v>39</v>
      </c>
      <c r="DN328">
        <v>47</v>
      </c>
      <c r="DO328">
        <v>52</v>
      </c>
      <c r="DP328">
        <v>58</v>
      </c>
      <c r="DQ328">
        <v>68</v>
      </c>
      <c r="DR328">
        <v>82</v>
      </c>
      <c r="DS328">
        <v>97</v>
      </c>
      <c r="DT328">
        <v>115</v>
      </c>
      <c r="DU328">
        <v>126</v>
      </c>
      <c r="DV328">
        <v>136</v>
      </c>
      <c r="DW328">
        <v>164</v>
      </c>
      <c r="DX328">
        <v>193</v>
      </c>
      <c r="DY328">
        <v>261</v>
      </c>
      <c r="DZ328">
        <v>97.743055999999996</v>
      </c>
      <c r="EA328">
        <v>80.901077000000001</v>
      </c>
      <c r="EB328">
        <v>143.40277800000001</v>
      </c>
      <c r="EC328">
        <v>563</v>
      </c>
      <c r="ED328">
        <v>826</v>
      </c>
      <c r="EE328">
        <v>94.270832999999996</v>
      </c>
      <c r="EF328">
        <v>99.826389000000006</v>
      </c>
      <c r="EG328">
        <v>74.632712999999995</v>
      </c>
      <c r="EH328">
        <v>99.70617</v>
      </c>
      <c r="EI328">
        <v>132.29166699999999</v>
      </c>
      <c r="EJ328">
        <v>176.73611099999999</v>
      </c>
      <c r="EK328">
        <v>543</v>
      </c>
      <c r="EL328">
        <v>575</v>
      </c>
      <c r="EM328">
        <v>762</v>
      </c>
      <c r="EN328">
        <v>1018</v>
      </c>
      <c r="EO328">
        <v>576</v>
      </c>
      <c r="EP328">
        <v>1021</v>
      </c>
      <c r="EQ328">
        <v>65.216735999999997</v>
      </c>
    </row>
    <row r="329" spans="1:147" x14ac:dyDescent="0.25">
      <c r="A329">
        <v>2025</v>
      </c>
      <c r="B329" t="str">
        <f t="shared" si="10"/>
        <v>GN</v>
      </c>
      <c r="C329" t="s">
        <v>1697</v>
      </c>
      <c r="D329" t="s">
        <v>1697</v>
      </c>
      <c r="E329">
        <v>28913</v>
      </c>
      <c r="F329" t="s">
        <v>1690</v>
      </c>
      <c r="G329" t="s">
        <v>1691</v>
      </c>
      <c r="H329" t="s">
        <v>1692</v>
      </c>
      <c r="I329">
        <v>52.59</v>
      </c>
      <c r="J329">
        <v>52.59</v>
      </c>
      <c r="K329" t="s">
        <v>415</v>
      </c>
      <c r="L329">
        <v>1</v>
      </c>
      <c r="M329">
        <v>2021</v>
      </c>
      <c r="O329" t="str">
        <f t="shared" si="11"/>
        <v>Talhadia</v>
      </c>
      <c r="P329" s="2">
        <v>44538</v>
      </c>
      <c r="Q329" t="s">
        <v>152</v>
      </c>
      <c r="R329" t="s">
        <v>200</v>
      </c>
      <c r="S329" t="s">
        <v>154</v>
      </c>
      <c r="T329" t="s">
        <v>279</v>
      </c>
      <c r="U329" t="s">
        <v>156</v>
      </c>
      <c r="V329" s="2">
        <v>44753</v>
      </c>
      <c r="W329" t="s">
        <v>1693</v>
      </c>
      <c r="X329">
        <v>197.09</v>
      </c>
      <c r="Y329">
        <v>19.600000000000001</v>
      </c>
      <c r="Z329">
        <v>6</v>
      </c>
      <c r="AA329">
        <v>15.2</v>
      </c>
      <c r="AB329">
        <v>5</v>
      </c>
      <c r="AC329">
        <v>297.92</v>
      </c>
      <c r="AD329">
        <v>295.16049791685998</v>
      </c>
      <c r="AE329" s="2">
        <v>45734</v>
      </c>
      <c r="AF329">
        <v>39</v>
      </c>
      <c r="AG329">
        <v>3.27446954140999</v>
      </c>
      <c r="AH329">
        <v>17.927868060176699</v>
      </c>
      <c r="AI329">
        <v>15.112</v>
      </c>
      <c r="AJ329">
        <v>15.704477577031099</v>
      </c>
      <c r="AK329">
        <v>25</v>
      </c>
      <c r="AL329">
        <v>846.99680941187205</v>
      </c>
      <c r="AM329">
        <v>144.102208195195</v>
      </c>
      <c r="AN329">
        <v>0.17013311808725101</v>
      </c>
      <c r="AO329" t="s">
        <v>200</v>
      </c>
      <c r="AP329" t="s">
        <v>264</v>
      </c>
      <c r="AQ329" t="s">
        <v>417</v>
      </c>
      <c r="AR329">
        <v>9.99</v>
      </c>
      <c r="AS329">
        <v>0.84614981260246047</v>
      </c>
      <c r="AT329" t="s">
        <v>1698</v>
      </c>
      <c r="AU329" t="s">
        <v>1697</v>
      </c>
      <c r="AV329">
        <v>1339</v>
      </c>
      <c r="AW329">
        <v>695</v>
      </c>
      <c r="AX329">
        <v>453</v>
      </c>
      <c r="AY329">
        <v>161</v>
      </c>
      <c r="AZ329">
        <v>29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19.434999000000001</v>
      </c>
      <c r="BI329">
        <v>12.103422999999999</v>
      </c>
      <c r="BJ329">
        <v>0</v>
      </c>
      <c r="BK329">
        <v>6.3830030000000004</v>
      </c>
      <c r="BL329">
        <v>40.742733000000001</v>
      </c>
      <c r="BM329">
        <v>0.52737199999999995</v>
      </c>
      <c r="BN329">
        <v>5.4625000000000004</v>
      </c>
      <c r="BO329">
        <v>-1.0931770000000001</v>
      </c>
      <c r="BP329">
        <v>2.5461619999999998</v>
      </c>
      <c r="BQ329">
        <v>5.248399</v>
      </c>
      <c r="BR329">
        <v>2.0289999999999999</v>
      </c>
      <c r="BS329">
        <v>14.832000000000001</v>
      </c>
      <c r="BT329">
        <v>12.103422999999999</v>
      </c>
      <c r="BU329">
        <v>3.249641</v>
      </c>
      <c r="BV329">
        <v>-1.0874950000000001</v>
      </c>
      <c r="BW329">
        <v>0.22817599999999999</v>
      </c>
      <c r="BX329">
        <v>0.26848899999999998</v>
      </c>
      <c r="BY329">
        <v>-0.33465099999999998</v>
      </c>
      <c r="BZ329">
        <v>7.0216000000000001E-2</v>
      </c>
      <c r="CA329">
        <v>3.0000000000000001E-3</v>
      </c>
      <c r="CB329">
        <v>1.6E-2</v>
      </c>
      <c r="CC329">
        <v>3.6999999999999998E-2</v>
      </c>
      <c r="CD329">
        <v>3.6234000000000002</v>
      </c>
      <c r="CE329">
        <v>11.156000000000001</v>
      </c>
      <c r="CF329">
        <v>12.752599999999999</v>
      </c>
      <c r="CG329">
        <v>13.989800000000001</v>
      </c>
      <c r="CH329">
        <v>14.832000000000001</v>
      </c>
      <c r="CI329">
        <v>15.5466</v>
      </c>
      <c r="CJ329">
        <v>16.278599</v>
      </c>
      <c r="CK329">
        <v>16.618500000000001</v>
      </c>
      <c r="CL329">
        <v>16.848801000000002</v>
      </c>
      <c r="CM329">
        <v>17.519600000000001</v>
      </c>
      <c r="CN329">
        <v>17.952000000000002</v>
      </c>
      <c r="CO329">
        <v>18.80678</v>
      </c>
      <c r="CP329">
        <v>0.62276399999999998</v>
      </c>
      <c r="CQ329">
        <v>13.682294000000001</v>
      </c>
      <c r="CR329">
        <v>14.369833</v>
      </c>
      <c r="CS329">
        <v>25</v>
      </c>
      <c r="CT329">
        <v>889</v>
      </c>
      <c r="CU329">
        <v>167.458551</v>
      </c>
      <c r="CV329">
        <v>52.428570999999998</v>
      </c>
      <c r="CW329">
        <v>119.667447</v>
      </c>
      <c r="CX329">
        <v>14320.2978</v>
      </c>
      <c r="CY329">
        <v>0.71460900000000005</v>
      </c>
      <c r="CZ329">
        <v>147</v>
      </c>
      <c r="DA329">
        <v>1.5541940000000001</v>
      </c>
      <c r="DB329">
        <v>6.2125830000000004</v>
      </c>
      <c r="DC329">
        <v>90.732963999999996</v>
      </c>
      <c r="DD329">
        <v>167.458551</v>
      </c>
      <c r="DE329">
        <v>62.472917000000002</v>
      </c>
      <c r="DF329">
        <v>16.841032999999999</v>
      </c>
      <c r="DG329">
        <v>8.9414490000000004</v>
      </c>
      <c r="DH329">
        <v>0.37306499999999998</v>
      </c>
      <c r="DI329">
        <v>0.26957300000000001</v>
      </c>
      <c r="DJ329">
        <v>0.143125</v>
      </c>
      <c r="DK329">
        <v>29</v>
      </c>
      <c r="DL329">
        <v>39.900002000000001</v>
      </c>
      <c r="DM329">
        <v>49</v>
      </c>
      <c r="DN329">
        <v>66</v>
      </c>
      <c r="DO329">
        <v>75</v>
      </c>
      <c r="DP329">
        <v>87</v>
      </c>
      <c r="DQ329">
        <v>112.200012</v>
      </c>
      <c r="DR329">
        <v>138</v>
      </c>
      <c r="DS329">
        <v>165</v>
      </c>
      <c r="DT329">
        <v>202</v>
      </c>
      <c r="DU329">
        <v>222</v>
      </c>
      <c r="DV329">
        <v>245</v>
      </c>
      <c r="DW329">
        <v>322.399902</v>
      </c>
      <c r="DX329">
        <v>401.09997600000003</v>
      </c>
      <c r="DY329">
        <v>598.09997599999997</v>
      </c>
      <c r="DZ329">
        <v>94.820143999999999</v>
      </c>
      <c r="EA329">
        <v>80.955937000000006</v>
      </c>
      <c r="EB329">
        <v>155.97122300000001</v>
      </c>
      <c r="EC329">
        <v>659</v>
      </c>
      <c r="ED329">
        <v>1084</v>
      </c>
      <c r="EE329">
        <v>88.345324000000005</v>
      </c>
      <c r="EF329">
        <v>99.856115000000003</v>
      </c>
      <c r="EG329">
        <v>72.591486000000003</v>
      </c>
      <c r="EH329">
        <v>99.775952000000004</v>
      </c>
      <c r="EI329">
        <v>139.85611499999999</v>
      </c>
      <c r="EJ329">
        <v>192.23021600000001</v>
      </c>
      <c r="EK329">
        <v>614</v>
      </c>
      <c r="EL329">
        <v>694</v>
      </c>
      <c r="EM329">
        <v>972</v>
      </c>
      <c r="EN329">
        <v>1336</v>
      </c>
      <c r="EO329">
        <v>695</v>
      </c>
      <c r="EP329">
        <v>1339</v>
      </c>
      <c r="EQ329">
        <v>63.354205</v>
      </c>
    </row>
    <row r="330" spans="1:147" x14ac:dyDescent="0.25">
      <c r="A330">
        <v>2025</v>
      </c>
      <c r="B330" t="str">
        <f t="shared" si="10"/>
        <v>GN</v>
      </c>
      <c r="C330" t="s">
        <v>1699</v>
      </c>
      <c r="D330" t="s">
        <v>1699</v>
      </c>
      <c r="E330">
        <v>29807</v>
      </c>
      <c r="F330" t="s">
        <v>1700</v>
      </c>
      <c r="G330" t="s">
        <v>1691</v>
      </c>
      <c r="H330" t="s">
        <v>1701</v>
      </c>
      <c r="I330">
        <v>49.98</v>
      </c>
      <c r="J330">
        <v>49.98</v>
      </c>
      <c r="K330" t="s">
        <v>415</v>
      </c>
      <c r="L330">
        <v>1</v>
      </c>
      <c r="M330">
        <v>2022</v>
      </c>
      <c r="O330" t="str">
        <f t="shared" si="11"/>
        <v>Talhadia</v>
      </c>
      <c r="P330" s="2">
        <v>44601</v>
      </c>
      <c r="Q330" t="s">
        <v>174</v>
      </c>
      <c r="R330" t="s">
        <v>302</v>
      </c>
      <c r="S330" t="s">
        <v>154</v>
      </c>
      <c r="T330" t="s">
        <v>279</v>
      </c>
      <c r="U330" t="s">
        <v>156</v>
      </c>
      <c r="V330" s="2">
        <v>45734</v>
      </c>
      <c r="W330" t="s">
        <v>1693</v>
      </c>
      <c r="X330">
        <v>49.98</v>
      </c>
      <c r="Y330">
        <v>21.3</v>
      </c>
      <c r="Z330">
        <v>15</v>
      </c>
      <c r="AA330">
        <v>13.8</v>
      </c>
      <c r="AB330">
        <v>2</v>
      </c>
      <c r="AC330">
        <v>293.94</v>
      </c>
      <c r="AD330">
        <v>283.751278405373</v>
      </c>
      <c r="AE330" s="2">
        <v>45734</v>
      </c>
      <c r="AF330">
        <v>37</v>
      </c>
      <c r="AG330">
        <v>3.1019849418206702</v>
      </c>
      <c r="AH330">
        <v>22.781907177297999</v>
      </c>
      <c r="AI330">
        <v>16.316666666666698</v>
      </c>
      <c r="AJ330">
        <v>14.1420578097136</v>
      </c>
      <c r="AK330">
        <v>18</v>
      </c>
      <c r="AL330">
        <v>634.35837544614697</v>
      </c>
      <c r="AM330">
        <v>165.73391202503799</v>
      </c>
      <c r="AN330">
        <v>0.26126227451237899</v>
      </c>
      <c r="AO330" t="s">
        <v>302</v>
      </c>
      <c r="AP330" t="s">
        <v>264</v>
      </c>
      <c r="AQ330" t="s">
        <v>417</v>
      </c>
      <c r="AR330">
        <v>9</v>
      </c>
      <c r="AS330">
        <v>0.57092253790153302</v>
      </c>
      <c r="AT330" t="s">
        <v>1702</v>
      </c>
      <c r="AU330" t="s">
        <v>1699</v>
      </c>
      <c r="AV330">
        <v>1254</v>
      </c>
      <c r="AW330">
        <v>696</v>
      </c>
      <c r="AX330">
        <v>410</v>
      </c>
      <c r="AY330">
        <v>129</v>
      </c>
      <c r="AZ330">
        <v>17</v>
      </c>
      <c r="BA330">
        <v>2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24.608999000000001</v>
      </c>
      <c r="BI330">
        <v>12.291338</v>
      </c>
      <c r="BJ330">
        <v>0</v>
      </c>
      <c r="BK330">
        <v>9.0124169999999992</v>
      </c>
      <c r="BL330">
        <v>81.223658</v>
      </c>
      <c r="BM330">
        <v>0.73323300000000002</v>
      </c>
      <c r="BN330">
        <v>19.136751</v>
      </c>
      <c r="BO330">
        <v>-0.338424</v>
      </c>
      <c r="BP330">
        <v>1.373286</v>
      </c>
      <c r="BQ330">
        <v>8.4423879999999993</v>
      </c>
      <c r="BR330">
        <v>5.2869999999999999</v>
      </c>
      <c r="BS330">
        <v>17.040001</v>
      </c>
      <c r="BT330">
        <v>12.291338</v>
      </c>
      <c r="BU330">
        <v>4.9649850000000004</v>
      </c>
      <c r="BV330">
        <v>-0.54683099999999996</v>
      </c>
      <c r="BW330">
        <v>-0.58803300000000003</v>
      </c>
      <c r="BX330">
        <v>0.40394200000000002</v>
      </c>
      <c r="BY330">
        <v>-0.110137</v>
      </c>
      <c r="BZ330">
        <v>-0.118436</v>
      </c>
      <c r="CA330">
        <v>4.0000000000000001E-3</v>
      </c>
      <c r="CB330">
        <v>1.7000000000000001E-2</v>
      </c>
      <c r="CC330">
        <v>3.8300000000000001E-2</v>
      </c>
      <c r="CD330">
        <v>0.1822</v>
      </c>
      <c r="CE330">
        <v>0.90325</v>
      </c>
      <c r="CF330">
        <v>2.4723000000000002</v>
      </c>
      <c r="CG330">
        <v>9.9545999999999992</v>
      </c>
      <c r="CH330">
        <v>17.040001</v>
      </c>
      <c r="CI330">
        <v>18.5762</v>
      </c>
      <c r="CJ330">
        <v>19.586300000000001</v>
      </c>
      <c r="CK330">
        <v>20.040001</v>
      </c>
      <c r="CL330">
        <v>20.4816</v>
      </c>
      <c r="CM330">
        <v>21.970199999999998</v>
      </c>
      <c r="CN330">
        <v>22.893101000000001</v>
      </c>
      <c r="CO330">
        <v>23.941614000000001</v>
      </c>
      <c r="CP330">
        <v>0.49946499999999999</v>
      </c>
      <c r="CQ330">
        <v>15.239286999999999</v>
      </c>
      <c r="CR330">
        <v>16.633507999999999</v>
      </c>
      <c r="CS330">
        <v>23</v>
      </c>
      <c r="CT330">
        <v>454</v>
      </c>
      <c r="CU330">
        <v>108.5</v>
      </c>
      <c r="CV330">
        <v>36.682540000000003</v>
      </c>
      <c r="CW330">
        <v>75.414446999999996</v>
      </c>
      <c r="CX330">
        <v>5687.3387869999997</v>
      </c>
      <c r="CY330">
        <v>0.69506400000000002</v>
      </c>
      <c r="CZ330">
        <v>91.75</v>
      </c>
      <c r="DA330">
        <v>1.5765990000000001</v>
      </c>
      <c r="DB330">
        <v>5.8124510000000003</v>
      </c>
      <c r="DC330">
        <v>57.50638</v>
      </c>
      <c r="DD330">
        <v>108.5</v>
      </c>
      <c r="DE330">
        <v>39.008715000000002</v>
      </c>
      <c r="DF330">
        <v>11.781105999999999</v>
      </c>
      <c r="DG330">
        <v>5.4158939999999998</v>
      </c>
      <c r="DH330">
        <v>0.35952699999999999</v>
      </c>
      <c r="DI330">
        <v>0.302012</v>
      </c>
      <c r="DJ330">
        <v>0.13883799999999999</v>
      </c>
      <c r="DK330">
        <v>28</v>
      </c>
      <c r="DL330">
        <v>34</v>
      </c>
      <c r="DM330">
        <v>38</v>
      </c>
      <c r="DN330">
        <v>46</v>
      </c>
      <c r="DO330">
        <v>52</v>
      </c>
      <c r="DP330">
        <v>57</v>
      </c>
      <c r="DQ330">
        <v>70</v>
      </c>
      <c r="DR330">
        <v>86</v>
      </c>
      <c r="DS330">
        <v>107.799988</v>
      </c>
      <c r="DT330">
        <v>131</v>
      </c>
      <c r="DU330">
        <v>143.75</v>
      </c>
      <c r="DV330">
        <v>161</v>
      </c>
      <c r="DW330">
        <v>204</v>
      </c>
      <c r="DX330">
        <v>261.04992700000003</v>
      </c>
      <c r="DY330">
        <v>368</v>
      </c>
      <c r="DZ330">
        <v>86.925286999999997</v>
      </c>
      <c r="EA330">
        <v>68.899522000000005</v>
      </c>
      <c r="EB330">
        <v>124.13793099999999</v>
      </c>
      <c r="EC330">
        <v>605</v>
      </c>
      <c r="ED330">
        <v>864</v>
      </c>
      <c r="EE330">
        <v>77.011493999999999</v>
      </c>
      <c r="EF330">
        <v>100</v>
      </c>
      <c r="EG330">
        <v>57.655501999999998</v>
      </c>
      <c r="EH330">
        <v>99.920254999999997</v>
      </c>
      <c r="EI330">
        <v>103.87931</v>
      </c>
      <c r="EJ330">
        <v>180.02873600000001</v>
      </c>
      <c r="EK330">
        <v>536</v>
      </c>
      <c r="EL330">
        <v>696</v>
      </c>
      <c r="EM330">
        <v>723</v>
      </c>
      <c r="EN330">
        <v>1253</v>
      </c>
      <c r="EO330">
        <v>696</v>
      </c>
      <c r="EP330">
        <v>1254</v>
      </c>
      <c r="EQ330">
        <v>50.334046999999998</v>
      </c>
    </row>
    <row r="331" spans="1:147" x14ac:dyDescent="0.25">
      <c r="A331">
        <v>2025</v>
      </c>
      <c r="B331" t="str">
        <f t="shared" si="10"/>
        <v>GN</v>
      </c>
      <c r="C331" t="s">
        <v>1703</v>
      </c>
      <c r="D331" t="s">
        <v>1703</v>
      </c>
      <c r="E331">
        <v>29808</v>
      </c>
      <c r="F331" t="s">
        <v>1700</v>
      </c>
      <c r="G331" t="s">
        <v>1691</v>
      </c>
      <c r="H331" t="s">
        <v>1701</v>
      </c>
      <c r="I331">
        <v>49.98</v>
      </c>
      <c r="J331">
        <v>49.98</v>
      </c>
      <c r="K331" t="s">
        <v>415</v>
      </c>
      <c r="L331">
        <v>1</v>
      </c>
      <c r="M331">
        <v>2022</v>
      </c>
      <c r="O331" t="str">
        <f t="shared" si="11"/>
        <v>Talhadia</v>
      </c>
      <c r="P331" s="2">
        <v>44601</v>
      </c>
      <c r="Q331" t="s">
        <v>174</v>
      </c>
      <c r="R331" t="s">
        <v>302</v>
      </c>
      <c r="S331" t="s">
        <v>154</v>
      </c>
      <c r="T331" t="s">
        <v>279</v>
      </c>
      <c r="U331" t="s">
        <v>156</v>
      </c>
      <c r="V331" s="2">
        <v>44754</v>
      </c>
      <c r="W331" t="s">
        <v>1693</v>
      </c>
      <c r="X331">
        <v>49.98</v>
      </c>
      <c r="Y331">
        <v>20.6</v>
      </c>
      <c r="Z331">
        <v>22</v>
      </c>
      <c r="AA331">
        <v>16.399999999999999</v>
      </c>
      <c r="AB331">
        <v>3</v>
      </c>
      <c r="AC331">
        <v>337.84</v>
      </c>
      <c r="AD331">
        <v>312.81050917646701</v>
      </c>
      <c r="AE331" s="2">
        <v>45734</v>
      </c>
      <c r="AF331">
        <v>37</v>
      </c>
      <c r="AG331">
        <v>3.1019849418206702</v>
      </c>
      <c r="AH331">
        <v>20.4418315004467</v>
      </c>
      <c r="AI331">
        <v>12.6424242424242</v>
      </c>
      <c r="AJ331">
        <v>13.521149328204601</v>
      </c>
      <c r="AK331">
        <v>33</v>
      </c>
      <c r="AL331">
        <v>1054.9517689440399</v>
      </c>
      <c r="AM331">
        <v>137.836330883805</v>
      </c>
      <c r="AN331">
        <v>0.13065652377811901</v>
      </c>
      <c r="AO331" t="s">
        <v>302</v>
      </c>
      <c r="AP331" t="s">
        <v>264</v>
      </c>
      <c r="AQ331" t="s">
        <v>417</v>
      </c>
      <c r="AR331">
        <v>9</v>
      </c>
      <c r="AS331">
        <v>0.94945659204963673</v>
      </c>
      <c r="AT331" t="s">
        <v>1704</v>
      </c>
      <c r="AU331" t="s">
        <v>1703</v>
      </c>
      <c r="AV331">
        <v>1428</v>
      </c>
      <c r="AW331">
        <v>775</v>
      </c>
      <c r="AX331">
        <v>464</v>
      </c>
      <c r="AY331">
        <v>150</v>
      </c>
      <c r="AZ331">
        <v>35</v>
      </c>
      <c r="BA331">
        <v>4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20.388999999999999</v>
      </c>
      <c r="BI331">
        <v>12.187264000000001</v>
      </c>
      <c r="BJ331">
        <v>0</v>
      </c>
      <c r="BK331">
        <v>7.2737720000000001</v>
      </c>
      <c r="BL331">
        <v>52.907758999999999</v>
      </c>
      <c r="BM331">
        <v>0.59683399999999998</v>
      </c>
      <c r="BN331">
        <v>13.76225</v>
      </c>
      <c r="BO331">
        <v>-0.90224899999999997</v>
      </c>
      <c r="BP331">
        <v>2.042141</v>
      </c>
      <c r="BQ331">
        <v>6.3087429999999998</v>
      </c>
      <c r="BR331">
        <v>2.1465000000000001</v>
      </c>
      <c r="BS331">
        <v>15.757</v>
      </c>
      <c r="BT331">
        <v>12.187264000000001</v>
      </c>
      <c r="BU331">
        <v>3.7323430000000002</v>
      </c>
      <c r="BV331">
        <v>-1.0831789999999999</v>
      </c>
      <c r="BW331">
        <v>2.7446000000000002E-2</v>
      </c>
      <c r="BX331">
        <v>0.30624899999999999</v>
      </c>
      <c r="BY331">
        <v>-0.29021400000000003</v>
      </c>
      <c r="BZ331">
        <v>7.3530000000000002E-3</v>
      </c>
      <c r="CA331">
        <v>3.2699999999999999E-3</v>
      </c>
      <c r="CB331">
        <v>0.02</v>
      </c>
      <c r="CC331">
        <v>4.7699999999999999E-2</v>
      </c>
      <c r="CD331">
        <v>0.30740000000000001</v>
      </c>
      <c r="CE331">
        <v>3.4710000000000001</v>
      </c>
      <c r="CF331">
        <v>13.1388</v>
      </c>
      <c r="CG331">
        <v>14.7774</v>
      </c>
      <c r="CH331">
        <v>15.757</v>
      </c>
      <c r="CI331">
        <v>16.336601000000002</v>
      </c>
      <c r="CJ331">
        <v>16.903099000000001</v>
      </c>
      <c r="CK331">
        <v>17.233250000000002</v>
      </c>
      <c r="CL331">
        <v>17.695599000000001</v>
      </c>
      <c r="CM331">
        <v>18.632401999999999</v>
      </c>
      <c r="CN331">
        <v>19.211651</v>
      </c>
      <c r="CO331">
        <v>19.849648999999999</v>
      </c>
      <c r="CP331">
        <v>0.59773699999999996</v>
      </c>
      <c r="CQ331">
        <v>14.191551</v>
      </c>
      <c r="CR331">
        <v>15.031393</v>
      </c>
      <c r="CS331">
        <v>24</v>
      </c>
      <c r="CT331">
        <v>798</v>
      </c>
      <c r="CU331">
        <v>196.19047599999999</v>
      </c>
      <c r="CV331">
        <v>48.571429000000002</v>
      </c>
      <c r="CW331">
        <v>145.408759</v>
      </c>
      <c r="CX331">
        <v>21143.70721</v>
      </c>
      <c r="CY331">
        <v>0.74116099999999996</v>
      </c>
      <c r="CZ331">
        <v>180</v>
      </c>
      <c r="DA331">
        <v>1.323888</v>
      </c>
      <c r="DB331">
        <v>4.6592520000000004</v>
      </c>
      <c r="DC331">
        <v>112.22995899999999</v>
      </c>
      <c r="DD331">
        <v>196.19047599999999</v>
      </c>
      <c r="DE331">
        <v>77.106487000000001</v>
      </c>
      <c r="DF331">
        <v>20.530633999999999</v>
      </c>
      <c r="DG331">
        <v>9.9676679999999998</v>
      </c>
      <c r="DH331">
        <v>0.39301900000000001</v>
      </c>
      <c r="DI331">
        <v>0.26626300000000003</v>
      </c>
      <c r="DJ331">
        <v>0.129271</v>
      </c>
      <c r="DK331">
        <v>29</v>
      </c>
      <c r="DL331">
        <v>39</v>
      </c>
      <c r="DM331">
        <v>50</v>
      </c>
      <c r="DN331">
        <v>70</v>
      </c>
      <c r="DO331">
        <v>83</v>
      </c>
      <c r="DP331">
        <v>96</v>
      </c>
      <c r="DQ331">
        <v>126</v>
      </c>
      <c r="DR331">
        <v>161</v>
      </c>
      <c r="DS331">
        <v>194</v>
      </c>
      <c r="DT331">
        <v>236</v>
      </c>
      <c r="DU331">
        <v>263</v>
      </c>
      <c r="DV331">
        <v>296.59997600000003</v>
      </c>
      <c r="DW331">
        <v>399.600098</v>
      </c>
      <c r="DX331">
        <v>483.65002399999997</v>
      </c>
      <c r="DY331">
        <v>684.91992200000004</v>
      </c>
      <c r="DZ331">
        <v>91.870968000000005</v>
      </c>
      <c r="EA331">
        <v>75.140056000000001</v>
      </c>
      <c r="EB331">
        <v>138.45161300000001</v>
      </c>
      <c r="EC331">
        <v>712</v>
      </c>
      <c r="ED331">
        <v>1073</v>
      </c>
      <c r="EE331">
        <v>89.161289999999994</v>
      </c>
      <c r="EF331">
        <v>99.870968000000005</v>
      </c>
      <c r="EG331">
        <v>71.498598999999999</v>
      </c>
      <c r="EH331">
        <v>99.789916000000005</v>
      </c>
      <c r="EI331">
        <v>131.74193500000001</v>
      </c>
      <c r="EJ331">
        <v>183.870968</v>
      </c>
      <c r="EK331">
        <v>691</v>
      </c>
      <c r="EL331">
        <v>774</v>
      </c>
      <c r="EM331">
        <v>1021</v>
      </c>
      <c r="EN331">
        <v>1425</v>
      </c>
      <c r="EO331">
        <v>775</v>
      </c>
      <c r="EP331">
        <v>1428</v>
      </c>
      <c r="EQ331">
        <v>60.371349000000002</v>
      </c>
    </row>
    <row r="332" spans="1:147" x14ac:dyDescent="0.25">
      <c r="A332">
        <v>2025</v>
      </c>
      <c r="B332" t="str">
        <f t="shared" si="10"/>
        <v>GN</v>
      </c>
      <c r="C332" t="s">
        <v>1705</v>
      </c>
      <c r="D332" t="s">
        <v>1705</v>
      </c>
      <c r="E332">
        <v>27831</v>
      </c>
      <c r="F332" t="s">
        <v>1706</v>
      </c>
      <c r="G332" t="s">
        <v>1707</v>
      </c>
      <c r="H332" t="s">
        <v>1708</v>
      </c>
      <c r="I332">
        <v>71.2</v>
      </c>
      <c r="J332">
        <v>71.2</v>
      </c>
      <c r="K332" t="s">
        <v>415</v>
      </c>
      <c r="L332">
        <v>1</v>
      </c>
      <c r="M332">
        <v>2020</v>
      </c>
      <c r="O332" t="str">
        <f t="shared" si="11"/>
        <v>Alto fuste</v>
      </c>
      <c r="P332" s="2">
        <v>44152</v>
      </c>
      <c r="Q332" t="s">
        <v>174</v>
      </c>
      <c r="R332" t="s">
        <v>427</v>
      </c>
      <c r="S332" t="s">
        <v>154</v>
      </c>
      <c r="T332" t="s">
        <v>279</v>
      </c>
      <c r="U332" t="s">
        <v>1709</v>
      </c>
      <c r="V332" s="2">
        <v>45734</v>
      </c>
      <c r="W332" t="s">
        <v>1710</v>
      </c>
      <c r="X332">
        <v>133.6</v>
      </c>
      <c r="Y332">
        <v>20.3</v>
      </c>
      <c r="Z332">
        <v>16</v>
      </c>
      <c r="AA332">
        <v>15.5</v>
      </c>
      <c r="AB332">
        <v>3</v>
      </c>
      <c r="AC332">
        <v>314.64999999999998</v>
      </c>
      <c r="AD332">
        <v>302.04648034849998</v>
      </c>
      <c r="AE332" s="2">
        <v>45734</v>
      </c>
      <c r="AF332">
        <v>52</v>
      </c>
      <c r="AG332">
        <v>4.3312799452429802</v>
      </c>
      <c r="AH332">
        <v>23.809905219061299</v>
      </c>
      <c r="AI332">
        <v>14.5352941176471</v>
      </c>
      <c r="AJ332">
        <v>19.617631159578501</v>
      </c>
      <c r="AK332">
        <v>34</v>
      </c>
      <c r="AL332">
        <v>1125.65456683259</v>
      </c>
      <c r="AM332">
        <v>220.06912358684201</v>
      </c>
      <c r="AN332">
        <v>0.19550324768466101</v>
      </c>
      <c r="AO332" t="s">
        <v>427</v>
      </c>
      <c r="AP332" t="s">
        <v>158</v>
      </c>
      <c r="AQ332" t="s">
        <v>1711</v>
      </c>
      <c r="AR332">
        <v>9</v>
      </c>
      <c r="AS332">
        <v>1.0130891101493329</v>
      </c>
      <c r="AT332" t="s">
        <v>1712</v>
      </c>
      <c r="AU332" t="s">
        <v>1705</v>
      </c>
      <c r="AV332">
        <v>1146</v>
      </c>
      <c r="AW332">
        <v>613</v>
      </c>
      <c r="AX332">
        <v>370</v>
      </c>
      <c r="AY332">
        <v>134</v>
      </c>
      <c r="AZ332">
        <v>27</v>
      </c>
      <c r="BA332">
        <v>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24.896999000000001</v>
      </c>
      <c r="BI332">
        <v>14.283281000000001</v>
      </c>
      <c r="BJ332">
        <v>0</v>
      </c>
      <c r="BK332">
        <v>8.4426539999999992</v>
      </c>
      <c r="BL332">
        <v>71.278408999999996</v>
      </c>
      <c r="BM332">
        <v>0.591086</v>
      </c>
      <c r="BN332">
        <v>13.219500999999999</v>
      </c>
      <c r="BO332">
        <v>-0.69997299999999996</v>
      </c>
      <c r="BP332">
        <v>1.9476119999999999</v>
      </c>
      <c r="BQ332">
        <v>7.3362660000000002</v>
      </c>
      <c r="BR332">
        <v>4.3220000000000001</v>
      </c>
      <c r="BS332">
        <v>17.954499999999999</v>
      </c>
      <c r="BT332">
        <v>14.283281000000001</v>
      </c>
      <c r="BU332">
        <v>4.6102809999999996</v>
      </c>
      <c r="BV332">
        <v>-1.0257620000000001</v>
      </c>
      <c r="BW332">
        <v>-0.101342</v>
      </c>
      <c r="BX332">
        <v>0.32277499999999998</v>
      </c>
      <c r="BY332">
        <v>-0.222494</v>
      </c>
      <c r="BZ332">
        <v>-2.1982000000000002E-2</v>
      </c>
      <c r="CA332">
        <v>4.0000000000000001E-3</v>
      </c>
      <c r="CB332">
        <v>1.4250000000000001E-2</v>
      </c>
      <c r="CC332">
        <v>3.0499999999999999E-2</v>
      </c>
      <c r="CD332">
        <v>2.371</v>
      </c>
      <c r="CE332">
        <v>7.8312499999999998</v>
      </c>
      <c r="CF332">
        <v>10.680999999999999</v>
      </c>
      <c r="CG332">
        <v>14.951000000000001</v>
      </c>
      <c r="CH332">
        <v>17.954499999999999</v>
      </c>
      <c r="CI332">
        <v>19.658000999999999</v>
      </c>
      <c r="CJ332">
        <v>20.644501000000002</v>
      </c>
      <c r="CK332">
        <v>21.050751000000002</v>
      </c>
      <c r="CL332">
        <v>21.556000000000001</v>
      </c>
      <c r="CM332">
        <v>22.619999</v>
      </c>
      <c r="CN332">
        <v>23.439250999999999</v>
      </c>
      <c r="CO332">
        <v>24.331403999999999</v>
      </c>
      <c r="CP332">
        <v>0.57369499999999995</v>
      </c>
      <c r="CQ332">
        <v>16.590007</v>
      </c>
      <c r="CR332">
        <v>17.699432000000002</v>
      </c>
      <c r="CS332">
        <v>25</v>
      </c>
      <c r="CT332">
        <v>420</v>
      </c>
      <c r="CU332">
        <v>86.576789000000005</v>
      </c>
      <c r="CV332">
        <v>37.539682999999997</v>
      </c>
      <c r="CW332">
        <v>54.871932999999999</v>
      </c>
      <c r="CX332">
        <v>3010.9290329999999</v>
      </c>
      <c r="CY332">
        <v>0.633795</v>
      </c>
      <c r="CZ332">
        <v>66</v>
      </c>
      <c r="DA332">
        <v>1.831715</v>
      </c>
      <c r="DB332">
        <v>8.0442979999999995</v>
      </c>
      <c r="DC332">
        <v>41.455469999999998</v>
      </c>
      <c r="DD332">
        <v>86.576789000000005</v>
      </c>
      <c r="DE332">
        <v>28.024757999999999</v>
      </c>
      <c r="DF332">
        <v>8.317596</v>
      </c>
      <c r="DG332">
        <v>3.9938940000000001</v>
      </c>
      <c r="DH332">
        <v>0.32369799999999999</v>
      </c>
      <c r="DI332">
        <v>0.29679499999999998</v>
      </c>
      <c r="DJ332">
        <v>0.142513</v>
      </c>
      <c r="DK332">
        <v>27</v>
      </c>
      <c r="DL332">
        <v>31.25</v>
      </c>
      <c r="DM332">
        <v>36</v>
      </c>
      <c r="DN332">
        <v>42</v>
      </c>
      <c r="DO332">
        <v>46</v>
      </c>
      <c r="DP332">
        <v>50</v>
      </c>
      <c r="DQ332">
        <v>59</v>
      </c>
      <c r="DR332">
        <v>70</v>
      </c>
      <c r="DS332">
        <v>86</v>
      </c>
      <c r="DT332">
        <v>103</v>
      </c>
      <c r="DU332">
        <v>112</v>
      </c>
      <c r="DV332">
        <v>123</v>
      </c>
      <c r="DW332">
        <v>156</v>
      </c>
      <c r="DX332">
        <v>189.5</v>
      </c>
      <c r="DY332">
        <v>283.20019500000001</v>
      </c>
      <c r="DZ332">
        <v>94.942903999999999</v>
      </c>
      <c r="EA332">
        <v>79.319372000000001</v>
      </c>
      <c r="EB332">
        <v>148.28711300000001</v>
      </c>
      <c r="EC332">
        <v>582</v>
      </c>
      <c r="ED332">
        <v>909</v>
      </c>
      <c r="EE332">
        <v>84.828710999999998</v>
      </c>
      <c r="EF332">
        <v>99.836867999999996</v>
      </c>
      <c r="EG332">
        <v>61.431064999999997</v>
      </c>
      <c r="EH332">
        <v>99.912739999999999</v>
      </c>
      <c r="EI332">
        <v>114.845024</v>
      </c>
      <c r="EJ332">
        <v>186.78629699999999</v>
      </c>
      <c r="EK332">
        <v>520</v>
      </c>
      <c r="EL332">
        <v>612</v>
      </c>
      <c r="EM332">
        <v>704</v>
      </c>
      <c r="EN332">
        <v>1145</v>
      </c>
      <c r="EO332">
        <v>613</v>
      </c>
      <c r="EP332">
        <v>1146</v>
      </c>
      <c r="EQ332">
        <v>57.704715</v>
      </c>
    </row>
    <row r="333" spans="1:147" x14ac:dyDescent="0.25">
      <c r="A333">
        <v>2025</v>
      </c>
      <c r="B333" t="str">
        <f t="shared" si="10"/>
        <v>GN</v>
      </c>
      <c r="C333" t="s">
        <v>1713</v>
      </c>
      <c r="D333" t="s">
        <v>1713</v>
      </c>
      <c r="E333">
        <v>27832</v>
      </c>
      <c r="F333" t="s">
        <v>1706</v>
      </c>
      <c r="G333" t="s">
        <v>1707</v>
      </c>
      <c r="H333" t="s">
        <v>1708</v>
      </c>
      <c r="I333">
        <v>71.2</v>
      </c>
      <c r="J333">
        <v>71.2</v>
      </c>
      <c r="K333" t="s">
        <v>415</v>
      </c>
      <c r="L333">
        <v>1</v>
      </c>
      <c r="M333">
        <v>2020</v>
      </c>
      <c r="O333" t="str">
        <f t="shared" si="11"/>
        <v>Alto fuste</v>
      </c>
      <c r="P333" s="2">
        <v>44152</v>
      </c>
      <c r="Q333" t="s">
        <v>174</v>
      </c>
      <c r="R333" t="s">
        <v>427</v>
      </c>
      <c r="S333" t="s">
        <v>154</v>
      </c>
      <c r="T333" t="s">
        <v>279</v>
      </c>
      <c r="U333" t="s">
        <v>1709</v>
      </c>
      <c r="V333" s="2">
        <v>44755</v>
      </c>
      <c r="W333" t="s">
        <v>1710</v>
      </c>
      <c r="X333">
        <v>133.6</v>
      </c>
      <c r="Y333">
        <v>18.8</v>
      </c>
      <c r="Z333">
        <v>5</v>
      </c>
      <c r="AA333">
        <v>15.1</v>
      </c>
      <c r="AB333">
        <v>1</v>
      </c>
      <c r="AC333">
        <v>283.88</v>
      </c>
      <c r="AD333">
        <v>282.756679122452</v>
      </c>
      <c r="AE333" s="2">
        <v>45734</v>
      </c>
      <c r="AF333">
        <v>52</v>
      </c>
      <c r="AG333">
        <v>4.3312799452429802</v>
      </c>
      <c r="AH333">
        <v>23.915661971425301</v>
      </c>
      <c r="AI333">
        <v>14.855172413793101</v>
      </c>
      <c r="AJ333">
        <v>18.466962033867102</v>
      </c>
      <c r="AK333">
        <v>29</v>
      </c>
      <c r="AL333">
        <v>1025.61679851393</v>
      </c>
      <c r="AM333">
        <v>205.524240241294</v>
      </c>
      <c r="AN333">
        <v>0.20039086775790799</v>
      </c>
      <c r="AO333" t="s">
        <v>427</v>
      </c>
      <c r="AP333" t="s">
        <v>158</v>
      </c>
      <c r="AQ333" t="s">
        <v>1711</v>
      </c>
      <c r="AR333">
        <v>9</v>
      </c>
      <c r="AS333">
        <v>0.92305511866253764</v>
      </c>
      <c r="AT333" t="s">
        <v>1714</v>
      </c>
      <c r="AU333" t="s">
        <v>1713</v>
      </c>
      <c r="AV333">
        <v>1148</v>
      </c>
      <c r="AW333">
        <v>693</v>
      </c>
      <c r="AX333">
        <v>350</v>
      </c>
      <c r="AY333">
        <v>97</v>
      </c>
      <c r="AZ333">
        <v>8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1E-3</v>
      </c>
      <c r="BH333">
        <v>25.106000999999999</v>
      </c>
      <c r="BI333">
        <v>15.800976</v>
      </c>
      <c r="BJ333">
        <v>1E-3</v>
      </c>
      <c r="BK333">
        <v>8.3729329999999997</v>
      </c>
      <c r="BL333">
        <v>70.106014000000002</v>
      </c>
      <c r="BM333">
        <v>0.52990000000000004</v>
      </c>
      <c r="BN333">
        <v>9.4985009999999992</v>
      </c>
      <c r="BO333">
        <v>-1.0695410000000001</v>
      </c>
      <c r="BP333">
        <v>2.512327</v>
      </c>
      <c r="BQ333">
        <v>6.9632480000000001</v>
      </c>
      <c r="BR333">
        <v>2.5720000000000001</v>
      </c>
      <c r="BS333">
        <v>19.874500000000001</v>
      </c>
      <c r="BT333">
        <v>15.800976</v>
      </c>
      <c r="BU333">
        <v>4.2898250000000004</v>
      </c>
      <c r="BV333">
        <v>-1.4522539999999999</v>
      </c>
      <c r="BW333">
        <v>0.237012</v>
      </c>
      <c r="BX333">
        <v>0.27149099999999998</v>
      </c>
      <c r="BY333">
        <v>-0.33853499999999997</v>
      </c>
      <c r="BZ333">
        <v>5.525E-2</v>
      </c>
      <c r="CA333">
        <v>3.0000000000000001E-3</v>
      </c>
      <c r="CB333">
        <v>1.235E-2</v>
      </c>
      <c r="CC333">
        <v>4.2099999999999999E-2</v>
      </c>
      <c r="CD333">
        <v>4.4109990000000003</v>
      </c>
      <c r="CE333">
        <v>12.177999</v>
      </c>
      <c r="CF333">
        <v>15.700200000000001</v>
      </c>
      <c r="CG333">
        <v>18.533200999999998</v>
      </c>
      <c r="CH333">
        <v>19.875499999999999</v>
      </c>
      <c r="CI333">
        <v>20.6206</v>
      </c>
      <c r="CJ333">
        <v>21.324902000000002</v>
      </c>
      <c r="CK333">
        <v>21.676500000000001</v>
      </c>
      <c r="CL333">
        <v>22.0228</v>
      </c>
      <c r="CM333">
        <v>22.853999999999999</v>
      </c>
      <c r="CN333">
        <v>23.319651</v>
      </c>
      <c r="CO333">
        <v>24.447901000000002</v>
      </c>
      <c r="CP333">
        <v>0.62935600000000003</v>
      </c>
      <c r="CQ333">
        <v>17.880597999999999</v>
      </c>
      <c r="CR333">
        <v>18.793806</v>
      </c>
      <c r="CS333">
        <v>24</v>
      </c>
      <c r="CT333">
        <v>364</v>
      </c>
      <c r="CU333">
        <v>91.899826000000004</v>
      </c>
      <c r="CV333">
        <v>34.793650999999997</v>
      </c>
      <c r="CW333">
        <v>57.383698000000003</v>
      </c>
      <c r="CX333">
        <v>3292.8888229999998</v>
      </c>
      <c r="CY333">
        <v>0.62441599999999997</v>
      </c>
      <c r="CZ333">
        <v>70.25</v>
      </c>
      <c r="DA333">
        <v>1.548116</v>
      </c>
      <c r="DB333">
        <v>6.0538090000000002</v>
      </c>
      <c r="DC333">
        <v>44.05415</v>
      </c>
      <c r="DD333">
        <v>91.899826000000004</v>
      </c>
      <c r="DE333">
        <v>29.931194000000001</v>
      </c>
      <c r="DF333">
        <v>8.366949</v>
      </c>
      <c r="DG333">
        <v>3.9397579999999999</v>
      </c>
      <c r="DH333">
        <v>0.32569399999999998</v>
      </c>
      <c r="DI333">
        <v>0.27953899999999998</v>
      </c>
      <c r="DJ333">
        <v>0.13162699999999999</v>
      </c>
      <c r="DK333">
        <v>27</v>
      </c>
      <c r="DL333">
        <v>32</v>
      </c>
      <c r="DM333">
        <v>37</v>
      </c>
      <c r="DN333">
        <v>44.399994</v>
      </c>
      <c r="DO333">
        <v>48.75</v>
      </c>
      <c r="DP333">
        <v>52</v>
      </c>
      <c r="DQ333">
        <v>63</v>
      </c>
      <c r="DR333">
        <v>76</v>
      </c>
      <c r="DS333">
        <v>93</v>
      </c>
      <c r="DT333">
        <v>110.900024</v>
      </c>
      <c r="DU333">
        <v>119</v>
      </c>
      <c r="DV333">
        <v>131</v>
      </c>
      <c r="DW333">
        <v>164.300049</v>
      </c>
      <c r="DX333">
        <v>203</v>
      </c>
      <c r="DY333">
        <v>287.65014600000001</v>
      </c>
      <c r="DZ333">
        <v>95.238095000000001</v>
      </c>
      <c r="EA333">
        <v>81.358885000000001</v>
      </c>
      <c r="EB333">
        <v>134.77633499999999</v>
      </c>
      <c r="EC333">
        <v>660</v>
      </c>
      <c r="ED333">
        <v>934</v>
      </c>
      <c r="EE333">
        <v>88.455988000000005</v>
      </c>
      <c r="EF333">
        <v>100</v>
      </c>
      <c r="EG333">
        <v>69.512195000000006</v>
      </c>
      <c r="EH333">
        <v>99.825783999999999</v>
      </c>
      <c r="EI333">
        <v>115.151515</v>
      </c>
      <c r="EJ333">
        <v>165.367965</v>
      </c>
      <c r="EK333">
        <v>613</v>
      </c>
      <c r="EL333">
        <v>693</v>
      </c>
      <c r="EM333">
        <v>798</v>
      </c>
      <c r="EN333">
        <v>1146</v>
      </c>
      <c r="EO333">
        <v>693</v>
      </c>
      <c r="EP333">
        <v>1148</v>
      </c>
      <c r="EQ333">
        <v>63.615898999999999</v>
      </c>
    </row>
    <row r="334" spans="1:147" x14ac:dyDescent="0.25">
      <c r="A334">
        <v>2025</v>
      </c>
      <c r="B334" t="str">
        <f t="shared" si="10"/>
        <v>GN</v>
      </c>
      <c r="C334" t="s">
        <v>1715</v>
      </c>
      <c r="D334" t="s">
        <v>1715</v>
      </c>
      <c r="E334">
        <v>27833</v>
      </c>
      <c r="F334" t="s">
        <v>1706</v>
      </c>
      <c r="G334" t="s">
        <v>1707</v>
      </c>
      <c r="H334" t="s">
        <v>1708</v>
      </c>
      <c r="I334">
        <v>71.2</v>
      </c>
      <c r="J334">
        <v>71.2</v>
      </c>
      <c r="K334" t="s">
        <v>415</v>
      </c>
      <c r="L334">
        <v>1</v>
      </c>
      <c r="M334">
        <v>2020</v>
      </c>
      <c r="O334" t="str">
        <f t="shared" si="11"/>
        <v>Alto fuste</v>
      </c>
      <c r="P334" s="2">
        <v>44152</v>
      </c>
      <c r="Q334" t="s">
        <v>174</v>
      </c>
      <c r="R334" t="s">
        <v>427</v>
      </c>
      <c r="S334" t="s">
        <v>154</v>
      </c>
      <c r="T334" t="s">
        <v>279</v>
      </c>
      <c r="U334" t="s">
        <v>1709</v>
      </c>
      <c r="V334" s="2">
        <v>45734</v>
      </c>
      <c r="W334" t="s">
        <v>1710</v>
      </c>
      <c r="X334">
        <v>133.6</v>
      </c>
      <c r="Y334">
        <v>21.4</v>
      </c>
      <c r="Z334">
        <v>6</v>
      </c>
      <c r="AA334">
        <v>15.6</v>
      </c>
      <c r="AB334">
        <v>2</v>
      </c>
      <c r="AC334">
        <v>333.84</v>
      </c>
      <c r="AD334">
        <v>331.80893730371298</v>
      </c>
      <c r="AE334" s="2">
        <v>45734</v>
      </c>
      <c r="AF334">
        <v>52</v>
      </c>
      <c r="AG334">
        <v>4.3312799452429802</v>
      </c>
      <c r="AH334">
        <v>24.861210341964501</v>
      </c>
      <c r="AI334">
        <v>16.272727272727298</v>
      </c>
      <c r="AJ334">
        <v>21.640758130049399</v>
      </c>
      <c r="AK334">
        <v>33</v>
      </c>
      <c r="AL334">
        <v>994.54825623923205</v>
      </c>
      <c r="AM334">
        <v>249.051133861653</v>
      </c>
      <c r="AN334">
        <v>0.25041633957854398</v>
      </c>
      <c r="AO334" t="s">
        <v>427</v>
      </c>
      <c r="AP334" t="s">
        <v>158</v>
      </c>
      <c r="AQ334" t="s">
        <v>1711</v>
      </c>
      <c r="AR334">
        <v>9</v>
      </c>
      <c r="AS334">
        <v>0.89509343061530777</v>
      </c>
      <c r="AT334" t="s">
        <v>1716</v>
      </c>
      <c r="AU334" t="s">
        <v>1715</v>
      </c>
      <c r="AV334">
        <v>1587</v>
      </c>
      <c r="AW334">
        <v>936</v>
      </c>
      <c r="AX334">
        <v>483</v>
      </c>
      <c r="AY334">
        <v>148</v>
      </c>
      <c r="AZ334">
        <v>20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27.016000999999999</v>
      </c>
      <c r="BI334">
        <v>16.673469000000001</v>
      </c>
      <c r="BJ334">
        <v>0</v>
      </c>
      <c r="BK334">
        <v>9.6320599999999992</v>
      </c>
      <c r="BL334">
        <v>92.776585999999995</v>
      </c>
      <c r="BM334">
        <v>0.57768799999999998</v>
      </c>
      <c r="BN334">
        <v>14.568500999999999</v>
      </c>
      <c r="BO334">
        <v>-0.930732</v>
      </c>
      <c r="BP334">
        <v>2.1292019999999998</v>
      </c>
      <c r="BQ334">
        <v>8.3112490000000001</v>
      </c>
      <c r="BR334">
        <v>2.879</v>
      </c>
      <c r="BS334">
        <v>21.585999999999999</v>
      </c>
      <c r="BT334">
        <v>16.673469000000001</v>
      </c>
      <c r="BU334">
        <v>4.9640649999999997</v>
      </c>
      <c r="BV334">
        <v>-1.5407249999999999</v>
      </c>
      <c r="BW334">
        <v>3.0173999999999999E-2</v>
      </c>
      <c r="BX334">
        <v>0.29772199999999999</v>
      </c>
      <c r="BY334">
        <v>-0.31037599999999999</v>
      </c>
      <c r="BZ334">
        <v>6.0790000000000002E-3</v>
      </c>
      <c r="CA334">
        <v>3.8600000000000001E-3</v>
      </c>
      <c r="CB334">
        <v>1.83E-2</v>
      </c>
      <c r="CC334">
        <v>5.0599999999999999E-2</v>
      </c>
      <c r="CD334">
        <v>0.98660000000000003</v>
      </c>
      <c r="CE334">
        <v>9.0754999999999999</v>
      </c>
      <c r="CF334">
        <v>15.7424</v>
      </c>
      <c r="CG334">
        <v>20.240998999999999</v>
      </c>
      <c r="CH334">
        <v>21.585999999999999</v>
      </c>
      <c r="CI334">
        <v>22.414000000000001</v>
      </c>
      <c r="CJ334">
        <v>23.297799999999999</v>
      </c>
      <c r="CK334">
        <v>23.644000999999999</v>
      </c>
      <c r="CL334">
        <v>24.070601</v>
      </c>
      <c r="CM334">
        <v>24.999801999999999</v>
      </c>
      <c r="CN334">
        <v>25.497399999999999</v>
      </c>
      <c r="CO334">
        <v>26.312539999999998</v>
      </c>
      <c r="CP334">
        <v>0.61717</v>
      </c>
      <c r="CQ334">
        <v>19.254159999999999</v>
      </c>
      <c r="CR334">
        <v>20.361659</v>
      </c>
      <c r="CS334">
        <v>23</v>
      </c>
      <c r="CT334">
        <v>328</v>
      </c>
      <c r="CU334">
        <v>82.464398000000003</v>
      </c>
      <c r="CV334">
        <v>37.523809999999997</v>
      </c>
      <c r="CW334">
        <v>47.04589</v>
      </c>
      <c r="CX334">
        <v>2213.315724</v>
      </c>
      <c r="CY334">
        <v>0.57049899999999998</v>
      </c>
      <c r="CZ334">
        <v>60</v>
      </c>
      <c r="DA334">
        <v>1.4373549999999999</v>
      </c>
      <c r="DB334">
        <v>5.4451070000000001</v>
      </c>
      <c r="DC334">
        <v>36.451621000000003</v>
      </c>
      <c r="DD334">
        <v>82.464398000000003</v>
      </c>
      <c r="DE334">
        <v>24.751923000000001</v>
      </c>
      <c r="DF334">
        <v>6.8689640000000001</v>
      </c>
      <c r="DG334">
        <v>3.1634630000000001</v>
      </c>
      <c r="DH334">
        <v>0.300153</v>
      </c>
      <c r="DI334">
        <v>0.27751199999999998</v>
      </c>
      <c r="DJ334">
        <v>0.127807</v>
      </c>
      <c r="DK334">
        <v>29</v>
      </c>
      <c r="DL334">
        <v>33</v>
      </c>
      <c r="DM334">
        <v>37</v>
      </c>
      <c r="DN334">
        <v>43</v>
      </c>
      <c r="DO334">
        <v>47</v>
      </c>
      <c r="DP334">
        <v>51</v>
      </c>
      <c r="DQ334">
        <v>59</v>
      </c>
      <c r="DR334">
        <v>70</v>
      </c>
      <c r="DS334">
        <v>80</v>
      </c>
      <c r="DT334">
        <v>95</v>
      </c>
      <c r="DU334">
        <v>107</v>
      </c>
      <c r="DV334">
        <v>118</v>
      </c>
      <c r="DW334">
        <v>147</v>
      </c>
      <c r="DX334">
        <v>176</v>
      </c>
      <c r="DY334">
        <v>238.14001500000001</v>
      </c>
      <c r="DZ334">
        <v>96.688034000000002</v>
      </c>
      <c r="EA334">
        <v>77.126654000000002</v>
      </c>
      <c r="EB334">
        <v>130.76923099999999</v>
      </c>
      <c r="EC334">
        <v>905</v>
      </c>
      <c r="ED334">
        <v>1224</v>
      </c>
      <c r="EE334">
        <v>93.055555999999996</v>
      </c>
      <c r="EF334">
        <v>100</v>
      </c>
      <c r="EG334">
        <v>69.124133999999998</v>
      </c>
      <c r="EH334">
        <v>99.936987999999999</v>
      </c>
      <c r="EI334">
        <v>117.200855</v>
      </c>
      <c r="EJ334">
        <v>169.444444</v>
      </c>
      <c r="EK334">
        <v>871</v>
      </c>
      <c r="EL334">
        <v>936</v>
      </c>
      <c r="EM334">
        <v>1097</v>
      </c>
      <c r="EN334">
        <v>1586</v>
      </c>
      <c r="EO334">
        <v>936</v>
      </c>
      <c r="EP334">
        <v>1587</v>
      </c>
      <c r="EQ334">
        <v>62.398211000000003</v>
      </c>
    </row>
    <row r="335" spans="1:147" x14ac:dyDescent="0.25">
      <c r="A335">
        <v>2025</v>
      </c>
      <c r="B335" t="str">
        <f t="shared" si="10"/>
        <v>GN</v>
      </c>
      <c r="C335" t="s">
        <v>1717</v>
      </c>
      <c r="D335" t="s">
        <v>1717</v>
      </c>
      <c r="E335">
        <v>27517</v>
      </c>
      <c r="F335" t="s">
        <v>1718</v>
      </c>
      <c r="G335" t="s">
        <v>1719</v>
      </c>
      <c r="H335" t="s">
        <v>1720</v>
      </c>
      <c r="I335">
        <v>61.69</v>
      </c>
      <c r="J335">
        <v>61.69</v>
      </c>
      <c r="K335" t="s">
        <v>199</v>
      </c>
      <c r="L335">
        <v>1</v>
      </c>
      <c r="M335">
        <v>2020</v>
      </c>
      <c r="O335" t="str">
        <f t="shared" si="11"/>
        <v>Alto fuste</v>
      </c>
      <c r="P335" s="2">
        <v>43889</v>
      </c>
      <c r="Q335" t="s">
        <v>174</v>
      </c>
      <c r="R335" t="s">
        <v>165</v>
      </c>
      <c r="S335" t="s">
        <v>154</v>
      </c>
      <c r="T335" t="s">
        <v>199</v>
      </c>
      <c r="U335" t="s">
        <v>156</v>
      </c>
      <c r="V335" s="2">
        <v>44756</v>
      </c>
      <c r="W335" t="s">
        <v>1721</v>
      </c>
      <c r="X335">
        <v>114.67</v>
      </c>
      <c r="Y335">
        <v>21.4</v>
      </c>
      <c r="Z335">
        <v>17</v>
      </c>
      <c r="AA335">
        <v>15.2</v>
      </c>
      <c r="AB335">
        <v>0</v>
      </c>
      <c r="AC335">
        <v>325.27999999999997</v>
      </c>
      <c r="AD335">
        <v>311.06681101965597</v>
      </c>
      <c r="AE335" s="2">
        <v>45733</v>
      </c>
      <c r="AF335">
        <v>61</v>
      </c>
      <c r="AG335">
        <v>5.0485968514715998</v>
      </c>
      <c r="AH335">
        <v>30.3193548387097</v>
      </c>
      <c r="AI335">
        <v>18.038709677419401</v>
      </c>
      <c r="AJ335">
        <v>25.873184973569298</v>
      </c>
      <c r="AK335">
        <v>31</v>
      </c>
      <c r="AL335">
        <v>996.570476238982</v>
      </c>
      <c r="AM335">
        <v>354.94614946327999</v>
      </c>
      <c r="AN335">
        <v>0.35616763482983499</v>
      </c>
      <c r="AO335" t="s">
        <v>165</v>
      </c>
      <c r="AP335" t="s">
        <v>158</v>
      </c>
      <c r="AQ335" t="s">
        <v>281</v>
      </c>
      <c r="AR335">
        <v>9</v>
      </c>
      <c r="AS335">
        <v>0.89691342861508394</v>
      </c>
      <c r="AT335" t="s">
        <v>1722</v>
      </c>
      <c r="AU335" t="s">
        <v>1717</v>
      </c>
      <c r="AV335">
        <v>1216</v>
      </c>
      <c r="AW335">
        <v>653</v>
      </c>
      <c r="AX335">
        <v>433</v>
      </c>
      <c r="AY335">
        <v>117</v>
      </c>
      <c r="AZ335">
        <v>13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32.733001999999999</v>
      </c>
      <c r="BI335">
        <v>14.745187</v>
      </c>
      <c r="BJ335">
        <v>0</v>
      </c>
      <c r="BK335">
        <v>13.336</v>
      </c>
      <c r="BL335">
        <v>177.848894</v>
      </c>
      <c r="BM335">
        <v>0.90443099999999998</v>
      </c>
      <c r="BN335">
        <v>28.31625</v>
      </c>
      <c r="BO335">
        <v>1.5452E-2</v>
      </c>
      <c r="BP335">
        <v>1.132136</v>
      </c>
      <c r="BQ335">
        <v>12.915523</v>
      </c>
      <c r="BR335">
        <v>13.736499999999999</v>
      </c>
      <c r="BS335">
        <v>13.837999999999999</v>
      </c>
      <c r="BT335">
        <v>14.745187</v>
      </c>
      <c r="BU335">
        <v>7.2262360000000001</v>
      </c>
      <c r="BV335">
        <v>0.154859</v>
      </c>
      <c r="BW335">
        <v>-1.4284349999999999</v>
      </c>
      <c r="BX335">
        <v>0.49007400000000001</v>
      </c>
      <c r="BY335">
        <v>2.1430000000000001E-2</v>
      </c>
      <c r="BZ335">
        <v>-0.19767299999999999</v>
      </c>
      <c r="CA335">
        <v>2.15E-3</v>
      </c>
      <c r="CB335">
        <v>1.4749999999999999E-2</v>
      </c>
      <c r="CC335">
        <v>3.95E-2</v>
      </c>
      <c r="CD335">
        <v>0.18099999999999999</v>
      </c>
      <c r="CE335">
        <v>0.34325</v>
      </c>
      <c r="CF335">
        <v>0.71450000000000002</v>
      </c>
      <c r="CG335">
        <v>2.3690000000000002</v>
      </c>
      <c r="CH335">
        <v>13.837999999999999</v>
      </c>
      <c r="CI335">
        <v>25.988001000000001</v>
      </c>
      <c r="CJ335">
        <v>28.109501000000002</v>
      </c>
      <c r="CK335">
        <v>28.659500000000001</v>
      </c>
      <c r="CL335">
        <v>29.24</v>
      </c>
      <c r="CM335">
        <v>29.973998999999999</v>
      </c>
      <c r="CN335">
        <v>30.686748999999999</v>
      </c>
      <c r="CO335">
        <v>31.405701000000001</v>
      </c>
      <c r="CP335">
        <v>0.45046900000000001</v>
      </c>
      <c r="CQ335">
        <v>19.877704999999999</v>
      </c>
      <c r="CR335">
        <v>22.309194999999999</v>
      </c>
      <c r="CS335">
        <v>23</v>
      </c>
      <c r="CT335">
        <v>531</v>
      </c>
      <c r="CU335">
        <v>112.731908</v>
      </c>
      <c r="CV335">
        <v>31.063492</v>
      </c>
      <c r="CW335">
        <v>80.795309000000003</v>
      </c>
      <c r="CX335">
        <v>6527.881977</v>
      </c>
      <c r="CY335">
        <v>0.71670299999999998</v>
      </c>
      <c r="CZ335">
        <v>101</v>
      </c>
      <c r="DA335">
        <v>1.548645</v>
      </c>
      <c r="DB335">
        <v>5.877027</v>
      </c>
      <c r="DC335">
        <v>61.659495999999997</v>
      </c>
      <c r="DD335">
        <v>112.731908</v>
      </c>
      <c r="DE335">
        <v>42.033109000000003</v>
      </c>
      <c r="DF335">
        <v>12.046613000000001</v>
      </c>
      <c r="DG335">
        <v>5.6074580000000003</v>
      </c>
      <c r="DH335">
        <v>0.372859</v>
      </c>
      <c r="DI335">
        <v>0.28659800000000002</v>
      </c>
      <c r="DJ335">
        <v>0.133406</v>
      </c>
      <c r="DK335">
        <v>26</v>
      </c>
      <c r="DL335">
        <v>30</v>
      </c>
      <c r="DM335">
        <v>35</v>
      </c>
      <c r="DN335">
        <v>45</v>
      </c>
      <c r="DO335">
        <v>51</v>
      </c>
      <c r="DP335">
        <v>57</v>
      </c>
      <c r="DQ335">
        <v>72</v>
      </c>
      <c r="DR335">
        <v>93</v>
      </c>
      <c r="DS335">
        <v>114</v>
      </c>
      <c r="DT335">
        <v>137</v>
      </c>
      <c r="DU335">
        <v>152</v>
      </c>
      <c r="DV335">
        <v>164</v>
      </c>
      <c r="DW335">
        <v>215</v>
      </c>
      <c r="DX335">
        <v>276.5</v>
      </c>
      <c r="DY335">
        <v>397.84997600000003</v>
      </c>
      <c r="DZ335">
        <v>84.226646000000002</v>
      </c>
      <c r="EA335">
        <v>58.963816000000001</v>
      </c>
      <c r="EB335">
        <v>109.80091899999999</v>
      </c>
      <c r="EC335">
        <v>550</v>
      </c>
      <c r="ED335">
        <v>717</v>
      </c>
      <c r="EE335">
        <v>75.957121000000001</v>
      </c>
      <c r="EF335">
        <v>100</v>
      </c>
      <c r="EG335">
        <v>49.424342000000003</v>
      </c>
      <c r="EH335">
        <v>99.671053000000001</v>
      </c>
      <c r="EI335">
        <v>92.036753000000004</v>
      </c>
      <c r="EJ335">
        <v>185.60489999999999</v>
      </c>
      <c r="EK335">
        <v>496</v>
      </c>
      <c r="EL335">
        <v>653</v>
      </c>
      <c r="EM335">
        <v>601</v>
      </c>
      <c r="EN335">
        <v>1212</v>
      </c>
      <c r="EO335">
        <v>653</v>
      </c>
      <c r="EP335">
        <v>1216</v>
      </c>
      <c r="EQ335">
        <v>45.904617999999999</v>
      </c>
    </row>
    <row r="336" spans="1:147" x14ac:dyDescent="0.25">
      <c r="A336">
        <v>2025</v>
      </c>
      <c r="B336" t="str">
        <f t="shared" si="10"/>
        <v>GN</v>
      </c>
      <c r="C336" t="s">
        <v>1723</v>
      </c>
      <c r="D336" t="s">
        <v>1723</v>
      </c>
      <c r="E336">
        <v>27518</v>
      </c>
      <c r="F336" t="s">
        <v>1718</v>
      </c>
      <c r="G336" t="s">
        <v>1719</v>
      </c>
      <c r="H336" t="s">
        <v>1720</v>
      </c>
      <c r="I336">
        <v>61.69</v>
      </c>
      <c r="J336">
        <v>61.69</v>
      </c>
      <c r="K336" t="s">
        <v>199</v>
      </c>
      <c r="L336">
        <v>1</v>
      </c>
      <c r="M336">
        <v>2020</v>
      </c>
      <c r="O336" t="str">
        <f t="shared" si="11"/>
        <v>Alto fuste</v>
      </c>
      <c r="P336" s="2">
        <v>43889</v>
      </c>
      <c r="Q336" t="s">
        <v>174</v>
      </c>
      <c r="R336" t="s">
        <v>165</v>
      </c>
      <c r="S336" t="s">
        <v>154</v>
      </c>
      <c r="T336" t="s">
        <v>199</v>
      </c>
      <c r="U336" t="s">
        <v>156</v>
      </c>
      <c r="V336" s="2">
        <v>45733</v>
      </c>
      <c r="W336" t="s">
        <v>1721</v>
      </c>
      <c r="X336">
        <v>114.67</v>
      </c>
      <c r="Y336">
        <v>20</v>
      </c>
      <c r="Z336">
        <v>23</v>
      </c>
      <c r="AA336">
        <v>14.8</v>
      </c>
      <c r="AB336">
        <v>1</v>
      </c>
      <c r="AC336">
        <v>296</v>
      </c>
      <c r="AD336">
        <v>272.42793820699001</v>
      </c>
      <c r="AE336" s="2">
        <v>45733</v>
      </c>
      <c r="AF336">
        <v>61</v>
      </c>
      <c r="AG336">
        <v>5.0485968514715998</v>
      </c>
      <c r="AH336">
        <v>28.503448275862102</v>
      </c>
      <c r="AI336">
        <v>16.7793103448276</v>
      </c>
      <c r="AJ336">
        <v>23.697564569479798</v>
      </c>
      <c r="AK336">
        <v>29</v>
      </c>
      <c r="AL336">
        <v>1064.5016877074499</v>
      </c>
      <c r="AM336">
        <v>304.798595844521</v>
      </c>
      <c r="AN336">
        <v>0.28632983804933898</v>
      </c>
      <c r="AO336" t="s">
        <v>165</v>
      </c>
      <c r="AP336" t="s">
        <v>158</v>
      </c>
      <c r="AQ336" t="s">
        <v>281</v>
      </c>
      <c r="AR336">
        <v>9</v>
      </c>
      <c r="AS336">
        <v>0.95805151893669915</v>
      </c>
      <c r="AT336" t="s">
        <v>1724</v>
      </c>
      <c r="AU336" t="s">
        <v>1723</v>
      </c>
      <c r="AV336">
        <v>1085</v>
      </c>
      <c r="AW336">
        <v>618</v>
      </c>
      <c r="AX336">
        <v>336</v>
      </c>
      <c r="AY336">
        <v>118</v>
      </c>
      <c r="AZ336">
        <v>11</v>
      </c>
      <c r="BA336">
        <v>2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28.768000000000001</v>
      </c>
      <c r="BI336">
        <v>17.240773999999998</v>
      </c>
      <c r="BJ336">
        <v>0</v>
      </c>
      <c r="BK336">
        <v>11.144976</v>
      </c>
      <c r="BL336">
        <v>124.210499</v>
      </c>
      <c r="BM336">
        <v>0.64643099999999998</v>
      </c>
      <c r="BN336">
        <v>24.007999999999999</v>
      </c>
      <c r="BO336">
        <v>-0.75697899999999996</v>
      </c>
      <c r="BP336">
        <v>1.7125520000000001</v>
      </c>
      <c r="BQ336">
        <v>10.160705999999999</v>
      </c>
      <c r="BR336">
        <v>2.8720020000000002</v>
      </c>
      <c r="BS336">
        <v>23.466999000000001</v>
      </c>
      <c r="BT336">
        <v>17.240773999999998</v>
      </c>
      <c r="BU336">
        <v>5.7274139999999996</v>
      </c>
      <c r="BV336">
        <v>-1.5751029999999999</v>
      </c>
      <c r="BW336">
        <v>-0.33916000000000002</v>
      </c>
      <c r="BX336">
        <v>0.332202</v>
      </c>
      <c r="BY336">
        <v>-0.27501100000000001</v>
      </c>
      <c r="BZ336">
        <v>-5.9216999999999999E-2</v>
      </c>
      <c r="CA336">
        <v>1E-3</v>
      </c>
      <c r="CB336">
        <v>0.01</v>
      </c>
      <c r="CC336">
        <v>2.0400000000000001E-2</v>
      </c>
      <c r="CD336">
        <v>6.08E-2</v>
      </c>
      <c r="CE336">
        <v>1.623</v>
      </c>
      <c r="CF336">
        <v>8.6368050000000007</v>
      </c>
      <c r="CG336">
        <v>22.2988</v>
      </c>
      <c r="CH336">
        <v>23.466999000000001</v>
      </c>
      <c r="CI336">
        <v>24.3874</v>
      </c>
      <c r="CJ336">
        <v>25.223600000000001</v>
      </c>
      <c r="CK336">
        <v>25.631001000000001</v>
      </c>
      <c r="CL336">
        <v>26.052</v>
      </c>
      <c r="CM336">
        <v>26.882000000000001</v>
      </c>
      <c r="CN336">
        <v>27.341602000000002</v>
      </c>
      <c r="CO336">
        <v>28.068161</v>
      </c>
      <c r="CP336">
        <v>0.59930399999999995</v>
      </c>
      <c r="CQ336">
        <v>20.526575999999999</v>
      </c>
      <c r="CR336">
        <v>21.895029999999998</v>
      </c>
      <c r="CS336">
        <v>20</v>
      </c>
      <c r="CT336">
        <v>646</v>
      </c>
      <c r="CU336">
        <v>143.578802</v>
      </c>
      <c r="CV336">
        <v>39.873016</v>
      </c>
      <c r="CW336">
        <v>111.019273</v>
      </c>
      <c r="CX336">
        <v>12325.279070000001</v>
      </c>
      <c r="CY336">
        <v>0.77322900000000006</v>
      </c>
      <c r="CZ336">
        <v>140</v>
      </c>
      <c r="DA336">
        <v>1.5807439999999999</v>
      </c>
      <c r="DB336">
        <v>5.8675179999999996</v>
      </c>
      <c r="DC336">
        <v>84.029705000000007</v>
      </c>
      <c r="DD336">
        <v>143.578802</v>
      </c>
      <c r="DE336">
        <v>57.465496999999999</v>
      </c>
      <c r="DF336">
        <v>16.679500999999998</v>
      </c>
      <c r="DG336">
        <v>8.0949570000000008</v>
      </c>
      <c r="DH336">
        <v>0.40023700000000001</v>
      </c>
      <c r="DI336">
        <v>0.29025200000000001</v>
      </c>
      <c r="DJ336">
        <v>0.14086599999999999</v>
      </c>
      <c r="DK336">
        <v>25</v>
      </c>
      <c r="DL336">
        <v>31</v>
      </c>
      <c r="DM336">
        <v>38</v>
      </c>
      <c r="DN336">
        <v>51</v>
      </c>
      <c r="DO336">
        <v>58</v>
      </c>
      <c r="DP336">
        <v>68</v>
      </c>
      <c r="DQ336">
        <v>89</v>
      </c>
      <c r="DR336">
        <v>116</v>
      </c>
      <c r="DS336">
        <v>142</v>
      </c>
      <c r="DT336">
        <v>178</v>
      </c>
      <c r="DU336">
        <v>198</v>
      </c>
      <c r="DV336">
        <v>218</v>
      </c>
      <c r="DW336">
        <v>272</v>
      </c>
      <c r="DX336">
        <v>372.00024400000001</v>
      </c>
      <c r="DY336">
        <v>536.32006799999999</v>
      </c>
      <c r="DZ336">
        <v>92.233009999999993</v>
      </c>
      <c r="EA336">
        <v>73.271889000000002</v>
      </c>
      <c r="EB336">
        <v>128.64077700000001</v>
      </c>
      <c r="EC336">
        <v>570</v>
      </c>
      <c r="ED336">
        <v>795</v>
      </c>
      <c r="EE336">
        <v>87.864078000000006</v>
      </c>
      <c r="EF336">
        <v>100</v>
      </c>
      <c r="EG336">
        <v>67.373272</v>
      </c>
      <c r="EH336">
        <v>99.447005000000004</v>
      </c>
      <c r="EI336">
        <v>118.28479</v>
      </c>
      <c r="EJ336">
        <v>174.59546900000001</v>
      </c>
      <c r="EK336">
        <v>543</v>
      </c>
      <c r="EL336">
        <v>618</v>
      </c>
      <c r="EM336">
        <v>731</v>
      </c>
      <c r="EN336">
        <v>1079</v>
      </c>
      <c r="EO336">
        <v>618</v>
      </c>
      <c r="EP336">
        <v>1085</v>
      </c>
      <c r="EQ336">
        <v>60.425049000000001</v>
      </c>
    </row>
    <row r="337" spans="1:147" x14ac:dyDescent="0.25">
      <c r="A337">
        <v>2025</v>
      </c>
      <c r="B337" t="str">
        <f t="shared" si="10"/>
        <v>GN</v>
      </c>
      <c r="C337" t="s">
        <v>1725</v>
      </c>
      <c r="D337" t="s">
        <v>1725</v>
      </c>
      <c r="E337">
        <v>27519</v>
      </c>
      <c r="F337" t="s">
        <v>1718</v>
      </c>
      <c r="G337" t="s">
        <v>1719</v>
      </c>
      <c r="H337" t="s">
        <v>1720</v>
      </c>
      <c r="I337">
        <v>61.69</v>
      </c>
      <c r="J337">
        <v>61.69</v>
      </c>
      <c r="K337" t="s">
        <v>199</v>
      </c>
      <c r="L337">
        <v>1</v>
      </c>
      <c r="M337">
        <v>2020</v>
      </c>
      <c r="O337" t="str">
        <f t="shared" si="11"/>
        <v>Alto fuste</v>
      </c>
      <c r="P337" s="2">
        <v>43889</v>
      </c>
      <c r="Q337" t="s">
        <v>174</v>
      </c>
      <c r="R337" t="s">
        <v>165</v>
      </c>
      <c r="S337" t="s">
        <v>154</v>
      </c>
      <c r="T337" t="s">
        <v>199</v>
      </c>
      <c r="U337" t="s">
        <v>156</v>
      </c>
      <c r="V337" s="2">
        <v>44757</v>
      </c>
      <c r="W337" t="s">
        <v>1721</v>
      </c>
      <c r="X337">
        <v>114.67</v>
      </c>
      <c r="Y337">
        <v>20.6</v>
      </c>
      <c r="Z337">
        <v>16</v>
      </c>
      <c r="AA337">
        <v>15.1</v>
      </c>
      <c r="AB337">
        <v>2</v>
      </c>
      <c r="AC337">
        <v>311.06</v>
      </c>
      <c r="AD337">
        <v>298.82791428709101</v>
      </c>
      <c r="AE337" s="2">
        <v>45733</v>
      </c>
      <c r="AF337">
        <v>61</v>
      </c>
      <c r="AG337">
        <v>5.0485968514715998</v>
      </c>
      <c r="AH337">
        <v>30.3612903225807</v>
      </c>
      <c r="AI337">
        <v>16.6354838709677</v>
      </c>
      <c r="AJ337">
        <v>23.310716062924701</v>
      </c>
      <c r="AK337">
        <v>31</v>
      </c>
      <c r="AL337">
        <v>1037.38635240808</v>
      </c>
      <c r="AM337">
        <v>330.27672416948701</v>
      </c>
      <c r="AN337">
        <v>0.31837388587464699</v>
      </c>
      <c r="AO337" t="s">
        <v>165</v>
      </c>
      <c r="AP337" t="s">
        <v>158</v>
      </c>
      <c r="AQ337" t="s">
        <v>281</v>
      </c>
      <c r="AR337">
        <v>9</v>
      </c>
      <c r="AS337">
        <v>0.93364771716727291</v>
      </c>
      <c r="AT337" t="s">
        <v>1726</v>
      </c>
      <c r="AU337" t="s">
        <v>1725</v>
      </c>
      <c r="AV337">
        <v>1153</v>
      </c>
      <c r="AW337">
        <v>696</v>
      </c>
      <c r="AX337">
        <v>345</v>
      </c>
      <c r="AY337">
        <v>99</v>
      </c>
      <c r="AZ337">
        <v>12</v>
      </c>
      <c r="BA337">
        <v>1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30.687000000000001</v>
      </c>
      <c r="BI337">
        <v>16.571076999999999</v>
      </c>
      <c r="BJ337">
        <v>0</v>
      </c>
      <c r="BK337">
        <v>12.500102999999999</v>
      </c>
      <c r="BL337">
        <v>156.25258500000001</v>
      </c>
      <c r="BM337">
        <v>0.75433300000000003</v>
      </c>
      <c r="BN337">
        <v>26.499998999999999</v>
      </c>
      <c r="BO337">
        <v>-0.40842600000000001</v>
      </c>
      <c r="BP337">
        <v>1.2819069999999999</v>
      </c>
      <c r="BQ337">
        <v>11.961888999999999</v>
      </c>
      <c r="BR337">
        <v>4.2589990000000002</v>
      </c>
      <c r="BS337">
        <v>24.697001</v>
      </c>
      <c r="BT337">
        <v>16.571076999999999</v>
      </c>
      <c r="BU337">
        <v>6.6299760000000001</v>
      </c>
      <c r="BV337">
        <v>-1.0066539999999999</v>
      </c>
      <c r="BW337">
        <v>-0.98247200000000001</v>
      </c>
      <c r="BX337">
        <v>0.40009299999999998</v>
      </c>
      <c r="BY337">
        <v>-0.151834</v>
      </c>
      <c r="BZ337">
        <v>-0.14818600000000001</v>
      </c>
      <c r="CA337">
        <v>3.0000000000000001E-3</v>
      </c>
      <c r="CB337">
        <v>2.1999999999999999E-2</v>
      </c>
      <c r="CC337">
        <v>4.7E-2</v>
      </c>
      <c r="CD337">
        <v>0.224</v>
      </c>
      <c r="CE337">
        <v>0.55700000000000005</v>
      </c>
      <c r="CF337">
        <v>1.4738009999999999</v>
      </c>
      <c r="CG337">
        <v>14.1676</v>
      </c>
      <c r="CH337">
        <v>24.697001</v>
      </c>
      <c r="CI337">
        <v>25.812601000000001</v>
      </c>
      <c r="CJ337">
        <v>26.6266</v>
      </c>
      <c r="CK337">
        <v>27.056999000000001</v>
      </c>
      <c r="CL337">
        <v>27.575800000000001</v>
      </c>
      <c r="CM337">
        <v>28.719200000000001</v>
      </c>
      <c r="CN337">
        <v>29.409400999999999</v>
      </c>
      <c r="CO337">
        <v>30.389959000000001</v>
      </c>
      <c r="CP337">
        <v>0.54000300000000001</v>
      </c>
      <c r="CQ337">
        <v>20.753738999999999</v>
      </c>
      <c r="CR337">
        <v>22.581247999999999</v>
      </c>
      <c r="CS337">
        <v>24</v>
      </c>
      <c r="CT337">
        <v>594</v>
      </c>
      <c r="CU337">
        <v>130.84562</v>
      </c>
      <c r="CV337">
        <v>33.047618999999997</v>
      </c>
      <c r="CW337">
        <v>99.321056999999996</v>
      </c>
      <c r="CX337">
        <v>9864.6723270000002</v>
      </c>
      <c r="CY337">
        <v>0.75907100000000005</v>
      </c>
      <c r="CZ337">
        <v>110</v>
      </c>
      <c r="DA337">
        <v>1.6565840000000001</v>
      </c>
      <c r="DB337">
        <v>5.8758239999999997</v>
      </c>
      <c r="DC337">
        <v>73.496035000000006</v>
      </c>
      <c r="DD337">
        <v>130.84562</v>
      </c>
      <c r="DE337">
        <v>50.686371999999999</v>
      </c>
      <c r="DF337">
        <v>16.066398</v>
      </c>
      <c r="DG337">
        <v>8.5278650000000003</v>
      </c>
      <c r="DH337">
        <v>0.38737500000000002</v>
      </c>
      <c r="DI337">
        <v>0.31697700000000001</v>
      </c>
      <c r="DJ337">
        <v>0.16824800000000001</v>
      </c>
      <c r="DK337">
        <v>27</v>
      </c>
      <c r="DL337">
        <v>33</v>
      </c>
      <c r="DM337">
        <v>38</v>
      </c>
      <c r="DN337">
        <v>51.399994</v>
      </c>
      <c r="DO337">
        <v>59</v>
      </c>
      <c r="DP337">
        <v>66.600005999999993</v>
      </c>
      <c r="DQ337">
        <v>84</v>
      </c>
      <c r="DR337">
        <v>104</v>
      </c>
      <c r="DS337">
        <v>126</v>
      </c>
      <c r="DT337">
        <v>151.400024</v>
      </c>
      <c r="DU337">
        <v>169</v>
      </c>
      <c r="DV337">
        <v>189</v>
      </c>
      <c r="DW337">
        <v>258.800049</v>
      </c>
      <c r="DX337">
        <v>354.800049</v>
      </c>
      <c r="DY337">
        <v>473.43994099999998</v>
      </c>
      <c r="DZ337">
        <v>87.356322000000006</v>
      </c>
      <c r="EA337">
        <v>65.915003999999996</v>
      </c>
      <c r="EB337">
        <v>109.195402</v>
      </c>
      <c r="EC337">
        <v>608</v>
      </c>
      <c r="ED337">
        <v>760</v>
      </c>
      <c r="EE337">
        <v>81.321838999999997</v>
      </c>
      <c r="EF337">
        <v>100</v>
      </c>
      <c r="EG337">
        <v>59.496963999999998</v>
      </c>
      <c r="EH337">
        <v>99.913269999999997</v>
      </c>
      <c r="EI337">
        <v>98.563218000000006</v>
      </c>
      <c r="EJ337">
        <v>165.51724100000001</v>
      </c>
      <c r="EK337">
        <v>566</v>
      </c>
      <c r="EL337">
        <v>696</v>
      </c>
      <c r="EM337">
        <v>686</v>
      </c>
      <c r="EN337">
        <v>1152</v>
      </c>
      <c r="EO337">
        <v>696</v>
      </c>
      <c r="EP337">
        <v>1153</v>
      </c>
      <c r="EQ337">
        <v>53.512490999999997</v>
      </c>
    </row>
    <row r="338" spans="1:147" x14ac:dyDescent="0.25">
      <c r="A338">
        <v>2025</v>
      </c>
      <c r="B338" t="str">
        <f t="shared" si="10"/>
        <v>GN</v>
      </c>
      <c r="C338" t="s">
        <v>1727</v>
      </c>
      <c r="D338" t="s">
        <v>1727</v>
      </c>
      <c r="E338">
        <v>27520</v>
      </c>
      <c r="F338" t="s">
        <v>1718</v>
      </c>
      <c r="G338" t="s">
        <v>1719</v>
      </c>
      <c r="H338" t="s">
        <v>1720</v>
      </c>
      <c r="I338">
        <v>61.69</v>
      </c>
      <c r="J338">
        <v>61.69</v>
      </c>
      <c r="K338" t="s">
        <v>199</v>
      </c>
      <c r="L338">
        <v>1</v>
      </c>
      <c r="M338">
        <v>2020</v>
      </c>
      <c r="O338" t="str">
        <f t="shared" si="11"/>
        <v>Alto fuste</v>
      </c>
      <c r="P338" s="2">
        <v>43889</v>
      </c>
      <c r="Q338" t="s">
        <v>174</v>
      </c>
      <c r="R338" t="s">
        <v>165</v>
      </c>
      <c r="S338" t="s">
        <v>154</v>
      </c>
      <c r="T338" t="s">
        <v>199</v>
      </c>
      <c r="U338" t="s">
        <v>156</v>
      </c>
      <c r="V338" s="2">
        <v>45733</v>
      </c>
      <c r="W338" t="s">
        <v>1721</v>
      </c>
      <c r="X338">
        <v>114.67</v>
      </c>
      <c r="Y338">
        <v>19.8</v>
      </c>
      <c r="Z338">
        <v>24</v>
      </c>
      <c r="AA338">
        <v>15</v>
      </c>
      <c r="AB338">
        <v>4</v>
      </c>
      <c r="AC338">
        <v>297</v>
      </c>
      <c r="AD338">
        <v>270.66207172625798</v>
      </c>
      <c r="AE338" s="2">
        <v>45733</v>
      </c>
      <c r="AF338">
        <v>61</v>
      </c>
      <c r="AG338">
        <v>5.0485968514715998</v>
      </c>
      <c r="AH338">
        <v>29.7068965517241</v>
      </c>
      <c r="AI338">
        <v>17.282758620689702</v>
      </c>
      <c r="AJ338">
        <v>25.589983347767699</v>
      </c>
      <c r="AK338">
        <v>29</v>
      </c>
      <c r="AL338">
        <v>1071.4467607168101</v>
      </c>
      <c r="AM338">
        <v>346.833341192376</v>
      </c>
      <c r="AN338">
        <v>0.32370562300299499</v>
      </c>
      <c r="AO338" t="s">
        <v>165</v>
      </c>
      <c r="AP338" t="s">
        <v>158</v>
      </c>
      <c r="AQ338" t="s">
        <v>281</v>
      </c>
      <c r="AR338">
        <v>9</v>
      </c>
      <c r="AS338">
        <v>0.96430208464512901</v>
      </c>
      <c r="AT338" t="s">
        <v>1728</v>
      </c>
      <c r="AU338" t="s">
        <v>1727</v>
      </c>
      <c r="AV338">
        <v>1116</v>
      </c>
      <c r="AW338">
        <v>698</v>
      </c>
      <c r="AX338">
        <v>336</v>
      </c>
      <c r="AY338">
        <v>74</v>
      </c>
      <c r="AZ338">
        <v>7</v>
      </c>
      <c r="BA338">
        <v>1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31.198</v>
      </c>
      <c r="BI338">
        <v>17.821905000000001</v>
      </c>
      <c r="BJ338">
        <v>0</v>
      </c>
      <c r="BK338">
        <v>12.843344999999999</v>
      </c>
      <c r="BL338">
        <v>164.951517</v>
      </c>
      <c r="BM338">
        <v>0.72064899999999998</v>
      </c>
      <c r="BN338">
        <v>28.030249999999999</v>
      </c>
      <c r="BO338">
        <v>-0.56917600000000002</v>
      </c>
      <c r="BP338">
        <v>1.417751</v>
      </c>
      <c r="BQ338">
        <v>12.114072</v>
      </c>
      <c r="BR338">
        <v>3.3995009999999999</v>
      </c>
      <c r="BS338">
        <v>25.785999</v>
      </c>
      <c r="BT338">
        <v>17.821905000000001</v>
      </c>
      <c r="BU338">
        <v>6.6535580000000003</v>
      </c>
      <c r="BV338">
        <v>-1.4105540000000001</v>
      </c>
      <c r="BW338">
        <v>-0.83185399999999998</v>
      </c>
      <c r="BX338">
        <v>0.373336</v>
      </c>
      <c r="BY338">
        <v>-0.21199999999999999</v>
      </c>
      <c r="BZ338">
        <v>-0.125024</v>
      </c>
      <c r="CA338">
        <v>1.15E-3</v>
      </c>
      <c r="CB338">
        <v>8.0000000000000002E-3</v>
      </c>
      <c r="CC338">
        <v>1.7999999999999999E-2</v>
      </c>
      <c r="CD338">
        <v>4.7E-2</v>
      </c>
      <c r="CE338">
        <v>0.113</v>
      </c>
      <c r="CF338">
        <v>0.89100000000000001</v>
      </c>
      <c r="CG338">
        <v>24.070999</v>
      </c>
      <c r="CH338">
        <v>25.785999</v>
      </c>
      <c r="CI338">
        <v>26.827998999999998</v>
      </c>
      <c r="CJ338">
        <v>27.778500000000001</v>
      </c>
      <c r="CK338">
        <v>28.143249999999998</v>
      </c>
      <c r="CL338">
        <v>28.568000999999999</v>
      </c>
      <c r="CM338">
        <v>29.441500000000001</v>
      </c>
      <c r="CN338">
        <v>29.861000000000001</v>
      </c>
      <c r="CO338">
        <v>30.566099000000001</v>
      </c>
      <c r="CP338">
        <v>0.57125199999999998</v>
      </c>
      <c r="CQ338">
        <v>21.964153</v>
      </c>
      <c r="CR338">
        <v>23.673351</v>
      </c>
      <c r="CS338">
        <v>20</v>
      </c>
      <c r="CT338">
        <v>508</v>
      </c>
      <c r="CU338">
        <v>130.827957</v>
      </c>
      <c r="CV338">
        <v>35.492063000000002</v>
      </c>
      <c r="CW338">
        <v>95.062107999999995</v>
      </c>
      <c r="CX338">
        <v>9036.8044549999995</v>
      </c>
      <c r="CY338">
        <v>0.72661900000000001</v>
      </c>
      <c r="CZ338">
        <v>109</v>
      </c>
      <c r="DA338">
        <v>1.506794</v>
      </c>
      <c r="DB338">
        <v>5.2249319999999999</v>
      </c>
      <c r="DC338">
        <v>71.829576000000003</v>
      </c>
      <c r="DD338">
        <v>130.827957</v>
      </c>
      <c r="DE338">
        <v>49.313305</v>
      </c>
      <c r="DF338">
        <v>14.635840999999999</v>
      </c>
      <c r="DG338">
        <v>7.5912170000000003</v>
      </c>
      <c r="DH338">
        <v>0.37693199999999999</v>
      </c>
      <c r="DI338">
        <v>0.29679299999999997</v>
      </c>
      <c r="DJ338">
        <v>0.15393899999999999</v>
      </c>
      <c r="DK338">
        <v>26</v>
      </c>
      <c r="DL338">
        <v>33</v>
      </c>
      <c r="DM338">
        <v>39</v>
      </c>
      <c r="DN338">
        <v>54</v>
      </c>
      <c r="DO338">
        <v>60</v>
      </c>
      <c r="DP338">
        <v>67.5</v>
      </c>
      <c r="DQ338">
        <v>85</v>
      </c>
      <c r="DR338">
        <v>103.5</v>
      </c>
      <c r="DS338">
        <v>131</v>
      </c>
      <c r="DT338">
        <v>157</v>
      </c>
      <c r="DU338">
        <v>169</v>
      </c>
      <c r="DV338">
        <v>186</v>
      </c>
      <c r="DW338">
        <v>256.5</v>
      </c>
      <c r="DX338">
        <v>347</v>
      </c>
      <c r="DY338">
        <v>459.79980499999999</v>
      </c>
      <c r="DZ338">
        <v>86.962750999999997</v>
      </c>
      <c r="EA338">
        <v>67.473117999999999</v>
      </c>
      <c r="EB338">
        <v>107.879656</v>
      </c>
      <c r="EC338">
        <v>607</v>
      </c>
      <c r="ED338">
        <v>753</v>
      </c>
      <c r="EE338">
        <v>83.524355</v>
      </c>
      <c r="EF338">
        <v>100</v>
      </c>
      <c r="EG338">
        <v>63.351253999999997</v>
      </c>
      <c r="EH338">
        <v>99.283153999999996</v>
      </c>
      <c r="EI338">
        <v>101.28939800000001</v>
      </c>
      <c r="EJ338">
        <v>158.73925500000001</v>
      </c>
      <c r="EK338">
        <v>583</v>
      </c>
      <c r="EL338">
        <v>698</v>
      </c>
      <c r="EM338">
        <v>707</v>
      </c>
      <c r="EN338">
        <v>1108</v>
      </c>
      <c r="EO338">
        <v>698</v>
      </c>
      <c r="EP338">
        <v>1116</v>
      </c>
      <c r="EQ338">
        <v>57.352654999999999</v>
      </c>
    </row>
    <row r="339" spans="1:147" x14ac:dyDescent="0.25">
      <c r="A339">
        <v>2025</v>
      </c>
      <c r="B339" t="str">
        <f t="shared" si="10"/>
        <v>GN</v>
      </c>
      <c r="C339" t="s">
        <v>1729</v>
      </c>
      <c r="D339" t="s">
        <v>1729</v>
      </c>
      <c r="E339">
        <v>27329</v>
      </c>
      <c r="F339" t="s">
        <v>1730</v>
      </c>
      <c r="G339" t="s">
        <v>1731</v>
      </c>
      <c r="H339" t="s">
        <v>1732</v>
      </c>
      <c r="I339">
        <v>58.36</v>
      </c>
      <c r="J339">
        <v>58.36</v>
      </c>
      <c r="K339" t="s">
        <v>199</v>
      </c>
      <c r="L339">
        <v>1</v>
      </c>
      <c r="M339">
        <v>2019</v>
      </c>
      <c r="O339" t="str">
        <f t="shared" si="11"/>
        <v>Alto fuste</v>
      </c>
      <c r="P339" s="2">
        <v>43644</v>
      </c>
      <c r="Q339" t="s">
        <v>174</v>
      </c>
      <c r="R339" t="s">
        <v>695</v>
      </c>
      <c r="S339" t="s">
        <v>154</v>
      </c>
      <c r="T339" t="s">
        <v>199</v>
      </c>
      <c r="U339" t="s">
        <v>156</v>
      </c>
      <c r="V339" s="2">
        <v>44759</v>
      </c>
      <c r="W339" t="s">
        <v>1733</v>
      </c>
      <c r="X339">
        <v>386.79</v>
      </c>
      <c r="Y339">
        <v>20.7</v>
      </c>
      <c r="Z339">
        <v>9</v>
      </c>
      <c r="AA339">
        <v>15</v>
      </c>
      <c r="AB339">
        <v>4</v>
      </c>
      <c r="AC339">
        <v>310.5</v>
      </c>
      <c r="AD339">
        <v>305.93017943665097</v>
      </c>
      <c r="AE339" s="2">
        <v>45727</v>
      </c>
      <c r="AF339">
        <v>69</v>
      </c>
      <c r="AG339">
        <v>5.7029431895961702</v>
      </c>
      <c r="AH339">
        <v>31.841176470588199</v>
      </c>
      <c r="AI339">
        <v>18.044117647058801</v>
      </c>
      <c r="AJ339">
        <v>29.287173039575698</v>
      </c>
      <c r="AK339">
        <v>34</v>
      </c>
      <c r="AL339">
        <v>1111.3646931665501</v>
      </c>
      <c r="AM339">
        <v>432.85937674292899</v>
      </c>
      <c r="AN339">
        <v>0.38948454940529798</v>
      </c>
      <c r="AO339" t="s">
        <v>695</v>
      </c>
      <c r="AP339" t="s">
        <v>158</v>
      </c>
      <c r="AQ339" t="s">
        <v>281</v>
      </c>
      <c r="AR339">
        <v>9</v>
      </c>
      <c r="AS339">
        <v>1.000228223849891</v>
      </c>
      <c r="AT339" t="s">
        <v>1734</v>
      </c>
      <c r="AU339" t="s">
        <v>1729</v>
      </c>
      <c r="AV339">
        <v>1357</v>
      </c>
      <c r="AW339">
        <v>836</v>
      </c>
      <c r="AX339">
        <v>396</v>
      </c>
      <c r="AY339">
        <v>120</v>
      </c>
      <c r="AZ339">
        <v>4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33.835999000000001</v>
      </c>
      <c r="BI339">
        <v>19.616267000000001</v>
      </c>
      <c r="BJ339">
        <v>0</v>
      </c>
      <c r="BK339">
        <v>12.775544</v>
      </c>
      <c r="BL339">
        <v>163.21453500000001</v>
      </c>
      <c r="BM339">
        <v>0.65127299999999999</v>
      </c>
      <c r="BN339">
        <v>29.005001</v>
      </c>
      <c r="BO339">
        <v>-0.70554399999999995</v>
      </c>
      <c r="BP339">
        <v>1.727258</v>
      </c>
      <c r="BQ339">
        <v>11.425932</v>
      </c>
      <c r="BR339">
        <v>4.5730000000000004</v>
      </c>
      <c r="BS339">
        <v>26.388999999999999</v>
      </c>
      <c r="BT339">
        <v>19.616267000000001</v>
      </c>
      <c r="BU339">
        <v>6.7442209999999996</v>
      </c>
      <c r="BV339">
        <v>-1.612074</v>
      </c>
      <c r="BW339">
        <v>-0.470273</v>
      </c>
      <c r="BX339">
        <v>0.343808</v>
      </c>
      <c r="BY339">
        <v>-0.23902999999999999</v>
      </c>
      <c r="BZ339">
        <v>-6.973E-2</v>
      </c>
      <c r="CA339">
        <v>1.56E-3</v>
      </c>
      <c r="CB339">
        <v>1.38E-2</v>
      </c>
      <c r="CC339">
        <v>3.1E-2</v>
      </c>
      <c r="CD339">
        <v>0.1356</v>
      </c>
      <c r="CE339">
        <v>0.77800000000000002</v>
      </c>
      <c r="CF339">
        <v>15.165998</v>
      </c>
      <c r="CG339">
        <v>23.145603000000001</v>
      </c>
      <c r="CH339">
        <v>26.388999999999999</v>
      </c>
      <c r="CI339">
        <v>28.087799</v>
      </c>
      <c r="CJ339">
        <v>29.244199999999999</v>
      </c>
      <c r="CK339">
        <v>29.783000999999999</v>
      </c>
      <c r="CL339">
        <v>30.286200999999998</v>
      </c>
      <c r="CM339">
        <v>31.262599999999999</v>
      </c>
      <c r="CN339">
        <v>32.022998999999999</v>
      </c>
      <c r="CO339">
        <v>33.191833000000003</v>
      </c>
      <c r="CP339">
        <v>0.57974499999999995</v>
      </c>
      <c r="CQ339">
        <v>23.407097</v>
      </c>
      <c r="CR339">
        <v>25.027225000000001</v>
      </c>
      <c r="CS339">
        <v>24</v>
      </c>
      <c r="CT339">
        <v>465</v>
      </c>
      <c r="CU339">
        <v>119.747973</v>
      </c>
      <c r="CV339">
        <v>38</v>
      </c>
      <c r="CW339">
        <v>83.427109000000002</v>
      </c>
      <c r="CX339">
        <v>6960.082453</v>
      </c>
      <c r="CY339">
        <v>0.696689</v>
      </c>
      <c r="CZ339">
        <v>100</v>
      </c>
      <c r="DA339">
        <v>1.4671460000000001</v>
      </c>
      <c r="DB339">
        <v>5.2188920000000003</v>
      </c>
      <c r="DC339">
        <v>63.516384000000002</v>
      </c>
      <c r="DD339">
        <v>119.747973</v>
      </c>
      <c r="DE339">
        <v>43.590981999999997</v>
      </c>
      <c r="DF339">
        <v>12.382384</v>
      </c>
      <c r="DG339">
        <v>6.1044239999999999</v>
      </c>
      <c r="DH339">
        <v>0.36402299999999999</v>
      </c>
      <c r="DI339">
        <v>0.28405799999999998</v>
      </c>
      <c r="DJ339">
        <v>0.140039</v>
      </c>
      <c r="DK339">
        <v>26.560001</v>
      </c>
      <c r="DL339">
        <v>33</v>
      </c>
      <c r="DM339">
        <v>39</v>
      </c>
      <c r="DN339">
        <v>50</v>
      </c>
      <c r="DO339">
        <v>57</v>
      </c>
      <c r="DP339">
        <v>62</v>
      </c>
      <c r="DQ339">
        <v>81</v>
      </c>
      <c r="DR339">
        <v>97</v>
      </c>
      <c r="DS339">
        <v>120</v>
      </c>
      <c r="DT339">
        <v>142.20001199999999</v>
      </c>
      <c r="DU339">
        <v>157</v>
      </c>
      <c r="DV339">
        <v>177</v>
      </c>
      <c r="DW339">
        <v>225.800049</v>
      </c>
      <c r="DX339">
        <v>295.99975599999999</v>
      </c>
      <c r="DY339">
        <v>398.75976600000001</v>
      </c>
      <c r="DZ339">
        <v>89.593300999999997</v>
      </c>
      <c r="EA339">
        <v>72.365511999999995</v>
      </c>
      <c r="EB339">
        <v>117.46411500000001</v>
      </c>
      <c r="EC339">
        <v>749</v>
      </c>
      <c r="ED339">
        <v>982</v>
      </c>
      <c r="EE339">
        <v>84.090908999999996</v>
      </c>
      <c r="EF339">
        <v>100</v>
      </c>
      <c r="EG339">
        <v>64.554164</v>
      </c>
      <c r="EH339">
        <v>99.926308000000006</v>
      </c>
      <c r="EI339">
        <v>104.784689</v>
      </c>
      <c r="EJ339">
        <v>162.20095699999999</v>
      </c>
      <c r="EK339">
        <v>703</v>
      </c>
      <c r="EL339">
        <v>836</v>
      </c>
      <c r="EM339">
        <v>876</v>
      </c>
      <c r="EN339">
        <v>1356</v>
      </c>
      <c r="EO339">
        <v>836</v>
      </c>
      <c r="EP339">
        <v>1357</v>
      </c>
      <c r="EQ339">
        <v>58.092320000000001</v>
      </c>
    </row>
    <row r="340" spans="1:147" x14ac:dyDescent="0.25">
      <c r="A340">
        <v>2025</v>
      </c>
      <c r="B340" t="str">
        <f t="shared" si="10"/>
        <v>GN</v>
      </c>
      <c r="C340" t="s">
        <v>1735</v>
      </c>
      <c r="D340" t="s">
        <v>1735</v>
      </c>
      <c r="E340">
        <v>27861</v>
      </c>
      <c r="F340" t="s">
        <v>1736</v>
      </c>
      <c r="G340" t="s">
        <v>1737</v>
      </c>
      <c r="H340" t="s">
        <v>1738</v>
      </c>
      <c r="I340">
        <v>44.78</v>
      </c>
      <c r="J340">
        <v>44.78</v>
      </c>
      <c r="K340" t="s">
        <v>199</v>
      </c>
      <c r="L340">
        <v>1</v>
      </c>
      <c r="M340">
        <v>2020</v>
      </c>
      <c r="O340" t="str">
        <f t="shared" si="11"/>
        <v>Alto fuste</v>
      </c>
      <c r="P340" s="2">
        <v>44187</v>
      </c>
      <c r="Q340" t="s">
        <v>174</v>
      </c>
      <c r="R340" t="s">
        <v>695</v>
      </c>
      <c r="S340" t="s">
        <v>154</v>
      </c>
      <c r="T340" t="s">
        <v>199</v>
      </c>
      <c r="U340" t="s">
        <v>156</v>
      </c>
      <c r="V340" s="2">
        <v>45727</v>
      </c>
      <c r="W340" t="s">
        <v>1739</v>
      </c>
      <c r="X340">
        <v>83.440000000000012</v>
      </c>
      <c r="Y340">
        <v>19.3</v>
      </c>
      <c r="Z340">
        <v>3</v>
      </c>
      <c r="AA340">
        <v>15.3</v>
      </c>
      <c r="AB340">
        <v>1</v>
      </c>
      <c r="AC340">
        <v>295.29000000000002</v>
      </c>
      <c r="AD340">
        <v>294.84040285584598</v>
      </c>
      <c r="AE340" s="2">
        <v>45727</v>
      </c>
      <c r="AF340">
        <v>51</v>
      </c>
      <c r="AG340">
        <v>4.2162902121834396</v>
      </c>
      <c r="AH340">
        <v>27.0521739130435</v>
      </c>
      <c r="AI340">
        <v>18.021739130434799</v>
      </c>
      <c r="AJ340">
        <v>20.023230521558901</v>
      </c>
      <c r="AK340">
        <v>23</v>
      </c>
      <c r="AL340">
        <v>780.08304754776805</v>
      </c>
      <c r="AM340">
        <v>240.769043931478</v>
      </c>
      <c r="AN340">
        <v>0.30864539959988702</v>
      </c>
      <c r="AO340" t="s">
        <v>695</v>
      </c>
      <c r="AP340" t="s">
        <v>158</v>
      </c>
      <c r="AQ340" t="s">
        <v>281</v>
      </c>
      <c r="AR340">
        <v>9</v>
      </c>
      <c r="AS340">
        <v>0.7020747427929912</v>
      </c>
      <c r="AT340" t="s">
        <v>1740</v>
      </c>
      <c r="AU340" t="s">
        <v>1735</v>
      </c>
      <c r="AV340">
        <v>1125</v>
      </c>
      <c r="AW340">
        <v>699</v>
      </c>
      <c r="AX340">
        <v>338</v>
      </c>
      <c r="AY340">
        <v>77</v>
      </c>
      <c r="AZ340">
        <v>11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28.614999999999998</v>
      </c>
      <c r="BI340">
        <v>17.889893000000001</v>
      </c>
      <c r="BJ340">
        <v>0</v>
      </c>
      <c r="BK340">
        <v>10.884589999999999</v>
      </c>
      <c r="BL340">
        <v>118.4743</v>
      </c>
      <c r="BM340">
        <v>0.60842099999999999</v>
      </c>
      <c r="BN340">
        <v>25.255998999999999</v>
      </c>
      <c r="BO340">
        <v>-0.95404999999999995</v>
      </c>
      <c r="BP340">
        <v>2.0221689999999999</v>
      </c>
      <c r="BQ340">
        <v>9.5877160000000003</v>
      </c>
      <c r="BR340">
        <v>2.2860010000000002</v>
      </c>
      <c r="BS340">
        <v>23.573999000000001</v>
      </c>
      <c r="BT340">
        <v>17.889893000000001</v>
      </c>
      <c r="BU340">
        <v>5.3807159999999996</v>
      </c>
      <c r="BV340">
        <v>-1.8102579999999999</v>
      </c>
      <c r="BW340">
        <v>-4.0201000000000001E-2</v>
      </c>
      <c r="BX340">
        <v>0.30076799999999998</v>
      </c>
      <c r="BY340">
        <v>-0.33643400000000001</v>
      </c>
      <c r="BZ340">
        <v>-7.4710000000000002E-3</v>
      </c>
      <c r="CA340">
        <v>1E-3</v>
      </c>
      <c r="CB340">
        <v>7.0000000000000001E-3</v>
      </c>
      <c r="CC340">
        <v>1.2999999999999999E-2</v>
      </c>
      <c r="CD340">
        <v>3.6799999999999999E-2</v>
      </c>
      <c r="CE340">
        <v>0.25900000000000001</v>
      </c>
      <c r="CF340">
        <v>20.980399999999999</v>
      </c>
      <c r="CG340">
        <v>22.736598999999998</v>
      </c>
      <c r="CH340">
        <v>23.573999000000001</v>
      </c>
      <c r="CI340">
        <v>24.3934</v>
      </c>
      <c r="CJ340">
        <v>25.237998999999999</v>
      </c>
      <c r="CK340">
        <v>25.514999</v>
      </c>
      <c r="CL340">
        <v>25.837399999999999</v>
      </c>
      <c r="CM340">
        <v>26.500401</v>
      </c>
      <c r="CN340">
        <v>26.920798999999999</v>
      </c>
      <c r="CO340">
        <v>27.724321</v>
      </c>
      <c r="CP340">
        <v>0.625193</v>
      </c>
      <c r="CQ340">
        <v>20.938416</v>
      </c>
      <c r="CR340">
        <v>22.137737000000001</v>
      </c>
      <c r="CS340">
        <v>22</v>
      </c>
      <c r="CT340">
        <v>576</v>
      </c>
      <c r="CU340">
        <v>144.35466700000001</v>
      </c>
      <c r="CV340">
        <v>39.587302000000001</v>
      </c>
      <c r="CW340">
        <v>113.16762199999999</v>
      </c>
      <c r="CX340">
        <v>12806.91058</v>
      </c>
      <c r="CY340">
        <v>0.78395499999999996</v>
      </c>
      <c r="CZ340">
        <v>109</v>
      </c>
      <c r="DA340">
        <v>1.7766329999999999</v>
      </c>
      <c r="DB340">
        <v>6.0132339999999997</v>
      </c>
      <c r="DC340">
        <v>80.440443000000002</v>
      </c>
      <c r="DD340">
        <v>144.35466700000001</v>
      </c>
      <c r="DE340">
        <v>56.425775000000002</v>
      </c>
      <c r="DF340">
        <v>18.789014999999999</v>
      </c>
      <c r="DG340">
        <v>11.436844000000001</v>
      </c>
      <c r="DH340">
        <v>0.39088299999999998</v>
      </c>
      <c r="DI340">
        <v>0.332986</v>
      </c>
      <c r="DJ340">
        <v>0.20268800000000001</v>
      </c>
      <c r="DK340">
        <v>26.24</v>
      </c>
      <c r="DL340">
        <v>35</v>
      </c>
      <c r="DM340">
        <v>42</v>
      </c>
      <c r="DN340">
        <v>57</v>
      </c>
      <c r="DO340">
        <v>65</v>
      </c>
      <c r="DP340">
        <v>75</v>
      </c>
      <c r="DQ340">
        <v>95</v>
      </c>
      <c r="DR340">
        <v>116</v>
      </c>
      <c r="DS340">
        <v>138</v>
      </c>
      <c r="DT340">
        <v>161.79998800000001</v>
      </c>
      <c r="DU340">
        <v>174</v>
      </c>
      <c r="DV340">
        <v>196</v>
      </c>
      <c r="DW340">
        <v>285.59997600000003</v>
      </c>
      <c r="DX340">
        <v>443.800049</v>
      </c>
      <c r="DY340">
        <v>524.04003899999998</v>
      </c>
      <c r="DZ340">
        <v>90.557940000000002</v>
      </c>
      <c r="EA340">
        <v>74.222222000000002</v>
      </c>
      <c r="EB340">
        <v>119.456366</v>
      </c>
      <c r="EC340">
        <v>633</v>
      </c>
      <c r="ED340">
        <v>835</v>
      </c>
      <c r="EE340">
        <v>88.125894000000002</v>
      </c>
      <c r="EF340">
        <v>99.713876999999997</v>
      </c>
      <c r="EG340">
        <v>71.822221999999996</v>
      </c>
      <c r="EH340">
        <v>99.377778000000006</v>
      </c>
      <c r="EI340">
        <v>115.593705</v>
      </c>
      <c r="EJ340">
        <v>159.94277500000001</v>
      </c>
      <c r="EK340">
        <v>616</v>
      </c>
      <c r="EL340">
        <v>697</v>
      </c>
      <c r="EM340">
        <v>808</v>
      </c>
      <c r="EN340">
        <v>1118</v>
      </c>
      <c r="EO340">
        <v>699</v>
      </c>
      <c r="EP340">
        <v>1125</v>
      </c>
      <c r="EQ340">
        <v>63.554555000000001</v>
      </c>
    </row>
    <row r="341" spans="1:147" x14ac:dyDescent="0.25">
      <c r="A341">
        <v>2025</v>
      </c>
      <c r="B341" t="str">
        <f t="shared" si="10"/>
        <v>GN</v>
      </c>
      <c r="C341" t="s">
        <v>1741</v>
      </c>
      <c r="D341" t="s">
        <v>1741</v>
      </c>
      <c r="E341">
        <v>27862</v>
      </c>
      <c r="F341" t="s">
        <v>1736</v>
      </c>
      <c r="G341" t="s">
        <v>1737</v>
      </c>
      <c r="H341" t="s">
        <v>1738</v>
      </c>
      <c r="I341">
        <v>44.78</v>
      </c>
      <c r="J341">
        <v>44.78</v>
      </c>
      <c r="K341" t="s">
        <v>199</v>
      </c>
      <c r="L341">
        <v>1</v>
      </c>
      <c r="M341">
        <v>2020</v>
      </c>
      <c r="O341" t="str">
        <f t="shared" si="11"/>
        <v>Alto fuste</v>
      </c>
      <c r="P341" s="2">
        <v>44187</v>
      </c>
      <c r="Q341" t="s">
        <v>174</v>
      </c>
      <c r="R341" t="s">
        <v>695</v>
      </c>
      <c r="S341" t="s">
        <v>154</v>
      </c>
      <c r="T341" t="s">
        <v>199</v>
      </c>
      <c r="U341" t="s">
        <v>156</v>
      </c>
      <c r="V341" s="2">
        <v>44760</v>
      </c>
      <c r="W341" t="s">
        <v>1739</v>
      </c>
      <c r="X341">
        <v>83.440000000000012</v>
      </c>
      <c r="Y341">
        <v>19.100000000000001</v>
      </c>
      <c r="Z341">
        <v>5</v>
      </c>
      <c r="AA341">
        <v>16</v>
      </c>
      <c r="AB341">
        <v>1</v>
      </c>
      <c r="AC341">
        <v>305.60000000000002</v>
      </c>
      <c r="AD341">
        <v>304.39073249197298</v>
      </c>
      <c r="AE341" s="2">
        <v>45727</v>
      </c>
      <c r="AF341">
        <v>51</v>
      </c>
      <c r="AG341">
        <v>4.2162902121834396</v>
      </c>
      <c r="AH341">
        <v>29.086412424107198</v>
      </c>
      <c r="AI341">
        <v>18.007999999999999</v>
      </c>
      <c r="AJ341">
        <v>21.065721895685101</v>
      </c>
      <c r="AK341">
        <v>25</v>
      </c>
      <c r="AL341">
        <v>821.31278424054005</v>
      </c>
      <c r="AM341">
        <v>274.37021828667901</v>
      </c>
      <c r="AN341">
        <v>0.33406300687306001</v>
      </c>
      <c r="AO341" t="s">
        <v>695</v>
      </c>
      <c r="AP341" t="s">
        <v>158</v>
      </c>
      <c r="AQ341" t="s">
        <v>281</v>
      </c>
      <c r="AR341">
        <v>9</v>
      </c>
      <c r="AS341">
        <v>0.73918150581648678</v>
      </c>
      <c r="AT341" t="s">
        <v>1742</v>
      </c>
      <c r="AU341" t="s">
        <v>1741</v>
      </c>
      <c r="AV341">
        <v>1184</v>
      </c>
      <c r="AW341">
        <v>731</v>
      </c>
      <c r="AX341">
        <v>354</v>
      </c>
      <c r="AY341">
        <v>89</v>
      </c>
      <c r="AZ341">
        <v>10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28.489000000000001</v>
      </c>
      <c r="BI341">
        <v>17.810433</v>
      </c>
      <c r="BJ341">
        <v>0</v>
      </c>
      <c r="BK341">
        <v>11.043244</v>
      </c>
      <c r="BL341">
        <v>121.953232</v>
      </c>
      <c r="BM341">
        <v>0.62004400000000004</v>
      </c>
      <c r="BN341">
        <v>24.736999000000001</v>
      </c>
      <c r="BO341">
        <v>-0.91230100000000003</v>
      </c>
      <c r="BP341">
        <v>1.936409</v>
      </c>
      <c r="BQ341">
        <v>9.8150040000000001</v>
      </c>
      <c r="BR341">
        <v>2.3050000000000002</v>
      </c>
      <c r="BS341">
        <v>23.764999</v>
      </c>
      <c r="BT341">
        <v>17.810433</v>
      </c>
      <c r="BU341">
        <v>5.4863119999999999</v>
      </c>
      <c r="BV341">
        <v>-1.782802</v>
      </c>
      <c r="BW341">
        <v>-0.119648</v>
      </c>
      <c r="BX341">
        <v>0.30803900000000001</v>
      </c>
      <c r="BY341">
        <v>-0.32495499999999999</v>
      </c>
      <c r="BZ341">
        <v>-2.1808999999999999E-2</v>
      </c>
      <c r="CA341">
        <v>1E-3</v>
      </c>
      <c r="CB341">
        <v>7.0000000000000001E-3</v>
      </c>
      <c r="CC341">
        <v>1.4E-2</v>
      </c>
      <c r="CD341">
        <v>0.04</v>
      </c>
      <c r="CE341">
        <v>0.91</v>
      </c>
      <c r="CF341">
        <v>20.527799999999999</v>
      </c>
      <c r="CG341">
        <v>22.736401000000001</v>
      </c>
      <c r="CH341">
        <v>23.764999</v>
      </c>
      <c r="CI341">
        <v>24.637198999999999</v>
      </c>
      <c r="CJ341">
        <v>25.308001000000001</v>
      </c>
      <c r="CK341">
        <v>25.646999000000001</v>
      </c>
      <c r="CL341">
        <v>25.922201000000001</v>
      </c>
      <c r="CM341">
        <v>26.636399999999998</v>
      </c>
      <c r="CN341">
        <v>27.060998999999999</v>
      </c>
      <c r="CO341">
        <v>27.821950999999999</v>
      </c>
      <c r="CP341">
        <v>0.62516899999999997</v>
      </c>
      <c r="CQ341">
        <v>20.953800999999999</v>
      </c>
      <c r="CR341">
        <v>22.194330999999998</v>
      </c>
      <c r="CS341">
        <v>22</v>
      </c>
      <c r="CT341">
        <v>630</v>
      </c>
      <c r="CU341">
        <v>135.938345</v>
      </c>
      <c r="CV341">
        <v>31.650794000000001</v>
      </c>
      <c r="CW341">
        <v>109.353663</v>
      </c>
      <c r="CX341">
        <v>11958.22358</v>
      </c>
      <c r="CY341">
        <v>0.80443600000000004</v>
      </c>
      <c r="CZ341">
        <v>105</v>
      </c>
      <c r="DA341">
        <v>1.9107719999999999</v>
      </c>
      <c r="DB341">
        <v>6.7415539999999998</v>
      </c>
      <c r="DC341">
        <v>77.245253000000005</v>
      </c>
      <c r="DD341">
        <v>135.938345</v>
      </c>
      <c r="DE341">
        <v>53.796590999999999</v>
      </c>
      <c r="DF341">
        <v>18.761889</v>
      </c>
      <c r="DG341">
        <v>11.154861</v>
      </c>
      <c r="DH341">
        <v>0.39574300000000001</v>
      </c>
      <c r="DI341">
        <v>0.34875600000000001</v>
      </c>
      <c r="DJ341">
        <v>0.20735300000000001</v>
      </c>
      <c r="DK341">
        <v>27</v>
      </c>
      <c r="DL341">
        <v>33.150002000000001</v>
      </c>
      <c r="DM341">
        <v>40</v>
      </c>
      <c r="DN341">
        <v>53</v>
      </c>
      <c r="DO341">
        <v>62</v>
      </c>
      <c r="DP341">
        <v>68</v>
      </c>
      <c r="DQ341">
        <v>87</v>
      </c>
      <c r="DR341">
        <v>105</v>
      </c>
      <c r="DS341">
        <v>130</v>
      </c>
      <c r="DT341">
        <v>153.099976</v>
      </c>
      <c r="DU341">
        <v>167</v>
      </c>
      <c r="DV341">
        <v>183</v>
      </c>
      <c r="DW341">
        <v>259.699951</v>
      </c>
      <c r="DX341">
        <v>410.84997600000003</v>
      </c>
      <c r="DY341">
        <v>525</v>
      </c>
      <c r="DZ341">
        <v>89.056088000000003</v>
      </c>
      <c r="EA341">
        <v>73.141891999999999</v>
      </c>
      <c r="EB341">
        <v>118.46785199999999</v>
      </c>
      <c r="EC341">
        <v>651</v>
      </c>
      <c r="ED341">
        <v>866</v>
      </c>
      <c r="EE341">
        <v>87.551299999999998</v>
      </c>
      <c r="EF341">
        <v>100</v>
      </c>
      <c r="EG341">
        <v>71.283783999999997</v>
      </c>
      <c r="EH341">
        <v>99.408783999999997</v>
      </c>
      <c r="EI341">
        <v>115.458276</v>
      </c>
      <c r="EJ341">
        <v>161.01231200000001</v>
      </c>
      <c r="EK341">
        <v>640</v>
      </c>
      <c r="EL341">
        <v>731</v>
      </c>
      <c r="EM341">
        <v>844</v>
      </c>
      <c r="EN341">
        <v>1177</v>
      </c>
      <c r="EO341">
        <v>731</v>
      </c>
      <c r="EP341">
        <v>1184</v>
      </c>
      <c r="EQ341">
        <v>63.076185000000002</v>
      </c>
    </row>
    <row r="342" spans="1:147" x14ac:dyDescent="0.25">
      <c r="A342">
        <v>2025</v>
      </c>
      <c r="B342" t="str">
        <f t="shared" si="10"/>
        <v>GN</v>
      </c>
      <c r="C342" t="s">
        <v>1743</v>
      </c>
      <c r="D342" t="s">
        <v>1743</v>
      </c>
      <c r="E342">
        <v>28974</v>
      </c>
      <c r="F342" t="s">
        <v>1744</v>
      </c>
      <c r="G342" t="s">
        <v>1745</v>
      </c>
      <c r="H342" t="s">
        <v>1746</v>
      </c>
      <c r="I342">
        <v>53.26</v>
      </c>
      <c r="J342">
        <v>53.26</v>
      </c>
      <c r="K342" t="s">
        <v>199</v>
      </c>
      <c r="L342">
        <v>1</v>
      </c>
      <c r="M342">
        <v>2021</v>
      </c>
      <c r="O342" t="str">
        <f t="shared" si="11"/>
        <v>Alto fuste</v>
      </c>
      <c r="P342" s="2">
        <v>44266</v>
      </c>
      <c r="Q342" t="s">
        <v>174</v>
      </c>
      <c r="R342" t="s">
        <v>470</v>
      </c>
      <c r="S342" t="s">
        <v>154</v>
      </c>
      <c r="T342" t="s">
        <v>199</v>
      </c>
      <c r="U342" t="s">
        <v>156</v>
      </c>
      <c r="V342" s="2">
        <v>45729</v>
      </c>
      <c r="W342" t="s">
        <v>1747</v>
      </c>
      <c r="X342">
        <v>466.34</v>
      </c>
      <c r="Y342">
        <v>21.2</v>
      </c>
      <c r="Z342">
        <v>19</v>
      </c>
      <c r="AA342">
        <v>14</v>
      </c>
      <c r="AB342">
        <v>3</v>
      </c>
      <c r="AC342">
        <v>296.8</v>
      </c>
      <c r="AD342">
        <v>280.24531969495803</v>
      </c>
      <c r="AE342" s="2">
        <v>45729</v>
      </c>
      <c r="AF342">
        <v>48</v>
      </c>
      <c r="AG342">
        <v>4.0054757015742597</v>
      </c>
      <c r="AH342">
        <v>26.953571428571401</v>
      </c>
      <c r="AI342">
        <v>15.464285714285699</v>
      </c>
      <c r="AJ342">
        <v>18.961411738801999</v>
      </c>
      <c r="AK342">
        <v>28</v>
      </c>
      <c r="AL342">
        <v>999.12462518473205</v>
      </c>
      <c r="AM342">
        <v>233.378258378542</v>
      </c>
      <c r="AN342">
        <v>0.23358273081838199</v>
      </c>
      <c r="AO342" t="s">
        <v>470</v>
      </c>
      <c r="AP342" t="s">
        <v>158</v>
      </c>
      <c r="AQ342" t="s">
        <v>281</v>
      </c>
      <c r="AR342">
        <v>9</v>
      </c>
      <c r="AS342">
        <v>0.89921216266625781</v>
      </c>
      <c r="AT342" t="s">
        <v>1748</v>
      </c>
      <c r="AU342" t="s">
        <v>1743</v>
      </c>
      <c r="AV342">
        <v>1104</v>
      </c>
      <c r="AW342">
        <v>670</v>
      </c>
      <c r="AX342">
        <v>350</v>
      </c>
      <c r="AY342">
        <v>81</v>
      </c>
      <c r="AZ342">
        <v>3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27.885999999999999</v>
      </c>
      <c r="BI342">
        <v>16.842575</v>
      </c>
      <c r="BJ342">
        <v>0</v>
      </c>
      <c r="BK342">
        <v>10.543315</v>
      </c>
      <c r="BL342">
        <v>111.16149</v>
      </c>
      <c r="BM342">
        <v>0.62599199999999999</v>
      </c>
      <c r="BN342">
        <v>20.956751000000001</v>
      </c>
      <c r="BO342">
        <v>-0.77157900000000001</v>
      </c>
      <c r="BP342">
        <v>1.7597780000000001</v>
      </c>
      <c r="BQ342">
        <v>9.5898590000000006</v>
      </c>
      <c r="BR342">
        <v>2.7890009999999998</v>
      </c>
      <c r="BS342">
        <v>22.766499</v>
      </c>
      <c r="BT342">
        <v>16.842575</v>
      </c>
      <c r="BU342">
        <v>5.4407220000000001</v>
      </c>
      <c r="BV342">
        <v>-1.5481830000000001</v>
      </c>
      <c r="BW342">
        <v>-0.24559</v>
      </c>
      <c r="BX342">
        <v>0.32303399999999999</v>
      </c>
      <c r="BY342">
        <v>-0.284555</v>
      </c>
      <c r="BZ342">
        <v>-4.5138999999999999E-2</v>
      </c>
      <c r="CA342">
        <v>2E-3</v>
      </c>
      <c r="CB342">
        <v>1.4E-2</v>
      </c>
      <c r="CC342">
        <v>3.8300000000000001E-2</v>
      </c>
      <c r="CD342">
        <v>0.62380000000000002</v>
      </c>
      <c r="CE342">
        <v>3.7012499999999999</v>
      </c>
      <c r="CF342">
        <v>8.8247999999999998</v>
      </c>
      <c r="CG342">
        <v>21.869199999999999</v>
      </c>
      <c r="CH342">
        <v>22.766499</v>
      </c>
      <c r="CI342">
        <v>23.48</v>
      </c>
      <c r="CJ342">
        <v>24.292099</v>
      </c>
      <c r="CK342">
        <v>24.658000999999999</v>
      </c>
      <c r="CL342">
        <v>25.197001</v>
      </c>
      <c r="CM342">
        <v>25.996400999999999</v>
      </c>
      <c r="CN342">
        <v>26.427250000000001</v>
      </c>
      <c r="CO342">
        <v>27.121969</v>
      </c>
      <c r="CP342">
        <v>0.60397999999999996</v>
      </c>
      <c r="CQ342">
        <v>19.867892000000001</v>
      </c>
      <c r="CR342">
        <v>21.168659999999999</v>
      </c>
      <c r="CS342">
        <v>21</v>
      </c>
      <c r="CT342">
        <v>395</v>
      </c>
      <c r="CU342">
        <v>92.015399000000002</v>
      </c>
      <c r="CV342">
        <v>38.809524000000003</v>
      </c>
      <c r="CW342">
        <v>57.441859999999998</v>
      </c>
      <c r="CX342">
        <v>3299.5673059999999</v>
      </c>
      <c r="CY342">
        <v>0.62426400000000004</v>
      </c>
      <c r="CZ342">
        <v>71</v>
      </c>
      <c r="DA342">
        <v>1.7440739999999999</v>
      </c>
      <c r="DB342">
        <v>7.382339</v>
      </c>
      <c r="DC342">
        <v>42.868188000000004</v>
      </c>
      <c r="DD342">
        <v>92.015399000000002</v>
      </c>
      <c r="DE342">
        <v>29.549287</v>
      </c>
      <c r="DF342">
        <v>8.0890989999999992</v>
      </c>
      <c r="DG342">
        <v>4.3538490000000003</v>
      </c>
      <c r="DH342">
        <v>0.32113399999999998</v>
      </c>
      <c r="DI342">
        <v>0.27374900000000002</v>
      </c>
      <c r="DJ342">
        <v>0.147342</v>
      </c>
      <c r="DK342">
        <v>26</v>
      </c>
      <c r="DL342">
        <v>32</v>
      </c>
      <c r="DM342">
        <v>37</v>
      </c>
      <c r="DN342">
        <v>44</v>
      </c>
      <c r="DO342">
        <v>49</v>
      </c>
      <c r="DP342">
        <v>54</v>
      </c>
      <c r="DQ342">
        <v>64</v>
      </c>
      <c r="DR342">
        <v>78.5</v>
      </c>
      <c r="DS342">
        <v>92</v>
      </c>
      <c r="DT342">
        <v>109</v>
      </c>
      <c r="DU342">
        <v>120</v>
      </c>
      <c r="DV342">
        <v>130</v>
      </c>
      <c r="DW342">
        <v>158</v>
      </c>
      <c r="DX342">
        <v>198.549927</v>
      </c>
      <c r="DY342">
        <v>292.90991200000002</v>
      </c>
      <c r="DZ342">
        <v>93.432835999999995</v>
      </c>
      <c r="EA342">
        <v>75.271738999999997</v>
      </c>
      <c r="EB342">
        <v>124.02985099999999</v>
      </c>
      <c r="EC342">
        <v>626</v>
      </c>
      <c r="ED342">
        <v>831</v>
      </c>
      <c r="EE342">
        <v>88.507463000000001</v>
      </c>
      <c r="EF342">
        <v>99.850746000000001</v>
      </c>
      <c r="EG342">
        <v>66.938406000000001</v>
      </c>
      <c r="EH342">
        <v>99.909419999999997</v>
      </c>
      <c r="EI342">
        <v>110.298507</v>
      </c>
      <c r="EJ342">
        <v>164.62686600000001</v>
      </c>
      <c r="EK342">
        <v>593</v>
      </c>
      <c r="EL342">
        <v>669</v>
      </c>
      <c r="EM342">
        <v>739</v>
      </c>
      <c r="EN342">
        <v>1103</v>
      </c>
      <c r="EO342">
        <v>670</v>
      </c>
      <c r="EP342">
        <v>1104</v>
      </c>
      <c r="EQ342">
        <v>61.117981</v>
      </c>
    </row>
    <row r="343" spans="1:147" x14ac:dyDescent="0.25">
      <c r="A343">
        <v>2025</v>
      </c>
      <c r="B343" t="str">
        <f t="shared" si="10"/>
        <v>GN</v>
      </c>
      <c r="C343" t="s">
        <v>1749</v>
      </c>
      <c r="D343" t="s">
        <v>1749</v>
      </c>
      <c r="E343">
        <v>28975</v>
      </c>
      <c r="F343" t="s">
        <v>1744</v>
      </c>
      <c r="G343" t="s">
        <v>1745</v>
      </c>
      <c r="H343" t="s">
        <v>1746</v>
      </c>
      <c r="I343">
        <v>53.26</v>
      </c>
      <c r="J343">
        <v>53.26</v>
      </c>
      <c r="K343" t="s">
        <v>199</v>
      </c>
      <c r="L343">
        <v>1</v>
      </c>
      <c r="M343">
        <v>2021</v>
      </c>
      <c r="O343" t="str">
        <f t="shared" si="11"/>
        <v>Alto fuste</v>
      </c>
      <c r="P343" s="2">
        <v>44266</v>
      </c>
      <c r="Q343" t="s">
        <v>174</v>
      </c>
      <c r="R343" t="s">
        <v>470</v>
      </c>
      <c r="S343" t="s">
        <v>154</v>
      </c>
      <c r="T343" t="s">
        <v>199</v>
      </c>
      <c r="U343" t="s">
        <v>156</v>
      </c>
      <c r="V343" s="2">
        <v>44761</v>
      </c>
      <c r="W343" t="s">
        <v>1747</v>
      </c>
      <c r="X343">
        <v>466.34</v>
      </c>
      <c r="Y343">
        <v>21.6</v>
      </c>
      <c r="Z343">
        <v>9</v>
      </c>
      <c r="AA343">
        <v>15</v>
      </c>
      <c r="AB343">
        <v>2</v>
      </c>
      <c r="AC343">
        <v>324</v>
      </c>
      <c r="AD343">
        <v>319.81608028441599</v>
      </c>
      <c r="AE343" s="2">
        <v>45729</v>
      </c>
      <c r="AF343">
        <v>48</v>
      </c>
      <c r="AG343">
        <v>4.0054757015742597</v>
      </c>
      <c r="AH343">
        <v>27.771428571428601</v>
      </c>
      <c r="AI343">
        <v>14.9828571428571</v>
      </c>
      <c r="AJ343">
        <v>19.427533918973701</v>
      </c>
      <c r="AK343">
        <v>35</v>
      </c>
      <c r="AL343">
        <v>1094.37899335375</v>
      </c>
      <c r="AM343">
        <v>247.12790244564101</v>
      </c>
      <c r="AN343">
        <v>0.225815648825927</v>
      </c>
      <c r="AO343" t="s">
        <v>470</v>
      </c>
      <c r="AP343" t="s">
        <v>158</v>
      </c>
      <c r="AQ343" t="s">
        <v>281</v>
      </c>
      <c r="AR343">
        <v>9</v>
      </c>
      <c r="AS343">
        <v>0.98494109401837138</v>
      </c>
      <c r="AT343" t="s">
        <v>1750</v>
      </c>
      <c r="AU343" t="s">
        <v>1749</v>
      </c>
      <c r="AV343">
        <v>1236</v>
      </c>
      <c r="AW343">
        <v>767</v>
      </c>
      <c r="AX343">
        <v>383</v>
      </c>
      <c r="AY343">
        <v>81</v>
      </c>
      <c r="AZ343">
        <v>5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26.877001</v>
      </c>
      <c r="BI343">
        <v>15.945205</v>
      </c>
      <c r="BJ343">
        <v>0</v>
      </c>
      <c r="BK343">
        <v>10.604675</v>
      </c>
      <c r="BL343">
        <v>112.459138</v>
      </c>
      <c r="BM343">
        <v>0.66507000000000005</v>
      </c>
      <c r="BN343">
        <v>23.8325</v>
      </c>
      <c r="BO343">
        <v>-0.72577800000000003</v>
      </c>
      <c r="BP343">
        <v>1.6530929999999999</v>
      </c>
      <c r="BQ343">
        <v>9.7369129999999995</v>
      </c>
      <c r="BR343">
        <v>2.6810019999999999</v>
      </c>
      <c r="BS343">
        <v>21.960999000000001</v>
      </c>
      <c r="BT343">
        <v>15.945205</v>
      </c>
      <c r="BU343">
        <v>5.4417960000000001</v>
      </c>
      <c r="BV343">
        <v>-1.4262589999999999</v>
      </c>
      <c r="BW343">
        <v>-0.39761600000000002</v>
      </c>
      <c r="BX343">
        <v>0.341281</v>
      </c>
      <c r="BY343">
        <v>-0.26209300000000002</v>
      </c>
      <c r="BZ343">
        <v>-7.3066999999999993E-2</v>
      </c>
      <c r="CA343">
        <v>2.3500000000000001E-3</v>
      </c>
      <c r="CB343">
        <v>0.01</v>
      </c>
      <c r="CC343">
        <v>0.02</v>
      </c>
      <c r="CD343">
        <v>5.0999999999999997E-2</v>
      </c>
      <c r="CE343">
        <v>9.0999999999999998E-2</v>
      </c>
      <c r="CF343">
        <v>6.1260000000000003</v>
      </c>
      <c r="CG343">
        <v>20.993998999999999</v>
      </c>
      <c r="CH343">
        <v>21.960999000000001</v>
      </c>
      <c r="CI343">
        <v>22.855</v>
      </c>
      <c r="CJ343">
        <v>23.584999</v>
      </c>
      <c r="CK343">
        <v>23.923500000000001</v>
      </c>
      <c r="CL343">
        <v>24.327998999999998</v>
      </c>
      <c r="CM343">
        <v>25.148499999999999</v>
      </c>
      <c r="CN343">
        <v>25.727748999999999</v>
      </c>
      <c r="CO343">
        <v>26.303948999999999</v>
      </c>
      <c r="CP343">
        <v>0.59326599999999996</v>
      </c>
      <c r="CQ343">
        <v>19.147264</v>
      </c>
      <c r="CR343">
        <v>20.459683999999999</v>
      </c>
      <c r="CS343">
        <v>21</v>
      </c>
      <c r="CT343">
        <v>469</v>
      </c>
      <c r="CU343">
        <v>111.444175</v>
      </c>
      <c r="CV343">
        <v>42.333333000000003</v>
      </c>
      <c r="CW343">
        <v>79.833365000000001</v>
      </c>
      <c r="CX343">
        <v>6373.3661119999997</v>
      </c>
      <c r="CY343">
        <v>0.71635300000000002</v>
      </c>
      <c r="CZ343">
        <v>90</v>
      </c>
      <c r="DA343">
        <v>1.7353590000000001</v>
      </c>
      <c r="DB343">
        <v>6.4390929999999997</v>
      </c>
      <c r="DC343">
        <v>58.948428</v>
      </c>
      <c r="DD343">
        <v>111.444175</v>
      </c>
      <c r="DE343">
        <v>40.566656000000002</v>
      </c>
      <c r="DF343">
        <v>12.673038</v>
      </c>
      <c r="DG343">
        <v>6.804017</v>
      </c>
      <c r="DH343">
        <v>0.36400900000000003</v>
      </c>
      <c r="DI343">
        <v>0.31240000000000001</v>
      </c>
      <c r="DJ343">
        <v>0.16772400000000001</v>
      </c>
      <c r="DK343">
        <v>27</v>
      </c>
      <c r="DL343">
        <v>32</v>
      </c>
      <c r="DM343">
        <v>37</v>
      </c>
      <c r="DN343">
        <v>48</v>
      </c>
      <c r="DO343">
        <v>53</v>
      </c>
      <c r="DP343">
        <v>59</v>
      </c>
      <c r="DQ343">
        <v>72</v>
      </c>
      <c r="DR343">
        <v>91</v>
      </c>
      <c r="DS343">
        <v>108</v>
      </c>
      <c r="DT343">
        <v>132</v>
      </c>
      <c r="DU343">
        <v>143</v>
      </c>
      <c r="DV343">
        <v>158</v>
      </c>
      <c r="DW343">
        <v>209</v>
      </c>
      <c r="DX343">
        <v>281.25</v>
      </c>
      <c r="DY343">
        <v>411.65002399999997</v>
      </c>
      <c r="DZ343">
        <v>89.830507999999995</v>
      </c>
      <c r="EA343">
        <v>71.116505000000004</v>
      </c>
      <c r="EB343">
        <v>114.60234699999999</v>
      </c>
      <c r="EC343">
        <v>689</v>
      </c>
      <c r="ED343">
        <v>879</v>
      </c>
      <c r="EE343">
        <v>84.615385000000003</v>
      </c>
      <c r="EF343">
        <v>99.869622000000007</v>
      </c>
      <c r="EG343">
        <v>66.423947999999996</v>
      </c>
      <c r="EH343">
        <v>99.757282000000004</v>
      </c>
      <c r="EI343">
        <v>107.04041700000001</v>
      </c>
      <c r="EJ343">
        <v>160.756193</v>
      </c>
      <c r="EK343">
        <v>649</v>
      </c>
      <c r="EL343">
        <v>766</v>
      </c>
      <c r="EM343">
        <v>821</v>
      </c>
      <c r="EN343">
        <v>1233</v>
      </c>
      <c r="EO343">
        <v>767</v>
      </c>
      <c r="EP343">
        <v>1236</v>
      </c>
      <c r="EQ343">
        <v>59.635666999999998</v>
      </c>
    </row>
    <row r="344" spans="1:147" x14ac:dyDescent="0.25">
      <c r="A344">
        <v>2025</v>
      </c>
      <c r="B344" t="str">
        <f t="shared" si="10"/>
        <v>GN</v>
      </c>
      <c r="C344" t="s">
        <v>1751</v>
      </c>
      <c r="D344" t="s">
        <v>1751</v>
      </c>
      <c r="E344">
        <v>28976</v>
      </c>
      <c r="F344" t="s">
        <v>1744</v>
      </c>
      <c r="G344" t="s">
        <v>1745</v>
      </c>
      <c r="H344" t="s">
        <v>1746</v>
      </c>
      <c r="I344">
        <v>53.26</v>
      </c>
      <c r="J344">
        <v>53.26</v>
      </c>
      <c r="K344" t="s">
        <v>199</v>
      </c>
      <c r="L344">
        <v>1</v>
      </c>
      <c r="M344">
        <v>2021</v>
      </c>
      <c r="O344" t="str">
        <f t="shared" si="11"/>
        <v>Alto fuste</v>
      </c>
      <c r="P344" s="2">
        <v>44266</v>
      </c>
      <c r="Q344" t="s">
        <v>174</v>
      </c>
      <c r="R344" t="s">
        <v>470</v>
      </c>
      <c r="S344" t="s">
        <v>154</v>
      </c>
      <c r="T344" t="s">
        <v>199</v>
      </c>
      <c r="U344" t="s">
        <v>156</v>
      </c>
      <c r="V344" s="2">
        <v>45729</v>
      </c>
      <c r="W344" t="s">
        <v>1747</v>
      </c>
      <c r="X344">
        <v>466.34</v>
      </c>
      <c r="Y344">
        <v>21</v>
      </c>
      <c r="Z344">
        <v>15</v>
      </c>
      <c r="AA344">
        <v>15.8</v>
      </c>
      <c r="AB344">
        <v>3</v>
      </c>
      <c r="AC344">
        <v>331.8</v>
      </c>
      <c r="AD344">
        <v>320.05496301510402</v>
      </c>
      <c r="AE344" s="2">
        <v>45729</v>
      </c>
      <c r="AF344">
        <v>48</v>
      </c>
      <c r="AG344">
        <v>4.0054757015742597</v>
      </c>
      <c r="AH344">
        <v>26.951612903225801</v>
      </c>
      <c r="AI344">
        <v>14.9322580645161</v>
      </c>
      <c r="AJ344">
        <v>17.039010896345701</v>
      </c>
      <c r="AK344">
        <v>31</v>
      </c>
      <c r="AL344">
        <v>968.58363663421801</v>
      </c>
      <c r="AM344">
        <v>209.50961230473499</v>
      </c>
      <c r="AN344">
        <v>0.21630513295968001</v>
      </c>
      <c r="AO344" t="s">
        <v>470</v>
      </c>
      <c r="AP344" t="s">
        <v>158</v>
      </c>
      <c r="AQ344" t="s">
        <v>281</v>
      </c>
      <c r="AR344">
        <v>9</v>
      </c>
      <c r="AS344">
        <v>0.87172527297079727</v>
      </c>
      <c r="AT344" t="s">
        <v>1752</v>
      </c>
      <c r="AU344" t="s">
        <v>1751</v>
      </c>
      <c r="AV344">
        <v>1206</v>
      </c>
      <c r="AW344">
        <v>707</v>
      </c>
      <c r="AX344">
        <v>404</v>
      </c>
      <c r="AY344">
        <v>86</v>
      </c>
      <c r="AZ344">
        <v>9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26.437000000000001</v>
      </c>
      <c r="BI344">
        <v>16.099035000000001</v>
      </c>
      <c r="BJ344">
        <v>0</v>
      </c>
      <c r="BK344">
        <v>10.288897</v>
      </c>
      <c r="BL344">
        <v>105.861397</v>
      </c>
      <c r="BM344">
        <v>0.6391</v>
      </c>
      <c r="BN344">
        <v>23.042000000000002</v>
      </c>
      <c r="BO344">
        <v>-0.83070299999999997</v>
      </c>
      <c r="BP344">
        <v>1.796057</v>
      </c>
      <c r="BQ344">
        <v>9.3092500000000005</v>
      </c>
      <c r="BR344">
        <v>2.2109999999999999</v>
      </c>
      <c r="BS344">
        <v>21.712499999999999</v>
      </c>
      <c r="BT344">
        <v>16.099035000000001</v>
      </c>
      <c r="BU344">
        <v>5.1720730000000001</v>
      </c>
      <c r="BV344">
        <v>-1.534402</v>
      </c>
      <c r="BW344">
        <v>-0.194989</v>
      </c>
      <c r="BX344">
        <v>0.321266</v>
      </c>
      <c r="BY344">
        <v>-0.29667100000000002</v>
      </c>
      <c r="BZ344">
        <v>-3.7699999999999997E-2</v>
      </c>
      <c r="CA344">
        <v>3.0000000000000001E-3</v>
      </c>
      <c r="CB344">
        <v>1.025E-2</v>
      </c>
      <c r="CC344">
        <v>2.1999999999999999E-2</v>
      </c>
      <c r="CD344">
        <v>6.0999999999999999E-2</v>
      </c>
      <c r="CE344">
        <v>0.42675000000000002</v>
      </c>
      <c r="CF344">
        <v>12.093</v>
      </c>
      <c r="CG344">
        <v>20.962999</v>
      </c>
      <c r="CH344">
        <v>21.712499999999999</v>
      </c>
      <c r="CI344">
        <v>22.323999000000001</v>
      </c>
      <c r="CJ344">
        <v>23.126498999999999</v>
      </c>
      <c r="CK344">
        <v>23.46875</v>
      </c>
      <c r="CL344">
        <v>23.809000000000001</v>
      </c>
      <c r="CM344">
        <v>24.66</v>
      </c>
      <c r="CN344">
        <v>25.262001000000001</v>
      </c>
      <c r="CO344">
        <v>25.946648</v>
      </c>
      <c r="CP344">
        <v>0.608958</v>
      </c>
      <c r="CQ344">
        <v>19.103731</v>
      </c>
      <c r="CR344">
        <v>20.309384000000001</v>
      </c>
      <c r="CS344">
        <v>23</v>
      </c>
      <c r="CT344">
        <v>484</v>
      </c>
      <c r="CU344">
        <v>108.927032</v>
      </c>
      <c r="CV344">
        <v>44.952381000000003</v>
      </c>
      <c r="CW344">
        <v>70.953678999999994</v>
      </c>
      <c r="CX344">
        <v>5034.4245469999996</v>
      </c>
      <c r="CY344">
        <v>0.65138700000000005</v>
      </c>
      <c r="CZ344">
        <v>88</v>
      </c>
      <c r="DA344">
        <v>1.6244540000000001</v>
      </c>
      <c r="DB344">
        <v>6.5960000000000001</v>
      </c>
      <c r="DC344">
        <v>53.611170000000001</v>
      </c>
      <c r="DD344">
        <v>108.927032</v>
      </c>
      <c r="DE344">
        <v>36.844225999999999</v>
      </c>
      <c r="DF344">
        <v>9.7544989999999991</v>
      </c>
      <c r="DG344">
        <v>5.3692310000000001</v>
      </c>
      <c r="DH344">
        <v>0.33824700000000002</v>
      </c>
      <c r="DI344">
        <v>0.26474999999999999</v>
      </c>
      <c r="DJ344">
        <v>0.145728</v>
      </c>
      <c r="DK344">
        <v>27</v>
      </c>
      <c r="DL344">
        <v>33</v>
      </c>
      <c r="DM344">
        <v>38</v>
      </c>
      <c r="DN344">
        <v>50</v>
      </c>
      <c r="DO344">
        <v>56</v>
      </c>
      <c r="DP344">
        <v>62</v>
      </c>
      <c r="DQ344">
        <v>77</v>
      </c>
      <c r="DR344">
        <v>91</v>
      </c>
      <c r="DS344">
        <v>110</v>
      </c>
      <c r="DT344">
        <v>131.5</v>
      </c>
      <c r="DU344">
        <v>144</v>
      </c>
      <c r="DV344">
        <v>157</v>
      </c>
      <c r="DW344">
        <v>196.5</v>
      </c>
      <c r="DX344">
        <v>239</v>
      </c>
      <c r="DY344">
        <v>384.59960899999999</v>
      </c>
      <c r="DZ344">
        <v>95.332390000000004</v>
      </c>
      <c r="EA344">
        <v>72.139302999999998</v>
      </c>
      <c r="EB344">
        <v>123.05516299999999</v>
      </c>
      <c r="EC344">
        <v>674</v>
      </c>
      <c r="ED344">
        <v>870</v>
      </c>
      <c r="EE344">
        <v>93.352192000000002</v>
      </c>
      <c r="EF344">
        <v>100</v>
      </c>
      <c r="EG344">
        <v>69.485904000000005</v>
      </c>
      <c r="EH344">
        <v>99.834163000000004</v>
      </c>
      <c r="EI344">
        <v>118.52899600000001</v>
      </c>
      <c r="EJ344">
        <v>170.29703000000001</v>
      </c>
      <c r="EK344">
        <v>660</v>
      </c>
      <c r="EL344">
        <v>707</v>
      </c>
      <c r="EM344">
        <v>838</v>
      </c>
      <c r="EN344">
        <v>1204</v>
      </c>
      <c r="EO344">
        <v>707</v>
      </c>
      <c r="EP344">
        <v>1206</v>
      </c>
      <c r="EQ344">
        <v>61.093068000000002</v>
      </c>
    </row>
    <row r="345" spans="1:147" x14ac:dyDescent="0.25">
      <c r="A345">
        <v>2025</v>
      </c>
      <c r="B345" t="str">
        <f t="shared" si="10"/>
        <v>GN</v>
      </c>
      <c r="C345" t="s">
        <v>1753</v>
      </c>
      <c r="D345" t="s">
        <v>1753</v>
      </c>
      <c r="E345">
        <v>28987</v>
      </c>
      <c r="F345" t="s">
        <v>1744</v>
      </c>
      <c r="G345" t="s">
        <v>1745</v>
      </c>
      <c r="H345" t="s">
        <v>1754</v>
      </c>
      <c r="I345">
        <v>56.68</v>
      </c>
      <c r="J345">
        <v>56.68</v>
      </c>
      <c r="K345" t="s">
        <v>199</v>
      </c>
      <c r="L345">
        <v>1</v>
      </c>
      <c r="M345">
        <v>2021</v>
      </c>
      <c r="O345" t="str">
        <f t="shared" si="11"/>
        <v>Alto fuste</v>
      </c>
      <c r="P345" s="2">
        <v>44342</v>
      </c>
      <c r="Q345" t="s">
        <v>174</v>
      </c>
      <c r="R345" t="s">
        <v>695</v>
      </c>
      <c r="S345" t="s">
        <v>154</v>
      </c>
      <c r="T345" t="s">
        <v>199</v>
      </c>
      <c r="U345" t="s">
        <v>156</v>
      </c>
      <c r="V345" s="2">
        <v>44762</v>
      </c>
      <c r="W345" t="s">
        <v>1747</v>
      </c>
      <c r="X345">
        <v>466.34</v>
      </c>
      <c r="Y345">
        <v>21.2</v>
      </c>
      <c r="Z345">
        <v>9</v>
      </c>
      <c r="AA345">
        <v>15.5</v>
      </c>
      <c r="AB345">
        <v>2</v>
      </c>
      <c r="AC345">
        <v>328.6</v>
      </c>
      <c r="AD345">
        <v>324.35667895512</v>
      </c>
      <c r="AE345" s="2">
        <v>45729</v>
      </c>
      <c r="AF345">
        <v>46</v>
      </c>
      <c r="AG345">
        <v>3.7973990417522199</v>
      </c>
      <c r="AH345">
        <v>24.216129032258099</v>
      </c>
      <c r="AI345">
        <v>15.6967741935484</v>
      </c>
      <c r="AJ345">
        <v>18.839724314594001</v>
      </c>
      <c r="AK345">
        <v>31</v>
      </c>
      <c r="AL345">
        <v>955.73798880488903</v>
      </c>
      <c r="AM345">
        <v>208.13498727025799</v>
      </c>
      <c r="AN345">
        <v>0.21777410724305499</v>
      </c>
      <c r="AO345" t="s">
        <v>695</v>
      </c>
      <c r="AP345" t="s">
        <v>158</v>
      </c>
      <c r="AQ345" t="s">
        <v>281</v>
      </c>
      <c r="AR345">
        <v>9</v>
      </c>
      <c r="AS345">
        <v>0.86016418992440158</v>
      </c>
      <c r="AT345" t="s">
        <v>1755</v>
      </c>
      <c r="AU345" t="s">
        <v>1753</v>
      </c>
      <c r="AV345">
        <v>1232</v>
      </c>
      <c r="AW345">
        <v>749</v>
      </c>
      <c r="AX345">
        <v>356</v>
      </c>
      <c r="AY345">
        <v>119</v>
      </c>
      <c r="AZ345">
        <v>7</v>
      </c>
      <c r="BA345">
        <v>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26.228000999999999</v>
      </c>
      <c r="BI345">
        <v>14.236621</v>
      </c>
      <c r="BJ345">
        <v>0</v>
      </c>
      <c r="BK345">
        <v>10.369016</v>
      </c>
      <c r="BL345">
        <v>107.516497</v>
      </c>
      <c r="BM345">
        <v>0.72833400000000004</v>
      </c>
      <c r="BN345">
        <v>22.71575</v>
      </c>
      <c r="BO345">
        <v>-0.50967499999999999</v>
      </c>
      <c r="BP345">
        <v>1.4240330000000001</v>
      </c>
      <c r="BQ345">
        <v>9.6860230000000005</v>
      </c>
      <c r="BR345">
        <v>4.0525000000000002</v>
      </c>
      <c r="BS345">
        <v>20.152999999999999</v>
      </c>
      <c r="BT345">
        <v>14.236621</v>
      </c>
      <c r="BU345">
        <v>5.5088520000000001</v>
      </c>
      <c r="BV345">
        <v>-0.94525599999999999</v>
      </c>
      <c r="BW345">
        <v>-0.67864899999999995</v>
      </c>
      <c r="BX345">
        <v>0.38694899999999999</v>
      </c>
      <c r="BY345">
        <v>-0.17158899999999999</v>
      </c>
      <c r="BZ345">
        <v>-0.123193</v>
      </c>
      <c r="CA345">
        <v>1E-3</v>
      </c>
      <c r="CB345">
        <v>6.0000000000000001E-3</v>
      </c>
      <c r="CC345">
        <v>1.2999999999999999E-2</v>
      </c>
      <c r="CD345">
        <v>3.0200000000000001E-2</v>
      </c>
      <c r="CE345">
        <v>4.4999999999999998E-2</v>
      </c>
      <c r="CF345">
        <v>8.3299999999999999E-2</v>
      </c>
      <c r="CG345">
        <v>17.596800000000002</v>
      </c>
      <c r="CH345">
        <v>20.152999999999999</v>
      </c>
      <c r="CI345">
        <v>21.4512</v>
      </c>
      <c r="CJ345">
        <v>22.276700999999999</v>
      </c>
      <c r="CK345">
        <v>22.760750000000002</v>
      </c>
      <c r="CL345">
        <v>23.247599000000001</v>
      </c>
      <c r="CM345">
        <v>24.273399000000001</v>
      </c>
      <c r="CN345">
        <v>24.818999999999999</v>
      </c>
      <c r="CO345">
        <v>25.763449000000001</v>
      </c>
      <c r="CP345">
        <v>0.54280200000000001</v>
      </c>
      <c r="CQ345">
        <v>17.609957000000001</v>
      </c>
      <c r="CR345">
        <v>19.043330999999998</v>
      </c>
      <c r="CS345">
        <v>18</v>
      </c>
      <c r="CT345">
        <v>536</v>
      </c>
      <c r="CU345">
        <v>125.659903</v>
      </c>
      <c r="CV345">
        <v>34.444443999999997</v>
      </c>
      <c r="CW345">
        <v>104.10792600000001</v>
      </c>
      <c r="CX345">
        <v>10838.46019</v>
      </c>
      <c r="CY345">
        <v>0.82848999999999995</v>
      </c>
      <c r="CZ345">
        <v>102</v>
      </c>
      <c r="DA345">
        <v>1.813272</v>
      </c>
      <c r="DB345">
        <v>5.9962580000000001</v>
      </c>
      <c r="DC345">
        <v>75.288736</v>
      </c>
      <c r="DD345">
        <v>125.659903</v>
      </c>
      <c r="DE345">
        <v>51.331538999999999</v>
      </c>
      <c r="DF345">
        <v>19.366586999999999</v>
      </c>
      <c r="DG345">
        <v>10.135045</v>
      </c>
      <c r="DH345">
        <v>0.40849600000000003</v>
      </c>
      <c r="DI345">
        <v>0.37728400000000001</v>
      </c>
      <c r="DJ345">
        <v>0.19744300000000001</v>
      </c>
      <c r="DK345">
        <v>27.310001</v>
      </c>
      <c r="DL345">
        <v>33</v>
      </c>
      <c r="DM345">
        <v>38</v>
      </c>
      <c r="DN345">
        <v>48</v>
      </c>
      <c r="DO345">
        <v>53</v>
      </c>
      <c r="DP345">
        <v>60</v>
      </c>
      <c r="DQ345">
        <v>74</v>
      </c>
      <c r="DR345">
        <v>91</v>
      </c>
      <c r="DS345">
        <v>113.599976</v>
      </c>
      <c r="DT345">
        <v>137.70001199999999</v>
      </c>
      <c r="DU345">
        <v>155</v>
      </c>
      <c r="DV345">
        <v>176</v>
      </c>
      <c r="DW345">
        <v>265.10021999999998</v>
      </c>
      <c r="DX345">
        <v>388</v>
      </c>
      <c r="DY345">
        <v>481.75976600000001</v>
      </c>
      <c r="DZ345">
        <v>87.716955999999996</v>
      </c>
      <c r="EA345">
        <v>67.857142999999994</v>
      </c>
      <c r="EB345">
        <v>111.615487</v>
      </c>
      <c r="EC345">
        <v>657</v>
      </c>
      <c r="ED345">
        <v>836</v>
      </c>
      <c r="EE345">
        <v>81.308411000000007</v>
      </c>
      <c r="EF345">
        <v>100</v>
      </c>
      <c r="EG345">
        <v>61.688312000000003</v>
      </c>
      <c r="EH345">
        <v>99.594155999999998</v>
      </c>
      <c r="EI345">
        <v>101.468625</v>
      </c>
      <c r="EJ345">
        <v>163.81842499999999</v>
      </c>
      <c r="EK345">
        <v>609</v>
      </c>
      <c r="EL345">
        <v>749</v>
      </c>
      <c r="EM345">
        <v>760</v>
      </c>
      <c r="EN345">
        <v>1227</v>
      </c>
      <c r="EO345">
        <v>749</v>
      </c>
      <c r="EP345">
        <v>1232</v>
      </c>
      <c r="EQ345">
        <v>54.258322</v>
      </c>
    </row>
    <row r="346" spans="1:147" x14ac:dyDescent="0.25">
      <c r="A346">
        <v>2025</v>
      </c>
      <c r="B346" t="str">
        <f t="shared" si="10"/>
        <v>GN</v>
      </c>
      <c r="C346" t="s">
        <v>1756</v>
      </c>
      <c r="D346" t="s">
        <v>1756</v>
      </c>
      <c r="E346">
        <v>28989</v>
      </c>
      <c r="F346" t="s">
        <v>1744</v>
      </c>
      <c r="G346" t="s">
        <v>1745</v>
      </c>
      <c r="H346" t="s">
        <v>1754</v>
      </c>
      <c r="I346">
        <v>56.68</v>
      </c>
      <c r="J346">
        <v>56.68</v>
      </c>
      <c r="K346" t="s">
        <v>199</v>
      </c>
      <c r="L346">
        <v>1</v>
      </c>
      <c r="M346">
        <v>2021</v>
      </c>
      <c r="O346" t="str">
        <f t="shared" si="11"/>
        <v>Alto fuste</v>
      </c>
      <c r="P346" s="2">
        <v>44342</v>
      </c>
      <c r="Q346" t="s">
        <v>174</v>
      </c>
      <c r="R346" t="s">
        <v>695</v>
      </c>
      <c r="S346" t="s">
        <v>154</v>
      </c>
      <c r="T346" t="s">
        <v>199</v>
      </c>
      <c r="U346" t="s">
        <v>156</v>
      </c>
      <c r="V346" s="2">
        <v>45729</v>
      </c>
      <c r="W346" t="s">
        <v>1747</v>
      </c>
      <c r="X346">
        <v>466.34</v>
      </c>
      <c r="Y346">
        <v>19.600000000000001</v>
      </c>
      <c r="Z346">
        <v>14</v>
      </c>
      <c r="AA346">
        <v>15.6</v>
      </c>
      <c r="AB346">
        <v>0</v>
      </c>
      <c r="AC346">
        <v>305.76</v>
      </c>
      <c r="AD346">
        <v>296.677621266149</v>
      </c>
      <c r="AE346" s="2">
        <v>45729</v>
      </c>
      <c r="AF346">
        <v>46</v>
      </c>
      <c r="AG346">
        <v>3.7973990417522199</v>
      </c>
      <c r="AH346">
        <v>25.313793103448301</v>
      </c>
      <c r="AI346">
        <v>14.968965517241401</v>
      </c>
      <c r="AJ346">
        <v>17.501087014725101</v>
      </c>
      <c r="AK346">
        <v>29</v>
      </c>
      <c r="AL346">
        <v>977.49199539334904</v>
      </c>
      <c r="AM346">
        <v>202.80351394332399</v>
      </c>
      <c r="AN346">
        <v>0.207473324486626</v>
      </c>
      <c r="AO346" t="s">
        <v>695</v>
      </c>
      <c r="AP346" t="s">
        <v>158</v>
      </c>
      <c r="AQ346" t="s">
        <v>281</v>
      </c>
      <c r="AR346">
        <v>9</v>
      </c>
      <c r="AS346">
        <v>0.87974279585401327</v>
      </c>
      <c r="AT346" t="s">
        <v>1757</v>
      </c>
      <c r="AU346" t="s">
        <v>1756</v>
      </c>
      <c r="AV346">
        <v>1166</v>
      </c>
      <c r="AW346">
        <v>664</v>
      </c>
      <c r="AX346">
        <v>376</v>
      </c>
      <c r="AY346">
        <v>117</v>
      </c>
      <c r="AZ346">
        <v>9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25.530000999999999</v>
      </c>
      <c r="BI346">
        <v>14.045043</v>
      </c>
      <c r="BJ346">
        <v>0</v>
      </c>
      <c r="BK346">
        <v>9.7774059999999992</v>
      </c>
      <c r="BL346">
        <v>95.597677000000004</v>
      </c>
      <c r="BM346">
        <v>0.69614600000000004</v>
      </c>
      <c r="BN346">
        <v>21.655749</v>
      </c>
      <c r="BO346">
        <v>-0.63710800000000001</v>
      </c>
      <c r="BP346">
        <v>1.5350189999999999</v>
      </c>
      <c r="BQ346">
        <v>9.0456400000000006</v>
      </c>
      <c r="BR346">
        <v>2.9039999999999999</v>
      </c>
      <c r="BS346">
        <v>19.605498999999998</v>
      </c>
      <c r="BT346">
        <v>14.045043</v>
      </c>
      <c r="BU346">
        <v>5.081194</v>
      </c>
      <c r="BV346">
        <v>-1.10772</v>
      </c>
      <c r="BW346">
        <v>-0.46674199999999999</v>
      </c>
      <c r="BX346">
        <v>0.36177799999999999</v>
      </c>
      <c r="BY346">
        <v>-0.218004</v>
      </c>
      <c r="BZ346">
        <v>-9.1856999999999994E-2</v>
      </c>
      <c r="CA346">
        <v>2E-3</v>
      </c>
      <c r="CB346">
        <v>8.9999999999999993E-3</v>
      </c>
      <c r="CC346">
        <v>1.7000000000000001E-2</v>
      </c>
      <c r="CD346">
        <v>4.7E-2</v>
      </c>
      <c r="CE346">
        <v>9.9000000000000005E-2</v>
      </c>
      <c r="CF346">
        <v>1.306</v>
      </c>
      <c r="CG346">
        <v>18.236000000000001</v>
      </c>
      <c r="CH346">
        <v>19.605498999999998</v>
      </c>
      <c r="CI346">
        <v>20.388999999999999</v>
      </c>
      <c r="CJ346">
        <v>21.2225</v>
      </c>
      <c r="CK346">
        <v>21.754749</v>
      </c>
      <c r="CL346">
        <v>22.087999</v>
      </c>
      <c r="CM346">
        <v>22.869499000000001</v>
      </c>
      <c r="CN346">
        <v>23.450500000000002</v>
      </c>
      <c r="CO346">
        <v>24.745100000000001</v>
      </c>
      <c r="CP346">
        <v>0.55013900000000004</v>
      </c>
      <c r="CQ346">
        <v>17.110783999999999</v>
      </c>
      <c r="CR346">
        <v>18.371041999999999</v>
      </c>
      <c r="CS346">
        <v>22</v>
      </c>
      <c r="CT346">
        <v>527</v>
      </c>
      <c r="CU346">
        <v>119.877358</v>
      </c>
      <c r="CV346">
        <v>46.047618999999997</v>
      </c>
      <c r="CW346">
        <v>80.280771000000001</v>
      </c>
      <c r="CX346">
        <v>6445.0021139999999</v>
      </c>
      <c r="CY346">
        <v>0.66969100000000004</v>
      </c>
      <c r="CZ346">
        <v>101</v>
      </c>
      <c r="DA346">
        <v>1.4661459999999999</v>
      </c>
      <c r="DB346">
        <v>5.6384470000000002</v>
      </c>
      <c r="DC346">
        <v>61.266724000000004</v>
      </c>
      <c r="DD346">
        <v>119.877358</v>
      </c>
      <c r="DE346">
        <v>42.181322999999999</v>
      </c>
      <c r="DF346">
        <v>11.060067</v>
      </c>
      <c r="DG346">
        <v>5.842937</v>
      </c>
      <c r="DH346">
        <v>0.35187099999999999</v>
      </c>
      <c r="DI346">
        <v>0.26220300000000002</v>
      </c>
      <c r="DJ346">
        <v>0.13852</v>
      </c>
      <c r="DK346">
        <v>27</v>
      </c>
      <c r="DL346">
        <v>33</v>
      </c>
      <c r="DM346">
        <v>40</v>
      </c>
      <c r="DN346">
        <v>52</v>
      </c>
      <c r="DO346">
        <v>58</v>
      </c>
      <c r="DP346">
        <v>66</v>
      </c>
      <c r="DQ346">
        <v>82</v>
      </c>
      <c r="DR346">
        <v>101</v>
      </c>
      <c r="DS346">
        <v>122</v>
      </c>
      <c r="DT346">
        <v>146</v>
      </c>
      <c r="DU346">
        <v>159</v>
      </c>
      <c r="DV346">
        <v>173</v>
      </c>
      <c r="DW346">
        <v>220.5</v>
      </c>
      <c r="DX346">
        <v>288.75</v>
      </c>
      <c r="DY346">
        <v>389.699951</v>
      </c>
      <c r="DZ346">
        <v>91.415662999999995</v>
      </c>
      <c r="EA346">
        <v>68.010292000000007</v>
      </c>
      <c r="EB346">
        <v>119.427711</v>
      </c>
      <c r="EC346">
        <v>607</v>
      </c>
      <c r="ED346">
        <v>793</v>
      </c>
      <c r="EE346">
        <v>89.608434000000003</v>
      </c>
      <c r="EF346">
        <v>99.849397999999994</v>
      </c>
      <c r="EG346">
        <v>66.037735999999995</v>
      </c>
      <c r="EH346">
        <v>99.742710000000002</v>
      </c>
      <c r="EI346">
        <v>115.963855</v>
      </c>
      <c r="EJ346">
        <v>175.15060199999999</v>
      </c>
      <c r="EK346">
        <v>595</v>
      </c>
      <c r="EL346">
        <v>663</v>
      </c>
      <c r="EM346">
        <v>770</v>
      </c>
      <c r="EN346">
        <v>1163</v>
      </c>
      <c r="EO346">
        <v>664</v>
      </c>
      <c r="EP346">
        <v>1166</v>
      </c>
      <c r="EQ346">
        <v>55.735329</v>
      </c>
    </row>
    <row r="347" spans="1:147" x14ac:dyDescent="0.25">
      <c r="A347">
        <v>2025</v>
      </c>
      <c r="B347" t="str">
        <f t="shared" si="10"/>
        <v>GN</v>
      </c>
      <c r="C347" t="s">
        <v>1758</v>
      </c>
      <c r="D347" t="s">
        <v>1758</v>
      </c>
      <c r="E347">
        <v>28982</v>
      </c>
      <c r="F347" t="s">
        <v>1744</v>
      </c>
      <c r="G347" t="s">
        <v>1745</v>
      </c>
      <c r="H347" t="s">
        <v>1759</v>
      </c>
      <c r="I347">
        <v>62.8</v>
      </c>
      <c r="J347">
        <v>62.8</v>
      </c>
      <c r="K347" t="s">
        <v>199</v>
      </c>
      <c r="L347">
        <v>1</v>
      </c>
      <c r="M347">
        <v>2021</v>
      </c>
      <c r="O347" t="str">
        <f t="shared" si="11"/>
        <v>Alto fuste</v>
      </c>
      <c r="P347" s="2">
        <v>44294</v>
      </c>
      <c r="Q347" t="s">
        <v>174</v>
      </c>
      <c r="R347" t="s">
        <v>427</v>
      </c>
      <c r="S347" t="s">
        <v>154</v>
      </c>
      <c r="T347" t="s">
        <v>199</v>
      </c>
      <c r="U347" t="s">
        <v>156</v>
      </c>
      <c r="V347" s="2">
        <v>44763</v>
      </c>
      <c r="W347" t="s">
        <v>1747</v>
      </c>
      <c r="X347">
        <v>466.34</v>
      </c>
      <c r="Y347">
        <v>21.4</v>
      </c>
      <c r="Z347">
        <v>19</v>
      </c>
      <c r="AA347">
        <v>14.8</v>
      </c>
      <c r="AB347">
        <v>0</v>
      </c>
      <c r="AC347">
        <v>316.72000000000003</v>
      </c>
      <c r="AD347">
        <v>299.46464326381601</v>
      </c>
      <c r="AE347" s="2">
        <v>45729</v>
      </c>
      <c r="AF347">
        <v>47</v>
      </c>
      <c r="AG347">
        <v>3.9288158795345698</v>
      </c>
      <c r="AH347">
        <v>21.1142857142857</v>
      </c>
      <c r="AI347">
        <v>13.7</v>
      </c>
      <c r="AJ347">
        <v>17.534595811891901</v>
      </c>
      <c r="AK347">
        <v>35</v>
      </c>
      <c r="AL347">
        <v>1168.7523314452301</v>
      </c>
      <c r="AM347">
        <v>168.969864655984</v>
      </c>
      <c r="AN347">
        <v>0.14457285783297</v>
      </c>
      <c r="AO347" t="s">
        <v>427</v>
      </c>
      <c r="AP347" t="s">
        <v>158</v>
      </c>
      <c r="AQ347" t="s">
        <v>281</v>
      </c>
      <c r="AR347">
        <v>9</v>
      </c>
      <c r="AS347">
        <v>1.05187709830071</v>
      </c>
      <c r="AT347" t="s">
        <v>1760</v>
      </c>
      <c r="AU347" t="s">
        <v>1758</v>
      </c>
      <c r="AV347">
        <v>1213</v>
      </c>
      <c r="AW347">
        <v>700</v>
      </c>
      <c r="AX347">
        <v>375</v>
      </c>
      <c r="AY347">
        <v>125</v>
      </c>
      <c r="AZ347">
        <v>13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1E-3</v>
      </c>
      <c r="BH347">
        <v>22.240998999999999</v>
      </c>
      <c r="BI347">
        <v>13.265701</v>
      </c>
      <c r="BJ347">
        <v>1E-3</v>
      </c>
      <c r="BK347">
        <v>7.8315219999999997</v>
      </c>
      <c r="BL347">
        <v>61.332737000000002</v>
      </c>
      <c r="BM347">
        <v>0.59035899999999997</v>
      </c>
      <c r="BN347">
        <v>14.130998999999999</v>
      </c>
      <c r="BO347">
        <v>-0.89500999999999997</v>
      </c>
      <c r="BP347">
        <v>2.0163920000000002</v>
      </c>
      <c r="BQ347">
        <v>6.8960980000000003</v>
      </c>
      <c r="BR347">
        <v>2.0179999999999998</v>
      </c>
      <c r="BS347">
        <v>17.356999999999999</v>
      </c>
      <c r="BT347">
        <v>13.265701</v>
      </c>
      <c r="BU347">
        <v>4.0138550000000004</v>
      </c>
      <c r="BV347">
        <v>-1.2342930000000001</v>
      </c>
      <c r="BW347">
        <v>5.77E-3</v>
      </c>
      <c r="BX347">
        <v>0.30257400000000001</v>
      </c>
      <c r="BY347">
        <v>-0.307508</v>
      </c>
      <c r="BZ347">
        <v>1.438E-3</v>
      </c>
      <c r="CA347">
        <v>4.1200000000000004E-3</v>
      </c>
      <c r="CB347">
        <v>1.7000000000000001E-2</v>
      </c>
      <c r="CC347">
        <v>3.7199999999999997E-2</v>
      </c>
      <c r="CD347">
        <v>0.47839900000000002</v>
      </c>
      <c r="CE347">
        <v>4.6900000000000004</v>
      </c>
      <c r="CF347">
        <v>13.0908</v>
      </c>
      <c r="CG347">
        <v>16.3978</v>
      </c>
      <c r="CH347">
        <v>17.358000000000001</v>
      </c>
      <c r="CI347">
        <v>17.873999000000001</v>
      </c>
      <c r="CJ347">
        <v>18.555201</v>
      </c>
      <c r="CK347">
        <v>18.820999</v>
      </c>
      <c r="CL347">
        <v>19.1968</v>
      </c>
      <c r="CM347">
        <v>19.889799</v>
      </c>
      <c r="CN347">
        <v>20.432400000000001</v>
      </c>
      <c r="CO347">
        <v>21.4114</v>
      </c>
      <c r="CP347">
        <v>0.59643400000000002</v>
      </c>
      <c r="CQ347">
        <v>15.403278999999999</v>
      </c>
      <c r="CR347">
        <v>16.316344000000001</v>
      </c>
      <c r="CS347">
        <v>22</v>
      </c>
      <c r="CT347">
        <v>450</v>
      </c>
      <c r="CU347">
        <v>102.58367699999999</v>
      </c>
      <c r="CV347">
        <v>55.968254000000002</v>
      </c>
      <c r="CW347">
        <v>62.054476000000001</v>
      </c>
      <c r="CX347">
        <v>3850.7580499999999</v>
      </c>
      <c r="CY347">
        <v>0.60491600000000001</v>
      </c>
      <c r="CZ347">
        <v>81</v>
      </c>
      <c r="DA347">
        <v>1.50972</v>
      </c>
      <c r="DB347">
        <v>6.6095179999999996</v>
      </c>
      <c r="DC347">
        <v>48.017575000000001</v>
      </c>
      <c r="DD347">
        <v>102.58367699999999</v>
      </c>
      <c r="DE347">
        <v>32.744669000000002</v>
      </c>
      <c r="DF347">
        <v>7.8271389999999998</v>
      </c>
      <c r="DG347">
        <v>3.914533</v>
      </c>
      <c r="DH347">
        <v>0.31919999999999998</v>
      </c>
      <c r="DI347">
        <v>0.239036</v>
      </c>
      <c r="DJ347">
        <v>0.119547</v>
      </c>
      <c r="DK347">
        <v>27.119999</v>
      </c>
      <c r="DL347">
        <v>34</v>
      </c>
      <c r="DM347">
        <v>39</v>
      </c>
      <c r="DN347">
        <v>50</v>
      </c>
      <c r="DO347">
        <v>56</v>
      </c>
      <c r="DP347">
        <v>61</v>
      </c>
      <c r="DQ347">
        <v>73</v>
      </c>
      <c r="DR347">
        <v>88</v>
      </c>
      <c r="DS347">
        <v>105</v>
      </c>
      <c r="DT347">
        <v>125</v>
      </c>
      <c r="DU347">
        <v>137</v>
      </c>
      <c r="DV347">
        <v>151.599976</v>
      </c>
      <c r="DW347">
        <v>179</v>
      </c>
      <c r="DX347">
        <v>215.400024</v>
      </c>
      <c r="DY347">
        <v>326.32006799999999</v>
      </c>
      <c r="DZ347">
        <v>97.285713999999999</v>
      </c>
      <c r="EA347">
        <v>76.834294999999997</v>
      </c>
      <c r="EB347">
        <v>133.14285699999999</v>
      </c>
      <c r="EC347">
        <v>681</v>
      </c>
      <c r="ED347">
        <v>932</v>
      </c>
      <c r="EE347">
        <v>94.285713999999999</v>
      </c>
      <c r="EF347">
        <v>100</v>
      </c>
      <c r="EG347">
        <v>69.826875999999999</v>
      </c>
      <c r="EH347">
        <v>99.670238999999995</v>
      </c>
      <c r="EI347">
        <v>121</v>
      </c>
      <c r="EJ347">
        <v>172.71428599999999</v>
      </c>
      <c r="EK347">
        <v>660</v>
      </c>
      <c r="EL347">
        <v>700</v>
      </c>
      <c r="EM347">
        <v>847</v>
      </c>
      <c r="EN347">
        <v>1209</v>
      </c>
      <c r="EO347">
        <v>700</v>
      </c>
      <c r="EP347">
        <v>1213</v>
      </c>
      <c r="EQ347">
        <v>60.944324000000002</v>
      </c>
    </row>
    <row r="348" spans="1:147" x14ac:dyDescent="0.25">
      <c r="A348">
        <v>2025</v>
      </c>
      <c r="B348" t="str">
        <f t="shared" si="10"/>
        <v>GN</v>
      </c>
      <c r="C348" t="s">
        <v>1761</v>
      </c>
      <c r="D348" t="s">
        <v>1761</v>
      </c>
      <c r="E348">
        <v>28983</v>
      </c>
      <c r="F348" t="s">
        <v>1744</v>
      </c>
      <c r="G348" t="s">
        <v>1745</v>
      </c>
      <c r="H348" t="s">
        <v>1759</v>
      </c>
      <c r="I348">
        <v>62.8</v>
      </c>
      <c r="J348">
        <v>62.8</v>
      </c>
      <c r="K348" t="s">
        <v>199</v>
      </c>
      <c r="L348">
        <v>1</v>
      </c>
      <c r="M348">
        <v>2021</v>
      </c>
      <c r="O348" t="str">
        <f t="shared" si="11"/>
        <v>Alto fuste</v>
      </c>
      <c r="P348" s="2">
        <v>44294</v>
      </c>
      <c r="Q348" t="s">
        <v>174</v>
      </c>
      <c r="R348" t="s">
        <v>427</v>
      </c>
      <c r="S348" t="s">
        <v>154</v>
      </c>
      <c r="T348" t="s">
        <v>199</v>
      </c>
      <c r="U348" t="s">
        <v>156</v>
      </c>
      <c r="V348" s="2">
        <v>45729</v>
      </c>
      <c r="W348" t="s">
        <v>1747</v>
      </c>
      <c r="X348">
        <v>466.34</v>
      </c>
      <c r="Y348">
        <v>20.399999999999999</v>
      </c>
      <c r="Z348">
        <v>24</v>
      </c>
      <c r="AA348">
        <v>15.4</v>
      </c>
      <c r="AB348">
        <v>9</v>
      </c>
      <c r="AC348">
        <v>314.16000000000003</v>
      </c>
      <c r="AD348">
        <v>283.46600160635398</v>
      </c>
      <c r="AE348" s="2">
        <v>45729</v>
      </c>
      <c r="AF348">
        <v>47</v>
      </c>
      <c r="AG348">
        <v>3.9288158795345698</v>
      </c>
      <c r="AH348">
        <v>20.841025641025599</v>
      </c>
      <c r="AI348">
        <v>13.3153846153846</v>
      </c>
      <c r="AJ348">
        <v>19.859103295963799</v>
      </c>
      <c r="AK348">
        <v>39</v>
      </c>
      <c r="AL348">
        <v>1375.8263699700699</v>
      </c>
      <c r="AM348">
        <v>193.01718676003</v>
      </c>
      <c r="AN348">
        <v>0.14029182095428899</v>
      </c>
      <c r="AO348" t="s">
        <v>427</v>
      </c>
      <c r="AP348" t="s">
        <v>158</v>
      </c>
      <c r="AQ348" t="s">
        <v>281</v>
      </c>
      <c r="AR348">
        <v>9</v>
      </c>
      <c r="AS348">
        <v>1.2382437329730629</v>
      </c>
      <c r="AT348" t="s">
        <v>1762</v>
      </c>
      <c r="AU348" t="s">
        <v>1761</v>
      </c>
      <c r="AV348">
        <v>1241</v>
      </c>
      <c r="AW348">
        <v>714</v>
      </c>
      <c r="AX348">
        <v>413</v>
      </c>
      <c r="AY348">
        <v>105</v>
      </c>
      <c r="AZ348">
        <v>7</v>
      </c>
      <c r="BA348">
        <v>2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23.941998999999999</v>
      </c>
      <c r="BI348">
        <v>15.489401000000001</v>
      </c>
      <c r="BJ348">
        <v>0</v>
      </c>
      <c r="BK348">
        <v>7.938758</v>
      </c>
      <c r="BL348">
        <v>63.023885</v>
      </c>
      <c r="BM348">
        <v>0.51252799999999998</v>
      </c>
      <c r="BN348">
        <v>11.290998999999999</v>
      </c>
      <c r="BO348">
        <v>-1.104295</v>
      </c>
      <c r="BP348">
        <v>2.4836279999999999</v>
      </c>
      <c r="BQ348">
        <v>6.7190050000000001</v>
      </c>
      <c r="BR348">
        <v>1.859999</v>
      </c>
      <c r="BS348">
        <v>19.256001000000001</v>
      </c>
      <c r="BT348">
        <v>15.489401000000001</v>
      </c>
      <c r="BU348">
        <v>3.9652020000000001</v>
      </c>
      <c r="BV348">
        <v>-1.4710080000000001</v>
      </c>
      <c r="BW348">
        <v>0.31131500000000001</v>
      </c>
      <c r="BX348">
        <v>0.25599499999999997</v>
      </c>
      <c r="BY348">
        <v>-0.370979</v>
      </c>
      <c r="BZ348">
        <v>7.8511999999999998E-2</v>
      </c>
      <c r="CA348">
        <v>7.4000000000000003E-3</v>
      </c>
      <c r="CB348">
        <v>2.8000000000000001E-2</v>
      </c>
      <c r="CC348">
        <v>9.8000000000000004E-2</v>
      </c>
      <c r="CD348">
        <v>4.7069999999999999</v>
      </c>
      <c r="CE348">
        <v>9.5150000000000006</v>
      </c>
      <c r="CF348">
        <v>17.452000000000002</v>
      </c>
      <c r="CG348">
        <v>18.584</v>
      </c>
      <c r="CH348">
        <v>19.256001000000001</v>
      </c>
      <c r="CI348">
        <v>19.902000000000001</v>
      </c>
      <c r="CJ348">
        <v>20.497</v>
      </c>
      <c r="CK348">
        <v>20.806000000000001</v>
      </c>
      <c r="CL348">
        <v>21.131001000000001</v>
      </c>
      <c r="CM348">
        <v>21.802</v>
      </c>
      <c r="CN348">
        <v>22.343</v>
      </c>
      <c r="CO348">
        <v>23.186399000000002</v>
      </c>
      <c r="CP348">
        <v>0.64695499999999995</v>
      </c>
      <c r="CQ348">
        <v>17.403869</v>
      </c>
      <c r="CR348">
        <v>18.262025999999999</v>
      </c>
      <c r="CS348">
        <v>21</v>
      </c>
      <c r="CT348">
        <v>462</v>
      </c>
      <c r="CU348">
        <v>103.157937</v>
      </c>
      <c r="CV348">
        <v>42</v>
      </c>
      <c r="CW348">
        <v>63.055691000000003</v>
      </c>
      <c r="CX348">
        <v>3976.0201969999998</v>
      </c>
      <c r="CY348">
        <v>0.61125399999999996</v>
      </c>
      <c r="CZ348">
        <v>82</v>
      </c>
      <c r="DA348">
        <v>1.495403</v>
      </c>
      <c r="DB348">
        <v>6.4397289999999998</v>
      </c>
      <c r="DC348">
        <v>48.779727999999999</v>
      </c>
      <c r="DD348">
        <v>103.157937</v>
      </c>
      <c r="DE348">
        <v>33.282736</v>
      </c>
      <c r="DF348">
        <v>8.1939109999999999</v>
      </c>
      <c r="DG348">
        <v>3.9930400000000001</v>
      </c>
      <c r="DH348">
        <v>0.32263900000000001</v>
      </c>
      <c r="DI348">
        <v>0.24619099999999999</v>
      </c>
      <c r="DJ348">
        <v>0.119973</v>
      </c>
      <c r="DK348">
        <v>27</v>
      </c>
      <c r="DL348">
        <v>34</v>
      </c>
      <c r="DM348">
        <v>40</v>
      </c>
      <c r="DN348">
        <v>50</v>
      </c>
      <c r="DO348">
        <v>55</v>
      </c>
      <c r="DP348">
        <v>59</v>
      </c>
      <c r="DQ348">
        <v>74</v>
      </c>
      <c r="DR348">
        <v>88</v>
      </c>
      <c r="DS348">
        <v>103</v>
      </c>
      <c r="DT348">
        <v>125</v>
      </c>
      <c r="DU348">
        <v>137</v>
      </c>
      <c r="DV348">
        <v>150</v>
      </c>
      <c r="DW348">
        <v>187</v>
      </c>
      <c r="DX348">
        <v>214</v>
      </c>
      <c r="DY348">
        <v>326.79992700000003</v>
      </c>
      <c r="DZ348">
        <v>97.759103999999994</v>
      </c>
      <c r="EA348">
        <v>84.206284999999994</v>
      </c>
      <c r="EB348">
        <v>146.358543</v>
      </c>
      <c r="EC348">
        <v>698</v>
      </c>
      <c r="ED348">
        <v>1045</v>
      </c>
      <c r="EE348">
        <v>94.817926999999997</v>
      </c>
      <c r="EF348">
        <v>100</v>
      </c>
      <c r="EG348">
        <v>73.408541</v>
      </c>
      <c r="EH348">
        <v>99.838840000000005</v>
      </c>
      <c r="EI348">
        <v>127.591036</v>
      </c>
      <c r="EJ348">
        <v>173.52941200000001</v>
      </c>
      <c r="EK348">
        <v>677</v>
      </c>
      <c r="EL348">
        <v>714</v>
      </c>
      <c r="EM348">
        <v>911</v>
      </c>
      <c r="EN348">
        <v>1239</v>
      </c>
      <c r="EO348">
        <v>714</v>
      </c>
      <c r="EP348">
        <v>1241</v>
      </c>
      <c r="EQ348">
        <v>65.798314000000005</v>
      </c>
    </row>
    <row r="349" spans="1:147" x14ac:dyDescent="0.25">
      <c r="A349">
        <v>2025</v>
      </c>
      <c r="B349" t="str">
        <f t="shared" si="10"/>
        <v>GN</v>
      </c>
      <c r="C349" t="s">
        <v>1763</v>
      </c>
      <c r="D349" t="s">
        <v>1763</v>
      </c>
      <c r="E349">
        <v>28984</v>
      </c>
      <c r="F349" t="s">
        <v>1744</v>
      </c>
      <c r="G349" t="s">
        <v>1745</v>
      </c>
      <c r="H349" t="s">
        <v>1759</v>
      </c>
      <c r="I349">
        <v>62.8</v>
      </c>
      <c r="J349">
        <v>62.8</v>
      </c>
      <c r="K349" t="s">
        <v>199</v>
      </c>
      <c r="L349">
        <v>1</v>
      </c>
      <c r="M349">
        <v>2021</v>
      </c>
      <c r="O349" t="str">
        <f t="shared" si="11"/>
        <v>Alto fuste</v>
      </c>
      <c r="P349" s="2">
        <v>44294</v>
      </c>
      <c r="Q349" t="s">
        <v>174</v>
      </c>
      <c r="R349" t="s">
        <v>427</v>
      </c>
      <c r="S349" t="s">
        <v>154</v>
      </c>
      <c r="T349" t="s">
        <v>199</v>
      </c>
      <c r="U349" t="s">
        <v>156</v>
      </c>
      <c r="V349" s="2">
        <v>44764</v>
      </c>
      <c r="W349" t="s">
        <v>1747</v>
      </c>
      <c r="X349">
        <v>466.34</v>
      </c>
      <c r="Y349">
        <v>21.5</v>
      </c>
      <c r="Z349">
        <v>8</v>
      </c>
      <c r="AA349">
        <v>14.8</v>
      </c>
      <c r="AB349">
        <v>1</v>
      </c>
      <c r="AC349">
        <v>318.2</v>
      </c>
      <c r="AD349">
        <v>315.05530771482103</v>
      </c>
      <c r="AE349" s="2">
        <v>45729</v>
      </c>
      <c r="AF349">
        <v>47</v>
      </c>
      <c r="AG349">
        <v>3.9288158795345698</v>
      </c>
      <c r="AH349">
        <v>20.769696969697002</v>
      </c>
      <c r="AI349">
        <v>14.2060606060606</v>
      </c>
      <c r="AJ349">
        <v>16.927519476690399</v>
      </c>
      <c r="AK349">
        <v>33</v>
      </c>
      <c r="AL349">
        <v>1047.43513890808</v>
      </c>
      <c r="AM349">
        <v>160.34446684261201</v>
      </c>
      <c r="AN349">
        <v>0.15308295558020599</v>
      </c>
      <c r="AO349" t="s">
        <v>427</v>
      </c>
      <c r="AP349" t="s">
        <v>158</v>
      </c>
      <c r="AQ349" t="s">
        <v>281</v>
      </c>
      <c r="AR349">
        <v>9</v>
      </c>
      <c r="AS349">
        <v>0.94269162501726778</v>
      </c>
      <c r="AT349" t="s">
        <v>1764</v>
      </c>
      <c r="AU349" t="s">
        <v>1763</v>
      </c>
      <c r="AV349">
        <v>1197</v>
      </c>
      <c r="AW349">
        <v>705</v>
      </c>
      <c r="AX349">
        <v>387</v>
      </c>
      <c r="AY349">
        <v>103</v>
      </c>
      <c r="AZ349">
        <v>2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21.856999999999999</v>
      </c>
      <c r="BI349">
        <v>13.348291</v>
      </c>
      <c r="BJ349">
        <v>0</v>
      </c>
      <c r="BK349">
        <v>7.9764220000000003</v>
      </c>
      <c r="BL349">
        <v>63.623309999999996</v>
      </c>
      <c r="BM349">
        <v>0.59756100000000001</v>
      </c>
      <c r="BN349">
        <v>14.090999</v>
      </c>
      <c r="BO349">
        <v>-0.90701900000000002</v>
      </c>
      <c r="BP349">
        <v>2.01918</v>
      </c>
      <c r="BQ349">
        <v>7.0307069999999996</v>
      </c>
      <c r="BR349">
        <v>2.0180009999999999</v>
      </c>
      <c r="BS349">
        <v>17.440000999999999</v>
      </c>
      <c r="BT349">
        <v>13.348291</v>
      </c>
      <c r="BU349">
        <v>4.0616149999999998</v>
      </c>
      <c r="BV349">
        <v>-1.2700670000000001</v>
      </c>
      <c r="BW349">
        <v>-2.2429000000000001E-2</v>
      </c>
      <c r="BX349">
        <v>0.30427999999999999</v>
      </c>
      <c r="BY349">
        <v>-0.31269999999999998</v>
      </c>
      <c r="BZ349">
        <v>-5.522E-3</v>
      </c>
      <c r="CA349">
        <v>3.0000000000000001E-3</v>
      </c>
      <c r="CB349">
        <v>1.2800000000000001E-2</v>
      </c>
      <c r="CC349">
        <v>2.7E-2</v>
      </c>
      <c r="CD349">
        <v>8.1000000000000003E-2</v>
      </c>
      <c r="CE349">
        <v>5.032</v>
      </c>
      <c r="CF349">
        <v>12.491999</v>
      </c>
      <c r="CG349">
        <v>16.698</v>
      </c>
      <c r="CH349">
        <v>17.440000999999999</v>
      </c>
      <c r="CI349">
        <v>18.1374</v>
      </c>
      <c r="CJ349">
        <v>18.732599</v>
      </c>
      <c r="CK349">
        <v>19.122999</v>
      </c>
      <c r="CL349">
        <v>19.341000000000001</v>
      </c>
      <c r="CM349">
        <v>20.089200999999999</v>
      </c>
      <c r="CN349">
        <v>20.527201000000002</v>
      </c>
      <c r="CO349">
        <v>21.110040999999999</v>
      </c>
      <c r="CP349">
        <v>0.61070999999999998</v>
      </c>
      <c r="CQ349">
        <v>15.548216</v>
      </c>
      <c r="CR349">
        <v>16.465610999999999</v>
      </c>
      <c r="CS349">
        <v>23</v>
      </c>
      <c r="CT349">
        <v>471</v>
      </c>
      <c r="CU349">
        <v>106.092732</v>
      </c>
      <c r="CV349">
        <v>37.222222000000002</v>
      </c>
      <c r="CW349">
        <v>71.002571000000003</v>
      </c>
      <c r="CX349">
        <v>5041.3651390000005</v>
      </c>
      <c r="CY349">
        <v>0.66925000000000001</v>
      </c>
      <c r="CZ349">
        <v>82</v>
      </c>
      <c r="DA349">
        <v>1.755002</v>
      </c>
      <c r="DB349">
        <v>6.8887280000000004</v>
      </c>
      <c r="DC349">
        <v>52.668911000000001</v>
      </c>
      <c r="DD349">
        <v>106.092732</v>
      </c>
      <c r="DE349">
        <v>36.212643</v>
      </c>
      <c r="DF349">
        <v>10.81739</v>
      </c>
      <c r="DG349">
        <v>5.8777439999999999</v>
      </c>
      <c r="DH349">
        <v>0.34133000000000002</v>
      </c>
      <c r="DI349">
        <v>0.29871900000000001</v>
      </c>
      <c r="DJ349">
        <v>0.16231200000000001</v>
      </c>
      <c r="DK349">
        <v>27</v>
      </c>
      <c r="DL349">
        <v>34.799999</v>
      </c>
      <c r="DM349">
        <v>40</v>
      </c>
      <c r="DN349">
        <v>49</v>
      </c>
      <c r="DO349">
        <v>54</v>
      </c>
      <c r="DP349">
        <v>58</v>
      </c>
      <c r="DQ349">
        <v>73</v>
      </c>
      <c r="DR349">
        <v>87</v>
      </c>
      <c r="DS349">
        <v>104</v>
      </c>
      <c r="DT349">
        <v>124</v>
      </c>
      <c r="DU349">
        <v>136</v>
      </c>
      <c r="DV349">
        <v>150</v>
      </c>
      <c r="DW349">
        <v>190.400024</v>
      </c>
      <c r="DX349">
        <v>250.399902</v>
      </c>
      <c r="DY349">
        <v>375.12011699999999</v>
      </c>
      <c r="DZ349">
        <v>94.751773</v>
      </c>
      <c r="EA349">
        <v>76.190476000000004</v>
      </c>
      <c r="EB349">
        <v>129.36170200000001</v>
      </c>
      <c r="EC349">
        <v>668</v>
      </c>
      <c r="ED349">
        <v>912</v>
      </c>
      <c r="EE349">
        <v>92.48227</v>
      </c>
      <c r="EF349">
        <v>100</v>
      </c>
      <c r="EG349">
        <v>69.841269999999994</v>
      </c>
      <c r="EH349">
        <v>99.916458000000006</v>
      </c>
      <c r="EI349">
        <v>118.58156</v>
      </c>
      <c r="EJ349">
        <v>169.64538999999999</v>
      </c>
      <c r="EK349">
        <v>652</v>
      </c>
      <c r="EL349">
        <v>705</v>
      </c>
      <c r="EM349">
        <v>836</v>
      </c>
      <c r="EN349">
        <v>1196</v>
      </c>
      <c r="EO349">
        <v>705</v>
      </c>
      <c r="EP349">
        <v>1197</v>
      </c>
      <c r="EQ349">
        <v>62.245542999999998</v>
      </c>
    </row>
    <row r="350" spans="1:147" x14ac:dyDescent="0.25">
      <c r="A350">
        <v>2025</v>
      </c>
      <c r="B350" t="str">
        <f t="shared" si="10"/>
        <v>GN</v>
      </c>
      <c r="C350" t="s">
        <v>1765</v>
      </c>
      <c r="D350" t="s">
        <v>1765</v>
      </c>
      <c r="E350">
        <v>24685</v>
      </c>
      <c r="F350" t="s">
        <v>1766</v>
      </c>
      <c r="G350" t="s">
        <v>1767</v>
      </c>
      <c r="H350" t="s">
        <v>1768</v>
      </c>
      <c r="I350">
        <v>29.18</v>
      </c>
      <c r="J350">
        <v>29.18</v>
      </c>
      <c r="K350" t="s">
        <v>199</v>
      </c>
      <c r="L350">
        <v>1</v>
      </c>
      <c r="M350">
        <v>2016</v>
      </c>
      <c r="O350" t="str">
        <f t="shared" si="11"/>
        <v>Alto fuste</v>
      </c>
      <c r="P350" s="2">
        <v>42598</v>
      </c>
      <c r="Q350" t="s">
        <v>174</v>
      </c>
      <c r="R350" t="s">
        <v>314</v>
      </c>
      <c r="S350" t="s">
        <v>154</v>
      </c>
      <c r="T350" t="s">
        <v>199</v>
      </c>
      <c r="U350" t="s">
        <v>156</v>
      </c>
      <c r="V350" s="2">
        <v>45727</v>
      </c>
      <c r="W350" t="s">
        <v>1769</v>
      </c>
      <c r="X350">
        <v>140.99</v>
      </c>
      <c r="Y350">
        <v>19</v>
      </c>
      <c r="Z350">
        <v>14</v>
      </c>
      <c r="AA350">
        <v>15.4</v>
      </c>
      <c r="AB350">
        <v>3</v>
      </c>
      <c r="AC350">
        <v>292.60000000000002</v>
      </c>
      <c r="AD350">
        <v>283.51944273578499</v>
      </c>
      <c r="AE350" s="2">
        <v>45727</v>
      </c>
      <c r="AF350">
        <v>103</v>
      </c>
      <c r="AG350">
        <v>8.5667351129363407</v>
      </c>
      <c r="AH350">
        <v>32.790624999999999</v>
      </c>
      <c r="AI350">
        <v>18.681249999999999</v>
      </c>
      <c r="AJ350">
        <v>31.2548749740935</v>
      </c>
      <c r="AK350">
        <v>32</v>
      </c>
      <c r="AL350">
        <v>1128.6703899817201</v>
      </c>
      <c r="AM350">
        <v>464.54370699331901</v>
      </c>
      <c r="AN350">
        <v>0.41158491541613001</v>
      </c>
      <c r="AO350" t="s">
        <v>314</v>
      </c>
      <c r="AP350" t="s">
        <v>158</v>
      </c>
      <c r="AQ350" t="s">
        <v>281</v>
      </c>
      <c r="AR350">
        <v>9</v>
      </c>
      <c r="AS350">
        <v>1.0158033509835529</v>
      </c>
      <c r="AT350" t="s">
        <v>1770</v>
      </c>
      <c r="AU350" t="s">
        <v>1765</v>
      </c>
      <c r="AV350">
        <v>1315</v>
      </c>
      <c r="AW350">
        <v>774</v>
      </c>
      <c r="AX350">
        <v>405</v>
      </c>
      <c r="AY350">
        <v>115</v>
      </c>
      <c r="AZ350">
        <v>20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1E-3</v>
      </c>
      <c r="BH350">
        <v>35.207000999999998</v>
      </c>
      <c r="BI350">
        <v>24.373752</v>
      </c>
      <c r="BJ350">
        <v>1E-3</v>
      </c>
      <c r="BK350">
        <v>11.235279</v>
      </c>
      <c r="BL350">
        <v>126.23148399999999</v>
      </c>
      <c r="BM350">
        <v>0.46095799999999998</v>
      </c>
      <c r="BN350">
        <v>10.926498</v>
      </c>
      <c r="BO350">
        <v>-1.2806679999999999</v>
      </c>
      <c r="BP350">
        <v>3.2939219999999998</v>
      </c>
      <c r="BQ350">
        <v>8.6671639999999996</v>
      </c>
      <c r="BR350">
        <v>5.0220010000000004</v>
      </c>
      <c r="BS350">
        <v>27.925001000000002</v>
      </c>
      <c r="BT350">
        <v>24.373752</v>
      </c>
      <c r="BU350">
        <v>5.707192</v>
      </c>
      <c r="BV350">
        <v>-2.052022</v>
      </c>
      <c r="BW350">
        <v>0.52565799999999996</v>
      </c>
      <c r="BX350">
        <v>0.234153</v>
      </c>
      <c r="BY350">
        <v>-0.35954999999999998</v>
      </c>
      <c r="BZ350">
        <v>9.2105000000000006E-2</v>
      </c>
      <c r="CA350">
        <v>6.0000000000000001E-3</v>
      </c>
      <c r="CB350">
        <v>4.4699999999999997E-2</v>
      </c>
      <c r="CC350">
        <v>0.436</v>
      </c>
      <c r="CD350">
        <v>19.220400000000001</v>
      </c>
      <c r="CE350">
        <v>21.765999000000001</v>
      </c>
      <c r="CF350">
        <v>23.277201000000002</v>
      </c>
      <c r="CG350">
        <v>25.486000000000001</v>
      </c>
      <c r="CH350">
        <v>27.926000999999999</v>
      </c>
      <c r="CI350">
        <v>31.629601000000001</v>
      </c>
      <c r="CJ350">
        <v>32.351199999999999</v>
      </c>
      <c r="CK350">
        <v>32.692497000000003</v>
      </c>
      <c r="CL350">
        <v>33.011600000000001</v>
      </c>
      <c r="CM350">
        <v>33.638199</v>
      </c>
      <c r="CN350">
        <v>34.0989</v>
      </c>
      <c r="CO350">
        <v>34.743895999999999</v>
      </c>
      <c r="CP350">
        <v>0.69228999999999996</v>
      </c>
      <c r="CQ350">
        <v>26.836827</v>
      </c>
      <c r="CR350">
        <v>27.972846000000001</v>
      </c>
      <c r="CS350">
        <v>20</v>
      </c>
      <c r="CT350">
        <v>527</v>
      </c>
      <c r="CU350">
        <v>143.87528499999999</v>
      </c>
      <c r="CV350">
        <v>28.047619000000001</v>
      </c>
      <c r="CW350">
        <v>93.951173999999995</v>
      </c>
      <c r="CX350">
        <v>8826.8230949999997</v>
      </c>
      <c r="CY350">
        <v>0.65300400000000003</v>
      </c>
      <c r="CZ350">
        <v>158</v>
      </c>
      <c r="DA350">
        <v>0.70591899999999996</v>
      </c>
      <c r="DB350">
        <v>3.0806200000000001</v>
      </c>
      <c r="DC350">
        <v>80.088517999999993</v>
      </c>
      <c r="DD350">
        <v>143.87528499999999</v>
      </c>
      <c r="DE350">
        <v>52.465285999999999</v>
      </c>
      <c r="DF350">
        <v>8.1405069999999995</v>
      </c>
      <c r="DG350">
        <v>0.85017399999999999</v>
      </c>
      <c r="DH350">
        <v>0.36465799999999998</v>
      </c>
      <c r="DI350">
        <v>0.15515999999999999</v>
      </c>
      <c r="DJ350">
        <v>1.6205000000000001E-2</v>
      </c>
      <c r="DK350">
        <v>27</v>
      </c>
      <c r="DL350">
        <v>32</v>
      </c>
      <c r="DM350">
        <v>37</v>
      </c>
      <c r="DN350">
        <v>50</v>
      </c>
      <c r="DO350">
        <v>58</v>
      </c>
      <c r="DP350">
        <v>68</v>
      </c>
      <c r="DQ350">
        <v>92</v>
      </c>
      <c r="DR350">
        <v>129</v>
      </c>
      <c r="DS350">
        <v>166</v>
      </c>
      <c r="DT350">
        <v>201</v>
      </c>
      <c r="DU350">
        <v>216</v>
      </c>
      <c r="DV350">
        <v>231</v>
      </c>
      <c r="DW350">
        <v>267</v>
      </c>
      <c r="DX350">
        <v>301.600098</v>
      </c>
      <c r="DY350">
        <v>383.01989700000001</v>
      </c>
      <c r="DZ350">
        <v>97.028424000000001</v>
      </c>
      <c r="EA350">
        <v>85.399240000000006</v>
      </c>
      <c r="EB350">
        <v>145.090439</v>
      </c>
      <c r="EC350">
        <v>751</v>
      </c>
      <c r="ED350">
        <v>1123</v>
      </c>
      <c r="EE350">
        <v>89.018088000000006</v>
      </c>
      <c r="EF350">
        <v>99.870801</v>
      </c>
      <c r="EG350">
        <v>65.171103000000002</v>
      </c>
      <c r="EH350">
        <v>99.847909000000001</v>
      </c>
      <c r="EI350">
        <v>110.72351399999999</v>
      </c>
      <c r="EJ350">
        <v>169.63824299999999</v>
      </c>
      <c r="EK350">
        <v>689</v>
      </c>
      <c r="EL350">
        <v>773</v>
      </c>
      <c r="EM350">
        <v>857</v>
      </c>
      <c r="EN350">
        <v>1313</v>
      </c>
      <c r="EO350">
        <v>774</v>
      </c>
      <c r="EP350">
        <v>1315</v>
      </c>
      <c r="EQ350">
        <v>69.154150000000001</v>
      </c>
    </row>
    <row r="351" spans="1:147" x14ac:dyDescent="0.25">
      <c r="A351">
        <v>2025</v>
      </c>
      <c r="B351" t="str">
        <f t="shared" si="10"/>
        <v>NE</v>
      </c>
      <c r="C351" t="s">
        <v>1771</v>
      </c>
      <c r="D351" t="s">
        <v>1771</v>
      </c>
      <c r="E351">
        <v>27786</v>
      </c>
      <c r="F351" t="s">
        <v>1772</v>
      </c>
      <c r="G351" t="s">
        <v>1773</v>
      </c>
      <c r="H351" t="s">
        <v>1774</v>
      </c>
      <c r="I351">
        <v>39.049999999999997</v>
      </c>
      <c r="J351">
        <v>39.049999999999997</v>
      </c>
      <c r="K351" t="s">
        <v>461</v>
      </c>
      <c r="L351">
        <v>1</v>
      </c>
      <c r="M351">
        <v>2020</v>
      </c>
      <c r="O351" t="str">
        <f t="shared" si="11"/>
        <v>Talhadia</v>
      </c>
      <c r="P351" s="2">
        <v>44063</v>
      </c>
      <c r="Q351" t="s">
        <v>174</v>
      </c>
      <c r="R351" t="s">
        <v>262</v>
      </c>
      <c r="S351" t="s">
        <v>154</v>
      </c>
      <c r="T351" t="s">
        <v>155</v>
      </c>
      <c r="U351" t="s">
        <v>156</v>
      </c>
      <c r="V351" s="2">
        <v>45734</v>
      </c>
      <c r="W351" t="s">
        <v>1775</v>
      </c>
      <c r="X351">
        <v>158.29</v>
      </c>
      <c r="Y351">
        <v>20.5</v>
      </c>
      <c r="Z351">
        <v>13</v>
      </c>
      <c r="AA351">
        <v>13.8</v>
      </c>
      <c r="AB351">
        <v>1</v>
      </c>
      <c r="AC351">
        <v>282.89999999999998</v>
      </c>
      <c r="AD351">
        <v>275.60730860553701</v>
      </c>
      <c r="AE351" s="2">
        <v>45734</v>
      </c>
      <c r="AF351">
        <v>55</v>
      </c>
      <c r="AG351">
        <v>4.5749486652977396</v>
      </c>
      <c r="AH351">
        <v>19.778528990891701</v>
      </c>
      <c r="AI351">
        <v>15.69</v>
      </c>
      <c r="AJ351">
        <v>16.190684871272499</v>
      </c>
      <c r="AK351">
        <v>20</v>
      </c>
      <c r="AL351">
        <v>725.67016096895395</v>
      </c>
      <c r="AM351">
        <v>149.46936447334701</v>
      </c>
      <c r="AN351">
        <v>0.205974246307396</v>
      </c>
      <c r="AO351" t="s">
        <v>262</v>
      </c>
      <c r="AP351" t="s">
        <v>264</v>
      </c>
      <c r="AQ351" t="s">
        <v>408</v>
      </c>
      <c r="AR351">
        <v>9</v>
      </c>
      <c r="AS351">
        <v>0.65310314487205789</v>
      </c>
      <c r="AT351" t="s">
        <v>1776</v>
      </c>
      <c r="AU351" t="s">
        <v>1771</v>
      </c>
      <c r="AV351">
        <v>1002</v>
      </c>
      <c r="AW351">
        <v>547</v>
      </c>
      <c r="AX351">
        <v>331</v>
      </c>
      <c r="AY351">
        <v>102</v>
      </c>
      <c r="AZ351">
        <v>21</v>
      </c>
      <c r="BA351">
        <v>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27.209</v>
      </c>
      <c r="BI351">
        <v>12.854124000000001</v>
      </c>
      <c r="BJ351">
        <v>0</v>
      </c>
      <c r="BK351">
        <v>9.8403369999999999</v>
      </c>
      <c r="BL351">
        <v>96.832239999999999</v>
      </c>
      <c r="BM351">
        <v>0.76553899999999997</v>
      </c>
      <c r="BN351">
        <v>22.1</v>
      </c>
      <c r="BO351">
        <v>-0.18118100000000001</v>
      </c>
      <c r="BP351">
        <v>1.411875</v>
      </c>
      <c r="BQ351">
        <v>8.8824459999999998</v>
      </c>
      <c r="BR351">
        <v>9.4184999999999999</v>
      </c>
      <c r="BS351">
        <v>14.2745</v>
      </c>
      <c r="BT351">
        <v>12.854124000000001</v>
      </c>
      <c r="BU351">
        <v>5.5367110000000004</v>
      </c>
      <c r="BV351">
        <v>-0.24022499999999999</v>
      </c>
      <c r="BW351">
        <v>-0.66647000000000001</v>
      </c>
      <c r="BX351">
        <v>0.43073400000000001</v>
      </c>
      <c r="BY351">
        <v>-4.3388000000000003E-2</v>
      </c>
      <c r="BZ351">
        <v>-0.12037299999999999</v>
      </c>
      <c r="CA351">
        <v>2E-3</v>
      </c>
      <c r="CB351">
        <v>8.9999999999999993E-3</v>
      </c>
      <c r="CC351">
        <v>2.4E-2</v>
      </c>
      <c r="CD351">
        <v>9.8199999999999996E-2</v>
      </c>
      <c r="CE351">
        <v>0.59775</v>
      </c>
      <c r="CF351">
        <v>1.9453</v>
      </c>
      <c r="CG351">
        <v>11.153798999999999</v>
      </c>
      <c r="CH351">
        <v>14.2745</v>
      </c>
      <c r="CI351">
        <v>18.404599999999999</v>
      </c>
      <c r="CJ351">
        <v>21.808102000000002</v>
      </c>
      <c r="CK351">
        <v>22.697749999999999</v>
      </c>
      <c r="CL351">
        <v>23.221599999999999</v>
      </c>
      <c r="CM351">
        <v>24.393999000000001</v>
      </c>
      <c r="CN351">
        <v>25.254549000000001</v>
      </c>
      <c r="CO351">
        <v>26.349430000000002</v>
      </c>
      <c r="CP351">
        <v>0.47242200000000001</v>
      </c>
      <c r="CQ351">
        <v>16.185305</v>
      </c>
      <c r="CR351">
        <v>17.844073999999999</v>
      </c>
      <c r="CS351">
        <v>20</v>
      </c>
      <c r="CT351">
        <v>587</v>
      </c>
      <c r="CU351">
        <v>126.49500999999999</v>
      </c>
      <c r="CV351">
        <v>29</v>
      </c>
      <c r="CW351">
        <v>103.46610699999999</v>
      </c>
      <c r="CX351">
        <v>10705.23524</v>
      </c>
      <c r="CY351">
        <v>0.81794599999999995</v>
      </c>
      <c r="CZ351">
        <v>109.75</v>
      </c>
      <c r="DA351">
        <v>1.979703</v>
      </c>
      <c r="DB351">
        <v>7.361205</v>
      </c>
      <c r="DC351">
        <v>74.353126000000003</v>
      </c>
      <c r="DD351">
        <v>126.49500999999999</v>
      </c>
      <c r="DE351">
        <v>50.863075000000002</v>
      </c>
      <c r="DF351">
        <v>17.857586999999999</v>
      </c>
      <c r="DG351">
        <v>9.6446419999999993</v>
      </c>
      <c r="DH351">
        <v>0.40209600000000001</v>
      </c>
      <c r="DI351">
        <v>0.35109099999999999</v>
      </c>
      <c r="DJ351">
        <v>0.18962000000000001</v>
      </c>
      <c r="DK351">
        <v>27</v>
      </c>
      <c r="DL351">
        <v>33</v>
      </c>
      <c r="DM351">
        <v>37</v>
      </c>
      <c r="DN351">
        <v>47.199997000000003</v>
      </c>
      <c r="DO351">
        <v>54</v>
      </c>
      <c r="DP351">
        <v>61.299987999999999</v>
      </c>
      <c r="DQ351">
        <v>75</v>
      </c>
      <c r="DR351">
        <v>97</v>
      </c>
      <c r="DS351">
        <v>121</v>
      </c>
      <c r="DT351">
        <v>149</v>
      </c>
      <c r="DU351">
        <v>163.75</v>
      </c>
      <c r="DV351">
        <v>180</v>
      </c>
      <c r="DW351">
        <v>235.900024</v>
      </c>
      <c r="DX351">
        <v>362.35015900000002</v>
      </c>
      <c r="DY351">
        <v>519.91992200000004</v>
      </c>
      <c r="DZ351">
        <v>89.762339999999995</v>
      </c>
      <c r="EA351">
        <v>68.263473000000005</v>
      </c>
      <c r="EB351">
        <v>125.045704</v>
      </c>
      <c r="EC351">
        <v>491</v>
      </c>
      <c r="ED351">
        <v>684</v>
      </c>
      <c r="EE351">
        <v>79.341864999999999</v>
      </c>
      <c r="EF351">
        <v>100</v>
      </c>
      <c r="EG351">
        <v>54.491017999999997</v>
      </c>
      <c r="EH351">
        <v>99.800398999999999</v>
      </c>
      <c r="EI351">
        <v>99.817184999999995</v>
      </c>
      <c r="EJ351">
        <v>182.81535600000001</v>
      </c>
      <c r="EK351">
        <v>434</v>
      </c>
      <c r="EL351">
        <v>547</v>
      </c>
      <c r="EM351">
        <v>546</v>
      </c>
      <c r="EN351">
        <v>1000</v>
      </c>
      <c r="EO351">
        <v>547</v>
      </c>
      <c r="EP351">
        <v>1002</v>
      </c>
      <c r="EQ351">
        <v>47.769280000000002</v>
      </c>
    </row>
    <row r="352" spans="1:147" x14ac:dyDescent="0.25">
      <c r="A352">
        <v>2025</v>
      </c>
      <c r="B352" t="str">
        <f t="shared" si="10"/>
        <v>NE</v>
      </c>
      <c r="C352" t="s">
        <v>1777</v>
      </c>
      <c r="D352" t="s">
        <v>1777</v>
      </c>
      <c r="E352">
        <v>27787</v>
      </c>
      <c r="F352" t="s">
        <v>1772</v>
      </c>
      <c r="G352" t="s">
        <v>1773</v>
      </c>
      <c r="H352" t="s">
        <v>1774</v>
      </c>
      <c r="I352">
        <v>39.049999999999997</v>
      </c>
      <c r="J352">
        <v>39.049999999999997</v>
      </c>
      <c r="K352" t="s">
        <v>461</v>
      </c>
      <c r="L352">
        <v>1</v>
      </c>
      <c r="M352">
        <v>2020</v>
      </c>
      <c r="O352" t="str">
        <f t="shared" si="11"/>
        <v>Talhadia</v>
      </c>
      <c r="P352" s="2">
        <v>44063</v>
      </c>
      <c r="Q352" t="s">
        <v>174</v>
      </c>
      <c r="R352" t="s">
        <v>262</v>
      </c>
      <c r="S352" t="s">
        <v>154</v>
      </c>
      <c r="T352" t="s">
        <v>155</v>
      </c>
      <c r="U352" t="s">
        <v>156</v>
      </c>
      <c r="V352" s="2">
        <v>44768</v>
      </c>
      <c r="W352" t="s">
        <v>1775</v>
      </c>
      <c r="X352">
        <v>158.29</v>
      </c>
      <c r="Y352">
        <v>19.2</v>
      </c>
      <c r="Z352">
        <v>30</v>
      </c>
      <c r="AA352">
        <v>16</v>
      </c>
      <c r="AB352">
        <v>0</v>
      </c>
      <c r="AC352">
        <v>307.2</v>
      </c>
      <c r="AD352">
        <v>266.04300404257998</v>
      </c>
      <c r="AE352" s="2">
        <v>45734</v>
      </c>
      <c r="AF352">
        <v>55</v>
      </c>
      <c r="AG352">
        <v>4.5749486652977396</v>
      </c>
      <c r="AH352">
        <v>23.824204264348101</v>
      </c>
      <c r="AI352">
        <v>13.9625</v>
      </c>
      <c r="AJ352">
        <v>14.5162696891006</v>
      </c>
      <c r="AK352">
        <v>24</v>
      </c>
      <c r="AL352">
        <v>902.10979560879002</v>
      </c>
      <c r="AM352">
        <v>154.74038418584499</v>
      </c>
      <c r="AN352">
        <v>0.17153165273127099</v>
      </c>
      <c r="AO352" t="s">
        <v>262</v>
      </c>
      <c r="AP352" t="s">
        <v>264</v>
      </c>
      <c r="AQ352" t="s">
        <v>408</v>
      </c>
      <c r="AR352">
        <v>9</v>
      </c>
      <c r="AS352">
        <v>0.81189881604790992</v>
      </c>
      <c r="AT352" t="s">
        <v>1778</v>
      </c>
      <c r="AU352" t="s">
        <v>1777</v>
      </c>
      <c r="AV352">
        <v>1142</v>
      </c>
      <c r="AW352">
        <v>549</v>
      </c>
      <c r="AX352">
        <v>426</v>
      </c>
      <c r="AY352">
        <v>155</v>
      </c>
      <c r="AZ352">
        <v>12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29.452000000000002</v>
      </c>
      <c r="BI352">
        <v>9.4551809999999996</v>
      </c>
      <c r="BJ352">
        <v>0</v>
      </c>
      <c r="BK352">
        <v>10.502138</v>
      </c>
      <c r="BL352">
        <v>110.294901</v>
      </c>
      <c r="BM352">
        <v>1.1107279999999999</v>
      </c>
      <c r="BN352">
        <v>21.447500000000002</v>
      </c>
      <c r="BO352">
        <v>0.64030500000000001</v>
      </c>
      <c r="BP352">
        <v>1.6435649999999999</v>
      </c>
      <c r="BQ352">
        <v>9.6507389999999997</v>
      </c>
      <c r="BR352">
        <v>2.7410000000000001</v>
      </c>
      <c r="BS352">
        <v>2.8285</v>
      </c>
      <c r="BT352">
        <v>9.4551809999999996</v>
      </c>
      <c r="BU352">
        <v>5.5803070000000004</v>
      </c>
      <c r="BV352">
        <v>1.4988969999999999</v>
      </c>
      <c r="BW352">
        <v>-0.445133</v>
      </c>
      <c r="BX352">
        <v>0.59018499999999996</v>
      </c>
      <c r="BY352">
        <v>0.26860499999999998</v>
      </c>
      <c r="BZ352">
        <v>-7.9768000000000006E-2</v>
      </c>
      <c r="CA352">
        <v>1.0999999999999999E-2</v>
      </c>
      <c r="CB352">
        <v>4.9099999999999998E-2</v>
      </c>
      <c r="CC352">
        <v>0.11219999999999999</v>
      </c>
      <c r="CD352">
        <v>0.42080000000000001</v>
      </c>
      <c r="CE352">
        <v>0.69225000000000003</v>
      </c>
      <c r="CF352">
        <v>0.95299999999999996</v>
      </c>
      <c r="CG352">
        <v>1.581</v>
      </c>
      <c r="CH352">
        <v>2.8285</v>
      </c>
      <c r="CI352">
        <v>6.8721990000000002</v>
      </c>
      <c r="CJ352">
        <v>18.412203000000002</v>
      </c>
      <c r="CK352">
        <v>22.139749999999999</v>
      </c>
      <c r="CL352">
        <v>23.4802</v>
      </c>
      <c r="CM352">
        <v>25.579899000000001</v>
      </c>
      <c r="CN352">
        <v>26.672249000000001</v>
      </c>
      <c r="CO352">
        <v>28.171209000000001</v>
      </c>
      <c r="CP352">
        <v>0.32103700000000002</v>
      </c>
      <c r="CQ352">
        <v>14.127943</v>
      </c>
      <c r="CR352">
        <v>16.765125999999999</v>
      </c>
      <c r="CS352">
        <v>22</v>
      </c>
      <c r="CT352">
        <v>455</v>
      </c>
      <c r="CU352">
        <v>117.25394</v>
      </c>
      <c r="CV352">
        <v>28.873016</v>
      </c>
      <c r="CW352">
        <v>85.417458999999994</v>
      </c>
      <c r="CX352">
        <v>7296.1422940000002</v>
      </c>
      <c r="CY352">
        <v>0.72848299999999999</v>
      </c>
      <c r="CZ352">
        <v>106</v>
      </c>
      <c r="DA352">
        <v>1.298432</v>
      </c>
      <c r="DB352">
        <v>4.2541779999999996</v>
      </c>
      <c r="DC352">
        <v>67.141878000000005</v>
      </c>
      <c r="DD352">
        <v>117.25394</v>
      </c>
      <c r="DE352">
        <v>45.136167999999998</v>
      </c>
      <c r="DF352">
        <v>13.396944</v>
      </c>
      <c r="DG352">
        <v>5.2436699999999998</v>
      </c>
      <c r="DH352">
        <v>0.38494400000000001</v>
      </c>
      <c r="DI352">
        <v>0.29681200000000002</v>
      </c>
      <c r="DJ352">
        <v>0.116174</v>
      </c>
      <c r="DK352">
        <v>25</v>
      </c>
      <c r="DL352">
        <v>31</v>
      </c>
      <c r="DM352">
        <v>35</v>
      </c>
      <c r="DN352">
        <v>45</v>
      </c>
      <c r="DO352">
        <v>51</v>
      </c>
      <c r="DP352">
        <v>56</v>
      </c>
      <c r="DQ352">
        <v>71</v>
      </c>
      <c r="DR352">
        <v>92</v>
      </c>
      <c r="DS352">
        <v>112</v>
      </c>
      <c r="DT352">
        <v>141</v>
      </c>
      <c r="DU352">
        <v>157</v>
      </c>
      <c r="DV352">
        <v>180</v>
      </c>
      <c r="DW352">
        <v>249.700073</v>
      </c>
      <c r="DX352">
        <v>295.949951</v>
      </c>
      <c r="DY352">
        <v>382.94982900000002</v>
      </c>
      <c r="DZ352">
        <v>72.131147999999996</v>
      </c>
      <c r="EA352">
        <v>49.124343000000003</v>
      </c>
      <c r="EB352">
        <v>102.18579200000001</v>
      </c>
      <c r="EC352">
        <v>396</v>
      </c>
      <c r="ED352">
        <v>561</v>
      </c>
      <c r="EE352">
        <v>65.391621000000001</v>
      </c>
      <c r="EF352">
        <v>99.817851000000005</v>
      </c>
      <c r="EG352">
        <v>37.740805999999999</v>
      </c>
      <c r="EH352">
        <v>99.912434000000005</v>
      </c>
      <c r="EI352">
        <v>78.506375000000006</v>
      </c>
      <c r="EJ352">
        <v>207.83242300000001</v>
      </c>
      <c r="EK352">
        <v>359</v>
      </c>
      <c r="EL352">
        <v>548</v>
      </c>
      <c r="EM352">
        <v>431</v>
      </c>
      <c r="EN352">
        <v>1141</v>
      </c>
      <c r="EO352">
        <v>549</v>
      </c>
      <c r="EP352">
        <v>1142</v>
      </c>
      <c r="EQ352">
        <v>32.518529999999998</v>
      </c>
    </row>
    <row r="353" spans="1:147" x14ac:dyDescent="0.25">
      <c r="A353">
        <v>2025</v>
      </c>
      <c r="B353" t="str">
        <f t="shared" si="10"/>
        <v>NE</v>
      </c>
      <c r="C353" t="s">
        <v>1779</v>
      </c>
      <c r="D353" t="s">
        <v>1779</v>
      </c>
      <c r="E353">
        <v>25022</v>
      </c>
      <c r="F353" t="s">
        <v>1780</v>
      </c>
      <c r="G353" t="s">
        <v>1781</v>
      </c>
      <c r="H353" t="s">
        <v>1782</v>
      </c>
      <c r="I353">
        <v>38.68</v>
      </c>
      <c r="J353">
        <v>38.68</v>
      </c>
      <c r="K353" t="s">
        <v>461</v>
      </c>
      <c r="L353">
        <v>1</v>
      </c>
      <c r="M353">
        <v>2016</v>
      </c>
      <c r="O353" t="str">
        <f t="shared" si="11"/>
        <v>Talhadia</v>
      </c>
      <c r="P353" s="2">
        <v>42494</v>
      </c>
      <c r="Q353" t="s">
        <v>322</v>
      </c>
      <c r="R353" t="s">
        <v>200</v>
      </c>
      <c r="S353" t="s">
        <v>154</v>
      </c>
      <c r="T353" t="s">
        <v>155</v>
      </c>
      <c r="U353" t="s">
        <v>156</v>
      </c>
      <c r="V353" s="2">
        <v>45708</v>
      </c>
      <c r="W353" t="s">
        <v>1783</v>
      </c>
      <c r="X353">
        <v>192.31</v>
      </c>
      <c r="Y353">
        <v>19.7</v>
      </c>
      <c r="Z353">
        <v>25</v>
      </c>
      <c r="AA353">
        <v>14.3</v>
      </c>
      <c r="AB353">
        <v>2</v>
      </c>
      <c r="AC353">
        <v>281.70999999999998</v>
      </c>
      <c r="AD353">
        <v>255.16043509759601</v>
      </c>
      <c r="AE353" s="2">
        <v>45708</v>
      </c>
      <c r="AF353">
        <v>105</v>
      </c>
      <c r="AG353">
        <v>8.7994524298425691</v>
      </c>
      <c r="AH353">
        <v>26.317515003270898</v>
      </c>
      <c r="AI353">
        <v>17.433333333333302</v>
      </c>
      <c r="AJ353">
        <v>24.855180827349599</v>
      </c>
      <c r="AK353">
        <v>24</v>
      </c>
      <c r="AL353">
        <v>940.58469491244796</v>
      </c>
      <c r="AM353">
        <v>319.31852155310298</v>
      </c>
      <c r="AN353">
        <v>0.339489387059212</v>
      </c>
      <c r="AO353" t="s">
        <v>200</v>
      </c>
      <c r="AP353" t="s">
        <v>264</v>
      </c>
      <c r="AQ353" t="s">
        <v>408</v>
      </c>
      <c r="AR353">
        <v>9.99</v>
      </c>
      <c r="AS353">
        <v>0.93964411021753624</v>
      </c>
      <c r="AT353" t="s">
        <v>1784</v>
      </c>
      <c r="AU353" t="s">
        <v>1779</v>
      </c>
      <c r="AV353">
        <v>903</v>
      </c>
      <c r="AW353">
        <v>556</v>
      </c>
      <c r="AX353">
        <v>275</v>
      </c>
      <c r="AY353">
        <v>65</v>
      </c>
      <c r="AZ353">
        <v>7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1E-3</v>
      </c>
      <c r="BH353">
        <v>33.201999999999998</v>
      </c>
      <c r="BI353">
        <v>20.032105999999999</v>
      </c>
      <c r="BJ353">
        <v>1E-3</v>
      </c>
      <c r="BK353">
        <v>13.3034</v>
      </c>
      <c r="BL353">
        <v>176.98044200000001</v>
      </c>
      <c r="BM353">
        <v>0.66410400000000003</v>
      </c>
      <c r="BN353">
        <v>29.193498999999999</v>
      </c>
      <c r="BO353">
        <v>-0.66773300000000002</v>
      </c>
      <c r="BP353">
        <v>1.599613</v>
      </c>
      <c r="BQ353">
        <v>12.169534000000001</v>
      </c>
      <c r="BR353">
        <v>2.85</v>
      </c>
      <c r="BS353">
        <v>28.638999999999999</v>
      </c>
      <c r="BT353">
        <v>20.032105999999999</v>
      </c>
      <c r="BU353">
        <v>6.9153989999999999</v>
      </c>
      <c r="BV353">
        <v>-1.792945</v>
      </c>
      <c r="BW353">
        <v>-0.65548899999999999</v>
      </c>
      <c r="BX353">
        <v>0.34521600000000002</v>
      </c>
      <c r="BY353">
        <v>-0.25926900000000003</v>
      </c>
      <c r="BZ353">
        <v>-9.4786999999999996E-2</v>
      </c>
      <c r="CA353">
        <v>4.0200000000000001E-3</v>
      </c>
      <c r="CB353">
        <v>2.1000000000000001E-2</v>
      </c>
      <c r="CC353">
        <v>0.04</v>
      </c>
      <c r="CD353">
        <v>0.503</v>
      </c>
      <c r="CE353">
        <v>1.2949999999999999</v>
      </c>
      <c r="CF353">
        <v>5.8172009999999998</v>
      </c>
      <c r="CG353">
        <v>26.306996999999999</v>
      </c>
      <c r="CH353">
        <v>28.639999</v>
      </c>
      <c r="CI353">
        <v>29.517401</v>
      </c>
      <c r="CJ353">
        <v>30.257801000000001</v>
      </c>
      <c r="CK353">
        <v>30.488499000000001</v>
      </c>
      <c r="CL353">
        <v>30.810199999999998</v>
      </c>
      <c r="CM353">
        <v>31.499600999999998</v>
      </c>
      <c r="CN353">
        <v>32.056598999999999</v>
      </c>
      <c r="CO353">
        <v>32.788960000000003</v>
      </c>
      <c r="CP353">
        <v>0.60332799999999998</v>
      </c>
      <c r="CQ353">
        <v>24.043081000000001</v>
      </c>
      <c r="CR353">
        <v>25.759252</v>
      </c>
      <c r="CS353">
        <v>23</v>
      </c>
      <c r="CT353">
        <v>437</v>
      </c>
      <c r="CU353">
        <v>122.69435199999999</v>
      </c>
      <c r="CV353">
        <v>36.142856999999999</v>
      </c>
      <c r="CW353">
        <v>73.240405999999993</v>
      </c>
      <c r="CX353">
        <v>5364.1570300000003</v>
      </c>
      <c r="CY353">
        <v>0.59693399999999996</v>
      </c>
      <c r="CZ353">
        <v>114</v>
      </c>
      <c r="DA353">
        <v>0.83201099999999995</v>
      </c>
      <c r="DB353">
        <v>3.5004360000000001</v>
      </c>
      <c r="DC353">
        <v>60.085782999999999</v>
      </c>
      <c r="DD353">
        <v>122.69435199999999</v>
      </c>
      <c r="DE353">
        <v>40.694837999999997</v>
      </c>
      <c r="DF353">
        <v>6.8395020000000004</v>
      </c>
      <c r="DG353">
        <v>2.4645169999999998</v>
      </c>
      <c r="DH353">
        <v>0.331677</v>
      </c>
      <c r="DI353">
        <v>0.168068</v>
      </c>
      <c r="DJ353">
        <v>6.0560999999999997E-2</v>
      </c>
      <c r="DK353">
        <v>27</v>
      </c>
      <c r="DL353">
        <v>34</v>
      </c>
      <c r="DM353">
        <v>39</v>
      </c>
      <c r="DN353">
        <v>51</v>
      </c>
      <c r="DO353">
        <v>60</v>
      </c>
      <c r="DP353">
        <v>70</v>
      </c>
      <c r="DQ353">
        <v>90</v>
      </c>
      <c r="DR353">
        <v>111</v>
      </c>
      <c r="DS353">
        <v>131.20001199999999</v>
      </c>
      <c r="DT353">
        <v>158</v>
      </c>
      <c r="DU353">
        <v>174</v>
      </c>
      <c r="DV353">
        <v>187</v>
      </c>
      <c r="DW353">
        <v>223</v>
      </c>
      <c r="DX353">
        <v>257.800049</v>
      </c>
      <c r="DY353">
        <v>333.65966800000001</v>
      </c>
      <c r="DZ353">
        <v>95.503596999999999</v>
      </c>
      <c r="EA353">
        <v>71.982281</v>
      </c>
      <c r="EB353">
        <v>116.906475</v>
      </c>
      <c r="EC353">
        <v>531</v>
      </c>
      <c r="ED353">
        <v>650</v>
      </c>
      <c r="EE353">
        <v>91.726618999999999</v>
      </c>
      <c r="EF353">
        <v>100</v>
      </c>
      <c r="EG353">
        <v>62.679955999999997</v>
      </c>
      <c r="EH353">
        <v>99.557032000000007</v>
      </c>
      <c r="EI353">
        <v>101.79856100000001</v>
      </c>
      <c r="EJ353">
        <v>161.69064700000001</v>
      </c>
      <c r="EK353">
        <v>510</v>
      </c>
      <c r="EL353">
        <v>556</v>
      </c>
      <c r="EM353">
        <v>566</v>
      </c>
      <c r="EN353">
        <v>899</v>
      </c>
      <c r="EO353">
        <v>556</v>
      </c>
      <c r="EP353">
        <v>903</v>
      </c>
      <c r="EQ353">
        <v>60.102544999999999</v>
      </c>
    </row>
    <row r="354" spans="1:147" x14ac:dyDescent="0.25">
      <c r="A354">
        <v>2025</v>
      </c>
      <c r="B354" t="str">
        <f t="shared" si="10"/>
        <v>NE</v>
      </c>
      <c r="C354" t="s">
        <v>1785</v>
      </c>
      <c r="D354" t="s">
        <v>1785</v>
      </c>
      <c r="E354">
        <v>25024</v>
      </c>
      <c r="F354" t="s">
        <v>1780</v>
      </c>
      <c r="G354" t="s">
        <v>1781</v>
      </c>
      <c r="H354" t="s">
        <v>1782</v>
      </c>
      <c r="I354">
        <v>38.68</v>
      </c>
      <c r="J354">
        <v>38.68</v>
      </c>
      <c r="K354" t="s">
        <v>461</v>
      </c>
      <c r="L354">
        <v>1</v>
      </c>
      <c r="M354">
        <v>2016</v>
      </c>
      <c r="O354" t="str">
        <f t="shared" si="11"/>
        <v>Talhadia</v>
      </c>
      <c r="P354" s="2">
        <v>42494</v>
      </c>
      <c r="Q354" t="s">
        <v>322</v>
      </c>
      <c r="R354" t="s">
        <v>200</v>
      </c>
      <c r="S354" t="s">
        <v>154</v>
      </c>
      <c r="T354" t="s">
        <v>155</v>
      </c>
      <c r="U354" t="s">
        <v>156</v>
      </c>
      <c r="V354" s="2">
        <v>44769</v>
      </c>
      <c r="W354" t="s">
        <v>1783</v>
      </c>
      <c r="X354">
        <v>192.31</v>
      </c>
      <c r="Y354">
        <v>18.5</v>
      </c>
      <c r="Z354">
        <v>30</v>
      </c>
      <c r="AA354">
        <v>13.7</v>
      </c>
      <c r="AB354">
        <v>0</v>
      </c>
      <c r="AC354">
        <v>253.45</v>
      </c>
      <c r="AD354">
        <v>219.494138589166</v>
      </c>
      <c r="AE354" s="2">
        <v>45708</v>
      </c>
      <c r="AF354">
        <v>105</v>
      </c>
      <c r="AG354">
        <v>8.7994524298425691</v>
      </c>
      <c r="AH354">
        <v>34.702057666562901</v>
      </c>
      <c r="AI354">
        <v>22.141176470588199</v>
      </c>
      <c r="AJ354">
        <v>30.651742189646701</v>
      </c>
      <c r="AK354">
        <v>17</v>
      </c>
      <c r="AL354">
        <v>774.50815357850797</v>
      </c>
      <c r="AM354">
        <v>481.93802273374899</v>
      </c>
      <c r="AN354">
        <v>0.62225041854888297</v>
      </c>
      <c r="AO354" t="s">
        <v>200</v>
      </c>
      <c r="AP354" t="s">
        <v>264</v>
      </c>
      <c r="AQ354" t="s">
        <v>408</v>
      </c>
      <c r="AR354">
        <v>9.99</v>
      </c>
      <c r="AS354">
        <v>0.77373364542492906</v>
      </c>
      <c r="AT354" t="s">
        <v>1786</v>
      </c>
      <c r="AU354" t="s">
        <v>1785</v>
      </c>
      <c r="AV354">
        <v>899</v>
      </c>
      <c r="AW354">
        <v>487</v>
      </c>
      <c r="AX354">
        <v>287</v>
      </c>
      <c r="AY354">
        <v>101</v>
      </c>
      <c r="AZ354">
        <v>22</v>
      </c>
      <c r="BA354">
        <v>2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41.896000000000001</v>
      </c>
      <c r="BI354">
        <v>25.433056000000001</v>
      </c>
      <c r="BJ354">
        <v>0</v>
      </c>
      <c r="BK354">
        <v>13.590382999999999</v>
      </c>
      <c r="BL354">
        <v>184.69851800000001</v>
      </c>
      <c r="BM354">
        <v>0.53435900000000003</v>
      </c>
      <c r="BN354">
        <v>19.011499000000001</v>
      </c>
      <c r="BO354">
        <v>-0.80187900000000001</v>
      </c>
      <c r="BP354">
        <v>2.2460330000000002</v>
      </c>
      <c r="BQ354">
        <v>11.456219000000001</v>
      </c>
      <c r="BR354">
        <v>7.6840020000000004</v>
      </c>
      <c r="BS354">
        <v>30.388999999999999</v>
      </c>
      <c r="BT354">
        <v>25.433056000000001</v>
      </c>
      <c r="BU354">
        <v>7.419537</v>
      </c>
      <c r="BV354">
        <v>-1.810581</v>
      </c>
      <c r="BW354">
        <v>8.8332999999999995E-2</v>
      </c>
      <c r="BX354">
        <v>0.29172799999999999</v>
      </c>
      <c r="BY354">
        <v>-0.244029</v>
      </c>
      <c r="BZ354">
        <v>1.1905000000000001E-2</v>
      </c>
      <c r="CA354">
        <v>6.9800000000000001E-3</v>
      </c>
      <c r="CB354">
        <v>3.3000000000000002E-2</v>
      </c>
      <c r="CC354">
        <v>0.1318</v>
      </c>
      <c r="CD354">
        <v>10.1686</v>
      </c>
      <c r="CE354">
        <v>17.692499000000002</v>
      </c>
      <c r="CF354">
        <v>20.967199000000001</v>
      </c>
      <c r="CG354">
        <v>25.957401000000001</v>
      </c>
      <c r="CH354">
        <v>30.388999999999999</v>
      </c>
      <c r="CI354">
        <v>33.736401000000001</v>
      </c>
      <c r="CJ354">
        <v>35.929797999999998</v>
      </c>
      <c r="CK354">
        <v>36.703999000000003</v>
      </c>
      <c r="CL354">
        <v>37.466000000000001</v>
      </c>
      <c r="CM354">
        <v>38.823802999999998</v>
      </c>
      <c r="CN354">
        <v>39.687401000000001</v>
      </c>
      <c r="CO354">
        <v>40.888004000000002</v>
      </c>
      <c r="CP354">
        <v>0.60705200000000004</v>
      </c>
      <c r="CQ354">
        <v>28.832853</v>
      </c>
      <c r="CR354">
        <v>30.551712999999999</v>
      </c>
      <c r="CS354">
        <v>23</v>
      </c>
      <c r="CT354">
        <v>519</v>
      </c>
      <c r="CU354">
        <v>109.94327</v>
      </c>
      <c r="CV354">
        <v>30.873016</v>
      </c>
      <c r="CW354">
        <v>72.907957999999994</v>
      </c>
      <c r="CX354">
        <v>5315.570275</v>
      </c>
      <c r="CY354">
        <v>0.66314200000000001</v>
      </c>
      <c r="CZ354">
        <v>100</v>
      </c>
      <c r="DA354">
        <v>1.3061970000000001</v>
      </c>
      <c r="DB354">
        <v>5.3125730000000004</v>
      </c>
      <c r="DC354">
        <v>58.187356999999999</v>
      </c>
      <c r="DD354">
        <v>109.94327</v>
      </c>
      <c r="DE354">
        <v>38.994329</v>
      </c>
      <c r="DF354">
        <v>9.6111350000000009</v>
      </c>
      <c r="DG354">
        <v>3.5591590000000002</v>
      </c>
      <c r="DH354">
        <v>0.35467700000000002</v>
      </c>
      <c r="DI354">
        <v>0.246475</v>
      </c>
      <c r="DJ354">
        <v>9.1273999999999994E-2</v>
      </c>
      <c r="DK354">
        <v>25.98</v>
      </c>
      <c r="DL354">
        <v>32</v>
      </c>
      <c r="DM354">
        <v>37</v>
      </c>
      <c r="DN354">
        <v>45.600006</v>
      </c>
      <c r="DO354">
        <v>52</v>
      </c>
      <c r="DP354">
        <v>57</v>
      </c>
      <c r="DQ354">
        <v>71.200012000000001</v>
      </c>
      <c r="DR354">
        <v>91</v>
      </c>
      <c r="DS354">
        <v>113.799988</v>
      </c>
      <c r="DT354">
        <v>139.599976</v>
      </c>
      <c r="DU354">
        <v>152</v>
      </c>
      <c r="DV354">
        <v>169</v>
      </c>
      <c r="DW354">
        <v>207.20001199999999</v>
      </c>
      <c r="DX354">
        <v>242.399902</v>
      </c>
      <c r="DY354">
        <v>336.06005900000002</v>
      </c>
      <c r="DZ354">
        <v>97.125257000000005</v>
      </c>
      <c r="EA354">
        <v>85.428253999999995</v>
      </c>
      <c r="EB354">
        <v>157.70020500000001</v>
      </c>
      <c r="EC354">
        <v>473</v>
      </c>
      <c r="ED354">
        <v>768</v>
      </c>
      <c r="EE354">
        <v>85.831621999999996</v>
      </c>
      <c r="EF354">
        <v>100</v>
      </c>
      <c r="EG354">
        <v>61.179088</v>
      </c>
      <c r="EH354">
        <v>99.666296000000003</v>
      </c>
      <c r="EI354">
        <v>112.936345</v>
      </c>
      <c r="EJ354">
        <v>183.98357300000001</v>
      </c>
      <c r="EK354">
        <v>418</v>
      </c>
      <c r="EL354">
        <v>487</v>
      </c>
      <c r="EM354">
        <v>550</v>
      </c>
      <c r="EN354">
        <v>896</v>
      </c>
      <c r="EO354">
        <v>487</v>
      </c>
      <c r="EP354">
        <v>899</v>
      </c>
      <c r="EQ354">
        <v>61.194204999999997</v>
      </c>
    </row>
    <row r="355" spans="1:147" x14ac:dyDescent="0.25">
      <c r="A355">
        <v>2025</v>
      </c>
      <c r="B355" t="str">
        <f t="shared" si="10"/>
        <v>NE</v>
      </c>
      <c r="C355" t="s">
        <v>1787</v>
      </c>
      <c r="D355" t="s">
        <v>1787</v>
      </c>
      <c r="E355">
        <v>25025</v>
      </c>
      <c r="F355" t="s">
        <v>1780</v>
      </c>
      <c r="G355" t="s">
        <v>1781</v>
      </c>
      <c r="H355" t="s">
        <v>1782</v>
      </c>
      <c r="I355">
        <v>38.68</v>
      </c>
      <c r="J355">
        <v>38.68</v>
      </c>
      <c r="K355" t="s">
        <v>461</v>
      </c>
      <c r="L355">
        <v>1</v>
      </c>
      <c r="M355">
        <v>2016</v>
      </c>
      <c r="O355" t="str">
        <f t="shared" si="11"/>
        <v>Talhadia</v>
      </c>
      <c r="P355" s="2">
        <v>42494</v>
      </c>
      <c r="Q355" t="s">
        <v>322</v>
      </c>
      <c r="R355" t="s">
        <v>200</v>
      </c>
      <c r="S355" t="s">
        <v>154</v>
      </c>
      <c r="T355" t="s">
        <v>155</v>
      </c>
      <c r="U355" t="s">
        <v>156</v>
      </c>
      <c r="V355" s="2">
        <v>45708</v>
      </c>
      <c r="W355" t="s">
        <v>1783</v>
      </c>
      <c r="X355">
        <v>192.31</v>
      </c>
      <c r="Y355">
        <v>19.3</v>
      </c>
      <c r="Z355">
        <v>17</v>
      </c>
      <c r="AA355">
        <v>13.8</v>
      </c>
      <c r="AB355">
        <v>8</v>
      </c>
      <c r="AC355">
        <v>266.33999999999997</v>
      </c>
      <c r="AD355">
        <v>252.223464316725</v>
      </c>
      <c r="AE355" s="2">
        <v>45708</v>
      </c>
      <c r="AF355">
        <v>105</v>
      </c>
      <c r="AG355">
        <v>8.7994524298425691</v>
      </c>
      <c r="AH355">
        <v>25.026608775004799</v>
      </c>
      <c r="AI355">
        <v>17.315789473684202</v>
      </c>
      <c r="AJ355">
        <v>18.924840190934098</v>
      </c>
      <c r="AK355">
        <v>19</v>
      </c>
      <c r="AL355">
        <v>753.30025505244396</v>
      </c>
      <c r="AM355">
        <v>212.12048203827601</v>
      </c>
      <c r="AN355">
        <v>0.28158822543277801</v>
      </c>
      <c r="AO355" t="s">
        <v>200</v>
      </c>
      <c r="AP355" t="s">
        <v>264</v>
      </c>
      <c r="AQ355" t="s">
        <v>408</v>
      </c>
      <c r="AR355">
        <v>9.99</v>
      </c>
      <c r="AS355">
        <v>0.75254695479739175</v>
      </c>
      <c r="AT355" t="s">
        <v>1788</v>
      </c>
      <c r="AU355" t="s">
        <v>1787</v>
      </c>
      <c r="AV355">
        <v>902</v>
      </c>
      <c r="AW355">
        <v>474</v>
      </c>
      <c r="AX355">
        <v>296</v>
      </c>
      <c r="AY355">
        <v>110</v>
      </c>
      <c r="AZ355">
        <v>21</v>
      </c>
      <c r="BA355">
        <v>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2E-3</v>
      </c>
      <c r="BH355">
        <v>32.004002</v>
      </c>
      <c r="BI355">
        <v>19.590302999999999</v>
      </c>
      <c r="BJ355">
        <v>2E-3</v>
      </c>
      <c r="BK355">
        <v>10.115603</v>
      </c>
      <c r="BL355">
        <v>102.325428</v>
      </c>
      <c r="BM355">
        <v>0.51635799999999998</v>
      </c>
      <c r="BN355">
        <v>9.8375000000000004</v>
      </c>
      <c r="BO355">
        <v>-1.048163</v>
      </c>
      <c r="BP355">
        <v>2.6010970000000002</v>
      </c>
      <c r="BQ355">
        <v>8.2267930000000007</v>
      </c>
      <c r="BR355">
        <v>3.9784989999999998</v>
      </c>
      <c r="BS355">
        <v>23.521999000000001</v>
      </c>
      <c r="BT355">
        <v>19.590302999999999</v>
      </c>
      <c r="BU355">
        <v>5.2719849999999999</v>
      </c>
      <c r="BV355">
        <v>-1.5760190000000001</v>
      </c>
      <c r="BW355">
        <v>0.44162400000000002</v>
      </c>
      <c r="BX355">
        <v>0.26911200000000002</v>
      </c>
      <c r="BY355">
        <v>-0.29894199999999999</v>
      </c>
      <c r="BZ355">
        <v>8.3767999999999995E-2</v>
      </c>
      <c r="CA355">
        <v>1.3010000000000001E-2</v>
      </c>
      <c r="CB355">
        <v>5.0999999999999997E-2</v>
      </c>
      <c r="CC355">
        <v>0.14580000000000001</v>
      </c>
      <c r="CD355">
        <v>6.8373999999999997</v>
      </c>
      <c r="CE355">
        <v>16.724501</v>
      </c>
      <c r="CF355">
        <v>19.331598</v>
      </c>
      <c r="CG355">
        <v>22.276399999999999</v>
      </c>
      <c r="CH355">
        <v>23.524000000000001</v>
      </c>
      <c r="CI355">
        <v>24.660999</v>
      </c>
      <c r="CJ355">
        <v>25.745100000000001</v>
      </c>
      <c r="CK355">
        <v>26.562000000000001</v>
      </c>
      <c r="CL355">
        <v>27.367398999999999</v>
      </c>
      <c r="CM355">
        <v>29.043700999999999</v>
      </c>
      <c r="CN355">
        <v>29.830200000000001</v>
      </c>
      <c r="CO355">
        <v>31.332449</v>
      </c>
      <c r="CP355">
        <v>0.61209599999999997</v>
      </c>
      <c r="CQ355">
        <v>22.045224999999999</v>
      </c>
      <c r="CR355">
        <v>23.171814000000001</v>
      </c>
      <c r="CS355">
        <v>25</v>
      </c>
      <c r="CT355">
        <v>514</v>
      </c>
      <c r="CU355">
        <v>95.932372999999998</v>
      </c>
      <c r="CV355">
        <v>48.285713999999999</v>
      </c>
      <c r="CW355">
        <v>60.732275999999999</v>
      </c>
      <c r="CX355">
        <v>3688.4094060000002</v>
      </c>
      <c r="CY355">
        <v>0.63307400000000003</v>
      </c>
      <c r="CZ355">
        <v>78</v>
      </c>
      <c r="DA355">
        <v>1.8284549999999999</v>
      </c>
      <c r="DB355">
        <v>9.0280159999999992</v>
      </c>
      <c r="DC355">
        <v>46.645400000000002</v>
      </c>
      <c r="DD355">
        <v>95.932372999999998</v>
      </c>
      <c r="DE355">
        <v>31.347041000000001</v>
      </c>
      <c r="DF355">
        <v>8.5853959999999994</v>
      </c>
      <c r="DG355">
        <v>3.8351350000000002</v>
      </c>
      <c r="DH355">
        <v>0.326762</v>
      </c>
      <c r="DI355">
        <v>0.27388200000000001</v>
      </c>
      <c r="DJ355">
        <v>0.12234399999999999</v>
      </c>
      <c r="DK355">
        <v>28.01</v>
      </c>
      <c r="DL355">
        <v>33</v>
      </c>
      <c r="DM355">
        <v>38</v>
      </c>
      <c r="DN355">
        <v>46.199997000000003</v>
      </c>
      <c r="DO355">
        <v>51</v>
      </c>
      <c r="DP355">
        <v>54.299987999999999</v>
      </c>
      <c r="DQ355">
        <v>66.399994000000007</v>
      </c>
      <c r="DR355">
        <v>78</v>
      </c>
      <c r="DS355">
        <v>94</v>
      </c>
      <c r="DT355">
        <v>118</v>
      </c>
      <c r="DU355">
        <v>129</v>
      </c>
      <c r="DV355">
        <v>141</v>
      </c>
      <c r="DW355">
        <v>173.900024</v>
      </c>
      <c r="DX355">
        <v>203</v>
      </c>
      <c r="DY355">
        <v>281.86987299999998</v>
      </c>
      <c r="DZ355">
        <v>97.890294999999995</v>
      </c>
      <c r="EA355">
        <v>83.370288000000002</v>
      </c>
      <c r="EB355">
        <v>158.649789</v>
      </c>
      <c r="EC355">
        <v>464</v>
      </c>
      <c r="ED355">
        <v>752</v>
      </c>
      <c r="EE355">
        <v>91.983121999999995</v>
      </c>
      <c r="EF355">
        <v>100</v>
      </c>
      <c r="EG355">
        <v>69.401330000000002</v>
      </c>
      <c r="EH355">
        <v>99.889134999999996</v>
      </c>
      <c r="EI355">
        <v>132.067511</v>
      </c>
      <c r="EJ355">
        <v>190.08438799999999</v>
      </c>
      <c r="EK355">
        <v>436</v>
      </c>
      <c r="EL355">
        <v>474</v>
      </c>
      <c r="EM355">
        <v>626</v>
      </c>
      <c r="EN355">
        <v>901</v>
      </c>
      <c r="EO355">
        <v>474</v>
      </c>
      <c r="EP355">
        <v>902</v>
      </c>
      <c r="EQ355">
        <v>61.547970999999997</v>
      </c>
    </row>
    <row r="356" spans="1:147" x14ac:dyDescent="0.25">
      <c r="A356">
        <v>2025</v>
      </c>
      <c r="B356" t="str">
        <f t="shared" si="10"/>
        <v>NE</v>
      </c>
      <c r="C356" t="s">
        <v>1789</v>
      </c>
      <c r="D356" t="s">
        <v>1789</v>
      </c>
      <c r="E356">
        <v>33504</v>
      </c>
      <c r="F356" t="s">
        <v>1780</v>
      </c>
      <c r="G356" t="s">
        <v>1781</v>
      </c>
      <c r="H356" t="s">
        <v>1782</v>
      </c>
      <c r="I356">
        <v>38.68</v>
      </c>
      <c r="J356">
        <v>38.68</v>
      </c>
      <c r="K356" t="s">
        <v>461</v>
      </c>
      <c r="L356">
        <v>1</v>
      </c>
      <c r="M356">
        <v>2016</v>
      </c>
      <c r="O356" t="str">
        <f t="shared" si="11"/>
        <v>Talhadia</v>
      </c>
      <c r="P356" s="2">
        <v>42494</v>
      </c>
      <c r="Q356" t="s">
        <v>322</v>
      </c>
      <c r="R356" t="s">
        <v>200</v>
      </c>
      <c r="S356" t="s">
        <v>154</v>
      </c>
      <c r="T356" t="s">
        <v>155</v>
      </c>
      <c r="U356" t="s">
        <v>156</v>
      </c>
      <c r="V356" s="2">
        <v>44770</v>
      </c>
      <c r="W356" t="s">
        <v>1783</v>
      </c>
      <c r="X356">
        <v>192.31</v>
      </c>
      <c r="Y356">
        <v>19.399999999999999</v>
      </c>
      <c r="Z356">
        <v>16</v>
      </c>
      <c r="AA356">
        <v>16.600000000000001</v>
      </c>
      <c r="AB356">
        <v>4</v>
      </c>
      <c r="AC356">
        <v>322.04000000000002</v>
      </c>
      <c r="AD356">
        <v>308.81063246910401</v>
      </c>
      <c r="AE356" s="2">
        <v>45708</v>
      </c>
      <c r="AF356">
        <v>105</v>
      </c>
      <c r="AG356">
        <v>8.7994524298425691</v>
      </c>
      <c r="AH356">
        <v>27.861688672610299</v>
      </c>
      <c r="AI356">
        <v>19.4962962962963</v>
      </c>
      <c r="AJ356">
        <v>29.875843020974699</v>
      </c>
      <c r="AK356">
        <v>27</v>
      </c>
      <c r="AL356">
        <v>874.32222731842899</v>
      </c>
      <c r="AM356">
        <v>413.43377337568501</v>
      </c>
      <c r="AN356">
        <v>0.47286201866753202</v>
      </c>
      <c r="AO356" t="s">
        <v>200</v>
      </c>
      <c r="AP356" t="s">
        <v>264</v>
      </c>
      <c r="AQ356" t="s">
        <v>408</v>
      </c>
      <c r="AR356">
        <v>9.99</v>
      </c>
      <c r="AS356">
        <v>0.87344790509111125</v>
      </c>
      <c r="AT356" t="s">
        <v>1790</v>
      </c>
      <c r="AU356" t="s">
        <v>1789</v>
      </c>
      <c r="AV356">
        <v>1132</v>
      </c>
      <c r="AW356">
        <v>672</v>
      </c>
      <c r="AX356">
        <v>320</v>
      </c>
      <c r="AY356">
        <v>117</v>
      </c>
      <c r="AZ356">
        <v>21</v>
      </c>
      <c r="BA356">
        <v>2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36.544998</v>
      </c>
      <c r="BI356">
        <v>21.843682999999999</v>
      </c>
      <c r="BJ356">
        <v>0</v>
      </c>
      <c r="BK356">
        <v>12.880102000000001</v>
      </c>
      <c r="BL356">
        <v>165.89702199999999</v>
      </c>
      <c r="BM356">
        <v>0.58964899999999998</v>
      </c>
      <c r="BN356">
        <v>21.124002000000001</v>
      </c>
      <c r="BO356">
        <v>-0.68938999999999995</v>
      </c>
      <c r="BP356">
        <v>1.9145939999999999</v>
      </c>
      <c r="BQ356">
        <v>11.39588</v>
      </c>
      <c r="BR356">
        <v>6.0140000000000002</v>
      </c>
      <c r="BS356">
        <v>28.326499999999999</v>
      </c>
      <c r="BT356">
        <v>21.843682999999999</v>
      </c>
      <c r="BU356">
        <v>7.006399</v>
      </c>
      <c r="BV356">
        <v>-1.6633690000000001</v>
      </c>
      <c r="BW356">
        <v>-0.306618</v>
      </c>
      <c r="BX356">
        <v>0.32075199999999998</v>
      </c>
      <c r="BY356">
        <v>-0.23740700000000001</v>
      </c>
      <c r="BZ356">
        <v>-4.3763000000000003E-2</v>
      </c>
      <c r="CA356">
        <v>2E-3</v>
      </c>
      <c r="CB356">
        <v>0.01</v>
      </c>
      <c r="CC356">
        <v>2.4E-2</v>
      </c>
      <c r="CD356">
        <v>6.3357989999999997</v>
      </c>
      <c r="CE356">
        <v>11.5885</v>
      </c>
      <c r="CF356">
        <v>15.309599</v>
      </c>
      <c r="CG356">
        <v>20.848396000000001</v>
      </c>
      <c r="CH356">
        <v>28.326499999999999</v>
      </c>
      <c r="CI356">
        <v>30.703199000000001</v>
      </c>
      <c r="CJ356">
        <v>32.232300000000002</v>
      </c>
      <c r="CK356">
        <v>32.712502000000001</v>
      </c>
      <c r="CL356">
        <v>33.131400999999997</v>
      </c>
      <c r="CM356">
        <v>34.089599999999997</v>
      </c>
      <c r="CN356">
        <v>34.881348000000003</v>
      </c>
      <c r="CO356">
        <v>35.609070000000003</v>
      </c>
      <c r="CP356">
        <v>0.59772000000000003</v>
      </c>
      <c r="CQ356">
        <v>25.355412999999999</v>
      </c>
      <c r="CR356">
        <v>27.059152999999998</v>
      </c>
      <c r="CS356">
        <v>23</v>
      </c>
      <c r="CT356">
        <v>553</v>
      </c>
      <c r="CU356">
        <v>134.05300399999999</v>
      </c>
      <c r="CV356">
        <v>39.825397000000002</v>
      </c>
      <c r="CW356">
        <v>95.058272000000002</v>
      </c>
      <c r="CX356">
        <v>9036.0749950000009</v>
      </c>
      <c r="CY356">
        <v>0.70911000000000002</v>
      </c>
      <c r="CZ356">
        <v>131.25</v>
      </c>
      <c r="DA356">
        <v>1.2624139999999999</v>
      </c>
      <c r="DB356">
        <v>4.7146020000000002</v>
      </c>
      <c r="DC356">
        <v>75.694502</v>
      </c>
      <c r="DD356">
        <v>134.05300399999999</v>
      </c>
      <c r="DE356">
        <v>50.839429000000003</v>
      </c>
      <c r="DF356">
        <v>12.777215999999999</v>
      </c>
      <c r="DG356">
        <v>4.9210370000000001</v>
      </c>
      <c r="DH356">
        <v>0.379249</v>
      </c>
      <c r="DI356">
        <v>0.25132500000000002</v>
      </c>
      <c r="DJ356">
        <v>9.6795999999999993E-2</v>
      </c>
      <c r="DK356">
        <v>27</v>
      </c>
      <c r="DL356">
        <v>33</v>
      </c>
      <c r="DM356">
        <v>37.099997999999999</v>
      </c>
      <c r="DN356">
        <v>50</v>
      </c>
      <c r="DO356">
        <v>56</v>
      </c>
      <c r="DP356">
        <v>65</v>
      </c>
      <c r="DQ356">
        <v>85</v>
      </c>
      <c r="DR356">
        <v>109</v>
      </c>
      <c r="DS356">
        <v>141</v>
      </c>
      <c r="DT356">
        <v>171</v>
      </c>
      <c r="DU356">
        <v>187.25</v>
      </c>
      <c r="DV356">
        <v>203.79998800000001</v>
      </c>
      <c r="DW356">
        <v>262.90002399999997</v>
      </c>
      <c r="DX356">
        <v>312.34985399999999</v>
      </c>
      <c r="DY356">
        <v>442.209473</v>
      </c>
      <c r="DZ356">
        <v>97.321428999999995</v>
      </c>
      <c r="EA356">
        <v>80.830388999999997</v>
      </c>
      <c r="EB356">
        <v>136.16071400000001</v>
      </c>
      <c r="EC356">
        <v>654</v>
      </c>
      <c r="ED356">
        <v>915</v>
      </c>
      <c r="EE356">
        <v>84.821428999999995</v>
      </c>
      <c r="EF356">
        <v>100</v>
      </c>
      <c r="EG356">
        <v>58.833922000000001</v>
      </c>
      <c r="EH356">
        <v>99.646642999999997</v>
      </c>
      <c r="EI356">
        <v>99.107142999999994</v>
      </c>
      <c r="EJ356">
        <v>167.85714300000001</v>
      </c>
      <c r="EK356">
        <v>570</v>
      </c>
      <c r="EL356">
        <v>672</v>
      </c>
      <c r="EM356">
        <v>666</v>
      </c>
      <c r="EN356">
        <v>1128</v>
      </c>
      <c r="EO356">
        <v>672</v>
      </c>
      <c r="EP356">
        <v>1132</v>
      </c>
      <c r="EQ356">
        <v>60.329591000000001</v>
      </c>
    </row>
    <row r="357" spans="1:147" x14ac:dyDescent="0.25">
      <c r="A357">
        <v>2025</v>
      </c>
      <c r="B357" t="str">
        <f t="shared" si="10"/>
        <v>NE</v>
      </c>
      <c r="C357" t="s">
        <v>1791</v>
      </c>
      <c r="D357" t="s">
        <v>1791</v>
      </c>
      <c r="E357">
        <v>33506</v>
      </c>
      <c r="F357" t="s">
        <v>1780</v>
      </c>
      <c r="G357" t="s">
        <v>1781</v>
      </c>
      <c r="H357" t="s">
        <v>1792</v>
      </c>
      <c r="I357">
        <v>31.26</v>
      </c>
      <c r="J357">
        <v>31.26</v>
      </c>
      <c r="K357" t="s">
        <v>461</v>
      </c>
      <c r="L357">
        <v>1</v>
      </c>
      <c r="M357">
        <v>2016</v>
      </c>
      <c r="O357" t="str">
        <f t="shared" si="11"/>
        <v>Talhadia</v>
      </c>
      <c r="P357" s="2">
        <v>42580</v>
      </c>
      <c r="Q357" t="s">
        <v>322</v>
      </c>
      <c r="R357" t="s">
        <v>200</v>
      </c>
      <c r="S357" t="s">
        <v>154</v>
      </c>
      <c r="T357" t="s">
        <v>155</v>
      </c>
      <c r="U357" t="s">
        <v>156</v>
      </c>
      <c r="V357" s="2">
        <v>45708</v>
      </c>
      <c r="W357" t="s">
        <v>1783</v>
      </c>
      <c r="X357">
        <v>192.31</v>
      </c>
      <c r="Y357">
        <v>19.899999999999999</v>
      </c>
      <c r="Z357">
        <v>23</v>
      </c>
      <c r="AA357">
        <v>14.5</v>
      </c>
      <c r="AB357">
        <v>2</v>
      </c>
      <c r="AC357">
        <v>288.55</v>
      </c>
      <c r="AD357">
        <v>265.44987200759601</v>
      </c>
      <c r="AE357" s="2">
        <v>45708</v>
      </c>
      <c r="AF357">
        <v>103</v>
      </c>
      <c r="AG357">
        <v>8.5639972621492095</v>
      </c>
      <c r="AH357">
        <v>28.786007036939999</v>
      </c>
      <c r="AI357">
        <v>17.256</v>
      </c>
      <c r="AJ357">
        <v>24.337265491734399</v>
      </c>
      <c r="AK357">
        <v>25</v>
      </c>
      <c r="AL357">
        <v>941.79740268567798</v>
      </c>
      <c r="AM357">
        <v>342.523335756748</v>
      </c>
      <c r="AN357">
        <v>0.363691102544975</v>
      </c>
      <c r="AO357" t="s">
        <v>200</v>
      </c>
      <c r="AP357" t="s">
        <v>264</v>
      </c>
      <c r="AQ357" t="s">
        <v>408</v>
      </c>
      <c r="AR357">
        <v>9.99</v>
      </c>
      <c r="AS357">
        <v>0.94085560528299383</v>
      </c>
      <c r="AT357" t="s">
        <v>1793</v>
      </c>
      <c r="AU357" t="s">
        <v>1791</v>
      </c>
      <c r="AV357">
        <v>1022</v>
      </c>
      <c r="AW357">
        <v>481</v>
      </c>
      <c r="AX357">
        <v>372</v>
      </c>
      <c r="AY357">
        <v>131</v>
      </c>
      <c r="AZ357">
        <v>36</v>
      </c>
      <c r="BA357">
        <v>2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36.162998000000002</v>
      </c>
      <c r="BI357">
        <v>20.000070000000001</v>
      </c>
      <c r="BJ357">
        <v>0</v>
      </c>
      <c r="BK357">
        <v>13.367229</v>
      </c>
      <c r="BL357">
        <v>178.68280799999999</v>
      </c>
      <c r="BM357">
        <v>0.66835900000000004</v>
      </c>
      <c r="BN357">
        <v>30.180001000000001</v>
      </c>
      <c r="BO357">
        <v>-0.52425900000000003</v>
      </c>
      <c r="BP357">
        <v>1.6374759999999999</v>
      </c>
      <c r="BQ357">
        <v>11.826017</v>
      </c>
      <c r="BR357">
        <v>8.4915009999999995</v>
      </c>
      <c r="BS357">
        <v>24.731498999999999</v>
      </c>
      <c r="BT357">
        <v>20.000070000000001</v>
      </c>
      <c r="BU357">
        <v>7.3501899999999996</v>
      </c>
      <c r="BV357">
        <v>-1.221733</v>
      </c>
      <c r="BW357">
        <v>-0.63058700000000001</v>
      </c>
      <c r="BX357">
        <v>0.367508</v>
      </c>
      <c r="BY357">
        <v>-0.166218</v>
      </c>
      <c r="BZ357">
        <v>-8.5791999999999993E-2</v>
      </c>
      <c r="CA357">
        <v>2.2100000000000002E-3</v>
      </c>
      <c r="CB357">
        <v>1.7000000000000001E-2</v>
      </c>
      <c r="CC357">
        <v>3.6999999999999998E-2</v>
      </c>
      <c r="CD357">
        <v>0.13619999999999999</v>
      </c>
      <c r="CE357">
        <v>2.0367500000000001</v>
      </c>
      <c r="CF357">
        <v>11.698195</v>
      </c>
      <c r="CG357">
        <v>20.508800999999998</v>
      </c>
      <c r="CH357">
        <v>24.731498999999999</v>
      </c>
      <c r="CI357">
        <v>28.059999000000001</v>
      </c>
      <c r="CJ357">
        <v>31.300799999999999</v>
      </c>
      <c r="CK357">
        <v>32.216751000000002</v>
      </c>
      <c r="CL357">
        <v>32.8964</v>
      </c>
      <c r="CM357">
        <v>33.880699</v>
      </c>
      <c r="CN357">
        <v>34.360698999999997</v>
      </c>
      <c r="CO357">
        <v>35.158248999999998</v>
      </c>
      <c r="CP357">
        <v>0.55305300000000002</v>
      </c>
      <c r="CQ357">
        <v>24.052250000000001</v>
      </c>
      <c r="CR357">
        <v>25.942485000000001</v>
      </c>
      <c r="CS357">
        <v>23</v>
      </c>
      <c r="CT357">
        <v>577</v>
      </c>
      <c r="CU357">
        <v>110.367906</v>
      </c>
      <c r="CV357">
        <v>31.793651000000001</v>
      </c>
      <c r="CW357">
        <v>85.332211999999998</v>
      </c>
      <c r="CX357">
        <v>7281.586354</v>
      </c>
      <c r="CY357">
        <v>0.77316099999999999</v>
      </c>
      <c r="CZ357">
        <v>98.75</v>
      </c>
      <c r="DA357">
        <v>1.7672639999999999</v>
      </c>
      <c r="DB357">
        <v>6.8808680000000004</v>
      </c>
      <c r="DC357">
        <v>64.351395999999994</v>
      </c>
      <c r="DD357">
        <v>110.367906</v>
      </c>
      <c r="DE357">
        <v>43.275621000000001</v>
      </c>
      <c r="DF357">
        <v>14.451395</v>
      </c>
      <c r="DG357">
        <v>6.464893</v>
      </c>
      <c r="DH357">
        <v>0.39210299999999998</v>
      </c>
      <c r="DI357">
        <v>0.33393800000000001</v>
      </c>
      <c r="DJ357">
        <v>0.14938899999999999</v>
      </c>
      <c r="DK357">
        <v>26</v>
      </c>
      <c r="DL357">
        <v>30</v>
      </c>
      <c r="DM357">
        <v>35</v>
      </c>
      <c r="DN357">
        <v>43</v>
      </c>
      <c r="DO357">
        <v>47</v>
      </c>
      <c r="DP357">
        <v>53</v>
      </c>
      <c r="DQ357">
        <v>66</v>
      </c>
      <c r="DR357">
        <v>82</v>
      </c>
      <c r="DS357">
        <v>103</v>
      </c>
      <c r="DT357">
        <v>130</v>
      </c>
      <c r="DU357">
        <v>145.75</v>
      </c>
      <c r="DV357">
        <v>164</v>
      </c>
      <c r="DW357">
        <v>225.800049</v>
      </c>
      <c r="DX357">
        <v>278.95001200000002</v>
      </c>
      <c r="DY357">
        <v>417.94988999999998</v>
      </c>
      <c r="DZ357">
        <v>95.634096</v>
      </c>
      <c r="EA357">
        <v>74.070449999999994</v>
      </c>
      <c r="EB357">
        <v>157.38045700000001</v>
      </c>
      <c r="EC357">
        <v>460</v>
      </c>
      <c r="ED357">
        <v>757</v>
      </c>
      <c r="EE357">
        <v>89.397088999999994</v>
      </c>
      <c r="EF357">
        <v>100</v>
      </c>
      <c r="EG357">
        <v>61.056750999999998</v>
      </c>
      <c r="EH357">
        <v>99.902152999999998</v>
      </c>
      <c r="EI357">
        <v>129.72972999999999</v>
      </c>
      <c r="EJ357">
        <v>212.26611199999999</v>
      </c>
      <c r="EK357">
        <v>430</v>
      </c>
      <c r="EL357">
        <v>481</v>
      </c>
      <c r="EM357">
        <v>624</v>
      </c>
      <c r="EN357">
        <v>1021</v>
      </c>
      <c r="EO357">
        <v>481</v>
      </c>
      <c r="EP357">
        <v>1022</v>
      </c>
      <c r="EQ357">
        <v>55.857180999999997</v>
      </c>
    </row>
    <row r="358" spans="1:147" x14ac:dyDescent="0.25">
      <c r="A358">
        <v>2025</v>
      </c>
      <c r="B358" t="str">
        <f t="shared" si="10"/>
        <v>NE</v>
      </c>
      <c r="C358" t="s">
        <v>1794</v>
      </c>
      <c r="D358" t="s">
        <v>1794</v>
      </c>
      <c r="E358">
        <v>27878</v>
      </c>
      <c r="F358" t="s">
        <v>1795</v>
      </c>
      <c r="G358" t="s">
        <v>1796</v>
      </c>
      <c r="H358" t="s">
        <v>1797</v>
      </c>
      <c r="I358">
        <v>49.31</v>
      </c>
      <c r="J358">
        <v>49.31</v>
      </c>
      <c r="K358" t="s">
        <v>461</v>
      </c>
      <c r="L358">
        <v>1</v>
      </c>
      <c r="M358">
        <v>2020</v>
      </c>
      <c r="O358" t="str">
        <f t="shared" si="11"/>
        <v>Talhadia</v>
      </c>
      <c r="P358" s="2">
        <v>44165</v>
      </c>
      <c r="Q358" t="s">
        <v>1798</v>
      </c>
      <c r="R358" t="s">
        <v>164</v>
      </c>
      <c r="S358" t="s">
        <v>154</v>
      </c>
      <c r="T358" t="s">
        <v>155</v>
      </c>
      <c r="U358" t="s">
        <v>156</v>
      </c>
      <c r="V358" s="2">
        <v>44771</v>
      </c>
      <c r="W358" t="s">
        <v>1799</v>
      </c>
      <c r="X358">
        <v>108.38</v>
      </c>
      <c r="Y358">
        <v>18.7</v>
      </c>
      <c r="Z358">
        <v>15</v>
      </c>
      <c r="AA358">
        <v>15</v>
      </c>
      <c r="AB358">
        <v>3</v>
      </c>
      <c r="AC358">
        <v>280.5</v>
      </c>
      <c r="AD358">
        <v>270.57087741331202</v>
      </c>
      <c r="AE358" s="2">
        <v>45735</v>
      </c>
      <c r="AF358">
        <v>52</v>
      </c>
      <c r="AG358">
        <v>4.2984257357973998</v>
      </c>
      <c r="AH358">
        <v>25.304581837471201</v>
      </c>
      <c r="AI358">
        <v>15.58</v>
      </c>
      <c r="AJ358">
        <v>14.4130560039274</v>
      </c>
      <c r="AK358">
        <v>20</v>
      </c>
      <c r="AL358">
        <v>739.177852073449</v>
      </c>
      <c r="AM358">
        <v>156.742514887038</v>
      </c>
      <c r="AN358">
        <v>0.21204979890477399</v>
      </c>
      <c r="AO358" t="s">
        <v>164</v>
      </c>
      <c r="AP358" t="s">
        <v>264</v>
      </c>
      <c r="AQ358" t="s">
        <v>408</v>
      </c>
      <c r="AR358">
        <v>8.3999999999999986</v>
      </c>
      <c r="AS358">
        <v>0.62090939574169568</v>
      </c>
      <c r="AT358" t="s">
        <v>1800</v>
      </c>
      <c r="AU358" t="s">
        <v>1794</v>
      </c>
      <c r="AV358">
        <v>863</v>
      </c>
      <c r="AW358">
        <v>492</v>
      </c>
      <c r="AX358">
        <v>289</v>
      </c>
      <c r="AY358">
        <v>70</v>
      </c>
      <c r="AZ358">
        <v>12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27.191998999999999</v>
      </c>
      <c r="BI358">
        <v>12.830251000000001</v>
      </c>
      <c r="BJ358">
        <v>0</v>
      </c>
      <c r="BK358">
        <v>11.331673</v>
      </c>
      <c r="BL358">
        <v>128.406812</v>
      </c>
      <c r="BM358">
        <v>0.88319999999999999</v>
      </c>
      <c r="BN358">
        <v>23.759499999999999</v>
      </c>
      <c r="BO358">
        <v>-8.8409000000000001E-2</v>
      </c>
      <c r="BP358">
        <v>1.1156889999999999</v>
      </c>
      <c r="BQ358">
        <v>11.049303</v>
      </c>
      <c r="BR358">
        <v>7.718</v>
      </c>
      <c r="BS358">
        <v>18.614999999999998</v>
      </c>
      <c r="BT358">
        <v>12.830251000000001</v>
      </c>
      <c r="BU358">
        <v>6.0908030000000002</v>
      </c>
      <c r="BV358">
        <v>-9.3725000000000003E-2</v>
      </c>
      <c r="BW358">
        <v>-1.194834</v>
      </c>
      <c r="BX358">
        <v>0.47472199999999998</v>
      </c>
      <c r="BY358">
        <v>-1.5388000000000001E-2</v>
      </c>
      <c r="BZ358">
        <v>-0.19617000000000001</v>
      </c>
      <c r="CA358">
        <v>4.0000000000000001E-3</v>
      </c>
      <c r="CB358">
        <v>1.3100000000000001E-2</v>
      </c>
      <c r="CC358">
        <v>2.5000000000000001E-2</v>
      </c>
      <c r="CD358">
        <v>5.6399999999999999E-2</v>
      </c>
      <c r="CE358">
        <v>9.0999999999999998E-2</v>
      </c>
      <c r="CF358">
        <v>0.20599999999999999</v>
      </c>
      <c r="CG358">
        <v>2.4396</v>
      </c>
      <c r="CH358">
        <v>18.614999999999998</v>
      </c>
      <c r="CI358">
        <v>22.164000999999999</v>
      </c>
      <c r="CJ358">
        <v>23.352799999999998</v>
      </c>
      <c r="CK358">
        <v>23.8505</v>
      </c>
      <c r="CL358">
        <v>24.3522</v>
      </c>
      <c r="CM358">
        <v>25.284599</v>
      </c>
      <c r="CN358">
        <v>25.9802</v>
      </c>
      <c r="CO358">
        <v>26.85276</v>
      </c>
      <c r="CP358">
        <v>0.47183900000000001</v>
      </c>
      <c r="CQ358">
        <v>17.113544000000001</v>
      </c>
      <c r="CR358">
        <v>19.056441</v>
      </c>
      <c r="CS358">
        <v>22</v>
      </c>
      <c r="CT358">
        <v>673</v>
      </c>
      <c r="CU358">
        <v>162.27809999999999</v>
      </c>
      <c r="CV358">
        <v>32.333333000000003</v>
      </c>
      <c r="CW358">
        <v>119.27129499999999</v>
      </c>
      <c r="CX358">
        <v>14225.64183</v>
      </c>
      <c r="CY358">
        <v>0.734981</v>
      </c>
      <c r="CZ358">
        <v>173.5</v>
      </c>
      <c r="DA358">
        <v>0.97427399999999997</v>
      </c>
      <c r="DB358">
        <v>3.4454880000000001</v>
      </c>
      <c r="DC358">
        <v>98.039512999999999</v>
      </c>
      <c r="DD358">
        <v>162.27809999999999</v>
      </c>
      <c r="DE358">
        <v>65.260901000000004</v>
      </c>
      <c r="DF358">
        <v>15.015262999999999</v>
      </c>
      <c r="DG358">
        <v>4.0244780000000002</v>
      </c>
      <c r="DH358">
        <v>0.40215499999999998</v>
      </c>
      <c r="DI358">
        <v>0.23008100000000001</v>
      </c>
      <c r="DJ358">
        <v>6.1668000000000001E-2</v>
      </c>
      <c r="DK358">
        <v>27</v>
      </c>
      <c r="DL358">
        <v>32</v>
      </c>
      <c r="DM358">
        <v>38</v>
      </c>
      <c r="DN358">
        <v>52</v>
      </c>
      <c r="DO358">
        <v>62</v>
      </c>
      <c r="DP358">
        <v>72.600005999999993</v>
      </c>
      <c r="DQ358">
        <v>95</v>
      </c>
      <c r="DR358">
        <v>134</v>
      </c>
      <c r="DS358">
        <v>172.20001199999999</v>
      </c>
      <c r="DT358">
        <v>214.400024</v>
      </c>
      <c r="DU358">
        <v>235.5</v>
      </c>
      <c r="DV358">
        <v>262.59997600000003</v>
      </c>
      <c r="DW358">
        <v>330.79998799999998</v>
      </c>
      <c r="DX358">
        <v>396.90002399999997</v>
      </c>
      <c r="DY358">
        <v>497.600098</v>
      </c>
      <c r="DZ358">
        <v>84.959350000000001</v>
      </c>
      <c r="EA358">
        <v>58.748551999999997</v>
      </c>
      <c r="EB358">
        <v>103.04877999999999</v>
      </c>
      <c r="EC358">
        <v>418</v>
      </c>
      <c r="ED358">
        <v>507</v>
      </c>
      <c r="EE358">
        <v>77.235771999999997</v>
      </c>
      <c r="EF358">
        <v>100</v>
      </c>
      <c r="EG358">
        <v>52.491309000000001</v>
      </c>
      <c r="EH358">
        <v>99.652375000000006</v>
      </c>
      <c r="EI358">
        <v>92.073171000000002</v>
      </c>
      <c r="EJ358">
        <v>174.79674800000001</v>
      </c>
      <c r="EK358">
        <v>380</v>
      </c>
      <c r="EL358">
        <v>492</v>
      </c>
      <c r="EM358">
        <v>453</v>
      </c>
      <c r="EN358">
        <v>860</v>
      </c>
      <c r="EO358">
        <v>492</v>
      </c>
      <c r="EP358">
        <v>863</v>
      </c>
      <c r="EQ358">
        <v>46.770209999999999</v>
      </c>
    </row>
    <row r="359" spans="1:147" x14ac:dyDescent="0.25">
      <c r="A359">
        <v>2025</v>
      </c>
      <c r="B359" t="str">
        <f t="shared" si="10"/>
        <v>NE</v>
      </c>
      <c r="C359" t="s">
        <v>1801</v>
      </c>
      <c r="D359" t="s">
        <v>1801</v>
      </c>
      <c r="E359">
        <v>27879</v>
      </c>
      <c r="F359" t="s">
        <v>1795</v>
      </c>
      <c r="G359" t="s">
        <v>1796</v>
      </c>
      <c r="H359" t="s">
        <v>1797</v>
      </c>
      <c r="I359">
        <v>49.31</v>
      </c>
      <c r="J359">
        <v>49.31</v>
      </c>
      <c r="K359" t="s">
        <v>461</v>
      </c>
      <c r="L359">
        <v>1</v>
      </c>
      <c r="M359">
        <v>2020</v>
      </c>
      <c r="O359" t="str">
        <f t="shared" si="11"/>
        <v>Talhadia</v>
      </c>
      <c r="P359" s="2">
        <v>44165</v>
      </c>
      <c r="Q359" t="s">
        <v>1798</v>
      </c>
      <c r="R359" t="s">
        <v>164</v>
      </c>
      <c r="S359" t="s">
        <v>154</v>
      </c>
      <c r="T359" t="s">
        <v>155</v>
      </c>
      <c r="U359" t="s">
        <v>156</v>
      </c>
      <c r="V359" s="2">
        <v>45735</v>
      </c>
      <c r="W359" t="s">
        <v>1799</v>
      </c>
      <c r="X359">
        <v>108.38</v>
      </c>
      <c r="Y359">
        <v>21</v>
      </c>
      <c r="Z359">
        <v>27</v>
      </c>
      <c r="AA359">
        <v>14.8</v>
      </c>
      <c r="AB359">
        <v>11</v>
      </c>
      <c r="AC359">
        <v>310.8</v>
      </c>
      <c r="AD359">
        <v>271.83693865929899</v>
      </c>
      <c r="AE359" s="2">
        <v>45735</v>
      </c>
      <c r="AF359">
        <v>52</v>
      </c>
      <c r="AG359">
        <v>4.2984257357973998</v>
      </c>
      <c r="AH359">
        <v>17.865700862361301</v>
      </c>
      <c r="AI359">
        <v>12.4096774193548</v>
      </c>
      <c r="AJ359">
        <v>13.9971698314429</v>
      </c>
      <c r="AK359">
        <v>31</v>
      </c>
      <c r="AL359">
        <v>1140.38953472961</v>
      </c>
      <c r="AM359">
        <v>100.04213037044001</v>
      </c>
      <c r="AN359">
        <v>8.77262788930806E-2</v>
      </c>
      <c r="AO359" t="s">
        <v>164</v>
      </c>
      <c r="AP359" t="s">
        <v>264</v>
      </c>
      <c r="AQ359" t="s">
        <v>408</v>
      </c>
      <c r="AR359">
        <v>8.3999999999999986</v>
      </c>
      <c r="AS359">
        <v>0.95792720917287377</v>
      </c>
      <c r="AT359" t="s">
        <v>1802</v>
      </c>
      <c r="AU359" t="s">
        <v>1801</v>
      </c>
      <c r="AV359">
        <v>990</v>
      </c>
      <c r="AW359">
        <v>563</v>
      </c>
      <c r="AX359">
        <v>315</v>
      </c>
      <c r="AY359">
        <v>94</v>
      </c>
      <c r="AZ359">
        <v>18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22.657</v>
      </c>
      <c r="BI359">
        <v>12.231717</v>
      </c>
      <c r="BJ359">
        <v>0</v>
      </c>
      <c r="BK359">
        <v>9.0126229999999996</v>
      </c>
      <c r="BL359">
        <v>81.227378000000002</v>
      </c>
      <c r="BM359">
        <v>0.73682400000000003</v>
      </c>
      <c r="BN359">
        <v>19.650251000000001</v>
      </c>
      <c r="BO359">
        <v>-0.466333</v>
      </c>
      <c r="BP359">
        <v>1.3650329999999999</v>
      </c>
      <c r="BQ359">
        <v>8.4818770000000008</v>
      </c>
      <c r="BR359">
        <v>3.2955009999999998</v>
      </c>
      <c r="BS359">
        <v>17.723998999999999</v>
      </c>
      <c r="BT359">
        <v>12.231717</v>
      </c>
      <c r="BU359">
        <v>4.7999780000000003</v>
      </c>
      <c r="BV359">
        <v>-0.78142299999999998</v>
      </c>
      <c r="BW359">
        <v>-0.64011300000000004</v>
      </c>
      <c r="BX359">
        <v>0.39242100000000002</v>
      </c>
      <c r="BY359">
        <v>-0.162797</v>
      </c>
      <c r="BZ359">
        <v>-0.133358</v>
      </c>
      <c r="CA359">
        <v>3.8899999999999998E-3</v>
      </c>
      <c r="CB359">
        <v>1.4999999999999999E-2</v>
      </c>
      <c r="CC359">
        <v>2.8000000000000001E-2</v>
      </c>
      <c r="CD359">
        <v>7.2800000000000004E-2</v>
      </c>
      <c r="CE359">
        <v>0.11225</v>
      </c>
      <c r="CF359">
        <v>1.1212009999999999</v>
      </c>
      <c r="CG359">
        <v>14.2172</v>
      </c>
      <c r="CH359">
        <v>17.723998999999999</v>
      </c>
      <c r="CI359">
        <v>18.655401000000001</v>
      </c>
      <c r="CJ359">
        <v>19.4282</v>
      </c>
      <c r="CK359">
        <v>19.762501</v>
      </c>
      <c r="CL359">
        <v>20.074400000000001</v>
      </c>
      <c r="CM359">
        <v>20.986401000000001</v>
      </c>
      <c r="CN359">
        <v>21.615750999999999</v>
      </c>
      <c r="CO359">
        <v>22.276440000000001</v>
      </c>
      <c r="CP359">
        <v>0.53986500000000004</v>
      </c>
      <c r="CQ359">
        <v>15.190794</v>
      </c>
      <c r="CR359">
        <v>16.468737000000001</v>
      </c>
      <c r="CS359">
        <v>24</v>
      </c>
      <c r="CT359">
        <v>779</v>
      </c>
      <c r="CU359">
        <v>182.163636</v>
      </c>
      <c r="CV359">
        <v>35.984127000000001</v>
      </c>
      <c r="CW359">
        <v>142.20988600000001</v>
      </c>
      <c r="CX359">
        <v>20223.65166</v>
      </c>
      <c r="CY359">
        <v>0.780671</v>
      </c>
      <c r="CZ359">
        <v>189</v>
      </c>
      <c r="DA359">
        <v>1.297399</v>
      </c>
      <c r="DB359">
        <v>4.440531</v>
      </c>
      <c r="DC359">
        <v>111.294325</v>
      </c>
      <c r="DD359">
        <v>182.163636</v>
      </c>
      <c r="DE359">
        <v>75.425342999999998</v>
      </c>
      <c r="DF359">
        <v>20.993483999999999</v>
      </c>
      <c r="DG359">
        <v>8.4905249999999999</v>
      </c>
      <c r="DH359">
        <v>0.414053</v>
      </c>
      <c r="DI359">
        <v>0.278335</v>
      </c>
      <c r="DJ359">
        <v>0.112569</v>
      </c>
      <c r="DK359">
        <v>28.889999</v>
      </c>
      <c r="DL359">
        <v>35</v>
      </c>
      <c r="DM359">
        <v>42.900002000000001</v>
      </c>
      <c r="DN359">
        <v>58</v>
      </c>
      <c r="DO359">
        <v>67</v>
      </c>
      <c r="DP359">
        <v>77.700012000000001</v>
      </c>
      <c r="DQ359">
        <v>110</v>
      </c>
      <c r="DR359">
        <v>144</v>
      </c>
      <c r="DS359">
        <v>181.400024</v>
      </c>
      <c r="DT359">
        <v>228</v>
      </c>
      <c r="DU359">
        <v>256</v>
      </c>
      <c r="DV359">
        <v>287</v>
      </c>
      <c r="DW359">
        <v>374</v>
      </c>
      <c r="DX359">
        <v>507.199951</v>
      </c>
      <c r="DY359">
        <v>621</v>
      </c>
      <c r="DZ359">
        <v>89.342805999999996</v>
      </c>
      <c r="EA359">
        <v>66.363636</v>
      </c>
      <c r="EB359">
        <v>116.69627</v>
      </c>
      <c r="EC359">
        <v>503</v>
      </c>
      <c r="ED359">
        <v>657</v>
      </c>
      <c r="EE359">
        <v>86.500888000000003</v>
      </c>
      <c r="EF359">
        <v>100</v>
      </c>
      <c r="EG359">
        <v>61.515152</v>
      </c>
      <c r="EH359">
        <v>99.797979999999995</v>
      </c>
      <c r="EI359">
        <v>108.17051499999999</v>
      </c>
      <c r="EJ359">
        <v>175.48845499999999</v>
      </c>
      <c r="EK359">
        <v>487</v>
      </c>
      <c r="EL359">
        <v>563</v>
      </c>
      <c r="EM359">
        <v>609</v>
      </c>
      <c r="EN359">
        <v>988</v>
      </c>
      <c r="EO359">
        <v>563</v>
      </c>
      <c r="EP359">
        <v>990</v>
      </c>
      <c r="EQ359">
        <v>53.913037000000003</v>
      </c>
    </row>
    <row r="360" spans="1:147" x14ac:dyDescent="0.25">
      <c r="A360">
        <v>2025</v>
      </c>
      <c r="B360" t="str">
        <f t="shared" si="10"/>
        <v>NE</v>
      </c>
      <c r="C360" t="s">
        <v>1803</v>
      </c>
      <c r="D360" t="s">
        <v>1803</v>
      </c>
      <c r="E360">
        <v>28234</v>
      </c>
      <c r="F360" t="s">
        <v>1795</v>
      </c>
      <c r="G360" t="s">
        <v>1796</v>
      </c>
      <c r="H360" t="s">
        <v>1797</v>
      </c>
      <c r="I360">
        <v>49.31</v>
      </c>
      <c r="J360">
        <v>49.31</v>
      </c>
      <c r="K360" t="s">
        <v>461</v>
      </c>
      <c r="L360">
        <v>1</v>
      </c>
      <c r="M360">
        <v>2020</v>
      </c>
      <c r="O360" t="str">
        <f t="shared" si="11"/>
        <v>Talhadia</v>
      </c>
      <c r="P360" s="2">
        <v>44165</v>
      </c>
      <c r="Q360" t="s">
        <v>1798</v>
      </c>
      <c r="R360" t="s">
        <v>164</v>
      </c>
      <c r="S360" t="s">
        <v>154</v>
      </c>
      <c r="T360" t="s">
        <v>155</v>
      </c>
      <c r="U360" t="s">
        <v>156</v>
      </c>
      <c r="V360" s="2">
        <v>44772</v>
      </c>
      <c r="W360" t="s">
        <v>1799</v>
      </c>
      <c r="X360">
        <v>108.38</v>
      </c>
      <c r="Y360">
        <v>20</v>
      </c>
      <c r="Z360">
        <v>33</v>
      </c>
      <c r="AA360">
        <v>13.7</v>
      </c>
      <c r="AB360">
        <v>1</v>
      </c>
      <c r="AC360">
        <v>274</v>
      </c>
      <c r="AD360">
        <v>229.76073661347101</v>
      </c>
      <c r="AE360" s="2">
        <v>45735</v>
      </c>
      <c r="AF360">
        <v>52</v>
      </c>
      <c r="AG360">
        <v>4.2984257357973998</v>
      </c>
      <c r="AH360">
        <v>22.8442196122922</v>
      </c>
      <c r="AI360">
        <v>14.456</v>
      </c>
      <c r="AJ360">
        <v>18.293401465416601</v>
      </c>
      <c r="AK360">
        <v>25</v>
      </c>
      <c r="AL360">
        <v>1088.08843358027</v>
      </c>
      <c r="AM360">
        <v>178.35593281353701</v>
      </c>
      <c r="AN360">
        <v>0.163916762010484</v>
      </c>
      <c r="AO360" t="s">
        <v>164</v>
      </c>
      <c r="AP360" t="s">
        <v>264</v>
      </c>
      <c r="AQ360" t="s">
        <v>408</v>
      </c>
      <c r="AR360">
        <v>8.3999999999999986</v>
      </c>
      <c r="AS360">
        <v>0.91399428420742423</v>
      </c>
      <c r="AT360" t="s">
        <v>1804</v>
      </c>
      <c r="AU360" t="s">
        <v>1803</v>
      </c>
      <c r="AV360">
        <v>889</v>
      </c>
      <c r="AW360">
        <v>518</v>
      </c>
      <c r="AX360">
        <v>280</v>
      </c>
      <c r="AY360">
        <v>74</v>
      </c>
      <c r="AZ360">
        <v>15</v>
      </c>
      <c r="BA360">
        <v>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1E-3</v>
      </c>
      <c r="BH360">
        <v>26.568999999999999</v>
      </c>
      <c r="BI360">
        <v>13.565844</v>
      </c>
      <c r="BJ360">
        <v>1E-3</v>
      </c>
      <c r="BK360">
        <v>10.267385000000001</v>
      </c>
      <c r="BL360">
        <v>105.41919799999999</v>
      </c>
      <c r="BM360">
        <v>0.75685599999999997</v>
      </c>
      <c r="BN360">
        <v>21.456999</v>
      </c>
      <c r="BO360">
        <v>-0.22253200000000001</v>
      </c>
      <c r="BP360">
        <v>1.265339</v>
      </c>
      <c r="BQ360">
        <v>9.8094009999999994</v>
      </c>
      <c r="BR360">
        <v>6.5090009999999996</v>
      </c>
      <c r="BS360">
        <v>18.823</v>
      </c>
      <c r="BT360">
        <v>13.565844</v>
      </c>
      <c r="BU360">
        <v>5.6676609999999998</v>
      </c>
      <c r="BV360">
        <v>-0.48721799999999998</v>
      </c>
      <c r="BW360">
        <v>-0.83934399999999998</v>
      </c>
      <c r="BX360">
        <v>0.41778900000000002</v>
      </c>
      <c r="BY360">
        <v>-8.5965E-2</v>
      </c>
      <c r="BZ360">
        <v>-0.148093</v>
      </c>
      <c r="CA360">
        <v>2.8800000000000002E-3</v>
      </c>
      <c r="CB360">
        <v>1.2E-2</v>
      </c>
      <c r="CC360">
        <v>2.8000000000000001E-2</v>
      </c>
      <c r="CD360">
        <v>0.36720000000000003</v>
      </c>
      <c r="CE360">
        <v>1.784</v>
      </c>
      <c r="CF360">
        <v>3.6181999999999999</v>
      </c>
      <c r="CG360">
        <v>7.8868</v>
      </c>
      <c r="CH360">
        <v>18.823999000000001</v>
      </c>
      <c r="CI360">
        <v>21.364799000000001</v>
      </c>
      <c r="CJ360">
        <v>22.729599</v>
      </c>
      <c r="CK360">
        <v>23.240998999999999</v>
      </c>
      <c r="CL360">
        <v>23.656199999999998</v>
      </c>
      <c r="CM360">
        <v>24.743801000000001</v>
      </c>
      <c r="CN360">
        <v>25.276800000000001</v>
      </c>
      <c r="CO360">
        <v>26.083361</v>
      </c>
      <c r="CP360">
        <v>0.510571</v>
      </c>
      <c r="CQ360">
        <v>17.009782999999999</v>
      </c>
      <c r="CR360">
        <v>18.702119</v>
      </c>
      <c r="CS360">
        <v>21</v>
      </c>
      <c r="CT360">
        <v>527</v>
      </c>
      <c r="CU360">
        <v>122.795276</v>
      </c>
      <c r="CV360">
        <v>37.063491999999997</v>
      </c>
      <c r="CW360">
        <v>85.535691</v>
      </c>
      <c r="CX360">
        <v>7316.354437</v>
      </c>
      <c r="CY360">
        <v>0.69657199999999997</v>
      </c>
      <c r="CZ360">
        <v>112</v>
      </c>
      <c r="DA360">
        <v>1.3665069999999999</v>
      </c>
      <c r="DB360">
        <v>5.1252000000000004</v>
      </c>
      <c r="DC360">
        <v>66.783096999999998</v>
      </c>
      <c r="DD360">
        <v>122.795276</v>
      </c>
      <c r="DE360">
        <v>45.336084999999997</v>
      </c>
      <c r="DF360">
        <v>11.873575000000001</v>
      </c>
      <c r="DG360">
        <v>5.2982709999999997</v>
      </c>
      <c r="DH360">
        <v>0.369201</v>
      </c>
      <c r="DI360">
        <v>0.26190099999999999</v>
      </c>
      <c r="DJ360">
        <v>0.116867</v>
      </c>
      <c r="DK360">
        <v>25</v>
      </c>
      <c r="DL360">
        <v>31</v>
      </c>
      <c r="DM360">
        <v>37.800002999999997</v>
      </c>
      <c r="DN360">
        <v>50.600006</v>
      </c>
      <c r="DO360">
        <v>56</v>
      </c>
      <c r="DP360">
        <v>64</v>
      </c>
      <c r="DQ360">
        <v>78.200012000000001</v>
      </c>
      <c r="DR360">
        <v>102</v>
      </c>
      <c r="DS360">
        <v>123.799988</v>
      </c>
      <c r="DT360">
        <v>151.599976</v>
      </c>
      <c r="DU360">
        <v>168</v>
      </c>
      <c r="DV360">
        <v>187.400024</v>
      </c>
      <c r="DW360">
        <v>235.20001199999999</v>
      </c>
      <c r="DX360">
        <v>287.59997600000003</v>
      </c>
      <c r="DY360">
        <v>404.23998999999998</v>
      </c>
      <c r="DZ360">
        <v>91.505792</v>
      </c>
      <c r="EA360">
        <v>71.203599999999994</v>
      </c>
      <c r="EB360">
        <v>122.200772</v>
      </c>
      <c r="EC360">
        <v>474</v>
      </c>
      <c r="ED360">
        <v>633</v>
      </c>
      <c r="EE360">
        <v>80.308880000000002</v>
      </c>
      <c r="EF360">
        <v>100</v>
      </c>
      <c r="EG360">
        <v>54.443195000000003</v>
      </c>
      <c r="EH360">
        <v>99.550055999999998</v>
      </c>
      <c r="EI360">
        <v>93.436293000000006</v>
      </c>
      <c r="EJ360">
        <v>170.84942100000001</v>
      </c>
      <c r="EK360">
        <v>416</v>
      </c>
      <c r="EL360">
        <v>518</v>
      </c>
      <c r="EM360">
        <v>484</v>
      </c>
      <c r="EN360">
        <v>885</v>
      </c>
      <c r="EO360">
        <v>518</v>
      </c>
      <c r="EP360">
        <v>889</v>
      </c>
      <c r="EQ360">
        <v>51.003354999999999</v>
      </c>
    </row>
    <row r="361" spans="1:147" x14ac:dyDescent="0.25">
      <c r="A361">
        <v>2025</v>
      </c>
      <c r="B361" t="str">
        <f t="shared" si="10"/>
        <v>NE</v>
      </c>
      <c r="C361" t="s">
        <v>1805</v>
      </c>
      <c r="D361" t="s">
        <v>1805</v>
      </c>
      <c r="E361">
        <v>29613</v>
      </c>
      <c r="F361" t="s">
        <v>1806</v>
      </c>
      <c r="G361" t="s">
        <v>1807</v>
      </c>
      <c r="H361" t="s">
        <v>1808</v>
      </c>
      <c r="I361">
        <v>56.86</v>
      </c>
      <c r="J361">
        <v>56.86</v>
      </c>
      <c r="K361" t="s">
        <v>461</v>
      </c>
      <c r="L361">
        <v>1</v>
      </c>
      <c r="M361">
        <v>2022</v>
      </c>
      <c r="O361" t="str">
        <f t="shared" si="11"/>
        <v>Talhadia</v>
      </c>
      <c r="P361" s="2">
        <v>44634</v>
      </c>
      <c r="Q361" t="s">
        <v>174</v>
      </c>
      <c r="R361" t="s">
        <v>427</v>
      </c>
      <c r="S361" t="s">
        <v>154</v>
      </c>
      <c r="T361" t="s">
        <v>155</v>
      </c>
      <c r="U361" t="s">
        <v>156</v>
      </c>
      <c r="V361" s="2">
        <v>45744</v>
      </c>
      <c r="W361" t="s">
        <v>1809</v>
      </c>
      <c r="X361">
        <v>336.35</v>
      </c>
      <c r="Y361">
        <v>21.4</v>
      </c>
      <c r="Z361">
        <v>32</v>
      </c>
      <c r="AA361">
        <v>14</v>
      </c>
      <c r="AB361">
        <v>11</v>
      </c>
      <c r="AC361">
        <v>299.60000000000002</v>
      </c>
      <c r="AD361">
        <v>249.40713239183299</v>
      </c>
      <c r="AE361" s="2">
        <v>45744</v>
      </c>
      <c r="AF361">
        <v>36</v>
      </c>
      <c r="AG361">
        <v>3.03901437371663</v>
      </c>
      <c r="AH361">
        <v>18.1941861549194</v>
      </c>
      <c r="AI361">
        <v>12.6653846153846</v>
      </c>
      <c r="AJ361">
        <v>13.7429726342131</v>
      </c>
      <c r="AK361">
        <v>26</v>
      </c>
      <c r="AL361">
        <v>1042.47219198016</v>
      </c>
      <c r="AM361">
        <v>103.015650098696</v>
      </c>
      <c r="AN361">
        <v>9.88186072407541E-2</v>
      </c>
      <c r="AO361" t="s">
        <v>427</v>
      </c>
      <c r="AP361" t="s">
        <v>264</v>
      </c>
      <c r="AQ361" t="s">
        <v>530</v>
      </c>
      <c r="AR361">
        <v>9</v>
      </c>
      <c r="AS361">
        <v>0.93822497278214367</v>
      </c>
      <c r="AT361" t="s">
        <v>1810</v>
      </c>
      <c r="AU361" t="s">
        <v>1805</v>
      </c>
      <c r="AV361">
        <v>1132</v>
      </c>
      <c r="AW361">
        <v>747</v>
      </c>
      <c r="AX361">
        <v>314</v>
      </c>
      <c r="AY361">
        <v>63</v>
      </c>
      <c r="AZ361">
        <v>8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20.802999</v>
      </c>
      <c r="BI361">
        <v>10.130234</v>
      </c>
      <c r="BJ361">
        <v>0</v>
      </c>
      <c r="BK361">
        <v>7.9412760000000002</v>
      </c>
      <c r="BL361">
        <v>63.063865999999997</v>
      </c>
      <c r="BM361">
        <v>0.783918</v>
      </c>
      <c r="BN361">
        <v>16.726248999999999</v>
      </c>
      <c r="BO361">
        <v>-0.30345800000000001</v>
      </c>
      <c r="BP361">
        <v>1.2353609999999999</v>
      </c>
      <c r="BQ361">
        <v>7.6212400000000002</v>
      </c>
      <c r="BR361">
        <v>3.6675</v>
      </c>
      <c r="BS361">
        <v>14.842000000000001</v>
      </c>
      <c r="BT361">
        <v>10.130234</v>
      </c>
      <c r="BU361">
        <v>4.2769079999999997</v>
      </c>
      <c r="BV361">
        <v>-0.42016100000000001</v>
      </c>
      <c r="BW361">
        <v>-0.66912899999999997</v>
      </c>
      <c r="BX361">
        <v>0.42219200000000001</v>
      </c>
      <c r="BY361">
        <v>-9.8239000000000007E-2</v>
      </c>
      <c r="BZ361">
        <v>-0.15645200000000001</v>
      </c>
      <c r="CA361">
        <v>7.3099999999999997E-3</v>
      </c>
      <c r="CB361">
        <v>4.2549999999999998E-2</v>
      </c>
      <c r="CC361">
        <v>8.9200000000000002E-2</v>
      </c>
      <c r="CD361">
        <v>0.2482</v>
      </c>
      <c r="CE361">
        <v>0.37</v>
      </c>
      <c r="CF361">
        <v>0.57999999999999996</v>
      </c>
      <c r="CG361">
        <v>5.9340000000000002</v>
      </c>
      <c r="CH361">
        <v>14.842000000000001</v>
      </c>
      <c r="CI361">
        <v>16.028400000000001</v>
      </c>
      <c r="CJ361">
        <v>16.7591</v>
      </c>
      <c r="CK361">
        <v>17.096249</v>
      </c>
      <c r="CL361">
        <v>17.478199</v>
      </c>
      <c r="CM361">
        <v>18.253599000000001</v>
      </c>
      <c r="CN361">
        <v>18.856449000000001</v>
      </c>
      <c r="CO361">
        <v>19.935645999999998</v>
      </c>
      <c r="CP361">
        <v>0.48696</v>
      </c>
      <c r="CQ361">
        <v>12.869724</v>
      </c>
      <c r="CR361">
        <v>14.098960999999999</v>
      </c>
      <c r="CS361">
        <v>24</v>
      </c>
      <c r="CT361">
        <v>418</v>
      </c>
      <c r="CU361">
        <v>131.93374600000001</v>
      </c>
      <c r="CV361">
        <v>42.761904999999999</v>
      </c>
      <c r="CW361">
        <v>83.598541999999995</v>
      </c>
      <c r="CX361">
        <v>6988.7162079999998</v>
      </c>
      <c r="CY361">
        <v>0.63363999999999998</v>
      </c>
      <c r="CZ361">
        <v>114</v>
      </c>
      <c r="DA361">
        <v>0.96794400000000003</v>
      </c>
      <c r="DB361">
        <v>3.283712</v>
      </c>
      <c r="DC361">
        <v>67.216262999999998</v>
      </c>
      <c r="DD361">
        <v>131.93374600000001</v>
      </c>
      <c r="DE361">
        <v>45.782226999999999</v>
      </c>
      <c r="DF361">
        <v>10.306870999999999</v>
      </c>
      <c r="DG361">
        <v>4.1648719999999999</v>
      </c>
      <c r="DH361">
        <v>0.34700900000000001</v>
      </c>
      <c r="DI361">
        <v>0.22512799999999999</v>
      </c>
      <c r="DJ361">
        <v>9.0970999999999996E-2</v>
      </c>
      <c r="DK361">
        <v>30</v>
      </c>
      <c r="DL361">
        <v>36</v>
      </c>
      <c r="DM361">
        <v>43</v>
      </c>
      <c r="DN361">
        <v>56</v>
      </c>
      <c r="DO361">
        <v>63</v>
      </c>
      <c r="DP361">
        <v>72</v>
      </c>
      <c r="DQ361">
        <v>91</v>
      </c>
      <c r="DR361">
        <v>112</v>
      </c>
      <c r="DS361">
        <v>135</v>
      </c>
      <c r="DT361">
        <v>164</v>
      </c>
      <c r="DU361">
        <v>177</v>
      </c>
      <c r="DV361">
        <v>196</v>
      </c>
      <c r="DW361">
        <v>262</v>
      </c>
      <c r="DX361">
        <v>306</v>
      </c>
      <c r="DY361">
        <v>361.37988300000001</v>
      </c>
      <c r="DZ361">
        <v>81.392235999999997</v>
      </c>
      <c r="EA361">
        <v>63.162543999999997</v>
      </c>
      <c r="EB361">
        <v>95.716198000000006</v>
      </c>
      <c r="EC361">
        <v>608</v>
      </c>
      <c r="ED361">
        <v>715</v>
      </c>
      <c r="EE361">
        <v>76.840695999999994</v>
      </c>
      <c r="EF361">
        <v>100</v>
      </c>
      <c r="EG361">
        <v>58.480564999999999</v>
      </c>
      <c r="EH361">
        <v>99.911660999999995</v>
      </c>
      <c r="EI361">
        <v>88.621150999999998</v>
      </c>
      <c r="EJ361">
        <v>151.40562199999999</v>
      </c>
      <c r="EK361">
        <v>574</v>
      </c>
      <c r="EL361">
        <v>747</v>
      </c>
      <c r="EM361">
        <v>662</v>
      </c>
      <c r="EN361">
        <v>1131</v>
      </c>
      <c r="EO361">
        <v>747</v>
      </c>
      <c r="EP361">
        <v>1132</v>
      </c>
      <c r="EQ361">
        <v>49.795006000000001</v>
      </c>
    </row>
    <row r="362" spans="1:147" x14ac:dyDescent="0.25">
      <c r="A362">
        <v>2025</v>
      </c>
      <c r="B362" t="str">
        <f t="shared" si="10"/>
        <v>NE</v>
      </c>
      <c r="C362" t="s">
        <v>1811</v>
      </c>
      <c r="D362" t="s">
        <v>1811</v>
      </c>
      <c r="E362">
        <v>29073</v>
      </c>
      <c r="F362" t="s">
        <v>1812</v>
      </c>
      <c r="G362" t="s">
        <v>1813</v>
      </c>
      <c r="H362" t="s">
        <v>1814</v>
      </c>
      <c r="I362">
        <v>47.54</v>
      </c>
      <c r="J362">
        <v>47.54</v>
      </c>
      <c r="K362" t="s">
        <v>461</v>
      </c>
      <c r="L362">
        <v>1</v>
      </c>
      <c r="M362">
        <v>2021</v>
      </c>
      <c r="O362" t="str">
        <f t="shared" si="11"/>
        <v>Alto fuste</v>
      </c>
      <c r="P362" s="2">
        <v>44439</v>
      </c>
      <c r="Q362" t="s">
        <v>174</v>
      </c>
      <c r="R362" t="s">
        <v>470</v>
      </c>
      <c r="S362" t="s">
        <v>154</v>
      </c>
      <c r="T362" t="s">
        <v>155</v>
      </c>
      <c r="U362" t="s">
        <v>156</v>
      </c>
      <c r="V362" s="2">
        <v>44773</v>
      </c>
      <c r="W362" t="s">
        <v>1815</v>
      </c>
      <c r="X362">
        <v>138.22</v>
      </c>
      <c r="Y362">
        <v>20.8</v>
      </c>
      <c r="Z362">
        <v>22</v>
      </c>
      <c r="AA362">
        <v>14.4</v>
      </c>
      <c r="AB362">
        <v>3</v>
      </c>
      <c r="AC362">
        <v>299.52</v>
      </c>
      <c r="AD362">
        <v>277.32951606836201</v>
      </c>
      <c r="AE362" s="2">
        <v>45736</v>
      </c>
      <c r="AF362">
        <v>43</v>
      </c>
      <c r="AG362">
        <v>3.55099247091034</v>
      </c>
      <c r="AH362">
        <v>23.355998895413599</v>
      </c>
      <c r="AI362">
        <v>13.7083333333333</v>
      </c>
      <c r="AJ362">
        <v>12.9610605533765</v>
      </c>
      <c r="AK362">
        <v>24</v>
      </c>
      <c r="AL362">
        <v>865.39652685522105</v>
      </c>
      <c r="AM362">
        <v>137.99559500215801</v>
      </c>
      <c r="AN362">
        <v>0.15945938158964301</v>
      </c>
      <c r="AO362" t="s">
        <v>470</v>
      </c>
      <c r="AP362" t="s">
        <v>158</v>
      </c>
      <c r="AQ362" t="s">
        <v>530</v>
      </c>
      <c r="AR362">
        <v>9</v>
      </c>
      <c r="AS362">
        <v>0.77885687416969995</v>
      </c>
      <c r="AT362" t="s">
        <v>1816</v>
      </c>
      <c r="AU362" t="s">
        <v>1811</v>
      </c>
      <c r="AV362">
        <v>968</v>
      </c>
      <c r="AW362">
        <v>524</v>
      </c>
      <c r="AX362">
        <v>328</v>
      </c>
      <c r="AY362">
        <v>103</v>
      </c>
      <c r="AZ362">
        <v>13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24.044001000000002</v>
      </c>
      <c r="BI362">
        <v>12.791181999999999</v>
      </c>
      <c r="BJ362">
        <v>0</v>
      </c>
      <c r="BK362">
        <v>9.9180089999999996</v>
      </c>
      <c r="BL362">
        <v>98.366906999999998</v>
      </c>
      <c r="BM362">
        <v>0.77537900000000004</v>
      </c>
      <c r="BN362">
        <v>20.591999000000001</v>
      </c>
      <c r="BO362">
        <v>-0.35067599999999999</v>
      </c>
      <c r="BP362">
        <v>1.2105440000000001</v>
      </c>
      <c r="BQ362">
        <v>9.5962700000000005</v>
      </c>
      <c r="BR362">
        <v>3.1729989999999999</v>
      </c>
      <c r="BS362">
        <v>19.540500999999999</v>
      </c>
      <c r="BT362">
        <v>12.791181999999999</v>
      </c>
      <c r="BU362">
        <v>5.2504280000000003</v>
      </c>
      <c r="BV362">
        <v>-0.69379299999999999</v>
      </c>
      <c r="BW362">
        <v>-0.850939</v>
      </c>
      <c r="BX362">
        <v>0.410472</v>
      </c>
      <c r="BY362">
        <v>-0.13214000000000001</v>
      </c>
      <c r="BZ362">
        <v>-0.16206999999999999</v>
      </c>
      <c r="CA362">
        <v>2E-3</v>
      </c>
      <c r="CB362">
        <v>2.3E-2</v>
      </c>
      <c r="CC362">
        <v>6.4699999999999994E-2</v>
      </c>
      <c r="CD362">
        <v>0.22500000000000001</v>
      </c>
      <c r="CE362">
        <v>0.70074999999999998</v>
      </c>
      <c r="CF362">
        <v>1.3452</v>
      </c>
      <c r="CG362">
        <v>6.7789989999999998</v>
      </c>
      <c r="CH362">
        <v>19.540500999999999</v>
      </c>
      <c r="CI362">
        <v>20.341999000000001</v>
      </c>
      <c r="CJ362">
        <v>20.933201</v>
      </c>
      <c r="CK362">
        <v>21.292749000000001</v>
      </c>
      <c r="CL362">
        <v>21.7332</v>
      </c>
      <c r="CM362">
        <v>22.572800000000001</v>
      </c>
      <c r="CN362">
        <v>23.022849999999998</v>
      </c>
      <c r="CO362">
        <v>23.547281000000002</v>
      </c>
      <c r="CP362">
        <v>0.53199099999999999</v>
      </c>
      <c r="CQ362">
        <v>16.182694999999999</v>
      </c>
      <c r="CR362">
        <v>17.675070999999999</v>
      </c>
      <c r="CS362">
        <v>24</v>
      </c>
      <c r="CT362">
        <v>563</v>
      </c>
      <c r="CU362">
        <v>131.30062000000001</v>
      </c>
      <c r="CV362">
        <v>41.111111000000001</v>
      </c>
      <c r="CW362">
        <v>96.004823000000002</v>
      </c>
      <c r="CX362">
        <v>9216.9260799999993</v>
      </c>
      <c r="CY362">
        <v>0.73118300000000003</v>
      </c>
      <c r="CZ362">
        <v>114.25</v>
      </c>
      <c r="DA362">
        <v>1.559277</v>
      </c>
      <c r="DB362">
        <v>5.6713940000000003</v>
      </c>
      <c r="DC362">
        <v>72.607356999999993</v>
      </c>
      <c r="DD362">
        <v>131.30062000000001</v>
      </c>
      <c r="DE362">
        <v>49.732743999999997</v>
      </c>
      <c r="DF362">
        <v>14.644704000000001</v>
      </c>
      <c r="DG362">
        <v>7.2544510000000004</v>
      </c>
      <c r="DH362">
        <v>0.37877</v>
      </c>
      <c r="DI362">
        <v>0.29446800000000001</v>
      </c>
      <c r="DJ362">
        <v>0.145869</v>
      </c>
      <c r="DK362">
        <v>28</v>
      </c>
      <c r="DL362">
        <v>33</v>
      </c>
      <c r="DM362">
        <v>40</v>
      </c>
      <c r="DN362">
        <v>52</v>
      </c>
      <c r="DO362">
        <v>59.75</v>
      </c>
      <c r="DP362">
        <v>67</v>
      </c>
      <c r="DQ362">
        <v>84.799987999999999</v>
      </c>
      <c r="DR362">
        <v>105</v>
      </c>
      <c r="DS362">
        <v>130</v>
      </c>
      <c r="DT362">
        <v>157</v>
      </c>
      <c r="DU362">
        <v>174</v>
      </c>
      <c r="DV362">
        <v>195.599976</v>
      </c>
      <c r="DW362">
        <v>250</v>
      </c>
      <c r="DX362">
        <v>334.65002399999997</v>
      </c>
      <c r="DY362">
        <v>468.660034</v>
      </c>
      <c r="DZ362">
        <v>86.832060999999996</v>
      </c>
      <c r="EA362">
        <v>63.223140000000001</v>
      </c>
      <c r="EB362">
        <v>116.793893</v>
      </c>
      <c r="EC362">
        <v>455</v>
      </c>
      <c r="ED362">
        <v>612</v>
      </c>
      <c r="EE362">
        <v>84.923664000000002</v>
      </c>
      <c r="EF362">
        <v>99.809160000000006</v>
      </c>
      <c r="EG362">
        <v>58.780991999999998</v>
      </c>
      <c r="EH362">
        <v>99.793387999999993</v>
      </c>
      <c r="EI362">
        <v>108.58778599999999</v>
      </c>
      <c r="EJ362">
        <v>184.351145</v>
      </c>
      <c r="EK362">
        <v>445</v>
      </c>
      <c r="EL362">
        <v>523</v>
      </c>
      <c r="EM362">
        <v>569</v>
      </c>
      <c r="EN362">
        <v>966</v>
      </c>
      <c r="EO362">
        <v>524</v>
      </c>
      <c r="EP362">
        <v>968</v>
      </c>
      <c r="EQ362">
        <v>53.298929999999999</v>
      </c>
    </row>
    <row r="363" spans="1:147" x14ac:dyDescent="0.25">
      <c r="A363">
        <v>2025</v>
      </c>
      <c r="B363" t="str">
        <f t="shared" si="10"/>
        <v>NE</v>
      </c>
      <c r="C363" t="s">
        <v>1817</v>
      </c>
      <c r="D363" t="s">
        <v>1817</v>
      </c>
      <c r="E363">
        <v>29074</v>
      </c>
      <c r="F363" t="s">
        <v>1812</v>
      </c>
      <c r="G363" t="s">
        <v>1813</v>
      </c>
      <c r="H363" t="s">
        <v>1814</v>
      </c>
      <c r="I363">
        <v>47.54</v>
      </c>
      <c r="J363">
        <v>47.54</v>
      </c>
      <c r="K363" t="s">
        <v>461</v>
      </c>
      <c r="L363">
        <v>1</v>
      </c>
      <c r="M363">
        <v>2021</v>
      </c>
      <c r="O363" t="str">
        <f t="shared" si="11"/>
        <v>Alto fuste</v>
      </c>
      <c r="P363" s="2">
        <v>44439</v>
      </c>
      <c r="Q363" t="s">
        <v>174</v>
      </c>
      <c r="R363" t="s">
        <v>470</v>
      </c>
      <c r="S363" t="s">
        <v>154</v>
      </c>
      <c r="T363" t="s">
        <v>155</v>
      </c>
      <c r="U363" t="s">
        <v>156</v>
      </c>
      <c r="V363" s="2">
        <v>45736</v>
      </c>
      <c r="W363" t="s">
        <v>1815</v>
      </c>
      <c r="X363">
        <v>138.22</v>
      </c>
      <c r="Y363">
        <v>20.8</v>
      </c>
      <c r="Z363">
        <v>19</v>
      </c>
      <c r="AA363">
        <v>16.5</v>
      </c>
      <c r="AB363">
        <v>2</v>
      </c>
      <c r="AC363">
        <v>343.2</v>
      </c>
      <c r="AD363">
        <v>324.30429731017699</v>
      </c>
      <c r="AE363" s="2">
        <v>45736</v>
      </c>
      <c r="AF363">
        <v>43</v>
      </c>
      <c r="AG363">
        <v>3.55099247091034</v>
      </c>
      <c r="AH363">
        <v>20.017524653252401</v>
      </c>
      <c r="AI363">
        <v>14.1076923076923</v>
      </c>
      <c r="AJ363">
        <v>12.695866945311</v>
      </c>
      <c r="AK363">
        <v>26</v>
      </c>
      <c r="AL363">
        <v>801.71617260848802</v>
      </c>
      <c r="AM363">
        <v>115.862405249096</v>
      </c>
      <c r="AN363">
        <v>0.14451798430375001</v>
      </c>
      <c r="AO363" t="s">
        <v>470</v>
      </c>
      <c r="AP363" t="s">
        <v>158</v>
      </c>
      <c r="AQ363" t="s">
        <v>530</v>
      </c>
      <c r="AR363">
        <v>9</v>
      </c>
      <c r="AS363">
        <v>0.72154455534763839</v>
      </c>
      <c r="AT363" t="s">
        <v>1818</v>
      </c>
      <c r="AU363" t="s">
        <v>1817</v>
      </c>
      <c r="AV363">
        <v>1318</v>
      </c>
      <c r="AW363">
        <v>743</v>
      </c>
      <c r="AX363">
        <v>429</v>
      </c>
      <c r="AY363">
        <v>124</v>
      </c>
      <c r="AZ363">
        <v>20</v>
      </c>
      <c r="BA363">
        <v>2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24.402000000000001</v>
      </c>
      <c r="BI363">
        <v>10.808318999999999</v>
      </c>
      <c r="BJ363">
        <v>0</v>
      </c>
      <c r="BK363">
        <v>9.2044949999999996</v>
      </c>
      <c r="BL363">
        <v>84.722735999999998</v>
      </c>
      <c r="BM363">
        <v>0.85161200000000004</v>
      </c>
      <c r="BN363">
        <v>19.292000999999999</v>
      </c>
      <c r="BO363">
        <v>-0.111902</v>
      </c>
      <c r="BP363">
        <v>1.192677</v>
      </c>
      <c r="BQ363">
        <v>8.8510089999999995</v>
      </c>
      <c r="BR363">
        <v>6.6074999999999999</v>
      </c>
      <c r="BS363">
        <v>15.566998999999999</v>
      </c>
      <c r="BT363">
        <v>10.808318999999999</v>
      </c>
      <c r="BU363">
        <v>5.0309179999999998</v>
      </c>
      <c r="BV363">
        <v>-6.8587999999999996E-2</v>
      </c>
      <c r="BW363">
        <v>-0.84945499999999996</v>
      </c>
      <c r="BX363">
        <v>0.46546700000000002</v>
      </c>
      <c r="BY363">
        <v>-1.3632999999999999E-2</v>
      </c>
      <c r="BZ363">
        <v>-0.168847</v>
      </c>
      <c r="CA363">
        <v>5.3400000000000001E-3</v>
      </c>
      <c r="CB363">
        <v>2.8000000000000001E-2</v>
      </c>
      <c r="CC363">
        <v>6.3E-2</v>
      </c>
      <c r="CD363">
        <v>0.15240000000000001</v>
      </c>
      <c r="CE363">
        <v>0.22750000000000001</v>
      </c>
      <c r="CF363">
        <v>0.33410000000000001</v>
      </c>
      <c r="CG363">
        <v>3.4205990000000002</v>
      </c>
      <c r="CH363">
        <v>15.566998999999999</v>
      </c>
      <c r="CI363">
        <v>17.5854</v>
      </c>
      <c r="CJ363">
        <v>18.788401</v>
      </c>
      <c r="CK363">
        <v>19.519501000000002</v>
      </c>
      <c r="CL363">
        <v>20.130001</v>
      </c>
      <c r="CM363">
        <v>21.3139</v>
      </c>
      <c r="CN363">
        <v>22.158000999999999</v>
      </c>
      <c r="CO363">
        <v>23.086451</v>
      </c>
      <c r="CP363">
        <v>0.44292799999999999</v>
      </c>
      <c r="CQ363">
        <v>14.194302</v>
      </c>
      <c r="CR363">
        <v>15.7681</v>
      </c>
      <c r="CS363">
        <v>22</v>
      </c>
      <c r="CT363">
        <v>554</v>
      </c>
      <c r="CU363">
        <v>157.034143</v>
      </c>
      <c r="CV363">
        <v>30.444444000000001</v>
      </c>
      <c r="CW363">
        <v>120.078845</v>
      </c>
      <c r="CX363">
        <v>14418.928980000001</v>
      </c>
      <c r="CY363">
        <v>0.76466699999999999</v>
      </c>
      <c r="CZ363">
        <v>142</v>
      </c>
      <c r="DA363">
        <v>1.210988</v>
      </c>
      <c r="DB363">
        <v>3.6658409999999999</v>
      </c>
      <c r="DC363">
        <v>94.113701000000006</v>
      </c>
      <c r="DD363">
        <v>157.034143</v>
      </c>
      <c r="DE363">
        <v>63.699722999999999</v>
      </c>
      <c r="DF363">
        <v>18.817385000000002</v>
      </c>
      <c r="DG363">
        <v>7.465344</v>
      </c>
      <c r="DH363">
        <v>0.40564299999999998</v>
      </c>
      <c r="DI363">
        <v>0.295408</v>
      </c>
      <c r="DJ363">
        <v>0.11719599999999999</v>
      </c>
      <c r="DK363">
        <v>27.17</v>
      </c>
      <c r="DL363">
        <v>35</v>
      </c>
      <c r="DM363">
        <v>41</v>
      </c>
      <c r="DN363">
        <v>55</v>
      </c>
      <c r="DO363">
        <v>63</v>
      </c>
      <c r="DP363">
        <v>71</v>
      </c>
      <c r="DQ363">
        <v>97</v>
      </c>
      <c r="DR363">
        <v>122</v>
      </c>
      <c r="DS363">
        <v>149.20001199999999</v>
      </c>
      <c r="DT363">
        <v>184</v>
      </c>
      <c r="DU363">
        <v>205</v>
      </c>
      <c r="DV363">
        <v>236.599976</v>
      </c>
      <c r="DW363">
        <v>359.600098</v>
      </c>
      <c r="DX363">
        <v>425</v>
      </c>
      <c r="DY363">
        <v>487.82995599999998</v>
      </c>
      <c r="DZ363">
        <v>79.004037999999994</v>
      </c>
      <c r="EA363">
        <v>60.546281999999998</v>
      </c>
      <c r="EB363">
        <v>107.402423</v>
      </c>
      <c r="EC363">
        <v>587</v>
      </c>
      <c r="ED363">
        <v>798</v>
      </c>
      <c r="EE363">
        <v>73.755047000000005</v>
      </c>
      <c r="EF363">
        <v>99.865409999999997</v>
      </c>
      <c r="EG363">
        <v>53.186646000000003</v>
      </c>
      <c r="EH363">
        <v>99.848254999999995</v>
      </c>
      <c r="EI363">
        <v>94.347240999999997</v>
      </c>
      <c r="EJ363">
        <v>177.11978500000001</v>
      </c>
      <c r="EK363">
        <v>548</v>
      </c>
      <c r="EL363">
        <v>742</v>
      </c>
      <c r="EM363">
        <v>701</v>
      </c>
      <c r="EN363">
        <v>1316</v>
      </c>
      <c r="EO363">
        <v>743</v>
      </c>
      <c r="EP363">
        <v>1318</v>
      </c>
      <c r="EQ363">
        <v>45.801855000000003</v>
      </c>
    </row>
    <row r="364" spans="1:147" x14ac:dyDescent="0.25">
      <c r="A364">
        <v>2025</v>
      </c>
      <c r="B364" t="str">
        <f t="shared" si="10"/>
        <v>NE</v>
      </c>
      <c r="C364" t="s">
        <v>1819</v>
      </c>
      <c r="D364" t="s">
        <v>1819</v>
      </c>
      <c r="E364">
        <v>29075</v>
      </c>
      <c r="F364" t="s">
        <v>1812</v>
      </c>
      <c r="G364" t="s">
        <v>1813</v>
      </c>
      <c r="H364" t="s">
        <v>1814</v>
      </c>
      <c r="I364">
        <v>47.54</v>
      </c>
      <c r="J364">
        <v>47.54</v>
      </c>
      <c r="K364" t="s">
        <v>461</v>
      </c>
      <c r="L364">
        <v>1</v>
      </c>
      <c r="M364">
        <v>2021</v>
      </c>
      <c r="O364" t="str">
        <f t="shared" si="11"/>
        <v>Alto fuste</v>
      </c>
      <c r="P364" s="2">
        <v>44439</v>
      </c>
      <c r="Q364" t="s">
        <v>174</v>
      </c>
      <c r="R364" t="s">
        <v>470</v>
      </c>
      <c r="S364" t="s">
        <v>154</v>
      </c>
      <c r="T364" t="s">
        <v>155</v>
      </c>
      <c r="U364" t="s">
        <v>156</v>
      </c>
      <c r="V364" s="2">
        <v>44774</v>
      </c>
      <c r="W364" t="s">
        <v>1815</v>
      </c>
      <c r="X364">
        <v>138.22</v>
      </c>
      <c r="Y364">
        <v>21.5</v>
      </c>
      <c r="Z364">
        <v>20</v>
      </c>
      <c r="AA364">
        <v>15.4</v>
      </c>
      <c r="AB364">
        <v>1</v>
      </c>
      <c r="AC364">
        <v>331.1</v>
      </c>
      <c r="AD364">
        <v>311.08483979707898</v>
      </c>
      <c r="AE364" s="2">
        <v>45736</v>
      </c>
      <c r="AF364">
        <v>43</v>
      </c>
      <c r="AG364">
        <v>3.55099247091034</v>
      </c>
      <c r="AH364">
        <v>21.890411078474902</v>
      </c>
      <c r="AI364">
        <v>13.165625</v>
      </c>
      <c r="AJ364">
        <v>14.1831743902409</v>
      </c>
      <c r="AK364">
        <v>32</v>
      </c>
      <c r="AL364">
        <v>1028.6582920875801</v>
      </c>
      <c r="AM364">
        <v>141.62430819632101</v>
      </c>
      <c r="AN364">
        <v>0.13767867258320199</v>
      </c>
      <c r="AO364" t="s">
        <v>470</v>
      </c>
      <c r="AP364" t="s">
        <v>158</v>
      </c>
      <c r="AQ364" t="s">
        <v>530</v>
      </c>
      <c r="AR364">
        <v>9</v>
      </c>
      <c r="AS364">
        <v>0.92579246287881711</v>
      </c>
      <c r="AT364" t="s">
        <v>1820</v>
      </c>
      <c r="AU364" t="s">
        <v>1819</v>
      </c>
      <c r="AV364">
        <v>1137</v>
      </c>
      <c r="AW364">
        <v>672</v>
      </c>
      <c r="AX364">
        <v>352</v>
      </c>
      <c r="AY364">
        <v>100</v>
      </c>
      <c r="AZ364">
        <v>13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23.427</v>
      </c>
      <c r="BI364">
        <v>13.221555</v>
      </c>
      <c r="BJ364">
        <v>0</v>
      </c>
      <c r="BK364">
        <v>9.2175449999999994</v>
      </c>
      <c r="BL364">
        <v>84.963138000000001</v>
      </c>
      <c r="BM364">
        <v>0.69716</v>
      </c>
      <c r="BN364">
        <v>20.103000000000002</v>
      </c>
      <c r="BO364">
        <v>-0.592441</v>
      </c>
      <c r="BP364">
        <v>1.458742</v>
      </c>
      <c r="BQ364">
        <v>8.6683109999999992</v>
      </c>
      <c r="BR364">
        <v>2.1410010000000002</v>
      </c>
      <c r="BS364">
        <v>19.084999</v>
      </c>
      <c r="BT364">
        <v>13.221555</v>
      </c>
      <c r="BU364">
        <v>4.786619</v>
      </c>
      <c r="BV364">
        <v>-1.090581</v>
      </c>
      <c r="BW364">
        <v>-0.52508500000000002</v>
      </c>
      <c r="BX364">
        <v>0.36203099999999999</v>
      </c>
      <c r="BY364">
        <v>-0.22783999999999999</v>
      </c>
      <c r="BZ364">
        <v>-0.109698</v>
      </c>
      <c r="CA364">
        <v>4.3600000000000002E-3</v>
      </c>
      <c r="CB364">
        <v>1.9E-2</v>
      </c>
      <c r="CC364">
        <v>3.8199999999999998E-2</v>
      </c>
      <c r="CD364">
        <v>0.14860000000000001</v>
      </c>
      <c r="CE364">
        <v>0.38300000000000001</v>
      </c>
      <c r="CF364">
        <v>2.4196</v>
      </c>
      <c r="CG364">
        <v>17.614401000000001</v>
      </c>
      <c r="CH364">
        <v>19.084999</v>
      </c>
      <c r="CI364">
        <v>19.662001</v>
      </c>
      <c r="CJ364">
        <v>20.226400000000002</v>
      </c>
      <c r="CK364">
        <v>20.486000000000001</v>
      </c>
      <c r="CL364">
        <v>20.7698</v>
      </c>
      <c r="CM364">
        <v>21.381802</v>
      </c>
      <c r="CN364">
        <v>21.856999999999999</v>
      </c>
      <c r="CO364">
        <v>22.582239000000001</v>
      </c>
      <c r="CP364">
        <v>0.56437300000000001</v>
      </c>
      <c r="CQ364">
        <v>16.115145999999999</v>
      </c>
      <c r="CR364">
        <v>17.341154</v>
      </c>
      <c r="CS364">
        <v>22</v>
      </c>
      <c r="CT364">
        <v>812</v>
      </c>
      <c r="CU364">
        <v>155.22163599999999</v>
      </c>
      <c r="CV364">
        <v>34.539682999999997</v>
      </c>
      <c r="CW364">
        <v>128.809371</v>
      </c>
      <c r="CX364">
        <v>16591.853999999999</v>
      </c>
      <c r="CY364">
        <v>0.82984199999999997</v>
      </c>
      <c r="CZ364">
        <v>139</v>
      </c>
      <c r="DA364">
        <v>1.9966889999999999</v>
      </c>
      <c r="DB364">
        <v>7.984127</v>
      </c>
      <c r="DC364">
        <v>91.928715999999994</v>
      </c>
      <c r="DD364">
        <v>155.22163599999999</v>
      </c>
      <c r="DE364">
        <v>63.897264999999997</v>
      </c>
      <c r="DF364">
        <v>20.769376999999999</v>
      </c>
      <c r="DG364">
        <v>12.055319000000001</v>
      </c>
      <c r="DH364">
        <v>0.41165200000000002</v>
      </c>
      <c r="DI364">
        <v>0.32504300000000003</v>
      </c>
      <c r="DJ364">
        <v>0.188667</v>
      </c>
      <c r="DK364">
        <v>26</v>
      </c>
      <c r="DL364">
        <v>32</v>
      </c>
      <c r="DM364">
        <v>38</v>
      </c>
      <c r="DN364">
        <v>55</v>
      </c>
      <c r="DO364">
        <v>63</v>
      </c>
      <c r="DP364">
        <v>73</v>
      </c>
      <c r="DQ364">
        <v>97.399994000000007</v>
      </c>
      <c r="DR364">
        <v>124</v>
      </c>
      <c r="DS364">
        <v>148</v>
      </c>
      <c r="DT364">
        <v>181</v>
      </c>
      <c r="DU364">
        <v>202</v>
      </c>
      <c r="DV364">
        <v>219.79998800000001</v>
      </c>
      <c r="DW364">
        <v>307.800049</v>
      </c>
      <c r="DX364">
        <v>404</v>
      </c>
      <c r="DY364">
        <v>656.96020499999997</v>
      </c>
      <c r="DZ364">
        <v>90.476190000000003</v>
      </c>
      <c r="EA364">
        <v>68.777484999999999</v>
      </c>
      <c r="EB364">
        <v>116.36904800000001</v>
      </c>
      <c r="EC364">
        <v>608</v>
      </c>
      <c r="ED364">
        <v>782</v>
      </c>
      <c r="EE364">
        <v>85.714286000000001</v>
      </c>
      <c r="EF364">
        <v>100</v>
      </c>
      <c r="EG364">
        <v>63.588391000000001</v>
      </c>
      <c r="EH364">
        <v>99.824099000000004</v>
      </c>
      <c r="EI364">
        <v>107.589286</v>
      </c>
      <c r="EJ364">
        <v>168.89881</v>
      </c>
      <c r="EK364">
        <v>576</v>
      </c>
      <c r="EL364">
        <v>672</v>
      </c>
      <c r="EM364">
        <v>723</v>
      </c>
      <c r="EN364">
        <v>1135</v>
      </c>
      <c r="EO364">
        <v>672</v>
      </c>
      <c r="EP364">
        <v>1137</v>
      </c>
      <c r="EQ364">
        <v>57.548600999999998</v>
      </c>
    </row>
    <row r="365" spans="1:147" x14ac:dyDescent="0.25">
      <c r="A365">
        <v>2025</v>
      </c>
      <c r="B365" t="str">
        <f t="shared" si="10"/>
        <v>NE</v>
      </c>
      <c r="C365" t="s">
        <v>1821</v>
      </c>
      <c r="D365" t="s">
        <v>1821</v>
      </c>
      <c r="E365">
        <v>29066</v>
      </c>
      <c r="F365" t="s">
        <v>1822</v>
      </c>
      <c r="G365" t="s">
        <v>1813</v>
      </c>
      <c r="H365" t="s">
        <v>1823</v>
      </c>
      <c r="I365">
        <v>83.64</v>
      </c>
      <c r="J365">
        <v>83.64</v>
      </c>
      <c r="K365" t="s">
        <v>461</v>
      </c>
      <c r="L365">
        <v>1</v>
      </c>
      <c r="M365">
        <v>2021</v>
      </c>
      <c r="O365" t="str">
        <f t="shared" si="11"/>
        <v>Talhadia</v>
      </c>
      <c r="P365" s="2">
        <v>44439</v>
      </c>
      <c r="Q365" t="s">
        <v>174</v>
      </c>
      <c r="R365" t="s">
        <v>302</v>
      </c>
      <c r="S365" t="s">
        <v>154</v>
      </c>
      <c r="T365" t="s">
        <v>155</v>
      </c>
      <c r="U365" t="s">
        <v>156</v>
      </c>
      <c r="V365" s="2">
        <v>45756</v>
      </c>
      <c r="W365" t="s">
        <v>1815</v>
      </c>
      <c r="X365">
        <v>294.7</v>
      </c>
      <c r="Y365">
        <v>21.2</v>
      </c>
      <c r="Z365">
        <v>30</v>
      </c>
      <c r="AA365">
        <v>16.3</v>
      </c>
      <c r="AB365">
        <v>10</v>
      </c>
      <c r="AC365">
        <v>345.56</v>
      </c>
      <c r="AD365">
        <v>294.71724990148601</v>
      </c>
      <c r="AE365" s="2">
        <v>45756</v>
      </c>
      <c r="AF365">
        <v>44</v>
      </c>
      <c r="AG365">
        <v>3.60574948665298</v>
      </c>
      <c r="AH365">
        <v>19.9963252445717</v>
      </c>
      <c r="AI365">
        <v>15.06</v>
      </c>
      <c r="AJ365">
        <v>12.482969255220601</v>
      </c>
      <c r="AK365">
        <v>20</v>
      </c>
      <c r="AL365">
        <v>678.61653862084097</v>
      </c>
      <c r="AM365">
        <v>102.043771912007</v>
      </c>
      <c r="AN365">
        <v>0.15037029913740699</v>
      </c>
      <c r="AO365" t="s">
        <v>302</v>
      </c>
      <c r="AP365" t="s">
        <v>264</v>
      </c>
      <c r="AQ365" t="s">
        <v>530</v>
      </c>
      <c r="AR365">
        <v>9</v>
      </c>
      <c r="AS365">
        <v>0.6107548847587575</v>
      </c>
      <c r="AT365" t="s">
        <v>1824</v>
      </c>
      <c r="AU365" t="s">
        <v>1821</v>
      </c>
      <c r="AV365">
        <v>2261</v>
      </c>
      <c r="AW365">
        <v>1117</v>
      </c>
      <c r="AX365">
        <v>781</v>
      </c>
      <c r="AY365">
        <v>301</v>
      </c>
      <c r="AZ365">
        <v>53</v>
      </c>
      <c r="BA365">
        <v>9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26.552999</v>
      </c>
      <c r="BI365">
        <v>10.915835</v>
      </c>
      <c r="BJ365">
        <v>0</v>
      </c>
      <c r="BK365">
        <v>8.2608650000000008</v>
      </c>
      <c r="BL365">
        <v>68.241887000000006</v>
      </c>
      <c r="BM365">
        <v>0.75677799999999995</v>
      </c>
      <c r="BN365">
        <v>16.96</v>
      </c>
      <c r="BO365">
        <v>-0.198187</v>
      </c>
      <c r="BP365">
        <v>1.37852</v>
      </c>
      <c r="BQ365">
        <v>7.6942320000000004</v>
      </c>
      <c r="BR365">
        <v>6.2579989999999999</v>
      </c>
      <c r="BS365">
        <v>14.063000000000001</v>
      </c>
      <c r="BT365">
        <v>10.915835</v>
      </c>
      <c r="BU365">
        <v>4.6151600000000004</v>
      </c>
      <c r="BV365">
        <v>-0.231068</v>
      </c>
      <c r="BW365">
        <v>-0.49844100000000002</v>
      </c>
      <c r="BX365">
        <v>0.42279499999999998</v>
      </c>
      <c r="BY365">
        <v>-5.0067E-2</v>
      </c>
      <c r="BZ365">
        <v>-0.108001</v>
      </c>
      <c r="CA365">
        <v>6.0000000000000001E-3</v>
      </c>
      <c r="CB365">
        <v>2.5000000000000001E-2</v>
      </c>
      <c r="CC365">
        <v>6.0999999999999999E-2</v>
      </c>
      <c r="CD365">
        <v>0.67600000000000005</v>
      </c>
      <c r="CE365">
        <v>1.363</v>
      </c>
      <c r="CF365">
        <v>2.044</v>
      </c>
      <c r="CG365">
        <v>8.3610000000000007</v>
      </c>
      <c r="CH365">
        <v>14.063000000000001</v>
      </c>
      <c r="CI365">
        <v>15.773999999999999</v>
      </c>
      <c r="CJ365">
        <v>17.670999999999999</v>
      </c>
      <c r="CK365">
        <v>18.323</v>
      </c>
      <c r="CL365">
        <v>18.936001000000001</v>
      </c>
      <c r="CM365">
        <v>20.356000999999999</v>
      </c>
      <c r="CN365">
        <v>21.35</v>
      </c>
      <c r="CO365">
        <v>23.830998999999998</v>
      </c>
      <c r="CP365">
        <v>0.41109600000000002</v>
      </c>
      <c r="CQ365">
        <v>13.688212</v>
      </c>
      <c r="CR365">
        <v>15.070433</v>
      </c>
      <c r="CS365">
        <v>23</v>
      </c>
      <c r="CT365">
        <v>707</v>
      </c>
      <c r="CU365">
        <v>128.591331</v>
      </c>
      <c r="CV365">
        <v>33.857143000000001</v>
      </c>
      <c r="CW365">
        <v>102.466814</v>
      </c>
      <c r="CX365">
        <v>10499.44796</v>
      </c>
      <c r="CY365">
        <v>0.79684100000000002</v>
      </c>
      <c r="CZ365">
        <v>110</v>
      </c>
      <c r="DA365">
        <v>2.0339900000000002</v>
      </c>
      <c r="DB365">
        <v>8.2388440000000003</v>
      </c>
      <c r="DC365">
        <v>74.133664999999993</v>
      </c>
      <c r="DD365">
        <v>128.591331</v>
      </c>
      <c r="DE365">
        <v>50.573576000000003</v>
      </c>
      <c r="DF365">
        <v>17.507940000000001</v>
      </c>
      <c r="DG365">
        <v>9.3576560000000004</v>
      </c>
      <c r="DH365">
        <v>0.393289</v>
      </c>
      <c r="DI365">
        <v>0.346188</v>
      </c>
      <c r="DJ365">
        <v>0.185031</v>
      </c>
      <c r="DK365">
        <v>29</v>
      </c>
      <c r="DL365">
        <v>34</v>
      </c>
      <c r="DM365">
        <v>39</v>
      </c>
      <c r="DN365">
        <v>50</v>
      </c>
      <c r="DO365">
        <v>57</v>
      </c>
      <c r="DP365">
        <v>64</v>
      </c>
      <c r="DQ365">
        <v>80</v>
      </c>
      <c r="DR365">
        <v>97</v>
      </c>
      <c r="DS365">
        <v>119</v>
      </c>
      <c r="DT365">
        <v>148</v>
      </c>
      <c r="DU365">
        <v>167</v>
      </c>
      <c r="DV365">
        <v>187</v>
      </c>
      <c r="DW365">
        <v>254</v>
      </c>
      <c r="DX365">
        <v>327</v>
      </c>
      <c r="DY365">
        <v>538.39892599999996</v>
      </c>
      <c r="DZ365">
        <v>90.599821000000006</v>
      </c>
      <c r="EA365">
        <v>65.944271999999998</v>
      </c>
      <c r="EB365">
        <v>133.48254299999999</v>
      </c>
      <c r="EC365">
        <v>1012</v>
      </c>
      <c r="ED365">
        <v>1491</v>
      </c>
      <c r="EE365">
        <v>85.944494000000006</v>
      </c>
      <c r="EF365">
        <v>99.910473999999994</v>
      </c>
      <c r="EG365">
        <v>57.717824</v>
      </c>
      <c r="EH365">
        <v>99.867315000000005</v>
      </c>
      <c r="EI365">
        <v>116.830797</v>
      </c>
      <c r="EJ365">
        <v>202.14861200000001</v>
      </c>
      <c r="EK365">
        <v>960</v>
      </c>
      <c r="EL365">
        <v>1116</v>
      </c>
      <c r="EM365">
        <v>1305</v>
      </c>
      <c r="EN365">
        <v>2258</v>
      </c>
      <c r="EO365">
        <v>1117</v>
      </c>
      <c r="EP365">
        <v>2261</v>
      </c>
      <c r="EQ365">
        <v>44.778981999999999</v>
      </c>
    </row>
    <row r="366" spans="1:147" x14ac:dyDescent="0.25">
      <c r="A366">
        <v>2025</v>
      </c>
      <c r="B366" t="str">
        <f t="shared" si="10"/>
        <v>NE</v>
      </c>
      <c r="C366" t="s">
        <v>1825</v>
      </c>
      <c r="D366" t="s">
        <v>1825</v>
      </c>
      <c r="E366">
        <v>29068</v>
      </c>
      <c r="F366" t="s">
        <v>1822</v>
      </c>
      <c r="G366" t="s">
        <v>1813</v>
      </c>
      <c r="H366" t="s">
        <v>1823</v>
      </c>
      <c r="I366">
        <v>83.64</v>
      </c>
      <c r="J366">
        <v>83.64</v>
      </c>
      <c r="K366" t="s">
        <v>461</v>
      </c>
      <c r="L366">
        <v>1</v>
      </c>
      <c r="M366">
        <v>2021</v>
      </c>
      <c r="O366" t="str">
        <f t="shared" si="11"/>
        <v>Talhadia</v>
      </c>
      <c r="P366" s="2">
        <v>44439</v>
      </c>
      <c r="Q366" t="s">
        <v>174</v>
      </c>
      <c r="R366" t="s">
        <v>302</v>
      </c>
      <c r="S366" t="s">
        <v>154</v>
      </c>
      <c r="T366" t="s">
        <v>155</v>
      </c>
      <c r="U366" t="s">
        <v>156</v>
      </c>
      <c r="V366" s="2">
        <v>45756</v>
      </c>
      <c r="W366" t="s">
        <v>1815</v>
      </c>
      <c r="X366">
        <v>294.7</v>
      </c>
      <c r="Y366">
        <v>19</v>
      </c>
      <c r="Z366">
        <v>20</v>
      </c>
      <c r="AA366">
        <v>14.6</v>
      </c>
      <c r="AB366">
        <v>3</v>
      </c>
      <c r="AC366">
        <v>277.39999999999998</v>
      </c>
      <c r="AD366">
        <v>260.31349282592601</v>
      </c>
      <c r="AE366" s="2">
        <v>45756</v>
      </c>
      <c r="AF366">
        <v>44</v>
      </c>
      <c r="AG366">
        <v>3.60574948665298</v>
      </c>
      <c r="AH366">
        <v>20.373621993090399</v>
      </c>
      <c r="AI366">
        <v>14.931818181818199</v>
      </c>
      <c r="AJ366">
        <v>15.2488177277008</v>
      </c>
      <c r="AK366">
        <v>22</v>
      </c>
      <c r="AL366">
        <v>845.13483189715305</v>
      </c>
      <c r="AM366">
        <v>127.96945523511801</v>
      </c>
      <c r="AN366">
        <v>0.15141898121493</v>
      </c>
      <c r="AO366" t="s">
        <v>302</v>
      </c>
      <c r="AP366" t="s">
        <v>264</v>
      </c>
      <c r="AQ366" t="s">
        <v>530</v>
      </c>
      <c r="AR366">
        <v>9</v>
      </c>
      <c r="AS366">
        <v>0.76062134870743869</v>
      </c>
      <c r="AT366" t="s">
        <v>1826</v>
      </c>
      <c r="AU366" t="s">
        <v>1825</v>
      </c>
      <c r="AV366">
        <v>2053</v>
      </c>
      <c r="AW366">
        <v>1206</v>
      </c>
      <c r="AX366">
        <v>662</v>
      </c>
      <c r="AY366">
        <v>166</v>
      </c>
      <c r="AZ366">
        <v>19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23.978999999999999</v>
      </c>
      <c r="BI366">
        <v>12.649975</v>
      </c>
      <c r="BJ366">
        <v>0</v>
      </c>
      <c r="BK366">
        <v>8.9740529999999996</v>
      </c>
      <c r="BL366">
        <v>80.533632999999995</v>
      </c>
      <c r="BM366">
        <v>0.70941299999999996</v>
      </c>
      <c r="BN366">
        <v>19.765999000000001</v>
      </c>
      <c r="BO366">
        <v>-0.56064000000000003</v>
      </c>
      <c r="BP366">
        <v>1.4906330000000001</v>
      </c>
      <c r="BQ366">
        <v>8.2874859999999995</v>
      </c>
      <c r="BR366">
        <v>3.2940010000000002</v>
      </c>
      <c r="BS366">
        <v>17.712</v>
      </c>
      <c r="BT366">
        <v>12.649975</v>
      </c>
      <c r="BU366">
        <v>4.7547350000000002</v>
      </c>
      <c r="BV366">
        <v>-0.88847200000000004</v>
      </c>
      <c r="BW366">
        <v>-0.507494</v>
      </c>
      <c r="BX366">
        <v>0.37586900000000001</v>
      </c>
      <c r="BY366">
        <v>-0.18686</v>
      </c>
      <c r="BZ366">
        <v>-0.106734</v>
      </c>
      <c r="CA366">
        <v>2E-3</v>
      </c>
      <c r="CB366">
        <v>1.2E-2</v>
      </c>
      <c r="CC366">
        <v>2.5999999999999999E-2</v>
      </c>
      <c r="CD366">
        <v>7.9000000000000001E-2</v>
      </c>
      <c r="CE366">
        <v>0.13800000000000001</v>
      </c>
      <c r="CF366">
        <v>0.38279999999999997</v>
      </c>
      <c r="CG366">
        <v>15.438999000000001</v>
      </c>
      <c r="CH366">
        <v>17.712</v>
      </c>
      <c r="CI366">
        <v>18.695</v>
      </c>
      <c r="CJ366">
        <v>19.499001</v>
      </c>
      <c r="CK366">
        <v>19.903998999999999</v>
      </c>
      <c r="CL366">
        <v>20.285</v>
      </c>
      <c r="CM366">
        <v>21.155398999999999</v>
      </c>
      <c r="CN366">
        <v>21.776800000000001</v>
      </c>
      <c r="CO366">
        <v>22.84272</v>
      </c>
      <c r="CP366">
        <v>0.52754400000000001</v>
      </c>
      <c r="CQ366">
        <v>15.508587</v>
      </c>
      <c r="CR366">
        <v>16.71979</v>
      </c>
      <c r="CS366">
        <v>24</v>
      </c>
      <c r="CT366">
        <v>797</v>
      </c>
      <c r="CU366">
        <v>195.87822700000001</v>
      </c>
      <c r="CV366">
        <v>36.269841</v>
      </c>
      <c r="CW366">
        <v>148.76390900000001</v>
      </c>
      <c r="CX366">
        <v>22130.700560000001</v>
      </c>
      <c r="CY366">
        <v>0.75947100000000001</v>
      </c>
      <c r="CZ366">
        <v>186</v>
      </c>
      <c r="DA366">
        <v>1.308106</v>
      </c>
      <c r="DB366">
        <v>4.5574389999999996</v>
      </c>
      <c r="DC366">
        <v>114.574432</v>
      </c>
      <c r="DD366">
        <v>195.87822700000001</v>
      </c>
      <c r="DE366">
        <v>78.929042999999993</v>
      </c>
      <c r="DF366">
        <v>20.68027</v>
      </c>
      <c r="DG366">
        <v>10.126625000000001</v>
      </c>
      <c r="DH366">
        <v>0.40294999999999997</v>
      </c>
      <c r="DI366">
        <v>0.26201099999999999</v>
      </c>
      <c r="DJ366">
        <v>0.1283</v>
      </c>
      <c r="DK366">
        <v>27</v>
      </c>
      <c r="DL366">
        <v>36</v>
      </c>
      <c r="DM366">
        <v>45</v>
      </c>
      <c r="DN366">
        <v>65</v>
      </c>
      <c r="DO366">
        <v>78</v>
      </c>
      <c r="DP366">
        <v>92.599975999999998</v>
      </c>
      <c r="DQ366">
        <v>127</v>
      </c>
      <c r="DR366">
        <v>164</v>
      </c>
      <c r="DS366">
        <v>200.199951</v>
      </c>
      <c r="DT366">
        <v>237</v>
      </c>
      <c r="DU366">
        <v>264</v>
      </c>
      <c r="DV366">
        <v>294.59997600000003</v>
      </c>
      <c r="DW366">
        <v>395</v>
      </c>
      <c r="DX366">
        <v>527.40002400000003</v>
      </c>
      <c r="DY366">
        <v>680.91992200000004</v>
      </c>
      <c r="DZ366">
        <v>87.396351999999993</v>
      </c>
      <c r="EA366">
        <v>68.241597999999996</v>
      </c>
      <c r="EB366">
        <v>116.16915400000001</v>
      </c>
      <c r="EC366">
        <v>1054</v>
      </c>
      <c r="ED366">
        <v>1401</v>
      </c>
      <c r="EE366">
        <v>84.162520999999998</v>
      </c>
      <c r="EF366">
        <v>99.917080999999996</v>
      </c>
      <c r="EG366">
        <v>62.981003000000001</v>
      </c>
      <c r="EH366">
        <v>99.707745000000003</v>
      </c>
      <c r="EI366">
        <v>107.21393</v>
      </c>
      <c r="EJ366">
        <v>169.73465999999999</v>
      </c>
      <c r="EK366">
        <v>1015</v>
      </c>
      <c r="EL366">
        <v>1205</v>
      </c>
      <c r="EM366">
        <v>1293</v>
      </c>
      <c r="EN366">
        <v>2047</v>
      </c>
      <c r="EO366">
        <v>1206</v>
      </c>
      <c r="EP366">
        <v>2053</v>
      </c>
      <c r="EQ366">
        <v>54.345886999999998</v>
      </c>
    </row>
    <row r="367" spans="1:147" x14ac:dyDescent="0.25">
      <c r="A367">
        <v>2025</v>
      </c>
      <c r="B367" t="str">
        <f t="shared" si="10"/>
        <v>NE</v>
      </c>
      <c r="C367" t="s">
        <v>1827</v>
      </c>
      <c r="D367" t="s">
        <v>1827</v>
      </c>
      <c r="E367">
        <v>29069</v>
      </c>
      <c r="F367" t="s">
        <v>1822</v>
      </c>
      <c r="G367" t="s">
        <v>1813</v>
      </c>
      <c r="H367" t="s">
        <v>1823</v>
      </c>
      <c r="I367">
        <v>83.64</v>
      </c>
      <c r="J367">
        <v>83.64</v>
      </c>
      <c r="K367" t="s">
        <v>461</v>
      </c>
      <c r="L367">
        <v>1</v>
      </c>
      <c r="M367">
        <v>2021</v>
      </c>
      <c r="O367" t="str">
        <f t="shared" si="11"/>
        <v>Talhadia</v>
      </c>
      <c r="P367" s="2">
        <v>44439</v>
      </c>
      <c r="Q367" t="s">
        <v>174</v>
      </c>
      <c r="R367" t="s">
        <v>302</v>
      </c>
      <c r="S367" t="s">
        <v>154</v>
      </c>
      <c r="T367" t="s">
        <v>155</v>
      </c>
      <c r="U367" t="s">
        <v>156</v>
      </c>
      <c r="V367" s="2">
        <v>44776</v>
      </c>
      <c r="W367" t="s">
        <v>1815</v>
      </c>
      <c r="X367">
        <v>294.7</v>
      </c>
      <c r="Y367">
        <v>18.600000000000001</v>
      </c>
      <c r="Z367">
        <v>20</v>
      </c>
      <c r="AA367">
        <v>15.4</v>
      </c>
      <c r="AB367">
        <v>6</v>
      </c>
      <c r="AC367">
        <v>286.44</v>
      </c>
      <c r="AD367">
        <v>267.69103722821501</v>
      </c>
      <c r="AE367" s="2">
        <v>45756</v>
      </c>
      <c r="AF367">
        <v>44</v>
      </c>
      <c r="AG367">
        <v>3.60574948665298</v>
      </c>
      <c r="AH367">
        <v>19.179061563507702</v>
      </c>
      <c r="AI367">
        <v>14.647826086956499</v>
      </c>
      <c r="AJ367">
        <v>15.065215712073</v>
      </c>
      <c r="AK367">
        <v>23</v>
      </c>
      <c r="AL367">
        <v>859.19948004802995</v>
      </c>
      <c r="AM367">
        <v>118.76026208783099</v>
      </c>
      <c r="AN367">
        <v>0.13822199017298301</v>
      </c>
      <c r="AO367" t="s">
        <v>302</v>
      </c>
      <c r="AP367" t="s">
        <v>264</v>
      </c>
      <c r="AQ367" t="s">
        <v>530</v>
      </c>
      <c r="AR367">
        <v>9</v>
      </c>
      <c r="AS367">
        <v>0.77327953204322641</v>
      </c>
      <c r="AT367" t="s">
        <v>1828</v>
      </c>
      <c r="AU367" t="s">
        <v>1827</v>
      </c>
      <c r="AV367">
        <v>2165</v>
      </c>
      <c r="AW367">
        <v>1250</v>
      </c>
      <c r="AX367">
        <v>702</v>
      </c>
      <c r="AY367">
        <v>186</v>
      </c>
      <c r="AZ367">
        <v>26</v>
      </c>
      <c r="BA367">
        <v>1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23.311001000000001</v>
      </c>
      <c r="BI367">
        <v>11.889485000000001</v>
      </c>
      <c r="BJ367">
        <v>0</v>
      </c>
      <c r="BK367">
        <v>9.4428809999999999</v>
      </c>
      <c r="BL367">
        <v>89.168006000000005</v>
      </c>
      <c r="BM367">
        <v>0.79422099999999995</v>
      </c>
      <c r="BN367">
        <v>20.190000000000001</v>
      </c>
      <c r="BO367">
        <v>-0.34213300000000002</v>
      </c>
      <c r="BP367">
        <v>1.2374050000000001</v>
      </c>
      <c r="BQ367">
        <v>9.0508670000000002</v>
      </c>
      <c r="BR367">
        <v>3.8620000000000001</v>
      </c>
      <c r="BS367">
        <v>17.658999999999999</v>
      </c>
      <c r="BT367">
        <v>11.889485000000001</v>
      </c>
      <c r="BU367">
        <v>5.028994</v>
      </c>
      <c r="BV367">
        <v>-0.57406999999999997</v>
      </c>
      <c r="BW367">
        <v>-0.84886799999999996</v>
      </c>
      <c r="BX367">
        <v>0.42297800000000002</v>
      </c>
      <c r="BY367">
        <v>-0.114152</v>
      </c>
      <c r="BZ367">
        <v>-0.168795</v>
      </c>
      <c r="CA367">
        <v>1.64E-3</v>
      </c>
      <c r="CB367">
        <v>8.0000000000000002E-3</v>
      </c>
      <c r="CC367">
        <v>1.9E-2</v>
      </c>
      <c r="CD367">
        <v>4.5999999999999999E-2</v>
      </c>
      <c r="CE367">
        <v>7.0999999999999994E-2</v>
      </c>
      <c r="CF367">
        <v>0.13819999999999999</v>
      </c>
      <c r="CG367">
        <v>9.5847999999999995</v>
      </c>
      <c r="CH367">
        <v>17.658999999999999</v>
      </c>
      <c r="CI367">
        <v>19.041799999999999</v>
      </c>
      <c r="CJ367">
        <v>19.919001000000002</v>
      </c>
      <c r="CK367">
        <v>20.260999999999999</v>
      </c>
      <c r="CL367">
        <v>20.610800000000001</v>
      </c>
      <c r="CM367">
        <v>21.3262</v>
      </c>
      <c r="CN367">
        <v>21.841200000000001</v>
      </c>
      <c r="CO367">
        <v>22.475441</v>
      </c>
      <c r="CP367">
        <v>0.51003799999999999</v>
      </c>
      <c r="CQ367">
        <v>15.181787999999999</v>
      </c>
      <c r="CR367">
        <v>16.596935999999999</v>
      </c>
      <c r="CS367">
        <v>24</v>
      </c>
      <c r="CT367">
        <v>939</v>
      </c>
      <c r="CU367">
        <v>206.38383400000001</v>
      </c>
      <c r="CV367">
        <v>38.523809999999997</v>
      </c>
      <c r="CW367">
        <v>166.885898</v>
      </c>
      <c r="CX367">
        <v>27850.902969999999</v>
      </c>
      <c r="CY367">
        <v>0.80861899999999998</v>
      </c>
      <c r="CZ367">
        <v>222</v>
      </c>
      <c r="DA367">
        <v>1.257134</v>
      </c>
      <c r="DB367">
        <v>4.2889850000000003</v>
      </c>
      <c r="DC367">
        <v>131.919037</v>
      </c>
      <c r="DD367">
        <v>206.38383400000001</v>
      </c>
      <c r="DE367">
        <v>88.824539000000001</v>
      </c>
      <c r="DF367">
        <v>24.835027</v>
      </c>
      <c r="DG367">
        <v>9.1669900000000002</v>
      </c>
      <c r="DH367">
        <v>0.43038500000000002</v>
      </c>
      <c r="DI367">
        <v>0.27959600000000001</v>
      </c>
      <c r="DJ367">
        <v>0.103203</v>
      </c>
      <c r="DK367">
        <v>28</v>
      </c>
      <c r="DL367">
        <v>36</v>
      </c>
      <c r="DM367">
        <v>43</v>
      </c>
      <c r="DN367">
        <v>60</v>
      </c>
      <c r="DO367">
        <v>72</v>
      </c>
      <c r="DP367">
        <v>87</v>
      </c>
      <c r="DQ367">
        <v>118</v>
      </c>
      <c r="DR367">
        <v>159</v>
      </c>
      <c r="DS367">
        <v>203.400024</v>
      </c>
      <c r="DT367">
        <v>259</v>
      </c>
      <c r="DU367">
        <v>294</v>
      </c>
      <c r="DV367">
        <v>330</v>
      </c>
      <c r="DW367">
        <v>449.59997600000003</v>
      </c>
      <c r="DX367">
        <v>543</v>
      </c>
      <c r="DY367">
        <v>739.60107400000004</v>
      </c>
      <c r="DZ367">
        <v>86.16</v>
      </c>
      <c r="EA367">
        <v>62.817551999999999</v>
      </c>
      <c r="EB367">
        <v>108.8</v>
      </c>
      <c r="EC367">
        <v>1077</v>
      </c>
      <c r="ED367">
        <v>1360</v>
      </c>
      <c r="EE367">
        <v>83.28</v>
      </c>
      <c r="EF367">
        <v>99.92</v>
      </c>
      <c r="EG367">
        <v>58.429561</v>
      </c>
      <c r="EH367">
        <v>99.491917000000001</v>
      </c>
      <c r="EI367">
        <v>101.2</v>
      </c>
      <c r="EJ367">
        <v>172.32</v>
      </c>
      <c r="EK367">
        <v>1041</v>
      </c>
      <c r="EL367">
        <v>1249</v>
      </c>
      <c r="EM367">
        <v>1265</v>
      </c>
      <c r="EN367">
        <v>2154</v>
      </c>
      <c r="EO367">
        <v>1250</v>
      </c>
      <c r="EP367">
        <v>2165</v>
      </c>
      <c r="EQ367">
        <v>51.865591000000002</v>
      </c>
    </row>
    <row r="368" spans="1:147" x14ac:dyDescent="0.25">
      <c r="A368">
        <v>2025</v>
      </c>
      <c r="B368" t="str">
        <f t="shared" si="10"/>
        <v>NE</v>
      </c>
      <c r="C368" t="s">
        <v>1829</v>
      </c>
      <c r="D368" t="s">
        <v>1829</v>
      </c>
      <c r="E368">
        <v>26653</v>
      </c>
      <c r="F368" t="s">
        <v>1830</v>
      </c>
      <c r="G368" t="s">
        <v>1831</v>
      </c>
      <c r="H368" t="s">
        <v>1832</v>
      </c>
      <c r="I368">
        <v>43.14</v>
      </c>
      <c r="J368">
        <v>43.14</v>
      </c>
      <c r="K368" t="s">
        <v>461</v>
      </c>
      <c r="L368">
        <v>1</v>
      </c>
      <c r="M368">
        <v>2018</v>
      </c>
      <c r="O368" t="str">
        <f t="shared" si="11"/>
        <v>Talhadia</v>
      </c>
      <c r="P368" s="2">
        <v>43429</v>
      </c>
      <c r="Q368" t="s">
        <v>322</v>
      </c>
      <c r="R368" t="s">
        <v>165</v>
      </c>
      <c r="S368" t="s">
        <v>154</v>
      </c>
      <c r="T368" t="s">
        <v>155</v>
      </c>
      <c r="U368" t="s">
        <v>156</v>
      </c>
      <c r="V368" s="2">
        <v>45743</v>
      </c>
      <c r="W368" t="s">
        <v>1833</v>
      </c>
      <c r="X368">
        <v>309.97000000000003</v>
      </c>
      <c r="Y368">
        <v>18.600000000000001</v>
      </c>
      <c r="Z368">
        <v>29</v>
      </c>
      <c r="AA368">
        <v>14</v>
      </c>
      <c r="AB368">
        <v>12</v>
      </c>
      <c r="AC368">
        <v>260.39999999999998</v>
      </c>
      <c r="AD368">
        <v>222.77406657139201</v>
      </c>
      <c r="AE368" s="2">
        <v>45743</v>
      </c>
      <c r="AF368">
        <v>76</v>
      </c>
      <c r="AG368">
        <v>6.3353867214236796</v>
      </c>
      <c r="AH368">
        <v>29.986766988397498</v>
      </c>
      <c r="AI368">
        <v>17.840909090909101</v>
      </c>
      <c r="AJ368">
        <v>24.866421724935599</v>
      </c>
      <c r="AK368">
        <v>22</v>
      </c>
      <c r="AL368">
        <v>987.54762341018204</v>
      </c>
      <c r="AM368">
        <v>325.94728101458998</v>
      </c>
      <c r="AN368">
        <v>0.33005727854322098</v>
      </c>
      <c r="AO368" t="s">
        <v>165</v>
      </c>
      <c r="AP368" t="s">
        <v>264</v>
      </c>
      <c r="AQ368" t="s">
        <v>530</v>
      </c>
      <c r="AR368">
        <v>9.99</v>
      </c>
      <c r="AS368">
        <v>0.98656007578677252</v>
      </c>
      <c r="AT368" t="s">
        <v>1834</v>
      </c>
      <c r="AU368" t="s">
        <v>1829</v>
      </c>
      <c r="AV368">
        <v>956</v>
      </c>
      <c r="AW368">
        <v>464</v>
      </c>
      <c r="AX368">
        <v>336</v>
      </c>
      <c r="AY368">
        <v>132</v>
      </c>
      <c r="AZ368">
        <v>22</v>
      </c>
      <c r="BA368">
        <v>2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1E-3</v>
      </c>
      <c r="BH368">
        <v>34.318001000000002</v>
      </c>
      <c r="BI368">
        <v>20.012291000000001</v>
      </c>
      <c r="BJ368">
        <v>1E-3</v>
      </c>
      <c r="BK368">
        <v>11.779375999999999</v>
      </c>
      <c r="BL368">
        <v>138.75369000000001</v>
      </c>
      <c r="BM368">
        <v>0.58860699999999999</v>
      </c>
      <c r="BN368">
        <v>19.266749999999998</v>
      </c>
      <c r="BO368">
        <v>-0.77599700000000005</v>
      </c>
      <c r="BP368">
        <v>2.017525</v>
      </c>
      <c r="BQ368">
        <v>10.040649999999999</v>
      </c>
      <c r="BR368">
        <v>5.8224980000000004</v>
      </c>
      <c r="BS368">
        <v>24.531502</v>
      </c>
      <c r="BT368">
        <v>20.012291000000001</v>
      </c>
      <c r="BU368">
        <v>6.3472489999999997</v>
      </c>
      <c r="BV368">
        <v>-1.51705</v>
      </c>
      <c r="BW368">
        <v>-8.1284999999999996E-2</v>
      </c>
      <c r="BX368">
        <v>0.31716800000000001</v>
      </c>
      <c r="BY368">
        <v>-0.239009</v>
      </c>
      <c r="BZ368">
        <v>-1.2806E-2</v>
      </c>
      <c r="CA368">
        <v>3.5500000000000002E-3</v>
      </c>
      <c r="CB368">
        <v>2.2749999999999999E-2</v>
      </c>
      <c r="CC368">
        <v>6.8500000000000005E-2</v>
      </c>
      <c r="CD368">
        <v>1.6020000000000001</v>
      </c>
      <c r="CE368">
        <v>10.085751</v>
      </c>
      <c r="CF368">
        <v>17.534500000000001</v>
      </c>
      <c r="CG368">
        <v>22.094999000000001</v>
      </c>
      <c r="CH368">
        <v>24.532501</v>
      </c>
      <c r="CI368">
        <v>27.172999999999998</v>
      </c>
      <c r="CJ368">
        <v>28.825500000000002</v>
      </c>
      <c r="CK368">
        <v>29.352501</v>
      </c>
      <c r="CL368">
        <v>30.138000000000002</v>
      </c>
      <c r="CM368">
        <v>31.5625</v>
      </c>
      <c r="CN368">
        <v>32.275748999999998</v>
      </c>
      <c r="CO368">
        <v>33.200499999999998</v>
      </c>
      <c r="CP368">
        <v>0.58313099999999995</v>
      </c>
      <c r="CQ368">
        <v>23.218533999999998</v>
      </c>
      <c r="CR368">
        <v>24.700085000000001</v>
      </c>
      <c r="CS368">
        <v>22</v>
      </c>
      <c r="CT368">
        <v>438</v>
      </c>
      <c r="CU368">
        <v>94.830544000000003</v>
      </c>
      <c r="CV368">
        <v>41.809524000000003</v>
      </c>
      <c r="CW368">
        <v>64.598951999999997</v>
      </c>
      <c r="CX368">
        <v>4173.0246580000003</v>
      </c>
      <c r="CY368">
        <v>0.68120400000000003</v>
      </c>
      <c r="CZ368">
        <v>74</v>
      </c>
      <c r="DA368">
        <v>1.9382889999999999</v>
      </c>
      <c r="DB368">
        <v>8.0514550000000007</v>
      </c>
      <c r="DC368">
        <v>47.263677000000001</v>
      </c>
      <c r="DD368">
        <v>94.830544000000003</v>
      </c>
      <c r="DE368">
        <v>32.442985</v>
      </c>
      <c r="DF368">
        <v>10.02488</v>
      </c>
      <c r="DG368">
        <v>5.4388870000000002</v>
      </c>
      <c r="DH368">
        <v>0.342115</v>
      </c>
      <c r="DI368">
        <v>0.309</v>
      </c>
      <c r="DJ368">
        <v>0.16764399999999999</v>
      </c>
      <c r="DK368">
        <v>26</v>
      </c>
      <c r="DL368">
        <v>32</v>
      </c>
      <c r="DM368">
        <v>36</v>
      </c>
      <c r="DN368">
        <v>43</v>
      </c>
      <c r="DO368">
        <v>48</v>
      </c>
      <c r="DP368">
        <v>53</v>
      </c>
      <c r="DQ368">
        <v>64</v>
      </c>
      <c r="DR368">
        <v>77</v>
      </c>
      <c r="DS368">
        <v>93</v>
      </c>
      <c r="DT368">
        <v>113</v>
      </c>
      <c r="DU368">
        <v>122</v>
      </c>
      <c r="DV368">
        <v>135</v>
      </c>
      <c r="DW368">
        <v>167.5</v>
      </c>
      <c r="DX368">
        <v>212.25</v>
      </c>
      <c r="DY368">
        <v>332.25006100000002</v>
      </c>
      <c r="DZ368">
        <v>95.258621000000005</v>
      </c>
      <c r="EA368">
        <v>78.347279999999998</v>
      </c>
      <c r="EB368">
        <v>161.422414</v>
      </c>
      <c r="EC368">
        <v>442</v>
      </c>
      <c r="ED368">
        <v>749</v>
      </c>
      <c r="EE368">
        <v>88.362069000000005</v>
      </c>
      <c r="EF368">
        <v>100</v>
      </c>
      <c r="EG368">
        <v>65.271967000000004</v>
      </c>
      <c r="EH368">
        <v>99.581590000000006</v>
      </c>
      <c r="EI368">
        <v>134.48275899999999</v>
      </c>
      <c r="EJ368">
        <v>205.172414</v>
      </c>
      <c r="EK368">
        <v>410</v>
      </c>
      <c r="EL368">
        <v>464</v>
      </c>
      <c r="EM368">
        <v>624</v>
      </c>
      <c r="EN368">
        <v>952</v>
      </c>
      <c r="EO368">
        <v>464</v>
      </c>
      <c r="EP368">
        <v>956</v>
      </c>
      <c r="EQ368">
        <v>59.296661999999998</v>
      </c>
    </row>
    <row r="369" spans="1:147" x14ac:dyDescent="0.25">
      <c r="A369">
        <v>2025</v>
      </c>
      <c r="B369" t="str">
        <f t="shared" si="10"/>
        <v>NE</v>
      </c>
      <c r="C369" t="s">
        <v>1835</v>
      </c>
      <c r="D369" t="s">
        <v>1835</v>
      </c>
      <c r="E369">
        <v>30897</v>
      </c>
      <c r="F369" t="s">
        <v>1830</v>
      </c>
      <c r="G369" t="s">
        <v>1831</v>
      </c>
      <c r="H369" t="s">
        <v>1832</v>
      </c>
      <c r="I369">
        <v>43.14</v>
      </c>
      <c r="J369">
        <v>43.14</v>
      </c>
      <c r="K369" t="s">
        <v>461</v>
      </c>
      <c r="L369">
        <v>1</v>
      </c>
      <c r="M369">
        <v>2018</v>
      </c>
      <c r="O369" t="str">
        <f t="shared" si="11"/>
        <v>Talhadia</v>
      </c>
      <c r="P369" s="2">
        <v>43429</v>
      </c>
      <c r="Q369" t="s">
        <v>322</v>
      </c>
      <c r="R369" t="s">
        <v>165</v>
      </c>
      <c r="S369" t="s">
        <v>154</v>
      </c>
      <c r="T369" t="s">
        <v>155</v>
      </c>
      <c r="U369" t="s">
        <v>156</v>
      </c>
      <c r="V369" s="2">
        <v>44777</v>
      </c>
      <c r="W369" t="s">
        <v>1833</v>
      </c>
      <c r="X369">
        <v>309.97000000000003</v>
      </c>
      <c r="Y369">
        <v>21.5</v>
      </c>
      <c r="Z369">
        <v>20</v>
      </c>
      <c r="AA369">
        <v>15.2</v>
      </c>
      <c r="AB369">
        <v>10</v>
      </c>
      <c r="AC369">
        <v>326.8</v>
      </c>
      <c r="AD369">
        <v>302.42613782057202</v>
      </c>
      <c r="AE369" s="2">
        <v>45743</v>
      </c>
      <c r="AF369">
        <v>76</v>
      </c>
      <c r="AG369">
        <v>6.3353867214236796</v>
      </c>
      <c r="AH369">
        <v>26.923891903011</v>
      </c>
      <c r="AI369">
        <v>17.133333333333301</v>
      </c>
      <c r="AJ369">
        <v>19.2850005107525</v>
      </c>
      <c r="AK369">
        <v>24</v>
      </c>
      <c r="AL369">
        <v>793.58220069718595</v>
      </c>
      <c r="AM369">
        <v>235.52119851050699</v>
      </c>
      <c r="AN369">
        <v>0.29678236016835302</v>
      </c>
      <c r="AO369" t="s">
        <v>165</v>
      </c>
      <c r="AP369" t="s">
        <v>264</v>
      </c>
      <c r="AQ369" t="s">
        <v>530</v>
      </c>
      <c r="AR369">
        <v>9.99</v>
      </c>
      <c r="AS369">
        <v>0.79278861849648874</v>
      </c>
      <c r="AT369" t="s">
        <v>1836</v>
      </c>
      <c r="AU369" t="s">
        <v>1835</v>
      </c>
      <c r="AV369">
        <v>1194</v>
      </c>
      <c r="AW369">
        <v>677</v>
      </c>
      <c r="AX369">
        <v>381</v>
      </c>
      <c r="AY369">
        <v>121</v>
      </c>
      <c r="AZ369">
        <v>14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34.978999999999999</v>
      </c>
      <c r="BI369">
        <v>17.173977000000001</v>
      </c>
      <c r="BJ369">
        <v>0</v>
      </c>
      <c r="BK369">
        <v>12.270479999999999</v>
      </c>
      <c r="BL369">
        <v>150.564671</v>
      </c>
      <c r="BM369">
        <v>0.71448100000000003</v>
      </c>
      <c r="BN369">
        <v>27.991</v>
      </c>
      <c r="BO369">
        <v>-0.351435</v>
      </c>
      <c r="BP369">
        <v>1.5508850000000001</v>
      </c>
      <c r="BQ369">
        <v>10.950934999999999</v>
      </c>
      <c r="BR369">
        <v>9.2974990000000002</v>
      </c>
      <c r="BS369">
        <v>20.745501000000001</v>
      </c>
      <c r="BT369">
        <v>17.173977000000001</v>
      </c>
      <c r="BU369">
        <v>6.8645810000000003</v>
      </c>
      <c r="BV369">
        <v>-0.64321799999999996</v>
      </c>
      <c r="BW369">
        <v>-0.60789099999999996</v>
      </c>
      <c r="BX369">
        <v>0.39970800000000001</v>
      </c>
      <c r="BY369">
        <v>-9.3701000000000007E-2</v>
      </c>
      <c r="BZ369">
        <v>-8.8554999999999995E-2</v>
      </c>
      <c r="CA369">
        <v>3.0000000000000001E-3</v>
      </c>
      <c r="CB369">
        <v>1.065E-2</v>
      </c>
      <c r="CC369">
        <v>2.1999999999999999E-2</v>
      </c>
      <c r="CD369">
        <v>7.0999999999999994E-2</v>
      </c>
      <c r="CE369">
        <v>0.16950000000000001</v>
      </c>
      <c r="CF369">
        <v>8.4765979999999992</v>
      </c>
      <c r="CG369">
        <v>16.506001000000001</v>
      </c>
      <c r="CH369">
        <v>20.745501000000001</v>
      </c>
      <c r="CI369">
        <v>24.199200000000001</v>
      </c>
      <c r="CJ369">
        <v>26.962299000000002</v>
      </c>
      <c r="CK369">
        <v>28.160499999999999</v>
      </c>
      <c r="CL369">
        <v>29.195999</v>
      </c>
      <c r="CM369">
        <v>31.2148</v>
      </c>
      <c r="CN369">
        <v>32.221747999999998</v>
      </c>
      <c r="CO369">
        <v>33.959839000000002</v>
      </c>
      <c r="CP369">
        <v>0.49098000000000003</v>
      </c>
      <c r="CQ369">
        <v>21.104123999999999</v>
      </c>
      <c r="CR369">
        <v>23.000332</v>
      </c>
      <c r="CS369">
        <v>23</v>
      </c>
      <c r="CT369">
        <v>516</v>
      </c>
      <c r="CU369">
        <v>124.06030199999999</v>
      </c>
      <c r="CV369">
        <v>46.476190000000003</v>
      </c>
      <c r="CW369">
        <v>105.075671</v>
      </c>
      <c r="CX369">
        <v>11040.89661</v>
      </c>
      <c r="CY369">
        <v>0.84697299999999998</v>
      </c>
      <c r="CZ369">
        <v>101</v>
      </c>
      <c r="DA369">
        <v>1.8394740000000001</v>
      </c>
      <c r="DB369">
        <v>5.9275479999999998</v>
      </c>
      <c r="DC369">
        <v>75.520895999999993</v>
      </c>
      <c r="DD369">
        <v>124.06030199999999</v>
      </c>
      <c r="DE369">
        <v>51.289966</v>
      </c>
      <c r="DF369">
        <v>19.949076999999999</v>
      </c>
      <c r="DG369">
        <v>10.285083</v>
      </c>
      <c r="DH369">
        <v>0.41342800000000002</v>
      </c>
      <c r="DI369">
        <v>0.38894699999999999</v>
      </c>
      <c r="DJ369">
        <v>0.20052800000000001</v>
      </c>
      <c r="DK369">
        <v>26</v>
      </c>
      <c r="DL369">
        <v>33</v>
      </c>
      <c r="DM369">
        <v>38</v>
      </c>
      <c r="DN369">
        <v>47</v>
      </c>
      <c r="DO369">
        <v>52</v>
      </c>
      <c r="DP369">
        <v>57.899994</v>
      </c>
      <c r="DQ369">
        <v>72</v>
      </c>
      <c r="DR369">
        <v>88</v>
      </c>
      <c r="DS369">
        <v>110</v>
      </c>
      <c r="DT369">
        <v>140</v>
      </c>
      <c r="DU369">
        <v>153</v>
      </c>
      <c r="DV369">
        <v>169</v>
      </c>
      <c r="DW369">
        <v>264.09985399999999</v>
      </c>
      <c r="DX369">
        <v>398</v>
      </c>
      <c r="DY369">
        <v>482</v>
      </c>
      <c r="DZ369">
        <v>85.967504000000005</v>
      </c>
      <c r="EA369">
        <v>71.356784000000005</v>
      </c>
      <c r="EB369">
        <v>125.849335</v>
      </c>
      <c r="EC369">
        <v>582</v>
      </c>
      <c r="ED369">
        <v>852</v>
      </c>
      <c r="EE369">
        <v>76.070901000000006</v>
      </c>
      <c r="EF369">
        <v>99.852289999999996</v>
      </c>
      <c r="EG369">
        <v>58.710217999999998</v>
      </c>
      <c r="EH369">
        <v>99.832496000000006</v>
      </c>
      <c r="EI369">
        <v>103.545052</v>
      </c>
      <c r="EJ369">
        <v>176.07090099999999</v>
      </c>
      <c r="EK369">
        <v>515</v>
      </c>
      <c r="EL369">
        <v>676</v>
      </c>
      <c r="EM369">
        <v>701</v>
      </c>
      <c r="EN369">
        <v>1192</v>
      </c>
      <c r="EO369">
        <v>677</v>
      </c>
      <c r="EP369">
        <v>1194</v>
      </c>
      <c r="EQ369">
        <v>49.588279</v>
      </c>
    </row>
    <row r="370" spans="1:147" x14ac:dyDescent="0.25">
      <c r="A370">
        <v>2025</v>
      </c>
      <c r="B370" t="str">
        <f t="shared" si="10"/>
        <v>NE</v>
      </c>
      <c r="C370" t="s">
        <v>1837</v>
      </c>
      <c r="D370" t="s">
        <v>1837</v>
      </c>
      <c r="E370">
        <v>26605</v>
      </c>
      <c r="F370" t="s">
        <v>1830</v>
      </c>
      <c r="G370" t="s">
        <v>1831</v>
      </c>
      <c r="H370" t="s">
        <v>1838</v>
      </c>
      <c r="I370">
        <v>44.26</v>
      </c>
      <c r="J370">
        <v>44.26</v>
      </c>
      <c r="K370" t="s">
        <v>461</v>
      </c>
      <c r="L370">
        <v>1</v>
      </c>
      <c r="M370">
        <v>2018</v>
      </c>
      <c r="O370" t="str">
        <f t="shared" si="11"/>
        <v>Talhadia</v>
      </c>
      <c r="P370" s="2">
        <v>43429</v>
      </c>
      <c r="Q370" t="s">
        <v>322</v>
      </c>
      <c r="R370" t="s">
        <v>367</v>
      </c>
      <c r="S370" t="s">
        <v>154</v>
      </c>
      <c r="T370" t="s">
        <v>155</v>
      </c>
      <c r="U370" t="s">
        <v>156</v>
      </c>
      <c r="V370" s="2">
        <v>45743</v>
      </c>
      <c r="W370" t="s">
        <v>1833</v>
      </c>
      <c r="X370">
        <v>309.97000000000003</v>
      </c>
      <c r="Y370">
        <v>20.100000000000001</v>
      </c>
      <c r="Z370">
        <v>24</v>
      </c>
      <c r="AA370">
        <v>14.2</v>
      </c>
      <c r="AB370">
        <v>5</v>
      </c>
      <c r="AC370">
        <v>285.42</v>
      </c>
      <c r="AD370">
        <v>259.75193432964198</v>
      </c>
      <c r="AE370" s="2">
        <v>45743</v>
      </c>
      <c r="AF370">
        <v>76</v>
      </c>
      <c r="AG370">
        <v>6.3353867214236796</v>
      </c>
      <c r="AH370">
        <v>27.906946458351801</v>
      </c>
      <c r="AI370">
        <v>19.094736842105299</v>
      </c>
      <c r="AJ370">
        <v>21.208948746986099</v>
      </c>
      <c r="AK370">
        <v>19</v>
      </c>
      <c r="AL370">
        <v>731.46712262353299</v>
      </c>
      <c r="AM370">
        <v>251.04376383796401</v>
      </c>
      <c r="AN370">
        <v>0.34320580662265698</v>
      </c>
      <c r="AO370" t="s">
        <v>367</v>
      </c>
      <c r="AP370" t="s">
        <v>264</v>
      </c>
      <c r="AQ370" t="s">
        <v>530</v>
      </c>
      <c r="AR370">
        <v>9.99</v>
      </c>
      <c r="AS370">
        <v>0.73073565550090902</v>
      </c>
      <c r="AT370" t="s">
        <v>1839</v>
      </c>
      <c r="AU370" t="s">
        <v>1837</v>
      </c>
      <c r="AV370">
        <v>1069</v>
      </c>
      <c r="AW370">
        <v>564</v>
      </c>
      <c r="AX370">
        <v>356</v>
      </c>
      <c r="AY370">
        <v>124</v>
      </c>
      <c r="AZ370">
        <v>23</v>
      </c>
      <c r="BA370">
        <v>2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33.136001999999998</v>
      </c>
      <c r="BI370">
        <v>16.480188999999999</v>
      </c>
      <c r="BJ370">
        <v>0</v>
      </c>
      <c r="BK370">
        <v>12.588141999999999</v>
      </c>
      <c r="BL370">
        <v>158.46131299999999</v>
      </c>
      <c r="BM370">
        <v>0.76383500000000004</v>
      </c>
      <c r="BN370">
        <v>26.957000000000001</v>
      </c>
      <c r="BO370">
        <v>-0.25739899999999999</v>
      </c>
      <c r="BP370">
        <v>1.2905979999999999</v>
      </c>
      <c r="BQ370">
        <v>11.775029999999999</v>
      </c>
      <c r="BR370">
        <v>8.9180010000000003</v>
      </c>
      <c r="BS370">
        <v>21.082001000000002</v>
      </c>
      <c r="BT370">
        <v>16.480188999999999</v>
      </c>
      <c r="BU370">
        <v>6.9359200000000003</v>
      </c>
      <c r="BV370">
        <v>-0.56735599999999997</v>
      </c>
      <c r="BW370">
        <v>-1.0262089999999999</v>
      </c>
      <c r="BX370">
        <v>0.42086400000000002</v>
      </c>
      <c r="BY370">
        <v>-8.1799999999999998E-2</v>
      </c>
      <c r="BZ370">
        <v>-0.147956</v>
      </c>
      <c r="CA370">
        <v>7.0000000000000001E-3</v>
      </c>
      <c r="CB370">
        <v>3.6799999999999999E-2</v>
      </c>
      <c r="CC370">
        <v>0.1154</v>
      </c>
      <c r="CD370">
        <v>0.87519999999999998</v>
      </c>
      <c r="CE370">
        <v>1.37</v>
      </c>
      <c r="CF370">
        <v>2.0781999999999998</v>
      </c>
      <c r="CG370">
        <v>13.566807000000001</v>
      </c>
      <c r="CH370">
        <v>21.082001000000002</v>
      </c>
      <c r="CI370">
        <v>25.631198999999999</v>
      </c>
      <c r="CJ370">
        <v>27.635000000000002</v>
      </c>
      <c r="CK370">
        <v>28.327000000000002</v>
      </c>
      <c r="CL370">
        <v>28.972601000000001</v>
      </c>
      <c r="CM370">
        <v>30.138598999999999</v>
      </c>
      <c r="CN370">
        <v>30.945198000000001</v>
      </c>
      <c r="CO370">
        <v>32.018559000000003</v>
      </c>
      <c r="CP370">
        <v>0.49735000000000001</v>
      </c>
      <c r="CQ370">
        <v>20.734264</v>
      </c>
      <c r="CR370">
        <v>22.759999000000001</v>
      </c>
      <c r="CS370">
        <v>22</v>
      </c>
      <c r="CT370">
        <v>520</v>
      </c>
      <c r="CU370">
        <v>120.38073</v>
      </c>
      <c r="CV370">
        <v>45.714286000000001</v>
      </c>
      <c r="CW370">
        <v>87.865769</v>
      </c>
      <c r="CX370">
        <v>7720.3932990000003</v>
      </c>
      <c r="CY370">
        <v>0.72989899999999996</v>
      </c>
      <c r="CZ370">
        <v>108</v>
      </c>
      <c r="DA370">
        <v>1.5585739999999999</v>
      </c>
      <c r="DB370">
        <v>5.7219990000000003</v>
      </c>
      <c r="DC370">
        <v>67.133499</v>
      </c>
      <c r="DD370">
        <v>120.38073</v>
      </c>
      <c r="DE370">
        <v>45.531354999999998</v>
      </c>
      <c r="DF370">
        <v>13.727715999999999</v>
      </c>
      <c r="DG370">
        <v>6.2943519999999999</v>
      </c>
      <c r="DH370">
        <v>0.37822800000000001</v>
      </c>
      <c r="DI370">
        <v>0.30149999999999999</v>
      </c>
      <c r="DJ370">
        <v>0.138242</v>
      </c>
      <c r="DK370">
        <v>27</v>
      </c>
      <c r="DL370">
        <v>32</v>
      </c>
      <c r="DM370">
        <v>37.800002999999997</v>
      </c>
      <c r="DN370">
        <v>48</v>
      </c>
      <c r="DO370">
        <v>53</v>
      </c>
      <c r="DP370">
        <v>60</v>
      </c>
      <c r="DQ370">
        <v>76</v>
      </c>
      <c r="DR370">
        <v>94</v>
      </c>
      <c r="DS370">
        <v>116.799988</v>
      </c>
      <c r="DT370">
        <v>145</v>
      </c>
      <c r="DU370">
        <v>161</v>
      </c>
      <c r="DV370">
        <v>179</v>
      </c>
      <c r="DW370">
        <v>238</v>
      </c>
      <c r="DX370">
        <v>298.399902</v>
      </c>
      <c r="DY370">
        <v>430.279785</v>
      </c>
      <c r="DZ370">
        <v>88.475177000000002</v>
      </c>
      <c r="EA370">
        <v>67.165575000000004</v>
      </c>
      <c r="EB370">
        <v>127.304965</v>
      </c>
      <c r="EC370">
        <v>499</v>
      </c>
      <c r="ED370">
        <v>718</v>
      </c>
      <c r="EE370">
        <v>80.319148999999996</v>
      </c>
      <c r="EF370">
        <v>100</v>
      </c>
      <c r="EG370">
        <v>56.688493999999999</v>
      </c>
      <c r="EH370">
        <v>99.906454999999994</v>
      </c>
      <c r="EI370">
        <v>107.446809</v>
      </c>
      <c r="EJ370">
        <v>189.36170200000001</v>
      </c>
      <c r="EK370">
        <v>453</v>
      </c>
      <c r="EL370">
        <v>564</v>
      </c>
      <c r="EM370">
        <v>606</v>
      </c>
      <c r="EN370">
        <v>1068</v>
      </c>
      <c r="EO370">
        <v>564</v>
      </c>
      <c r="EP370">
        <v>1069</v>
      </c>
      <c r="EQ370">
        <v>50.485267</v>
      </c>
    </row>
    <row r="371" spans="1:147" x14ac:dyDescent="0.25">
      <c r="A371">
        <v>2025</v>
      </c>
      <c r="B371" t="str">
        <f t="shared" si="10"/>
        <v>NE</v>
      </c>
      <c r="C371" t="s">
        <v>1840</v>
      </c>
      <c r="D371" t="s">
        <v>1840</v>
      </c>
      <c r="E371">
        <v>26606</v>
      </c>
      <c r="F371" t="s">
        <v>1830</v>
      </c>
      <c r="G371" t="s">
        <v>1831</v>
      </c>
      <c r="H371" t="s">
        <v>1838</v>
      </c>
      <c r="I371">
        <v>44.26</v>
      </c>
      <c r="J371">
        <v>44.26</v>
      </c>
      <c r="K371" t="s">
        <v>461</v>
      </c>
      <c r="L371">
        <v>1</v>
      </c>
      <c r="M371">
        <v>2018</v>
      </c>
      <c r="O371" t="str">
        <f t="shared" si="11"/>
        <v>Talhadia</v>
      </c>
      <c r="P371" s="2">
        <v>43429</v>
      </c>
      <c r="Q371" t="s">
        <v>322</v>
      </c>
      <c r="R371" t="s">
        <v>367</v>
      </c>
      <c r="S371" t="s">
        <v>154</v>
      </c>
      <c r="T371" t="s">
        <v>155</v>
      </c>
      <c r="U371" t="s">
        <v>156</v>
      </c>
      <c r="V371" s="2">
        <v>44778</v>
      </c>
      <c r="W371" t="s">
        <v>1833</v>
      </c>
      <c r="X371">
        <v>309.97000000000003</v>
      </c>
      <c r="Y371">
        <v>20.399999999999999</v>
      </c>
      <c r="Z371">
        <v>20</v>
      </c>
      <c r="AA371">
        <v>16.2</v>
      </c>
      <c r="AB371">
        <v>0</v>
      </c>
      <c r="AC371">
        <v>330.48</v>
      </c>
      <c r="AD371">
        <v>310.54961731732698</v>
      </c>
      <c r="AE371" s="2">
        <v>45743</v>
      </c>
      <c r="AF371">
        <v>76</v>
      </c>
      <c r="AG371">
        <v>6.3353867214236796</v>
      </c>
      <c r="AH371">
        <v>23.6624362667947</v>
      </c>
      <c r="AI371">
        <v>17.304347826087</v>
      </c>
      <c r="AJ371">
        <v>18.124143998633802</v>
      </c>
      <c r="AK371">
        <v>23</v>
      </c>
      <c r="AL371">
        <v>740.62239067253699</v>
      </c>
      <c r="AM371">
        <v>183.87980729918999</v>
      </c>
      <c r="AN371">
        <v>0.248277407778901</v>
      </c>
      <c r="AO371" t="s">
        <v>367</v>
      </c>
      <c r="AP371" t="s">
        <v>264</v>
      </c>
      <c r="AQ371" t="s">
        <v>530</v>
      </c>
      <c r="AR371">
        <v>9.99</v>
      </c>
      <c r="AS371">
        <v>0.73988176828186381</v>
      </c>
      <c r="AT371" t="s">
        <v>1841</v>
      </c>
      <c r="AU371" t="s">
        <v>1840</v>
      </c>
      <c r="AV371">
        <v>1218</v>
      </c>
      <c r="AW371">
        <v>707</v>
      </c>
      <c r="AX371">
        <v>377</v>
      </c>
      <c r="AY371">
        <v>112</v>
      </c>
      <c r="AZ371">
        <v>21</v>
      </c>
      <c r="BA371">
        <v>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1E-3</v>
      </c>
      <c r="BH371">
        <v>31.629000000000001</v>
      </c>
      <c r="BI371">
        <v>11.613021</v>
      </c>
      <c r="BJ371">
        <v>1E-3</v>
      </c>
      <c r="BK371">
        <v>11.905678999999999</v>
      </c>
      <c r="BL371">
        <v>141.74519100000001</v>
      </c>
      <c r="BM371">
        <v>1.025201</v>
      </c>
      <c r="BN371">
        <v>25.003499000000001</v>
      </c>
      <c r="BO371">
        <v>0.46490799999999999</v>
      </c>
      <c r="BP371">
        <v>1.4247559999999999</v>
      </c>
      <c r="BQ371">
        <v>11.163758</v>
      </c>
      <c r="BR371">
        <v>4.3455000000000004</v>
      </c>
      <c r="BS371">
        <v>4.3860000000000001</v>
      </c>
      <c r="BT371">
        <v>11.613021</v>
      </c>
      <c r="BU371">
        <v>6.4410920000000003</v>
      </c>
      <c r="BV371">
        <v>1.2667710000000001</v>
      </c>
      <c r="BW371">
        <v>-0.77887499999999998</v>
      </c>
      <c r="BX371">
        <v>0.55464400000000003</v>
      </c>
      <c r="BY371">
        <v>0.19667000000000001</v>
      </c>
      <c r="BZ371">
        <v>-0.120923</v>
      </c>
      <c r="CA371">
        <v>6.0000000000000001E-3</v>
      </c>
      <c r="CB371">
        <v>2.8000000000000001E-2</v>
      </c>
      <c r="CC371">
        <v>6.8000000000000005E-2</v>
      </c>
      <c r="CD371">
        <v>0.61419999999999997</v>
      </c>
      <c r="CE371">
        <v>1.0329999999999999</v>
      </c>
      <c r="CF371">
        <v>1.4395</v>
      </c>
      <c r="CG371">
        <v>2.5697999999999999</v>
      </c>
      <c r="CH371">
        <v>4.3869999999999996</v>
      </c>
      <c r="CI371">
        <v>13.506005</v>
      </c>
      <c r="CJ371">
        <v>23.164501000000001</v>
      </c>
      <c r="CK371">
        <v>26.036498999999999</v>
      </c>
      <c r="CL371">
        <v>27.1828</v>
      </c>
      <c r="CM371">
        <v>28.603901</v>
      </c>
      <c r="CN371">
        <v>29.502151000000001</v>
      </c>
      <c r="CO371">
        <v>30.443838</v>
      </c>
      <c r="CP371">
        <v>0.36714400000000003</v>
      </c>
      <c r="CQ371">
        <v>16.628021</v>
      </c>
      <c r="CR371">
        <v>19.384848000000002</v>
      </c>
      <c r="CS371">
        <v>25</v>
      </c>
      <c r="CT371">
        <v>588</v>
      </c>
      <c r="CU371">
        <v>177.31116599999999</v>
      </c>
      <c r="CV371">
        <v>33.936508000000003</v>
      </c>
      <c r="CW371">
        <v>125.639011</v>
      </c>
      <c r="CX371">
        <v>15785.161109999999</v>
      </c>
      <c r="CY371">
        <v>0.70857899999999996</v>
      </c>
      <c r="CZ371">
        <v>168.75</v>
      </c>
      <c r="DA371">
        <v>0.95866200000000001</v>
      </c>
      <c r="DB371">
        <v>3.1883379999999999</v>
      </c>
      <c r="DC371">
        <v>101.820061</v>
      </c>
      <c r="DD371">
        <v>177.31116599999999</v>
      </c>
      <c r="DE371">
        <v>68.810879</v>
      </c>
      <c r="DF371">
        <v>15.934210999999999</v>
      </c>
      <c r="DG371">
        <v>5.7479699999999996</v>
      </c>
      <c r="DH371">
        <v>0.38807999999999998</v>
      </c>
      <c r="DI371">
        <v>0.23156499999999999</v>
      </c>
      <c r="DJ371">
        <v>8.3532999999999996E-2</v>
      </c>
      <c r="DK371">
        <v>27.17</v>
      </c>
      <c r="DL371">
        <v>36</v>
      </c>
      <c r="DM371">
        <v>43</v>
      </c>
      <c r="DN371">
        <v>63</v>
      </c>
      <c r="DO371">
        <v>74</v>
      </c>
      <c r="DP371">
        <v>86</v>
      </c>
      <c r="DQ371">
        <v>116</v>
      </c>
      <c r="DR371">
        <v>146</v>
      </c>
      <c r="DS371">
        <v>181</v>
      </c>
      <c r="DT371">
        <v>221.900024</v>
      </c>
      <c r="DU371">
        <v>242.75</v>
      </c>
      <c r="DV371">
        <v>278.59997600000003</v>
      </c>
      <c r="DW371">
        <v>375.300049</v>
      </c>
      <c r="DX371">
        <v>436.45007299999997</v>
      </c>
      <c r="DY371">
        <v>523.489868</v>
      </c>
      <c r="DZ371">
        <v>71.994342000000003</v>
      </c>
      <c r="EA371">
        <v>57.471263999999998</v>
      </c>
      <c r="EB371">
        <v>99.009900999999999</v>
      </c>
      <c r="EC371">
        <v>509</v>
      </c>
      <c r="ED371">
        <v>700</v>
      </c>
      <c r="EE371">
        <v>57.284300000000002</v>
      </c>
      <c r="EF371">
        <v>99.858557000000005</v>
      </c>
      <c r="EG371">
        <v>40.394089000000001</v>
      </c>
      <c r="EH371">
        <v>99.753694999999993</v>
      </c>
      <c r="EI371">
        <v>69.589815999999999</v>
      </c>
      <c r="EJ371">
        <v>171.85290000000001</v>
      </c>
      <c r="EK371">
        <v>405</v>
      </c>
      <c r="EL371">
        <v>706</v>
      </c>
      <c r="EM371">
        <v>492</v>
      </c>
      <c r="EN371">
        <v>1215</v>
      </c>
      <c r="EO371">
        <v>707</v>
      </c>
      <c r="EP371">
        <v>1218</v>
      </c>
      <c r="EQ371">
        <v>37.116576000000002</v>
      </c>
    </row>
    <row r="372" spans="1:147" x14ac:dyDescent="0.25">
      <c r="A372">
        <v>2025</v>
      </c>
      <c r="B372" t="str">
        <f t="shared" si="10"/>
        <v>NE</v>
      </c>
      <c r="C372" t="s">
        <v>1842</v>
      </c>
      <c r="D372" t="s">
        <v>1842</v>
      </c>
      <c r="E372">
        <v>30891</v>
      </c>
      <c r="F372" t="s">
        <v>1830</v>
      </c>
      <c r="G372" t="s">
        <v>1831</v>
      </c>
      <c r="H372" t="s">
        <v>1838</v>
      </c>
      <c r="I372">
        <v>44.26</v>
      </c>
      <c r="J372">
        <v>44.26</v>
      </c>
      <c r="K372" t="s">
        <v>461</v>
      </c>
      <c r="L372">
        <v>1</v>
      </c>
      <c r="M372">
        <v>2018</v>
      </c>
      <c r="O372" t="str">
        <f t="shared" si="11"/>
        <v>Talhadia</v>
      </c>
      <c r="P372" s="2">
        <v>43429</v>
      </c>
      <c r="Q372" t="s">
        <v>322</v>
      </c>
      <c r="R372" t="s">
        <v>367</v>
      </c>
      <c r="S372" t="s">
        <v>154</v>
      </c>
      <c r="T372" t="s">
        <v>155</v>
      </c>
      <c r="U372" t="s">
        <v>156</v>
      </c>
      <c r="V372" s="2">
        <v>45743</v>
      </c>
      <c r="W372" t="s">
        <v>1833</v>
      </c>
      <c r="X372">
        <v>309.97000000000003</v>
      </c>
      <c r="Y372">
        <v>20.8</v>
      </c>
      <c r="Z372">
        <v>21</v>
      </c>
      <c r="AA372">
        <v>14.7</v>
      </c>
      <c r="AB372">
        <v>10</v>
      </c>
      <c r="AC372">
        <v>305.76</v>
      </c>
      <c r="AD372">
        <v>281.11490073681802</v>
      </c>
      <c r="AE372" s="2">
        <v>45743</v>
      </c>
      <c r="AF372">
        <v>76</v>
      </c>
      <c r="AG372">
        <v>6.3353867214236796</v>
      </c>
      <c r="AH372">
        <v>25.869116292981602</v>
      </c>
      <c r="AI372">
        <v>16.573684210526299</v>
      </c>
      <c r="AJ372">
        <v>14.893695741207701</v>
      </c>
      <c r="AK372">
        <v>19</v>
      </c>
      <c r="AL372">
        <v>675.88021660182199</v>
      </c>
      <c r="AM372">
        <v>165.985951986711</v>
      </c>
      <c r="AN372">
        <v>0.245584865349739</v>
      </c>
      <c r="AO372" t="s">
        <v>367</v>
      </c>
      <c r="AP372" t="s">
        <v>264</v>
      </c>
      <c r="AQ372" t="s">
        <v>530</v>
      </c>
      <c r="AR372">
        <v>9.99</v>
      </c>
      <c r="AS372">
        <v>0.67520433638521926</v>
      </c>
      <c r="AT372" t="s">
        <v>1843</v>
      </c>
      <c r="AU372" t="s">
        <v>1842</v>
      </c>
      <c r="AV372">
        <v>1105</v>
      </c>
      <c r="AW372">
        <v>618</v>
      </c>
      <c r="AX372">
        <v>367</v>
      </c>
      <c r="AY372">
        <v>106</v>
      </c>
      <c r="AZ372">
        <v>12</v>
      </c>
      <c r="BA372">
        <v>2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30.917998999999998</v>
      </c>
      <c r="BI372">
        <v>12.564330999999999</v>
      </c>
      <c r="BJ372">
        <v>0</v>
      </c>
      <c r="BK372">
        <v>12.042049</v>
      </c>
      <c r="BL372">
        <v>145.010955</v>
      </c>
      <c r="BM372">
        <v>0.95843100000000003</v>
      </c>
      <c r="BN372">
        <v>25.189001000000001</v>
      </c>
      <c r="BO372">
        <v>0.21962100000000001</v>
      </c>
      <c r="BP372">
        <v>1.1943509999999999</v>
      </c>
      <c r="BQ372">
        <v>11.630326</v>
      </c>
      <c r="BR372">
        <v>5.2439999999999998</v>
      </c>
      <c r="BS372">
        <v>5.2549999999999999</v>
      </c>
      <c r="BT372">
        <v>12.564330999999999</v>
      </c>
      <c r="BU372">
        <v>6.540451</v>
      </c>
      <c r="BV372">
        <v>0.673956</v>
      </c>
      <c r="BW372">
        <v>-1.119829</v>
      </c>
      <c r="BX372">
        <v>0.52055700000000005</v>
      </c>
      <c r="BY372">
        <v>0.103044</v>
      </c>
      <c r="BZ372">
        <v>-0.17121600000000001</v>
      </c>
      <c r="CA372">
        <v>2E-3</v>
      </c>
      <c r="CB372">
        <v>1.6E-2</v>
      </c>
      <c r="CC372">
        <v>3.5999999999999997E-2</v>
      </c>
      <c r="CD372">
        <v>0.30740000000000001</v>
      </c>
      <c r="CE372">
        <v>0.78900000000000003</v>
      </c>
      <c r="CF372">
        <v>1.2487999999999999</v>
      </c>
      <c r="CG372">
        <v>3</v>
      </c>
      <c r="CH372">
        <v>5.2549999999999999</v>
      </c>
      <c r="CI372">
        <v>21.446203000000001</v>
      </c>
      <c r="CJ372">
        <v>25.079401000000001</v>
      </c>
      <c r="CK372">
        <v>25.978000999999999</v>
      </c>
      <c r="CL372">
        <v>26.686401</v>
      </c>
      <c r="CM372">
        <v>27.808599000000001</v>
      </c>
      <c r="CN372">
        <v>28.523199000000002</v>
      </c>
      <c r="CO372">
        <v>29.564878</v>
      </c>
      <c r="CP372">
        <v>0.40637600000000001</v>
      </c>
      <c r="CQ372">
        <v>17.399487000000001</v>
      </c>
      <c r="CR372">
        <v>19.855239000000001</v>
      </c>
      <c r="CS372">
        <v>22</v>
      </c>
      <c r="CT372">
        <v>587</v>
      </c>
      <c r="CU372">
        <v>166.145701</v>
      </c>
      <c r="CV372">
        <v>39.936508000000003</v>
      </c>
      <c r="CW372">
        <v>115.939841</v>
      </c>
      <c r="CX372">
        <v>13442.046689999999</v>
      </c>
      <c r="CY372">
        <v>0.69782</v>
      </c>
      <c r="CZ372">
        <v>159</v>
      </c>
      <c r="DA372">
        <v>0.995591</v>
      </c>
      <c r="DB372">
        <v>3.4343759999999999</v>
      </c>
      <c r="DC372">
        <v>93.289102</v>
      </c>
      <c r="DD372">
        <v>166.145701</v>
      </c>
      <c r="DE372">
        <v>63.349576999999996</v>
      </c>
      <c r="DF372">
        <v>14.355149000000001</v>
      </c>
      <c r="DG372">
        <v>5.5146730000000002</v>
      </c>
      <c r="DH372">
        <v>0.38128899999999999</v>
      </c>
      <c r="DI372">
        <v>0.226602</v>
      </c>
      <c r="DJ372">
        <v>8.7051000000000003E-2</v>
      </c>
      <c r="DK372">
        <v>28</v>
      </c>
      <c r="DL372">
        <v>35</v>
      </c>
      <c r="DM372">
        <v>43</v>
      </c>
      <c r="DN372">
        <v>60.800002999999997</v>
      </c>
      <c r="DO372">
        <v>69</v>
      </c>
      <c r="DP372">
        <v>79</v>
      </c>
      <c r="DQ372">
        <v>108</v>
      </c>
      <c r="DR372">
        <v>141</v>
      </c>
      <c r="DS372">
        <v>176.400024</v>
      </c>
      <c r="DT372">
        <v>211</v>
      </c>
      <c r="DU372">
        <v>228</v>
      </c>
      <c r="DV372">
        <v>252.20001199999999</v>
      </c>
      <c r="DW372">
        <v>341.199951</v>
      </c>
      <c r="DX372">
        <v>404.600098</v>
      </c>
      <c r="DY372">
        <v>509.71972699999998</v>
      </c>
      <c r="DZ372">
        <v>76.699028999999996</v>
      </c>
      <c r="EA372">
        <v>60</v>
      </c>
      <c r="EB372">
        <v>107.281553</v>
      </c>
      <c r="EC372">
        <v>474</v>
      </c>
      <c r="ED372">
        <v>663</v>
      </c>
      <c r="EE372">
        <v>65.695792999999995</v>
      </c>
      <c r="EF372">
        <v>99.676374999999993</v>
      </c>
      <c r="EG372">
        <v>45.610860000000002</v>
      </c>
      <c r="EH372">
        <v>99.819005000000004</v>
      </c>
      <c r="EI372">
        <v>81.553398000000001</v>
      </c>
      <c r="EJ372">
        <v>178.47896399999999</v>
      </c>
      <c r="EK372">
        <v>406</v>
      </c>
      <c r="EL372">
        <v>616</v>
      </c>
      <c r="EM372">
        <v>504</v>
      </c>
      <c r="EN372">
        <v>1103</v>
      </c>
      <c r="EO372">
        <v>618</v>
      </c>
      <c r="EP372">
        <v>1105</v>
      </c>
      <c r="EQ372">
        <v>41.476745999999999</v>
      </c>
    </row>
    <row r="373" spans="1:147" x14ac:dyDescent="0.25">
      <c r="A373">
        <v>2025</v>
      </c>
      <c r="B373" t="str">
        <f t="shared" si="10"/>
        <v>NE</v>
      </c>
      <c r="C373" t="s">
        <v>1844</v>
      </c>
      <c r="D373" t="s">
        <v>1844</v>
      </c>
      <c r="E373">
        <v>25524</v>
      </c>
      <c r="F373" t="s">
        <v>1845</v>
      </c>
      <c r="G373" t="s">
        <v>1846</v>
      </c>
      <c r="H373" t="s">
        <v>1847</v>
      </c>
      <c r="I373">
        <v>46.88</v>
      </c>
      <c r="J373">
        <v>46.88</v>
      </c>
      <c r="K373" t="s">
        <v>151</v>
      </c>
      <c r="L373">
        <v>1</v>
      </c>
      <c r="M373">
        <v>2017</v>
      </c>
      <c r="O373" t="str">
        <f t="shared" si="11"/>
        <v>Alto fuste</v>
      </c>
      <c r="P373" s="2">
        <v>43054</v>
      </c>
      <c r="Q373" t="s">
        <v>174</v>
      </c>
      <c r="R373" t="s">
        <v>470</v>
      </c>
      <c r="S373" t="s">
        <v>154</v>
      </c>
      <c r="T373" t="s">
        <v>155</v>
      </c>
      <c r="U373" t="s">
        <v>156</v>
      </c>
      <c r="V373" s="2">
        <v>44779</v>
      </c>
      <c r="W373" t="s">
        <v>1848</v>
      </c>
      <c r="X373">
        <v>104.15</v>
      </c>
      <c r="Y373">
        <v>21.1</v>
      </c>
      <c r="Z373">
        <v>28</v>
      </c>
      <c r="AA373">
        <v>15.7</v>
      </c>
      <c r="AB373">
        <v>2</v>
      </c>
      <c r="AC373">
        <v>331.27</v>
      </c>
      <c r="AD373">
        <v>292.315869614598</v>
      </c>
      <c r="AE373" s="2">
        <v>45740</v>
      </c>
      <c r="AF373">
        <v>88</v>
      </c>
      <c r="AG373">
        <v>7.3538672142368204</v>
      </c>
      <c r="AH373">
        <v>30.860829258834901</v>
      </c>
      <c r="AI373">
        <v>17.0457142857143</v>
      </c>
      <c r="AJ373">
        <v>27.793041511960102</v>
      </c>
      <c r="AK373">
        <v>35</v>
      </c>
      <c r="AL373">
        <v>1197.3349256113099</v>
      </c>
      <c r="AM373">
        <v>386.39979743985998</v>
      </c>
      <c r="AN373">
        <v>0.32271655087867801</v>
      </c>
      <c r="AO373" t="s">
        <v>470</v>
      </c>
      <c r="AP373" t="s">
        <v>158</v>
      </c>
      <c r="AQ373" t="s">
        <v>530</v>
      </c>
      <c r="AR373">
        <v>9</v>
      </c>
      <c r="AS373">
        <v>1.0776014330501791</v>
      </c>
      <c r="AT373" t="s">
        <v>1849</v>
      </c>
      <c r="AU373" t="s">
        <v>1844</v>
      </c>
      <c r="AV373">
        <v>3168</v>
      </c>
      <c r="AW373">
        <v>1921</v>
      </c>
      <c r="AX373">
        <v>990</v>
      </c>
      <c r="AY373">
        <v>225</v>
      </c>
      <c r="AZ373">
        <v>32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33.971001000000001</v>
      </c>
      <c r="BI373">
        <v>19.579616000000001</v>
      </c>
      <c r="BJ373">
        <v>0</v>
      </c>
      <c r="BK373">
        <v>13.884358000000001</v>
      </c>
      <c r="BL373">
        <v>192.775409</v>
      </c>
      <c r="BM373">
        <v>0.70912299999999995</v>
      </c>
      <c r="BN373">
        <v>30.556498999999999</v>
      </c>
      <c r="BO373">
        <v>-0.57952099999999995</v>
      </c>
      <c r="BP373">
        <v>1.4420170000000001</v>
      </c>
      <c r="BQ373">
        <v>12.974852</v>
      </c>
      <c r="BR373">
        <v>2.8895</v>
      </c>
      <c r="BS373">
        <v>28.975999999999999</v>
      </c>
      <c r="BT373">
        <v>19.579616000000001</v>
      </c>
      <c r="BU373">
        <v>7.1883520000000001</v>
      </c>
      <c r="BV373">
        <v>-1.641297</v>
      </c>
      <c r="BW373">
        <v>-0.90449800000000002</v>
      </c>
      <c r="BX373">
        <v>0.36713400000000002</v>
      </c>
      <c r="BY373">
        <v>-0.228327</v>
      </c>
      <c r="BZ373">
        <v>-0.125828</v>
      </c>
      <c r="CA373">
        <v>2E-3</v>
      </c>
      <c r="CB373">
        <v>8.9999999999999993E-3</v>
      </c>
      <c r="CC373">
        <v>1.7999999999999999E-2</v>
      </c>
      <c r="CD373">
        <v>4.8000000000000001E-2</v>
      </c>
      <c r="CE373">
        <v>0.1215</v>
      </c>
      <c r="CF373">
        <v>2.3898000000000001</v>
      </c>
      <c r="CG373">
        <v>23.117001999999999</v>
      </c>
      <c r="CH373">
        <v>28.975999999999999</v>
      </c>
      <c r="CI373">
        <v>29.795200000000001</v>
      </c>
      <c r="CJ373">
        <v>30.375799000000001</v>
      </c>
      <c r="CK373">
        <v>30.677999</v>
      </c>
      <c r="CL373">
        <v>30.992201000000001</v>
      </c>
      <c r="CM373">
        <v>31.763901000000001</v>
      </c>
      <c r="CN373">
        <v>32.248950999999998</v>
      </c>
      <c r="CO373">
        <v>33.016990999999997</v>
      </c>
      <c r="CP373">
        <v>0.57636299999999996</v>
      </c>
      <c r="CQ373">
        <v>24.001581000000002</v>
      </c>
      <c r="CR373">
        <v>25.850847000000002</v>
      </c>
      <c r="CS373">
        <v>18</v>
      </c>
      <c r="CT373">
        <v>698</v>
      </c>
      <c r="CU373">
        <v>172.023043</v>
      </c>
      <c r="CV373">
        <v>39.587302000000001</v>
      </c>
      <c r="CW373">
        <v>128.05637899999999</v>
      </c>
      <c r="CX373">
        <v>16398.436160000001</v>
      </c>
      <c r="CY373">
        <v>0.74441400000000002</v>
      </c>
      <c r="CZ373">
        <v>167</v>
      </c>
      <c r="DA373">
        <v>1.2917019999999999</v>
      </c>
      <c r="DB373">
        <v>4.6255179999999996</v>
      </c>
      <c r="DC373">
        <v>99.414232999999996</v>
      </c>
      <c r="DD373">
        <v>172.023043</v>
      </c>
      <c r="DE373">
        <v>68.127841000000004</v>
      </c>
      <c r="DF373">
        <v>16.987479</v>
      </c>
      <c r="DG373">
        <v>8.2227399999999999</v>
      </c>
      <c r="DH373">
        <v>0.39603899999999997</v>
      </c>
      <c r="DI373">
        <v>0.24934700000000001</v>
      </c>
      <c r="DJ373">
        <v>0.120696</v>
      </c>
      <c r="DK373">
        <v>25</v>
      </c>
      <c r="DL373">
        <v>32</v>
      </c>
      <c r="DM373">
        <v>40</v>
      </c>
      <c r="DN373">
        <v>57.400024000000002</v>
      </c>
      <c r="DO373">
        <v>70</v>
      </c>
      <c r="DP373">
        <v>82</v>
      </c>
      <c r="DQ373">
        <v>113</v>
      </c>
      <c r="DR373">
        <v>144</v>
      </c>
      <c r="DS373">
        <v>181</v>
      </c>
      <c r="DT373">
        <v>217</v>
      </c>
      <c r="DU373">
        <v>237</v>
      </c>
      <c r="DV373">
        <v>258</v>
      </c>
      <c r="DW373">
        <v>332.300049</v>
      </c>
      <c r="DX373">
        <v>449.59960899999999</v>
      </c>
      <c r="DY373">
        <v>585.33007799999996</v>
      </c>
      <c r="DZ373">
        <v>89.796981000000002</v>
      </c>
      <c r="EA373">
        <v>69.065657000000002</v>
      </c>
      <c r="EB373">
        <v>113.899011</v>
      </c>
      <c r="EC373">
        <v>1725</v>
      </c>
      <c r="ED373">
        <v>2188</v>
      </c>
      <c r="EE373">
        <v>86.673607000000004</v>
      </c>
      <c r="EF373">
        <v>99.843830999999994</v>
      </c>
      <c r="EG373">
        <v>63.257576</v>
      </c>
      <c r="EH373">
        <v>99.747474999999994</v>
      </c>
      <c r="EI373">
        <v>104.320666</v>
      </c>
      <c r="EJ373">
        <v>164.497657</v>
      </c>
      <c r="EK373">
        <v>1665</v>
      </c>
      <c r="EL373">
        <v>1918</v>
      </c>
      <c r="EM373">
        <v>2004</v>
      </c>
      <c r="EN373">
        <v>3160</v>
      </c>
      <c r="EO373">
        <v>1921</v>
      </c>
      <c r="EP373">
        <v>3168</v>
      </c>
      <c r="EQ373">
        <v>58.290818000000002</v>
      </c>
    </row>
    <row r="374" spans="1:147" x14ac:dyDescent="0.25">
      <c r="A374">
        <v>2025</v>
      </c>
      <c r="B374" t="str">
        <f t="shared" si="10"/>
        <v>NE</v>
      </c>
      <c r="C374" t="s">
        <v>1850</v>
      </c>
      <c r="D374" t="s">
        <v>1850</v>
      </c>
      <c r="E374">
        <v>31037</v>
      </c>
      <c r="F374" t="s">
        <v>1845</v>
      </c>
      <c r="G374" t="s">
        <v>1846</v>
      </c>
      <c r="H374" t="s">
        <v>1847</v>
      </c>
      <c r="I374">
        <v>46.88</v>
      </c>
      <c r="J374">
        <v>46.88</v>
      </c>
      <c r="K374" t="s">
        <v>151</v>
      </c>
      <c r="L374">
        <v>1</v>
      </c>
      <c r="M374">
        <v>2017</v>
      </c>
      <c r="O374" t="str">
        <f t="shared" si="11"/>
        <v>Alto fuste</v>
      </c>
      <c r="P374" s="2">
        <v>43054</v>
      </c>
      <c r="Q374" t="s">
        <v>174</v>
      </c>
      <c r="R374" t="s">
        <v>470</v>
      </c>
      <c r="S374" t="s">
        <v>154</v>
      </c>
      <c r="T374" t="s">
        <v>155</v>
      </c>
      <c r="U374" t="s">
        <v>156</v>
      </c>
      <c r="V374" s="2">
        <v>44780</v>
      </c>
      <c r="W374" t="s">
        <v>1848</v>
      </c>
      <c r="X374">
        <v>104.15</v>
      </c>
      <c r="Y374">
        <v>20.3</v>
      </c>
      <c r="Z374">
        <v>21</v>
      </c>
      <c r="AA374">
        <v>14.7</v>
      </c>
      <c r="AB374">
        <v>6</v>
      </c>
      <c r="AC374">
        <v>298.41000000000003</v>
      </c>
      <c r="AD374">
        <v>277.06359135298601</v>
      </c>
      <c r="AE374" s="2">
        <v>45740</v>
      </c>
      <c r="AF374">
        <v>88</v>
      </c>
      <c r="AG374">
        <v>7.3538672142368204</v>
      </c>
      <c r="AH374">
        <v>26.686381134906199</v>
      </c>
      <c r="AI374">
        <v>15.728125</v>
      </c>
      <c r="AJ374">
        <v>23.547324146036001</v>
      </c>
      <c r="AK374">
        <v>32</v>
      </c>
      <c r="AL374">
        <v>1154.9695087591399</v>
      </c>
      <c r="AM374">
        <v>293.50417025961701</v>
      </c>
      <c r="AN374">
        <v>0.25412287340377399</v>
      </c>
      <c r="AO374" t="s">
        <v>470</v>
      </c>
      <c r="AP374" t="s">
        <v>158</v>
      </c>
      <c r="AQ374" t="s">
        <v>530</v>
      </c>
      <c r="AR374">
        <v>9</v>
      </c>
      <c r="AS374">
        <v>1.039472557883222</v>
      </c>
      <c r="AT374" t="s">
        <v>1851</v>
      </c>
      <c r="AU374" t="s">
        <v>1850</v>
      </c>
      <c r="AV374">
        <v>1808</v>
      </c>
      <c r="AW374">
        <v>990</v>
      </c>
      <c r="AX374">
        <v>634</v>
      </c>
      <c r="AY374">
        <v>163</v>
      </c>
      <c r="AZ374">
        <v>21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31.714001</v>
      </c>
      <c r="BI374">
        <v>14.776007999999999</v>
      </c>
      <c r="BJ374">
        <v>0</v>
      </c>
      <c r="BK374">
        <v>13.271596000000001</v>
      </c>
      <c r="BL374">
        <v>176.13526999999999</v>
      </c>
      <c r="BM374">
        <v>0.89818600000000004</v>
      </c>
      <c r="BN374">
        <v>27.954250999999999</v>
      </c>
      <c r="BO374">
        <v>-7.8259999999999996E-2</v>
      </c>
      <c r="BP374">
        <v>1.0998669999999999</v>
      </c>
      <c r="BQ374">
        <v>12.946284</v>
      </c>
      <c r="BR374">
        <v>10.4945</v>
      </c>
      <c r="BS374">
        <v>19.069500000000001</v>
      </c>
      <c r="BT374">
        <v>14.776007999999999</v>
      </c>
      <c r="BU374">
        <v>7.0726440000000004</v>
      </c>
      <c r="BV374">
        <v>-0.117074</v>
      </c>
      <c r="BW374">
        <v>-1.4911160000000001</v>
      </c>
      <c r="BX374">
        <v>0.478657</v>
      </c>
      <c r="BY374">
        <v>-1.6552999999999998E-2</v>
      </c>
      <c r="BZ374">
        <v>-0.21082899999999999</v>
      </c>
      <c r="CA374">
        <v>2E-3</v>
      </c>
      <c r="CB374">
        <v>8.0000000000000002E-3</v>
      </c>
      <c r="CC374">
        <v>0.02</v>
      </c>
      <c r="CD374">
        <v>5.2400000000000002E-2</v>
      </c>
      <c r="CE374">
        <v>7.9000000000000001E-2</v>
      </c>
      <c r="CF374">
        <v>0.14599999999999999</v>
      </c>
      <c r="CG374">
        <v>1.9450000000000001</v>
      </c>
      <c r="CH374">
        <v>19.069500000000001</v>
      </c>
      <c r="CI374">
        <v>26.763399</v>
      </c>
      <c r="CJ374">
        <v>27.660900000000002</v>
      </c>
      <c r="CK374">
        <v>28.033251</v>
      </c>
      <c r="CL374">
        <v>28.312000000000001</v>
      </c>
      <c r="CM374">
        <v>29.007200000000001</v>
      </c>
      <c r="CN374">
        <v>29.511649999999999</v>
      </c>
      <c r="CO374">
        <v>30.501816000000002</v>
      </c>
      <c r="CP374">
        <v>0.46591399999999999</v>
      </c>
      <c r="CQ374">
        <v>19.858706999999999</v>
      </c>
      <c r="CR374">
        <v>22.135943999999999</v>
      </c>
      <c r="CS374">
        <v>19</v>
      </c>
      <c r="CT374">
        <v>747</v>
      </c>
      <c r="CU374">
        <v>205.83075199999999</v>
      </c>
      <c r="CV374">
        <v>30.555555999999999</v>
      </c>
      <c r="CW374">
        <v>152.00280699999999</v>
      </c>
      <c r="CX374">
        <v>23104.853459999998</v>
      </c>
      <c r="CY374">
        <v>0.73848400000000003</v>
      </c>
      <c r="CZ374">
        <v>222</v>
      </c>
      <c r="DA374">
        <v>0.935836</v>
      </c>
      <c r="DB374">
        <v>3.3691279999999999</v>
      </c>
      <c r="DC374">
        <v>123.72683600000001</v>
      </c>
      <c r="DD374">
        <v>205.83075199999999</v>
      </c>
      <c r="DE374">
        <v>83.463316000000006</v>
      </c>
      <c r="DF374">
        <v>17.483685000000001</v>
      </c>
      <c r="DG374">
        <v>6.0109079999999997</v>
      </c>
      <c r="DH374">
        <v>0.40549499999999999</v>
      </c>
      <c r="DI374">
        <v>0.209477</v>
      </c>
      <c r="DJ374">
        <v>7.2019E-2</v>
      </c>
      <c r="DK374">
        <v>26</v>
      </c>
      <c r="DL374">
        <v>33</v>
      </c>
      <c r="DM374">
        <v>42</v>
      </c>
      <c r="DN374">
        <v>62</v>
      </c>
      <c r="DO374">
        <v>72</v>
      </c>
      <c r="DP374">
        <v>88.099975999999998</v>
      </c>
      <c r="DQ374">
        <v>130</v>
      </c>
      <c r="DR374">
        <v>179</v>
      </c>
      <c r="DS374">
        <v>228</v>
      </c>
      <c r="DT374">
        <v>273</v>
      </c>
      <c r="DU374">
        <v>294</v>
      </c>
      <c r="DV374">
        <v>325</v>
      </c>
      <c r="DW374">
        <v>417</v>
      </c>
      <c r="DX374">
        <v>522.30004899999994</v>
      </c>
      <c r="DY374">
        <v>642.93005400000004</v>
      </c>
      <c r="DZ374">
        <v>83.232322999999994</v>
      </c>
      <c r="EA374">
        <v>57.411504000000001</v>
      </c>
      <c r="EB374">
        <v>104.848485</v>
      </c>
      <c r="EC374">
        <v>824</v>
      </c>
      <c r="ED374">
        <v>1038</v>
      </c>
      <c r="EE374">
        <v>81.414141000000001</v>
      </c>
      <c r="EF374">
        <v>99.898989999999998</v>
      </c>
      <c r="EG374">
        <v>52.986725999999997</v>
      </c>
      <c r="EH374">
        <v>99.778761000000003</v>
      </c>
      <c r="EI374">
        <v>96.767677000000006</v>
      </c>
      <c r="EJ374">
        <v>182.22222199999999</v>
      </c>
      <c r="EK374">
        <v>806</v>
      </c>
      <c r="EL374">
        <v>989</v>
      </c>
      <c r="EM374">
        <v>958</v>
      </c>
      <c r="EN374">
        <v>1804</v>
      </c>
      <c r="EO374">
        <v>990</v>
      </c>
      <c r="EP374">
        <v>1808</v>
      </c>
      <c r="EQ374">
        <v>47.431415000000001</v>
      </c>
    </row>
    <row r="375" spans="1:147" x14ac:dyDescent="0.25">
      <c r="A375">
        <v>2025</v>
      </c>
      <c r="B375" t="str">
        <f t="shared" si="10"/>
        <v>NE</v>
      </c>
      <c r="C375" t="s">
        <v>1852</v>
      </c>
      <c r="D375" t="s">
        <v>1852</v>
      </c>
      <c r="E375">
        <v>25517</v>
      </c>
      <c r="F375" t="s">
        <v>1845</v>
      </c>
      <c r="G375" t="s">
        <v>1846</v>
      </c>
      <c r="H375" t="s">
        <v>1853</v>
      </c>
      <c r="I375">
        <v>31.06</v>
      </c>
      <c r="J375">
        <v>31.06</v>
      </c>
      <c r="K375" t="s">
        <v>151</v>
      </c>
      <c r="L375">
        <v>1</v>
      </c>
      <c r="M375">
        <v>2017</v>
      </c>
      <c r="O375" t="str">
        <f t="shared" si="11"/>
        <v>Alto fuste</v>
      </c>
      <c r="P375" s="2">
        <v>43032</v>
      </c>
      <c r="Q375" t="s">
        <v>174</v>
      </c>
      <c r="R375" t="s">
        <v>367</v>
      </c>
      <c r="S375" t="s">
        <v>154</v>
      </c>
      <c r="T375" t="s">
        <v>155</v>
      </c>
      <c r="U375" t="s">
        <v>156</v>
      </c>
      <c r="V375" s="2">
        <v>45740</v>
      </c>
      <c r="W375" t="s">
        <v>1848</v>
      </c>
      <c r="X375">
        <v>104.15</v>
      </c>
      <c r="Y375">
        <v>20.3</v>
      </c>
      <c r="Z375">
        <v>12</v>
      </c>
      <c r="AA375">
        <v>15.7</v>
      </c>
      <c r="AB375">
        <v>2</v>
      </c>
      <c r="AC375">
        <v>318.70999999999998</v>
      </c>
      <c r="AD375">
        <v>311.55551494197198</v>
      </c>
      <c r="AE375" s="2">
        <v>45740</v>
      </c>
      <c r="AF375">
        <v>89</v>
      </c>
      <c r="AG375">
        <v>7.4140999315537304</v>
      </c>
      <c r="AH375">
        <v>24.543682636279499</v>
      </c>
      <c r="AI375">
        <v>15.229411764705899</v>
      </c>
      <c r="AJ375">
        <v>20.272921877556399</v>
      </c>
      <c r="AK375">
        <v>34</v>
      </c>
      <c r="AL375">
        <v>1091.2982877652701</v>
      </c>
      <c r="AM375">
        <v>223.07481344088299</v>
      </c>
      <c r="AN375">
        <v>0.20441231874164301</v>
      </c>
      <c r="AO375" t="s">
        <v>367</v>
      </c>
      <c r="AP375" t="s">
        <v>158</v>
      </c>
      <c r="AQ375" t="s">
        <v>530</v>
      </c>
      <c r="AR375">
        <v>9</v>
      </c>
      <c r="AS375">
        <v>0.98216845898874017</v>
      </c>
      <c r="AT375" t="s">
        <v>1854</v>
      </c>
      <c r="AU375" t="s">
        <v>1852</v>
      </c>
      <c r="AV375">
        <v>1120</v>
      </c>
      <c r="AW375">
        <v>636</v>
      </c>
      <c r="AX375">
        <v>380</v>
      </c>
      <c r="AY375">
        <v>95</v>
      </c>
      <c r="AZ375">
        <v>8</v>
      </c>
      <c r="BA375">
        <v>1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28.048999999999999</v>
      </c>
      <c r="BI375">
        <v>16.636506000000001</v>
      </c>
      <c r="BJ375">
        <v>0</v>
      </c>
      <c r="BK375">
        <v>11.115800999999999</v>
      </c>
      <c r="BL375">
        <v>123.56103299999999</v>
      </c>
      <c r="BM375">
        <v>0.668157</v>
      </c>
      <c r="BN375">
        <v>24.85125</v>
      </c>
      <c r="BO375">
        <v>-0.74122100000000002</v>
      </c>
      <c r="BP375">
        <v>1.662436</v>
      </c>
      <c r="BQ375">
        <v>10.151033999999999</v>
      </c>
      <c r="BR375">
        <v>2.1335009999999999</v>
      </c>
      <c r="BS375">
        <v>23.550498999999999</v>
      </c>
      <c r="BT375">
        <v>16.636506000000001</v>
      </c>
      <c r="BU375">
        <v>5.6450449999999996</v>
      </c>
      <c r="BV375">
        <v>-1.571734</v>
      </c>
      <c r="BW375">
        <v>-0.45357999999999998</v>
      </c>
      <c r="BX375">
        <v>0.33931699999999998</v>
      </c>
      <c r="BY375">
        <v>-0.27842699999999998</v>
      </c>
      <c r="BZ375">
        <v>-8.0350000000000005E-2</v>
      </c>
      <c r="CA375">
        <v>1.1900000000000001E-3</v>
      </c>
      <c r="CB375">
        <v>7.0000000000000001E-3</v>
      </c>
      <c r="CC375">
        <v>1.2E-2</v>
      </c>
      <c r="CD375">
        <v>2.8000000000000001E-2</v>
      </c>
      <c r="CE375">
        <v>4.4999999999999998E-2</v>
      </c>
      <c r="CF375">
        <v>8.3942130000000006</v>
      </c>
      <c r="CG375">
        <v>22.341200000000001</v>
      </c>
      <c r="CH375">
        <v>23.550498999999999</v>
      </c>
      <c r="CI375">
        <v>24.240801000000001</v>
      </c>
      <c r="CJ375">
        <v>24.634900999999999</v>
      </c>
      <c r="CK375">
        <v>24.896249999999998</v>
      </c>
      <c r="CL375">
        <v>25.205400000000001</v>
      </c>
      <c r="CM375">
        <v>25.797198999999999</v>
      </c>
      <c r="CN375">
        <v>26.293199999999999</v>
      </c>
      <c r="CO375">
        <v>27.343402999999999</v>
      </c>
      <c r="CP375">
        <v>0.59312299999999996</v>
      </c>
      <c r="CQ375">
        <v>20.005600000000001</v>
      </c>
      <c r="CR375">
        <v>21.362383999999999</v>
      </c>
      <c r="CS375">
        <v>22</v>
      </c>
      <c r="CT375">
        <v>817</v>
      </c>
      <c r="CU375">
        <v>192.2</v>
      </c>
      <c r="CV375">
        <v>34.619047999999999</v>
      </c>
      <c r="CW375">
        <v>148.23200900000001</v>
      </c>
      <c r="CX375">
        <v>21972.728510000001</v>
      </c>
      <c r="CY375">
        <v>0.77123799999999998</v>
      </c>
      <c r="CZ375">
        <v>172</v>
      </c>
      <c r="DA375">
        <v>1.512159</v>
      </c>
      <c r="DB375">
        <v>5.435384</v>
      </c>
      <c r="DC375">
        <v>110.285</v>
      </c>
      <c r="DD375">
        <v>192.2</v>
      </c>
      <c r="DE375">
        <v>77.013204999999999</v>
      </c>
      <c r="DF375">
        <v>20.978373999999999</v>
      </c>
      <c r="DG375">
        <v>11.905749</v>
      </c>
      <c r="DH375">
        <v>0.40069300000000002</v>
      </c>
      <c r="DI375">
        <v>0.27239999999999998</v>
      </c>
      <c r="DJ375">
        <v>0.15459400000000001</v>
      </c>
      <c r="DK375">
        <v>26.189999</v>
      </c>
      <c r="DL375">
        <v>36</v>
      </c>
      <c r="DM375">
        <v>45</v>
      </c>
      <c r="DN375">
        <v>65</v>
      </c>
      <c r="DO375">
        <v>79</v>
      </c>
      <c r="DP375">
        <v>92</v>
      </c>
      <c r="DQ375">
        <v>127.60000599999999</v>
      </c>
      <c r="DR375">
        <v>165</v>
      </c>
      <c r="DS375">
        <v>196.400024</v>
      </c>
      <c r="DT375">
        <v>233.29998800000001</v>
      </c>
      <c r="DU375">
        <v>251</v>
      </c>
      <c r="DV375">
        <v>272.20001200000002</v>
      </c>
      <c r="DW375">
        <v>366.09997600000003</v>
      </c>
      <c r="DX375">
        <v>541.100098</v>
      </c>
      <c r="DY375">
        <v>685.290527</v>
      </c>
      <c r="DZ375">
        <v>92.924527999999995</v>
      </c>
      <c r="EA375">
        <v>70.357142999999994</v>
      </c>
      <c r="EB375">
        <v>123.899371</v>
      </c>
      <c r="EC375">
        <v>591</v>
      </c>
      <c r="ED375">
        <v>788</v>
      </c>
      <c r="EE375">
        <v>90.723269999999999</v>
      </c>
      <c r="EF375">
        <v>100</v>
      </c>
      <c r="EG375">
        <v>66.160713999999999</v>
      </c>
      <c r="EH375">
        <v>99.910713999999999</v>
      </c>
      <c r="EI375">
        <v>116.509434</v>
      </c>
      <c r="EJ375">
        <v>175.94339600000001</v>
      </c>
      <c r="EK375">
        <v>577</v>
      </c>
      <c r="EL375">
        <v>636</v>
      </c>
      <c r="EM375">
        <v>741</v>
      </c>
      <c r="EN375">
        <v>1119</v>
      </c>
      <c r="EO375">
        <v>636</v>
      </c>
      <c r="EP375">
        <v>1120</v>
      </c>
      <c r="EQ375">
        <v>59.875539000000003</v>
      </c>
    </row>
    <row r="376" spans="1:147" x14ac:dyDescent="0.25">
      <c r="A376">
        <v>2025</v>
      </c>
      <c r="B376" t="str">
        <f t="shared" si="10"/>
        <v>NE</v>
      </c>
      <c r="C376" t="s">
        <v>1855</v>
      </c>
      <c r="D376" t="s">
        <v>1855</v>
      </c>
      <c r="E376">
        <v>31039</v>
      </c>
      <c r="F376" t="s">
        <v>1845</v>
      </c>
      <c r="G376" t="s">
        <v>1846</v>
      </c>
      <c r="H376" t="s">
        <v>1853</v>
      </c>
      <c r="I376">
        <v>31.06</v>
      </c>
      <c r="J376">
        <v>31.06</v>
      </c>
      <c r="K376" t="s">
        <v>151</v>
      </c>
      <c r="L376">
        <v>1</v>
      </c>
      <c r="M376">
        <v>2017</v>
      </c>
      <c r="O376" t="str">
        <f t="shared" si="11"/>
        <v>Alto fuste</v>
      </c>
      <c r="P376" s="2">
        <v>43032</v>
      </c>
      <c r="Q376" t="s">
        <v>174</v>
      </c>
      <c r="R376" t="s">
        <v>367</v>
      </c>
      <c r="S376" t="s">
        <v>154</v>
      </c>
      <c r="T376" t="s">
        <v>155</v>
      </c>
      <c r="U376" t="s">
        <v>156</v>
      </c>
      <c r="V376" s="2">
        <v>44781</v>
      </c>
      <c r="W376" t="s">
        <v>1848</v>
      </c>
      <c r="X376">
        <v>104.15</v>
      </c>
      <c r="Y376">
        <v>20.2</v>
      </c>
      <c r="Z376">
        <v>7</v>
      </c>
      <c r="AA376">
        <v>15.2</v>
      </c>
      <c r="AB376">
        <v>2</v>
      </c>
      <c r="AC376">
        <v>307.04000000000002</v>
      </c>
      <c r="AD376">
        <v>304.56572409921</v>
      </c>
      <c r="AE376" s="2">
        <v>45740</v>
      </c>
      <c r="AF376">
        <v>89</v>
      </c>
      <c r="AG376">
        <v>7.4140999315537304</v>
      </c>
      <c r="AH376">
        <v>27.1135239450055</v>
      </c>
      <c r="AI376">
        <v>17.6689655172414</v>
      </c>
      <c r="AJ376">
        <v>23.893438479971699</v>
      </c>
      <c r="AK376">
        <v>29</v>
      </c>
      <c r="AL376">
        <v>952.17543227396902</v>
      </c>
      <c r="AM376">
        <v>288.545398692954</v>
      </c>
      <c r="AN376">
        <v>0.30303806306349901</v>
      </c>
      <c r="AO376" t="s">
        <v>367</v>
      </c>
      <c r="AP376" t="s">
        <v>158</v>
      </c>
      <c r="AQ376" t="s">
        <v>530</v>
      </c>
      <c r="AR376">
        <v>9</v>
      </c>
      <c r="AS376">
        <v>0.85695788904657311</v>
      </c>
      <c r="AT376" t="s">
        <v>1856</v>
      </c>
      <c r="AU376" t="s">
        <v>1855</v>
      </c>
      <c r="AV376">
        <v>1155</v>
      </c>
      <c r="AW376">
        <v>674</v>
      </c>
      <c r="AX376">
        <v>364</v>
      </c>
      <c r="AY376">
        <v>108</v>
      </c>
      <c r="AZ376">
        <v>9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30.263000000000002</v>
      </c>
      <c r="BI376">
        <v>16.625819</v>
      </c>
      <c r="BJ376">
        <v>0</v>
      </c>
      <c r="BK376">
        <v>12.130350999999999</v>
      </c>
      <c r="BL376">
        <v>147.14542</v>
      </c>
      <c r="BM376">
        <v>0.72960899999999995</v>
      </c>
      <c r="BN376">
        <v>26.381001000000001</v>
      </c>
      <c r="BO376">
        <v>-0.548373</v>
      </c>
      <c r="BP376">
        <v>1.4074960000000001</v>
      </c>
      <c r="BQ376">
        <v>11.365508999999999</v>
      </c>
      <c r="BR376">
        <v>2.8420010000000002</v>
      </c>
      <c r="BS376">
        <v>24.653998999999999</v>
      </c>
      <c r="BT376">
        <v>16.625819</v>
      </c>
      <c r="BU376">
        <v>6.2966230000000003</v>
      </c>
      <c r="BV376">
        <v>-1.2931589999999999</v>
      </c>
      <c r="BW376">
        <v>-0.83954399999999996</v>
      </c>
      <c r="BX376">
        <v>0.37872600000000001</v>
      </c>
      <c r="BY376">
        <v>-0.205373</v>
      </c>
      <c r="BZ376">
        <v>-0.13333200000000001</v>
      </c>
      <c r="CA376">
        <v>1E-3</v>
      </c>
      <c r="CB376">
        <v>4.0000000000000001E-3</v>
      </c>
      <c r="CC376">
        <v>8.9999999999999993E-3</v>
      </c>
      <c r="CD376">
        <v>2.3E-2</v>
      </c>
      <c r="CE376">
        <v>3.3000000000000002E-2</v>
      </c>
      <c r="CF376">
        <v>6.0199999999999997E-2</v>
      </c>
      <c r="CG376">
        <v>20.93</v>
      </c>
      <c r="CH376">
        <v>24.653998999999999</v>
      </c>
      <c r="CI376">
        <v>25.384599999999999</v>
      </c>
      <c r="CJ376">
        <v>26.149398999999999</v>
      </c>
      <c r="CK376">
        <v>26.414000999999999</v>
      </c>
      <c r="CL376">
        <v>26.676200999999999</v>
      </c>
      <c r="CM376">
        <v>27.469801</v>
      </c>
      <c r="CN376">
        <v>27.929199000000001</v>
      </c>
      <c r="CO376">
        <v>29.133679999999998</v>
      </c>
      <c r="CP376">
        <v>0.54937800000000003</v>
      </c>
      <c r="CQ376">
        <v>20.577558</v>
      </c>
      <c r="CR376">
        <v>22.206451999999999</v>
      </c>
      <c r="CS376">
        <v>21</v>
      </c>
      <c r="CT376">
        <v>947</v>
      </c>
      <c r="CU376">
        <v>226.39134200000001</v>
      </c>
      <c r="CV376">
        <v>35.698413000000002</v>
      </c>
      <c r="CW376">
        <v>185.01655500000001</v>
      </c>
      <c r="CX376">
        <v>34231.125749999999</v>
      </c>
      <c r="CY376">
        <v>0.81724200000000002</v>
      </c>
      <c r="CZ376">
        <v>203.5</v>
      </c>
      <c r="DA376">
        <v>1.525644</v>
      </c>
      <c r="DB376">
        <v>5.1445239999999997</v>
      </c>
      <c r="DC376">
        <v>136.57094699999999</v>
      </c>
      <c r="DD376">
        <v>226.39134200000001</v>
      </c>
      <c r="DE376">
        <v>95.404700000000005</v>
      </c>
      <c r="DF376">
        <v>28.143758999999999</v>
      </c>
      <c r="DG376">
        <v>15.777355</v>
      </c>
      <c r="DH376">
        <v>0.42141499999999998</v>
      </c>
      <c r="DI376">
        <v>0.29499300000000001</v>
      </c>
      <c r="DJ376">
        <v>0.16537299999999999</v>
      </c>
      <c r="DK376">
        <v>25</v>
      </c>
      <c r="DL376">
        <v>36</v>
      </c>
      <c r="DM376">
        <v>48</v>
      </c>
      <c r="DN376">
        <v>72.800003000000004</v>
      </c>
      <c r="DO376">
        <v>87.5</v>
      </c>
      <c r="DP376">
        <v>101</v>
      </c>
      <c r="DQ376">
        <v>144.60000600000001</v>
      </c>
      <c r="DR376">
        <v>188</v>
      </c>
      <c r="DS376">
        <v>223.400024</v>
      </c>
      <c r="DT376">
        <v>268</v>
      </c>
      <c r="DU376">
        <v>291</v>
      </c>
      <c r="DV376">
        <v>327</v>
      </c>
      <c r="DW376">
        <v>446.79992700000003</v>
      </c>
      <c r="DX376">
        <v>692.30004899999994</v>
      </c>
      <c r="DY376">
        <v>811.21972700000003</v>
      </c>
      <c r="DZ376">
        <v>87.537092000000001</v>
      </c>
      <c r="EA376">
        <v>66.926406999999998</v>
      </c>
      <c r="EB376">
        <v>114.688427</v>
      </c>
      <c r="EC376">
        <v>590</v>
      </c>
      <c r="ED376">
        <v>773</v>
      </c>
      <c r="EE376">
        <v>84.421364999999994</v>
      </c>
      <c r="EF376">
        <v>100</v>
      </c>
      <c r="EG376">
        <v>62.510823000000002</v>
      </c>
      <c r="EH376">
        <v>99.480519000000001</v>
      </c>
      <c r="EI376">
        <v>107.121662</v>
      </c>
      <c r="EJ376">
        <v>170.47477699999999</v>
      </c>
      <c r="EK376">
        <v>569</v>
      </c>
      <c r="EL376">
        <v>674</v>
      </c>
      <c r="EM376">
        <v>722</v>
      </c>
      <c r="EN376">
        <v>1149</v>
      </c>
      <c r="EO376">
        <v>674</v>
      </c>
      <c r="EP376">
        <v>1155</v>
      </c>
      <c r="EQ376">
        <v>56.059556999999998</v>
      </c>
    </row>
    <row r="377" spans="1:147" x14ac:dyDescent="0.25">
      <c r="A377">
        <v>2025</v>
      </c>
      <c r="B377" t="str">
        <f t="shared" si="10"/>
        <v>NE</v>
      </c>
      <c r="C377" t="s">
        <v>1857</v>
      </c>
      <c r="D377" t="s">
        <v>1857</v>
      </c>
      <c r="E377">
        <v>25508</v>
      </c>
      <c r="F377" t="s">
        <v>1858</v>
      </c>
      <c r="G377" t="s">
        <v>1846</v>
      </c>
      <c r="H377" t="s">
        <v>1859</v>
      </c>
      <c r="I377">
        <v>32.840000000000003</v>
      </c>
      <c r="J377">
        <v>32.840000000000003</v>
      </c>
      <c r="K377" t="s">
        <v>151</v>
      </c>
      <c r="L377">
        <v>1</v>
      </c>
      <c r="M377">
        <v>2017</v>
      </c>
      <c r="O377" t="str">
        <f t="shared" si="11"/>
        <v>Talhadia</v>
      </c>
      <c r="P377" s="2">
        <v>43064</v>
      </c>
      <c r="Q377" t="s">
        <v>152</v>
      </c>
      <c r="R377" t="s">
        <v>1860</v>
      </c>
      <c r="S377" t="s">
        <v>154</v>
      </c>
      <c r="T377" t="s">
        <v>155</v>
      </c>
      <c r="U377" t="s">
        <v>156</v>
      </c>
      <c r="V377" s="2">
        <v>45740</v>
      </c>
      <c r="W377" t="s">
        <v>1848</v>
      </c>
      <c r="X377">
        <v>67.37</v>
      </c>
      <c r="Y377">
        <v>21.1</v>
      </c>
      <c r="Z377">
        <v>24</v>
      </c>
      <c r="AA377">
        <v>15.5</v>
      </c>
      <c r="AB377">
        <v>1</v>
      </c>
      <c r="AC377">
        <v>327.05</v>
      </c>
      <c r="AD377">
        <v>298.72953703597801</v>
      </c>
      <c r="AE377" s="2">
        <v>45740</v>
      </c>
      <c r="AF377">
        <v>88</v>
      </c>
      <c r="AG377">
        <v>7.3264887063654998</v>
      </c>
      <c r="AH377">
        <v>24.168150875059499</v>
      </c>
      <c r="AI377">
        <v>18.613043478260899</v>
      </c>
      <c r="AJ377">
        <v>22.218102689317401</v>
      </c>
      <c r="AK377">
        <v>23</v>
      </c>
      <c r="AL377">
        <v>769.92721336524301</v>
      </c>
      <c r="AM377">
        <v>249.52580023637</v>
      </c>
      <c r="AN377">
        <v>0.32409011644844699</v>
      </c>
      <c r="AO377" t="s">
        <v>1860</v>
      </c>
      <c r="AP377" t="s">
        <v>264</v>
      </c>
      <c r="AQ377" t="s">
        <v>530</v>
      </c>
      <c r="AR377">
        <v>9.99</v>
      </c>
      <c r="AS377">
        <v>0.76915728615187884</v>
      </c>
      <c r="AT377" t="s">
        <v>1861</v>
      </c>
      <c r="AU377" t="s">
        <v>1857</v>
      </c>
      <c r="AV377">
        <v>1240</v>
      </c>
      <c r="AW377">
        <v>756</v>
      </c>
      <c r="AX377">
        <v>373</v>
      </c>
      <c r="AY377">
        <v>100</v>
      </c>
      <c r="AZ377">
        <v>11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28.783000999999999</v>
      </c>
      <c r="BI377">
        <v>16.364744000000002</v>
      </c>
      <c r="BJ377">
        <v>0</v>
      </c>
      <c r="BK377">
        <v>10.817119999999999</v>
      </c>
      <c r="BL377">
        <v>117.010081</v>
      </c>
      <c r="BM377">
        <v>0.66100099999999995</v>
      </c>
      <c r="BN377">
        <v>24.114498999999999</v>
      </c>
      <c r="BO377">
        <v>-0.68763399999999997</v>
      </c>
      <c r="BP377">
        <v>1.673136</v>
      </c>
      <c r="BQ377">
        <v>9.7658570000000005</v>
      </c>
      <c r="BR377">
        <v>3.7325010000000001</v>
      </c>
      <c r="BS377">
        <v>22.209499000000001</v>
      </c>
      <c r="BT377">
        <v>16.364744000000002</v>
      </c>
      <c r="BU377">
        <v>5.6924400000000004</v>
      </c>
      <c r="BV377">
        <v>-1.320946</v>
      </c>
      <c r="BW377">
        <v>-0.39342199999999999</v>
      </c>
      <c r="BX377">
        <v>0.34784799999999999</v>
      </c>
      <c r="BY377">
        <v>-0.23205300000000001</v>
      </c>
      <c r="BZ377">
        <v>-6.9112999999999994E-2</v>
      </c>
      <c r="CA377">
        <v>1E-3</v>
      </c>
      <c r="CB377">
        <v>8.9999999999999993E-3</v>
      </c>
      <c r="CC377">
        <v>1.7999999999999999E-2</v>
      </c>
      <c r="CD377">
        <v>0.10539999999999999</v>
      </c>
      <c r="CE377">
        <v>0.68925000000000003</v>
      </c>
      <c r="CF377">
        <v>9.1344060000000002</v>
      </c>
      <c r="CG377">
        <v>20.371798999999999</v>
      </c>
      <c r="CH377">
        <v>22.209499000000001</v>
      </c>
      <c r="CI377">
        <v>23.317999</v>
      </c>
      <c r="CJ377">
        <v>24.345299000000001</v>
      </c>
      <c r="CK377">
        <v>24.803749</v>
      </c>
      <c r="CL377">
        <v>25.25</v>
      </c>
      <c r="CM377">
        <v>26.1873</v>
      </c>
      <c r="CN377">
        <v>27.1462</v>
      </c>
      <c r="CO377">
        <v>28.109831</v>
      </c>
      <c r="CP377">
        <v>0.56855599999999995</v>
      </c>
      <c r="CQ377">
        <v>19.614294999999998</v>
      </c>
      <c r="CR377">
        <v>20.993794000000001</v>
      </c>
      <c r="CS377">
        <v>24</v>
      </c>
      <c r="CT377">
        <v>504</v>
      </c>
      <c r="CU377">
        <v>121.283871</v>
      </c>
      <c r="CV377">
        <v>46.857143000000001</v>
      </c>
      <c r="CW377">
        <v>84.207093999999998</v>
      </c>
      <c r="CX377">
        <v>7090.8346060000003</v>
      </c>
      <c r="CY377">
        <v>0.69429799999999997</v>
      </c>
      <c r="CZ377">
        <v>101</v>
      </c>
      <c r="DA377">
        <v>1.6373310000000001</v>
      </c>
      <c r="DB377">
        <v>6.3645909999999999</v>
      </c>
      <c r="DC377">
        <v>62.798751000000003</v>
      </c>
      <c r="DD377">
        <v>121.283871</v>
      </c>
      <c r="DE377">
        <v>43.483215999999999</v>
      </c>
      <c r="DF377">
        <v>11.780571999999999</v>
      </c>
      <c r="DG377">
        <v>6.5914960000000002</v>
      </c>
      <c r="DH377">
        <v>0.35852400000000001</v>
      </c>
      <c r="DI377">
        <v>0.270922</v>
      </c>
      <c r="DJ377">
        <v>0.151587</v>
      </c>
      <c r="DK377">
        <v>26.389999</v>
      </c>
      <c r="DL377">
        <v>32</v>
      </c>
      <c r="DM377">
        <v>39</v>
      </c>
      <c r="DN377">
        <v>51</v>
      </c>
      <c r="DO377">
        <v>57</v>
      </c>
      <c r="DP377">
        <v>64</v>
      </c>
      <c r="DQ377">
        <v>83.600005999999993</v>
      </c>
      <c r="DR377">
        <v>103</v>
      </c>
      <c r="DS377">
        <v>125</v>
      </c>
      <c r="DT377">
        <v>148</v>
      </c>
      <c r="DU377">
        <v>158</v>
      </c>
      <c r="DV377">
        <v>174</v>
      </c>
      <c r="DW377">
        <v>212.099976</v>
      </c>
      <c r="DX377">
        <v>286.050049</v>
      </c>
      <c r="DY377">
        <v>432.92980999999997</v>
      </c>
      <c r="DZ377">
        <v>91.931217000000004</v>
      </c>
      <c r="EA377">
        <v>71.209676999999999</v>
      </c>
      <c r="EB377">
        <v>116.798942</v>
      </c>
      <c r="EC377">
        <v>695</v>
      </c>
      <c r="ED377">
        <v>883</v>
      </c>
      <c r="EE377">
        <v>87.830687999999995</v>
      </c>
      <c r="EF377">
        <v>99.867724999999993</v>
      </c>
      <c r="EG377">
        <v>65.483870999999994</v>
      </c>
      <c r="EH377">
        <v>99.596773999999996</v>
      </c>
      <c r="EI377">
        <v>107.40740700000001</v>
      </c>
      <c r="EJ377">
        <v>163.35978800000001</v>
      </c>
      <c r="EK377">
        <v>664</v>
      </c>
      <c r="EL377">
        <v>755</v>
      </c>
      <c r="EM377">
        <v>812</v>
      </c>
      <c r="EN377">
        <v>1235</v>
      </c>
      <c r="EO377">
        <v>756</v>
      </c>
      <c r="EP377">
        <v>1240</v>
      </c>
      <c r="EQ377">
        <v>57.237606</v>
      </c>
    </row>
    <row r="378" spans="1:147" x14ac:dyDescent="0.25">
      <c r="A378">
        <v>2025</v>
      </c>
      <c r="B378" t="str">
        <f t="shared" si="10"/>
        <v>NE</v>
      </c>
      <c r="C378" t="s">
        <v>1862</v>
      </c>
      <c r="D378" t="s">
        <v>1862</v>
      </c>
      <c r="E378">
        <v>25529</v>
      </c>
      <c r="F378" t="s">
        <v>1858</v>
      </c>
      <c r="G378" t="s">
        <v>1846</v>
      </c>
      <c r="H378" t="s">
        <v>1863</v>
      </c>
      <c r="I378">
        <v>34.53</v>
      </c>
      <c r="J378">
        <v>34.53</v>
      </c>
      <c r="K378" t="s">
        <v>151</v>
      </c>
      <c r="L378">
        <v>1</v>
      </c>
      <c r="M378">
        <v>2017</v>
      </c>
      <c r="O378" t="str">
        <f t="shared" si="11"/>
        <v>Talhadia</v>
      </c>
      <c r="P378" s="2">
        <v>43089</v>
      </c>
      <c r="Q378" t="s">
        <v>174</v>
      </c>
      <c r="R378" t="s">
        <v>165</v>
      </c>
      <c r="S378" t="s">
        <v>154</v>
      </c>
      <c r="T378" t="s">
        <v>155</v>
      </c>
      <c r="U378" t="s">
        <v>156</v>
      </c>
      <c r="V378" s="2">
        <v>44782</v>
      </c>
      <c r="W378" t="s">
        <v>1848</v>
      </c>
      <c r="X378">
        <v>67.37</v>
      </c>
      <c r="Y378">
        <v>19.2</v>
      </c>
      <c r="Z378">
        <v>22</v>
      </c>
      <c r="AA378">
        <v>15.3</v>
      </c>
      <c r="AB378">
        <v>2</v>
      </c>
      <c r="AC378">
        <v>293.76</v>
      </c>
      <c r="AD378">
        <v>272.20360895957998</v>
      </c>
      <c r="AE378" s="2">
        <v>45740</v>
      </c>
      <c r="AF378">
        <v>87</v>
      </c>
      <c r="AG378">
        <v>7.2580424366871998</v>
      </c>
      <c r="AH378">
        <v>26.710900901204599</v>
      </c>
      <c r="AI378">
        <v>20.436842105263199</v>
      </c>
      <c r="AJ378">
        <v>23.971205589044001</v>
      </c>
      <c r="AK378">
        <v>19</v>
      </c>
      <c r="AL378">
        <v>698.00691007081298</v>
      </c>
      <c r="AM378">
        <v>295.260111263282</v>
      </c>
      <c r="AN378">
        <v>0.423004567724592</v>
      </c>
      <c r="AO378" t="s">
        <v>165</v>
      </c>
      <c r="AP378" t="s">
        <v>264</v>
      </c>
      <c r="AQ378" t="s">
        <v>530</v>
      </c>
      <c r="AR378">
        <v>9</v>
      </c>
      <c r="AS378">
        <v>0.62820621906373075</v>
      </c>
      <c r="AT378" t="s">
        <v>1864</v>
      </c>
      <c r="AU378" t="s">
        <v>1862</v>
      </c>
      <c r="AV378">
        <v>1049</v>
      </c>
      <c r="AW378">
        <v>591</v>
      </c>
      <c r="AX378">
        <v>319</v>
      </c>
      <c r="AY378">
        <v>117</v>
      </c>
      <c r="AZ378">
        <v>22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33.536999000000002</v>
      </c>
      <c r="BI378">
        <v>17.618312</v>
      </c>
      <c r="BJ378">
        <v>0</v>
      </c>
      <c r="BK378">
        <v>12.06828</v>
      </c>
      <c r="BL378">
        <v>145.64338699999999</v>
      </c>
      <c r="BM378">
        <v>0.68498499999999996</v>
      </c>
      <c r="BN378">
        <v>27.544</v>
      </c>
      <c r="BO378">
        <v>-0.52680700000000003</v>
      </c>
      <c r="BP378">
        <v>1.591923</v>
      </c>
      <c r="BQ378">
        <v>10.890340999999999</v>
      </c>
      <c r="BR378">
        <v>6.1840000000000002</v>
      </c>
      <c r="BS378">
        <v>23.399000000000001</v>
      </c>
      <c r="BT378">
        <v>17.618312</v>
      </c>
      <c r="BU378">
        <v>6.5846070000000001</v>
      </c>
      <c r="BV378">
        <v>-1.0927169999999999</v>
      </c>
      <c r="BW378">
        <v>-0.57849799999999996</v>
      </c>
      <c r="BX378">
        <v>0.37373699999999999</v>
      </c>
      <c r="BY378">
        <v>-0.16594999999999999</v>
      </c>
      <c r="BZ378">
        <v>-8.7856000000000004E-2</v>
      </c>
      <c r="CA378">
        <v>2E-3</v>
      </c>
      <c r="CB378">
        <v>8.0000000000000002E-3</v>
      </c>
      <c r="CC378">
        <v>1.4999999999999999E-2</v>
      </c>
      <c r="CD378">
        <v>4.2000000000000003E-2</v>
      </c>
      <c r="CE378">
        <v>0.12</v>
      </c>
      <c r="CF378">
        <v>10.2072</v>
      </c>
      <c r="CG378">
        <v>18.252199000000001</v>
      </c>
      <c r="CH378">
        <v>23.399000000000001</v>
      </c>
      <c r="CI378">
        <v>25.677999</v>
      </c>
      <c r="CJ378">
        <v>27.094200000000001</v>
      </c>
      <c r="CK378">
        <v>27.664000000000001</v>
      </c>
      <c r="CL378">
        <v>28.367401000000001</v>
      </c>
      <c r="CM378">
        <v>29.945799000000001</v>
      </c>
      <c r="CN378">
        <v>30.898001000000001</v>
      </c>
      <c r="CO378">
        <v>32.274600999999997</v>
      </c>
      <c r="CP378">
        <v>0.52534000000000003</v>
      </c>
      <c r="CQ378">
        <v>21.352035999999998</v>
      </c>
      <c r="CR378">
        <v>23.042369999999998</v>
      </c>
      <c r="CS378">
        <v>20</v>
      </c>
      <c r="CT378">
        <v>897</v>
      </c>
      <c r="CU378">
        <v>195.029552</v>
      </c>
      <c r="CV378">
        <v>33.920634999999997</v>
      </c>
      <c r="CW378">
        <v>168.219742</v>
      </c>
      <c r="CX378">
        <v>28297.88176</v>
      </c>
      <c r="CY378">
        <v>0.86253500000000005</v>
      </c>
      <c r="CZ378">
        <v>195</v>
      </c>
      <c r="DA378">
        <v>1.582581</v>
      </c>
      <c r="DB378">
        <v>5.4360340000000003</v>
      </c>
      <c r="DC378">
        <v>126.32597199999999</v>
      </c>
      <c r="DD378">
        <v>195.029552</v>
      </c>
      <c r="DE378">
        <v>86.338468000000006</v>
      </c>
      <c r="DF378">
        <v>27.571923000000002</v>
      </c>
      <c r="DG378">
        <v>12.775765</v>
      </c>
      <c r="DH378">
        <v>0.44269399999999998</v>
      </c>
      <c r="DI378">
        <v>0.31934699999999999</v>
      </c>
      <c r="DJ378">
        <v>0.14797299999999999</v>
      </c>
      <c r="DK378">
        <v>26</v>
      </c>
      <c r="DL378">
        <v>34</v>
      </c>
      <c r="DM378">
        <v>41</v>
      </c>
      <c r="DN378">
        <v>55</v>
      </c>
      <c r="DO378">
        <v>67</v>
      </c>
      <c r="DP378">
        <v>79.399994000000007</v>
      </c>
      <c r="DQ378">
        <v>108</v>
      </c>
      <c r="DR378">
        <v>150</v>
      </c>
      <c r="DS378">
        <v>191.79998800000001</v>
      </c>
      <c r="DT378">
        <v>235</v>
      </c>
      <c r="DU378">
        <v>262</v>
      </c>
      <c r="DV378">
        <v>301</v>
      </c>
      <c r="DW378">
        <v>405.20001200000002</v>
      </c>
      <c r="DX378">
        <v>595.99987799999997</v>
      </c>
      <c r="DY378">
        <v>749.16015600000003</v>
      </c>
      <c r="DZ378">
        <v>90.355329999999995</v>
      </c>
      <c r="EA378">
        <v>71.877978999999996</v>
      </c>
      <c r="EB378">
        <v>127.580372</v>
      </c>
      <c r="EC378">
        <v>534</v>
      </c>
      <c r="ED378">
        <v>754</v>
      </c>
      <c r="EE378">
        <v>81.049069000000003</v>
      </c>
      <c r="EF378">
        <v>100</v>
      </c>
      <c r="EG378">
        <v>61.487130999999998</v>
      </c>
      <c r="EH378">
        <v>99.809342000000001</v>
      </c>
      <c r="EI378">
        <v>109.137056</v>
      </c>
      <c r="EJ378">
        <v>177.15736000000001</v>
      </c>
      <c r="EK378">
        <v>479</v>
      </c>
      <c r="EL378">
        <v>591</v>
      </c>
      <c r="EM378">
        <v>645</v>
      </c>
      <c r="EN378">
        <v>1047</v>
      </c>
      <c r="EO378">
        <v>591</v>
      </c>
      <c r="EP378">
        <v>1049</v>
      </c>
      <c r="EQ378">
        <v>53.575308999999997</v>
      </c>
    </row>
    <row r="379" spans="1:147" x14ac:dyDescent="0.25">
      <c r="A379">
        <v>2025</v>
      </c>
      <c r="B379" t="str">
        <f t="shared" si="10"/>
        <v>NE</v>
      </c>
      <c r="C379" t="s">
        <v>1865</v>
      </c>
      <c r="D379" t="s">
        <v>1865</v>
      </c>
      <c r="E379">
        <v>25536</v>
      </c>
      <c r="F379" t="s">
        <v>1858</v>
      </c>
      <c r="G379" t="s">
        <v>1846</v>
      </c>
      <c r="H379" t="s">
        <v>1863</v>
      </c>
      <c r="I379">
        <v>34.53</v>
      </c>
      <c r="J379">
        <v>34.53</v>
      </c>
      <c r="K379" t="s">
        <v>151</v>
      </c>
      <c r="L379">
        <v>1</v>
      </c>
      <c r="M379">
        <v>2017</v>
      </c>
      <c r="O379" t="str">
        <f t="shared" si="11"/>
        <v>Talhadia</v>
      </c>
      <c r="P379" s="2">
        <v>43089</v>
      </c>
      <c r="Q379" t="s">
        <v>174</v>
      </c>
      <c r="R379" t="s">
        <v>165</v>
      </c>
      <c r="S379" t="s">
        <v>154</v>
      </c>
      <c r="T379" t="s">
        <v>155</v>
      </c>
      <c r="U379" t="s">
        <v>156</v>
      </c>
      <c r="V379" s="2">
        <v>45740</v>
      </c>
      <c r="W379" t="s">
        <v>1848</v>
      </c>
      <c r="X379">
        <v>67.37</v>
      </c>
      <c r="Y379">
        <v>19.7</v>
      </c>
      <c r="Z379">
        <v>8</v>
      </c>
      <c r="AA379">
        <v>15.8</v>
      </c>
      <c r="AB379">
        <v>2</v>
      </c>
      <c r="AC379">
        <v>311.26</v>
      </c>
      <c r="AD379">
        <v>308.043073177454</v>
      </c>
      <c r="AE379" s="2">
        <v>45740</v>
      </c>
      <c r="AF379">
        <v>87</v>
      </c>
      <c r="AG379">
        <v>7.2580424366871998</v>
      </c>
      <c r="AH379">
        <v>28.283026800911301</v>
      </c>
      <c r="AI379">
        <v>17.803571428571399</v>
      </c>
      <c r="AJ379">
        <v>24.219031877955501</v>
      </c>
      <c r="AK379">
        <v>28</v>
      </c>
      <c r="AL379">
        <v>908.96379234179506</v>
      </c>
      <c r="AM379">
        <v>336.893879028448</v>
      </c>
      <c r="AN379">
        <v>0.37063509225213098</v>
      </c>
      <c r="AO379" t="s">
        <v>165</v>
      </c>
      <c r="AP379" t="s">
        <v>264</v>
      </c>
      <c r="AQ379" t="s">
        <v>530</v>
      </c>
      <c r="AR379">
        <v>9</v>
      </c>
      <c r="AS379">
        <v>0.81806741310761644</v>
      </c>
      <c r="AT379" t="s">
        <v>1866</v>
      </c>
      <c r="AU379" t="s">
        <v>1865</v>
      </c>
      <c r="AV379">
        <v>1088</v>
      </c>
      <c r="AW379">
        <v>591</v>
      </c>
      <c r="AX379">
        <v>349</v>
      </c>
      <c r="AY379">
        <v>128</v>
      </c>
      <c r="AZ379">
        <v>18</v>
      </c>
      <c r="BA379">
        <v>2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34.498001000000002</v>
      </c>
      <c r="BI379">
        <v>17.035851999999998</v>
      </c>
      <c r="BJ379">
        <v>0</v>
      </c>
      <c r="BK379">
        <v>14.132923999999999</v>
      </c>
      <c r="BL379">
        <v>199.73953900000001</v>
      </c>
      <c r="BM379">
        <v>0.82959899999999998</v>
      </c>
      <c r="BN379">
        <v>30.588999999999999</v>
      </c>
      <c r="BO379">
        <v>-0.172457</v>
      </c>
      <c r="BP379">
        <v>1.208197</v>
      </c>
      <c r="BQ379">
        <v>13.44586</v>
      </c>
      <c r="BR379">
        <v>10.435999000000001</v>
      </c>
      <c r="BS379">
        <v>21.991001000000001</v>
      </c>
      <c r="BT379">
        <v>17.035851999999998</v>
      </c>
      <c r="BU379">
        <v>7.697349</v>
      </c>
      <c r="BV379">
        <v>-0.40291300000000002</v>
      </c>
      <c r="BW379">
        <v>-1.4133869999999999</v>
      </c>
      <c r="BX379">
        <v>0.45183200000000001</v>
      </c>
      <c r="BY379">
        <v>-5.2344000000000002E-2</v>
      </c>
      <c r="BZ379">
        <v>-0.18362000000000001</v>
      </c>
      <c r="CA379">
        <v>2E-3</v>
      </c>
      <c r="CB379">
        <v>1.2999999999999999E-2</v>
      </c>
      <c r="CC379">
        <v>2.9700000000000001E-2</v>
      </c>
      <c r="CD379">
        <v>9.4E-2</v>
      </c>
      <c r="CE379">
        <v>0.17549999999999999</v>
      </c>
      <c r="CF379">
        <v>0.3281</v>
      </c>
      <c r="CG379">
        <v>10.312397000000001</v>
      </c>
      <c r="CH379">
        <v>21.991001000000001</v>
      </c>
      <c r="CI379">
        <v>28.640599999999999</v>
      </c>
      <c r="CJ379">
        <v>30.25</v>
      </c>
      <c r="CK379">
        <v>30.764500000000002</v>
      </c>
      <c r="CL379">
        <v>31.339199000000001</v>
      </c>
      <c r="CM379">
        <v>32.345298999999997</v>
      </c>
      <c r="CN379">
        <v>33.006301999999998</v>
      </c>
      <c r="CO379">
        <v>33.891640000000002</v>
      </c>
      <c r="CP379">
        <v>0.49382100000000001</v>
      </c>
      <c r="CQ379">
        <v>22.130887999999999</v>
      </c>
      <c r="CR379">
        <v>24.472449999999998</v>
      </c>
      <c r="CS379">
        <v>21</v>
      </c>
      <c r="CT379">
        <v>791</v>
      </c>
      <c r="CU379">
        <v>190.87132399999999</v>
      </c>
      <c r="CV379">
        <v>33.222222000000002</v>
      </c>
      <c r="CW379">
        <v>157.461626</v>
      </c>
      <c r="CX379">
        <v>24794.16374</v>
      </c>
      <c r="CY379">
        <v>0.82496199999999997</v>
      </c>
      <c r="CZ379">
        <v>202.25</v>
      </c>
      <c r="DA379">
        <v>1.258516</v>
      </c>
      <c r="DB379">
        <v>4.022278</v>
      </c>
      <c r="DC379">
        <v>125.061689</v>
      </c>
      <c r="DD379">
        <v>190.87132399999999</v>
      </c>
      <c r="DE379">
        <v>83.373304000000005</v>
      </c>
      <c r="DF379">
        <v>24.959201</v>
      </c>
      <c r="DG379">
        <v>8.8052299999999999</v>
      </c>
      <c r="DH379">
        <v>0.43680400000000003</v>
      </c>
      <c r="DI379">
        <v>0.29936699999999999</v>
      </c>
      <c r="DJ379">
        <v>0.105612</v>
      </c>
      <c r="DK379">
        <v>26</v>
      </c>
      <c r="DL379">
        <v>35</v>
      </c>
      <c r="DM379">
        <v>41</v>
      </c>
      <c r="DN379">
        <v>57</v>
      </c>
      <c r="DO379">
        <v>65.75</v>
      </c>
      <c r="DP379">
        <v>75.100005999999993</v>
      </c>
      <c r="DQ379">
        <v>103</v>
      </c>
      <c r="DR379">
        <v>138</v>
      </c>
      <c r="DS379">
        <v>184.20001199999999</v>
      </c>
      <c r="DT379">
        <v>241</v>
      </c>
      <c r="DU379">
        <v>268</v>
      </c>
      <c r="DV379">
        <v>303</v>
      </c>
      <c r="DW379">
        <v>425</v>
      </c>
      <c r="DX379">
        <v>536</v>
      </c>
      <c r="DY379">
        <v>655.13000499999998</v>
      </c>
      <c r="DZ379">
        <v>80.879864999999995</v>
      </c>
      <c r="EA379">
        <v>63.602941000000001</v>
      </c>
      <c r="EB379">
        <v>117.089679</v>
      </c>
      <c r="EC379">
        <v>478</v>
      </c>
      <c r="ED379">
        <v>692</v>
      </c>
      <c r="EE379">
        <v>72.758037000000002</v>
      </c>
      <c r="EF379">
        <v>100</v>
      </c>
      <c r="EG379">
        <v>52.665441000000001</v>
      </c>
      <c r="EH379">
        <v>99.908088000000006</v>
      </c>
      <c r="EI379">
        <v>96.954314999999994</v>
      </c>
      <c r="EJ379">
        <v>183.92554999999999</v>
      </c>
      <c r="EK379">
        <v>430</v>
      </c>
      <c r="EL379">
        <v>591</v>
      </c>
      <c r="EM379">
        <v>573</v>
      </c>
      <c r="EN379">
        <v>1087</v>
      </c>
      <c r="EO379">
        <v>591</v>
      </c>
      <c r="EP379">
        <v>1088</v>
      </c>
      <c r="EQ379">
        <v>49.228363999999999</v>
      </c>
    </row>
    <row r="380" spans="1:147" x14ac:dyDescent="0.25">
      <c r="A380">
        <v>2025</v>
      </c>
      <c r="B380" t="str">
        <f t="shared" si="10"/>
        <v>NE</v>
      </c>
      <c r="C380" t="s">
        <v>1867</v>
      </c>
      <c r="D380" t="s">
        <v>1867</v>
      </c>
      <c r="E380">
        <v>31038</v>
      </c>
      <c r="F380" t="s">
        <v>1858</v>
      </c>
      <c r="G380" t="s">
        <v>1846</v>
      </c>
      <c r="H380" t="s">
        <v>1863</v>
      </c>
      <c r="I380">
        <v>34.53</v>
      </c>
      <c r="J380">
        <v>34.53</v>
      </c>
      <c r="K380" t="s">
        <v>151</v>
      </c>
      <c r="L380">
        <v>1</v>
      </c>
      <c r="M380">
        <v>2017</v>
      </c>
      <c r="O380" t="str">
        <f t="shared" si="11"/>
        <v>Talhadia</v>
      </c>
      <c r="P380" s="2">
        <v>43089</v>
      </c>
      <c r="Q380" t="s">
        <v>174</v>
      </c>
      <c r="R380" t="s">
        <v>165</v>
      </c>
      <c r="S380" t="s">
        <v>154</v>
      </c>
      <c r="T380" t="s">
        <v>155</v>
      </c>
      <c r="U380" t="s">
        <v>156</v>
      </c>
      <c r="V380" s="2">
        <v>44783</v>
      </c>
      <c r="W380" t="s">
        <v>1848</v>
      </c>
      <c r="X380">
        <v>67.37</v>
      </c>
      <c r="Y380">
        <v>21.4</v>
      </c>
      <c r="Z380">
        <v>10</v>
      </c>
      <c r="AA380">
        <v>14.8</v>
      </c>
      <c r="AB380">
        <v>2</v>
      </c>
      <c r="AC380">
        <v>316.72000000000003</v>
      </c>
      <c r="AD380">
        <v>311.71830541812102</v>
      </c>
      <c r="AE380" s="2">
        <v>45740</v>
      </c>
      <c r="AF380">
        <v>87</v>
      </c>
      <c r="AG380">
        <v>7.2580424366871998</v>
      </c>
      <c r="AH380">
        <v>24.758734267151102</v>
      </c>
      <c r="AI380">
        <v>20.5818181818182</v>
      </c>
      <c r="AJ380">
        <v>24.984222837815501</v>
      </c>
      <c r="AK380">
        <v>22</v>
      </c>
      <c r="AL380">
        <v>705.76541760967496</v>
      </c>
      <c r="AM380">
        <v>287.70826921230002</v>
      </c>
      <c r="AN380">
        <v>0.40765424606199402</v>
      </c>
      <c r="AO380" t="s">
        <v>165</v>
      </c>
      <c r="AP380" t="s">
        <v>264</v>
      </c>
      <c r="AQ380" t="s">
        <v>530</v>
      </c>
      <c r="AR380">
        <v>9</v>
      </c>
      <c r="AS380">
        <v>0.63518887584870631</v>
      </c>
      <c r="AT380" t="s">
        <v>1868</v>
      </c>
      <c r="AU380" t="s">
        <v>1867</v>
      </c>
      <c r="AV380">
        <v>1028</v>
      </c>
      <c r="AW380">
        <v>622</v>
      </c>
      <c r="AX380">
        <v>316</v>
      </c>
      <c r="AY380">
        <v>76</v>
      </c>
      <c r="AZ380">
        <v>14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32.653998999999999</v>
      </c>
      <c r="BI380">
        <v>18.658833000000001</v>
      </c>
      <c r="BJ380">
        <v>0</v>
      </c>
      <c r="BK380">
        <v>12.677141000000001</v>
      </c>
      <c r="BL380">
        <v>160.70991100000001</v>
      </c>
      <c r="BM380">
        <v>0.67941799999999997</v>
      </c>
      <c r="BN380">
        <v>29.069749999999999</v>
      </c>
      <c r="BO380">
        <v>-0.60233899999999996</v>
      </c>
      <c r="BP380">
        <v>1.5837939999999999</v>
      </c>
      <c r="BQ380">
        <v>11.579015999999999</v>
      </c>
      <c r="BR380">
        <v>4.5394990000000002</v>
      </c>
      <c r="BS380">
        <v>26.041</v>
      </c>
      <c r="BT380">
        <v>18.658833000000001</v>
      </c>
      <c r="BU380">
        <v>6.755598</v>
      </c>
      <c r="BV380">
        <v>-1.44082</v>
      </c>
      <c r="BW380">
        <v>-0.68713900000000006</v>
      </c>
      <c r="BX380">
        <v>0.36205900000000002</v>
      </c>
      <c r="BY380">
        <v>-0.213278</v>
      </c>
      <c r="BZ380">
        <v>-0.101714</v>
      </c>
      <c r="CA380">
        <v>1E-3</v>
      </c>
      <c r="CB380">
        <v>8.9999999999999993E-3</v>
      </c>
      <c r="CC380">
        <v>1.7000000000000001E-2</v>
      </c>
      <c r="CD380">
        <v>4.2000000000000003E-2</v>
      </c>
      <c r="CE380">
        <v>7.8750000000000001E-2</v>
      </c>
      <c r="CF380">
        <v>9.6944049999999997</v>
      </c>
      <c r="CG380">
        <v>21.076391000000001</v>
      </c>
      <c r="CH380">
        <v>26.041</v>
      </c>
      <c r="CI380">
        <v>27.588799000000002</v>
      </c>
      <c r="CJ380">
        <v>28.660799000000001</v>
      </c>
      <c r="CK380">
        <v>29.148499999999999</v>
      </c>
      <c r="CL380">
        <v>29.631601</v>
      </c>
      <c r="CM380">
        <v>30.503201000000001</v>
      </c>
      <c r="CN380">
        <v>31.118299</v>
      </c>
      <c r="CO380">
        <v>31.845600000000001</v>
      </c>
      <c r="CP380">
        <v>0.57140999999999997</v>
      </c>
      <c r="CQ380">
        <v>22.554503</v>
      </c>
      <c r="CR380">
        <v>24.248203</v>
      </c>
      <c r="CS380">
        <v>20</v>
      </c>
      <c r="CT380">
        <v>908</v>
      </c>
      <c r="CU380">
        <v>231.17607000000001</v>
      </c>
      <c r="CV380">
        <v>34.095238000000002</v>
      </c>
      <c r="CW380">
        <v>193.238226</v>
      </c>
      <c r="CX380">
        <v>37341.011810000004</v>
      </c>
      <c r="CY380">
        <v>0.83589199999999997</v>
      </c>
      <c r="CZ380">
        <v>220</v>
      </c>
      <c r="DA380">
        <v>1.395308</v>
      </c>
      <c r="DB380">
        <v>4.559666</v>
      </c>
      <c r="DC380">
        <v>145.54243399999999</v>
      </c>
      <c r="DD380">
        <v>231.17607000000001</v>
      </c>
      <c r="DE380">
        <v>100.92921</v>
      </c>
      <c r="DF380">
        <v>29.131695000000001</v>
      </c>
      <c r="DG380">
        <v>14.689759</v>
      </c>
      <c r="DH380">
        <v>0.43658999999999998</v>
      </c>
      <c r="DI380">
        <v>0.28863499999999997</v>
      </c>
      <c r="DJ380">
        <v>0.14554500000000001</v>
      </c>
      <c r="DK380">
        <v>25</v>
      </c>
      <c r="DL380">
        <v>33</v>
      </c>
      <c r="DM380">
        <v>41</v>
      </c>
      <c r="DN380">
        <v>63</v>
      </c>
      <c r="DO380">
        <v>82</v>
      </c>
      <c r="DP380">
        <v>103</v>
      </c>
      <c r="DQ380">
        <v>139</v>
      </c>
      <c r="DR380">
        <v>185.5</v>
      </c>
      <c r="DS380">
        <v>231</v>
      </c>
      <c r="DT380">
        <v>282</v>
      </c>
      <c r="DU380">
        <v>302</v>
      </c>
      <c r="DV380">
        <v>333.59997600000003</v>
      </c>
      <c r="DW380">
        <v>522.29998799999998</v>
      </c>
      <c r="DX380">
        <v>683.65002400000003</v>
      </c>
      <c r="DY380">
        <v>836.37988299999995</v>
      </c>
      <c r="DZ380">
        <v>85.530546999999999</v>
      </c>
      <c r="EA380">
        <v>71.692606999999995</v>
      </c>
      <c r="EB380">
        <v>118.48874600000001</v>
      </c>
      <c r="EC380">
        <v>532</v>
      </c>
      <c r="ED380">
        <v>737</v>
      </c>
      <c r="EE380">
        <v>79.581993999999995</v>
      </c>
      <c r="EF380">
        <v>99.839228000000006</v>
      </c>
      <c r="EG380">
        <v>61.867704000000003</v>
      </c>
      <c r="EH380">
        <v>99.610894999999999</v>
      </c>
      <c r="EI380">
        <v>102.250804</v>
      </c>
      <c r="EJ380">
        <v>164.630225</v>
      </c>
      <c r="EK380">
        <v>495</v>
      </c>
      <c r="EL380">
        <v>621</v>
      </c>
      <c r="EM380">
        <v>636</v>
      </c>
      <c r="EN380">
        <v>1024</v>
      </c>
      <c r="EO380">
        <v>622</v>
      </c>
      <c r="EP380">
        <v>1028</v>
      </c>
      <c r="EQ380">
        <v>57.573642</v>
      </c>
    </row>
    <row r="381" spans="1:147" x14ac:dyDescent="0.25">
      <c r="A381">
        <v>2025</v>
      </c>
      <c r="B381" t="str">
        <f t="shared" si="10"/>
        <v>NE</v>
      </c>
      <c r="C381" t="s">
        <v>1869</v>
      </c>
      <c r="D381" t="s">
        <v>1869</v>
      </c>
      <c r="E381">
        <v>27065</v>
      </c>
      <c r="F381" t="s">
        <v>1870</v>
      </c>
      <c r="G381" t="s">
        <v>1871</v>
      </c>
      <c r="H381" t="s">
        <v>1872</v>
      </c>
      <c r="I381">
        <v>66.209999999999994</v>
      </c>
      <c r="J381">
        <v>66.209999999999994</v>
      </c>
      <c r="K381" t="s">
        <v>151</v>
      </c>
      <c r="L381">
        <v>1</v>
      </c>
      <c r="M381">
        <v>2019</v>
      </c>
      <c r="O381" t="str">
        <f t="shared" si="11"/>
        <v>Talhadia</v>
      </c>
      <c r="P381" s="2">
        <v>43549</v>
      </c>
      <c r="Q381" t="s">
        <v>322</v>
      </c>
      <c r="R381" t="s">
        <v>164</v>
      </c>
      <c r="S381" t="s">
        <v>154</v>
      </c>
      <c r="T381" t="s">
        <v>155</v>
      </c>
      <c r="U381" t="s">
        <v>156</v>
      </c>
      <c r="V381" s="2">
        <v>45742</v>
      </c>
      <c r="W381" t="s">
        <v>1873</v>
      </c>
      <c r="X381">
        <v>330.74</v>
      </c>
      <c r="Y381">
        <v>20.6</v>
      </c>
      <c r="Z381">
        <v>25</v>
      </c>
      <c r="AA381">
        <v>16.2</v>
      </c>
      <c r="AB381">
        <v>1</v>
      </c>
      <c r="AC381">
        <v>333.72</v>
      </c>
      <c r="AD381">
        <v>302.40696962772302</v>
      </c>
      <c r="AE381" s="2">
        <v>45742</v>
      </c>
      <c r="AF381">
        <v>72</v>
      </c>
      <c r="AG381">
        <v>6.0041067761807003</v>
      </c>
      <c r="AH381">
        <v>24.0112710514253</v>
      </c>
      <c r="AI381">
        <v>15.3125</v>
      </c>
      <c r="AJ381">
        <v>20.333863803129599</v>
      </c>
      <c r="AK381">
        <v>32</v>
      </c>
      <c r="AL381">
        <v>1058.17666965128</v>
      </c>
      <c r="AM381">
        <v>231.93187517125699</v>
      </c>
      <c r="AN381">
        <v>0.219180673533173</v>
      </c>
      <c r="AO381" t="s">
        <v>164</v>
      </c>
      <c r="AP381" t="s">
        <v>264</v>
      </c>
      <c r="AQ381" t="s">
        <v>530</v>
      </c>
      <c r="AR381">
        <v>9.99</v>
      </c>
      <c r="AS381">
        <v>1.05711849298163</v>
      </c>
      <c r="AT381" t="s">
        <v>1874</v>
      </c>
      <c r="AU381" t="s">
        <v>1869</v>
      </c>
      <c r="AV381">
        <v>1247</v>
      </c>
      <c r="AW381">
        <v>810</v>
      </c>
      <c r="AX381">
        <v>364</v>
      </c>
      <c r="AY381">
        <v>69</v>
      </c>
      <c r="AZ381">
        <v>4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29.363001000000001</v>
      </c>
      <c r="BI381">
        <v>15.700338</v>
      </c>
      <c r="BJ381">
        <v>0</v>
      </c>
      <c r="BK381">
        <v>11.611606999999999</v>
      </c>
      <c r="BL381">
        <v>134.82941700000001</v>
      </c>
      <c r="BM381">
        <v>0.73957700000000004</v>
      </c>
      <c r="BN381">
        <v>25.581999</v>
      </c>
      <c r="BO381">
        <v>-0.48165599999999997</v>
      </c>
      <c r="BP381">
        <v>1.377462</v>
      </c>
      <c r="BQ381">
        <v>10.913074</v>
      </c>
      <c r="BR381">
        <v>4.2420010000000001</v>
      </c>
      <c r="BS381">
        <v>22.524000000000001</v>
      </c>
      <c r="BT381">
        <v>15.700338</v>
      </c>
      <c r="BU381">
        <v>6.1567999999999996</v>
      </c>
      <c r="BV381">
        <v>-1.041007</v>
      </c>
      <c r="BW381">
        <v>-0.86308499999999999</v>
      </c>
      <c r="BX381">
        <v>0.39214399999999999</v>
      </c>
      <c r="BY381">
        <v>-0.16908300000000001</v>
      </c>
      <c r="BZ381">
        <v>-0.140184</v>
      </c>
      <c r="CA381">
        <v>1E-3</v>
      </c>
      <c r="CB381">
        <v>8.9999999999999993E-3</v>
      </c>
      <c r="CC381">
        <v>1.7999999999999999E-2</v>
      </c>
      <c r="CD381">
        <v>5.0999999999999997E-2</v>
      </c>
      <c r="CE381">
        <v>9.4E-2</v>
      </c>
      <c r="CF381">
        <v>0.57139899999999999</v>
      </c>
      <c r="CG381">
        <v>17.491598</v>
      </c>
      <c r="CH381">
        <v>22.524000000000001</v>
      </c>
      <c r="CI381">
        <v>24.021000000000001</v>
      </c>
      <c r="CJ381">
        <v>25.186599999999999</v>
      </c>
      <c r="CK381">
        <v>25.675999000000001</v>
      </c>
      <c r="CL381">
        <v>26.047799999999999</v>
      </c>
      <c r="CM381">
        <v>26.742401000000001</v>
      </c>
      <c r="CN381">
        <v>27.260899999999999</v>
      </c>
      <c r="CO381">
        <v>28.248761999999999</v>
      </c>
      <c r="CP381">
        <v>0.53469800000000001</v>
      </c>
      <c r="CQ381">
        <v>19.524905</v>
      </c>
      <c r="CR381">
        <v>21.150971999999999</v>
      </c>
      <c r="CS381">
        <v>21</v>
      </c>
      <c r="CT381">
        <v>574</v>
      </c>
      <c r="CU381">
        <v>189.00882100000001</v>
      </c>
      <c r="CV381">
        <v>38.555556000000003</v>
      </c>
      <c r="CW381">
        <v>123.743031</v>
      </c>
      <c r="CX381">
        <v>15312.337799999999</v>
      </c>
      <c r="CY381">
        <v>0.654694</v>
      </c>
      <c r="CZ381">
        <v>195</v>
      </c>
      <c r="DA381">
        <v>0.61407199999999995</v>
      </c>
      <c r="DB381">
        <v>2.6798150000000001</v>
      </c>
      <c r="DC381">
        <v>102.79048299999999</v>
      </c>
      <c r="DD381">
        <v>189.00882100000001</v>
      </c>
      <c r="DE381">
        <v>69.628726</v>
      </c>
      <c r="DF381">
        <v>9.7625740000000008</v>
      </c>
      <c r="DG381">
        <v>3.4126069999999999</v>
      </c>
      <c r="DH381">
        <v>0.36838900000000002</v>
      </c>
      <c r="DI381">
        <v>0.140209</v>
      </c>
      <c r="DJ381">
        <v>4.9010999999999999E-2</v>
      </c>
      <c r="DK381">
        <v>26.459999</v>
      </c>
      <c r="DL381">
        <v>35</v>
      </c>
      <c r="DM381">
        <v>41</v>
      </c>
      <c r="DN381">
        <v>62.199997000000003</v>
      </c>
      <c r="DO381">
        <v>75</v>
      </c>
      <c r="DP381">
        <v>92.799987999999999</v>
      </c>
      <c r="DQ381">
        <v>137</v>
      </c>
      <c r="DR381">
        <v>179</v>
      </c>
      <c r="DS381">
        <v>218</v>
      </c>
      <c r="DT381">
        <v>254</v>
      </c>
      <c r="DU381">
        <v>270</v>
      </c>
      <c r="DV381">
        <v>289</v>
      </c>
      <c r="DW381">
        <v>362.800049</v>
      </c>
      <c r="DX381">
        <v>427.399902</v>
      </c>
      <c r="DY381">
        <v>503.54003899999998</v>
      </c>
      <c r="DZ381">
        <v>83.703704000000002</v>
      </c>
      <c r="EA381">
        <v>66.399358000000007</v>
      </c>
      <c r="EB381">
        <v>102.222222</v>
      </c>
      <c r="EC381">
        <v>678</v>
      </c>
      <c r="ED381">
        <v>828</v>
      </c>
      <c r="EE381">
        <v>79.259259</v>
      </c>
      <c r="EF381">
        <v>99.876542999999998</v>
      </c>
      <c r="EG381">
        <v>60.545309000000003</v>
      </c>
      <c r="EH381">
        <v>99.759422999999998</v>
      </c>
      <c r="EI381">
        <v>93.209877000000006</v>
      </c>
      <c r="EJ381">
        <v>153.58024700000001</v>
      </c>
      <c r="EK381">
        <v>642</v>
      </c>
      <c r="EL381">
        <v>809</v>
      </c>
      <c r="EM381">
        <v>755</v>
      </c>
      <c r="EN381">
        <v>1244</v>
      </c>
      <c r="EO381">
        <v>810</v>
      </c>
      <c r="EP381">
        <v>1247</v>
      </c>
      <c r="EQ381">
        <v>54.598097000000003</v>
      </c>
    </row>
    <row r="382" spans="1:147" x14ac:dyDescent="0.25">
      <c r="A382">
        <v>2025</v>
      </c>
      <c r="B382" t="str">
        <f t="shared" si="10"/>
        <v>NE</v>
      </c>
      <c r="C382" t="s">
        <v>1875</v>
      </c>
      <c r="D382" t="s">
        <v>1875</v>
      </c>
      <c r="E382">
        <v>28756</v>
      </c>
      <c r="F382" t="s">
        <v>1876</v>
      </c>
      <c r="G382" t="s">
        <v>1877</v>
      </c>
      <c r="H382" t="s">
        <v>1878</v>
      </c>
      <c r="I382">
        <v>64.84</v>
      </c>
      <c r="J382">
        <v>64.84</v>
      </c>
      <c r="K382" t="s">
        <v>151</v>
      </c>
      <c r="L382">
        <v>1</v>
      </c>
      <c r="M382">
        <v>2021</v>
      </c>
      <c r="O382" t="str">
        <f t="shared" si="11"/>
        <v>Talhadia</v>
      </c>
      <c r="P382" s="2">
        <v>44494</v>
      </c>
      <c r="Q382" t="s">
        <v>174</v>
      </c>
      <c r="R382" t="s">
        <v>314</v>
      </c>
      <c r="S382" t="s">
        <v>154</v>
      </c>
      <c r="T382" t="s">
        <v>155</v>
      </c>
      <c r="U382" t="s">
        <v>156</v>
      </c>
      <c r="V382" s="2">
        <v>44784</v>
      </c>
      <c r="W382" t="s">
        <v>1879</v>
      </c>
      <c r="X382">
        <v>137.38</v>
      </c>
      <c r="Y382">
        <v>20.8</v>
      </c>
      <c r="Z382">
        <v>30</v>
      </c>
      <c r="AA382">
        <v>15.2</v>
      </c>
      <c r="AB382">
        <v>2</v>
      </c>
      <c r="AC382">
        <v>316.16000000000003</v>
      </c>
      <c r="AD382">
        <v>273.635798519547</v>
      </c>
      <c r="AE382" s="2">
        <v>45742</v>
      </c>
      <c r="AF382">
        <v>41</v>
      </c>
      <c r="AG382">
        <v>3.4168377823408602</v>
      </c>
      <c r="AH382">
        <v>21.7136458991612</v>
      </c>
      <c r="AI382">
        <v>14.314285714285701</v>
      </c>
      <c r="AJ382">
        <v>13.152320464064699</v>
      </c>
      <c r="AK382">
        <v>21</v>
      </c>
      <c r="AL382">
        <v>767.44344539772896</v>
      </c>
      <c r="AM382">
        <v>135.541588507672</v>
      </c>
      <c r="AN382">
        <v>0.176614432399546</v>
      </c>
      <c r="AO382" t="s">
        <v>314</v>
      </c>
      <c r="AP382" t="s">
        <v>264</v>
      </c>
      <c r="AQ382" t="s">
        <v>530</v>
      </c>
      <c r="AR382">
        <v>9</v>
      </c>
      <c r="AS382">
        <v>0.69069910085795627</v>
      </c>
      <c r="AT382" t="s">
        <v>1880</v>
      </c>
      <c r="AU382" t="s">
        <v>1875</v>
      </c>
      <c r="AV382">
        <v>965</v>
      </c>
      <c r="AW382">
        <v>493</v>
      </c>
      <c r="AX382">
        <v>306</v>
      </c>
      <c r="AY382">
        <v>140</v>
      </c>
      <c r="AZ382">
        <v>25</v>
      </c>
      <c r="BA382">
        <v>1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1E-3</v>
      </c>
      <c r="BH382">
        <v>23.636998999999999</v>
      </c>
      <c r="BI382">
        <v>13.705850999999999</v>
      </c>
      <c r="BJ382">
        <v>1E-3</v>
      </c>
      <c r="BK382">
        <v>8.6157819999999994</v>
      </c>
      <c r="BL382">
        <v>74.231702999999996</v>
      </c>
      <c r="BM382">
        <v>0.62862099999999999</v>
      </c>
      <c r="BN382">
        <v>17.832999000000001</v>
      </c>
      <c r="BO382">
        <v>-0.77331499999999997</v>
      </c>
      <c r="BP382">
        <v>1.8056680000000001</v>
      </c>
      <c r="BQ382">
        <v>7.6875109999999998</v>
      </c>
      <c r="BR382">
        <v>2.8100010000000002</v>
      </c>
      <c r="BS382">
        <v>17.875</v>
      </c>
      <c r="BT382">
        <v>13.705850999999999</v>
      </c>
      <c r="BU382">
        <v>4.4951080000000001</v>
      </c>
      <c r="BV382">
        <v>-1.149931</v>
      </c>
      <c r="BW382">
        <v>-0.14579800000000001</v>
      </c>
      <c r="BX382">
        <v>0.32796999999999998</v>
      </c>
      <c r="BY382">
        <v>-0.25581799999999999</v>
      </c>
      <c r="BZ382">
        <v>-3.2434999999999999E-2</v>
      </c>
      <c r="CA382">
        <v>2E-3</v>
      </c>
      <c r="CB382">
        <v>1.2E-2</v>
      </c>
      <c r="CC382">
        <v>3.4799999999999998E-2</v>
      </c>
      <c r="CD382">
        <v>0.14199999999999999</v>
      </c>
      <c r="CE382">
        <v>2.3420000000000001</v>
      </c>
      <c r="CF382">
        <v>9.661448</v>
      </c>
      <c r="CG382">
        <v>16.753799000000001</v>
      </c>
      <c r="CH382">
        <v>17.875999</v>
      </c>
      <c r="CI382">
        <v>18.946199</v>
      </c>
      <c r="CJ382">
        <v>19.6996</v>
      </c>
      <c r="CK382">
        <v>20.174999</v>
      </c>
      <c r="CL382">
        <v>20.594601000000001</v>
      </c>
      <c r="CM382">
        <v>21.5578</v>
      </c>
      <c r="CN382">
        <v>22.127800000000001</v>
      </c>
      <c r="CO382">
        <v>22.975038999999999</v>
      </c>
      <c r="CP382">
        <v>0.57982999999999996</v>
      </c>
      <c r="CQ382">
        <v>16.186572000000002</v>
      </c>
      <c r="CR382">
        <v>17.246282999999998</v>
      </c>
      <c r="CS382">
        <v>23</v>
      </c>
      <c r="CT382">
        <v>430</v>
      </c>
      <c r="CU382">
        <v>109.095337</v>
      </c>
      <c r="CV382">
        <v>48.841270000000002</v>
      </c>
      <c r="CW382">
        <v>71.657865999999999</v>
      </c>
      <c r="CX382">
        <v>5134.8498229999996</v>
      </c>
      <c r="CY382">
        <v>0.656837</v>
      </c>
      <c r="CZ382">
        <v>85</v>
      </c>
      <c r="DA382">
        <v>1.651443</v>
      </c>
      <c r="DB382">
        <v>6.5064469999999996</v>
      </c>
      <c r="DC382">
        <v>54.132463999999999</v>
      </c>
      <c r="DD382">
        <v>109.095337</v>
      </c>
      <c r="DE382">
        <v>37.008274999999998</v>
      </c>
      <c r="DF382">
        <v>10.345024</v>
      </c>
      <c r="DG382">
        <v>5.4005850000000004</v>
      </c>
      <c r="DH382">
        <v>0.339229</v>
      </c>
      <c r="DI382">
        <v>0.27953299999999998</v>
      </c>
      <c r="DJ382">
        <v>0.145929</v>
      </c>
      <c r="DK382">
        <v>28</v>
      </c>
      <c r="DL382">
        <v>34</v>
      </c>
      <c r="DM382">
        <v>40</v>
      </c>
      <c r="DN382">
        <v>50</v>
      </c>
      <c r="DO382">
        <v>55</v>
      </c>
      <c r="DP382">
        <v>61</v>
      </c>
      <c r="DQ382">
        <v>75</v>
      </c>
      <c r="DR382">
        <v>90</v>
      </c>
      <c r="DS382">
        <v>110.400024</v>
      </c>
      <c r="DT382">
        <v>131</v>
      </c>
      <c r="DU382">
        <v>140</v>
      </c>
      <c r="DV382">
        <v>156</v>
      </c>
      <c r="DW382">
        <v>194</v>
      </c>
      <c r="DX382">
        <v>240</v>
      </c>
      <c r="DY382">
        <v>388.43994099999998</v>
      </c>
      <c r="DZ382">
        <v>93.509128000000004</v>
      </c>
      <c r="EA382">
        <v>73.471502999999998</v>
      </c>
      <c r="EB382">
        <v>143.81338700000001</v>
      </c>
      <c r="EC382">
        <v>461</v>
      </c>
      <c r="ED382">
        <v>709</v>
      </c>
      <c r="EE382">
        <v>91.886409999999998</v>
      </c>
      <c r="EF382">
        <v>100</v>
      </c>
      <c r="EG382">
        <v>69.637305999999995</v>
      </c>
      <c r="EH382">
        <v>99.689119000000005</v>
      </c>
      <c r="EI382">
        <v>136.30831599999999</v>
      </c>
      <c r="EJ382">
        <v>195.131846</v>
      </c>
      <c r="EK382">
        <v>453</v>
      </c>
      <c r="EL382">
        <v>493</v>
      </c>
      <c r="EM382">
        <v>672</v>
      </c>
      <c r="EN382">
        <v>962</v>
      </c>
      <c r="EO382">
        <v>493</v>
      </c>
      <c r="EP382">
        <v>965</v>
      </c>
      <c r="EQ382">
        <v>58.636794000000002</v>
      </c>
    </row>
    <row r="383" spans="1:147" x14ac:dyDescent="0.25">
      <c r="A383">
        <v>2025</v>
      </c>
      <c r="B383" t="str">
        <f t="shared" si="10"/>
        <v>NE</v>
      </c>
      <c r="C383" t="s">
        <v>1881</v>
      </c>
      <c r="D383" t="s">
        <v>1881</v>
      </c>
      <c r="E383">
        <v>28757</v>
      </c>
      <c r="F383" t="s">
        <v>1876</v>
      </c>
      <c r="G383" t="s">
        <v>1877</v>
      </c>
      <c r="H383" t="s">
        <v>1878</v>
      </c>
      <c r="I383">
        <v>64.84</v>
      </c>
      <c r="J383">
        <v>64.84</v>
      </c>
      <c r="K383" t="s">
        <v>151</v>
      </c>
      <c r="L383">
        <v>1</v>
      </c>
      <c r="M383">
        <v>2021</v>
      </c>
      <c r="O383" t="str">
        <f t="shared" si="11"/>
        <v>Talhadia</v>
      </c>
      <c r="P383" s="2">
        <v>44494</v>
      </c>
      <c r="Q383" t="s">
        <v>174</v>
      </c>
      <c r="R383" t="s">
        <v>314</v>
      </c>
      <c r="S383" t="s">
        <v>154</v>
      </c>
      <c r="T383" t="s">
        <v>155</v>
      </c>
      <c r="U383" t="s">
        <v>156</v>
      </c>
      <c r="V383" s="2">
        <v>45742</v>
      </c>
      <c r="W383" t="s">
        <v>1879</v>
      </c>
      <c r="X383">
        <v>137.38</v>
      </c>
      <c r="Y383">
        <v>19.399999999999999</v>
      </c>
      <c r="Z383">
        <v>33</v>
      </c>
      <c r="AA383">
        <v>16.2</v>
      </c>
      <c r="AB383">
        <v>2</v>
      </c>
      <c r="AC383">
        <v>314.27999999999997</v>
      </c>
      <c r="AD383">
        <v>263.41682187190202</v>
      </c>
      <c r="AE383" s="2">
        <v>45742</v>
      </c>
      <c r="AF383">
        <v>41</v>
      </c>
      <c r="AG383">
        <v>3.4168377823408602</v>
      </c>
      <c r="AH383">
        <v>24.9781358207705</v>
      </c>
      <c r="AI383">
        <v>14.3708333333333</v>
      </c>
      <c r="AJ383">
        <v>15.192309738906401</v>
      </c>
      <c r="AK383">
        <v>24</v>
      </c>
      <c r="AL383">
        <v>911.10354416435302</v>
      </c>
      <c r="AM383">
        <v>178.46286708650601</v>
      </c>
      <c r="AN383">
        <v>0.19587550529198</v>
      </c>
      <c r="AO383" t="s">
        <v>314</v>
      </c>
      <c r="AP383" t="s">
        <v>264</v>
      </c>
      <c r="AQ383" t="s">
        <v>530</v>
      </c>
      <c r="AR383">
        <v>9</v>
      </c>
      <c r="AS383">
        <v>0.81999318974791768</v>
      </c>
      <c r="AT383" t="s">
        <v>1882</v>
      </c>
      <c r="AU383" t="s">
        <v>1881</v>
      </c>
      <c r="AV383">
        <v>1030</v>
      </c>
      <c r="AW383">
        <v>512</v>
      </c>
      <c r="AX383">
        <v>351</v>
      </c>
      <c r="AY383">
        <v>145</v>
      </c>
      <c r="AZ383">
        <v>22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25.743998999999999</v>
      </c>
      <c r="BI383">
        <v>14.627846999999999</v>
      </c>
      <c r="BJ383">
        <v>0</v>
      </c>
      <c r="BK383">
        <v>9.1436949999999992</v>
      </c>
      <c r="BL383">
        <v>83.607166000000007</v>
      </c>
      <c r="BM383">
        <v>0.62508799999999998</v>
      </c>
      <c r="BN383">
        <v>18.735002000000001</v>
      </c>
      <c r="BO383">
        <v>-0.748506</v>
      </c>
      <c r="BP383">
        <v>1.792176</v>
      </c>
      <c r="BQ383">
        <v>8.1725809999999992</v>
      </c>
      <c r="BR383">
        <v>3.1620010000000001</v>
      </c>
      <c r="BS383">
        <v>19.073499999999999</v>
      </c>
      <c r="BT383">
        <v>14.627846999999999</v>
      </c>
      <c r="BU383">
        <v>4.8102229999999997</v>
      </c>
      <c r="BV383">
        <v>-1.201848</v>
      </c>
      <c r="BW383">
        <v>-0.157972</v>
      </c>
      <c r="BX383">
        <v>0.32884000000000002</v>
      </c>
      <c r="BY383">
        <v>-0.24985299999999999</v>
      </c>
      <c r="BZ383">
        <v>-3.2841000000000002E-2</v>
      </c>
      <c r="CA383">
        <v>4.0000000000000001E-3</v>
      </c>
      <c r="CB383">
        <v>1.8450000000000001E-2</v>
      </c>
      <c r="CC383">
        <v>3.7999999999999999E-2</v>
      </c>
      <c r="CD383">
        <v>0.61099999999999999</v>
      </c>
      <c r="CE383">
        <v>2.8972500000000001</v>
      </c>
      <c r="CF383">
        <v>9.9330020000000001</v>
      </c>
      <c r="CG383">
        <v>17.883199999999999</v>
      </c>
      <c r="CH383">
        <v>19.073499999999999</v>
      </c>
      <c r="CI383">
        <v>20.058401</v>
      </c>
      <c r="CJ383">
        <v>21.051300000000001</v>
      </c>
      <c r="CK383">
        <v>21.632252000000001</v>
      </c>
      <c r="CL383">
        <v>22.081600000000002</v>
      </c>
      <c r="CM383">
        <v>22.923300000000001</v>
      </c>
      <c r="CN383">
        <v>23.684099</v>
      </c>
      <c r="CO383">
        <v>24.906420000000001</v>
      </c>
      <c r="CP383">
        <v>0.56820400000000004</v>
      </c>
      <c r="CQ383">
        <v>17.248184999999999</v>
      </c>
      <c r="CR383">
        <v>18.394310999999998</v>
      </c>
      <c r="CS383">
        <v>22</v>
      </c>
      <c r="CT383">
        <v>479</v>
      </c>
      <c r="CU383">
        <v>102.073786</v>
      </c>
      <c r="CV383">
        <v>43.761904999999999</v>
      </c>
      <c r="CW383">
        <v>70.360119999999995</v>
      </c>
      <c r="CX383">
        <v>4950.5465430000004</v>
      </c>
      <c r="CY383">
        <v>0.68930599999999997</v>
      </c>
      <c r="CZ383">
        <v>76</v>
      </c>
      <c r="DA383">
        <v>1.9347650000000001</v>
      </c>
      <c r="DB383">
        <v>8.0585909999999998</v>
      </c>
      <c r="DC383">
        <v>51.357858</v>
      </c>
      <c r="DD383">
        <v>102.073786</v>
      </c>
      <c r="DE383">
        <v>35.366892</v>
      </c>
      <c r="DF383">
        <v>10.987512000000001</v>
      </c>
      <c r="DG383">
        <v>6.026548</v>
      </c>
      <c r="DH383">
        <v>0.34648400000000001</v>
      </c>
      <c r="DI383">
        <v>0.310672</v>
      </c>
      <c r="DJ383">
        <v>0.170401</v>
      </c>
      <c r="DK383">
        <v>27</v>
      </c>
      <c r="DL383">
        <v>32</v>
      </c>
      <c r="DM383">
        <v>38</v>
      </c>
      <c r="DN383">
        <v>48</v>
      </c>
      <c r="DO383">
        <v>52</v>
      </c>
      <c r="DP383">
        <v>56</v>
      </c>
      <c r="DQ383">
        <v>68</v>
      </c>
      <c r="DR383">
        <v>82.5</v>
      </c>
      <c r="DS383">
        <v>100</v>
      </c>
      <c r="DT383">
        <v>118.299988</v>
      </c>
      <c r="DU383">
        <v>128</v>
      </c>
      <c r="DV383">
        <v>145</v>
      </c>
      <c r="DW383">
        <v>187</v>
      </c>
      <c r="DX383">
        <v>235.54998800000001</v>
      </c>
      <c r="DY383">
        <v>380.71002199999998</v>
      </c>
      <c r="DZ383">
        <v>93.75</v>
      </c>
      <c r="EA383">
        <v>74.757282000000004</v>
      </c>
      <c r="EB383">
        <v>150.390625</v>
      </c>
      <c r="EC383">
        <v>480</v>
      </c>
      <c r="ED383">
        <v>770</v>
      </c>
      <c r="EE383">
        <v>91.210937999999999</v>
      </c>
      <c r="EF383">
        <v>99.804687999999999</v>
      </c>
      <c r="EG383">
        <v>68.446601999999999</v>
      </c>
      <c r="EH383">
        <v>99.805824999999999</v>
      </c>
      <c r="EI383">
        <v>137.695313</v>
      </c>
      <c r="EJ383">
        <v>200.78125</v>
      </c>
      <c r="EK383">
        <v>467</v>
      </c>
      <c r="EL383">
        <v>511</v>
      </c>
      <c r="EM383">
        <v>705</v>
      </c>
      <c r="EN383">
        <v>1028</v>
      </c>
      <c r="EO383">
        <v>512</v>
      </c>
      <c r="EP383">
        <v>1030</v>
      </c>
      <c r="EQ383">
        <v>57.727753999999997</v>
      </c>
    </row>
    <row r="384" spans="1:147" x14ac:dyDescent="0.25">
      <c r="A384">
        <v>2025</v>
      </c>
      <c r="B384" t="str">
        <f t="shared" si="10"/>
        <v>NE</v>
      </c>
      <c r="C384" t="s">
        <v>1883</v>
      </c>
      <c r="D384" t="s">
        <v>1883</v>
      </c>
      <c r="E384">
        <v>28758</v>
      </c>
      <c r="F384" t="s">
        <v>1876</v>
      </c>
      <c r="G384" t="s">
        <v>1877</v>
      </c>
      <c r="H384" t="s">
        <v>1878</v>
      </c>
      <c r="I384">
        <v>64.84</v>
      </c>
      <c r="J384">
        <v>64.84</v>
      </c>
      <c r="K384" t="s">
        <v>151</v>
      </c>
      <c r="L384">
        <v>1</v>
      </c>
      <c r="M384">
        <v>2021</v>
      </c>
      <c r="O384" t="str">
        <f t="shared" si="11"/>
        <v>Talhadia</v>
      </c>
      <c r="P384" s="2">
        <v>44494</v>
      </c>
      <c r="Q384" t="s">
        <v>174</v>
      </c>
      <c r="R384" t="s">
        <v>314</v>
      </c>
      <c r="S384" t="s">
        <v>154</v>
      </c>
      <c r="T384" t="s">
        <v>155</v>
      </c>
      <c r="U384" t="s">
        <v>156</v>
      </c>
      <c r="V384" s="2">
        <v>44785</v>
      </c>
      <c r="W384" t="s">
        <v>1879</v>
      </c>
      <c r="X384">
        <v>137.38</v>
      </c>
      <c r="Y384">
        <v>20.5</v>
      </c>
      <c r="Z384">
        <v>22</v>
      </c>
      <c r="AA384">
        <v>14.7</v>
      </c>
      <c r="AB384">
        <v>3</v>
      </c>
      <c r="AC384">
        <v>301.35000000000002</v>
      </c>
      <c r="AD384">
        <v>279.02393719017402</v>
      </c>
      <c r="AE384" s="2">
        <v>45742</v>
      </c>
      <c r="AF384">
        <v>41</v>
      </c>
      <c r="AG384">
        <v>3.4168377823408602</v>
      </c>
      <c r="AH384">
        <v>21.385699950429899</v>
      </c>
      <c r="AI384">
        <v>14.95</v>
      </c>
      <c r="AJ384">
        <v>14.221890146736801</v>
      </c>
      <c r="AK384">
        <v>22</v>
      </c>
      <c r="AL384">
        <v>788.46281869377594</v>
      </c>
      <c r="AM384">
        <v>138.31326946885801</v>
      </c>
      <c r="AN384">
        <v>0.175421422785665</v>
      </c>
      <c r="AO384" t="s">
        <v>314</v>
      </c>
      <c r="AP384" t="s">
        <v>264</v>
      </c>
      <c r="AQ384" t="s">
        <v>530</v>
      </c>
      <c r="AR384">
        <v>9</v>
      </c>
      <c r="AS384">
        <v>0.70961653682439929</v>
      </c>
      <c r="AT384" t="s">
        <v>1884</v>
      </c>
      <c r="AU384" t="s">
        <v>1883</v>
      </c>
      <c r="AV384">
        <v>1022</v>
      </c>
      <c r="AW384">
        <v>581</v>
      </c>
      <c r="AX384">
        <v>309</v>
      </c>
      <c r="AY384">
        <v>107</v>
      </c>
      <c r="AZ384">
        <v>25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22.67</v>
      </c>
      <c r="BI384">
        <v>12.889354000000001</v>
      </c>
      <c r="BJ384">
        <v>0</v>
      </c>
      <c r="BK384">
        <v>7.9096200000000003</v>
      </c>
      <c r="BL384">
        <v>62.562089</v>
      </c>
      <c r="BM384">
        <v>0.61365499999999995</v>
      </c>
      <c r="BN384">
        <v>14.908751000000001</v>
      </c>
      <c r="BO384">
        <v>-0.759517</v>
      </c>
      <c r="BP384">
        <v>1.9040919999999999</v>
      </c>
      <c r="BQ384">
        <v>6.8885550000000002</v>
      </c>
      <c r="BR384">
        <v>3.5249999999999999</v>
      </c>
      <c r="BS384">
        <v>16.241001000000001</v>
      </c>
      <c r="BT384">
        <v>12.889354000000001</v>
      </c>
      <c r="BU384">
        <v>4.2190190000000003</v>
      </c>
      <c r="BV384">
        <v>-1.0034559999999999</v>
      </c>
      <c r="BW384">
        <v>-9.9899000000000002E-2</v>
      </c>
      <c r="BX384">
        <v>0.32732600000000001</v>
      </c>
      <c r="BY384">
        <v>-0.237841</v>
      </c>
      <c r="BZ384">
        <v>-2.3678000000000001E-2</v>
      </c>
      <c r="CA384">
        <v>2E-3</v>
      </c>
      <c r="CB384">
        <v>0.01</v>
      </c>
      <c r="CC384">
        <v>2.3E-2</v>
      </c>
      <c r="CD384">
        <v>0.17960000000000001</v>
      </c>
      <c r="CE384">
        <v>4.2262500000000003</v>
      </c>
      <c r="CF384">
        <v>11.4367</v>
      </c>
      <c r="CG384">
        <v>14.9306</v>
      </c>
      <c r="CH384">
        <v>16.241001000000001</v>
      </c>
      <c r="CI384">
        <v>17.407399999999999</v>
      </c>
      <c r="CJ384">
        <v>18.618400999999999</v>
      </c>
      <c r="CK384">
        <v>19.135000000000002</v>
      </c>
      <c r="CL384">
        <v>19.6022</v>
      </c>
      <c r="CM384">
        <v>20.403502</v>
      </c>
      <c r="CN384">
        <v>21.059849</v>
      </c>
      <c r="CO384">
        <v>21.811738999999999</v>
      </c>
      <c r="CP384">
        <v>0.56856399999999996</v>
      </c>
      <c r="CQ384">
        <v>15.120725</v>
      </c>
      <c r="CR384">
        <v>16.112089999999998</v>
      </c>
      <c r="CS384">
        <v>22</v>
      </c>
      <c r="CT384">
        <v>587</v>
      </c>
      <c r="CU384">
        <v>136.41878700000001</v>
      </c>
      <c r="CV384">
        <v>48.904761999999998</v>
      </c>
      <c r="CW384">
        <v>104.67095399999999</v>
      </c>
      <c r="CX384">
        <v>10956.00858</v>
      </c>
      <c r="CY384">
        <v>0.76727699999999999</v>
      </c>
      <c r="CZ384">
        <v>116</v>
      </c>
      <c r="DA384">
        <v>1.7307809999999999</v>
      </c>
      <c r="DB384">
        <v>6.2780079999999998</v>
      </c>
      <c r="DC384">
        <v>77.261590999999996</v>
      </c>
      <c r="DD384">
        <v>136.41878700000001</v>
      </c>
      <c r="DE384">
        <v>53.082819000000001</v>
      </c>
      <c r="DF384">
        <v>16.901026999999999</v>
      </c>
      <c r="DG384">
        <v>8.8901109999999992</v>
      </c>
      <c r="DH384">
        <v>0.38911699999999999</v>
      </c>
      <c r="DI384">
        <v>0.31839000000000001</v>
      </c>
      <c r="DJ384">
        <v>0.16747600000000001</v>
      </c>
      <c r="DK384">
        <v>27.209999</v>
      </c>
      <c r="DL384">
        <v>34</v>
      </c>
      <c r="DM384">
        <v>41</v>
      </c>
      <c r="DN384">
        <v>53.199997000000003</v>
      </c>
      <c r="DO384">
        <v>60</v>
      </c>
      <c r="DP384">
        <v>66</v>
      </c>
      <c r="DQ384">
        <v>86</v>
      </c>
      <c r="DR384">
        <v>108</v>
      </c>
      <c r="DS384">
        <v>131.599976</v>
      </c>
      <c r="DT384">
        <v>161.70001199999999</v>
      </c>
      <c r="DU384">
        <v>176</v>
      </c>
      <c r="DV384">
        <v>197</v>
      </c>
      <c r="DW384">
        <v>259.800049</v>
      </c>
      <c r="DX384">
        <v>381</v>
      </c>
      <c r="DY384">
        <v>516.219604</v>
      </c>
      <c r="DZ384">
        <v>90.533563000000001</v>
      </c>
      <c r="EA384">
        <v>75.636008000000004</v>
      </c>
      <c r="EB384">
        <v>133.04647199999999</v>
      </c>
      <c r="EC384">
        <v>526</v>
      </c>
      <c r="ED384">
        <v>773</v>
      </c>
      <c r="EE384">
        <v>85.542169000000001</v>
      </c>
      <c r="EF384">
        <v>99.827883</v>
      </c>
      <c r="EG384">
        <v>67.514677000000006</v>
      </c>
      <c r="EH384">
        <v>99.706457999999998</v>
      </c>
      <c r="EI384">
        <v>118.760757</v>
      </c>
      <c r="EJ384">
        <v>175.38726299999999</v>
      </c>
      <c r="EK384">
        <v>497</v>
      </c>
      <c r="EL384">
        <v>580</v>
      </c>
      <c r="EM384">
        <v>690</v>
      </c>
      <c r="EN384">
        <v>1019</v>
      </c>
      <c r="EO384">
        <v>581</v>
      </c>
      <c r="EP384">
        <v>1022</v>
      </c>
      <c r="EQ384">
        <v>58.125793999999999</v>
      </c>
    </row>
    <row r="385" spans="1:147" x14ac:dyDescent="0.25">
      <c r="A385">
        <v>2025</v>
      </c>
      <c r="B385" t="str">
        <f t="shared" si="10"/>
        <v>NE</v>
      </c>
      <c r="C385" t="s">
        <v>1885</v>
      </c>
      <c r="D385" t="s">
        <v>1885</v>
      </c>
      <c r="E385">
        <v>28759</v>
      </c>
      <c r="F385" t="s">
        <v>1876</v>
      </c>
      <c r="G385" t="s">
        <v>1877</v>
      </c>
      <c r="H385" t="s">
        <v>1878</v>
      </c>
      <c r="I385">
        <v>64.84</v>
      </c>
      <c r="J385">
        <v>64.84</v>
      </c>
      <c r="K385" t="s">
        <v>151</v>
      </c>
      <c r="L385">
        <v>1</v>
      </c>
      <c r="M385">
        <v>2021</v>
      </c>
      <c r="O385" t="str">
        <f t="shared" si="11"/>
        <v>Talhadia</v>
      </c>
      <c r="P385" s="2">
        <v>44494</v>
      </c>
      <c r="Q385" t="s">
        <v>174</v>
      </c>
      <c r="R385" t="s">
        <v>314</v>
      </c>
      <c r="S385" t="s">
        <v>154</v>
      </c>
      <c r="T385" t="s">
        <v>155</v>
      </c>
      <c r="U385" t="s">
        <v>156</v>
      </c>
      <c r="V385" s="2">
        <v>45742</v>
      </c>
      <c r="W385" t="s">
        <v>1879</v>
      </c>
      <c r="X385">
        <v>137.38</v>
      </c>
      <c r="Y385">
        <v>20.9</v>
      </c>
      <c r="Z385">
        <v>36</v>
      </c>
      <c r="AA385">
        <v>16.3</v>
      </c>
      <c r="AB385">
        <v>4</v>
      </c>
      <c r="AC385">
        <v>340.67</v>
      </c>
      <c r="AD385">
        <v>274.93645267747598</v>
      </c>
      <c r="AE385" s="2">
        <v>45742</v>
      </c>
      <c r="AF385">
        <v>41</v>
      </c>
      <c r="AG385">
        <v>3.4168377823408602</v>
      </c>
      <c r="AH385">
        <v>19.980818176218801</v>
      </c>
      <c r="AI385">
        <v>14.7235294117647</v>
      </c>
      <c r="AJ385">
        <v>11.0684179876597</v>
      </c>
      <c r="AK385">
        <v>17</v>
      </c>
      <c r="AL385">
        <v>618.32470137899304</v>
      </c>
      <c r="AM385">
        <v>101.662002746347</v>
      </c>
      <c r="AN385">
        <v>0.164415237689227</v>
      </c>
      <c r="AO385" t="s">
        <v>314</v>
      </c>
      <c r="AP385" t="s">
        <v>264</v>
      </c>
      <c r="AQ385" t="s">
        <v>530</v>
      </c>
      <c r="AR385">
        <v>9</v>
      </c>
      <c r="AS385">
        <v>0.5564922312410937</v>
      </c>
      <c r="AT385" t="s">
        <v>1886</v>
      </c>
      <c r="AU385" t="s">
        <v>1885</v>
      </c>
      <c r="AV385">
        <v>1142</v>
      </c>
      <c r="AW385">
        <v>575</v>
      </c>
      <c r="AX385">
        <v>417</v>
      </c>
      <c r="AY385">
        <v>125</v>
      </c>
      <c r="AZ385">
        <v>22</v>
      </c>
      <c r="BA385">
        <v>3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1E-3</v>
      </c>
      <c r="BH385">
        <v>22.218</v>
      </c>
      <c r="BI385">
        <v>8.0663990000000005</v>
      </c>
      <c r="BJ385">
        <v>1E-3</v>
      </c>
      <c r="BK385">
        <v>7.61869</v>
      </c>
      <c r="BL385">
        <v>58.044429999999998</v>
      </c>
      <c r="BM385">
        <v>0.94449700000000003</v>
      </c>
      <c r="BN385">
        <v>15.048249999999999</v>
      </c>
      <c r="BO385">
        <v>0.31207499999999999</v>
      </c>
      <c r="BP385">
        <v>1.3578760000000001</v>
      </c>
      <c r="BQ385">
        <v>7.2262839999999997</v>
      </c>
      <c r="BR385">
        <v>4.6310000000000002</v>
      </c>
      <c r="BS385">
        <v>4.7145000000000001</v>
      </c>
      <c r="BT385">
        <v>8.0663990000000005</v>
      </c>
      <c r="BU385">
        <v>4.193791</v>
      </c>
      <c r="BV385">
        <v>0.60118799999999994</v>
      </c>
      <c r="BW385">
        <v>-0.52116600000000002</v>
      </c>
      <c r="BX385">
        <v>0.51990899999999995</v>
      </c>
      <c r="BY385">
        <v>0.14335200000000001</v>
      </c>
      <c r="BZ385">
        <v>-0.12427100000000001</v>
      </c>
      <c r="CA385">
        <v>1.6410000000000001E-2</v>
      </c>
      <c r="CB385">
        <v>6.0100000000000001E-2</v>
      </c>
      <c r="CC385">
        <v>0.14530000000000001</v>
      </c>
      <c r="CD385">
        <v>0.60919999999999996</v>
      </c>
      <c r="CE385">
        <v>0.88224999999999998</v>
      </c>
      <c r="CF385">
        <v>1.0942000000000001</v>
      </c>
      <c r="CG385">
        <v>1.7587999999999999</v>
      </c>
      <c r="CH385">
        <v>4.7154999999999996</v>
      </c>
      <c r="CI385">
        <v>12.7012</v>
      </c>
      <c r="CJ385">
        <v>15.2194</v>
      </c>
      <c r="CK385">
        <v>15.9305</v>
      </c>
      <c r="CL385">
        <v>16.723199999999999</v>
      </c>
      <c r="CM385">
        <v>18.3398</v>
      </c>
      <c r="CN385">
        <v>19.414400000000001</v>
      </c>
      <c r="CO385">
        <v>21.24342</v>
      </c>
      <c r="CP385">
        <v>0.36302800000000002</v>
      </c>
      <c r="CQ385">
        <v>11.093259</v>
      </c>
      <c r="CR385">
        <v>12.736587</v>
      </c>
      <c r="CS385">
        <v>24</v>
      </c>
      <c r="CT385">
        <v>572</v>
      </c>
      <c r="CU385">
        <v>134.65849399999999</v>
      </c>
      <c r="CV385">
        <v>41.396825</v>
      </c>
      <c r="CW385">
        <v>103.69035</v>
      </c>
      <c r="CX385">
        <v>10751.68871</v>
      </c>
      <c r="CY385">
        <v>0.77002499999999996</v>
      </c>
      <c r="CZ385">
        <v>109</v>
      </c>
      <c r="DA385">
        <v>1.4798629999999999</v>
      </c>
      <c r="DB385">
        <v>4.7347580000000002</v>
      </c>
      <c r="DC385">
        <v>78.992896999999999</v>
      </c>
      <c r="DD385">
        <v>134.65849399999999</v>
      </c>
      <c r="DE385">
        <v>53.377170999999997</v>
      </c>
      <c r="DF385">
        <v>18.010536999999999</v>
      </c>
      <c r="DG385">
        <v>8.0249980000000001</v>
      </c>
      <c r="DH385">
        <v>0.39638899999999999</v>
      </c>
      <c r="DI385">
        <v>0.33742</v>
      </c>
      <c r="DJ385">
        <v>0.15034500000000001</v>
      </c>
      <c r="DK385">
        <v>28.41</v>
      </c>
      <c r="DL385">
        <v>35</v>
      </c>
      <c r="DM385">
        <v>41</v>
      </c>
      <c r="DN385">
        <v>53</v>
      </c>
      <c r="DO385">
        <v>59</v>
      </c>
      <c r="DP385">
        <v>65</v>
      </c>
      <c r="DQ385">
        <v>81</v>
      </c>
      <c r="DR385">
        <v>101</v>
      </c>
      <c r="DS385">
        <v>122</v>
      </c>
      <c r="DT385">
        <v>149.70001199999999</v>
      </c>
      <c r="DU385">
        <v>168</v>
      </c>
      <c r="DV385">
        <v>200.79998800000001</v>
      </c>
      <c r="DW385">
        <v>295.800049</v>
      </c>
      <c r="DX385">
        <v>372.899902</v>
      </c>
      <c r="DY385">
        <v>452.53979500000003</v>
      </c>
      <c r="DZ385">
        <v>71.652174000000002</v>
      </c>
      <c r="EA385">
        <v>54.290717999999998</v>
      </c>
      <c r="EB385">
        <v>107.826087</v>
      </c>
      <c r="EC385">
        <v>412</v>
      </c>
      <c r="ED385">
        <v>620</v>
      </c>
      <c r="EE385">
        <v>64.173912999999999</v>
      </c>
      <c r="EF385">
        <v>100</v>
      </c>
      <c r="EG385">
        <v>43.432574000000002</v>
      </c>
      <c r="EH385">
        <v>99.912434000000005</v>
      </c>
      <c r="EI385">
        <v>86.260869999999997</v>
      </c>
      <c r="EJ385">
        <v>198.43478300000001</v>
      </c>
      <c r="EK385">
        <v>369</v>
      </c>
      <c r="EL385">
        <v>575</v>
      </c>
      <c r="EM385">
        <v>496</v>
      </c>
      <c r="EN385">
        <v>1141</v>
      </c>
      <c r="EO385">
        <v>575</v>
      </c>
      <c r="EP385">
        <v>1142</v>
      </c>
      <c r="EQ385">
        <v>36.942557000000001</v>
      </c>
    </row>
    <row r="386" spans="1:147" x14ac:dyDescent="0.25">
      <c r="A386">
        <v>2025</v>
      </c>
      <c r="B386" t="str">
        <f t="shared" si="10"/>
        <v>NE</v>
      </c>
      <c r="C386" t="s">
        <v>1887</v>
      </c>
      <c r="D386" t="s">
        <v>1887</v>
      </c>
      <c r="E386">
        <v>26419</v>
      </c>
      <c r="F386" t="s">
        <v>1888</v>
      </c>
      <c r="G386" t="s">
        <v>1889</v>
      </c>
      <c r="H386" t="s">
        <v>1890</v>
      </c>
      <c r="I386">
        <v>26.92</v>
      </c>
      <c r="J386">
        <v>26.92</v>
      </c>
      <c r="K386" t="s">
        <v>151</v>
      </c>
      <c r="L386">
        <v>1</v>
      </c>
      <c r="M386">
        <v>2018</v>
      </c>
      <c r="O386" t="str">
        <f t="shared" si="11"/>
        <v>Talhadia</v>
      </c>
      <c r="P386" s="2">
        <v>43138</v>
      </c>
      <c r="Q386" t="s">
        <v>152</v>
      </c>
      <c r="R386" t="s">
        <v>278</v>
      </c>
      <c r="S386" t="s">
        <v>154</v>
      </c>
      <c r="T386" t="s">
        <v>155</v>
      </c>
      <c r="U386" t="s">
        <v>156</v>
      </c>
      <c r="V386" s="2">
        <v>44786</v>
      </c>
      <c r="W386" t="s">
        <v>1891</v>
      </c>
      <c r="X386">
        <v>122.14</v>
      </c>
      <c r="Y386">
        <v>21</v>
      </c>
      <c r="Z386">
        <v>25</v>
      </c>
      <c r="AA386">
        <v>16.8</v>
      </c>
      <c r="AB386">
        <v>2</v>
      </c>
      <c r="AC386">
        <v>352.8</v>
      </c>
      <c r="AD386">
        <v>319.55060701583898</v>
      </c>
      <c r="AE386" s="2">
        <v>45742</v>
      </c>
      <c r="AF386">
        <v>85</v>
      </c>
      <c r="AG386">
        <v>7.12936344969199</v>
      </c>
      <c r="AH386">
        <v>27.971278001542</v>
      </c>
      <c r="AI386">
        <v>18.162500000000001</v>
      </c>
      <c r="AJ386">
        <v>26.375023646850899</v>
      </c>
      <c r="AK386">
        <v>32</v>
      </c>
      <c r="AL386">
        <v>1001.4063280566399</v>
      </c>
      <c r="AM386">
        <v>337.05577826661499</v>
      </c>
      <c r="AN386">
        <v>0.336582432947789</v>
      </c>
      <c r="AO386" t="s">
        <v>278</v>
      </c>
      <c r="AP386" t="s">
        <v>264</v>
      </c>
      <c r="AQ386" t="s">
        <v>530</v>
      </c>
      <c r="AR386">
        <v>9.99</v>
      </c>
      <c r="AS386">
        <v>1.000404921728578</v>
      </c>
      <c r="AT386" t="s">
        <v>1892</v>
      </c>
      <c r="AU386" t="s">
        <v>1887</v>
      </c>
      <c r="AV386">
        <v>1400</v>
      </c>
      <c r="AW386">
        <v>722</v>
      </c>
      <c r="AX386">
        <v>489</v>
      </c>
      <c r="AY386">
        <v>165</v>
      </c>
      <c r="AZ386">
        <v>22</v>
      </c>
      <c r="BA386">
        <v>2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31.431999000000001</v>
      </c>
      <c r="BI386">
        <v>17.629529000000002</v>
      </c>
      <c r="BJ386">
        <v>0</v>
      </c>
      <c r="BK386">
        <v>13.701703</v>
      </c>
      <c r="BL386">
        <v>187.736659</v>
      </c>
      <c r="BM386">
        <v>0.77720199999999995</v>
      </c>
      <c r="BN386">
        <v>28.572248999999999</v>
      </c>
      <c r="BO386">
        <v>-0.40781400000000001</v>
      </c>
      <c r="BP386">
        <v>1.2125319999999999</v>
      </c>
      <c r="BQ386">
        <v>13.282717</v>
      </c>
      <c r="BR386">
        <v>2.308001</v>
      </c>
      <c r="BS386">
        <v>27.757999000000002</v>
      </c>
      <c r="BT386">
        <v>17.629529000000002</v>
      </c>
      <c r="BU386">
        <v>7.0565720000000001</v>
      </c>
      <c r="BV386">
        <v>-1.2173989999999999</v>
      </c>
      <c r="BW386">
        <v>-1.236591</v>
      </c>
      <c r="BX386">
        <v>0.40027000000000001</v>
      </c>
      <c r="BY386">
        <v>-0.17252000000000001</v>
      </c>
      <c r="BZ386">
        <v>-0.17524000000000001</v>
      </c>
      <c r="CA386">
        <v>3.0000000000000001E-3</v>
      </c>
      <c r="CB386">
        <v>2.1000000000000001E-2</v>
      </c>
      <c r="CC386">
        <v>4.5999999999999999E-2</v>
      </c>
      <c r="CD386">
        <v>0.2298</v>
      </c>
      <c r="CE386">
        <v>0.66525000000000001</v>
      </c>
      <c r="CF386">
        <v>1.1144000000000001</v>
      </c>
      <c r="CG386">
        <v>17.087799</v>
      </c>
      <c r="CH386">
        <v>27.757999000000002</v>
      </c>
      <c r="CI386">
        <v>28.414200000000001</v>
      </c>
      <c r="CJ386">
        <v>28.9939</v>
      </c>
      <c r="CK386">
        <v>29.237499</v>
      </c>
      <c r="CL386">
        <v>29.496200999999999</v>
      </c>
      <c r="CM386">
        <v>29.962299000000002</v>
      </c>
      <c r="CN386">
        <v>30.318100000000001</v>
      </c>
      <c r="CO386">
        <v>30.785250000000001</v>
      </c>
      <c r="CP386">
        <v>0.56087799999999999</v>
      </c>
      <c r="CQ386">
        <v>22.324938</v>
      </c>
      <c r="CR386">
        <v>24.302313999999999</v>
      </c>
      <c r="CS386">
        <v>21</v>
      </c>
      <c r="CT386">
        <v>555</v>
      </c>
      <c r="CU386">
        <v>128.09</v>
      </c>
      <c r="CV386">
        <v>37.952381000000003</v>
      </c>
      <c r="CW386">
        <v>87.292040999999998</v>
      </c>
      <c r="CX386">
        <v>7619.9004000000004</v>
      </c>
      <c r="CY386">
        <v>0.68149000000000004</v>
      </c>
      <c r="CZ386">
        <v>116.25</v>
      </c>
      <c r="DA386">
        <v>1.3738300000000001</v>
      </c>
      <c r="DB386">
        <v>5.5147599999999999</v>
      </c>
      <c r="DC386">
        <v>68.194256999999993</v>
      </c>
      <c r="DD386">
        <v>128.09</v>
      </c>
      <c r="DE386">
        <v>46.400987999999998</v>
      </c>
      <c r="DF386">
        <v>11.189968</v>
      </c>
      <c r="DG386">
        <v>5.1724699999999997</v>
      </c>
      <c r="DH386">
        <v>0.36225299999999999</v>
      </c>
      <c r="DI386">
        <v>0.24115800000000001</v>
      </c>
      <c r="DJ386">
        <v>0.111473</v>
      </c>
      <c r="DK386">
        <v>25.99</v>
      </c>
      <c r="DL386">
        <v>32.949997000000003</v>
      </c>
      <c r="DM386">
        <v>39</v>
      </c>
      <c r="DN386">
        <v>50</v>
      </c>
      <c r="DO386">
        <v>58.75</v>
      </c>
      <c r="DP386">
        <v>68</v>
      </c>
      <c r="DQ386">
        <v>85.599975999999998</v>
      </c>
      <c r="DR386">
        <v>108</v>
      </c>
      <c r="DS386">
        <v>132.400024</v>
      </c>
      <c r="DT386">
        <v>161</v>
      </c>
      <c r="DU386">
        <v>175</v>
      </c>
      <c r="DV386">
        <v>194</v>
      </c>
      <c r="DW386">
        <v>236.099976</v>
      </c>
      <c r="DX386">
        <v>291.25024400000001</v>
      </c>
      <c r="DY386">
        <v>422.02001999999999</v>
      </c>
      <c r="DZ386">
        <v>93.074792000000002</v>
      </c>
      <c r="EA386">
        <v>62.285713999999999</v>
      </c>
      <c r="EB386">
        <v>120.775623</v>
      </c>
      <c r="EC386">
        <v>672</v>
      </c>
      <c r="ED386">
        <v>872</v>
      </c>
      <c r="EE386">
        <v>91.551247000000004</v>
      </c>
      <c r="EF386">
        <v>100</v>
      </c>
      <c r="EG386">
        <v>59.785713999999999</v>
      </c>
      <c r="EH386">
        <v>99.928571000000005</v>
      </c>
      <c r="EI386">
        <v>115.927978</v>
      </c>
      <c r="EJ386">
        <v>193.767313</v>
      </c>
      <c r="EK386">
        <v>661</v>
      </c>
      <c r="EL386">
        <v>722</v>
      </c>
      <c r="EM386">
        <v>837</v>
      </c>
      <c r="EN386">
        <v>1399</v>
      </c>
      <c r="EO386">
        <v>722</v>
      </c>
      <c r="EP386">
        <v>1400</v>
      </c>
      <c r="EQ386">
        <v>56.306564000000002</v>
      </c>
    </row>
    <row r="387" spans="1:147" x14ac:dyDescent="0.25">
      <c r="A387">
        <v>2025</v>
      </c>
      <c r="B387" t="str">
        <f t="shared" ref="B387:B450" si="12">LEFT(C387,2)</f>
        <v>NE</v>
      </c>
      <c r="C387" t="s">
        <v>1893</v>
      </c>
      <c r="D387" t="s">
        <v>1893</v>
      </c>
      <c r="E387">
        <v>26169</v>
      </c>
      <c r="F387" t="s">
        <v>1894</v>
      </c>
      <c r="G387" t="s">
        <v>1293</v>
      </c>
      <c r="H387" t="s">
        <v>1895</v>
      </c>
      <c r="I387">
        <v>73.59</v>
      </c>
      <c r="J387">
        <v>73.59</v>
      </c>
      <c r="K387" t="s">
        <v>151</v>
      </c>
      <c r="L387">
        <v>1</v>
      </c>
      <c r="M387">
        <v>2018</v>
      </c>
      <c r="O387" t="str">
        <f t="shared" ref="O387:O450" si="13">IF(MID(F387,12,1)="R","Talhadia","Alto fuste")</f>
        <v>Talhadia</v>
      </c>
      <c r="P387" s="2">
        <v>43368</v>
      </c>
      <c r="Q387" t="s">
        <v>174</v>
      </c>
      <c r="R387" t="s">
        <v>165</v>
      </c>
      <c r="S387" t="s">
        <v>154</v>
      </c>
      <c r="T387" t="s">
        <v>155</v>
      </c>
      <c r="U387" t="s">
        <v>156</v>
      </c>
      <c r="V387" s="2">
        <v>44787</v>
      </c>
      <c r="W387" t="s">
        <v>1295</v>
      </c>
      <c r="X387">
        <v>74.740000000000009</v>
      </c>
      <c r="Y387">
        <v>21.4</v>
      </c>
      <c r="Z387">
        <v>9</v>
      </c>
      <c r="AA387">
        <v>15</v>
      </c>
      <c r="AB387">
        <v>7</v>
      </c>
      <c r="AC387">
        <v>321</v>
      </c>
      <c r="AD387">
        <v>314.68472993466497</v>
      </c>
      <c r="AE387" s="2">
        <v>45742</v>
      </c>
      <c r="AF387">
        <v>78</v>
      </c>
      <c r="AG387">
        <v>6.4996577686516099</v>
      </c>
      <c r="AH387">
        <v>24.731205403281798</v>
      </c>
      <c r="AI387">
        <v>16.685185185185201</v>
      </c>
      <c r="AJ387">
        <v>20.865824705541598</v>
      </c>
      <c r="AK387">
        <v>27</v>
      </c>
      <c r="AL387">
        <v>858.00159434510101</v>
      </c>
      <c r="AM387">
        <v>259.83601422021201</v>
      </c>
      <c r="AN387">
        <v>0.30283861467476803</v>
      </c>
      <c r="AO387" t="s">
        <v>165</v>
      </c>
      <c r="AP387" t="s">
        <v>264</v>
      </c>
      <c r="AQ387" t="s">
        <v>530</v>
      </c>
      <c r="AR387">
        <v>9</v>
      </c>
      <c r="AS387">
        <v>0.77220143491059079</v>
      </c>
      <c r="AT387" t="s">
        <v>1896</v>
      </c>
      <c r="AU387" t="s">
        <v>1893</v>
      </c>
      <c r="AV387">
        <v>1231</v>
      </c>
      <c r="AW387">
        <v>573</v>
      </c>
      <c r="AX387">
        <v>425</v>
      </c>
      <c r="AY387">
        <v>180</v>
      </c>
      <c r="AZ387">
        <v>42</v>
      </c>
      <c r="BA387">
        <v>11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32.229999999999997</v>
      </c>
      <c r="BI387">
        <v>15.74902</v>
      </c>
      <c r="BJ387">
        <v>0</v>
      </c>
      <c r="BK387">
        <v>11.402048000000001</v>
      </c>
      <c r="BL387">
        <v>130.00670700000001</v>
      </c>
      <c r="BM387">
        <v>0.72398499999999999</v>
      </c>
      <c r="BN387">
        <v>25.032999</v>
      </c>
      <c r="BO387">
        <v>-0.195108</v>
      </c>
      <c r="BP387">
        <v>1.530681</v>
      </c>
      <c r="BQ387">
        <v>10.140806</v>
      </c>
      <c r="BR387">
        <v>10.68</v>
      </c>
      <c r="BS387">
        <v>17.335999999999999</v>
      </c>
      <c r="BT387">
        <v>15.74902</v>
      </c>
      <c r="BU387">
        <v>6.4791100000000004</v>
      </c>
      <c r="BV387">
        <v>-0.32572699999999999</v>
      </c>
      <c r="BW387">
        <v>-0.56486199999999998</v>
      </c>
      <c r="BX387">
        <v>0.41139799999999999</v>
      </c>
      <c r="BY387">
        <v>-5.0272999999999998E-2</v>
      </c>
      <c r="BZ387">
        <v>-8.7181999999999996E-2</v>
      </c>
      <c r="CA387">
        <v>2E-3</v>
      </c>
      <c r="CB387">
        <v>1.0999999999999999E-2</v>
      </c>
      <c r="CC387">
        <v>2.8000000000000001E-2</v>
      </c>
      <c r="CD387">
        <v>0.11</v>
      </c>
      <c r="CE387">
        <v>1.6975</v>
      </c>
      <c r="CF387">
        <v>7.0350000000000001</v>
      </c>
      <c r="CG387">
        <v>13.144</v>
      </c>
      <c r="CH387">
        <v>17.335999999999999</v>
      </c>
      <c r="CI387">
        <v>21.301000999999999</v>
      </c>
      <c r="CJ387">
        <v>25.407</v>
      </c>
      <c r="CK387">
        <v>26.730498999999998</v>
      </c>
      <c r="CL387">
        <v>28.049999</v>
      </c>
      <c r="CM387">
        <v>29.611999999999998</v>
      </c>
      <c r="CN387">
        <v>30.575500000000002</v>
      </c>
      <c r="CO387">
        <v>31.747696000000001</v>
      </c>
      <c r="CP387">
        <v>0.488645</v>
      </c>
      <c r="CQ387">
        <v>19.440491999999999</v>
      </c>
      <c r="CR387">
        <v>21.366731999999999</v>
      </c>
      <c r="CS387">
        <v>19</v>
      </c>
      <c r="CT387">
        <v>981</v>
      </c>
      <c r="CU387">
        <v>173.23720599999999</v>
      </c>
      <c r="CV387">
        <v>34.269841</v>
      </c>
      <c r="CW387">
        <v>153.51445100000001</v>
      </c>
      <c r="CX387">
        <v>23566.68678</v>
      </c>
      <c r="CY387">
        <v>0.88615200000000005</v>
      </c>
      <c r="CZ387">
        <v>187.5</v>
      </c>
      <c r="DA387">
        <v>1.6944779999999999</v>
      </c>
      <c r="DB387">
        <v>6.1385459999999998</v>
      </c>
      <c r="DC387">
        <v>116.696037</v>
      </c>
      <c r="DD387">
        <v>173.23720599999999</v>
      </c>
      <c r="DE387">
        <v>77.894288000000003</v>
      </c>
      <c r="DF387">
        <v>26.588481000000002</v>
      </c>
      <c r="DG387">
        <v>11.00704</v>
      </c>
      <c r="DH387">
        <v>0.44963900000000001</v>
      </c>
      <c r="DI387">
        <v>0.34134100000000001</v>
      </c>
      <c r="DJ387">
        <v>0.14130699999999999</v>
      </c>
      <c r="DK387">
        <v>27</v>
      </c>
      <c r="DL387">
        <v>32.5</v>
      </c>
      <c r="DM387">
        <v>39</v>
      </c>
      <c r="DN387">
        <v>52</v>
      </c>
      <c r="DO387">
        <v>58</v>
      </c>
      <c r="DP387">
        <v>67</v>
      </c>
      <c r="DQ387">
        <v>89</v>
      </c>
      <c r="DR387">
        <v>120</v>
      </c>
      <c r="DS387">
        <v>165</v>
      </c>
      <c r="DT387">
        <v>213</v>
      </c>
      <c r="DU387">
        <v>245.5</v>
      </c>
      <c r="DV387">
        <v>279</v>
      </c>
      <c r="DW387">
        <v>369</v>
      </c>
      <c r="DX387">
        <v>493</v>
      </c>
      <c r="DY387">
        <v>708.79980499999999</v>
      </c>
      <c r="DZ387">
        <v>90.575916000000007</v>
      </c>
      <c r="EA387">
        <v>73.517465000000001</v>
      </c>
      <c r="EB387">
        <v>157.940663</v>
      </c>
      <c r="EC387">
        <v>519</v>
      </c>
      <c r="ED387">
        <v>905</v>
      </c>
      <c r="EE387">
        <v>76.265270999999998</v>
      </c>
      <c r="EF387">
        <v>100</v>
      </c>
      <c r="EG387">
        <v>53.939886000000001</v>
      </c>
      <c r="EH387">
        <v>99.512591</v>
      </c>
      <c r="EI387">
        <v>115.881326</v>
      </c>
      <c r="EJ387">
        <v>213.78708599999999</v>
      </c>
      <c r="EK387">
        <v>437</v>
      </c>
      <c r="EL387">
        <v>573</v>
      </c>
      <c r="EM387">
        <v>664</v>
      </c>
      <c r="EN387">
        <v>1225</v>
      </c>
      <c r="EO387">
        <v>573</v>
      </c>
      <c r="EP387">
        <v>1231</v>
      </c>
      <c r="EQ387">
        <v>48.599820999999999</v>
      </c>
    </row>
    <row r="388" spans="1:147" x14ac:dyDescent="0.25">
      <c r="A388">
        <v>2025</v>
      </c>
      <c r="B388" t="str">
        <f t="shared" si="12"/>
        <v>NE</v>
      </c>
      <c r="C388" t="s">
        <v>1897</v>
      </c>
      <c r="D388" t="s">
        <v>1897</v>
      </c>
      <c r="E388">
        <v>26170</v>
      </c>
      <c r="F388" t="s">
        <v>1894</v>
      </c>
      <c r="G388" t="s">
        <v>1293</v>
      </c>
      <c r="H388" t="s">
        <v>1895</v>
      </c>
      <c r="I388">
        <v>73.59</v>
      </c>
      <c r="J388">
        <v>73.59</v>
      </c>
      <c r="K388" t="s">
        <v>151</v>
      </c>
      <c r="L388">
        <v>1</v>
      </c>
      <c r="M388">
        <v>2018</v>
      </c>
      <c r="O388" t="str">
        <f t="shared" si="13"/>
        <v>Talhadia</v>
      </c>
      <c r="P388" s="2">
        <v>43368</v>
      </c>
      <c r="Q388" t="s">
        <v>174</v>
      </c>
      <c r="R388" t="s">
        <v>165</v>
      </c>
      <c r="S388" t="s">
        <v>154</v>
      </c>
      <c r="T388" t="s">
        <v>155</v>
      </c>
      <c r="U388" t="s">
        <v>156</v>
      </c>
      <c r="V388" s="2">
        <v>45742</v>
      </c>
      <c r="W388" t="s">
        <v>1295</v>
      </c>
      <c r="X388">
        <v>74.740000000000009</v>
      </c>
      <c r="Y388">
        <v>20.7</v>
      </c>
      <c r="Z388">
        <v>19</v>
      </c>
      <c r="AA388">
        <v>15</v>
      </c>
      <c r="AB388">
        <v>2</v>
      </c>
      <c r="AC388">
        <v>310.5</v>
      </c>
      <c r="AD388">
        <v>293.404674576952</v>
      </c>
      <c r="AE388" s="2">
        <v>45742</v>
      </c>
      <c r="AF388">
        <v>78</v>
      </c>
      <c r="AG388">
        <v>6.4996577686516099</v>
      </c>
      <c r="AH388">
        <v>26.786422311938399</v>
      </c>
      <c r="AI388">
        <v>17.985185185185198</v>
      </c>
      <c r="AJ388">
        <v>24.988915580298698</v>
      </c>
      <c r="AK388">
        <v>27</v>
      </c>
      <c r="AL388">
        <v>920.23073725495999</v>
      </c>
      <c r="AM388">
        <v>326.73905920822102</v>
      </c>
      <c r="AN388">
        <v>0.35506210125395399</v>
      </c>
      <c r="AO388" t="s">
        <v>165</v>
      </c>
      <c r="AP388" t="s">
        <v>264</v>
      </c>
      <c r="AQ388" t="s">
        <v>530</v>
      </c>
      <c r="AR388">
        <v>9</v>
      </c>
      <c r="AS388">
        <v>0.8282076635294634</v>
      </c>
      <c r="AT388" t="s">
        <v>1898</v>
      </c>
      <c r="AU388" t="s">
        <v>1897</v>
      </c>
      <c r="AV388">
        <v>1219</v>
      </c>
      <c r="AW388">
        <v>606</v>
      </c>
      <c r="AX388">
        <v>404</v>
      </c>
      <c r="AY388">
        <v>152</v>
      </c>
      <c r="AZ388">
        <v>55</v>
      </c>
      <c r="BA388">
        <v>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34.137999999999998</v>
      </c>
      <c r="BI388">
        <v>18.137799000000001</v>
      </c>
      <c r="BJ388">
        <v>0</v>
      </c>
      <c r="BK388">
        <v>12.540775</v>
      </c>
      <c r="BL388">
        <v>157.27103</v>
      </c>
      <c r="BM388">
        <v>0.69141699999999995</v>
      </c>
      <c r="BN388">
        <v>27.054499</v>
      </c>
      <c r="BO388">
        <v>-0.38660699999999998</v>
      </c>
      <c r="BP388">
        <v>1.466019</v>
      </c>
      <c r="BQ388">
        <v>11.432214999999999</v>
      </c>
      <c r="BR388">
        <v>8.4769989999999993</v>
      </c>
      <c r="BS388">
        <v>22.635000000000002</v>
      </c>
      <c r="BT388">
        <v>18.137799000000001</v>
      </c>
      <c r="BU388">
        <v>6.9607460000000003</v>
      </c>
      <c r="BV388">
        <v>-0.92489399999999999</v>
      </c>
      <c r="BW388">
        <v>-0.76481900000000003</v>
      </c>
      <c r="BX388">
        <v>0.38377</v>
      </c>
      <c r="BY388">
        <v>-0.13287299999999999</v>
      </c>
      <c r="BZ388">
        <v>-0.109876</v>
      </c>
      <c r="CA388">
        <v>3.0000000000000001E-3</v>
      </c>
      <c r="CB388">
        <v>2.5000000000000001E-2</v>
      </c>
      <c r="CC388">
        <v>7.8600000000000003E-2</v>
      </c>
      <c r="CD388">
        <v>1.391</v>
      </c>
      <c r="CE388">
        <v>2.496</v>
      </c>
      <c r="CF388">
        <v>5.8196000000000003</v>
      </c>
      <c r="CG388">
        <v>16.894600000000001</v>
      </c>
      <c r="CH388">
        <v>22.635000000000002</v>
      </c>
      <c r="CI388">
        <v>27.063600999999998</v>
      </c>
      <c r="CJ388">
        <v>28.972598999999999</v>
      </c>
      <c r="CK388">
        <v>29.550498999999999</v>
      </c>
      <c r="CL388">
        <v>30.386199999999999</v>
      </c>
      <c r="CM388">
        <v>31.530201000000002</v>
      </c>
      <c r="CN388">
        <v>32.127696999999998</v>
      </c>
      <c r="CO388">
        <v>33.246718999999999</v>
      </c>
      <c r="CP388">
        <v>0.531308</v>
      </c>
      <c r="CQ388">
        <v>22.048169000000001</v>
      </c>
      <c r="CR388">
        <v>23.960412999999999</v>
      </c>
      <c r="CS388">
        <v>22</v>
      </c>
      <c r="CT388">
        <v>671</v>
      </c>
      <c r="CU388">
        <v>139.065628</v>
      </c>
      <c r="CV388">
        <v>42.603175</v>
      </c>
      <c r="CW388">
        <v>98.942796999999999</v>
      </c>
      <c r="CX388">
        <v>9789.6771339999996</v>
      </c>
      <c r="CY388">
        <v>0.71148299999999998</v>
      </c>
      <c r="CZ388">
        <v>141</v>
      </c>
      <c r="DA388">
        <v>1.2237629999999999</v>
      </c>
      <c r="DB388">
        <v>4.7086030000000001</v>
      </c>
      <c r="DC388">
        <v>79.464877000000001</v>
      </c>
      <c r="DD388">
        <v>139.065628</v>
      </c>
      <c r="DE388">
        <v>53.156024000000002</v>
      </c>
      <c r="DF388">
        <v>13.34149</v>
      </c>
      <c r="DG388">
        <v>4.5265589999999998</v>
      </c>
      <c r="DH388">
        <v>0.38223699999999999</v>
      </c>
      <c r="DI388">
        <v>0.25098700000000002</v>
      </c>
      <c r="DJ388">
        <v>8.5155999999999996E-2</v>
      </c>
      <c r="DK388">
        <v>26</v>
      </c>
      <c r="DL388">
        <v>33</v>
      </c>
      <c r="DM388">
        <v>39</v>
      </c>
      <c r="DN388">
        <v>52</v>
      </c>
      <c r="DO388">
        <v>59</v>
      </c>
      <c r="DP388">
        <v>67</v>
      </c>
      <c r="DQ388">
        <v>86</v>
      </c>
      <c r="DR388">
        <v>112</v>
      </c>
      <c r="DS388">
        <v>141</v>
      </c>
      <c r="DT388">
        <v>175</v>
      </c>
      <c r="DU388">
        <v>200</v>
      </c>
      <c r="DV388">
        <v>221.400024</v>
      </c>
      <c r="DW388">
        <v>280</v>
      </c>
      <c r="DX388">
        <v>320.09997600000003</v>
      </c>
      <c r="DY388">
        <v>431.55957000000001</v>
      </c>
      <c r="DZ388">
        <v>94.059405999999996</v>
      </c>
      <c r="EA388">
        <v>73.666939999999997</v>
      </c>
      <c r="EB388">
        <v>148.18481800000001</v>
      </c>
      <c r="EC388">
        <v>570</v>
      </c>
      <c r="ED388">
        <v>898</v>
      </c>
      <c r="EE388">
        <v>85.643563999999998</v>
      </c>
      <c r="EF388">
        <v>100</v>
      </c>
      <c r="EG388">
        <v>58.736668999999999</v>
      </c>
      <c r="EH388">
        <v>99.835931000000002</v>
      </c>
      <c r="EI388">
        <v>118.151815</v>
      </c>
      <c r="EJ388">
        <v>200.82508300000001</v>
      </c>
      <c r="EK388">
        <v>519</v>
      </c>
      <c r="EL388">
        <v>606</v>
      </c>
      <c r="EM388">
        <v>716</v>
      </c>
      <c r="EN388">
        <v>1217</v>
      </c>
      <c r="EO388">
        <v>606</v>
      </c>
      <c r="EP388">
        <v>1219</v>
      </c>
      <c r="EQ388">
        <v>53.533355</v>
      </c>
    </row>
    <row r="389" spans="1:147" x14ac:dyDescent="0.25">
      <c r="A389">
        <v>2025</v>
      </c>
      <c r="B389" t="str">
        <f t="shared" si="12"/>
        <v>NE</v>
      </c>
      <c r="C389" t="s">
        <v>1899</v>
      </c>
      <c r="D389" t="s">
        <v>1899</v>
      </c>
      <c r="E389">
        <v>26171</v>
      </c>
      <c r="F389" t="s">
        <v>1894</v>
      </c>
      <c r="G389" t="s">
        <v>1293</v>
      </c>
      <c r="H389" t="s">
        <v>1895</v>
      </c>
      <c r="I389">
        <v>73.59</v>
      </c>
      <c r="J389">
        <v>73.59</v>
      </c>
      <c r="K389" t="s">
        <v>151</v>
      </c>
      <c r="L389">
        <v>1</v>
      </c>
      <c r="M389">
        <v>2018</v>
      </c>
      <c r="O389" t="str">
        <f t="shared" si="13"/>
        <v>Talhadia</v>
      </c>
      <c r="P389" s="2">
        <v>43368</v>
      </c>
      <c r="Q389" t="s">
        <v>174</v>
      </c>
      <c r="R389" t="s">
        <v>165</v>
      </c>
      <c r="S389" t="s">
        <v>154</v>
      </c>
      <c r="T389" t="s">
        <v>155</v>
      </c>
      <c r="U389" t="s">
        <v>156</v>
      </c>
      <c r="V389" s="2">
        <v>44788</v>
      </c>
      <c r="W389" t="s">
        <v>1295</v>
      </c>
      <c r="X389">
        <v>74.740000000000009</v>
      </c>
      <c r="Y389">
        <v>21</v>
      </c>
      <c r="Z389">
        <v>31</v>
      </c>
      <c r="AA389">
        <v>15.6</v>
      </c>
      <c r="AB389">
        <v>10</v>
      </c>
      <c r="AC389">
        <v>327.60000000000002</v>
      </c>
      <c r="AD389">
        <v>276.54190310073199</v>
      </c>
      <c r="AE389" s="2">
        <v>45742</v>
      </c>
      <c r="AF389">
        <v>78</v>
      </c>
      <c r="AG389">
        <v>6.4996577686516099</v>
      </c>
      <c r="AH389">
        <v>22.745327981637299</v>
      </c>
      <c r="AI389">
        <v>15.828125</v>
      </c>
      <c r="AJ389">
        <v>24.588382599335102</v>
      </c>
      <c r="AK389">
        <v>32</v>
      </c>
      <c r="AL389">
        <v>1157.1483251253901</v>
      </c>
      <c r="AM389">
        <v>271.41296896456203</v>
      </c>
      <c r="AN389">
        <v>0.234553309261499</v>
      </c>
      <c r="AO389" t="s">
        <v>165</v>
      </c>
      <c r="AP389" t="s">
        <v>264</v>
      </c>
      <c r="AQ389" t="s">
        <v>530</v>
      </c>
      <c r="AR389">
        <v>9</v>
      </c>
      <c r="AS389">
        <v>1.041433492612851</v>
      </c>
      <c r="AT389" t="s">
        <v>1900</v>
      </c>
      <c r="AU389" t="s">
        <v>1899</v>
      </c>
      <c r="AV389">
        <v>1206</v>
      </c>
      <c r="AW389">
        <v>612</v>
      </c>
      <c r="AX389">
        <v>395</v>
      </c>
      <c r="AY389">
        <v>154</v>
      </c>
      <c r="AZ389">
        <v>38</v>
      </c>
      <c r="BA389">
        <v>7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30.620999999999999</v>
      </c>
      <c r="BI389">
        <v>16.125216000000002</v>
      </c>
      <c r="BJ389">
        <v>0</v>
      </c>
      <c r="BK389">
        <v>11.409651999999999</v>
      </c>
      <c r="BL389">
        <v>130.18016399999999</v>
      </c>
      <c r="BM389">
        <v>0.70756600000000003</v>
      </c>
      <c r="BN389">
        <v>26.180250000000001</v>
      </c>
      <c r="BO389">
        <v>-0.38187500000000002</v>
      </c>
      <c r="BP389">
        <v>1.492472</v>
      </c>
      <c r="BQ389">
        <v>10.35398</v>
      </c>
      <c r="BR389">
        <v>8.0165000000000006</v>
      </c>
      <c r="BS389">
        <v>20.077499</v>
      </c>
      <c r="BT389">
        <v>16.125216000000002</v>
      </c>
      <c r="BU389">
        <v>6.3411169999999997</v>
      </c>
      <c r="BV389">
        <v>-0.75760099999999997</v>
      </c>
      <c r="BW389">
        <v>-0.69283600000000001</v>
      </c>
      <c r="BX389">
        <v>0.39324199999999998</v>
      </c>
      <c r="BY389">
        <v>-0.119474</v>
      </c>
      <c r="BZ389">
        <v>-0.109261</v>
      </c>
      <c r="CA389">
        <v>5.0000000000000001E-3</v>
      </c>
      <c r="CB389">
        <v>2.8250000000000001E-2</v>
      </c>
      <c r="CC389">
        <v>8.5000000000000006E-2</v>
      </c>
      <c r="CD389">
        <v>0.26400000000000001</v>
      </c>
      <c r="CE389">
        <v>0.47925000000000001</v>
      </c>
      <c r="CF389">
        <v>6.9435000000000002</v>
      </c>
      <c r="CG389">
        <v>14.521000000000001</v>
      </c>
      <c r="CH389">
        <v>20.077499</v>
      </c>
      <c r="CI389">
        <v>23.539000000000001</v>
      </c>
      <c r="CJ389">
        <v>25.854500000000002</v>
      </c>
      <c r="CK389">
        <v>26.659500000000001</v>
      </c>
      <c r="CL389">
        <v>27.389999</v>
      </c>
      <c r="CM389">
        <v>28.591999000000001</v>
      </c>
      <c r="CN389">
        <v>29.240500999999998</v>
      </c>
      <c r="CO389">
        <v>29.934398999999999</v>
      </c>
      <c r="CP389">
        <v>0.52660600000000002</v>
      </c>
      <c r="CQ389">
        <v>19.750817999999999</v>
      </c>
      <c r="CR389">
        <v>21.485662999999999</v>
      </c>
      <c r="CS389">
        <v>23</v>
      </c>
      <c r="CT389">
        <v>921</v>
      </c>
      <c r="CU389">
        <v>201.09369799999999</v>
      </c>
      <c r="CV389">
        <v>37.253968</v>
      </c>
      <c r="CW389">
        <v>166.41074599999999</v>
      </c>
      <c r="CX389">
        <v>27692.53644</v>
      </c>
      <c r="CY389">
        <v>0.82752800000000004</v>
      </c>
      <c r="CZ389">
        <v>216.75</v>
      </c>
      <c r="DA389">
        <v>1.3442069999999999</v>
      </c>
      <c r="DB389">
        <v>4.579472</v>
      </c>
      <c r="DC389">
        <v>131.22366199999999</v>
      </c>
      <c r="DD389">
        <v>201.09369799999999</v>
      </c>
      <c r="DE389">
        <v>87.677428000000006</v>
      </c>
      <c r="DF389">
        <v>26.112279000000001</v>
      </c>
      <c r="DG389">
        <v>9.6133950000000006</v>
      </c>
      <c r="DH389">
        <v>0.43600299999999997</v>
      </c>
      <c r="DI389">
        <v>0.29782199999999998</v>
      </c>
      <c r="DJ389">
        <v>0.10964500000000001</v>
      </c>
      <c r="DK389">
        <v>27.049999</v>
      </c>
      <c r="DL389">
        <v>36</v>
      </c>
      <c r="DM389">
        <v>43</v>
      </c>
      <c r="DN389">
        <v>59</v>
      </c>
      <c r="DO389">
        <v>71</v>
      </c>
      <c r="DP389">
        <v>83</v>
      </c>
      <c r="DQ389">
        <v>108</v>
      </c>
      <c r="DR389">
        <v>150</v>
      </c>
      <c r="DS389">
        <v>196</v>
      </c>
      <c r="DT389">
        <v>254.5</v>
      </c>
      <c r="DU389">
        <v>287.75</v>
      </c>
      <c r="DV389">
        <v>328</v>
      </c>
      <c r="DW389">
        <v>438.5</v>
      </c>
      <c r="DX389">
        <v>547</v>
      </c>
      <c r="DY389">
        <v>748.74975600000005</v>
      </c>
      <c r="DZ389">
        <v>86.111110999999994</v>
      </c>
      <c r="EA389">
        <v>72.222222000000002</v>
      </c>
      <c r="EB389">
        <v>142.32026099999999</v>
      </c>
      <c r="EC389">
        <v>527</v>
      </c>
      <c r="ED389">
        <v>871</v>
      </c>
      <c r="EE389">
        <v>74.673203000000001</v>
      </c>
      <c r="EF389">
        <v>99.836601000000002</v>
      </c>
      <c r="EG389">
        <v>57.794362</v>
      </c>
      <c r="EH389">
        <v>99.917080999999996</v>
      </c>
      <c r="EI389">
        <v>113.88888900000001</v>
      </c>
      <c r="EJ389">
        <v>196.89542499999999</v>
      </c>
      <c r="EK389">
        <v>457</v>
      </c>
      <c r="EL389">
        <v>611</v>
      </c>
      <c r="EM389">
        <v>697</v>
      </c>
      <c r="EN389">
        <v>1205</v>
      </c>
      <c r="EO389">
        <v>612</v>
      </c>
      <c r="EP389">
        <v>1206</v>
      </c>
      <c r="EQ389">
        <v>52.85472</v>
      </c>
    </row>
    <row r="390" spans="1:147" x14ac:dyDescent="0.25">
      <c r="A390">
        <v>2025</v>
      </c>
      <c r="B390" t="str">
        <f t="shared" si="12"/>
        <v>NE</v>
      </c>
      <c r="C390" t="s">
        <v>1901</v>
      </c>
      <c r="D390" t="s">
        <v>1901</v>
      </c>
      <c r="E390">
        <v>26172</v>
      </c>
      <c r="F390" t="s">
        <v>1894</v>
      </c>
      <c r="G390" t="s">
        <v>1293</v>
      </c>
      <c r="H390" t="s">
        <v>1895</v>
      </c>
      <c r="I390">
        <v>73.59</v>
      </c>
      <c r="J390">
        <v>73.59</v>
      </c>
      <c r="K390" t="s">
        <v>151</v>
      </c>
      <c r="L390">
        <v>1</v>
      </c>
      <c r="M390">
        <v>2018</v>
      </c>
      <c r="O390" t="str">
        <f t="shared" si="13"/>
        <v>Talhadia</v>
      </c>
      <c r="P390" s="2">
        <v>43368</v>
      </c>
      <c r="Q390" t="s">
        <v>174</v>
      </c>
      <c r="R390" t="s">
        <v>165</v>
      </c>
      <c r="S390" t="s">
        <v>154</v>
      </c>
      <c r="T390" t="s">
        <v>155</v>
      </c>
      <c r="U390" t="s">
        <v>156</v>
      </c>
      <c r="V390" s="2">
        <v>45742</v>
      </c>
      <c r="W390" t="s">
        <v>1295</v>
      </c>
      <c r="X390">
        <v>74.740000000000009</v>
      </c>
      <c r="Y390">
        <v>20.8</v>
      </c>
      <c r="Z390">
        <v>31</v>
      </c>
      <c r="AA390">
        <v>14.6</v>
      </c>
      <c r="AB390">
        <v>2</v>
      </c>
      <c r="AC390">
        <v>303.68</v>
      </c>
      <c r="AD390">
        <v>260.14599536887903</v>
      </c>
      <c r="AE390" s="2">
        <v>45742</v>
      </c>
      <c r="AF390">
        <v>78</v>
      </c>
      <c r="AG390">
        <v>6.4996577686516099</v>
      </c>
      <c r="AH390">
        <v>24.184065217111499</v>
      </c>
      <c r="AI390">
        <v>16.36</v>
      </c>
      <c r="AJ390">
        <v>26.390267576679001</v>
      </c>
      <c r="AK390">
        <v>30</v>
      </c>
      <c r="AL390">
        <v>1153.19860901418</v>
      </c>
      <c r="AM390">
        <v>314.68999648284301</v>
      </c>
      <c r="AN390">
        <v>0.272884474558861</v>
      </c>
      <c r="AO390" t="s">
        <v>165</v>
      </c>
      <c r="AP390" t="s">
        <v>264</v>
      </c>
      <c r="AQ390" t="s">
        <v>530</v>
      </c>
      <c r="AR390">
        <v>9</v>
      </c>
      <c r="AS390">
        <v>1.03787874811276</v>
      </c>
      <c r="AT390" t="s">
        <v>1902</v>
      </c>
      <c r="AU390" t="s">
        <v>1901</v>
      </c>
      <c r="AV390">
        <v>1038</v>
      </c>
      <c r="AW390">
        <v>544</v>
      </c>
      <c r="AX390">
        <v>345</v>
      </c>
      <c r="AY390">
        <v>112</v>
      </c>
      <c r="AZ390">
        <v>32</v>
      </c>
      <c r="BA390">
        <v>5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34.074001000000003</v>
      </c>
      <c r="BI390">
        <v>19.871279999999999</v>
      </c>
      <c r="BJ390">
        <v>0</v>
      </c>
      <c r="BK390">
        <v>12.591549000000001</v>
      </c>
      <c r="BL390">
        <v>158.547111</v>
      </c>
      <c r="BM390">
        <v>0.633656</v>
      </c>
      <c r="BN390">
        <v>21.641999999999999</v>
      </c>
      <c r="BO390">
        <v>-0.620645</v>
      </c>
      <c r="BP390">
        <v>1.744218</v>
      </c>
      <c r="BQ390">
        <v>11.289417</v>
      </c>
      <c r="BR390">
        <v>6.0880010000000002</v>
      </c>
      <c r="BS390">
        <v>26.2745</v>
      </c>
      <c r="BT390">
        <v>19.871279999999999</v>
      </c>
      <c r="BU390">
        <v>6.8567499999999999</v>
      </c>
      <c r="BV390">
        <v>-1.43163</v>
      </c>
      <c r="BW390">
        <v>-0.44245000000000001</v>
      </c>
      <c r="BX390">
        <v>0.34505799999999998</v>
      </c>
      <c r="BY390">
        <v>-0.208791</v>
      </c>
      <c r="BZ390">
        <v>-6.4528000000000002E-2</v>
      </c>
      <c r="CA390">
        <v>2E-3</v>
      </c>
      <c r="CB390">
        <v>1.2E-2</v>
      </c>
      <c r="CC390">
        <v>2.6700000000000002E-2</v>
      </c>
      <c r="CD390">
        <v>8.72E-2</v>
      </c>
      <c r="CE390">
        <v>8.71875</v>
      </c>
      <c r="CF390">
        <v>12.486800000000001</v>
      </c>
      <c r="CG390">
        <v>20.725000000000001</v>
      </c>
      <c r="CH390">
        <v>26.2745</v>
      </c>
      <c r="CI390">
        <v>28.069201</v>
      </c>
      <c r="CJ390">
        <v>29.691799</v>
      </c>
      <c r="CK390">
        <v>30.360749999999999</v>
      </c>
      <c r="CL390">
        <v>31.1252</v>
      </c>
      <c r="CM390">
        <v>32.392498000000003</v>
      </c>
      <c r="CN390">
        <v>33.020102999999999</v>
      </c>
      <c r="CO390">
        <v>33.702781999999999</v>
      </c>
      <c r="CP390">
        <v>0.58318000000000003</v>
      </c>
      <c r="CQ390">
        <v>23.521525</v>
      </c>
      <c r="CR390">
        <v>25.225258</v>
      </c>
      <c r="CS390">
        <v>23</v>
      </c>
      <c r="CT390">
        <v>778</v>
      </c>
      <c r="CU390">
        <v>175.13872799999999</v>
      </c>
      <c r="CV390">
        <v>34.984127000000001</v>
      </c>
      <c r="CW390">
        <v>155.07285100000001</v>
      </c>
      <c r="CX390">
        <v>24047.589220000002</v>
      </c>
      <c r="CY390">
        <v>0.88542900000000002</v>
      </c>
      <c r="CZ390">
        <v>169.75</v>
      </c>
      <c r="DA390">
        <v>1.642541</v>
      </c>
      <c r="DB390">
        <v>5.5124449999999996</v>
      </c>
      <c r="DC390">
        <v>116.58607600000001</v>
      </c>
      <c r="DD390">
        <v>175.13872799999999</v>
      </c>
      <c r="DE390">
        <v>78.597605000000001</v>
      </c>
      <c r="DF390">
        <v>27.573347999999999</v>
      </c>
      <c r="DG390">
        <v>12.334021</v>
      </c>
      <c r="DH390">
        <v>0.44877299999999998</v>
      </c>
      <c r="DI390">
        <v>0.35081699999999999</v>
      </c>
      <c r="DJ390">
        <v>0.15692600000000001</v>
      </c>
      <c r="DK390">
        <v>26</v>
      </c>
      <c r="DL390">
        <v>34</v>
      </c>
      <c r="DM390">
        <v>39</v>
      </c>
      <c r="DN390">
        <v>54</v>
      </c>
      <c r="DO390">
        <v>61</v>
      </c>
      <c r="DP390">
        <v>70</v>
      </c>
      <c r="DQ390">
        <v>93</v>
      </c>
      <c r="DR390">
        <v>123</v>
      </c>
      <c r="DS390">
        <v>162</v>
      </c>
      <c r="DT390">
        <v>208</v>
      </c>
      <c r="DU390">
        <v>230.75</v>
      </c>
      <c r="DV390">
        <v>262.59997600000003</v>
      </c>
      <c r="DW390">
        <v>394.59997600000003</v>
      </c>
      <c r="DX390">
        <v>522.45007299999997</v>
      </c>
      <c r="DY390">
        <v>724.08007799999996</v>
      </c>
      <c r="DZ390">
        <v>91.727941000000001</v>
      </c>
      <c r="EA390">
        <v>77.071291000000002</v>
      </c>
      <c r="EB390">
        <v>147.05882399999999</v>
      </c>
      <c r="EC390">
        <v>499</v>
      </c>
      <c r="ED390">
        <v>800</v>
      </c>
      <c r="EE390">
        <v>81.617647000000005</v>
      </c>
      <c r="EF390">
        <v>100</v>
      </c>
      <c r="EG390">
        <v>60.597302999999997</v>
      </c>
      <c r="EH390">
        <v>99.903661</v>
      </c>
      <c r="EI390">
        <v>115.625</v>
      </c>
      <c r="EJ390">
        <v>190.625</v>
      </c>
      <c r="EK390">
        <v>444</v>
      </c>
      <c r="EL390">
        <v>544</v>
      </c>
      <c r="EM390">
        <v>629</v>
      </c>
      <c r="EN390">
        <v>1037</v>
      </c>
      <c r="EO390">
        <v>544</v>
      </c>
      <c r="EP390">
        <v>1038</v>
      </c>
      <c r="EQ390">
        <v>57.993012999999998</v>
      </c>
    </row>
    <row r="391" spans="1:147" x14ac:dyDescent="0.25">
      <c r="A391">
        <v>2025</v>
      </c>
      <c r="B391" t="str">
        <f t="shared" si="12"/>
        <v>NE</v>
      </c>
      <c r="C391" t="s">
        <v>1903</v>
      </c>
      <c r="D391" t="s">
        <v>1903</v>
      </c>
      <c r="E391">
        <v>25419</v>
      </c>
      <c r="F391" t="s">
        <v>1904</v>
      </c>
      <c r="G391" t="s">
        <v>1905</v>
      </c>
      <c r="H391" t="s">
        <v>1906</v>
      </c>
      <c r="I391">
        <v>33.03</v>
      </c>
      <c r="J391">
        <v>33.03</v>
      </c>
      <c r="K391" t="s">
        <v>301</v>
      </c>
      <c r="L391">
        <v>1</v>
      </c>
      <c r="M391">
        <v>2017</v>
      </c>
      <c r="O391" t="str">
        <f t="shared" si="13"/>
        <v>Alto fuste</v>
      </c>
      <c r="P391" s="2">
        <v>42916</v>
      </c>
      <c r="Q391" t="s">
        <v>174</v>
      </c>
      <c r="R391" t="s">
        <v>470</v>
      </c>
      <c r="S391" t="s">
        <v>154</v>
      </c>
      <c r="T391" t="s">
        <v>175</v>
      </c>
      <c r="U391" t="s">
        <v>156</v>
      </c>
      <c r="V391" s="2">
        <v>44789</v>
      </c>
      <c r="W391" t="s">
        <v>1907</v>
      </c>
      <c r="X391">
        <v>86.3</v>
      </c>
      <c r="Y391">
        <v>20</v>
      </c>
      <c r="Z391">
        <v>29</v>
      </c>
      <c r="AA391">
        <v>14.4</v>
      </c>
      <c r="AB391">
        <v>9</v>
      </c>
      <c r="AC391">
        <v>288</v>
      </c>
      <c r="AD391">
        <v>248.78928591253899</v>
      </c>
      <c r="AE391" s="2">
        <v>45722</v>
      </c>
      <c r="AF391">
        <v>93</v>
      </c>
      <c r="AG391">
        <v>7.6824093086926801</v>
      </c>
      <c r="AH391">
        <v>30.3960141347312</v>
      </c>
      <c r="AI391">
        <v>16.7</v>
      </c>
      <c r="AJ391">
        <v>30.325188059437099</v>
      </c>
      <c r="AK391">
        <v>34</v>
      </c>
      <c r="AL391">
        <v>1366.61833628771</v>
      </c>
      <c r="AM391">
        <v>413.32208098130701</v>
      </c>
      <c r="AN391">
        <v>0.30244148640948199</v>
      </c>
      <c r="AO391" t="s">
        <v>470</v>
      </c>
      <c r="AP391" t="s">
        <v>158</v>
      </c>
      <c r="AQ391" t="s">
        <v>850</v>
      </c>
      <c r="AR391">
        <v>9</v>
      </c>
      <c r="AS391">
        <v>1.2299565026589341</v>
      </c>
      <c r="AT391" t="s">
        <v>1908</v>
      </c>
      <c r="AU391" t="s">
        <v>1903</v>
      </c>
      <c r="AV391">
        <v>1041</v>
      </c>
      <c r="AW391">
        <v>564</v>
      </c>
      <c r="AX391">
        <v>321</v>
      </c>
      <c r="AY391">
        <v>121</v>
      </c>
      <c r="AZ391">
        <v>30</v>
      </c>
      <c r="BA391">
        <v>5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35.779998999999997</v>
      </c>
      <c r="BI391">
        <v>22.233561000000002</v>
      </c>
      <c r="BJ391">
        <v>0</v>
      </c>
      <c r="BK391">
        <v>12.066824</v>
      </c>
      <c r="BL391">
        <v>145.60824500000001</v>
      </c>
      <c r="BM391">
        <v>0.54273000000000005</v>
      </c>
      <c r="BN391">
        <v>17.346001999999999</v>
      </c>
      <c r="BO391">
        <v>-0.90980000000000005</v>
      </c>
      <c r="BP391">
        <v>2.3504290000000001</v>
      </c>
      <c r="BQ391">
        <v>10.171681</v>
      </c>
      <c r="BR391">
        <v>5.7899989999999999</v>
      </c>
      <c r="BS391">
        <v>27.356999999999999</v>
      </c>
      <c r="BT391">
        <v>22.233561000000002</v>
      </c>
      <c r="BU391">
        <v>6.4423680000000001</v>
      </c>
      <c r="BV391">
        <v>-1.7694540000000001</v>
      </c>
      <c r="BW391">
        <v>0.14970900000000001</v>
      </c>
      <c r="BX391">
        <v>0.28975899999999999</v>
      </c>
      <c r="BY391">
        <v>-0.27465899999999999</v>
      </c>
      <c r="BZ391">
        <v>2.3238000000000002E-2</v>
      </c>
      <c r="CA391">
        <v>3.0000000000000001E-3</v>
      </c>
      <c r="CB391">
        <v>1.2E-2</v>
      </c>
      <c r="CC391">
        <v>0.03</v>
      </c>
      <c r="CD391">
        <v>10.933</v>
      </c>
      <c r="CE391">
        <v>14.999000000000001</v>
      </c>
      <c r="CF391">
        <v>19.322001</v>
      </c>
      <c r="CG391">
        <v>24.934999000000001</v>
      </c>
      <c r="CH391">
        <v>27.356999999999999</v>
      </c>
      <c r="CI391">
        <v>28.511998999999999</v>
      </c>
      <c r="CJ391">
        <v>30.739000000000001</v>
      </c>
      <c r="CK391">
        <v>32.345001000000003</v>
      </c>
      <c r="CL391">
        <v>32.870998</v>
      </c>
      <c r="CM391">
        <v>33.597000000000001</v>
      </c>
      <c r="CN391">
        <v>34.169998</v>
      </c>
      <c r="CO391">
        <v>35.026401999999997</v>
      </c>
      <c r="CP391">
        <v>0.62139599999999995</v>
      </c>
      <c r="CQ391">
        <v>25.294260000000001</v>
      </c>
      <c r="CR391">
        <v>26.729142</v>
      </c>
      <c r="CS391">
        <v>19</v>
      </c>
      <c r="CT391">
        <v>525</v>
      </c>
      <c r="CU391">
        <v>103.39577300000001</v>
      </c>
      <c r="CV391">
        <v>35.063491999999997</v>
      </c>
      <c r="CW391">
        <v>71.757436999999996</v>
      </c>
      <c r="CX391">
        <v>5149.1297510000004</v>
      </c>
      <c r="CY391">
        <v>0.69400700000000004</v>
      </c>
      <c r="CZ391">
        <v>85</v>
      </c>
      <c r="DA391">
        <v>1.948596</v>
      </c>
      <c r="DB391">
        <v>8.6794919999999998</v>
      </c>
      <c r="DC391">
        <v>53.025824</v>
      </c>
      <c r="DD391">
        <v>103.39577300000001</v>
      </c>
      <c r="DE391">
        <v>36.288508</v>
      </c>
      <c r="DF391">
        <v>10.610044</v>
      </c>
      <c r="DG391">
        <v>5.5830019999999996</v>
      </c>
      <c r="DH391">
        <v>0.35096699999999997</v>
      </c>
      <c r="DI391">
        <v>0.29237999999999997</v>
      </c>
      <c r="DJ391">
        <v>0.15384999999999999</v>
      </c>
      <c r="DK391">
        <v>26</v>
      </c>
      <c r="DL391">
        <v>32</v>
      </c>
      <c r="DM391">
        <v>37</v>
      </c>
      <c r="DN391">
        <v>46</v>
      </c>
      <c r="DO391">
        <v>51</v>
      </c>
      <c r="DP391">
        <v>56</v>
      </c>
      <c r="DQ391">
        <v>69</v>
      </c>
      <c r="DR391">
        <v>84</v>
      </c>
      <c r="DS391">
        <v>102</v>
      </c>
      <c r="DT391">
        <v>126</v>
      </c>
      <c r="DU391">
        <v>136</v>
      </c>
      <c r="DV391">
        <v>148</v>
      </c>
      <c r="DW391">
        <v>186</v>
      </c>
      <c r="DX391">
        <v>229</v>
      </c>
      <c r="DY391">
        <v>379.59997600000003</v>
      </c>
      <c r="DZ391">
        <v>96.808510999999996</v>
      </c>
      <c r="EA391">
        <v>82.132565</v>
      </c>
      <c r="EB391">
        <v>151.59574499999999</v>
      </c>
      <c r="EC391">
        <v>546</v>
      </c>
      <c r="ED391">
        <v>855</v>
      </c>
      <c r="EE391">
        <v>89.184397000000004</v>
      </c>
      <c r="EF391">
        <v>100</v>
      </c>
      <c r="EG391">
        <v>65.417867000000001</v>
      </c>
      <c r="EH391">
        <v>99.807877000000005</v>
      </c>
      <c r="EI391">
        <v>120.744681</v>
      </c>
      <c r="EJ391">
        <v>184.21985799999999</v>
      </c>
      <c r="EK391">
        <v>503</v>
      </c>
      <c r="EL391">
        <v>564</v>
      </c>
      <c r="EM391">
        <v>681</v>
      </c>
      <c r="EN391">
        <v>1039</v>
      </c>
      <c r="EO391">
        <v>564</v>
      </c>
      <c r="EP391">
        <v>1041</v>
      </c>
      <c r="EQ391">
        <v>62.526519999999998</v>
      </c>
    </row>
    <row r="392" spans="1:147" x14ac:dyDescent="0.25">
      <c r="A392">
        <v>2025</v>
      </c>
      <c r="B392" t="str">
        <f t="shared" si="12"/>
        <v>NE</v>
      </c>
      <c r="C392" t="s">
        <v>1909</v>
      </c>
      <c r="D392" t="s">
        <v>1909</v>
      </c>
      <c r="E392">
        <v>28326</v>
      </c>
      <c r="F392" t="s">
        <v>1910</v>
      </c>
      <c r="G392" t="s">
        <v>301</v>
      </c>
      <c r="H392" t="s">
        <v>1911</v>
      </c>
      <c r="I392">
        <v>62.67</v>
      </c>
      <c r="J392">
        <v>62.67</v>
      </c>
      <c r="K392" t="s">
        <v>301</v>
      </c>
      <c r="L392">
        <v>1</v>
      </c>
      <c r="M392">
        <v>2021</v>
      </c>
      <c r="O392" t="str">
        <f t="shared" si="13"/>
        <v>Alto fuste</v>
      </c>
      <c r="P392" s="2">
        <v>44477</v>
      </c>
      <c r="Q392" t="s">
        <v>174</v>
      </c>
      <c r="R392" t="s">
        <v>695</v>
      </c>
      <c r="S392" t="s">
        <v>154</v>
      </c>
      <c r="T392" t="s">
        <v>175</v>
      </c>
      <c r="U392" t="s">
        <v>156</v>
      </c>
      <c r="V392" s="2">
        <v>45768</v>
      </c>
      <c r="W392" t="s">
        <v>1084</v>
      </c>
      <c r="X392">
        <v>185.06</v>
      </c>
      <c r="Y392">
        <v>19.600000000000001</v>
      </c>
      <c r="Z392">
        <v>8</v>
      </c>
      <c r="AA392">
        <v>15.8</v>
      </c>
      <c r="AB392">
        <v>5</v>
      </c>
      <c r="AC392">
        <v>309.68</v>
      </c>
      <c r="AD392">
        <v>305.49925799274399</v>
      </c>
      <c r="AE392" s="2">
        <v>45768</v>
      </c>
      <c r="AF392">
        <v>42</v>
      </c>
      <c r="AG392">
        <v>3.53456536618754</v>
      </c>
      <c r="AH392">
        <v>24.026031716335702</v>
      </c>
      <c r="AI392">
        <v>14.527586206896601</v>
      </c>
      <c r="AJ392">
        <v>16.337941125558999</v>
      </c>
      <c r="AK392">
        <v>29</v>
      </c>
      <c r="AL392">
        <v>949.26580805930405</v>
      </c>
      <c r="AM392">
        <v>182.87062185712699</v>
      </c>
      <c r="AN392">
        <v>0.192644273400082</v>
      </c>
      <c r="AO392" t="s">
        <v>695</v>
      </c>
      <c r="AP392" t="s">
        <v>158</v>
      </c>
      <c r="AQ392" t="s">
        <v>850</v>
      </c>
      <c r="AR392">
        <v>9</v>
      </c>
      <c r="AS392">
        <v>0.85433922725337397</v>
      </c>
      <c r="AT392" t="s">
        <v>1912</v>
      </c>
      <c r="AU392" t="s">
        <v>1909</v>
      </c>
      <c r="AV392">
        <v>1035</v>
      </c>
      <c r="AW392">
        <v>657</v>
      </c>
      <c r="AX392">
        <v>302</v>
      </c>
      <c r="AY392">
        <v>70</v>
      </c>
      <c r="AZ392">
        <v>6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26.075001</v>
      </c>
      <c r="BI392">
        <v>14.977584</v>
      </c>
      <c r="BJ392">
        <v>0</v>
      </c>
      <c r="BK392">
        <v>9.5913500000000003</v>
      </c>
      <c r="BL392">
        <v>91.993988000000002</v>
      </c>
      <c r="BM392">
        <v>0.64037999999999995</v>
      </c>
      <c r="BN392">
        <v>21.946000000000002</v>
      </c>
      <c r="BO392">
        <v>-0.78937900000000005</v>
      </c>
      <c r="BP392">
        <v>1.833623</v>
      </c>
      <c r="BQ392">
        <v>8.5152129999999993</v>
      </c>
      <c r="BR392">
        <v>2.7790010000000001</v>
      </c>
      <c r="BS392">
        <v>19.864000000000001</v>
      </c>
      <c r="BT392">
        <v>14.977584</v>
      </c>
      <c r="BU392">
        <v>4.972245</v>
      </c>
      <c r="BV392">
        <v>-1.269633</v>
      </c>
      <c r="BW392">
        <v>-0.17466499999999999</v>
      </c>
      <c r="BX392">
        <v>0.33197900000000002</v>
      </c>
      <c r="BY392">
        <v>-0.25534400000000002</v>
      </c>
      <c r="BZ392">
        <v>-3.5128E-2</v>
      </c>
      <c r="CA392">
        <v>1E-3</v>
      </c>
      <c r="CB392">
        <v>6.0000000000000001E-3</v>
      </c>
      <c r="CC392">
        <v>1.0999999999999999E-2</v>
      </c>
      <c r="CD392">
        <v>2.8000000000000001E-2</v>
      </c>
      <c r="CE392">
        <v>0.05</v>
      </c>
      <c r="CF392">
        <v>12.689209</v>
      </c>
      <c r="CG392">
        <v>18.525600000000001</v>
      </c>
      <c r="CH392">
        <v>19.864000000000001</v>
      </c>
      <c r="CI392">
        <v>20.880400000000002</v>
      </c>
      <c r="CJ392">
        <v>21.709199999999999</v>
      </c>
      <c r="CK392">
        <v>21.995999999999999</v>
      </c>
      <c r="CL392">
        <v>22.306801</v>
      </c>
      <c r="CM392">
        <v>23.533999999999999</v>
      </c>
      <c r="CN392">
        <v>24.584299000000001</v>
      </c>
      <c r="CO392">
        <v>25.638399</v>
      </c>
      <c r="CP392">
        <v>0.57440400000000003</v>
      </c>
      <c r="CQ392">
        <v>17.782945000000002</v>
      </c>
      <c r="CR392">
        <v>18.939420999999999</v>
      </c>
      <c r="CS392">
        <v>23</v>
      </c>
      <c r="CT392">
        <v>468</v>
      </c>
      <c r="CU392">
        <v>125.02029</v>
      </c>
      <c r="CV392">
        <v>37.126984</v>
      </c>
      <c r="CW392">
        <v>88.450494000000006</v>
      </c>
      <c r="CX392">
        <v>7823.4899169999999</v>
      </c>
      <c r="CY392">
        <v>0.70748900000000003</v>
      </c>
      <c r="CZ392">
        <v>107</v>
      </c>
      <c r="DA392">
        <v>1.4097999999999999</v>
      </c>
      <c r="DB392">
        <v>4.7653850000000002</v>
      </c>
      <c r="DC392">
        <v>67.750382999999999</v>
      </c>
      <c r="DD392">
        <v>125.02029</v>
      </c>
      <c r="DE392">
        <v>46.320968999999998</v>
      </c>
      <c r="DF392">
        <v>13.644026999999999</v>
      </c>
      <c r="DG392">
        <v>6.4621420000000001</v>
      </c>
      <c r="DH392">
        <v>0.370508</v>
      </c>
      <c r="DI392">
        <v>0.29455399999999998</v>
      </c>
      <c r="DJ392">
        <v>0.13950799999999999</v>
      </c>
      <c r="DK392">
        <v>28</v>
      </c>
      <c r="DL392">
        <v>34</v>
      </c>
      <c r="DM392">
        <v>40</v>
      </c>
      <c r="DN392">
        <v>52</v>
      </c>
      <c r="DO392">
        <v>57</v>
      </c>
      <c r="DP392">
        <v>64</v>
      </c>
      <c r="DQ392">
        <v>81.600005999999993</v>
      </c>
      <c r="DR392">
        <v>100</v>
      </c>
      <c r="DS392">
        <v>122.400024</v>
      </c>
      <c r="DT392">
        <v>148.79998800000001</v>
      </c>
      <c r="DU392">
        <v>164</v>
      </c>
      <c r="DV392">
        <v>181.20001199999999</v>
      </c>
      <c r="DW392">
        <v>251.599976</v>
      </c>
      <c r="DX392">
        <v>312</v>
      </c>
      <c r="DY392">
        <v>413.979919</v>
      </c>
      <c r="DZ392">
        <v>89.041095999999996</v>
      </c>
      <c r="EA392">
        <v>72.850241999999994</v>
      </c>
      <c r="EB392">
        <v>114.764079</v>
      </c>
      <c r="EC392">
        <v>585</v>
      </c>
      <c r="ED392">
        <v>754</v>
      </c>
      <c r="EE392">
        <v>85.235921000000005</v>
      </c>
      <c r="EF392">
        <v>99.695586000000006</v>
      </c>
      <c r="EG392">
        <v>69.082126000000002</v>
      </c>
      <c r="EH392">
        <v>99.516908000000001</v>
      </c>
      <c r="EI392">
        <v>108.828006</v>
      </c>
      <c r="EJ392">
        <v>156.773212</v>
      </c>
      <c r="EK392">
        <v>560</v>
      </c>
      <c r="EL392">
        <v>655</v>
      </c>
      <c r="EM392">
        <v>715</v>
      </c>
      <c r="EN392">
        <v>1030</v>
      </c>
      <c r="EO392">
        <v>657</v>
      </c>
      <c r="EP392">
        <v>1035</v>
      </c>
      <c r="EQ392">
        <v>57.378115000000001</v>
      </c>
    </row>
    <row r="393" spans="1:147" x14ac:dyDescent="0.25">
      <c r="A393">
        <v>2025</v>
      </c>
      <c r="B393" t="str">
        <f t="shared" si="12"/>
        <v>NE</v>
      </c>
      <c r="C393" t="s">
        <v>1913</v>
      </c>
      <c r="D393" t="s">
        <v>1913</v>
      </c>
      <c r="E393">
        <v>27720</v>
      </c>
      <c r="F393" t="s">
        <v>1914</v>
      </c>
      <c r="G393" t="s">
        <v>1915</v>
      </c>
      <c r="H393" t="s">
        <v>1916</v>
      </c>
      <c r="I393">
        <v>33.53</v>
      </c>
      <c r="J393">
        <v>33.53</v>
      </c>
      <c r="K393" t="s">
        <v>301</v>
      </c>
      <c r="L393">
        <v>1</v>
      </c>
      <c r="M393">
        <v>2020</v>
      </c>
      <c r="O393" t="str">
        <f t="shared" si="13"/>
        <v>Talhadia</v>
      </c>
      <c r="P393" s="2">
        <v>44068</v>
      </c>
      <c r="Q393" t="s">
        <v>174</v>
      </c>
      <c r="R393" t="s">
        <v>367</v>
      </c>
      <c r="S393" t="s">
        <v>154</v>
      </c>
      <c r="T393" t="s">
        <v>175</v>
      </c>
      <c r="U393" t="s">
        <v>156</v>
      </c>
      <c r="V393" s="2">
        <v>45708</v>
      </c>
      <c r="W393" t="s">
        <v>1917</v>
      </c>
      <c r="X393">
        <v>33.53</v>
      </c>
      <c r="Y393">
        <v>20</v>
      </c>
      <c r="Z393">
        <v>22</v>
      </c>
      <c r="AA393">
        <v>15.4</v>
      </c>
      <c r="AB393">
        <v>5</v>
      </c>
      <c r="AC393">
        <v>308</v>
      </c>
      <c r="AD393">
        <v>284.48593714331599</v>
      </c>
      <c r="AE393" s="2">
        <v>45708</v>
      </c>
      <c r="AF393">
        <v>54</v>
      </c>
      <c r="AG393">
        <v>4.4900752908966499</v>
      </c>
      <c r="AH393">
        <v>21.3745343692466</v>
      </c>
      <c r="AI393">
        <v>16.0851851851852</v>
      </c>
      <c r="AJ393">
        <v>20.663729037761598</v>
      </c>
      <c r="AK393">
        <v>27</v>
      </c>
      <c r="AL393">
        <v>949.08030502745498</v>
      </c>
      <c r="AM393">
        <v>208.03724833821599</v>
      </c>
      <c r="AN393">
        <v>0.219198783534127</v>
      </c>
      <c r="AO393" t="s">
        <v>367</v>
      </c>
      <c r="AP393" t="s">
        <v>264</v>
      </c>
      <c r="AQ393" t="s">
        <v>850</v>
      </c>
      <c r="AR393">
        <v>9</v>
      </c>
      <c r="AS393">
        <v>0.85417227452471034</v>
      </c>
      <c r="AT393" t="s">
        <v>1918</v>
      </c>
      <c r="AU393" t="s">
        <v>1913</v>
      </c>
      <c r="AV393">
        <v>1165</v>
      </c>
      <c r="AW393">
        <v>701</v>
      </c>
      <c r="AX393">
        <v>364</v>
      </c>
      <c r="AY393">
        <v>90</v>
      </c>
      <c r="AZ393">
        <v>9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29.634001000000001</v>
      </c>
      <c r="BI393">
        <v>14.670883</v>
      </c>
      <c r="BJ393">
        <v>0</v>
      </c>
      <c r="BK393">
        <v>11.637404</v>
      </c>
      <c r="BL393">
        <v>135.429181</v>
      </c>
      <c r="BM393">
        <v>0.79323100000000002</v>
      </c>
      <c r="BN393">
        <v>25.965001000000001</v>
      </c>
      <c r="BO393">
        <v>-0.208039</v>
      </c>
      <c r="BP393">
        <v>1.303369</v>
      </c>
      <c r="BQ393">
        <v>10.728377999999999</v>
      </c>
      <c r="BR393">
        <v>10.737999</v>
      </c>
      <c r="BS393">
        <v>16.325001</v>
      </c>
      <c r="BT393">
        <v>14.670883</v>
      </c>
      <c r="BU393">
        <v>6.4291840000000002</v>
      </c>
      <c r="BV393">
        <v>-0.397781</v>
      </c>
      <c r="BW393">
        <v>-1.0263979999999999</v>
      </c>
      <c r="BX393">
        <v>0.43822699999999998</v>
      </c>
      <c r="BY393">
        <v>-6.1871000000000002E-2</v>
      </c>
      <c r="BZ393">
        <v>-0.15964700000000001</v>
      </c>
      <c r="CA393">
        <v>2E-3</v>
      </c>
      <c r="CB393">
        <v>8.0000000000000002E-3</v>
      </c>
      <c r="CC393">
        <v>1.6E-2</v>
      </c>
      <c r="CD393">
        <v>4.2000000000000003E-2</v>
      </c>
      <c r="CE393">
        <v>6.8000000000000005E-2</v>
      </c>
      <c r="CF393">
        <v>0.80820000000000003</v>
      </c>
      <c r="CG393">
        <v>12.597201</v>
      </c>
      <c r="CH393">
        <v>16.325001</v>
      </c>
      <c r="CI393">
        <v>23.856401000000002</v>
      </c>
      <c r="CJ393">
        <v>25.633600000000001</v>
      </c>
      <c r="CK393">
        <v>26.033000999999999</v>
      </c>
      <c r="CL393">
        <v>26.540400999999999</v>
      </c>
      <c r="CM393">
        <v>27.4422</v>
      </c>
      <c r="CN393">
        <v>28.254601999999998</v>
      </c>
      <c r="CO393">
        <v>29.050557999999999</v>
      </c>
      <c r="CP393">
        <v>0.49506899999999998</v>
      </c>
      <c r="CQ393">
        <v>18.722919999999998</v>
      </c>
      <c r="CR393">
        <v>20.634304</v>
      </c>
      <c r="CS393">
        <v>21</v>
      </c>
      <c r="CT393">
        <v>539</v>
      </c>
      <c r="CU393">
        <v>167.93733900000001</v>
      </c>
      <c r="CV393">
        <v>29.222221999999999</v>
      </c>
      <c r="CW393">
        <v>123.360702</v>
      </c>
      <c r="CX393">
        <v>15217.86291</v>
      </c>
      <c r="CY393">
        <v>0.73456399999999999</v>
      </c>
      <c r="CZ393">
        <v>154</v>
      </c>
      <c r="DA393">
        <v>1.0572900000000001</v>
      </c>
      <c r="DB393">
        <v>3.264106</v>
      </c>
      <c r="DC393">
        <v>97.479203999999996</v>
      </c>
      <c r="DD393">
        <v>167.93733900000001</v>
      </c>
      <c r="DE393">
        <v>66.646097999999995</v>
      </c>
      <c r="DF393">
        <v>17.096018999999998</v>
      </c>
      <c r="DG393">
        <v>6.9617959999999997</v>
      </c>
      <c r="DH393">
        <v>0.39685100000000001</v>
      </c>
      <c r="DI393">
        <v>0.256519</v>
      </c>
      <c r="DJ393">
        <v>0.104459</v>
      </c>
      <c r="DK393">
        <v>25</v>
      </c>
      <c r="DL393">
        <v>33</v>
      </c>
      <c r="DM393">
        <v>41</v>
      </c>
      <c r="DN393">
        <v>59</v>
      </c>
      <c r="DO393">
        <v>69</v>
      </c>
      <c r="DP393">
        <v>82</v>
      </c>
      <c r="DQ393">
        <v>109</v>
      </c>
      <c r="DR393">
        <v>136</v>
      </c>
      <c r="DS393">
        <v>165.400024</v>
      </c>
      <c r="DT393">
        <v>199.79998800000001</v>
      </c>
      <c r="DU393">
        <v>223</v>
      </c>
      <c r="DV393">
        <v>252</v>
      </c>
      <c r="DW393">
        <v>384.79992700000003</v>
      </c>
      <c r="DX393">
        <v>440</v>
      </c>
      <c r="DY393">
        <v>488</v>
      </c>
      <c r="DZ393">
        <v>82.168330999999995</v>
      </c>
      <c r="EA393">
        <v>65.922747000000001</v>
      </c>
      <c r="EB393">
        <v>109.55777500000001</v>
      </c>
      <c r="EC393">
        <v>576</v>
      </c>
      <c r="ED393">
        <v>768</v>
      </c>
      <c r="EE393">
        <v>73.323823000000004</v>
      </c>
      <c r="EF393">
        <v>99.714692999999997</v>
      </c>
      <c r="EG393">
        <v>55.193133000000003</v>
      </c>
      <c r="EH393">
        <v>99.742489000000006</v>
      </c>
      <c r="EI393">
        <v>91.726106000000001</v>
      </c>
      <c r="EJ393">
        <v>165.763195</v>
      </c>
      <c r="EK393">
        <v>514</v>
      </c>
      <c r="EL393">
        <v>699</v>
      </c>
      <c r="EM393">
        <v>643</v>
      </c>
      <c r="EN393">
        <v>1162</v>
      </c>
      <c r="EO393">
        <v>701</v>
      </c>
      <c r="EP393">
        <v>1165</v>
      </c>
      <c r="EQ393">
        <v>49.466192999999997</v>
      </c>
    </row>
    <row r="394" spans="1:147" x14ac:dyDescent="0.25">
      <c r="A394">
        <v>2025</v>
      </c>
      <c r="B394" t="str">
        <f t="shared" si="12"/>
        <v>NE</v>
      </c>
      <c r="C394" t="s">
        <v>1919</v>
      </c>
      <c r="D394" t="s">
        <v>1919</v>
      </c>
      <c r="E394">
        <v>25097</v>
      </c>
      <c r="F394" t="s">
        <v>1920</v>
      </c>
      <c r="G394" t="s">
        <v>1921</v>
      </c>
      <c r="H394" t="s">
        <v>1922</v>
      </c>
      <c r="I394">
        <v>48.01</v>
      </c>
      <c r="J394">
        <v>48.01</v>
      </c>
      <c r="K394" t="s">
        <v>301</v>
      </c>
      <c r="L394">
        <v>1</v>
      </c>
      <c r="M394">
        <v>2016</v>
      </c>
      <c r="O394" t="str">
        <f t="shared" si="13"/>
        <v>Alto fuste</v>
      </c>
      <c r="P394" s="2">
        <v>42566</v>
      </c>
      <c r="Q394" t="s">
        <v>174</v>
      </c>
      <c r="R394" t="s">
        <v>314</v>
      </c>
      <c r="S394" t="s">
        <v>154</v>
      </c>
      <c r="T394" t="s">
        <v>175</v>
      </c>
      <c r="U394" t="s">
        <v>156</v>
      </c>
      <c r="V394" s="2">
        <v>45763</v>
      </c>
      <c r="W394" t="s">
        <v>1923</v>
      </c>
      <c r="X394">
        <v>133.94999999999999</v>
      </c>
      <c r="Y394">
        <v>19.399999999999999</v>
      </c>
      <c r="Z394">
        <v>18</v>
      </c>
      <c r="AA394">
        <v>14.7</v>
      </c>
      <c r="AB394">
        <v>7</v>
      </c>
      <c r="AC394">
        <v>285.18</v>
      </c>
      <c r="AD394">
        <v>269.200647441358</v>
      </c>
      <c r="AE394" s="2">
        <v>45763</v>
      </c>
      <c r="AF394">
        <v>105</v>
      </c>
      <c r="AG394">
        <v>8.7529089664613302</v>
      </c>
      <c r="AH394">
        <v>31.2299157985662</v>
      </c>
      <c r="AI394">
        <v>16.629032258064498</v>
      </c>
      <c r="AJ394">
        <v>25.544663728270599</v>
      </c>
      <c r="AK394">
        <v>31</v>
      </c>
      <c r="AL394">
        <v>1151.5574087448299</v>
      </c>
      <c r="AM394">
        <v>360.98637422615798</v>
      </c>
      <c r="AN394">
        <v>0.31347666341674302</v>
      </c>
      <c r="AO394" t="s">
        <v>314</v>
      </c>
      <c r="AP394" t="s">
        <v>158</v>
      </c>
      <c r="AQ394" t="s">
        <v>850</v>
      </c>
      <c r="AR394">
        <v>9</v>
      </c>
      <c r="AS394">
        <v>1.036401667870344</v>
      </c>
      <c r="AT394" t="s">
        <v>1924</v>
      </c>
      <c r="AU394" t="s">
        <v>1919</v>
      </c>
      <c r="AV394">
        <v>1133</v>
      </c>
      <c r="AW394">
        <v>619</v>
      </c>
      <c r="AX394">
        <v>359</v>
      </c>
      <c r="AY394">
        <v>125</v>
      </c>
      <c r="AZ394">
        <v>26</v>
      </c>
      <c r="BA394">
        <v>4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34.631000999999998</v>
      </c>
      <c r="BI394">
        <v>23.633213999999999</v>
      </c>
      <c r="BJ394">
        <v>0</v>
      </c>
      <c r="BK394">
        <v>10.484080000000001</v>
      </c>
      <c r="BL394">
        <v>109.91593</v>
      </c>
      <c r="BM394">
        <v>0.44361600000000001</v>
      </c>
      <c r="BN394">
        <v>10.756000999999999</v>
      </c>
      <c r="BO394">
        <v>-1.299034</v>
      </c>
      <c r="BP394">
        <v>3.4770620000000001</v>
      </c>
      <c r="BQ394">
        <v>8.0543669999999992</v>
      </c>
      <c r="BR394">
        <v>4.9220009999999998</v>
      </c>
      <c r="BS394">
        <v>26.971001000000001</v>
      </c>
      <c r="BT394">
        <v>23.633213999999999</v>
      </c>
      <c r="BU394">
        <v>5.3814140000000004</v>
      </c>
      <c r="BV394">
        <v>-1.8449469999999999</v>
      </c>
      <c r="BW394">
        <v>0.59567400000000004</v>
      </c>
      <c r="BX394">
        <v>0.22770599999999999</v>
      </c>
      <c r="BY394">
        <v>-0.342837</v>
      </c>
      <c r="BZ394">
        <v>0.110691</v>
      </c>
      <c r="CA394">
        <v>4.0000000000000001E-3</v>
      </c>
      <c r="CB394">
        <v>0.02</v>
      </c>
      <c r="CC394">
        <v>5.62E-2</v>
      </c>
      <c r="CD394">
        <v>18.2624</v>
      </c>
      <c r="CE394">
        <v>20.993998999999999</v>
      </c>
      <c r="CF394">
        <v>22.645800000000001</v>
      </c>
      <c r="CG394">
        <v>24.965199999999999</v>
      </c>
      <c r="CH394">
        <v>26.971001000000001</v>
      </c>
      <c r="CI394">
        <v>28.925799999999999</v>
      </c>
      <c r="CJ394">
        <v>31.406600999999998</v>
      </c>
      <c r="CK394">
        <v>31.75</v>
      </c>
      <c r="CL394">
        <v>32.020598999999997</v>
      </c>
      <c r="CM394">
        <v>32.660400000000003</v>
      </c>
      <c r="CN394">
        <v>33.073600999999996</v>
      </c>
      <c r="CO394">
        <v>34.010159000000002</v>
      </c>
      <c r="CP394">
        <v>0.68242899999999995</v>
      </c>
      <c r="CQ394">
        <v>25.852422000000001</v>
      </c>
      <c r="CR394">
        <v>26.911594999999998</v>
      </c>
      <c r="CS394">
        <v>22</v>
      </c>
      <c r="CT394">
        <v>492</v>
      </c>
      <c r="CU394">
        <v>112.63371600000001</v>
      </c>
      <c r="CV394">
        <v>36.920634999999997</v>
      </c>
      <c r="CW394">
        <v>72.104600000000005</v>
      </c>
      <c r="CX394">
        <v>5199.0733149999996</v>
      </c>
      <c r="CY394">
        <v>0.64016899999999999</v>
      </c>
      <c r="CZ394">
        <v>105</v>
      </c>
      <c r="DA394">
        <v>1.175934</v>
      </c>
      <c r="DB394">
        <v>4.6284340000000004</v>
      </c>
      <c r="DC394">
        <v>58.089055999999999</v>
      </c>
      <c r="DD394">
        <v>112.63371600000001</v>
      </c>
      <c r="DE394">
        <v>38.949869999999997</v>
      </c>
      <c r="DF394">
        <v>9.0409059999999997</v>
      </c>
      <c r="DG394">
        <v>3.1340620000000001</v>
      </c>
      <c r="DH394">
        <v>0.34581000000000001</v>
      </c>
      <c r="DI394">
        <v>0.23211599999999999</v>
      </c>
      <c r="DJ394">
        <v>8.0463999999999994E-2</v>
      </c>
      <c r="DK394">
        <v>28</v>
      </c>
      <c r="DL394">
        <v>34</v>
      </c>
      <c r="DM394">
        <v>38</v>
      </c>
      <c r="DN394">
        <v>48</v>
      </c>
      <c r="DO394">
        <v>53</v>
      </c>
      <c r="DP394">
        <v>59</v>
      </c>
      <c r="DQ394">
        <v>75</v>
      </c>
      <c r="DR394">
        <v>95</v>
      </c>
      <c r="DS394">
        <v>118</v>
      </c>
      <c r="DT394">
        <v>143</v>
      </c>
      <c r="DU394">
        <v>158</v>
      </c>
      <c r="DV394">
        <v>172.599976</v>
      </c>
      <c r="DW394">
        <v>209</v>
      </c>
      <c r="DX394">
        <v>244.400024</v>
      </c>
      <c r="DY394">
        <v>339.08032200000002</v>
      </c>
      <c r="DZ394">
        <v>98.222939999999994</v>
      </c>
      <c r="EA394">
        <v>87.819946999999999</v>
      </c>
      <c r="EB394">
        <v>160.743134</v>
      </c>
      <c r="EC394">
        <v>608</v>
      </c>
      <c r="ED394">
        <v>995</v>
      </c>
      <c r="EE394">
        <v>84.814216000000002</v>
      </c>
      <c r="EF394">
        <v>99.838448999999997</v>
      </c>
      <c r="EG394">
        <v>65.931156000000001</v>
      </c>
      <c r="EH394">
        <v>99.558694000000003</v>
      </c>
      <c r="EI394">
        <v>120.67851400000001</v>
      </c>
      <c r="EJ394">
        <v>182.22940199999999</v>
      </c>
      <c r="EK394">
        <v>525</v>
      </c>
      <c r="EL394">
        <v>618</v>
      </c>
      <c r="EM394">
        <v>747</v>
      </c>
      <c r="EN394">
        <v>1128</v>
      </c>
      <c r="EO394">
        <v>619</v>
      </c>
      <c r="EP394">
        <v>1133</v>
      </c>
      <c r="EQ394">
        <v>68.505989999999997</v>
      </c>
    </row>
    <row r="395" spans="1:147" x14ac:dyDescent="0.25">
      <c r="A395">
        <v>2025</v>
      </c>
      <c r="B395" t="str">
        <f t="shared" si="12"/>
        <v>NE</v>
      </c>
      <c r="C395" t="s">
        <v>1925</v>
      </c>
      <c r="D395" t="s">
        <v>1925</v>
      </c>
      <c r="E395">
        <v>25098</v>
      </c>
      <c r="F395" t="s">
        <v>1920</v>
      </c>
      <c r="G395" t="s">
        <v>1921</v>
      </c>
      <c r="H395" t="s">
        <v>1922</v>
      </c>
      <c r="I395">
        <v>48.01</v>
      </c>
      <c r="J395">
        <v>48.01</v>
      </c>
      <c r="K395" t="s">
        <v>301</v>
      </c>
      <c r="L395">
        <v>1</v>
      </c>
      <c r="M395">
        <v>2016</v>
      </c>
      <c r="O395" t="str">
        <f t="shared" si="13"/>
        <v>Alto fuste</v>
      </c>
      <c r="P395" s="2">
        <v>42566</v>
      </c>
      <c r="Q395" t="s">
        <v>174</v>
      </c>
      <c r="R395" t="s">
        <v>314</v>
      </c>
      <c r="S395" t="s">
        <v>154</v>
      </c>
      <c r="T395" t="s">
        <v>175</v>
      </c>
      <c r="U395" t="s">
        <v>156</v>
      </c>
      <c r="V395" s="2">
        <v>44792</v>
      </c>
      <c r="W395" t="s">
        <v>1923</v>
      </c>
      <c r="X395">
        <v>133.94999999999999</v>
      </c>
      <c r="Y395">
        <v>20</v>
      </c>
      <c r="Z395">
        <v>24</v>
      </c>
      <c r="AA395">
        <v>15</v>
      </c>
      <c r="AB395">
        <v>4</v>
      </c>
      <c r="AC395">
        <v>300</v>
      </c>
      <c r="AD395">
        <v>273.396032046725</v>
      </c>
      <c r="AE395" s="2">
        <v>45763</v>
      </c>
      <c r="AF395">
        <v>105</v>
      </c>
      <c r="AG395">
        <v>8.7529089664613302</v>
      </c>
      <c r="AH395">
        <v>28.970000134967801</v>
      </c>
      <c r="AI395">
        <v>16.746874999999999</v>
      </c>
      <c r="AJ395">
        <v>26.666378293989499</v>
      </c>
      <c r="AK395">
        <v>32</v>
      </c>
      <c r="AL395">
        <v>1170.4632199830501</v>
      </c>
      <c r="AM395">
        <v>354.518126536289</v>
      </c>
      <c r="AN395">
        <v>0.30288702838643899</v>
      </c>
      <c r="AO395" t="s">
        <v>314</v>
      </c>
      <c r="AP395" t="s">
        <v>158</v>
      </c>
      <c r="AQ395" t="s">
        <v>850</v>
      </c>
      <c r="AR395">
        <v>9</v>
      </c>
      <c r="AS395">
        <v>1.0534168979847489</v>
      </c>
      <c r="AT395" t="s">
        <v>1926</v>
      </c>
      <c r="AU395" t="s">
        <v>1925</v>
      </c>
      <c r="AV395">
        <v>1132</v>
      </c>
      <c r="AW395">
        <v>592</v>
      </c>
      <c r="AX395">
        <v>366</v>
      </c>
      <c r="AY395">
        <v>144</v>
      </c>
      <c r="AZ395">
        <v>25</v>
      </c>
      <c r="BA395">
        <v>5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1E-3</v>
      </c>
      <c r="BH395">
        <v>33.705002</v>
      </c>
      <c r="BI395">
        <v>20.317171999999999</v>
      </c>
      <c r="BJ395">
        <v>1E-3</v>
      </c>
      <c r="BK395">
        <v>11.733485999999999</v>
      </c>
      <c r="BL395">
        <v>137.674701</v>
      </c>
      <c r="BM395">
        <v>0.57751600000000003</v>
      </c>
      <c r="BN395">
        <v>17.643999000000001</v>
      </c>
      <c r="BO395">
        <v>-0.82048699999999997</v>
      </c>
      <c r="BP395">
        <v>2.0755499999999998</v>
      </c>
      <c r="BQ395">
        <v>10.018318000000001</v>
      </c>
      <c r="BR395">
        <v>5.4565000000000001</v>
      </c>
      <c r="BS395">
        <v>25.238001000000001</v>
      </c>
      <c r="BT395">
        <v>20.317171999999999</v>
      </c>
      <c r="BU395">
        <v>6.276224</v>
      </c>
      <c r="BV395">
        <v>-1.61286</v>
      </c>
      <c r="BW395">
        <v>-6.1530000000000001E-2</v>
      </c>
      <c r="BX395">
        <v>0.30891200000000002</v>
      </c>
      <c r="BY395">
        <v>-0.25697900000000001</v>
      </c>
      <c r="BZ395">
        <v>-9.8040000000000002E-3</v>
      </c>
      <c r="CA395">
        <v>2.6620000000000001E-2</v>
      </c>
      <c r="CB395">
        <v>0.1331</v>
      </c>
      <c r="CC395">
        <v>0.37030000000000002</v>
      </c>
      <c r="CD395">
        <v>0.94579999999999997</v>
      </c>
      <c r="CE395">
        <v>12.079499999999999</v>
      </c>
      <c r="CF395">
        <v>17.611999999999998</v>
      </c>
      <c r="CG395">
        <v>22.657999</v>
      </c>
      <c r="CH395">
        <v>25.239000000000001</v>
      </c>
      <c r="CI395">
        <v>27.139199999999999</v>
      </c>
      <c r="CJ395">
        <v>29.049800999999999</v>
      </c>
      <c r="CK395">
        <v>29.723499</v>
      </c>
      <c r="CL395">
        <v>30.2178</v>
      </c>
      <c r="CM395">
        <v>31.373899000000002</v>
      </c>
      <c r="CN395">
        <v>32.095149999999997</v>
      </c>
      <c r="CO395">
        <v>33.098381000000003</v>
      </c>
      <c r="CP395">
        <v>0.60278200000000004</v>
      </c>
      <c r="CQ395">
        <v>23.459339</v>
      </c>
      <c r="CR395">
        <v>24.904425</v>
      </c>
      <c r="CS395">
        <v>23</v>
      </c>
      <c r="CT395">
        <v>422</v>
      </c>
      <c r="CU395">
        <v>118.52650199999999</v>
      </c>
      <c r="CV395">
        <v>35.666666999999997</v>
      </c>
      <c r="CW395">
        <v>73.818487000000005</v>
      </c>
      <c r="CX395">
        <v>5449.1690580000004</v>
      </c>
      <c r="CY395">
        <v>0.62280199999999997</v>
      </c>
      <c r="CZ395">
        <v>110</v>
      </c>
      <c r="DA395">
        <v>0.875058</v>
      </c>
      <c r="DB395">
        <v>3.1774040000000001</v>
      </c>
      <c r="DC395">
        <v>60.994168999999999</v>
      </c>
      <c r="DD395">
        <v>118.52650199999999</v>
      </c>
      <c r="DE395">
        <v>40.791629999999998</v>
      </c>
      <c r="DF395">
        <v>8.4080139999999997</v>
      </c>
      <c r="DG395">
        <v>2.4783819999999999</v>
      </c>
      <c r="DH395">
        <v>0.34415600000000002</v>
      </c>
      <c r="DI395">
        <v>0.206121</v>
      </c>
      <c r="DJ395">
        <v>6.0756999999999999E-2</v>
      </c>
      <c r="DK395">
        <v>27.310001</v>
      </c>
      <c r="DL395">
        <v>33</v>
      </c>
      <c r="DM395">
        <v>39</v>
      </c>
      <c r="DN395">
        <v>50</v>
      </c>
      <c r="DO395">
        <v>57</v>
      </c>
      <c r="DP395">
        <v>62</v>
      </c>
      <c r="DQ395">
        <v>80.399994000000007</v>
      </c>
      <c r="DR395">
        <v>101</v>
      </c>
      <c r="DS395">
        <v>125</v>
      </c>
      <c r="DT395">
        <v>152</v>
      </c>
      <c r="DU395">
        <v>167</v>
      </c>
      <c r="DV395">
        <v>184</v>
      </c>
      <c r="DW395">
        <v>226</v>
      </c>
      <c r="DX395">
        <v>257</v>
      </c>
      <c r="DY395">
        <v>321.06982399999998</v>
      </c>
      <c r="DZ395">
        <v>92.905405000000002</v>
      </c>
      <c r="EA395">
        <v>78.445229999999995</v>
      </c>
      <c r="EB395">
        <v>150</v>
      </c>
      <c r="EC395">
        <v>550</v>
      </c>
      <c r="ED395">
        <v>888</v>
      </c>
      <c r="EE395">
        <v>86.148649000000006</v>
      </c>
      <c r="EF395">
        <v>100</v>
      </c>
      <c r="EG395">
        <v>65.547702999999998</v>
      </c>
      <c r="EH395">
        <v>99.911660999999995</v>
      </c>
      <c r="EI395">
        <v>125.337838</v>
      </c>
      <c r="EJ395">
        <v>191.04729699999999</v>
      </c>
      <c r="EK395">
        <v>510</v>
      </c>
      <c r="EL395">
        <v>592</v>
      </c>
      <c r="EM395">
        <v>742</v>
      </c>
      <c r="EN395">
        <v>1131</v>
      </c>
      <c r="EO395">
        <v>592</v>
      </c>
      <c r="EP395">
        <v>1132</v>
      </c>
      <c r="EQ395">
        <v>60.402248</v>
      </c>
    </row>
    <row r="396" spans="1:147" x14ac:dyDescent="0.25">
      <c r="A396">
        <v>2025</v>
      </c>
      <c r="B396" t="str">
        <f t="shared" si="12"/>
        <v>NE</v>
      </c>
      <c r="C396" t="s">
        <v>1927</v>
      </c>
      <c r="D396" t="s">
        <v>1927</v>
      </c>
      <c r="E396">
        <v>25099</v>
      </c>
      <c r="F396" t="s">
        <v>1920</v>
      </c>
      <c r="G396" t="s">
        <v>1921</v>
      </c>
      <c r="H396" t="s">
        <v>1922</v>
      </c>
      <c r="I396">
        <v>48.01</v>
      </c>
      <c r="J396">
        <v>48.01</v>
      </c>
      <c r="K396" t="s">
        <v>301</v>
      </c>
      <c r="L396">
        <v>1</v>
      </c>
      <c r="M396">
        <v>2016</v>
      </c>
      <c r="O396" t="str">
        <f t="shared" si="13"/>
        <v>Alto fuste</v>
      </c>
      <c r="P396" s="2">
        <v>42566</v>
      </c>
      <c r="Q396" t="s">
        <v>174</v>
      </c>
      <c r="R396" t="s">
        <v>314</v>
      </c>
      <c r="S396" t="s">
        <v>154</v>
      </c>
      <c r="T396" t="s">
        <v>175</v>
      </c>
      <c r="U396" t="s">
        <v>156</v>
      </c>
      <c r="V396" s="2">
        <v>45763</v>
      </c>
      <c r="W396" t="s">
        <v>1923</v>
      </c>
      <c r="X396">
        <v>133.94999999999999</v>
      </c>
      <c r="Y396">
        <v>19</v>
      </c>
      <c r="Z396">
        <v>8</v>
      </c>
      <c r="AA396">
        <v>14.7</v>
      </c>
      <c r="AB396">
        <v>1</v>
      </c>
      <c r="AC396">
        <v>279.3</v>
      </c>
      <c r="AD396">
        <v>276.53974684082198</v>
      </c>
      <c r="AE396" s="2">
        <v>45762</v>
      </c>
      <c r="AF396">
        <v>105</v>
      </c>
      <c r="AG396">
        <v>8.7501711156742008</v>
      </c>
      <c r="AH396">
        <v>29.4965125776693</v>
      </c>
      <c r="AI396">
        <v>17.592307692307699</v>
      </c>
      <c r="AJ396">
        <v>23.240127314646799</v>
      </c>
      <c r="AK396">
        <v>26</v>
      </c>
      <c r="AL396">
        <v>940.19034504163994</v>
      </c>
      <c r="AM396">
        <v>306.75015505623901</v>
      </c>
      <c r="AN396">
        <v>0.32626388547167401</v>
      </c>
      <c r="AO396" t="s">
        <v>314</v>
      </c>
      <c r="AP396" t="s">
        <v>158</v>
      </c>
      <c r="AQ396" t="s">
        <v>850</v>
      </c>
      <c r="AR396">
        <v>9</v>
      </c>
      <c r="AS396">
        <v>0.84617131053747541</v>
      </c>
      <c r="AT396" t="s">
        <v>1928</v>
      </c>
      <c r="AU396" t="s">
        <v>1927</v>
      </c>
      <c r="AV396">
        <v>1014</v>
      </c>
      <c r="AW396">
        <v>606</v>
      </c>
      <c r="AX396">
        <v>295</v>
      </c>
      <c r="AY396">
        <v>97</v>
      </c>
      <c r="AZ396">
        <v>11</v>
      </c>
      <c r="BA396">
        <v>5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32.027999999999999</v>
      </c>
      <c r="BI396">
        <v>19.044125000000001</v>
      </c>
      <c r="BJ396">
        <v>0</v>
      </c>
      <c r="BK396">
        <v>12.232805000000001</v>
      </c>
      <c r="BL396">
        <v>149.641526</v>
      </c>
      <c r="BM396">
        <v>0.64234000000000002</v>
      </c>
      <c r="BN396">
        <v>28.803249999999998</v>
      </c>
      <c r="BO396">
        <v>-0.74044900000000002</v>
      </c>
      <c r="BP396">
        <v>1.7921819999999999</v>
      </c>
      <c r="BQ396">
        <v>10.848107000000001</v>
      </c>
      <c r="BR396">
        <v>4.3895</v>
      </c>
      <c r="BS396">
        <v>25.325001</v>
      </c>
      <c r="BT396">
        <v>19.044125000000001</v>
      </c>
      <c r="BU396">
        <v>6.4276869999999997</v>
      </c>
      <c r="BV396">
        <v>-1.656604</v>
      </c>
      <c r="BW396">
        <v>-0.46934900000000002</v>
      </c>
      <c r="BX396">
        <v>0.33751500000000001</v>
      </c>
      <c r="BY396">
        <v>-0.25772899999999999</v>
      </c>
      <c r="BZ396">
        <v>-7.3020000000000002E-2</v>
      </c>
      <c r="CA396">
        <v>1E-3</v>
      </c>
      <c r="CB396">
        <v>6.0000000000000001E-3</v>
      </c>
      <c r="CC396">
        <v>1.2999999999999999E-2</v>
      </c>
      <c r="CD396">
        <v>3.2000000000000001E-2</v>
      </c>
      <c r="CE396">
        <v>5.475E-2</v>
      </c>
      <c r="CF396">
        <v>14.8576</v>
      </c>
      <c r="CG396">
        <v>21.831402000000001</v>
      </c>
      <c r="CH396">
        <v>25.325001</v>
      </c>
      <c r="CI396">
        <v>27.744800999999999</v>
      </c>
      <c r="CJ396">
        <v>28.5473</v>
      </c>
      <c r="CK396">
        <v>28.858000000000001</v>
      </c>
      <c r="CL396">
        <v>29.176399</v>
      </c>
      <c r="CM396">
        <v>29.898001000000001</v>
      </c>
      <c r="CN396">
        <v>30.251249000000001</v>
      </c>
      <c r="CO396">
        <v>31.448318</v>
      </c>
      <c r="CP396">
        <v>0.59460900000000005</v>
      </c>
      <c r="CQ396">
        <v>22.631232000000001</v>
      </c>
      <c r="CR396">
        <v>24.155100000000001</v>
      </c>
      <c r="CS396">
        <v>21</v>
      </c>
      <c r="CT396">
        <v>716</v>
      </c>
      <c r="CU396">
        <v>174.59073000000001</v>
      </c>
      <c r="CV396">
        <v>43.063491999999997</v>
      </c>
      <c r="CW396">
        <v>132.253343</v>
      </c>
      <c r="CX396">
        <v>17490.946840000001</v>
      </c>
      <c r="CY396">
        <v>0.75750499999999998</v>
      </c>
      <c r="CZ396">
        <v>162.75</v>
      </c>
      <c r="DA396">
        <v>1.529183</v>
      </c>
      <c r="DB396">
        <v>5.720453</v>
      </c>
      <c r="DC396">
        <v>98.645574999999994</v>
      </c>
      <c r="DD396">
        <v>174.59073000000001</v>
      </c>
      <c r="DE396">
        <v>68.710594</v>
      </c>
      <c r="DF396">
        <v>17.770705</v>
      </c>
      <c r="DG396">
        <v>9.9365769999999998</v>
      </c>
      <c r="DH396">
        <v>0.39355200000000001</v>
      </c>
      <c r="DI396">
        <v>0.258631</v>
      </c>
      <c r="DJ396">
        <v>0.14461499999999999</v>
      </c>
      <c r="DK396">
        <v>27.130001</v>
      </c>
      <c r="DL396">
        <v>35</v>
      </c>
      <c r="DM396">
        <v>43</v>
      </c>
      <c r="DN396">
        <v>58</v>
      </c>
      <c r="DO396">
        <v>68.25</v>
      </c>
      <c r="DP396">
        <v>81</v>
      </c>
      <c r="DQ396">
        <v>117.200012</v>
      </c>
      <c r="DR396">
        <v>152</v>
      </c>
      <c r="DS396">
        <v>185</v>
      </c>
      <c r="DT396">
        <v>214</v>
      </c>
      <c r="DU396">
        <v>231</v>
      </c>
      <c r="DV396">
        <v>252</v>
      </c>
      <c r="DW396">
        <v>319.40002399999997</v>
      </c>
      <c r="DX396">
        <v>458.24963400000001</v>
      </c>
      <c r="DY396">
        <v>632.86999500000002</v>
      </c>
      <c r="DZ396">
        <v>92.574257000000003</v>
      </c>
      <c r="EA396">
        <v>73.372781000000003</v>
      </c>
      <c r="EB396">
        <v>122.772277</v>
      </c>
      <c r="EC396">
        <v>561</v>
      </c>
      <c r="ED396">
        <v>744</v>
      </c>
      <c r="EE396">
        <v>88.283828</v>
      </c>
      <c r="EF396">
        <v>99.834982999999994</v>
      </c>
      <c r="EG396">
        <v>65.088757000000001</v>
      </c>
      <c r="EH396">
        <v>99.506902999999994</v>
      </c>
      <c r="EI396">
        <v>108.91089100000001</v>
      </c>
      <c r="EJ396">
        <v>166.50165000000001</v>
      </c>
      <c r="EK396">
        <v>535</v>
      </c>
      <c r="EL396">
        <v>605</v>
      </c>
      <c r="EM396">
        <v>660</v>
      </c>
      <c r="EN396">
        <v>1009</v>
      </c>
      <c r="EO396">
        <v>606</v>
      </c>
      <c r="EP396">
        <v>1014</v>
      </c>
      <c r="EQ396">
        <v>59.608505999999998</v>
      </c>
    </row>
    <row r="397" spans="1:147" x14ac:dyDescent="0.25">
      <c r="A397">
        <v>2025</v>
      </c>
      <c r="B397" t="str">
        <f t="shared" si="12"/>
        <v>NE</v>
      </c>
      <c r="C397" t="s">
        <v>1929</v>
      </c>
      <c r="D397" t="s">
        <v>1929</v>
      </c>
      <c r="E397">
        <v>31025</v>
      </c>
      <c r="F397" t="s">
        <v>1920</v>
      </c>
      <c r="G397" t="s">
        <v>1921</v>
      </c>
      <c r="H397" t="s">
        <v>1922</v>
      </c>
      <c r="I397">
        <v>48.01</v>
      </c>
      <c r="J397">
        <v>48.01</v>
      </c>
      <c r="K397" t="s">
        <v>301</v>
      </c>
      <c r="L397">
        <v>1</v>
      </c>
      <c r="M397">
        <v>2016</v>
      </c>
      <c r="O397" t="str">
        <f t="shared" si="13"/>
        <v>Alto fuste</v>
      </c>
      <c r="P397" s="2">
        <v>42566</v>
      </c>
      <c r="Q397" t="s">
        <v>174</v>
      </c>
      <c r="R397" t="s">
        <v>314</v>
      </c>
      <c r="S397" t="s">
        <v>154</v>
      </c>
      <c r="T397" t="s">
        <v>175</v>
      </c>
      <c r="U397" t="s">
        <v>156</v>
      </c>
      <c r="V397" s="2">
        <v>44793</v>
      </c>
      <c r="W397" t="s">
        <v>1923</v>
      </c>
      <c r="X397">
        <v>133.94999999999999</v>
      </c>
      <c r="Y397">
        <v>22</v>
      </c>
      <c r="Z397">
        <v>11</v>
      </c>
      <c r="AA397">
        <v>15.7</v>
      </c>
      <c r="AB397">
        <v>3</v>
      </c>
      <c r="AC397">
        <v>345.4</v>
      </c>
      <c r="AD397">
        <v>338.58936739953401</v>
      </c>
      <c r="AE397" s="2">
        <v>45762</v>
      </c>
      <c r="AF397">
        <v>105</v>
      </c>
      <c r="AG397">
        <v>8.7501711156742008</v>
      </c>
      <c r="AH397">
        <v>29.612340322591301</v>
      </c>
      <c r="AI397">
        <v>17.903030303030299</v>
      </c>
      <c r="AJ397">
        <v>25.221815146903399</v>
      </c>
      <c r="AK397">
        <v>33</v>
      </c>
      <c r="AL397">
        <v>974.63190452345702</v>
      </c>
      <c r="AM397">
        <v>336.99183823833499</v>
      </c>
      <c r="AN397">
        <v>0.34576319190280003</v>
      </c>
      <c r="AO397" t="s">
        <v>314</v>
      </c>
      <c r="AP397" t="s">
        <v>158</v>
      </c>
      <c r="AQ397" t="s">
        <v>850</v>
      </c>
      <c r="AR397">
        <v>9</v>
      </c>
      <c r="AS397">
        <v>0.87716871407111052</v>
      </c>
      <c r="AT397" t="s">
        <v>1930</v>
      </c>
      <c r="AU397" t="s">
        <v>1929</v>
      </c>
      <c r="AV397">
        <v>1184</v>
      </c>
      <c r="AW397">
        <v>676</v>
      </c>
      <c r="AX397">
        <v>343</v>
      </c>
      <c r="AY397">
        <v>128</v>
      </c>
      <c r="AZ397">
        <v>35</v>
      </c>
      <c r="BA397">
        <v>2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32.123001000000002</v>
      </c>
      <c r="BI397">
        <v>20.387647999999999</v>
      </c>
      <c r="BJ397">
        <v>0</v>
      </c>
      <c r="BK397">
        <v>11.926138999999999</v>
      </c>
      <c r="BL397">
        <v>142.23279299999999</v>
      </c>
      <c r="BM397">
        <v>0.58496899999999996</v>
      </c>
      <c r="BN397">
        <v>15.535501</v>
      </c>
      <c r="BO397">
        <v>-0.90464699999999998</v>
      </c>
      <c r="BP397">
        <v>2.141912</v>
      </c>
      <c r="BQ397">
        <v>10.176856000000001</v>
      </c>
      <c r="BR397">
        <v>4.6939989999999998</v>
      </c>
      <c r="BS397">
        <v>25.451000000000001</v>
      </c>
      <c r="BT397">
        <v>20.387647999999999</v>
      </c>
      <c r="BU397">
        <v>6.2080780000000004</v>
      </c>
      <c r="BV397">
        <v>-1.875108</v>
      </c>
      <c r="BW397">
        <v>-0.13830000000000001</v>
      </c>
      <c r="BX397">
        <v>0.30450199999999999</v>
      </c>
      <c r="BY397">
        <v>-0.30204300000000001</v>
      </c>
      <c r="BZ397">
        <v>-2.2277000000000002E-2</v>
      </c>
      <c r="CA397">
        <v>1E-3</v>
      </c>
      <c r="CB397">
        <v>6.0000000000000001E-3</v>
      </c>
      <c r="CC397">
        <v>1.6E-2</v>
      </c>
      <c r="CD397">
        <v>6.2E-2</v>
      </c>
      <c r="CE397">
        <v>14.17925</v>
      </c>
      <c r="CF397">
        <v>18.1752</v>
      </c>
      <c r="CG397">
        <v>22.945399999999999</v>
      </c>
      <c r="CH397">
        <v>25.451000000000001</v>
      </c>
      <c r="CI397">
        <v>28.701799000000001</v>
      </c>
      <c r="CJ397">
        <v>29.443498999999999</v>
      </c>
      <c r="CK397">
        <v>29.714749999999999</v>
      </c>
      <c r="CL397">
        <v>29.973199999999999</v>
      </c>
      <c r="CM397">
        <v>30.585799999999999</v>
      </c>
      <c r="CN397">
        <v>31.059549000000001</v>
      </c>
      <c r="CO397">
        <v>31.730183</v>
      </c>
      <c r="CP397">
        <v>0.63467399999999996</v>
      </c>
      <c r="CQ397">
        <v>23.61713</v>
      </c>
      <c r="CR397">
        <v>25.004276999999998</v>
      </c>
      <c r="CS397">
        <v>22</v>
      </c>
      <c r="CT397">
        <v>692</v>
      </c>
      <c r="CU397">
        <v>154.22635099999999</v>
      </c>
      <c r="CV397">
        <v>32.634920999999999</v>
      </c>
      <c r="CW397">
        <v>113.839885</v>
      </c>
      <c r="CX397">
        <v>12959.51931</v>
      </c>
      <c r="CY397">
        <v>0.73813499999999999</v>
      </c>
      <c r="CZ397">
        <v>162.25</v>
      </c>
      <c r="DA397">
        <v>1.325161</v>
      </c>
      <c r="DB397">
        <v>5.1954359999999999</v>
      </c>
      <c r="DC397">
        <v>90.784794000000005</v>
      </c>
      <c r="DD397">
        <v>154.22635099999999</v>
      </c>
      <c r="DE397">
        <v>60.575806</v>
      </c>
      <c r="DF397">
        <v>14.929532</v>
      </c>
      <c r="DG397">
        <v>5.2009270000000001</v>
      </c>
      <c r="DH397">
        <v>0.39277200000000001</v>
      </c>
      <c r="DI397">
        <v>0.24646000000000001</v>
      </c>
      <c r="DJ397">
        <v>8.5858000000000004E-2</v>
      </c>
      <c r="DK397">
        <v>26</v>
      </c>
      <c r="DL397">
        <v>35</v>
      </c>
      <c r="DM397">
        <v>41</v>
      </c>
      <c r="DN397">
        <v>53</v>
      </c>
      <c r="DO397">
        <v>60.75</v>
      </c>
      <c r="DP397">
        <v>68</v>
      </c>
      <c r="DQ397">
        <v>93</v>
      </c>
      <c r="DR397">
        <v>126</v>
      </c>
      <c r="DS397">
        <v>165</v>
      </c>
      <c r="DT397">
        <v>204</v>
      </c>
      <c r="DU397">
        <v>223</v>
      </c>
      <c r="DV397">
        <v>247</v>
      </c>
      <c r="DW397">
        <v>294</v>
      </c>
      <c r="DX397">
        <v>347.84997600000003</v>
      </c>
      <c r="DY397">
        <v>567.510132</v>
      </c>
      <c r="DZ397">
        <v>97.041420000000002</v>
      </c>
      <c r="EA397">
        <v>77.280405000000002</v>
      </c>
      <c r="EB397">
        <v>135.35503</v>
      </c>
      <c r="EC397">
        <v>656</v>
      </c>
      <c r="ED397">
        <v>915</v>
      </c>
      <c r="EE397">
        <v>93.047336999999999</v>
      </c>
      <c r="EF397">
        <v>100</v>
      </c>
      <c r="EG397">
        <v>67.145269999999996</v>
      </c>
      <c r="EH397">
        <v>99.493243000000007</v>
      </c>
      <c r="EI397">
        <v>117.60355</v>
      </c>
      <c r="EJ397">
        <v>174.260355</v>
      </c>
      <c r="EK397">
        <v>629</v>
      </c>
      <c r="EL397">
        <v>676</v>
      </c>
      <c r="EM397">
        <v>795</v>
      </c>
      <c r="EN397">
        <v>1178</v>
      </c>
      <c r="EO397">
        <v>676</v>
      </c>
      <c r="EP397">
        <v>1184</v>
      </c>
      <c r="EQ397">
        <v>63.276072999999997</v>
      </c>
    </row>
    <row r="398" spans="1:147" x14ac:dyDescent="0.25">
      <c r="A398">
        <v>2025</v>
      </c>
      <c r="B398" t="str">
        <f t="shared" si="12"/>
        <v>NE</v>
      </c>
      <c r="C398" t="s">
        <v>1931</v>
      </c>
      <c r="D398" t="s">
        <v>1931</v>
      </c>
      <c r="E398">
        <v>25093</v>
      </c>
      <c r="F398" t="s">
        <v>1920</v>
      </c>
      <c r="G398" t="s">
        <v>1921</v>
      </c>
      <c r="H398" t="s">
        <v>1932</v>
      </c>
      <c r="I398">
        <v>13.19</v>
      </c>
      <c r="J398">
        <v>13.19</v>
      </c>
      <c r="K398" t="s">
        <v>301</v>
      </c>
      <c r="L398">
        <v>1</v>
      </c>
      <c r="M398">
        <v>2016</v>
      </c>
      <c r="O398" t="str">
        <f t="shared" si="13"/>
        <v>Alto fuste</v>
      </c>
      <c r="P398" s="2">
        <v>42689</v>
      </c>
      <c r="Q398" t="s">
        <v>174</v>
      </c>
      <c r="R398" t="s">
        <v>470</v>
      </c>
      <c r="S398" t="s">
        <v>154</v>
      </c>
      <c r="T398" t="s">
        <v>175</v>
      </c>
      <c r="U398" t="s">
        <v>156</v>
      </c>
      <c r="V398" s="2">
        <v>45763</v>
      </c>
      <c r="W398" t="s">
        <v>1923</v>
      </c>
      <c r="X398">
        <v>133.94999999999999</v>
      </c>
      <c r="Y398">
        <v>19.399999999999999</v>
      </c>
      <c r="Z398">
        <v>30</v>
      </c>
      <c r="AA398">
        <v>16</v>
      </c>
      <c r="AB398">
        <v>6</v>
      </c>
      <c r="AC398">
        <v>310.39999999999998</v>
      </c>
      <c r="AD398">
        <v>267.34169255312298</v>
      </c>
      <c r="AE398" s="2">
        <v>45763</v>
      </c>
      <c r="AF398">
        <v>101</v>
      </c>
      <c r="AG398">
        <v>8.4161533196440796</v>
      </c>
      <c r="AH398">
        <v>34.704388698017702</v>
      </c>
      <c r="AI398">
        <v>18.848148148148098</v>
      </c>
      <c r="AJ398">
        <v>28.608917931101502</v>
      </c>
      <c r="AK398">
        <v>27</v>
      </c>
      <c r="AL398">
        <v>1009.9434825204</v>
      </c>
      <c r="AM398">
        <v>440.39278534341202</v>
      </c>
      <c r="AN398">
        <v>0.43605686156256301</v>
      </c>
      <c r="AO398" t="s">
        <v>470</v>
      </c>
      <c r="AP398" t="s">
        <v>158</v>
      </c>
      <c r="AQ398" t="s">
        <v>850</v>
      </c>
      <c r="AR398">
        <v>9</v>
      </c>
      <c r="AS398">
        <v>0.90894913426836299</v>
      </c>
      <c r="AT398" t="s">
        <v>1933</v>
      </c>
      <c r="AU398" t="s">
        <v>1931</v>
      </c>
      <c r="AV398">
        <v>904</v>
      </c>
      <c r="AW398">
        <v>556</v>
      </c>
      <c r="AX398">
        <v>255</v>
      </c>
      <c r="AY398">
        <v>80</v>
      </c>
      <c r="AZ398">
        <v>12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38.506999999999998</v>
      </c>
      <c r="BI398">
        <v>13.067669</v>
      </c>
      <c r="BJ398">
        <v>0</v>
      </c>
      <c r="BK398">
        <v>14.904623000000001</v>
      </c>
      <c r="BL398">
        <v>222.14779200000001</v>
      </c>
      <c r="BM398">
        <v>1.1405719999999999</v>
      </c>
      <c r="BN398">
        <v>29.134250999999999</v>
      </c>
      <c r="BO398">
        <v>0.47913</v>
      </c>
      <c r="BP398">
        <v>1.462677</v>
      </c>
      <c r="BQ398">
        <v>13.966893000000001</v>
      </c>
      <c r="BR398">
        <v>0.97499999999999998</v>
      </c>
      <c r="BS398">
        <v>0.97799999999999998</v>
      </c>
      <c r="BT398">
        <v>13.067669</v>
      </c>
      <c r="BU398">
        <v>7.919664</v>
      </c>
      <c r="BV398">
        <v>1.931964</v>
      </c>
      <c r="BW398">
        <v>-0.98943999999999999</v>
      </c>
      <c r="BX398">
        <v>0.60604999999999998</v>
      </c>
      <c r="BY398">
        <v>0.243945</v>
      </c>
      <c r="BZ398">
        <v>-0.124935</v>
      </c>
      <c r="CA398">
        <v>2E-3</v>
      </c>
      <c r="CB398">
        <v>7.0000000000000001E-3</v>
      </c>
      <c r="CC398">
        <v>1.7000000000000001E-2</v>
      </c>
      <c r="CD398">
        <v>4.2599999999999999E-2</v>
      </c>
      <c r="CE398">
        <v>6.1749999999999999E-2</v>
      </c>
      <c r="CF398">
        <v>8.8999999999999996E-2</v>
      </c>
      <c r="CG398">
        <v>0.21859999999999999</v>
      </c>
      <c r="CH398">
        <v>0.97799999999999998</v>
      </c>
      <c r="CI398">
        <v>17.225000000000001</v>
      </c>
      <c r="CJ398">
        <v>25.498199</v>
      </c>
      <c r="CK398">
        <v>29.196000999999999</v>
      </c>
      <c r="CL398">
        <v>32.457400999999997</v>
      </c>
      <c r="CM398">
        <v>35.157496999999999</v>
      </c>
      <c r="CN398">
        <v>36.235798000000003</v>
      </c>
      <c r="CO398">
        <v>37.676098000000003</v>
      </c>
      <c r="CP398">
        <v>0.33935799999999999</v>
      </c>
      <c r="CQ398">
        <v>19.815802999999999</v>
      </c>
      <c r="CR398">
        <v>23.217447</v>
      </c>
      <c r="CS398">
        <v>23</v>
      </c>
      <c r="CT398">
        <v>780</v>
      </c>
      <c r="CU398">
        <v>204.73008799999999</v>
      </c>
      <c r="CV398">
        <v>35.015872999999999</v>
      </c>
      <c r="CW398">
        <v>157.972207</v>
      </c>
      <c r="CX398">
        <v>24955.21832</v>
      </c>
      <c r="CY398">
        <v>0.77161199999999996</v>
      </c>
      <c r="CZ398">
        <v>243.5</v>
      </c>
      <c r="DA398">
        <v>0.82399800000000001</v>
      </c>
      <c r="DB398">
        <v>2.4984510000000002</v>
      </c>
      <c r="DC398">
        <v>133.62714399999999</v>
      </c>
      <c r="DD398">
        <v>204.73008799999999</v>
      </c>
      <c r="DE398">
        <v>86.772424999999998</v>
      </c>
      <c r="DF398">
        <v>21.020734000000001</v>
      </c>
      <c r="DG398">
        <v>2.903807</v>
      </c>
      <c r="DH398">
        <v>0.42383799999999999</v>
      </c>
      <c r="DI398">
        <v>0.24225099999999999</v>
      </c>
      <c r="DJ398">
        <v>3.3465000000000002E-2</v>
      </c>
      <c r="DK398">
        <v>27</v>
      </c>
      <c r="DL398">
        <v>35</v>
      </c>
      <c r="DM398">
        <v>43</v>
      </c>
      <c r="DN398">
        <v>62</v>
      </c>
      <c r="DO398">
        <v>73.75</v>
      </c>
      <c r="DP398">
        <v>85</v>
      </c>
      <c r="DQ398">
        <v>118</v>
      </c>
      <c r="DR398">
        <v>145.5</v>
      </c>
      <c r="DS398">
        <v>196.79998800000001</v>
      </c>
      <c r="DT398">
        <v>266</v>
      </c>
      <c r="DU398">
        <v>317.25</v>
      </c>
      <c r="DV398">
        <v>377</v>
      </c>
      <c r="DW398">
        <v>460</v>
      </c>
      <c r="DX398">
        <v>503.84997600000003</v>
      </c>
      <c r="DY398">
        <v>569.96997099999999</v>
      </c>
      <c r="DZ398">
        <v>58.992806000000002</v>
      </c>
      <c r="EA398">
        <v>47.123894</v>
      </c>
      <c r="EB398">
        <v>76.618705000000006</v>
      </c>
      <c r="EC398">
        <v>328</v>
      </c>
      <c r="ED398">
        <v>426</v>
      </c>
      <c r="EE398">
        <v>55.575539999999997</v>
      </c>
      <c r="EF398">
        <v>100</v>
      </c>
      <c r="EG398">
        <v>43.362831999999997</v>
      </c>
      <c r="EH398">
        <v>99.889381</v>
      </c>
      <c r="EI398">
        <v>70.503596999999999</v>
      </c>
      <c r="EJ398">
        <v>162.41007200000001</v>
      </c>
      <c r="EK398">
        <v>309</v>
      </c>
      <c r="EL398">
        <v>556</v>
      </c>
      <c r="EM398">
        <v>392</v>
      </c>
      <c r="EN398">
        <v>903</v>
      </c>
      <c r="EO398">
        <v>556</v>
      </c>
      <c r="EP398">
        <v>904</v>
      </c>
      <c r="EQ398">
        <v>33.670025000000003</v>
      </c>
    </row>
    <row r="399" spans="1:147" x14ac:dyDescent="0.25">
      <c r="A399">
        <v>2025</v>
      </c>
      <c r="B399" t="str">
        <f t="shared" si="12"/>
        <v>NE</v>
      </c>
      <c r="C399" t="s">
        <v>1934</v>
      </c>
      <c r="D399" t="s">
        <v>1934</v>
      </c>
      <c r="E399">
        <v>29140</v>
      </c>
      <c r="F399" t="s">
        <v>1935</v>
      </c>
      <c r="G399" t="s">
        <v>1921</v>
      </c>
      <c r="H399" t="s">
        <v>1936</v>
      </c>
      <c r="I399">
        <v>70.36</v>
      </c>
      <c r="J399">
        <v>70.36</v>
      </c>
      <c r="K399" t="s">
        <v>301</v>
      </c>
      <c r="L399">
        <v>1</v>
      </c>
      <c r="M399">
        <v>2022</v>
      </c>
      <c r="O399" t="str">
        <f t="shared" si="13"/>
        <v>Alto fuste</v>
      </c>
      <c r="P399" s="2">
        <v>44636</v>
      </c>
      <c r="Q399" t="s">
        <v>174</v>
      </c>
      <c r="R399" t="s">
        <v>427</v>
      </c>
      <c r="S399" t="s">
        <v>154</v>
      </c>
      <c r="T399" t="s">
        <v>175</v>
      </c>
      <c r="U399" t="s">
        <v>156</v>
      </c>
      <c r="V399" s="2">
        <v>44794</v>
      </c>
      <c r="W399" t="s">
        <v>1923</v>
      </c>
      <c r="X399">
        <v>148.36000000000001</v>
      </c>
      <c r="Y399">
        <v>19.5</v>
      </c>
      <c r="Z399">
        <v>6</v>
      </c>
      <c r="AA399">
        <v>14.3</v>
      </c>
      <c r="AB399">
        <v>0</v>
      </c>
      <c r="AC399">
        <v>278.85000000000002</v>
      </c>
      <c r="AD399">
        <v>277.32243052344302</v>
      </c>
      <c r="AE399" s="2">
        <v>45762</v>
      </c>
      <c r="AF399">
        <v>37</v>
      </c>
      <c r="AG399">
        <v>3.0828199863107502</v>
      </c>
      <c r="AH399">
        <v>18.111769075788999</v>
      </c>
      <c r="AI399">
        <v>13.2379310344828</v>
      </c>
      <c r="AJ399">
        <v>14.4969715635466</v>
      </c>
      <c r="AK399">
        <v>29</v>
      </c>
      <c r="AL399">
        <v>1045.7141871020999</v>
      </c>
      <c r="AM399">
        <v>120.30603338656201</v>
      </c>
      <c r="AN399">
        <v>0.115046764087572</v>
      </c>
      <c r="AO399" t="s">
        <v>427</v>
      </c>
      <c r="AP399" t="s">
        <v>158</v>
      </c>
      <c r="AQ399" t="s">
        <v>850</v>
      </c>
      <c r="AR399">
        <v>9</v>
      </c>
      <c r="AS399">
        <v>0.94114276839188737</v>
      </c>
      <c r="AT399" t="s">
        <v>1937</v>
      </c>
      <c r="AU399" t="s">
        <v>1934</v>
      </c>
      <c r="AV399">
        <v>1166</v>
      </c>
      <c r="AW399">
        <v>696</v>
      </c>
      <c r="AX399">
        <v>371</v>
      </c>
      <c r="AY399">
        <v>94</v>
      </c>
      <c r="AZ399">
        <v>5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18.507999000000002</v>
      </c>
      <c r="BI399">
        <v>11.886331</v>
      </c>
      <c r="BJ399">
        <v>0</v>
      </c>
      <c r="BK399">
        <v>6.5562839999999998</v>
      </c>
      <c r="BL399">
        <v>42.984862</v>
      </c>
      <c r="BM399">
        <v>0.55158200000000002</v>
      </c>
      <c r="BN399">
        <v>3.4739990000000001</v>
      </c>
      <c r="BO399">
        <v>-1.1629240000000001</v>
      </c>
      <c r="BP399">
        <v>2.513477</v>
      </c>
      <c r="BQ399">
        <v>5.4856949999999998</v>
      </c>
      <c r="BR399">
        <v>1.3234999999999999</v>
      </c>
      <c r="BS399">
        <v>15.041</v>
      </c>
      <c r="BT399">
        <v>11.886331</v>
      </c>
      <c r="BU399">
        <v>3.1681219999999999</v>
      </c>
      <c r="BV399">
        <v>-1.204099</v>
      </c>
      <c r="BW399">
        <v>0.223496</v>
      </c>
      <c r="BX399">
        <v>0.26653500000000002</v>
      </c>
      <c r="BY399">
        <v>-0.38006699999999999</v>
      </c>
      <c r="BZ399">
        <v>7.0544999999999997E-2</v>
      </c>
      <c r="CA399">
        <v>2E-3</v>
      </c>
      <c r="CB399">
        <v>9.2499999999999995E-3</v>
      </c>
      <c r="CC399">
        <v>0.02</v>
      </c>
      <c r="CD399">
        <v>6.6000000000000003E-2</v>
      </c>
      <c r="CE399">
        <v>12.628</v>
      </c>
      <c r="CF399">
        <v>13.648999999999999</v>
      </c>
      <c r="CG399">
        <v>14.534000000000001</v>
      </c>
      <c r="CH399">
        <v>15.041</v>
      </c>
      <c r="CI399">
        <v>15.428000000000001</v>
      </c>
      <c r="CJ399">
        <v>15.9145</v>
      </c>
      <c r="CK399">
        <v>16.101998999999999</v>
      </c>
      <c r="CL399">
        <v>16.347000000000001</v>
      </c>
      <c r="CM399">
        <v>16.861999999999998</v>
      </c>
      <c r="CN399">
        <v>17.242000999999998</v>
      </c>
      <c r="CO399">
        <v>17.859400000000001</v>
      </c>
      <c r="CP399">
        <v>0.64222699999999999</v>
      </c>
      <c r="CQ399">
        <v>13.573240999999999</v>
      </c>
      <c r="CR399">
        <v>14.233143</v>
      </c>
      <c r="CS399">
        <v>22</v>
      </c>
      <c r="CT399">
        <v>433</v>
      </c>
      <c r="CU399">
        <v>111.32504299999999</v>
      </c>
      <c r="CV399">
        <v>54.619047999999999</v>
      </c>
      <c r="CW399">
        <v>64.143240000000006</v>
      </c>
      <c r="CX399">
        <v>4114.3552010000003</v>
      </c>
      <c r="CY399">
        <v>0.57618000000000003</v>
      </c>
      <c r="CZ399">
        <v>83</v>
      </c>
      <c r="DA399">
        <v>1.325798</v>
      </c>
      <c r="DB399">
        <v>5.4480009999999996</v>
      </c>
      <c r="DC399">
        <v>49.217931</v>
      </c>
      <c r="DD399">
        <v>111.32504299999999</v>
      </c>
      <c r="DE399">
        <v>34.251088000000003</v>
      </c>
      <c r="DF399">
        <v>7.4135730000000004</v>
      </c>
      <c r="DG399">
        <v>4.5853700000000002</v>
      </c>
      <c r="DH399">
        <v>0.30766700000000002</v>
      </c>
      <c r="DI399">
        <v>0.216448</v>
      </c>
      <c r="DJ399">
        <v>0.13387499999999999</v>
      </c>
      <c r="DK399">
        <v>29</v>
      </c>
      <c r="DL399">
        <v>35</v>
      </c>
      <c r="DM399">
        <v>42.5</v>
      </c>
      <c r="DN399">
        <v>56</v>
      </c>
      <c r="DO399">
        <v>62</v>
      </c>
      <c r="DP399">
        <v>70</v>
      </c>
      <c r="DQ399">
        <v>84</v>
      </c>
      <c r="DR399">
        <v>99</v>
      </c>
      <c r="DS399">
        <v>115</v>
      </c>
      <c r="DT399">
        <v>132.5</v>
      </c>
      <c r="DU399">
        <v>145</v>
      </c>
      <c r="DV399">
        <v>158</v>
      </c>
      <c r="DW399">
        <v>193</v>
      </c>
      <c r="DX399">
        <v>231.5</v>
      </c>
      <c r="DY399">
        <v>326.699951</v>
      </c>
      <c r="DZ399">
        <v>97.413792999999998</v>
      </c>
      <c r="EA399">
        <v>77.444254000000001</v>
      </c>
      <c r="EB399">
        <v>129.74137899999999</v>
      </c>
      <c r="EC399">
        <v>678</v>
      </c>
      <c r="ED399">
        <v>903</v>
      </c>
      <c r="EE399">
        <v>95.833332999999996</v>
      </c>
      <c r="EF399">
        <v>100</v>
      </c>
      <c r="EG399">
        <v>75.385935000000003</v>
      </c>
      <c r="EH399">
        <v>99.656947000000002</v>
      </c>
      <c r="EI399">
        <v>126.293103</v>
      </c>
      <c r="EJ399">
        <v>166.95402300000001</v>
      </c>
      <c r="EK399">
        <v>667</v>
      </c>
      <c r="EL399">
        <v>696</v>
      </c>
      <c r="EM399">
        <v>879</v>
      </c>
      <c r="EN399">
        <v>1162</v>
      </c>
      <c r="EO399">
        <v>696</v>
      </c>
      <c r="EP399">
        <v>1166</v>
      </c>
      <c r="EQ399">
        <v>65.580972000000003</v>
      </c>
    </row>
    <row r="400" spans="1:147" x14ac:dyDescent="0.25">
      <c r="A400">
        <v>2025</v>
      </c>
      <c r="B400" t="str">
        <f t="shared" si="12"/>
        <v>NE</v>
      </c>
      <c r="C400" t="s">
        <v>1938</v>
      </c>
      <c r="D400" t="s">
        <v>1938</v>
      </c>
      <c r="E400">
        <v>29142</v>
      </c>
      <c r="F400" t="s">
        <v>1935</v>
      </c>
      <c r="G400" t="s">
        <v>1921</v>
      </c>
      <c r="H400" t="s">
        <v>1936</v>
      </c>
      <c r="I400">
        <v>70.36</v>
      </c>
      <c r="J400">
        <v>70.36</v>
      </c>
      <c r="K400" t="s">
        <v>301</v>
      </c>
      <c r="L400">
        <v>1</v>
      </c>
      <c r="M400">
        <v>2022</v>
      </c>
      <c r="O400" t="str">
        <f t="shared" si="13"/>
        <v>Alto fuste</v>
      </c>
      <c r="P400" s="2">
        <v>44636</v>
      </c>
      <c r="Q400" t="s">
        <v>174</v>
      </c>
      <c r="R400" t="s">
        <v>427</v>
      </c>
      <c r="S400" t="s">
        <v>154</v>
      </c>
      <c r="T400" t="s">
        <v>175</v>
      </c>
      <c r="U400" t="s">
        <v>156</v>
      </c>
      <c r="V400" s="2">
        <v>44795</v>
      </c>
      <c r="W400" t="s">
        <v>1923</v>
      </c>
      <c r="X400">
        <v>148.36000000000001</v>
      </c>
      <c r="Y400">
        <v>21.5</v>
      </c>
      <c r="Z400">
        <v>3</v>
      </c>
      <c r="AA400">
        <v>14.5</v>
      </c>
      <c r="AB400">
        <v>1</v>
      </c>
      <c r="AC400">
        <v>311.75</v>
      </c>
      <c r="AD400">
        <v>311.27534149585199</v>
      </c>
      <c r="AE400" s="2">
        <v>45762</v>
      </c>
      <c r="AF400">
        <v>37</v>
      </c>
      <c r="AG400">
        <v>3.0828199863107502</v>
      </c>
      <c r="AH400">
        <v>15.360473683807101</v>
      </c>
      <c r="AI400">
        <v>12.9941176470588</v>
      </c>
      <c r="AJ400">
        <v>14.5972500534775</v>
      </c>
      <c r="AK400">
        <v>34</v>
      </c>
      <c r="AL400">
        <v>1092.28054611107</v>
      </c>
      <c r="AM400">
        <v>103.11312902480999</v>
      </c>
      <c r="AN400">
        <v>9.4401689558539698E-2</v>
      </c>
      <c r="AO400" t="s">
        <v>427</v>
      </c>
      <c r="AP400" t="s">
        <v>158</v>
      </c>
      <c r="AQ400" t="s">
        <v>850</v>
      </c>
      <c r="AR400">
        <v>9</v>
      </c>
      <c r="AS400">
        <v>0.98305249149996587</v>
      </c>
      <c r="AT400" t="s">
        <v>1939</v>
      </c>
      <c r="AU400" t="s">
        <v>1938</v>
      </c>
      <c r="AV400">
        <v>1348</v>
      </c>
      <c r="AW400">
        <v>823</v>
      </c>
      <c r="AX400">
        <v>406</v>
      </c>
      <c r="AY400">
        <v>107</v>
      </c>
      <c r="AZ400">
        <v>11</v>
      </c>
      <c r="BA400">
        <v>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18.169001000000002</v>
      </c>
      <c r="BI400">
        <v>10.391496</v>
      </c>
      <c r="BJ400">
        <v>0</v>
      </c>
      <c r="BK400">
        <v>5.7789039999999998</v>
      </c>
      <c r="BL400">
        <v>33.395727000000001</v>
      </c>
      <c r="BM400">
        <v>0.55611900000000003</v>
      </c>
      <c r="BN400">
        <v>5.7062499999999998</v>
      </c>
      <c r="BO400">
        <v>-1.0047170000000001</v>
      </c>
      <c r="BP400">
        <v>2.4128919999999998</v>
      </c>
      <c r="BQ400">
        <v>4.7547829999999998</v>
      </c>
      <c r="BR400">
        <v>1.9975000000000001</v>
      </c>
      <c r="BS400">
        <v>12.787001</v>
      </c>
      <c r="BT400">
        <v>10.391496</v>
      </c>
      <c r="BU400">
        <v>2.9882330000000001</v>
      </c>
      <c r="BV400">
        <v>-0.866143</v>
      </c>
      <c r="BW400">
        <v>0.167133</v>
      </c>
      <c r="BX400">
        <v>0.28756500000000002</v>
      </c>
      <c r="BY400">
        <v>-0.28985100000000003</v>
      </c>
      <c r="BZ400">
        <v>5.5930000000000001E-2</v>
      </c>
      <c r="CA400">
        <v>2E-3</v>
      </c>
      <c r="CB400">
        <v>9.3500000000000007E-3</v>
      </c>
      <c r="CC400">
        <v>2.4E-2</v>
      </c>
      <c r="CD400">
        <v>0.18559999999999999</v>
      </c>
      <c r="CE400">
        <v>8.6527499999999993</v>
      </c>
      <c r="CF400">
        <v>10.589700000000001</v>
      </c>
      <c r="CG400">
        <v>11.935600000000001</v>
      </c>
      <c r="CH400">
        <v>12.787001</v>
      </c>
      <c r="CI400">
        <v>13.511399000000001</v>
      </c>
      <c r="CJ400">
        <v>14.0707</v>
      </c>
      <c r="CK400">
        <v>14.359</v>
      </c>
      <c r="CL400">
        <v>14.68</v>
      </c>
      <c r="CM400">
        <v>15.5</v>
      </c>
      <c r="CN400">
        <v>16.230249000000001</v>
      </c>
      <c r="CO400">
        <v>17.177741999999999</v>
      </c>
      <c r="CP400">
        <v>0.57193499999999997</v>
      </c>
      <c r="CQ400">
        <v>11.889245000000001</v>
      </c>
      <c r="CR400">
        <v>12.533075999999999</v>
      </c>
      <c r="CS400">
        <v>23</v>
      </c>
      <c r="CT400">
        <v>656</v>
      </c>
      <c r="CU400">
        <v>140.302671</v>
      </c>
      <c r="CV400">
        <v>43.095238000000002</v>
      </c>
      <c r="CW400">
        <v>98.825022000000004</v>
      </c>
      <c r="CX400">
        <v>9766.3849370000007</v>
      </c>
      <c r="CY400">
        <v>0.70437000000000005</v>
      </c>
      <c r="CZ400">
        <v>134</v>
      </c>
      <c r="DA400">
        <v>1.1108150000000001</v>
      </c>
      <c r="DB400">
        <v>3.8240910000000001</v>
      </c>
      <c r="DC400">
        <v>79.223242999999997</v>
      </c>
      <c r="DD400">
        <v>140.302671</v>
      </c>
      <c r="DE400">
        <v>53.383899999999997</v>
      </c>
      <c r="DF400">
        <v>13.769678000000001</v>
      </c>
      <c r="DG400">
        <v>4.7206539999999997</v>
      </c>
      <c r="DH400">
        <v>0.38049100000000002</v>
      </c>
      <c r="DI400">
        <v>0.25793700000000003</v>
      </c>
      <c r="DJ400">
        <v>8.8428000000000007E-2</v>
      </c>
      <c r="DK400">
        <v>28.470001</v>
      </c>
      <c r="DL400">
        <v>35</v>
      </c>
      <c r="DM400">
        <v>40</v>
      </c>
      <c r="DN400">
        <v>52</v>
      </c>
      <c r="DO400">
        <v>59</v>
      </c>
      <c r="DP400">
        <v>69</v>
      </c>
      <c r="DQ400">
        <v>90</v>
      </c>
      <c r="DR400">
        <v>112</v>
      </c>
      <c r="DS400">
        <v>140</v>
      </c>
      <c r="DT400">
        <v>172</v>
      </c>
      <c r="DU400">
        <v>193</v>
      </c>
      <c r="DV400">
        <v>223</v>
      </c>
      <c r="DW400">
        <v>293</v>
      </c>
      <c r="DX400">
        <v>339.65002399999997</v>
      </c>
      <c r="DY400">
        <v>415.12011699999999</v>
      </c>
      <c r="DZ400">
        <v>95.868773000000004</v>
      </c>
      <c r="EA400">
        <v>78.041543000000004</v>
      </c>
      <c r="EB400">
        <v>127.82503</v>
      </c>
      <c r="EC400">
        <v>789</v>
      </c>
      <c r="ED400">
        <v>1052</v>
      </c>
      <c r="EE400">
        <v>89.793439000000006</v>
      </c>
      <c r="EF400">
        <v>100</v>
      </c>
      <c r="EG400">
        <v>70.994065000000006</v>
      </c>
      <c r="EH400">
        <v>99.925815999999998</v>
      </c>
      <c r="EI400">
        <v>116.281896</v>
      </c>
      <c r="EJ400">
        <v>163.66950199999999</v>
      </c>
      <c r="EK400">
        <v>739</v>
      </c>
      <c r="EL400">
        <v>823</v>
      </c>
      <c r="EM400">
        <v>957</v>
      </c>
      <c r="EN400">
        <v>1347</v>
      </c>
      <c r="EO400">
        <v>823</v>
      </c>
      <c r="EP400">
        <v>1348</v>
      </c>
      <c r="EQ400">
        <v>59.453335000000003</v>
      </c>
    </row>
    <row r="401" spans="1:147" x14ac:dyDescent="0.25">
      <c r="A401">
        <v>2025</v>
      </c>
      <c r="B401" t="str">
        <f t="shared" si="12"/>
        <v>NE</v>
      </c>
      <c r="C401" t="s">
        <v>1940</v>
      </c>
      <c r="D401" t="s">
        <v>1940</v>
      </c>
      <c r="E401">
        <v>29143</v>
      </c>
      <c r="F401" t="s">
        <v>1935</v>
      </c>
      <c r="G401" t="s">
        <v>1921</v>
      </c>
      <c r="H401" t="s">
        <v>1936</v>
      </c>
      <c r="I401">
        <v>70.36</v>
      </c>
      <c r="J401">
        <v>70.36</v>
      </c>
      <c r="K401" t="s">
        <v>301</v>
      </c>
      <c r="L401">
        <v>1</v>
      </c>
      <c r="M401">
        <v>2022</v>
      </c>
      <c r="O401" t="str">
        <f t="shared" si="13"/>
        <v>Alto fuste</v>
      </c>
      <c r="P401" s="2">
        <v>44636</v>
      </c>
      <c r="Q401" t="s">
        <v>174</v>
      </c>
      <c r="R401" t="s">
        <v>427</v>
      </c>
      <c r="S401" t="s">
        <v>154</v>
      </c>
      <c r="T401" t="s">
        <v>175</v>
      </c>
      <c r="U401" t="s">
        <v>156</v>
      </c>
      <c r="V401" s="2">
        <v>45762</v>
      </c>
      <c r="W401" t="s">
        <v>1923</v>
      </c>
      <c r="X401">
        <v>148.36000000000001</v>
      </c>
      <c r="Y401">
        <v>20.6</v>
      </c>
      <c r="Z401">
        <v>15</v>
      </c>
      <c r="AA401">
        <v>14.1</v>
      </c>
      <c r="AB401">
        <v>1</v>
      </c>
      <c r="AC401">
        <v>290.45999999999998</v>
      </c>
      <c r="AD401">
        <v>280.52008442818499</v>
      </c>
      <c r="AE401" s="2">
        <v>45762</v>
      </c>
      <c r="AF401">
        <v>37</v>
      </c>
      <c r="AG401">
        <v>3.0828199863107502</v>
      </c>
      <c r="AH401">
        <v>16.2158670162727</v>
      </c>
      <c r="AI401">
        <v>12.0666666666667</v>
      </c>
      <c r="AJ401">
        <v>13.624856568413</v>
      </c>
      <c r="AK401">
        <v>33</v>
      </c>
      <c r="AL401">
        <v>1176.3863563376401</v>
      </c>
      <c r="AM401">
        <v>102.85359208248001</v>
      </c>
      <c r="AN401">
        <v>8.7431813135513001E-2</v>
      </c>
      <c r="AO401" t="s">
        <v>427</v>
      </c>
      <c r="AP401" t="s">
        <v>158</v>
      </c>
      <c r="AQ401" t="s">
        <v>850</v>
      </c>
      <c r="AR401">
        <v>9</v>
      </c>
      <c r="AS401">
        <v>1.0587477207038769</v>
      </c>
      <c r="AT401" t="s">
        <v>1941</v>
      </c>
      <c r="AU401" t="s">
        <v>1940</v>
      </c>
      <c r="AV401">
        <v>1156</v>
      </c>
      <c r="AW401">
        <v>688</v>
      </c>
      <c r="AX401">
        <v>364</v>
      </c>
      <c r="AY401">
        <v>95</v>
      </c>
      <c r="AZ401">
        <v>8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20.775998999999999</v>
      </c>
      <c r="BI401">
        <v>11.279439</v>
      </c>
      <c r="BJ401">
        <v>0</v>
      </c>
      <c r="BK401">
        <v>6.8814289999999998</v>
      </c>
      <c r="BL401">
        <v>47.35407</v>
      </c>
      <c r="BM401">
        <v>0.61008600000000002</v>
      </c>
      <c r="BN401">
        <v>14.122</v>
      </c>
      <c r="BO401">
        <v>-0.74697000000000002</v>
      </c>
      <c r="BP401">
        <v>1.7555670000000001</v>
      </c>
      <c r="BQ401">
        <v>6.2063680000000003</v>
      </c>
      <c r="BR401">
        <v>1.986</v>
      </c>
      <c r="BS401">
        <v>15.003</v>
      </c>
      <c r="BT401">
        <v>11.279439</v>
      </c>
      <c r="BU401">
        <v>3.5988690000000001</v>
      </c>
      <c r="BV401">
        <v>-0.96778200000000003</v>
      </c>
      <c r="BW401">
        <v>-0.13450699999999999</v>
      </c>
      <c r="BX401">
        <v>0.31906499999999999</v>
      </c>
      <c r="BY401">
        <v>-0.26891300000000001</v>
      </c>
      <c r="BZ401">
        <v>-3.7374999999999999E-2</v>
      </c>
      <c r="CA401">
        <v>7.5500000000000003E-3</v>
      </c>
      <c r="CB401">
        <v>4.5749999999999999E-2</v>
      </c>
      <c r="CC401">
        <v>0.13450000000000001</v>
      </c>
      <c r="CD401">
        <v>1.395</v>
      </c>
      <c r="CE401">
        <v>2.3540000000000001</v>
      </c>
      <c r="CF401">
        <v>5.3220000000000001</v>
      </c>
      <c r="CG401">
        <v>13.989000000000001</v>
      </c>
      <c r="CH401">
        <v>15.003</v>
      </c>
      <c r="CI401">
        <v>15.702</v>
      </c>
      <c r="CJ401">
        <v>16.247501</v>
      </c>
      <c r="CK401">
        <v>16.475999999999999</v>
      </c>
      <c r="CL401">
        <v>16.742999999999999</v>
      </c>
      <c r="CM401">
        <v>17.262001000000001</v>
      </c>
      <c r="CN401">
        <v>17.780999999999999</v>
      </c>
      <c r="CO401">
        <v>18.687548</v>
      </c>
      <c r="CP401">
        <v>0.54290700000000003</v>
      </c>
      <c r="CQ401">
        <v>13.211316</v>
      </c>
      <c r="CR401">
        <v>14.082554999999999</v>
      </c>
      <c r="CS401">
        <v>23</v>
      </c>
      <c r="CT401">
        <v>475</v>
      </c>
      <c r="CU401">
        <v>95.121106999999995</v>
      </c>
      <c r="CV401">
        <v>44.523809999999997</v>
      </c>
      <c r="CW401">
        <v>57.203615999999997</v>
      </c>
      <c r="CX401">
        <v>3272.2537189999998</v>
      </c>
      <c r="CY401">
        <v>0.60137700000000005</v>
      </c>
      <c r="CZ401">
        <v>66</v>
      </c>
      <c r="DA401">
        <v>2.0092560000000002</v>
      </c>
      <c r="DB401">
        <v>9.5844799999999992</v>
      </c>
      <c r="DC401">
        <v>41.592516000000003</v>
      </c>
      <c r="DD401">
        <v>95.121106999999995</v>
      </c>
      <c r="DE401">
        <v>28.949659</v>
      </c>
      <c r="DF401">
        <v>7.559552</v>
      </c>
      <c r="DG401">
        <v>4.7587609999999998</v>
      </c>
      <c r="DH401">
        <v>0.30434499999999998</v>
      </c>
      <c r="DI401">
        <v>0.261127</v>
      </c>
      <c r="DJ401">
        <v>0.164381</v>
      </c>
      <c r="DK401">
        <v>28.549999</v>
      </c>
      <c r="DL401">
        <v>34</v>
      </c>
      <c r="DM401">
        <v>39</v>
      </c>
      <c r="DN401">
        <v>49</v>
      </c>
      <c r="DO401">
        <v>53</v>
      </c>
      <c r="DP401">
        <v>58</v>
      </c>
      <c r="DQ401">
        <v>71</v>
      </c>
      <c r="DR401">
        <v>83</v>
      </c>
      <c r="DS401">
        <v>97</v>
      </c>
      <c r="DT401">
        <v>113</v>
      </c>
      <c r="DU401">
        <v>119</v>
      </c>
      <c r="DV401">
        <v>131</v>
      </c>
      <c r="DW401">
        <v>162</v>
      </c>
      <c r="DX401">
        <v>193</v>
      </c>
      <c r="DY401">
        <v>315.69970699999999</v>
      </c>
      <c r="DZ401">
        <v>93.459301999999994</v>
      </c>
      <c r="EA401">
        <v>73.096885999999998</v>
      </c>
      <c r="EB401">
        <v>122.819767</v>
      </c>
      <c r="EC401">
        <v>643</v>
      </c>
      <c r="ED401">
        <v>845</v>
      </c>
      <c r="EE401">
        <v>91.860465000000005</v>
      </c>
      <c r="EF401">
        <v>100</v>
      </c>
      <c r="EG401">
        <v>68.512111000000004</v>
      </c>
      <c r="EH401">
        <v>99.740483999999995</v>
      </c>
      <c r="EI401">
        <v>115.11627900000001</v>
      </c>
      <c r="EJ401">
        <v>167.587209</v>
      </c>
      <c r="EK401">
        <v>632</v>
      </c>
      <c r="EL401">
        <v>688</v>
      </c>
      <c r="EM401">
        <v>792</v>
      </c>
      <c r="EN401">
        <v>1153</v>
      </c>
      <c r="EO401">
        <v>688</v>
      </c>
      <c r="EP401">
        <v>1156</v>
      </c>
      <c r="EQ401">
        <v>59.308883000000002</v>
      </c>
    </row>
    <row r="402" spans="1:147" x14ac:dyDescent="0.25">
      <c r="A402">
        <v>2025</v>
      </c>
      <c r="B402" t="str">
        <f t="shared" si="12"/>
        <v>NE</v>
      </c>
      <c r="C402" t="s">
        <v>1942</v>
      </c>
      <c r="D402" t="s">
        <v>1942</v>
      </c>
      <c r="E402">
        <v>25101</v>
      </c>
      <c r="F402" t="s">
        <v>1943</v>
      </c>
      <c r="G402" t="s">
        <v>1921</v>
      </c>
      <c r="H402" t="s">
        <v>1944</v>
      </c>
      <c r="I402">
        <v>41.76</v>
      </c>
      <c r="J402">
        <v>41.76</v>
      </c>
      <c r="K402" t="s">
        <v>301</v>
      </c>
      <c r="L402">
        <v>1</v>
      </c>
      <c r="M402">
        <v>2016</v>
      </c>
      <c r="O402" t="str">
        <f t="shared" si="13"/>
        <v>Talhadia</v>
      </c>
      <c r="P402" s="2">
        <v>42566</v>
      </c>
      <c r="Q402" t="s">
        <v>322</v>
      </c>
      <c r="R402" t="s">
        <v>164</v>
      </c>
      <c r="S402" t="s">
        <v>154</v>
      </c>
      <c r="T402" t="s">
        <v>175</v>
      </c>
      <c r="U402" t="s">
        <v>156</v>
      </c>
      <c r="V402" s="2">
        <v>44796</v>
      </c>
      <c r="W402" t="s">
        <v>1923</v>
      </c>
      <c r="X402">
        <v>67.61</v>
      </c>
      <c r="Y402">
        <v>21.3</v>
      </c>
      <c r="Z402">
        <v>19</v>
      </c>
      <c r="AA402">
        <v>15.4</v>
      </c>
      <c r="AB402">
        <v>5</v>
      </c>
      <c r="AC402">
        <v>328.02</v>
      </c>
      <c r="AD402">
        <v>308.96879257448899</v>
      </c>
      <c r="AE402" s="2">
        <v>45762</v>
      </c>
      <c r="AF402">
        <v>105</v>
      </c>
      <c r="AG402">
        <v>8.7501711156742008</v>
      </c>
      <c r="AH402">
        <v>26.525630274131</v>
      </c>
      <c r="AI402">
        <v>16.2777777777778</v>
      </c>
      <c r="AJ402">
        <v>18.8923097390044</v>
      </c>
      <c r="AK402">
        <v>27</v>
      </c>
      <c r="AL402">
        <v>873.87466465534999</v>
      </c>
      <c r="AM402">
        <v>234.84349944228299</v>
      </c>
      <c r="AN402">
        <v>0.26873819432092599</v>
      </c>
      <c r="AO402" t="s">
        <v>164</v>
      </c>
      <c r="AP402" t="s">
        <v>264</v>
      </c>
      <c r="AQ402" t="s">
        <v>850</v>
      </c>
      <c r="AR402">
        <v>9.99</v>
      </c>
      <c r="AS402">
        <v>0.87300078999069475</v>
      </c>
      <c r="AT402" t="s">
        <v>1945</v>
      </c>
      <c r="AU402" t="s">
        <v>1942</v>
      </c>
      <c r="AV402">
        <v>1027</v>
      </c>
      <c r="AW402">
        <v>631</v>
      </c>
      <c r="AX402">
        <v>320</v>
      </c>
      <c r="AY402">
        <v>72</v>
      </c>
      <c r="AZ402">
        <v>4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30.437000000000001</v>
      </c>
      <c r="BI402">
        <v>16.789688999999999</v>
      </c>
      <c r="BJ402">
        <v>0</v>
      </c>
      <c r="BK402">
        <v>11.848991</v>
      </c>
      <c r="BL402">
        <v>140.398594</v>
      </c>
      <c r="BM402">
        <v>0.70572999999999997</v>
      </c>
      <c r="BN402">
        <v>26.932500000000001</v>
      </c>
      <c r="BO402">
        <v>-0.53822899999999996</v>
      </c>
      <c r="BP402">
        <v>1.5226660000000001</v>
      </c>
      <c r="BQ402">
        <v>10.777621999999999</v>
      </c>
      <c r="BR402">
        <v>5.673</v>
      </c>
      <c r="BS402">
        <v>22.268999000000001</v>
      </c>
      <c r="BT402">
        <v>16.789688999999999</v>
      </c>
      <c r="BU402">
        <v>6.3691709999999997</v>
      </c>
      <c r="BV402">
        <v>-1.124968</v>
      </c>
      <c r="BW402">
        <v>-0.72665199999999996</v>
      </c>
      <c r="BX402">
        <v>0.37935000000000002</v>
      </c>
      <c r="BY402">
        <v>-0.17662700000000001</v>
      </c>
      <c r="BZ402">
        <v>-0.114089</v>
      </c>
      <c r="CA402">
        <v>2E-3</v>
      </c>
      <c r="CB402">
        <v>6.0000000000000001E-3</v>
      </c>
      <c r="CC402">
        <v>1.4E-2</v>
      </c>
      <c r="CD402">
        <v>0.03</v>
      </c>
      <c r="CE402">
        <v>4.65E-2</v>
      </c>
      <c r="CF402">
        <v>1.3822000000000001</v>
      </c>
      <c r="CG402">
        <v>18.5564</v>
      </c>
      <c r="CH402">
        <v>22.268999000000001</v>
      </c>
      <c r="CI402">
        <v>25.096601</v>
      </c>
      <c r="CJ402">
        <v>26.573399999999999</v>
      </c>
      <c r="CK402">
        <v>26.978999999999999</v>
      </c>
      <c r="CL402">
        <v>27.357800000000001</v>
      </c>
      <c r="CM402">
        <v>28.263801999999998</v>
      </c>
      <c r="CN402">
        <v>29.146001999999999</v>
      </c>
      <c r="CO402">
        <v>29.87162</v>
      </c>
      <c r="CP402">
        <v>0.55162100000000003</v>
      </c>
      <c r="CQ402">
        <v>20.546423999999998</v>
      </c>
      <c r="CR402">
        <v>22.174399999999999</v>
      </c>
      <c r="CS402">
        <v>22</v>
      </c>
      <c r="CT402">
        <v>496</v>
      </c>
      <c r="CU402">
        <v>141.14605599999999</v>
      </c>
      <c r="CV402">
        <v>29.523810000000001</v>
      </c>
      <c r="CW402">
        <v>101.529301</v>
      </c>
      <c r="CX402">
        <v>10308.198920000001</v>
      </c>
      <c r="CY402">
        <v>0.71932099999999999</v>
      </c>
      <c r="CZ402">
        <v>129</v>
      </c>
      <c r="DA402">
        <v>1.250467</v>
      </c>
      <c r="DB402">
        <v>4.2457779999999996</v>
      </c>
      <c r="DC402">
        <v>78.538351000000006</v>
      </c>
      <c r="DD402">
        <v>141.14605599999999</v>
      </c>
      <c r="DE402">
        <v>54.032677</v>
      </c>
      <c r="DF402">
        <v>13.929828000000001</v>
      </c>
      <c r="DG402">
        <v>6.4446430000000001</v>
      </c>
      <c r="DH402">
        <v>0.38281399999999999</v>
      </c>
      <c r="DI402">
        <v>0.25780399999999998</v>
      </c>
      <c r="DJ402">
        <v>0.119273</v>
      </c>
      <c r="DK402">
        <v>26.26</v>
      </c>
      <c r="DL402">
        <v>33</v>
      </c>
      <c r="DM402">
        <v>38</v>
      </c>
      <c r="DN402">
        <v>52</v>
      </c>
      <c r="DO402">
        <v>59</v>
      </c>
      <c r="DP402">
        <v>67.799987999999999</v>
      </c>
      <c r="DQ402">
        <v>90</v>
      </c>
      <c r="DR402">
        <v>123</v>
      </c>
      <c r="DS402">
        <v>148</v>
      </c>
      <c r="DT402">
        <v>175</v>
      </c>
      <c r="DU402">
        <v>188</v>
      </c>
      <c r="DV402">
        <v>204</v>
      </c>
      <c r="DW402">
        <v>276.40002399999997</v>
      </c>
      <c r="DX402">
        <v>383.800049</v>
      </c>
      <c r="DY402">
        <v>447.47998000000001</v>
      </c>
      <c r="DZ402">
        <v>88.58954</v>
      </c>
      <c r="EA402">
        <v>69.522881999999996</v>
      </c>
      <c r="EB402">
        <v>113.153724</v>
      </c>
      <c r="EC402">
        <v>559</v>
      </c>
      <c r="ED402">
        <v>714</v>
      </c>
      <c r="EE402">
        <v>82.884310999999997</v>
      </c>
      <c r="EF402">
        <v>99.683042999999998</v>
      </c>
      <c r="EG402">
        <v>62.609541999999998</v>
      </c>
      <c r="EH402">
        <v>99.707886999999999</v>
      </c>
      <c r="EI402">
        <v>101.901743</v>
      </c>
      <c r="EJ402">
        <v>162.28209200000001</v>
      </c>
      <c r="EK402">
        <v>523</v>
      </c>
      <c r="EL402">
        <v>629</v>
      </c>
      <c r="EM402">
        <v>643</v>
      </c>
      <c r="EN402">
        <v>1024</v>
      </c>
      <c r="EO402">
        <v>631</v>
      </c>
      <c r="EP402">
        <v>1027</v>
      </c>
      <c r="EQ402">
        <v>55.233763000000003</v>
      </c>
    </row>
    <row r="403" spans="1:147" x14ac:dyDescent="0.25">
      <c r="A403">
        <v>2025</v>
      </c>
      <c r="B403" t="str">
        <f t="shared" si="12"/>
        <v>NE</v>
      </c>
      <c r="C403" t="s">
        <v>1946</v>
      </c>
      <c r="D403" t="s">
        <v>1946</v>
      </c>
      <c r="E403">
        <v>25102</v>
      </c>
      <c r="F403" t="s">
        <v>1943</v>
      </c>
      <c r="G403" t="s">
        <v>1921</v>
      </c>
      <c r="H403" t="s">
        <v>1944</v>
      </c>
      <c r="I403">
        <v>41.76</v>
      </c>
      <c r="J403">
        <v>41.76</v>
      </c>
      <c r="K403" t="s">
        <v>301</v>
      </c>
      <c r="L403">
        <v>1</v>
      </c>
      <c r="M403">
        <v>2016</v>
      </c>
      <c r="O403" t="str">
        <f t="shared" si="13"/>
        <v>Talhadia</v>
      </c>
      <c r="P403" s="2">
        <v>42566</v>
      </c>
      <c r="Q403" t="s">
        <v>322</v>
      </c>
      <c r="R403" t="s">
        <v>164</v>
      </c>
      <c r="S403" t="s">
        <v>154</v>
      </c>
      <c r="T403" t="s">
        <v>175</v>
      </c>
      <c r="U403" t="s">
        <v>156</v>
      </c>
      <c r="V403" s="2">
        <v>45762</v>
      </c>
      <c r="W403" t="s">
        <v>1923</v>
      </c>
      <c r="X403">
        <v>67.61</v>
      </c>
      <c r="Y403">
        <v>19.600000000000001</v>
      </c>
      <c r="Z403">
        <v>14</v>
      </c>
      <c r="AA403">
        <v>15</v>
      </c>
      <c r="AB403">
        <v>2</v>
      </c>
      <c r="AC403">
        <v>294</v>
      </c>
      <c r="AD403">
        <v>285.09316661080197</v>
      </c>
      <c r="AE403" s="2">
        <v>45762</v>
      </c>
      <c r="AF403">
        <v>105</v>
      </c>
      <c r="AG403">
        <v>8.7501711156742008</v>
      </c>
      <c r="AH403">
        <v>25.242106298556401</v>
      </c>
      <c r="AI403">
        <v>16.6111111111111</v>
      </c>
      <c r="AJ403">
        <v>14.175523174228401</v>
      </c>
      <c r="AK403">
        <v>18</v>
      </c>
      <c r="AL403">
        <v>631.37255143589198</v>
      </c>
      <c r="AM403">
        <v>165.98917759589</v>
      </c>
      <c r="AN403">
        <v>0.26290211257741702</v>
      </c>
      <c r="AO403" t="s">
        <v>164</v>
      </c>
      <c r="AP403" t="s">
        <v>264</v>
      </c>
      <c r="AQ403" t="s">
        <v>850</v>
      </c>
      <c r="AR403">
        <v>9.99</v>
      </c>
      <c r="AS403">
        <v>0.63074117888445647</v>
      </c>
      <c r="AT403" t="s">
        <v>1947</v>
      </c>
      <c r="AU403" t="s">
        <v>1946</v>
      </c>
      <c r="AV403">
        <v>840</v>
      </c>
      <c r="AW403">
        <v>537</v>
      </c>
      <c r="AX403">
        <v>221</v>
      </c>
      <c r="AY403">
        <v>69</v>
      </c>
      <c r="AZ403">
        <v>13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31.341999000000001</v>
      </c>
      <c r="BI403">
        <v>16.026769000000002</v>
      </c>
      <c r="BJ403">
        <v>0</v>
      </c>
      <c r="BK403">
        <v>11.952424000000001</v>
      </c>
      <c r="BL403">
        <v>142.86044200000001</v>
      </c>
      <c r="BM403">
        <v>0.74577899999999997</v>
      </c>
      <c r="BN403">
        <v>26.377998999999999</v>
      </c>
      <c r="BO403">
        <v>-0.41183399999999998</v>
      </c>
      <c r="BP403">
        <v>1.3519110000000001</v>
      </c>
      <c r="BQ403">
        <v>11.140563</v>
      </c>
      <c r="BR403">
        <v>5.0469999999999997</v>
      </c>
      <c r="BS403">
        <v>23.378499999999999</v>
      </c>
      <c r="BT403">
        <v>16.026769000000002</v>
      </c>
      <c r="BU403">
        <v>6.4416830000000003</v>
      </c>
      <c r="BV403">
        <v>-0.92649000000000004</v>
      </c>
      <c r="BW403">
        <v>-0.93633999999999995</v>
      </c>
      <c r="BX403">
        <v>0.40193299999999998</v>
      </c>
      <c r="BY403">
        <v>-0.14382700000000001</v>
      </c>
      <c r="BZ403">
        <v>-0.14535600000000001</v>
      </c>
      <c r="CA403">
        <v>2E-3</v>
      </c>
      <c r="CB403">
        <v>9.9500000000000005E-3</v>
      </c>
      <c r="CC403">
        <v>2.1999999999999999E-2</v>
      </c>
      <c r="CD403">
        <v>5.8799999999999998E-2</v>
      </c>
      <c r="CE403">
        <v>0.13700000000000001</v>
      </c>
      <c r="CF403">
        <v>1.1097999999999999</v>
      </c>
      <c r="CG403">
        <v>16.232800999999998</v>
      </c>
      <c r="CH403">
        <v>23.378499999999999</v>
      </c>
      <c r="CI403">
        <v>24.920798999999999</v>
      </c>
      <c r="CJ403">
        <v>26.160800999999999</v>
      </c>
      <c r="CK403">
        <v>26.514999</v>
      </c>
      <c r="CL403">
        <v>26.825399000000001</v>
      </c>
      <c r="CM403">
        <v>27.930600999999999</v>
      </c>
      <c r="CN403">
        <v>28.526350000000001</v>
      </c>
      <c r="CO403">
        <v>29.300491000000001</v>
      </c>
      <c r="CP403">
        <v>0.511351</v>
      </c>
      <c r="CQ403">
        <v>19.988689000000001</v>
      </c>
      <c r="CR403">
        <v>21.739912</v>
      </c>
      <c r="CS403">
        <v>21</v>
      </c>
      <c r="CT403">
        <v>526</v>
      </c>
      <c r="CU403">
        <v>168.292857</v>
      </c>
      <c r="CV403">
        <v>37.031745999999998</v>
      </c>
      <c r="CW403">
        <v>115.115219</v>
      </c>
      <c r="CX403">
        <v>13251.513660000001</v>
      </c>
      <c r="CY403">
        <v>0.68401699999999999</v>
      </c>
      <c r="CZ403">
        <v>188.25</v>
      </c>
      <c r="DA403">
        <v>0.69243299999999997</v>
      </c>
      <c r="DB403">
        <v>2.662388</v>
      </c>
      <c r="DC403">
        <v>97.365696999999997</v>
      </c>
      <c r="DD403">
        <v>168.292857</v>
      </c>
      <c r="DE403">
        <v>64.423741000000007</v>
      </c>
      <c r="DF403">
        <v>11.298189000000001</v>
      </c>
      <c r="DG403">
        <v>2.0032890000000001</v>
      </c>
      <c r="DH403">
        <v>0.38280700000000001</v>
      </c>
      <c r="DI403">
        <v>0.175373</v>
      </c>
      <c r="DJ403">
        <v>3.1095999999999999E-2</v>
      </c>
      <c r="DK403">
        <v>25.389999</v>
      </c>
      <c r="DL403">
        <v>34</v>
      </c>
      <c r="DM403">
        <v>39</v>
      </c>
      <c r="DN403">
        <v>53.800002999999997</v>
      </c>
      <c r="DO403">
        <v>64.75</v>
      </c>
      <c r="DP403">
        <v>75</v>
      </c>
      <c r="DQ403">
        <v>109</v>
      </c>
      <c r="DR403">
        <v>143.5</v>
      </c>
      <c r="DS403">
        <v>188</v>
      </c>
      <c r="DT403">
        <v>234</v>
      </c>
      <c r="DU403">
        <v>253</v>
      </c>
      <c r="DV403">
        <v>271.20001200000002</v>
      </c>
      <c r="DW403">
        <v>326.29992700000003</v>
      </c>
      <c r="DX403">
        <v>387.04998799999998</v>
      </c>
      <c r="DY403">
        <v>472.70983899999999</v>
      </c>
      <c r="DZ403">
        <v>83.426443000000006</v>
      </c>
      <c r="EA403">
        <v>67.5</v>
      </c>
      <c r="EB403">
        <v>105.586592</v>
      </c>
      <c r="EC403">
        <v>448</v>
      </c>
      <c r="ED403">
        <v>567</v>
      </c>
      <c r="EE403">
        <v>79.143388999999999</v>
      </c>
      <c r="EF403">
        <v>99.627561</v>
      </c>
      <c r="EG403">
        <v>60.476190000000003</v>
      </c>
      <c r="EH403">
        <v>99.761904999999999</v>
      </c>
      <c r="EI403">
        <v>94.599627999999996</v>
      </c>
      <c r="EJ403">
        <v>156.052142</v>
      </c>
      <c r="EK403">
        <v>425</v>
      </c>
      <c r="EL403">
        <v>535</v>
      </c>
      <c r="EM403">
        <v>508</v>
      </c>
      <c r="EN403">
        <v>838</v>
      </c>
      <c r="EO403">
        <v>537</v>
      </c>
      <c r="EP403">
        <v>840</v>
      </c>
      <c r="EQ403">
        <v>53.651994999999999</v>
      </c>
    </row>
    <row r="404" spans="1:147" x14ac:dyDescent="0.25">
      <c r="A404">
        <v>2025</v>
      </c>
      <c r="B404" t="str">
        <f t="shared" si="12"/>
        <v>NE</v>
      </c>
      <c r="C404" t="s">
        <v>1948</v>
      </c>
      <c r="D404" t="s">
        <v>1948</v>
      </c>
      <c r="E404">
        <v>25103</v>
      </c>
      <c r="F404" t="s">
        <v>1943</v>
      </c>
      <c r="G404" t="s">
        <v>1921</v>
      </c>
      <c r="H404" t="s">
        <v>1944</v>
      </c>
      <c r="I404">
        <v>41.76</v>
      </c>
      <c r="J404">
        <v>41.76</v>
      </c>
      <c r="K404" t="s">
        <v>301</v>
      </c>
      <c r="L404">
        <v>1</v>
      </c>
      <c r="M404">
        <v>2016</v>
      </c>
      <c r="O404" t="str">
        <f t="shared" si="13"/>
        <v>Talhadia</v>
      </c>
      <c r="P404" s="2">
        <v>42566</v>
      </c>
      <c r="Q404" t="s">
        <v>322</v>
      </c>
      <c r="R404" t="s">
        <v>164</v>
      </c>
      <c r="S404" t="s">
        <v>154</v>
      </c>
      <c r="T404" t="s">
        <v>175</v>
      </c>
      <c r="U404" t="s">
        <v>156</v>
      </c>
      <c r="V404" s="2">
        <v>44797</v>
      </c>
      <c r="W404" t="s">
        <v>1923</v>
      </c>
      <c r="X404">
        <v>67.61</v>
      </c>
      <c r="Y404">
        <v>19</v>
      </c>
      <c r="Z404">
        <v>22</v>
      </c>
      <c r="AA404">
        <v>15</v>
      </c>
      <c r="AB404">
        <v>5</v>
      </c>
      <c r="AC404">
        <v>285</v>
      </c>
      <c r="AD404">
        <v>263.24185742157499</v>
      </c>
      <c r="AE404" s="2">
        <v>45762</v>
      </c>
      <c r="AF404">
        <v>105</v>
      </c>
      <c r="AG404">
        <v>8.7501711156742008</v>
      </c>
      <c r="AH404">
        <v>26.949787043057199</v>
      </c>
      <c r="AI404">
        <v>18.5461538461538</v>
      </c>
      <c r="AJ404">
        <v>27.882810510910801</v>
      </c>
      <c r="AK404">
        <v>26</v>
      </c>
      <c r="AL404">
        <v>987.68487104091798</v>
      </c>
      <c r="AM404">
        <v>350.75187464845499</v>
      </c>
      <c r="AN404">
        <v>0.35512528837138002</v>
      </c>
      <c r="AO404" t="s">
        <v>164</v>
      </c>
      <c r="AP404" t="s">
        <v>264</v>
      </c>
      <c r="AQ404" t="s">
        <v>850</v>
      </c>
      <c r="AR404">
        <v>9.99</v>
      </c>
      <c r="AS404">
        <v>0.98669718616987701</v>
      </c>
      <c r="AT404" t="s">
        <v>1949</v>
      </c>
      <c r="AU404" t="s">
        <v>1948</v>
      </c>
      <c r="AV404">
        <v>1111</v>
      </c>
      <c r="AW404">
        <v>619</v>
      </c>
      <c r="AX404">
        <v>329</v>
      </c>
      <c r="AY404">
        <v>135</v>
      </c>
      <c r="AZ404">
        <v>25</v>
      </c>
      <c r="BA404">
        <v>3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33.259998000000003</v>
      </c>
      <c r="BI404">
        <v>18.237113000000001</v>
      </c>
      <c r="BJ404">
        <v>0</v>
      </c>
      <c r="BK404">
        <v>11.37651</v>
      </c>
      <c r="BL404">
        <v>129.42497599999999</v>
      </c>
      <c r="BM404">
        <v>0.623811</v>
      </c>
      <c r="BN404">
        <v>19.651499999999999</v>
      </c>
      <c r="BO404">
        <v>-0.67383800000000005</v>
      </c>
      <c r="BP404">
        <v>1.8637889999999999</v>
      </c>
      <c r="BQ404">
        <v>9.8765800000000006</v>
      </c>
      <c r="BR404">
        <v>5.6909999999999998</v>
      </c>
      <c r="BS404">
        <v>22.924999</v>
      </c>
      <c r="BT404">
        <v>18.237113000000001</v>
      </c>
      <c r="BU404">
        <v>6.1790459999999996</v>
      </c>
      <c r="BV404">
        <v>-1.3036129999999999</v>
      </c>
      <c r="BW404">
        <v>-0.26192799999999999</v>
      </c>
      <c r="BX404">
        <v>0.33881699999999998</v>
      </c>
      <c r="BY404">
        <v>-0.21097299999999999</v>
      </c>
      <c r="BZ404">
        <v>-4.2389999999999997E-2</v>
      </c>
      <c r="CA404">
        <v>2E-3</v>
      </c>
      <c r="CB404">
        <v>6.0000000000000001E-3</v>
      </c>
      <c r="CC404">
        <v>1.4E-2</v>
      </c>
      <c r="CD404">
        <v>4.3999999999999997E-2</v>
      </c>
      <c r="CE404">
        <v>7.7995000000000001</v>
      </c>
      <c r="CF404">
        <v>14.311999999999999</v>
      </c>
      <c r="CG404">
        <v>19.190999999999999</v>
      </c>
      <c r="CH404">
        <v>22.924999</v>
      </c>
      <c r="CI404">
        <v>25.745000999999998</v>
      </c>
      <c r="CJ404">
        <v>27.120000999999998</v>
      </c>
      <c r="CK404">
        <v>27.451000000000001</v>
      </c>
      <c r="CL404">
        <v>27.891000999999999</v>
      </c>
      <c r="CM404">
        <v>29.228000999999999</v>
      </c>
      <c r="CN404">
        <v>30.386500999999999</v>
      </c>
      <c r="CO404">
        <v>32.170699999999997</v>
      </c>
      <c r="CP404">
        <v>0.54832000000000003</v>
      </c>
      <c r="CQ404">
        <v>21.491876000000001</v>
      </c>
      <c r="CR404">
        <v>22.988578</v>
      </c>
      <c r="CS404">
        <v>21</v>
      </c>
      <c r="CT404">
        <v>703</v>
      </c>
      <c r="CU404">
        <v>155.82538299999999</v>
      </c>
      <c r="CV404">
        <v>42.650793999999998</v>
      </c>
      <c r="CW404">
        <v>124.982889</v>
      </c>
      <c r="CX404">
        <v>15620.72263</v>
      </c>
      <c r="CY404">
        <v>0.80206999999999995</v>
      </c>
      <c r="CZ404">
        <v>151.5</v>
      </c>
      <c r="DA404">
        <v>1.548365</v>
      </c>
      <c r="DB404">
        <v>5.7190859999999999</v>
      </c>
      <c r="DC404">
        <v>95.864941000000002</v>
      </c>
      <c r="DD404">
        <v>155.82538299999999</v>
      </c>
      <c r="DE404">
        <v>64.817380999999997</v>
      </c>
      <c r="DF404">
        <v>19.153879</v>
      </c>
      <c r="DG404">
        <v>8.0944269999999996</v>
      </c>
      <c r="DH404">
        <v>0.415962</v>
      </c>
      <c r="DI404">
        <v>0.29550500000000002</v>
      </c>
      <c r="DJ404">
        <v>0.12488100000000001</v>
      </c>
      <c r="DK404">
        <v>26</v>
      </c>
      <c r="DL404">
        <v>32</v>
      </c>
      <c r="DM404">
        <v>39</v>
      </c>
      <c r="DN404">
        <v>52</v>
      </c>
      <c r="DO404">
        <v>58</v>
      </c>
      <c r="DP404">
        <v>66</v>
      </c>
      <c r="DQ404">
        <v>90</v>
      </c>
      <c r="DR404">
        <v>122</v>
      </c>
      <c r="DS404">
        <v>160</v>
      </c>
      <c r="DT404">
        <v>194</v>
      </c>
      <c r="DU404">
        <v>209.5</v>
      </c>
      <c r="DV404">
        <v>245</v>
      </c>
      <c r="DW404">
        <v>312</v>
      </c>
      <c r="DX404">
        <v>390</v>
      </c>
      <c r="DY404">
        <v>608.00024399999995</v>
      </c>
      <c r="DZ404">
        <v>94.345719000000003</v>
      </c>
      <c r="EA404">
        <v>76.417642000000001</v>
      </c>
      <c r="EB404">
        <v>137.15670399999999</v>
      </c>
      <c r="EC404">
        <v>584</v>
      </c>
      <c r="ED404">
        <v>849</v>
      </c>
      <c r="EE404">
        <v>85.621971000000002</v>
      </c>
      <c r="EF404">
        <v>100</v>
      </c>
      <c r="EG404">
        <v>62.196219999999997</v>
      </c>
      <c r="EH404">
        <v>99.819981999999996</v>
      </c>
      <c r="EI404">
        <v>111.631664</v>
      </c>
      <c r="EJ404">
        <v>179.15993499999999</v>
      </c>
      <c r="EK404">
        <v>530</v>
      </c>
      <c r="EL404">
        <v>619</v>
      </c>
      <c r="EM404">
        <v>691</v>
      </c>
      <c r="EN404">
        <v>1109</v>
      </c>
      <c r="EO404">
        <v>619</v>
      </c>
      <c r="EP404">
        <v>1111</v>
      </c>
      <c r="EQ404">
        <v>55.670639999999999</v>
      </c>
    </row>
    <row r="405" spans="1:147" x14ac:dyDescent="0.25">
      <c r="A405">
        <v>2025</v>
      </c>
      <c r="B405" t="str">
        <f t="shared" si="12"/>
        <v>NE</v>
      </c>
      <c r="C405" t="s">
        <v>1950</v>
      </c>
      <c r="D405" t="s">
        <v>1950</v>
      </c>
      <c r="E405">
        <v>25104</v>
      </c>
      <c r="F405" t="s">
        <v>1943</v>
      </c>
      <c r="G405" t="s">
        <v>1921</v>
      </c>
      <c r="H405" t="s">
        <v>1944</v>
      </c>
      <c r="I405">
        <v>41.76</v>
      </c>
      <c r="J405">
        <v>41.76</v>
      </c>
      <c r="K405" t="s">
        <v>301</v>
      </c>
      <c r="L405">
        <v>1</v>
      </c>
      <c r="M405">
        <v>2016</v>
      </c>
      <c r="O405" t="str">
        <f t="shared" si="13"/>
        <v>Talhadia</v>
      </c>
      <c r="P405" s="2">
        <v>42566</v>
      </c>
      <c r="Q405" t="s">
        <v>322</v>
      </c>
      <c r="R405" t="s">
        <v>164</v>
      </c>
      <c r="S405" t="s">
        <v>154</v>
      </c>
      <c r="T405" t="s">
        <v>175</v>
      </c>
      <c r="U405" t="s">
        <v>156</v>
      </c>
      <c r="V405" s="2">
        <v>45762</v>
      </c>
      <c r="W405" t="s">
        <v>1923</v>
      </c>
      <c r="X405">
        <v>67.61</v>
      </c>
      <c r="Y405">
        <v>21.4</v>
      </c>
      <c r="Z405">
        <v>20</v>
      </c>
      <c r="AA405">
        <v>16</v>
      </c>
      <c r="AB405">
        <v>1</v>
      </c>
      <c r="AC405">
        <v>342.4</v>
      </c>
      <c r="AD405">
        <v>321.70174915892397</v>
      </c>
      <c r="AE405" s="2">
        <v>45762</v>
      </c>
      <c r="AF405">
        <v>105</v>
      </c>
      <c r="AG405">
        <v>8.7501711156742008</v>
      </c>
      <c r="AH405">
        <v>22.099375074843898</v>
      </c>
      <c r="AI405">
        <v>16</v>
      </c>
      <c r="AJ405">
        <v>21.272919714060802</v>
      </c>
      <c r="AK405">
        <v>32</v>
      </c>
      <c r="AL405">
        <v>994.71016504146098</v>
      </c>
      <c r="AM405">
        <v>222.75292429965901</v>
      </c>
      <c r="AN405">
        <v>0.22393751680458099</v>
      </c>
      <c r="AO405" t="s">
        <v>164</v>
      </c>
      <c r="AP405" t="s">
        <v>264</v>
      </c>
      <c r="AQ405" t="s">
        <v>850</v>
      </c>
      <c r="AR405">
        <v>9.99</v>
      </c>
      <c r="AS405">
        <v>0.99371545487641966</v>
      </c>
      <c r="AT405" t="s">
        <v>1951</v>
      </c>
      <c r="AU405" t="s">
        <v>1950</v>
      </c>
      <c r="AV405">
        <v>1285</v>
      </c>
      <c r="AW405">
        <v>728</v>
      </c>
      <c r="AX405">
        <v>407</v>
      </c>
      <c r="AY405">
        <v>123</v>
      </c>
      <c r="AZ405">
        <v>23</v>
      </c>
      <c r="BA405">
        <v>4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29.601998999999999</v>
      </c>
      <c r="BI405">
        <v>14.340425</v>
      </c>
      <c r="BJ405">
        <v>0</v>
      </c>
      <c r="BK405">
        <v>11.634143999999999</v>
      </c>
      <c r="BL405">
        <v>135.35331500000001</v>
      </c>
      <c r="BM405">
        <v>0.81128299999999998</v>
      </c>
      <c r="BN405">
        <v>24.803000000000001</v>
      </c>
      <c r="BO405">
        <v>-0.28866399999999998</v>
      </c>
      <c r="BP405">
        <v>1.233997</v>
      </c>
      <c r="BQ405">
        <v>11.065215999999999</v>
      </c>
      <c r="BR405">
        <v>5.806</v>
      </c>
      <c r="BS405">
        <v>20.847000000000001</v>
      </c>
      <c r="BT405">
        <v>14.340425</v>
      </c>
      <c r="BU405">
        <v>6.2523299999999997</v>
      </c>
      <c r="BV405">
        <v>-0.53803900000000004</v>
      </c>
      <c r="BW405">
        <v>-1.0631600000000001</v>
      </c>
      <c r="BX405">
        <v>0.43599300000000002</v>
      </c>
      <c r="BY405">
        <v>-8.6054000000000005E-2</v>
      </c>
      <c r="BZ405">
        <v>-0.170042</v>
      </c>
      <c r="CA405">
        <v>1E-3</v>
      </c>
      <c r="CB405">
        <v>7.0000000000000001E-3</v>
      </c>
      <c r="CC405">
        <v>1.0999999999999999E-2</v>
      </c>
      <c r="CD405">
        <v>2.8000000000000001E-2</v>
      </c>
      <c r="CE405">
        <v>4.4999999999999998E-2</v>
      </c>
      <c r="CF405">
        <v>6.4000000000000001E-2</v>
      </c>
      <c r="CG405">
        <v>10.993999000000001</v>
      </c>
      <c r="CH405">
        <v>20.847000000000001</v>
      </c>
      <c r="CI405">
        <v>23.265799999999999</v>
      </c>
      <c r="CJ405">
        <v>24.479799</v>
      </c>
      <c r="CK405">
        <v>24.847999999999999</v>
      </c>
      <c r="CL405">
        <v>25.204401000000001</v>
      </c>
      <c r="CM405">
        <v>26.160800999999999</v>
      </c>
      <c r="CN405">
        <v>27.244199999999999</v>
      </c>
      <c r="CO405">
        <v>28.781480999999999</v>
      </c>
      <c r="CP405">
        <v>0.48444100000000001</v>
      </c>
      <c r="CQ405">
        <v>18.463363000000001</v>
      </c>
      <c r="CR405">
        <v>20.257828</v>
      </c>
      <c r="CS405">
        <v>20</v>
      </c>
      <c r="CT405">
        <v>693</v>
      </c>
      <c r="CU405">
        <v>178.74552499999999</v>
      </c>
      <c r="CV405">
        <v>41.365079000000001</v>
      </c>
      <c r="CW405">
        <v>139.78214</v>
      </c>
      <c r="CX405">
        <v>19539.046559999999</v>
      </c>
      <c r="CY405">
        <v>0.78201799999999999</v>
      </c>
      <c r="CZ405">
        <v>171</v>
      </c>
      <c r="DA405">
        <v>1.3314379999999999</v>
      </c>
      <c r="DB405">
        <v>4.3423879999999997</v>
      </c>
      <c r="DC405">
        <v>108.214051</v>
      </c>
      <c r="DD405">
        <v>178.74552499999999</v>
      </c>
      <c r="DE405">
        <v>73.638942</v>
      </c>
      <c r="DF405">
        <v>21.384886000000002</v>
      </c>
      <c r="DG405">
        <v>9.4055529999999994</v>
      </c>
      <c r="DH405">
        <v>0.41197600000000001</v>
      </c>
      <c r="DI405">
        <v>0.29040199999999999</v>
      </c>
      <c r="DJ405">
        <v>0.12772500000000001</v>
      </c>
      <c r="DK405">
        <v>28.68</v>
      </c>
      <c r="DL405">
        <v>36</v>
      </c>
      <c r="DM405">
        <v>44</v>
      </c>
      <c r="DN405">
        <v>60</v>
      </c>
      <c r="DO405">
        <v>71</v>
      </c>
      <c r="DP405">
        <v>83</v>
      </c>
      <c r="DQ405">
        <v>109</v>
      </c>
      <c r="DR405">
        <v>138</v>
      </c>
      <c r="DS405">
        <v>176.400024</v>
      </c>
      <c r="DT405">
        <v>217.79998800000001</v>
      </c>
      <c r="DU405">
        <v>242</v>
      </c>
      <c r="DV405">
        <v>270.199951</v>
      </c>
      <c r="DW405">
        <v>365.79992700000003</v>
      </c>
      <c r="DX405">
        <v>517</v>
      </c>
      <c r="DY405">
        <v>607.160034</v>
      </c>
      <c r="DZ405">
        <v>86.126373999999998</v>
      </c>
      <c r="EA405">
        <v>62.023345999999997</v>
      </c>
      <c r="EB405">
        <v>109.478022</v>
      </c>
      <c r="EC405">
        <v>627</v>
      </c>
      <c r="ED405">
        <v>797</v>
      </c>
      <c r="EE405">
        <v>83.791208999999995</v>
      </c>
      <c r="EF405">
        <v>100</v>
      </c>
      <c r="EG405">
        <v>57.976654000000003</v>
      </c>
      <c r="EH405">
        <v>99.533073999999999</v>
      </c>
      <c r="EI405">
        <v>102.335165</v>
      </c>
      <c r="EJ405">
        <v>175.686813</v>
      </c>
      <c r="EK405">
        <v>610</v>
      </c>
      <c r="EL405">
        <v>728</v>
      </c>
      <c r="EM405">
        <v>745</v>
      </c>
      <c r="EN405">
        <v>1279</v>
      </c>
      <c r="EO405">
        <v>728</v>
      </c>
      <c r="EP405">
        <v>1285</v>
      </c>
      <c r="EQ405">
        <v>48.822938999999998</v>
      </c>
    </row>
    <row r="406" spans="1:147" x14ac:dyDescent="0.25">
      <c r="A406">
        <v>2025</v>
      </c>
      <c r="B406" t="str">
        <f t="shared" si="12"/>
        <v>NE</v>
      </c>
      <c r="C406" t="s">
        <v>1952</v>
      </c>
      <c r="D406" t="s">
        <v>1952</v>
      </c>
      <c r="E406">
        <v>31024</v>
      </c>
      <c r="F406" t="s">
        <v>1943</v>
      </c>
      <c r="G406" t="s">
        <v>1921</v>
      </c>
      <c r="H406" t="s">
        <v>1944</v>
      </c>
      <c r="I406">
        <v>41.76</v>
      </c>
      <c r="J406">
        <v>41.76</v>
      </c>
      <c r="K406" t="s">
        <v>301</v>
      </c>
      <c r="L406">
        <v>1</v>
      </c>
      <c r="M406">
        <v>2016</v>
      </c>
      <c r="O406" t="str">
        <f t="shared" si="13"/>
        <v>Talhadia</v>
      </c>
      <c r="P406" s="2">
        <v>42566</v>
      </c>
      <c r="Q406" t="s">
        <v>322</v>
      </c>
      <c r="R406" t="s">
        <v>164</v>
      </c>
      <c r="S406" t="s">
        <v>154</v>
      </c>
      <c r="T406" t="s">
        <v>175</v>
      </c>
      <c r="U406" t="s">
        <v>156</v>
      </c>
      <c r="V406" s="2">
        <v>44798</v>
      </c>
      <c r="W406" t="s">
        <v>1923</v>
      </c>
      <c r="X406">
        <v>67.61</v>
      </c>
      <c r="Y406">
        <v>20.2</v>
      </c>
      <c r="Z406">
        <v>21</v>
      </c>
      <c r="AA406">
        <v>15.6</v>
      </c>
      <c r="AB406">
        <v>13</v>
      </c>
      <c r="AC406">
        <v>315.12</v>
      </c>
      <c r="AD406">
        <v>286.649796842694</v>
      </c>
      <c r="AE406" s="2">
        <v>45762</v>
      </c>
      <c r="AF406">
        <v>105</v>
      </c>
      <c r="AG406">
        <v>8.7501711156742008</v>
      </c>
      <c r="AH406">
        <v>23.263979489223502</v>
      </c>
      <c r="AI406">
        <v>12.5175</v>
      </c>
      <c r="AJ406">
        <v>17.852319772805501</v>
      </c>
      <c r="AK406">
        <v>40</v>
      </c>
      <c r="AL406">
        <v>1395.4309558416001</v>
      </c>
      <c r="AM406">
        <v>197.07051216905001</v>
      </c>
      <c r="AN406">
        <v>0.14122555569236001</v>
      </c>
      <c r="AO406" t="s">
        <v>164</v>
      </c>
      <c r="AP406" t="s">
        <v>264</v>
      </c>
      <c r="AQ406" t="s">
        <v>850</v>
      </c>
      <c r="AR406">
        <v>9.99</v>
      </c>
      <c r="AS406">
        <v>1.394035524885755</v>
      </c>
      <c r="AT406" t="s">
        <v>1953</v>
      </c>
      <c r="AU406" t="s">
        <v>1952</v>
      </c>
      <c r="AV406">
        <v>2149</v>
      </c>
      <c r="AW406">
        <v>1197</v>
      </c>
      <c r="AX406">
        <v>748</v>
      </c>
      <c r="AY406">
        <v>179</v>
      </c>
      <c r="AZ406">
        <v>25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27.815999999999999</v>
      </c>
      <c r="BI406">
        <v>10.510007999999999</v>
      </c>
      <c r="BJ406">
        <v>0</v>
      </c>
      <c r="BK406">
        <v>9.7560830000000003</v>
      </c>
      <c r="BL406">
        <v>95.181151</v>
      </c>
      <c r="BM406">
        <v>0.92826600000000004</v>
      </c>
      <c r="BN406">
        <v>19.539000000000001</v>
      </c>
      <c r="BO406">
        <v>0.16036600000000001</v>
      </c>
      <c r="BP406">
        <v>1.2902009999999999</v>
      </c>
      <c r="BQ406">
        <v>9.2816600000000005</v>
      </c>
      <c r="BR406">
        <v>9.5939999999999994</v>
      </c>
      <c r="BS406">
        <v>10.069000000000001</v>
      </c>
      <c r="BT406">
        <v>10.510007999999999</v>
      </c>
      <c r="BU406">
        <v>5.3852460000000004</v>
      </c>
      <c r="BV406">
        <v>0.53111900000000001</v>
      </c>
      <c r="BW406">
        <v>-0.76402800000000004</v>
      </c>
      <c r="BX406">
        <v>0.51239199999999996</v>
      </c>
      <c r="BY406">
        <v>9.8625000000000004E-2</v>
      </c>
      <c r="BZ406">
        <v>-0.141874</v>
      </c>
      <c r="CA406">
        <v>3.0000000000000001E-3</v>
      </c>
      <c r="CB406">
        <v>1.4E-2</v>
      </c>
      <c r="CC406">
        <v>3.5000000000000003E-2</v>
      </c>
      <c r="CD406">
        <v>0.25459999999999999</v>
      </c>
      <c r="CE406">
        <v>0.68400000000000005</v>
      </c>
      <c r="CF406">
        <v>0.97</v>
      </c>
      <c r="CG406">
        <v>1.6317999999999999</v>
      </c>
      <c r="CH406">
        <v>10.069000000000001</v>
      </c>
      <c r="CI406">
        <v>16.410399999999999</v>
      </c>
      <c r="CJ406">
        <v>18.9862</v>
      </c>
      <c r="CK406">
        <v>20.222999999999999</v>
      </c>
      <c r="CL406">
        <v>21.5198</v>
      </c>
      <c r="CM406">
        <v>22.940199</v>
      </c>
      <c r="CN406">
        <v>24.613997999999999</v>
      </c>
      <c r="CO406">
        <v>25.898001000000001</v>
      </c>
      <c r="CP406">
        <v>0.37784000000000001</v>
      </c>
      <c r="CQ406">
        <v>14.338659</v>
      </c>
      <c r="CR406">
        <v>16.273235</v>
      </c>
      <c r="CS406">
        <v>22</v>
      </c>
      <c r="CT406">
        <v>546</v>
      </c>
      <c r="CU406">
        <v>145.08515600000001</v>
      </c>
      <c r="CV406">
        <v>30.317460000000001</v>
      </c>
      <c r="CW406">
        <v>106.045705</v>
      </c>
      <c r="CX406">
        <v>11245.69154</v>
      </c>
      <c r="CY406">
        <v>0.73092000000000001</v>
      </c>
      <c r="CZ406">
        <v>137</v>
      </c>
      <c r="DA406">
        <v>1.1768289999999999</v>
      </c>
      <c r="DB406">
        <v>3.7867150000000001</v>
      </c>
      <c r="DC406">
        <v>84.580954000000006</v>
      </c>
      <c r="DD406">
        <v>145.08515600000001</v>
      </c>
      <c r="DE406">
        <v>56.748302000000002</v>
      </c>
      <c r="DF406">
        <v>15.637924</v>
      </c>
      <c r="DG406">
        <v>6.0173579999999998</v>
      </c>
      <c r="DH406">
        <v>0.39113799999999999</v>
      </c>
      <c r="DI406">
        <v>0.27556599999999998</v>
      </c>
      <c r="DJ406">
        <v>0.10603600000000001</v>
      </c>
      <c r="DK406">
        <v>27</v>
      </c>
      <c r="DL406">
        <v>34</v>
      </c>
      <c r="DM406">
        <v>39.800002999999997</v>
      </c>
      <c r="DN406">
        <v>54</v>
      </c>
      <c r="DO406">
        <v>61</v>
      </c>
      <c r="DP406">
        <v>71</v>
      </c>
      <c r="DQ406">
        <v>90</v>
      </c>
      <c r="DR406">
        <v>113</v>
      </c>
      <c r="DS406">
        <v>140</v>
      </c>
      <c r="DT406">
        <v>182</v>
      </c>
      <c r="DU406">
        <v>198</v>
      </c>
      <c r="DV406">
        <v>219</v>
      </c>
      <c r="DW406">
        <v>305</v>
      </c>
      <c r="DX406">
        <v>374.59997600000003</v>
      </c>
      <c r="DY406">
        <v>454</v>
      </c>
      <c r="DZ406">
        <v>69.423558999999997</v>
      </c>
      <c r="EA406">
        <v>54.443927000000002</v>
      </c>
      <c r="EB406">
        <v>97.744360999999998</v>
      </c>
      <c r="EC406">
        <v>831</v>
      </c>
      <c r="ED406">
        <v>1170</v>
      </c>
      <c r="EE406">
        <v>65.162907000000004</v>
      </c>
      <c r="EF406">
        <v>100</v>
      </c>
      <c r="EG406">
        <v>49.371800999999998</v>
      </c>
      <c r="EH406">
        <v>99.953467000000003</v>
      </c>
      <c r="EI406">
        <v>88.638261999999997</v>
      </c>
      <c r="EJ406">
        <v>179.448622</v>
      </c>
      <c r="EK406">
        <v>780</v>
      </c>
      <c r="EL406">
        <v>1197</v>
      </c>
      <c r="EM406">
        <v>1061</v>
      </c>
      <c r="EN406">
        <v>2148</v>
      </c>
      <c r="EO406">
        <v>1197</v>
      </c>
      <c r="EP406">
        <v>2149</v>
      </c>
      <c r="EQ406">
        <v>39.556762999999997</v>
      </c>
    </row>
    <row r="407" spans="1:147" x14ac:dyDescent="0.25">
      <c r="A407">
        <v>2025</v>
      </c>
      <c r="B407" t="str">
        <f t="shared" si="12"/>
        <v>NE</v>
      </c>
      <c r="C407" t="s">
        <v>1954</v>
      </c>
      <c r="D407" t="s">
        <v>1954</v>
      </c>
      <c r="E407">
        <v>28315</v>
      </c>
      <c r="F407" t="s">
        <v>1955</v>
      </c>
      <c r="G407" t="s">
        <v>1921</v>
      </c>
      <c r="H407" t="s">
        <v>1956</v>
      </c>
      <c r="I407">
        <v>48.82</v>
      </c>
      <c r="J407">
        <v>48.82</v>
      </c>
      <c r="K407" t="s">
        <v>301</v>
      </c>
      <c r="L407">
        <v>1</v>
      </c>
      <c r="M407">
        <v>2021</v>
      </c>
      <c r="O407" t="str">
        <f t="shared" si="13"/>
        <v>Talhadia</v>
      </c>
      <c r="P407" s="2">
        <v>44532</v>
      </c>
      <c r="Q407" t="s">
        <v>174</v>
      </c>
      <c r="R407" t="s">
        <v>165</v>
      </c>
      <c r="S407" t="s">
        <v>154</v>
      </c>
      <c r="T407" t="s">
        <v>175</v>
      </c>
      <c r="U407" t="s">
        <v>156</v>
      </c>
      <c r="V407" s="2">
        <v>45762</v>
      </c>
      <c r="W407" t="s">
        <v>1923</v>
      </c>
      <c r="X407">
        <v>75.69</v>
      </c>
      <c r="Y407">
        <v>19.100000000000001</v>
      </c>
      <c r="Z407">
        <v>9</v>
      </c>
      <c r="AA407">
        <v>15.4</v>
      </c>
      <c r="AB407">
        <v>5</v>
      </c>
      <c r="AC407">
        <v>294.14</v>
      </c>
      <c r="AD407">
        <v>289.413137335123</v>
      </c>
      <c r="AE407" s="2">
        <v>45762</v>
      </c>
      <c r="AF407">
        <v>40</v>
      </c>
      <c r="AG407">
        <v>3.3675564681724799</v>
      </c>
      <c r="AH407">
        <v>18.7130622108292</v>
      </c>
      <c r="AI407">
        <v>14.2758620689655</v>
      </c>
      <c r="AJ407">
        <v>16.6732407002999</v>
      </c>
      <c r="AK407">
        <v>29</v>
      </c>
      <c r="AL407">
        <v>1002.02776788324</v>
      </c>
      <c r="AM407">
        <v>138.88578313802299</v>
      </c>
      <c r="AN407">
        <v>0.138604724928347</v>
      </c>
      <c r="AO407" t="s">
        <v>165</v>
      </c>
      <c r="AP407" t="s">
        <v>264</v>
      </c>
      <c r="AQ407" t="s">
        <v>850</v>
      </c>
      <c r="AR407">
        <v>9</v>
      </c>
      <c r="AS407">
        <v>0.90182499109491943</v>
      </c>
      <c r="AT407" t="s">
        <v>1957</v>
      </c>
      <c r="AU407" t="s">
        <v>1954</v>
      </c>
      <c r="AV407">
        <v>1073</v>
      </c>
      <c r="AW407">
        <v>618</v>
      </c>
      <c r="AX407">
        <v>374</v>
      </c>
      <c r="AY407">
        <v>72</v>
      </c>
      <c r="AZ407">
        <v>9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22.066998999999999</v>
      </c>
      <c r="BI407">
        <v>12.947668999999999</v>
      </c>
      <c r="BJ407">
        <v>0</v>
      </c>
      <c r="BK407">
        <v>8.0568609999999996</v>
      </c>
      <c r="BL407">
        <v>64.913003000000003</v>
      </c>
      <c r="BM407">
        <v>0.62226300000000001</v>
      </c>
      <c r="BN407">
        <v>18.643000000000001</v>
      </c>
      <c r="BO407">
        <v>-0.85166600000000003</v>
      </c>
      <c r="BP407">
        <v>1.93032</v>
      </c>
      <c r="BQ407">
        <v>7.0985769999999997</v>
      </c>
      <c r="BR407">
        <v>2.2320000000000002</v>
      </c>
      <c r="BS407">
        <v>17.184999000000001</v>
      </c>
      <c r="BT407">
        <v>12.947668999999999</v>
      </c>
      <c r="BU407">
        <v>4.1398679999999999</v>
      </c>
      <c r="BV407">
        <v>-1.159395</v>
      </c>
      <c r="BW407">
        <v>-8.5934999999999997E-2</v>
      </c>
      <c r="BX407">
        <v>0.31973800000000002</v>
      </c>
      <c r="BY407">
        <v>-0.28005600000000003</v>
      </c>
      <c r="BZ407">
        <v>-2.0757999999999999E-2</v>
      </c>
      <c r="CA407">
        <v>1E-3</v>
      </c>
      <c r="CB407">
        <v>7.0000000000000001E-3</v>
      </c>
      <c r="CC407">
        <v>1.32E-2</v>
      </c>
      <c r="CD407">
        <v>3.7400000000000003E-2</v>
      </c>
      <c r="CE407">
        <v>7.2999999999999995E-2</v>
      </c>
      <c r="CF407">
        <v>11.884601</v>
      </c>
      <c r="CG407">
        <v>16.143999000000001</v>
      </c>
      <c r="CH407">
        <v>17.184999000000001</v>
      </c>
      <c r="CI407">
        <v>17.758199999999999</v>
      </c>
      <c r="CJ407">
        <v>18.365801000000001</v>
      </c>
      <c r="CK407">
        <v>18.716000000000001</v>
      </c>
      <c r="CL407">
        <v>19.017799</v>
      </c>
      <c r="CM407">
        <v>20.031399</v>
      </c>
      <c r="CN407">
        <v>20.626601999999998</v>
      </c>
      <c r="CO407">
        <v>21.263641</v>
      </c>
      <c r="CP407">
        <v>0.58674400000000004</v>
      </c>
      <c r="CQ407">
        <v>15.247775000000001</v>
      </c>
      <c r="CR407">
        <v>16.191241000000002</v>
      </c>
      <c r="CS407">
        <v>23</v>
      </c>
      <c r="CT407">
        <v>635</v>
      </c>
      <c r="CU407">
        <v>137.20037300000001</v>
      </c>
      <c r="CV407">
        <v>32.714286000000001</v>
      </c>
      <c r="CW407">
        <v>110.55874</v>
      </c>
      <c r="CX407">
        <v>12223.235000000001</v>
      </c>
      <c r="CY407">
        <v>0.80581999999999998</v>
      </c>
      <c r="CZ407">
        <v>106</v>
      </c>
      <c r="DA407">
        <v>2.0963880000000001</v>
      </c>
      <c r="DB407">
        <v>7.948035</v>
      </c>
      <c r="DC407">
        <v>76.663663</v>
      </c>
      <c r="DD407">
        <v>137.20037300000001</v>
      </c>
      <c r="DE407">
        <v>53.617513000000002</v>
      </c>
      <c r="DF407">
        <v>18.715595</v>
      </c>
      <c r="DG407">
        <v>11.703569999999999</v>
      </c>
      <c r="DH407">
        <v>0.39079700000000001</v>
      </c>
      <c r="DI407">
        <v>0.34905799999999998</v>
      </c>
      <c r="DJ407">
        <v>0.218279</v>
      </c>
      <c r="DK407">
        <v>26.720001</v>
      </c>
      <c r="DL407">
        <v>34.599997999999999</v>
      </c>
      <c r="DM407">
        <v>41</v>
      </c>
      <c r="DN407">
        <v>55</v>
      </c>
      <c r="DO407">
        <v>63</v>
      </c>
      <c r="DP407">
        <v>70</v>
      </c>
      <c r="DQ407">
        <v>89</v>
      </c>
      <c r="DR407">
        <v>108</v>
      </c>
      <c r="DS407">
        <v>130</v>
      </c>
      <c r="DT407">
        <v>155</v>
      </c>
      <c r="DU407">
        <v>169</v>
      </c>
      <c r="DV407">
        <v>186</v>
      </c>
      <c r="DW407">
        <v>253.79998800000001</v>
      </c>
      <c r="DX407">
        <v>396.800049</v>
      </c>
      <c r="DY407">
        <v>569.84008800000004</v>
      </c>
      <c r="DZ407">
        <v>91.747573000000003</v>
      </c>
      <c r="EA407">
        <v>73.811743000000007</v>
      </c>
      <c r="EB407">
        <v>128.15534</v>
      </c>
      <c r="EC407">
        <v>567</v>
      </c>
      <c r="ED407">
        <v>792</v>
      </c>
      <c r="EE407">
        <v>87.540452999999999</v>
      </c>
      <c r="EF407">
        <v>99.514562999999995</v>
      </c>
      <c r="EG407">
        <v>69.151910999999998</v>
      </c>
      <c r="EH407">
        <v>99.534017000000006</v>
      </c>
      <c r="EI407">
        <v>120.064725</v>
      </c>
      <c r="EJ407">
        <v>172.81553400000001</v>
      </c>
      <c r="EK407">
        <v>541</v>
      </c>
      <c r="EL407">
        <v>615</v>
      </c>
      <c r="EM407">
        <v>742</v>
      </c>
      <c r="EN407">
        <v>1068</v>
      </c>
      <c r="EO407">
        <v>618</v>
      </c>
      <c r="EP407">
        <v>1073</v>
      </c>
      <c r="EQ407">
        <v>59.872796999999998</v>
      </c>
    </row>
    <row r="408" spans="1:147" x14ac:dyDescent="0.25">
      <c r="A408">
        <v>2025</v>
      </c>
      <c r="B408" t="str">
        <f t="shared" si="12"/>
        <v>NE</v>
      </c>
      <c r="C408" t="s">
        <v>1958</v>
      </c>
      <c r="D408" t="s">
        <v>1958</v>
      </c>
      <c r="E408">
        <v>28316</v>
      </c>
      <c r="F408" t="s">
        <v>1955</v>
      </c>
      <c r="G408" t="s">
        <v>1921</v>
      </c>
      <c r="H408" t="s">
        <v>1956</v>
      </c>
      <c r="I408">
        <v>48.82</v>
      </c>
      <c r="J408">
        <v>48.82</v>
      </c>
      <c r="K408" t="s">
        <v>301</v>
      </c>
      <c r="L408">
        <v>1</v>
      </c>
      <c r="M408">
        <v>2021</v>
      </c>
      <c r="O408" t="str">
        <f t="shared" si="13"/>
        <v>Talhadia</v>
      </c>
      <c r="P408" s="2">
        <v>44532</v>
      </c>
      <c r="Q408" t="s">
        <v>174</v>
      </c>
      <c r="R408" t="s">
        <v>165</v>
      </c>
      <c r="S408" t="s">
        <v>154</v>
      </c>
      <c r="T408" t="s">
        <v>175</v>
      </c>
      <c r="U408" t="s">
        <v>156</v>
      </c>
      <c r="V408" s="2">
        <v>44799</v>
      </c>
      <c r="W408" t="s">
        <v>1923</v>
      </c>
      <c r="X408">
        <v>75.69</v>
      </c>
      <c r="Y408">
        <v>20</v>
      </c>
      <c r="Z408">
        <v>18</v>
      </c>
      <c r="AA408">
        <v>15.9</v>
      </c>
      <c r="AB408">
        <v>1</v>
      </c>
      <c r="AC408">
        <v>318</v>
      </c>
      <c r="AD408">
        <v>302.389909718414</v>
      </c>
      <c r="AE408" s="2">
        <v>45762</v>
      </c>
      <c r="AF408">
        <v>40</v>
      </c>
      <c r="AG408">
        <v>3.3675564681724799</v>
      </c>
      <c r="AH408">
        <v>20.600129950527801</v>
      </c>
      <c r="AI408">
        <v>14.733333333333301</v>
      </c>
      <c r="AJ408">
        <v>16.442589087743201</v>
      </c>
      <c r="AK408">
        <v>27</v>
      </c>
      <c r="AL408">
        <v>892.88693611312794</v>
      </c>
      <c r="AM408">
        <v>159.419996832663</v>
      </c>
      <c r="AN408">
        <v>0.17854443870199499</v>
      </c>
      <c r="AO408" t="s">
        <v>165</v>
      </c>
      <c r="AP408" t="s">
        <v>264</v>
      </c>
      <c r="AQ408" t="s">
        <v>850</v>
      </c>
      <c r="AR408">
        <v>9</v>
      </c>
      <c r="AS408">
        <v>0.803598242501815</v>
      </c>
      <c r="AT408" t="s">
        <v>1959</v>
      </c>
      <c r="AU408" t="s">
        <v>1958</v>
      </c>
      <c r="AV408">
        <v>1180</v>
      </c>
      <c r="AW408">
        <v>736</v>
      </c>
      <c r="AX408">
        <v>359</v>
      </c>
      <c r="AY408">
        <v>71</v>
      </c>
      <c r="AZ408">
        <v>13</v>
      </c>
      <c r="BA408">
        <v>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23.650998999999999</v>
      </c>
      <c r="BI408">
        <v>14.166914</v>
      </c>
      <c r="BJ408">
        <v>0</v>
      </c>
      <c r="BK408">
        <v>8.5241260000000008</v>
      </c>
      <c r="BL408">
        <v>72.660724999999999</v>
      </c>
      <c r="BM408">
        <v>0.60169300000000003</v>
      </c>
      <c r="BN408">
        <v>14.447749999999999</v>
      </c>
      <c r="BO408">
        <v>-0.86640899999999998</v>
      </c>
      <c r="BP408">
        <v>2.0116390000000002</v>
      </c>
      <c r="BQ408">
        <v>7.4219229999999996</v>
      </c>
      <c r="BR408">
        <v>2.78</v>
      </c>
      <c r="BS408">
        <v>18.419001000000002</v>
      </c>
      <c r="BT408">
        <v>14.166914</v>
      </c>
      <c r="BU408">
        <v>4.4295289999999996</v>
      </c>
      <c r="BV408">
        <v>-1.2539640000000001</v>
      </c>
      <c r="BW408">
        <v>-4.8825E-2</v>
      </c>
      <c r="BX408">
        <v>0.31266699999999997</v>
      </c>
      <c r="BY408">
        <v>-0.28309200000000001</v>
      </c>
      <c r="BZ408">
        <v>-1.1023E-2</v>
      </c>
      <c r="CA408">
        <v>2E-3</v>
      </c>
      <c r="CB408">
        <v>8.0000000000000002E-3</v>
      </c>
      <c r="CC408">
        <v>1.9E-2</v>
      </c>
      <c r="CD408">
        <v>7.8E-2</v>
      </c>
      <c r="CE408">
        <v>5.9450000000000003</v>
      </c>
      <c r="CF408">
        <v>13.554500000000001</v>
      </c>
      <c r="CG408">
        <v>17.041599000000001</v>
      </c>
      <c r="CH408">
        <v>18.419001000000002</v>
      </c>
      <c r="CI408">
        <v>19.305401</v>
      </c>
      <c r="CJ408">
        <v>20.016300000000001</v>
      </c>
      <c r="CK408">
        <v>20.392749999999999</v>
      </c>
      <c r="CL408">
        <v>20.832799999999999</v>
      </c>
      <c r="CM408">
        <v>21.774601000000001</v>
      </c>
      <c r="CN408">
        <v>22.281652000000001</v>
      </c>
      <c r="CO408">
        <v>23.152939</v>
      </c>
      <c r="CP408">
        <v>0.59899899999999995</v>
      </c>
      <c r="CQ408">
        <v>16.531804999999999</v>
      </c>
      <c r="CR408">
        <v>17.536155000000001</v>
      </c>
      <c r="CS408">
        <v>22</v>
      </c>
      <c r="CT408">
        <v>594</v>
      </c>
      <c r="CU408">
        <v>134.798305</v>
      </c>
      <c r="CV408">
        <v>31.079364999999999</v>
      </c>
      <c r="CW408">
        <v>116.67199599999999</v>
      </c>
      <c r="CX408">
        <v>13612.35454</v>
      </c>
      <c r="CY408">
        <v>0.86553000000000002</v>
      </c>
      <c r="CZ408">
        <v>102</v>
      </c>
      <c r="DA408">
        <v>1.9817899999999999</v>
      </c>
      <c r="DB408">
        <v>6.6546050000000001</v>
      </c>
      <c r="DC408">
        <v>80.952337999999997</v>
      </c>
      <c r="DD408">
        <v>134.798305</v>
      </c>
      <c r="DE408">
        <v>56.060341000000001</v>
      </c>
      <c r="DF408">
        <v>21.857192000000001</v>
      </c>
      <c r="DG408">
        <v>12.753716000000001</v>
      </c>
      <c r="DH408">
        <v>0.415883</v>
      </c>
      <c r="DI408">
        <v>0.38988699999999998</v>
      </c>
      <c r="DJ408">
        <v>0.22750000000000001</v>
      </c>
      <c r="DK408">
        <v>28</v>
      </c>
      <c r="DL408">
        <v>33</v>
      </c>
      <c r="DM408">
        <v>38</v>
      </c>
      <c r="DN408">
        <v>50</v>
      </c>
      <c r="DO408">
        <v>57</v>
      </c>
      <c r="DP408">
        <v>64</v>
      </c>
      <c r="DQ408">
        <v>81</v>
      </c>
      <c r="DR408">
        <v>101</v>
      </c>
      <c r="DS408">
        <v>121</v>
      </c>
      <c r="DT408">
        <v>145</v>
      </c>
      <c r="DU408">
        <v>159</v>
      </c>
      <c r="DV408">
        <v>176</v>
      </c>
      <c r="DW408">
        <v>295.09997600000003</v>
      </c>
      <c r="DX408">
        <v>428.25024400000001</v>
      </c>
      <c r="DY408">
        <v>544.20996100000002</v>
      </c>
      <c r="DZ408">
        <v>88.179348000000005</v>
      </c>
      <c r="EA408">
        <v>75.847458000000003</v>
      </c>
      <c r="EB408">
        <v>121.603261</v>
      </c>
      <c r="EC408">
        <v>649</v>
      </c>
      <c r="ED408">
        <v>895</v>
      </c>
      <c r="EE408">
        <v>82.201087000000001</v>
      </c>
      <c r="EF408">
        <v>99.592391000000006</v>
      </c>
      <c r="EG408">
        <v>69.237288000000007</v>
      </c>
      <c r="EH408">
        <v>99.576271000000006</v>
      </c>
      <c r="EI408">
        <v>111.00543500000001</v>
      </c>
      <c r="EJ408">
        <v>159.646739</v>
      </c>
      <c r="EK408">
        <v>605</v>
      </c>
      <c r="EL408">
        <v>733</v>
      </c>
      <c r="EM408">
        <v>817</v>
      </c>
      <c r="EN408">
        <v>1175</v>
      </c>
      <c r="EO408">
        <v>736</v>
      </c>
      <c r="EP408">
        <v>1180</v>
      </c>
      <c r="EQ408">
        <v>60.150278</v>
      </c>
    </row>
    <row r="409" spans="1:147" x14ac:dyDescent="0.25">
      <c r="A409">
        <v>2025</v>
      </c>
      <c r="B409" t="str">
        <f t="shared" si="12"/>
        <v>NE</v>
      </c>
      <c r="C409" t="s">
        <v>1960</v>
      </c>
      <c r="D409" t="s">
        <v>1960</v>
      </c>
      <c r="E409">
        <v>28317</v>
      </c>
      <c r="F409" t="s">
        <v>1955</v>
      </c>
      <c r="G409" t="s">
        <v>1921</v>
      </c>
      <c r="H409" t="s">
        <v>1956</v>
      </c>
      <c r="I409">
        <v>48.82</v>
      </c>
      <c r="J409">
        <v>48.82</v>
      </c>
      <c r="K409" t="s">
        <v>301</v>
      </c>
      <c r="L409">
        <v>1</v>
      </c>
      <c r="M409">
        <v>2021</v>
      </c>
      <c r="O409" t="str">
        <f t="shared" si="13"/>
        <v>Talhadia</v>
      </c>
      <c r="P409" s="2">
        <v>44532</v>
      </c>
      <c r="Q409" t="s">
        <v>174</v>
      </c>
      <c r="R409" t="s">
        <v>165</v>
      </c>
      <c r="S409" t="s">
        <v>154</v>
      </c>
      <c r="T409" t="s">
        <v>175</v>
      </c>
      <c r="U409" t="s">
        <v>156</v>
      </c>
      <c r="V409" s="2">
        <v>45762</v>
      </c>
      <c r="W409" t="s">
        <v>1923</v>
      </c>
      <c r="X409">
        <v>75.69</v>
      </c>
      <c r="Y409">
        <v>20.5</v>
      </c>
      <c r="Z409">
        <v>13</v>
      </c>
      <c r="AA409">
        <v>15.3</v>
      </c>
      <c r="AB409">
        <v>2</v>
      </c>
      <c r="AC409">
        <v>313.64999999999998</v>
      </c>
      <c r="AD409">
        <v>305.42500075196301</v>
      </c>
      <c r="AE409" s="2">
        <v>45762</v>
      </c>
      <c r="AF409">
        <v>40</v>
      </c>
      <c r="AG409">
        <v>3.3675564681724799</v>
      </c>
      <c r="AH409">
        <v>20.125984102857601</v>
      </c>
      <c r="AI409">
        <v>14.422222222222199</v>
      </c>
      <c r="AJ409">
        <v>15.067198677347401</v>
      </c>
      <c r="AK409">
        <v>27</v>
      </c>
      <c r="AL409">
        <v>884.01407656627305</v>
      </c>
      <c r="AM409">
        <v>136.752047405724</v>
      </c>
      <c r="AN409">
        <v>0.15469442289527999</v>
      </c>
      <c r="AO409" t="s">
        <v>165</v>
      </c>
      <c r="AP409" t="s">
        <v>264</v>
      </c>
      <c r="AQ409" t="s">
        <v>850</v>
      </c>
      <c r="AR409">
        <v>9</v>
      </c>
      <c r="AS409">
        <v>0.79561266890964621</v>
      </c>
      <c r="AT409" t="s">
        <v>1961</v>
      </c>
      <c r="AU409" t="s">
        <v>1960</v>
      </c>
      <c r="AV409">
        <v>997</v>
      </c>
      <c r="AW409">
        <v>663</v>
      </c>
      <c r="AX409">
        <v>264</v>
      </c>
      <c r="AY409">
        <v>64</v>
      </c>
      <c r="AZ409">
        <v>6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23.693999999999999</v>
      </c>
      <c r="BI409">
        <v>13.365857</v>
      </c>
      <c r="BJ409">
        <v>0</v>
      </c>
      <c r="BK409">
        <v>8.8428989999999992</v>
      </c>
      <c r="BL409">
        <v>78.196859000000003</v>
      </c>
      <c r="BM409">
        <v>0.66160399999999997</v>
      </c>
      <c r="BN409">
        <v>20.170999999999999</v>
      </c>
      <c r="BO409">
        <v>-0.67705700000000002</v>
      </c>
      <c r="BP409">
        <v>1.691934</v>
      </c>
      <c r="BQ409">
        <v>7.9852550000000004</v>
      </c>
      <c r="BR409">
        <v>3.2370000000000001</v>
      </c>
      <c r="BS409">
        <v>17.995999999999999</v>
      </c>
      <c r="BT409">
        <v>13.365857</v>
      </c>
      <c r="BU409">
        <v>4.6832200000000004</v>
      </c>
      <c r="BV409">
        <v>-1.0370360000000001</v>
      </c>
      <c r="BW409">
        <v>-0.30534899999999998</v>
      </c>
      <c r="BX409">
        <v>0.350387</v>
      </c>
      <c r="BY409">
        <v>-0.22143599999999999</v>
      </c>
      <c r="BZ409">
        <v>-6.5200999999999995E-2</v>
      </c>
      <c r="CA409">
        <v>1E-3</v>
      </c>
      <c r="CB409">
        <v>4.0000000000000001E-3</v>
      </c>
      <c r="CC409">
        <v>1.0999999999999999E-2</v>
      </c>
      <c r="CD409">
        <v>2.5999999999999999E-2</v>
      </c>
      <c r="CE409">
        <v>4.3999999999999997E-2</v>
      </c>
      <c r="CF409">
        <v>7.5099989999999996</v>
      </c>
      <c r="CG409">
        <v>16.243998999999999</v>
      </c>
      <c r="CH409">
        <v>17.995999999999999</v>
      </c>
      <c r="CI409">
        <v>18.997599000000001</v>
      </c>
      <c r="CJ409">
        <v>19.7302</v>
      </c>
      <c r="CK409">
        <v>20.215</v>
      </c>
      <c r="CL409">
        <v>20.695399999999999</v>
      </c>
      <c r="CM409">
        <v>21.702400000000001</v>
      </c>
      <c r="CN409">
        <v>22.456199999999999</v>
      </c>
      <c r="CO409">
        <v>23.077359999999999</v>
      </c>
      <c r="CP409">
        <v>0.56410300000000002</v>
      </c>
      <c r="CQ409">
        <v>16.023873999999999</v>
      </c>
      <c r="CR409">
        <v>17.159295</v>
      </c>
      <c r="CS409">
        <v>19</v>
      </c>
      <c r="CT409">
        <v>600</v>
      </c>
      <c r="CU409">
        <v>133.54664</v>
      </c>
      <c r="CV409">
        <v>28.222221999999999</v>
      </c>
      <c r="CW409">
        <v>110.228674</v>
      </c>
      <c r="CX409">
        <v>12150.36052</v>
      </c>
      <c r="CY409">
        <v>0.82539499999999999</v>
      </c>
      <c r="CZ409">
        <v>113</v>
      </c>
      <c r="DA409">
        <v>1.5973820000000001</v>
      </c>
      <c r="DB409">
        <v>5.0843369999999997</v>
      </c>
      <c r="DC409">
        <v>82.270537000000004</v>
      </c>
      <c r="DD409">
        <v>133.54664</v>
      </c>
      <c r="DE409">
        <v>55.811543</v>
      </c>
      <c r="DF409">
        <v>19.870764000000001</v>
      </c>
      <c r="DG409">
        <v>9.4988810000000008</v>
      </c>
      <c r="DH409">
        <v>0.41791800000000001</v>
      </c>
      <c r="DI409">
        <v>0.35603299999999999</v>
      </c>
      <c r="DJ409">
        <v>0.17019599999999999</v>
      </c>
      <c r="DK409">
        <v>26</v>
      </c>
      <c r="DL409">
        <v>32</v>
      </c>
      <c r="DM409">
        <v>37</v>
      </c>
      <c r="DN409">
        <v>47</v>
      </c>
      <c r="DO409">
        <v>53</v>
      </c>
      <c r="DP409">
        <v>62</v>
      </c>
      <c r="DQ409">
        <v>79</v>
      </c>
      <c r="DR409">
        <v>99</v>
      </c>
      <c r="DS409">
        <v>119.599976</v>
      </c>
      <c r="DT409">
        <v>147.20001199999999</v>
      </c>
      <c r="DU409">
        <v>166</v>
      </c>
      <c r="DV409">
        <v>192</v>
      </c>
      <c r="DW409">
        <v>308.600098</v>
      </c>
      <c r="DX409">
        <v>387.20001200000002</v>
      </c>
      <c r="DY409">
        <v>486</v>
      </c>
      <c r="DZ409">
        <v>89.140270999999998</v>
      </c>
      <c r="EA409">
        <v>72.417252000000005</v>
      </c>
      <c r="EB409">
        <v>108.898944</v>
      </c>
      <c r="EC409">
        <v>591</v>
      </c>
      <c r="ED409">
        <v>722</v>
      </c>
      <c r="EE409">
        <v>81.749623</v>
      </c>
      <c r="EF409">
        <v>100</v>
      </c>
      <c r="EG409">
        <v>66.298896999999997</v>
      </c>
      <c r="EH409">
        <v>99.498495000000005</v>
      </c>
      <c r="EI409">
        <v>99.698340999999999</v>
      </c>
      <c r="EJ409">
        <v>149.62292600000001</v>
      </c>
      <c r="EK409">
        <v>542</v>
      </c>
      <c r="EL409">
        <v>663</v>
      </c>
      <c r="EM409">
        <v>661</v>
      </c>
      <c r="EN409">
        <v>992</v>
      </c>
      <c r="EO409">
        <v>663</v>
      </c>
      <c r="EP409">
        <v>997</v>
      </c>
      <c r="EQ409">
        <v>56.926371000000003</v>
      </c>
    </row>
    <row r="410" spans="1:147" x14ac:dyDescent="0.25">
      <c r="A410">
        <v>2025</v>
      </c>
      <c r="B410" t="str">
        <f t="shared" si="12"/>
        <v>NE</v>
      </c>
      <c r="C410" t="s">
        <v>1962</v>
      </c>
      <c r="D410" t="s">
        <v>1962</v>
      </c>
      <c r="E410">
        <v>30351</v>
      </c>
      <c r="F410" t="s">
        <v>1955</v>
      </c>
      <c r="G410" t="s">
        <v>1921</v>
      </c>
      <c r="H410" t="s">
        <v>1956</v>
      </c>
      <c r="I410">
        <v>48.82</v>
      </c>
      <c r="J410">
        <v>48.82</v>
      </c>
      <c r="K410" t="s">
        <v>301</v>
      </c>
      <c r="L410">
        <v>1</v>
      </c>
      <c r="M410">
        <v>2021</v>
      </c>
      <c r="O410" t="str">
        <f t="shared" si="13"/>
        <v>Talhadia</v>
      </c>
      <c r="P410" s="2">
        <v>44532</v>
      </c>
      <c r="Q410" t="s">
        <v>174</v>
      </c>
      <c r="R410" t="s">
        <v>165</v>
      </c>
      <c r="S410" t="s">
        <v>154</v>
      </c>
      <c r="T410" t="s">
        <v>175</v>
      </c>
      <c r="U410" t="s">
        <v>156</v>
      </c>
      <c r="V410" s="2">
        <v>44800</v>
      </c>
      <c r="W410" t="s">
        <v>1923</v>
      </c>
      <c r="X410">
        <v>75.69</v>
      </c>
      <c r="Y410">
        <v>20.8</v>
      </c>
      <c r="Z410">
        <v>16</v>
      </c>
      <c r="AA410">
        <v>15.6</v>
      </c>
      <c r="AB410">
        <v>2</v>
      </c>
      <c r="AC410">
        <v>324.48</v>
      </c>
      <c r="AD410">
        <v>311.720187834743</v>
      </c>
      <c r="AE410" s="2">
        <v>45762</v>
      </c>
      <c r="AF410">
        <v>40</v>
      </c>
      <c r="AG410">
        <v>3.3675564681724799</v>
      </c>
      <c r="AH410">
        <v>20.7442197162033</v>
      </c>
      <c r="AI410">
        <v>15.795</v>
      </c>
      <c r="AJ410">
        <v>13.2683380549768</v>
      </c>
      <c r="AK410">
        <v>20</v>
      </c>
      <c r="AL410">
        <v>641.60105057433395</v>
      </c>
      <c r="AM410">
        <v>125.99276268314399</v>
      </c>
      <c r="AN410">
        <v>0.19637243824703901</v>
      </c>
      <c r="AO410" t="s">
        <v>165</v>
      </c>
      <c r="AP410" t="s">
        <v>264</v>
      </c>
      <c r="AQ410" t="s">
        <v>850</v>
      </c>
      <c r="AR410">
        <v>9</v>
      </c>
      <c r="AS410">
        <v>0.57744094551690106</v>
      </c>
      <c r="AT410" t="s">
        <v>1963</v>
      </c>
      <c r="AU410" t="s">
        <v>1962</v>
      </c>
      <c r="AV410">
        <v>1000</v>
      </c>
      <c r="AW410">
        <v>639</v>
      </c>
      <c r="AX410">
        <v>310</v>
      </c>
      <c r="AY410">
        <v>46</v>
      </c>
      <c r="AZ410">
        <v>5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24.667998999999998</v>
      </c>
      <c r="BI410">
        <v>11.861575</v>
      </c>
      <c r="BJ410">
        <v>0</v>
      </c>
      <c r="BK410">
        <v>9.3793100000000003</v>
      </c>
      <c r="BL410">
        <v>87.971457000000001</v>
      </c>
      <c r="BM410">
        <v>0.79073099999999996</v>
      </c>
      <c r="BN410">
        <v>19.94125</v>
      </c>
      <c r="BO410">
        <v>-0.29409099999999999</v>
      </c>
      <c r="BP410">
        <v>1.2852189999999999</v>
      </c>
      <c r="BQ410">
        <v>8.9005379999999992</v>
      </c>
      <c r="BR410">
        <v>5.5125010000000003</v>
      </c>
      <c r="BS410">
        <v>16.876999000000001</v>
      </c>
      <c r="BT410">
        <v>11.861575</v>
      </c>
      <c r="BU410">
        <v>5.1022670000000003</v>
      </c>
      <c r="BV410">
        <v>-0.407887</v>
      </c>
      <c r="BW410">
        <v>-0.73548000000000002</v>
      </c>
      <c r="BX410">
        <v>0.43015100000000001</v>
      </c>
      <c r="BY410">
        <v>-7.9941999999999999E-2</v>
      </c>
      <c r="BZ410">
        <v>-0.144148</v>
      </c>
      <c r="CA410">
        <v>2E-3</v>
      </c>
      <c r="CB410">
        <v>1.095E-2</v>
      </c>
      <c r="CC410">
        <v>0.02</v>
      </c>
      <c r="CD410">
        <v>4.9599999999999998E-2</v>
      </c>
      <c r="CE410">
        <v>9.6750000000000003E-2</v>
      </c>
      <c r="CF410">
        <v>0.44819999999999999</v>
      </c>
      <c r="CG410">
        <v>9.1202009999999998</v>
      </c>
      <c r="CH410">
        <v>16.876999000000001</v>
      </c>
      <c r="CI410">
        <v>18.363800000000001</v>
      </c>
      <c r="CJ410">
        <v>19.511399999999998</v>
      </c>
      <c r="CK410">
        <v>20.038</v>
      </c>
      <c r="CL410">
        <v>20.441199999999998</v>
      </c>
      <c r="CM410">
        <v>22.083497999999999</v>
      </c>
      <c r="CN410">
        <v>22.992201000000001</v>
      </c>
      <c r="CO410">
        <v>23.683561000000001</v>
      </c>
      <c r="CP410">
        <v>0.48084900000000003</v>
      </c>
      <c r="CQ410">
        <v>15.118876999999999</v>
      </c>
      <c r="CR410">
        <v>16.575143000000001</v>
      </c>
      <c r="CS410">
        <v>21</v>
      </c>
      <c r="CT410">
        <v>492</v>
      </c>
      <c r="CU410">
        <v>133.006</v>
      </c>
      <c r="CV410">
        <v>35.952381000000003</v>
      </c>
      <c r="CW410">
        <v>98.716498000000001</v>
      </c>
      <c r="CX410">
        <v>9744.9469109999991</v>
      </c>
      <c r="CY410">
        <v>0.74219599999999997</v>
      </c>
      <c r="CZ410">
        <v>102.25</v>
      </c>
      <c r="DA410">
        <v>1.481417</v>
      </c>
      <c r="DB410">
        <v>4.7664619999999998</v>
      </c>
      <c r="DC410">
        <v>73.663511999999997</v>
      </c>
      <c r="DD410">
        <v>133.006</v>
      </c>
      <c r="DE410">
        <v>50.951047000000003</v>
      </c>
      <c r="DF410">
        <v>15.961658</v>
      </c>
      <c r="DG410">
        <v>8.4838039999999992</v>
      </c>
      <c r="DH410">
        <v>0.383073</v>
      </c>
      <c r="DI410">
        <v>0.313274</v>
      </c>
      <c r="DJ410">
        <v>0.16650899999999999</v>
      </c>
      <c r="DK410">
        <v>26.99</v>
      </c>
      <c r="DL410">
        <v>33</v>
      </c>
      <c r="DM410">
        <v>40</v>
      </c>
      <c r="DN410">
        <v>52</v>
      </c>
      <c r="DO410">
        <v>60.75</v>
      </c>
      <c r="DP410">
        <v>71</v>
      </c>
      <c r="DQ410">
        <v>87</v>
      </c>
      <c r="DR410">
        <v>106.5</v>
      </c>
      <c r="DS410">
        <v>127</v>
      </c>
      <c r="DT410">
        <v>150</v>
      </c>
      <c r="DU410">
        <v>163</v>
      </c>
      <c r="DV410">
        <v>183.20001199999999</v>
      </c>
      <c r="DW410">
        <v>276.09997600000003</v>
      </c>
      <c r="DX410">
        <v>373.199951</v>
      </c>
      <c r="DY410">
        <v>444.01001000000002</v>
      </c>
      <c r="DZ410">
        <v>80.438185000000004</v>
      </c>
      <c r="EA410">
        <v>64</v>
      </c>
      <c r="EB410">
        <v>100.15649500000001</v>
      </c>
      <c r="EC410">
        <v>514</v>
      </c>
      <c r="ED410">
        <v>640</v>
      </c>
      <c r="EE410">
        <v>75.899844000000002</v>
      </c>
      <c r="EF410">
        <v>99.843504999999993</v>
      </c>
      <c r="EG410">
        <v>57.9</v>
      </c>
      <c r="EH410">
        <v>99.5</v>
      </c>
      <c r="EI410">
        <v>90.610328999999993</v>
      </c>
      <c r="EJ410">
        <v>155.71205</v>
      </c>
      <c r="EK410">
        <v>485</v>
      </c>
      <c r="EL410">
        <v>638</v>
      </c>
      <c r="EM410">
        <v>579</v>
      </c>
      <c r="EN410">
        <v>995</v>
      </c>
      <c r="EO410">
        <v>639</v>
      </c>
      <c r="EP410">
        <v>1000</v>
      </c>
      <c r="EQ410">
        <v>49.073003</v>
      </c>
    </row>
    <row r="411" spans="1:147" x14ac:dyDescent="0.25">
      <c r="A411">
        <v>2025</v>
      </c>
      <c r="B411" t="str">
        <f t="shared" si="12"/>
        <v>NE</v>
      </c>
      <c r="C411" t="s">
        <v>1964</v>
      </c>
      <c r="D411" t="s">
        <v>1964</v>
      </c>
      <c r="E411">
        <v>30353</v>
      </c>
      <c r="F411" t="s">
        <v>1955</v>
      </c>
      <c r="G411" t="s">
        <v>1921</v>
      </c>
      <c r="H411" t="s">
        <v>1956</v>
      </c>
      <c r="I411">
        <v>48.82</v>
      </c>
      <c r="J411">
        <v>48.82</v>
      </c>
      <c r="K411" t="s">
        <v>301</v>
      </c>
      <c r="L411">
        <v>1</v>
      </c>
      <c r="M411">
        <v>2021</v>
      </c>
      <c r="O411" t="str">
        <f t="shared" si="13"/>
        <v>Talhadia</v>
      </c>
      <c r="P411" s="2">
        <v>44532</v>
      </c>
      <c r="Q411" t="s">
        <v>174</v>
      </c>
      <c r="R411" t="s">
        <v>165</v>
      </c>
      <c r="S411" t="s">
        <v>154</v>
      </c>
      <c r="T411" t="s">
        <v>175</v>
      </c>
      <c r="U411" t="s">
        <v>156</v>
      </c>
      <c r="V411" s="2">
        <v>45762</v>
      </c>
      <c r="W411" t="s">
        <v>1923</v>
      </c>
      <c r="X411">
        <v>75.69</v>
      </c>
      <c r="Y411">
        <v>21.2</v>
      </c>
      <c r="Z411">
        <v>21</v>
      </c>
      <c r="AA411">
        <v>15.4</v>
      </c>
      <c r="AB411">
        <v>2</v>
      </c>
      <c r="AC411">
        <v>326.48</v>
      </c>
      <c r="AD411">
        <v>304.60966455840901</v>
      </c>
      <c r="AE411" s="2">
        <v>45762</v>
      </c>
      <c r="AF411">
        <v>40</v>
      </c>
      <c r="AG411">
        <v>3.3675564681724799</v>
      </c>
      <c r="AH411">
        <v>19.583913727652298</v>
      </c>
      <c r="AI411">
        <v>14.651724137931</v>
      </c>
      <c r="AJ411">
        <v>16.271433014214001</v>
      </c>
      <c r="AK411">
        <v>29</v>
      </c>
      <c r="AL411">
        <v>952.03807935776297</v>
      </c>
      <c r="AM411">
        <v>139.02134474822401</v>
      </c>
      <c r="AN411">
        <v>0.14602498341453601</v>
      </c>
      <c r="AO411" t="s">
        <v>165</v>
      </c>
      <c r="AP411" t="s">
        <v>264</v>
      </c>
      <c r="AQ411" t="s">
        <v>850</v>
      </c>
      <c r="AR411">
        <v>9</v>
      </c>
      <c r="AS411">
        <v>0.8568342714219862</v>
      </c>
      <c r="AT411" t="s">
        <v>1965</v>
      </c>
      <c r="AU411" t="s">
        <v>1964</v>
      </c>
      <c r="AV411">
        <v>2122</v>
      </c>
      <c r="AW411">
        <v>1332</v>
      </c>
      <c r="AX411">
        <v>611</v>
      </c>
      <c r="AY411">
        <v>163</v>
      </c>
      <c r="AZ411">
        <v>16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26.988001000000001</v>
      </c>
      <c r="BI411">
        <v>13.668912000000001</v>
      </c>
      <c r="BJ411">
        <v>0</v>
      </c>
      <c r="BK411">
        <v>7.2253080000000001</v>
      </c>
      <c r="BL411">
        <v>52.205072000000001</v>
      </c>
      <c r="BM411">
        <v>0.52859400000000001</v>
      </c>
      <c r="BN411">
        <v>5.4337499999999999</v>
      </c>
      <c r="BO411">
        <v>-1.1644289999999999</v>
      </c>
      <c r="BP411">
        <v>2.6649729999999998</v>
      </c>
      <c r="BQ411">
        <v>5.9200809999999997</v>
      </c>
      <c r="BR411">
        <v>1.8809990000000001</v>
      </c>
      <c r="BS411">
        <v>17.039501000000001</v>
      </c>
      <c r="BT411">
        <v>13.668912000000001</v>
      </c>
      <c r="BU411">
        <v>3.5960049999999999</v>
      </c>
      <c r="BV411">
        <v>-1.294168</v>
      </c>
      <c r="BW411">
        <v>0.295234</v>
      </c>
      <c r="BX411">
        <v>0.26307900000000001</v>
      </c>
      <c r="BY411">
        <v>-0.35988999999999999</v>
      </c>
      <c r="BZ411">
        <v>8.2100000000000006E-2</v>
      </c>
      <c r="CA411">
        <v>2E-3</v>
      </c>
      <c r="CB411">
        <v>1.2E-2</v>
      </c>
      <c r="CC411">
        <v>2.3E-2</v>
      </c>
      <c r="CD411">
        <v>4.4544009999999998</v>
      </c>
      <c r="CE411">
        <v>13.004</v>
      </c>
      <c r="CF411">
        <v>14.6593</v>
      </c>
      <c r="CG411">
        <v>16.258800999999998</v>
      </c>
      <c r="CH411">
        <v>17.039501000000001</v>
      </c>
      <c r="CI411">
        <v>17.528998999999999</v>
      </c>
      <c r="CJ411">
        <v>18.125999</v>
      </c>
      <c r="CK411">
        <v>18.437750000000001</v>
      </c>
      <c r="CL411">
        <v>18.758600000000001</v>
      </c>
      <c r="CM411">
        <v>19.516399</v>
      </c>
      <c r="CN411">
        <v>20.093899</v>
      </c>
      <c r="CO411">
        <v>20.585812000000001</v>
      </c>
      <c r="CP411">
        <v>0.50648099999999996</v>
      </c>
      <c r="CQ411">
        <v>15.460259000000001</v>
      </c>
      <c r="CR411">
        <v>16.203928999999999</v>
      </c>
      <c r="CS411">
        <v>20</v>
      </c>
      <c r="CT411">
        <v>689</v>
      </c>
      <c r="CU411">
        <v>142.205467</v>
      </c>
      <c r="CV411">
        <v>41.238095000000001</v>
      </c>
      <c r="CW411">
        <v>108.511897</v>
      </c>
      <c r="CX411">
        <v>11774.83188</v>
      </c>
      <c r="CY411">
        <v>0.76306399999999996</v>
      </c>
      <c r="CZ411">
        <v>120</v>
      </c>
      <c r="DA411">
        <v>1.981447</v>
      </c>
      <c r="DB411">
        <v>8.1940880000000007</v>
      </c>
      <c r="DC411">
        <v>77.209467000000004</v>
      </c>
      <c r="DD411">
        <v>142.205467</v>
      </c>
      <c r="DE411">
        <v>54.178330000000003</v>
      </c>
      <c r="DF411">
        <v>15.648987</v>
      </c>
      <c r="DG411">
        <v>9.6956749999999996</v>
      </c>
      <c r="DH411">
        <v>0.38098599999999999</v>
      </c>
      <c r="DI411">
        <v>0.28884199999999999</v>
      </c>
      <c r="DJ411">
        <v>0.17895900000000001</v>
      </c>
      <c r="DK411">
        <v>26</v>
      </c>
      <c r="DL411">
        <v>33</v>
      </c>
      <c r="DM411">
        <v>41</v>
      </c>
      <c r="DN411">
        <v>53</v>
      </c>
      <c r="DO411">
        <v>62</v>
      </c>
      <c r="DP411">
        <v>71</v>
      </c>
      <c r="DQ411">
        <v>98</v>
      </c>
      <c r="DR411">
        <v>121</v>
      </c>
      <c r="DS411">
        <v>145</v>
      </c>
      <c r="DT411">
        <v>170</v>
      </c>
      <c r="DU411">
        <v>182</v>
      </c>
      <c r="DV411">
        <v>200</v>
      </c>
      <c r="DW411">
        <v>256</v>
      </c>
      <c r="DX411">
        <v>333.949951</v>
      </c>
      <c r="DY411">
        <v>570.79003899999998</v>
      </c>
      <c r="DZ411">
        <v>95.12012</v>
      </c>
      <c r="EA411">
        <v>80.301602000000003</v>
      </c>
      <c r="EB411">
        <v>127.92792799999999</v>
      </c>
      <c r="EC411">
        <v>1267</v>
      </c>
      <c r="ED411">
        <v>1704</v>
      </c>
      <c r="EE411">
        <v>88.513514000000001</v>
      </c>
      <c r="EF411">
        <v>99.924925000000002</v>
      </c>
      <c r="EG411">
        <v>73.845428999999996</v>
      </c>
      <c r="EH411">
        <v>99.764373000000006</v>
      </c>
      <c r="EI411">
        <v>117.64264300000001</v>
      </c>
      <c r="EJ411">
        <v>158.93393399999999</v>
      </c>
      <c r="EK411">
        <v>1179</v>
      </c>
      <c r="EL411">
        <v>1331</v>
      </c>
      <c r="EM411">
        <v>1567</v>
      </c>
      <c r="EN411">
        <v>2117</v>
      </c>
      <c r="EO411">
        <v>1332</v>
      </c>
      <c r="EP411">
        <v>2122</v>
      </c>
      <c r="EQ411">
        <v>65.361800000000002</v>
      </c>
    </row>
    <row r="412" spans="1:147" x14ac:dyDescent="0.25">
      <c r="A412">
        <v>2025</v>
      </c>
      <c r="B412" t="str">
        <f t="shared" si="12"/>
        <v>NE</v>
      </c>
      <c r="C412" t="s">
        <v>1966</v>
      </c>
      <c r="D412" t="s">
        <v>1966</v>
      </c>
      <c r="E412">
        <v>28175</v>
      </c>
      <c r="F412" t="s">
        <v>1967</v>
      </c>
      <c r="G412" t="s">
        <v>1968</v>
      </c>
      <c r="H412" t="s">
        <v>1969</v>
      </c>
      <c r="I412">
        <v>53.16</v>
      </c>
      <c r="J412">
        <v>53.16</v>
      </c>
      <c r="K412" t="s">
        <v>301</v>
      </c>
      <c r="L412">
        <v>1</v>
      </c>
      <c r="M412">
        <v>2020</v>
      </c>
      <c r="O412" t="str">
        <f t="shared" si="13"/>
        <v>Alto fuste</v>
      </c>
      <c r="P412" s="2">
        <v>43979</v>
      </c>
      <c r="Q412" t="s">
        <v>174</v>
      </c>
      <c r="R412" t="s">
        <v>314</v>
      </c>
      <c r="S412" t="s">
        <v>154</v>
      </c>
      <c r="T412" t="s">
        <v>175</v>
      </c>
      <c r="U412" t="s">
        <v>156</v>
      </c>
      <c r="V412" s="2">
        <v>44801</v>
      </c>
      <c r="W412" t="s">
        <v>1970</v>
      </c>
      <c r="X412">
        <v>292.99</v>
      </c>
      <c r="Y412">
        <v>20.6</v>
      </c>
      <c r="Z412">
        <v>26</v>
      </c>
      <c r="AA412">
        <v>14.6</v>
      </c>
      <c r="AB412">
        <v>7</v>
      </c>
      <c r="AC412">
        <v>300.76</v>
      </c>
      <c r="AD412">
        <v>268.30636340625801</v>
      </c>
      <c r="AE412" s="2">
        <v>45761</v>
      </c>
      <c r="AF412">
        <v>59</v>
      </c>
      <c r="AG412">
        <v>4.8788501026694</v>
      </c>
      <c r="AH412">
        <v>23.371983551124298</v>
      </c>
      <c r="AI412">
        <v>14.155555555555599</v>
      </c>
      <c r="AJ412">
        <v>21.5657668367177</v>
      </c>
      <c r="AK412">
        <v>36</v>
      </c>
      <c r="AL412">
        <v>1341.74976481979</v>
      </c>
      <c r="AM412">
        <v>231.90373482188599</v>
      </c>
      <c r="AN412">
        <v>0.17283679930663801</v>
      </c>
      <c r="AO412" t="s">
        <v>314</v>
      </c>
      <c r="AP412" t="s">
        <v>158</v>
      </c>
      <c r="AQ412" t="s">
        <v>850</v>
      </c>
      <c r="AR412">
        <v>9</v>
      </c>
      <c r="AS412">
        <v>1.2075747883378121</v>
      </c>
      <c r="AT412" t="s">
        <v>1971</v>
      </c>
      <c r="AU412" t="s">
        <v>1966</v>
      </c>
      <c r="AV412">
        <v>1142</v>
      </c>
      <c r="AW412">
        <v>699</v>
      </c>
      <c r="AX412">
        <v>338</v>
      </c>
      <c r="AY412">
        <v>94</v>
      </c>
      <c r="AZ412">
        <v>9</v>
      </c>
      <c r="BA412">
        <v>2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26.127001</v>
      </c>
      <c r="BI412">
        <v>17.7881</v>
      </c>
      <c r="BJ412">
        <v>0</v>
      </c>
      <c r="BK412">
        <v>9.5548909999999996</v>
      </c>
      <c r="BL412">
        <v>91.295944000000006</v>
      </c>
      <c r="BM412">
        <v>0.53715100000000005</v>
      </c>
      <c r="BN412">
        <v>9.9247490000000003</v>
      </c>
      <c r="BO412">
        <v>-1.1774739999999999</v>
      </c>
      <c r="BP412">
        <v>2.5942419999999999</v>
      </c>
      <c r="BQ412">
        <v>8.0537740000000007</v>
      </c>
      <c r="BR412">
        <v>1.4925010000000001</v>
      </c>
      <c r="BS412">
        <v>22.821999000000002</v>
      </c>
      <c r="BT412">
        <v>17.7881</v>
      </c>
      <c r="BU412">
        <v>4.620406</v>
      </c>
      <c r="BV412">
        <v>-1.894245</v>
      </c>
      <c r="BW412">
        <v>0.30072599999999999</v>
      </c>
      <c r="BX412">
        <v>0.25974700000000001</v>
      </c>
      <c r="BY412">
        <v>-0.40997400000000001</v>
      </c>
      <c r="BZ412">
        <v>6.5087000000000006E-2</v>
      </c>
      <c r="CA412">
        <v>2E-3</v>
      </c>
      <c r="CB412">
        <v>0.01</v>
      </c>
      <c r="CC412">
        <v>2.5000000000000001E-2</v>
      </c>
      <c r="CD412">
        <v>0.11840000000000001</v>
      </c>
      <c r="CE412">
        <v>14.127250999999999</v>
      </c>
      <c r="CF412">
        <v>20.363899</v>
      </c>
      <c r="CG412">
        <v>22.217400000000001</v>
      </c>
      <c r="CH412">
        <v>22.821999000000002</v>
      </c>
      <c r="CI412">
        <v>23.341200000000001</v>
      </c>
      <c r="CJ412">
        <v>23.790299999999998</v>
      </c>
      <c r="CK412">
        <v>24.052</v>
      </c>
      <c r="CL412">
        <v>24.239799000000001</v>
      </c>
      <c r="CM412">
        <v>24.770900999999999</v>
      </c>
      <c r="CN412">
        <v>25.111447999999999</v>
      </c>
      <c r="CO412">
        <v>25.765259</v>
      </c>
      <c r="CP412">
        <v>0.68083199999999999</v>
      </c>
      <c r="CQ412">
        <v>20.189910999999999</v>
      </c>
      <c r="CR412">
        <v>21.156711000000001</v>
      </c>
      <c r="CS412">
        <v>23</v>
      </c>
      <c r="CT412">
        <v>526</v>
      </c>
      <c r="CU412">
        <v>156.73292499999999</v>
      </c>
      <c r="CV412">
        <v>30.984127000000001</v>
      </c>
      <c r="CW412">
        <v>88.045411000000001</v>
      </c>
      <c r="CX412">
        <v>7751.9943400000002</v>
      </c>
      <c r="CY412">
        <v>0.56175399999999998</v>
      </c>
      <c r="CZ412">
        <v>146</v>
      </c>
      <c r="DA412">
        <v>0.37826700000000002</v>
      </c>
      <c r="DB412">
        <v>2.4501919999999999</v>
      </c>
      <c r="DC412">
        <v>74.846401</v>
      </c>
      <c r="DD412">
        <v>156.73292499999999</v>
      </c>
      <c r="DE412">
        <v>50.165376000000002</v>
      </c>
      <c r="DF412">
        <v>3.9009130000000001</v>
      </c>
      <c r="DG412">
        <v>1.3393630000000001</v>
      </c>
      <c r="DH412">
        <v>0.32006899999999999</v>
      </c>
      <c r="DI412">
        <v>7.7760999999999997E-2</v>
      </c>
      <c r="DJ412">
        <v>2.6699000000000001E-2</v>
      </c>
      <c r="DK412">
        <v>29</v>
      </c>
      <c r="DL412">
        <v>35</v>
      </c>
      <c r="DM412">
        <v>45</v>
      </c>
      <c r="DN412">
        <v>64</v>
      </c>
      <c r="DO412">
        <v>76</v>
      </c>
      <c r="DP412">
        <v>90</v>
      </c>
      <c r="DQ412">
        <v>122.39999400000001</v>
      </c>
      <c r="DR412">
        <v>152</v>
      </c>
      <c r="DS412">
        <v>184</v>
      </c>
      <c r="DT412">
        <v>208.70001199999999</v>
      </c>
      <c r="DU412">
        <v>222</v>
      </c>
      <c r="DV412">
        <v>237.79998800000001</v>
      </c>
      <c r="DW412">
        <v>272.90002399999997</v>
      </c>
      <c r="DX412">
        <v>305</v>
      </c>
      <c r="DY412">
        <v>364.76989700000001</v>
      </c>
      <c r="DZ412">
        <v>98.712446</v>
      </c>
      <c r="EA412">
        <v>79.246934999999993</v>
      </c>
      <c r="EB412">
        <v>129.47067200000001</v>
      </c>
      <c r="EC412">
        <v>690</v>
      </c>
      <c r="ED412">
        <v>905</v>
      </c>
      <c r="EE412">
        <v>96.709585000000004</v>
      </c>
      <c r="EF412">
        <v>100</v>
      </c>
      <c r="EG412">
        <v>71.278458999999998</v>
      </c>
      <c r="EH412">
        <v>99.562172000000004</v>
      </c>
      <c r="EI412">
        <v>116.452074</v>
      </c>
      <c r="EJ412">
        <v>162.660944</v>
      </c>
      <c r="EK412">
        <v>676</v>
      </c>
      <c r="EL412">
        <v>699</v>
      </c>
      <c r="EM412">
        <v>814</v>
      </c>
      <c r="EN412">
        <v>1137</v>
      </c>
      <c r="EO412">
        <v>699</v>
      </c>
      <c r="EP412">
        <v>1142</v>
      </c>
      <c r="EQ412">
        <v>68.092082000000005</v>
      </c>
    </row>
    <row r="413" spans="1:147" x14ac:dyDescent="0.25">
      <c r="A413">
        <v>2025</v>
      </c>
      <c r="B413" t="str">
        <f t="shared" si="12"/>
        <v>NE</v>
      </c>
      <c r="C413" t="s">
        <v>1972</v>
      </c>
      <c r="D413" t="s">
        <v>1972</v>
      </c>
      <c r="E413">
        <v>28177</v>
      </c>
      <c r="F413" t="s">
        <v>1967</v>
      </c>
      <c r="G413" t="s">
        <v>1968</v>
      </c>
      <c r="H413" t="s">
        <v>1969</v>
      </c>
      <c r="I413">
        <v>53.16</v>
      </c>
      <c r="J413">
        <v>53.16</v>
      </c>
      <c r="K413" t="s">
        <v>301</v>
      </c>
      <c r="L413">
        <v>1</v>
      </c>
      <c r="M413">
        <v>2020</v>
      </c>
      <c r="O413" t="str">
        <f t="shared" si="13"/>
        <v>Alto fuste</v>
      </c>
      <c r="P413" s="2">
        <v>43979</v>
      </c>
      <c r="Q413" t="s">
        <v>174</v>
      </c>
      <c r="R413" t="s">
        <v>314</v>
      </c>
      <c r="S413" t="s">
        <v>154</v>
      </c>
      <c r="T413" t="s">
        <v>175</v>
      </c>
      <c r="U413" t="s">
        <v>156</v>
      </c>
      <c r="V413" s="2">
        <v>45761</v>
      </c>
      <c r="W413" t="s">
        <v>1970</v>
      </c>
      <c r="X413">
        <v>292.99</v>
      </c>
      <c r="Y413">
        <v>20.8</v>
      </c>
      <c r="Z413">
        <v>16</v>
      </c>
      <c r="AA413">
        <v>15.3</v>
      </c>
      <c r="AB413">
        <v>2</v>
      </c>
      <c r="AC413">
        <v>318.24</v>
      </c>
      <c r="AD413">
        <v>305.725568837921</v>
      </c>
      <c r="AE413" s="2">
        <v>45761</v>
      </c>
      <c r="AF413">
        <v>59</v>
      </c>
      <c r="AG413">
        <v>4.8788501026694</v>
      </c>
      <c r="AH413">
        <v>23.164025198967799</v>
      </c>
      <c r="AI413">
        <v>15.9441176470588</v>
      </c>
      <c r="AJ413">
        <v>22.433920088926602</v>
      </c>
      <c r="AK413">
        <v>34</v>
      </c>
      <c r="AL413">
        <v>1112.1084876621801</v>
      </c>
      <c r="AM413">
        <v>233.19043564350801</v>
      </c>
      <c r="AN413">
        <v>0.20968317230786501</v>
      </c>
      <c r="AO413" t="s">
        <v>314</v>
      </c>
      <c r="AP413" t="s">
        <v>158</v>
      </c>
      <c r="AQ413" t="s">
        <v>850</v>
      </c>
      <c r="AR413">
        <v>9</v>
      </c>
      <c r="AS413">
        <v>1.0008976388959621</v>
      </c>
      <c r="AT413" t="s">
        <v>1973</v>
      </c>
      <c r="AU413" t="s">
        <v>1972</v>
      </c>
      <c r="AV413">
        <v>1154</v>
      </c>
      <c r="AW413">
        <v>767</v>
      </c>
      <c r="AX413">
        <v>337</v>
      </c>
      <c r="AY413">
        <v>47</v>
      </c>
      <c r="AZ413">
        <v>3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25.023001000000001</v>
      </c>
      <c r="BI413">
        <v>16.195830999999998</v>
      </c>
      <c r="BJ413">
        <v>0</v>
      </c>
      <c r="BK413">
        <v>10.144190999999999</v>
      </c>
      <c r="BL413">
        <v>102.90460899999999</v>
      </c>
      <c r="BM413">
        <v>0.62634599999999996</v>
      </c>
      <c r="BN413">
        <v>23.128501</v>
      </c>
      <c r="BO413">
        <v>-0.90922499999999995</v>
      </c>
      <c r="BP413">
        <v>1.9019889999999999</v>
      </c>
      <c r="BQ413">
        <v>9.1030060000000006</v>
      </c>
      <c r="BR413">
        <v>1.276999</v>
      </c>
      <c r="BS413">
        <v>22.232500000000002</v>
      </c>
      <c r="BT413">
        <v>16.195830999999998</v>
      </c>
      <c r="BU413">
        <v>4.9458409999999997</v>
      </c>
      <c r="BV413">
        <v>-1.7357320000000001</v>
      </c>
      <c r="BW413">
        <v>-0.151999</v>
      </c>
      <c r="BX413">
        <v>0.30537700000000001</v>
      </c>
      <c r="BY413">
        <v>-0.35094799999999998</v>
      </c>
      <c r="BZ413">
        <v>-3.0733E-2</v>
      </c>
      <c r="CA413">
        <v>0</v>
      </c>
      <c r="CB413">
        <v>6.0000000000000001E-3</v>
      </c>
      <c r="CC413">
        <v>1.2E-2</v>
      </c>
      <c r="CD413">
        <v>3.4000000000000002E-2</v>
      </c>
      <c r="CE413">
        <v>5.9749999999999998E-2</v>
      </c>
      <c r="CF413">
        <v>15.1988</v>
      </c>
      <c r="CG413">
        <v>21.545798999999999</v>
      </c>
      <c r="CH413">
        <v>22.232500000000002</v>
      </c>
      <c r="CI413">
        <v>22.694599</v>
      </c>
      <c r="CJ413">
        <v>23.0471</v>
      </c>
      <c r="CK413">
        <v>23.188251000000001</v>
      </c>
      <c r="CL413">
        <v>23.369999</v>
      </c>
      <c r="CM413">
        <v>23.805401</v>
      </c>
      <c r="CN413">
        <v>24.193850000000001</v>
      </c>
      <c r="CO413">
        <v>24.69969</v>
      </c>
      <c r="CP413">
        <v>0.64723799999999998</v>
      </c>
      <c r="CQ413">
        <v>19.108122999999999</v>
      </c>
      <c r="CR413">
        <v>20.243262999999999</v>
      </c>
      <c r="CS413">
        <v>23</v>
      </c>
      <c r="CT413">
        <v>675</v>
      </c>
      <c r="CU413">
        <v>205.05719199999999</v>
      </c>
      <c r="CV413">
        <v>33.349206000000002</v>
      </c>
      <c r="CW413">
        <v>119.350069</v>
      </c>
      <c r="CX413">
        <v>14244.439050000001</v>
      </c>
      <c r="CY413">
        <v>0.58203300000000002</v>
      </c>
      <c r="CZ413">
        <v>184.75</v>
      </c>
      <c r="DA413">
        <v>0.47283599999999998</v>
      </c>
      <c r="DB413">
        <v>2.8817460000000001</v>
      </c>
      <c r="DC413">
        <v>98.457736999999995</v>
      </c>
      <c r="DD413">
        <v>205.05719199999999</v>
      </c>
      <c r="DE413">
        <v>67.462128000000007</v>
      </c>
      <c r="DF413">
        <v>5.2290979999999996</v>
      </c>
      <c r="DG413">
        <v>4.3639419999999998</v>
      </c>
      <c r="DH413">
        <v>0.32899200000000001</v>
      </c>
      <c r="DI413">
        <v>7.7511999999999998E-2</v>
      </c>
      <c r="DJ413">
        <v>6.4686999999999995E-2</v>
      </c>
      <c r="DK413">
        <v>26</v>
      </c>
      <c r="DL413">
        <v>37</v>
      </c>
      <c r="DM413">
        <v>49</v>
      </c>
      <c r="DN413">
        <v>83.600005999999993</v>
      </c>
      <c r="DO413">
        <v>102</v>
      </c>
      <c r="DP413">
        <v>121</v>
      </c>
      <c r="DQ413">
        <v>165</v>
      </c>
      <c r="DR413">
        <v>205</v>
      </c>
      <c r="DS413">
        <v>237.79998800000001</v>
      </c>
      <c r="DT413">
        <v>266.09997600000003</v>
      </c>
      <c r="DU413">
        <v>286.75</v>
      </c>
      <c r="DV413">
        <v>306</v>
      </c>
      <c r="DW413">
        <v>356</v>
      </c>
      <c r="DX413">
        <v>408</v>
      </c>
      <c r="DY413">
        <v>522.40991199999996</v>
      </c>
      <c r="DZ413">
        <v>95.697523000000004</v>
      </c>
      <c r="EA413">
        <v>72.790295</v>
      </c>
      <c r="EB413">
        <v>109.517601</v>
      </c>
      <c r="EC413">
        <v>734</v>
      </c>
      <c r="ED413">
        <v>840</v>
      </c>
      <c r="EE413">
        <v>94.393742000000003</v>
      </c>
      <c r="EF413">
        <v>99.869622000000007</v>
      </c>
      <c r="EG413">
        <v>69.497399999999999</v>
      </c>
      <c r="EH413">
        <v>98.700173000000007</v>
      </c>
      <c r="EI413">
        <v>104.563233</v>
      </c>
      <c r="EJ413">
        <v>148.500652</v>
      </c>
      <c r="EK413">
        <v>724</v>
      </c>
      <c r="EL413">
        <v>766</v>
      </c>
      <c r="EM413">
        <v>802</v>
      </c>
      <c r="EN413">
        <v>1139</v>
      </c>
      <c r="EO413">
        <v>767</v>
      </c>
      <c r="EP413">
        <v>1154</v>
      </c>
      <c r="EQ413">
        <v>64.572393000000005</v>
      </c>
    </row>
    <row r="414" spans="1:147" x14ac:dyDescent="0.25">
      <c r="A414">
        <v>2025</v>
      </c>
      <c r="B414" t="str">
        <f t="shared" si="12"/>
        <v>NE</v>
      </c>
      <c r="C414" t="s">
        <v>1974</v>
      </c>
      <c r="D414" t="s">
        <v>1974</v>
      </c>
      <c r="E414">
        <v>28164</v>
      </c>
      <c r="F414" t="s">
        <v>1975</v>
      </c>
      <c r="G414" t="s">
        <v>1968</v>
      </c>
      <c r="H414" t="s">
        <v>1976</v>
      </c>
      <c r="I414">
        <v>48.33</v>
      </c>
      <c r="J414">
        <v>48.33</v>
      </c>
      <c r="K414" t="s">
        <v>301</v>
      </c>
      <c r="L414">
        <v>1</v>
      </c>
      <c r="M414">
        <v>2020</v>
      </c>
      <c r="O414" t="str">
        <f t="shared" si="13"/>
        <v>Talhadia</v>
      </c>
      <c r="P414" s="2">
        <v>43836</v>
      </c>
      <c r="Q414" t="s">
        <v>174</v>
      </c>
      <c r="R414" t="s">
        <v>278</v>
      </c>
      <c r="S414" t="s">
        <v>154</v>
      </c>
      <c r="T414" t="s">
        <v>175</v>
      </c>
      <c r="U414" t="s">
        <v>156</v>
      </c>
      <c r="V414" s="2">
        <v>44802</v>
      </c>
      <c r="W414" t="s">
        <v>1970</v>
      </c>
      <c r="X414">
        <v>145.33000000000001</v>
      </c>
      <c r="Y414">
        <v>20</v>
      </c>
      <c r="Z414">
        <v>14</v>
      </c>
      <c r="AA414">
        <v>15.5</v>
      </c>
      <c r="AB414">
        <v>7</v>
      </c>
      <c r="AC414">
        <v>310</v>
      </c>
      <c r="AD414">
        <v>298.54961961147097</v>
      </c>
      <c r="AE414" s="2">
        <v>45758</v>
      </c>
      <c r="AF414">
        <v>63</v>
      </c>
      <c r="AG414">
        <v>5.2621492128679002</v>
      </c>
      <c r="AH414">
        <v>26.776558213715902</v>
      </c>
      <c r="AI414">
        <v>16.182857142857099</v>
      </c>
      <c r="AJ414">
        <v>25.662019959418998</v>
      </c>
      <c r="AK414">
        <v>35</v>
      </c>
      <c r="AL414">
        <v>1172.3344362504499</v>
      </c>
      <c r="AM414">
        <v>334.87825537158699</v>
      </c>
      <c r="AN414">
        <v>0.28565078787811599</v>
      </c>
      <c r="AO414" t="s">
        <v>278</v>
      </c>
      <c r="AP414" t="s">
        <v>264</v>
      </c>
      <c r="AQ414" t="s">
        <v>850</v>
      </c>
      <c r="AR414">
        <v>9</v>
      </c>
      <c r="AS414">
        <v>1.0551009926254049</v>
      </c>
      <c r="AT414" t="s">
        <v>1977</v>
      </c>
      <c r="AU414" t="s">
        <v>1974</v>
      </c>
      <c r="AV414">
        <v>1078</v>
      </c>
      <c r="AW414">
        <v>649</v>
      </c>
      <c r="AX414">
        <v>336</v>
      </c>
      <c r="AY414">
        <v>88</v>
      </c>
      <c r="AZ414">
        <v>5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32.272998999999999</v>
      </c>
      <c r="BI414">
        <v>18.697144999999999</v>
      </c>
      <c r="BJ414">
        <v>0</v>
      </c>
      <c r="BK414">
        <v>12.805444</v>
      </c>
      <c r="BL414">
        <v>163.97938600000001</v>
      </c>
      <c r="BM414">
        <v>0.68488800000000005</v>
      </c>
      <c r="BN414">
        <v>28.821750999999999</v>
      </c>
      <c r="BO414">
        <v>-0.64141499999999996</v>
      </c>
      <c r="BP414">
        <v>1.562843</v>
      </c>
      <c r="BQ414">
        <v>11.7639</v>
      </c>
      <c r="BR414">
        <v>3.3675009999999999</v>
      </c>
      <c r="BS414">
        <v>26.643000000000001</v>
      </c>
      <c r="BT414">
        <v>18.697144999999999</v>
      </c>
      <c r="BU414">
        <v>6.681438</v>
      </c>
      <c r="BV414">
        <v>-1.576627</v>
      </c>
      <c r="BW414">
        <v>-0.68148799999999998</v>
      </c>
      <c r="BX414">
        <v>0.35735099999999997</v>
      </c>
      <c r="BY414">
        <v>-0.23597099999999999</v>
      </c>
      <c r="BZ414">
        <v>-0.101997</v>
      </c>
      <c r="CA414">
        <v>1E-3</v>
      </c>
      <c r="CB414">
        <v>6.0000000000000001E-3</v>
      </c>
      <c r="CC414">
        <v>1.2E-2</v>
      </c>
      <c r="CD414">
        <v>3.44E-2</v>
      </c>
      <c r="CE414">
        <v>5.2249999999999998E-2</v>
      </c>
      <c r="CF414">
        <v>6.5532000000000004</v>
      </c>
      <c r="CG414">
        <v>23.657599999999999</v>
      </c>
      <c r="CH414">
        <v>26.643000000000001</v>
      </c>
      <c r="CI414">
        <v>27.739401000000001</v>
      </c>
      <c r="CJ414">
        <v>28.411899999999999</v>
      </c>
      <c r="CK414">
        <v>28.874001</v>
      </c>
      <c r="CL414">
        <v>29.235800000000001</v>
      </c>
      <c r="CM414">
        <v>30.097300000000001</v>
      </c>
      <c r="CN414">
        <v>30.703748999999998</v>
      </c>
      <c r="CO414">
        <v>31.455099000000001</v>
      </c>
      <c r="CP414">
        <v>0.57934300000000005</v>
      </c>
      <c r="CQ414">
        <v>22.658563000000001</v>
      </c>
      <c r="CR414">
        <v>24.317475999999999</v>
      </c>
      <c r="CS414">
        <v>22</v>
      </c>
      <c r="CT414">
        <v>577</v>
      </c>
      <c r="CU414">
        <v>133.89610400000001</v>
      </c>
      <c r="CV414">
        <v>39.619047999999999</v>
      </c>
      <c r="CW414">
        <v>108.94798</v>
      </c>
      <c r="CX414">
        <v>11869.66236</v>
      </c>
      <c r="CY414">
        <v>0.81367599999999995</v>
      </c>
      <c r="CZ414">
        <v>104</v>
      </c>
      <c r="DA414">
        <v>1.8527940000000001</v>
      </c>
      <c r="DB414">
        <v>6.3588420000000001</v>
      </c>
      <c r="DC414">
        <v>77.152085</v>
      </c>
      <c r="DD414">
        <v>133.89610400000001</v>
      </c>
      <c r="DE414">
        <v>53.829067000000002</v>
      </c>
      <c r="DF414">
        <v>18.717257</v>
      </c>
      <c r="DG414">
        <v>11.033374</v>
      </c>
      <c r="DH414">
        <v>0.40202100000000002</v>
      </c>
      <c r="DI414">
        <v>0.347717</v>
      </c>
      <c r="DJ414">
        <v>0.20497099999999999</v>
      </c>
      <c r="DK414">
        <v>25</v>
      </c>
      <c r="DL414">
        <v>31</v>
      </c>
      <c r="DM414">
        <v>37.699997000000003</v>
      </c>
      <c r="DN414">
        <v>51</v>
      </c>
      <c r="DO414">
        <v>59</v>
      </c>
      <c r="DP414">
        <v>67</v>
      </c>
      <c r="DQ414">
        <v>84</v>
      </c>
      <c r="DR414">
        <v>105</v>
      </c>
      <c r="DS414">
        <v>129</v>
      </c>
      <c r="DT414">
        <v>149</v>
      </c>
      <c r="DU414">
        <v>163</v>
      </c>
      <c r="DV414">
        <v>180</v>
      </c>
      <c r="DW414">
        <v>266.89996300000001</v>
      </c>
      <c r="DX414">
        <v>406.20019500000001</v>
      </c>
      <c r="DY414">
        <v>502.37988300000001</v>
      </c>
      <c r="DZ414">
        <v>91.217257000000004</v>
      </c>
      <c r="EA414">
        <v>70.964749999999995</v>
      </c>
      <c r="EB414">
        <v>117.87365200000001</v>
      </c>
      <c r="EC414">
        <v>592</v>
      </c>
      <c r="ED414">
        <v>765</v>
      </c>
      <c r="EE414">
        <v>84.899845999999997</v>
      </c>
      <c r="EF414">
        <v>99.691834</v>
      </c>
      <c r="EG414">
        <v>64.100185999999994</v>
      </c>
      <c r="EH414">
        <v>99.443414000000004</v>
      </c>
      <c r="EI414">
        <v>106.471495</v>
      </c>
      <c r="EJ414">
        <v>165.17719600000001</v>
      </c>
      <c r="EK414">
        <v>551</v>
      </c>
      <c r="EL414">
        <v>647</v>
      </c>
      <c r="EM414">
        <v>691</v>
      </c>
      <c r="EN414">
        <v>1072</v>
      </c>
      <c r="EO414">
        <v>649</v>
      </c>
      <c r="EP414">
        <v>1078</v>
      </c>
      <c r="EQ414">
        <v>58.442214</v>
      </c>
    </row>
    <row r="415" spans="1:147" x14ac:dyDescent="0.25">
      <c r="A415">
        <v>2025</v>
      </c>
      <c r="B415" t="str">
        <f t="shared" si="12"/>
        <v>NE</v>
      </c>
      <c r="C415" t="s">
        <v>1978</v>
      </c>
      <c r="D415" t="s">
        <v>1978</v>
      </c>
      <c r="E415">
        <v>28165</v>
      </c>
      <c r="F415" t="s">
        <v>1975</v>
      </c>
      <c r="G415" t="s">
        <v>1968</v>
      </c>
      <c r="H415" t="s">
        <v>1976</v>
      </c>
      <c r="I415">
        <v>48.33</v>
      </c>
      <c r="J415">
        <v>48.33</v>
      </c>
      <c r="K415" t="s">
        <v>301</v>
      </c>
      <c r="L415">
        <v>1</v>
      </c>
      <c r="M415">
        <v>2020</v>
      </c>
      <c r="O415" t="str">
        <f t="shared" si="13"/>
        <v>Talhadia</v>
      </c>
      <c r="P415" s="2">
        <v>43836</v>
      </c>
      <c r="Q415" t="s">
        <v>174</v>
      </c>
      <c r="R415" t="s">
        <v>278</v>
      </c>
      <c r="S415" t="s">
        <v>154</v>
      </c>
      <c r="T415" t="s">
        <v>175</v>
      </c>
      <c r="U415" t="s">
        <v>156</v>
      </c>
      <c r="V415" s="2">
        <v>45758</v>
      </c>
      <c r="W415" t="s">
        <v>1970</v>
      </c>
      <c r="X415">
        <v>145.33000000000001</v>
      </c>
      <c r="Y415">
        <v>21.3</v>
      </c>
      <c r="Z415">
        <v>27</v>
      </c>
      <c r="AA415">
        <v>15.4</v>
      </c>
      <c r="AB415">
        <v>1</v>
      </c>
      <c r="AC415">
        <v>328.02</v>
      </c>
      <c r="AD415">
        <v>292.22344623831901</v>
      </c>
      <c r="AE415" s="2">
        <v>45758</v>
      </c>
      <c r="AF415">
        <v>63</v>
      </c>
      <c r="AG415">
        <v>5.2621492128679002</v>
      </c>
      <c r="AH415">
        <v>27.258177589028602</v>
      </c>
      <c r="AI415">
        <v>14.828947368421</v>
      </c>
      <c r="AJ415">
        <v>23.3709235873762</v>
      </c>
      <c r="AK415">
        <v>38</v>
      </c>
      <c r="AL415">
        <v>1300.3747813243399</v>
      </c>
      <c r="AM415">
        <v>304.42442628947902</v>
      </c>
      <c r="AN415">
        <v>0.234105144656407</v>
      </c>
      <c r="AO415" t="s">
        <v>278</v>
      </c>
      <c r="AP415" t="s">
        <v>264</v>
      </c>
      <c r="AQ415" t="s">
        <v>850</v>
      </c>
      <c r="AR415">
        <v>9</v>
      </c>
      <c r="AS415">
        <v>1.1703373031919091</v>
      </c>
      <c r="AT415" t="s">
        <v>1979</v>
      </c>
      <c r="AU415" t="s">
        <v>1978</v>
      </c>
      <c r="AV415">
        <v>1106</v>
      </c>
      <c r="AW415">
        <v>613</v>
      </c>
      <c r="AX415">
        <v>399</v>
      </c>
      <c r="AY415">
        <v>82</v>
      </c>
      <c r="AZ415">
        <v>11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33.290000999999997</v>
      </c>
      <c r="BI415">
        <v>16.784578</v>
      </c>
      <c r="BJ415">
        <v>0</v>
      </c>
      <c r="BK415">
        <v>13.664535000000001</v>
      </c>
      <c r="BL415">
        <v>186.71950699999999</v>
      </c>
      <c r="BM415">
        <v>0.81411299999999998</v>
      </c>
      <c r="BN415">
        <v>29.258500000000002</v>
      </c>
      <c r="BO415">
        <v>-0.23453299999999999</v>
      </c>
      <c r="BP415">
        <v>1.1852389999999999</v>
      </c>
      <c r="BQ415">
        <v>13.140172</v>
      </c>
      <c r="BR415">
        <v>8.02</v>
      </c>
      <c r="BS415">
        <v>23.322001</v>
      </c>
      <c r="BT415">
        <v>16.784578</v>
      </c>
      <c r="BU415">
        <v>7.3686970000000001</v>
      </c>
      <c r="BV415">
        <v>-0.57442300000000002</v>
      </c>
      <c r="BW415">
        <v>-1.321942</v>
      </c>
      <c r="BX415">
        <v>0.43901600000000002</v>
      </c>
      <c r="BY415">
        <v>-7.7953999999999996E-2</v>
      </c>
      <c r="BZ415">
        <v>-0.1794</v>
      </c>
      <c r="CA415">
        <v>2E-3</v>
      </c>
      <c r="CB415">
        <v>1.4250000000000001E-2</v>
      </c>
      <c r="CC415">
        <v>3.5000000000000003E-2</v>
      </c>
      <c r="CD415">
        <v>0.124</v>
      </c>
      <c r="CE415">
        <v>0.3</v>
      </c>
      <c r="CF415">
        <v>1.2404999999999999</v>
      </c>
      <c r="CG415">
        <v>5.3550000000000004</v>
      </c>
      <c r="CH415">
        <v>23.322001</v>
      </c>
      <c r="CI415">
        <v>27.704999999999998</v>
      </c>
      <c r="CJ415">
        <v>28.827998999999998</v>
      </c>
      <c r="CK415">
        <v>29.558499999999999</v>
      </c>
      <c r="CL415">
        <v>30.124001</v>
      </c>
      <c r="CM415">
        <v>31.063499</v>
      </c>
      <c r="CN415">
        <v>31.733499999999999</v>
      </c>
      <c r="CO415">
        <v>32.667946000000001</v>
      </c>
      <c r="CP415">
        <v>0.504193</v>
      </c>
      <c r="CQ415">
        <v>21.639610000000001</v>
      </c>
      <c r="CR415">
        <v>23.825258999999999</v>
      </c>
      <c r="CS415">
        <v>24</v>
      </c>
      <c r="CT415">
        <v>517</v>
      </c>
      <c r="CU415">
        <v>127.35171800000001</v>
      </c>
      <c r="CV415">
        <v>39.650793999999998</v>
      </c>
      <c r="CW415">
        <v>87.565732999999994</v>
      </c>
      <c r="CX415">
        <v>7667.7576310000004</v>
      </c>
      <c r="CY415">
        <v>0.68759000000000003</v>
      </c>
      <c r="CZ415">
        <v>110.75</v>
      </c>
      <c r="DA415">
        <v>1.392244</v>
      </c>
      <c r="DB415">
        <v>5.1537980000000001</v>
      </c>
      <c r="DC415">
        <v>67.124179999999996</v>
      </c>
      <c r="DD415">
        <v>127.35171800000001</v>
      </c>
      <c r="DE415">
        <v>46.255372999999999</v>
      </c>
      <c r="DF415">
        <v>12.000235999999999</v>
      </c>
      <c r="DG415">
        <v>6.1465100000000001</v>
      </c>
      <c r="DH415">
        <v>0.36320999999999998</v>
      </c>
      <c r="DI415">
        <v>0.259434</v>
      </c>
      <c r="DJ415">
        <v>0.132882</v>
      </c>
      <c r="DK415">
        <v>26</v>
      </c>
      <c r="DL415">
        <v>32</v>
      </c>
      <c r="DM415">
        <v>39</v>
      </c>
      <c r="DN415">
        <v>51</v>
      </c>
      <c r="DO415">
        <v>59</v>
      </c>
      <c r="DP415">
        <v>66.5</v>
      </c>
      <c r="DQ415">
        <v>87</v>
      </c>
      <c r="DR415">
        <v>106</v>
      </c>
      <c r="DS415">
        <v>129</v>
      </c>
      <c r="DT415">
        <v>154</v>
      </c>
      <c r="DU415">
        <v>169.75</v>
      </c>
      <c r="DV415">
        <v>186</v>
      </c>
      <c r="DW415">
        <v>241</v>
      </c>
      <c r="DX415">
        <v>301.75</v>
      </c>
      <c r="DY415">
        <v>420.49951199999998</v>
      </c>
      <c r="DZ415">
        <v>89.722674999999995</v>
      </c>
      <c r="EA415">
        <v>64.104882000000003</v>
      </c>
      <c r="EB415">
        <v>115.660685</v>
      </c>
      <c r="EC415">
        <v>550</v>
      </c>
      <c r="ED415">
        <v>709</v>
      </c>
      <c r="EE415">
        <v>84.339314999999999</v>
      </c>
      <c r="EF415">
        <v>100</v>
      </c>
      <c r="EG415">
        <v>57.142856999999999</v>
      </c>
      <c r="EH415">
        <v>99.728752</v>
      </c>
      <c r="EI415">
        <v>103.09951100000001</v>
      </c>
      <c r="EJ415">
        <v>179.93474699999999</v>
      </c>
      <c r="EK415">
        <v>517</v>
      </c>
      <c r="EL415">
        <v>613</v>
      </c>
      <c r="EM415">
        <v>632</v>
      </c>
      <c r="EN415">
        <v>1103</v>
      </c>
      <c r="EO415">
        <v>613</v>
      </c>
      <c r="EP415">
        <v>1106</v>
      </c>
      <c r="EQ415">
        <v>50.349328</v>
      </c>
    </row>
    <row r="416" spans="1:147" x14ac:dyDescent="0.25">
      <c r="A416">
        <v>2025</v>
      </c>
      <c r="B416" t="str">
        <f t="shared" si="12"/>
        <v>NE</v>
      </c>
      <c r="C416" t="s">
        <v>1980</v>
      </c>
      <c r="D416" t="s">
        <v>1980</v>
      </c>
      <c r="E416">
        <v>28247</v>
      </c>
      <c r="F416" t="s">
        <v>1975</v>
      </c>
      <c r="G416" t="s">
        <v>1968</v>
      </c>
      <c r="H416" t="s">
        <v>1976</v>
      </c>
      <c r="I416">
        <v>48.33</v>
      </c>
      <c r="J416">
        <v>48.33</v>
      </c>
      <c r="K416" t="s">
        <v>301</v>
      </c>
      <c r="L416">
        <v>1</v>
      </c>
      <c r="M416">
        <v>2020</v>
      </c>
      <c r="O416" t="str">
        <f t="shared" si="13"/>
        <v>Talhadia</v>
      </c>
      <c r="P416" s="2">
        <v>43836</v>
      </c>
      <c r="Q416" t="s">
        <v>174</v>
      </c>
      <c r="R416" t="s">
        <v>278</v>
      </c>
      <c r="S416" t="s">
        <v>154</v>
      </c>
      <c r="T416" t="s">
        <v>175</v>
      </c>
      <c r="U416" t="s">
        <v>156</v>
      </c>
      <c r="V416" s="2">
        <v>44803</v>
      </c>
      <c r="W416" t="s">
        <v>1970</v>
      </c>
      <c r="X416">
        <v>145.33000000000001</v>
      </c>
      <c r="Y416">
        <v>20.7</v>
      </c>
      <c r="Z416">
        <v>15</v>
      </c>
      <c r="AA416">
        <v>16</v>
      </c>
      <c r="AB416">
        <v>1</v>
      </c>
      <c r="AC416">
        <v>331.2</v>
      </c>
      <c r="AD416">
        <v>319.86590911869098</v>
      </c>
      <c r="AE416" s="2">
        <v>45758</v>
      </c>
      <c r="AF416">
        <v>63</v>
      </c>
      <c r="AG416">
        <v>5.2621492128679002</v>
      </c>
      <c r="AH416">
        <v>27.841019336333101</v>
      </c>
      <c r="AI416">
        <v>16.702702702702702</v>
      </c>
      <c r="AJ416">
        <v>26.864265687809201</v>
      </c>
      <c r="AK416">
        <v>37</v>
      </c>
      <c r="AL416">
        <v>1156.7347111777001</v>
      </c>
      <c r="AM416">
        <v>359.14087025441199</v>
      </c>
      <c r="AN416">
        <v>0.31047816477190598</v>
      </c>
      <c r="AO416" t="s">
        <v>278</v>
      </c>
      <c r="AP416" t="s">
        <v>264</v>
      </c>
      <c r="AQ416" t="s">
        <v>850</v>
      </c>
      <c r="AR416">
        <v>9</v>
      </c>
      <c r="AS416">
        <v>1.041061240059926</v>
      </c>
      <c r="AT416" t="s">
        <v>1981</v>
      </c>
      <c r="AU416" t="s">
        <v>1980</v>
      </c>
      <c r="AV416">
        <v>1222</v>
      </c>
      <c r="AW416">
        <v>598</v>
      </c>
      <c r="AX416">
        <v>437</v>
      </c>
      <c r="AY416">
        <v>158</v>
      </c>
      <c r="AZ416">
        <v>27</v>
      </c>
      <c r="BA416">
        <v>2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31.316998999999999</v>
      </c>
      <c r="BI416">
        <v>16.768132999999999</v>
      </c>
      <c r="BJ416">
        <v>0</v>
      </c>
      <c r="BK416">
        <v>12.971493000000001</v>
      </c>
      <c r="BL416">
        <v>168.259624</v>
      </c>
      <c r="BM416">
        <v>0.77358000000000005</v>
      </c>
      <c r="BN416">
        <v>27.642999</v>
      </c>
      <c r="BO416">
        <v>-0.42270400000000002</v>
      </c>
      <c r="BP416">
        <v>1.274027</v>
      </c>
      <c r="BQ416">
        <v>12.414033999999999</v>
      </c>
      <c r="BR416">
        <v>4.0285010000000003</v>
      </c>
      <c r="BS416">
        <v>25.320999</v>
      </c>
      <c r="BT416">
        <v>16.768132999999999</v>
      </c>
      <c r="BU416">
        <v>6.8091540000000004</v>
      </c>
      <c r="BV416">
        <v>-1.041596</v>
      </c>
      <c r="BW416">
        <v>-1.0955239999999999</v>
      </c>
      <c r="BX416">
        <v>0.40607700000000002</v>
      </c>
      <c r="BY416">
        <v>-0.15296999999999999</v>
      </c>
      <c r="BZ416">
        <v>-0.16089000000000001</v>
      </c>
      <c r="CA416">
        <v>1E-3</v>
      </c>
      <c r="CB416">
        <v>5.0000000000000001E-3</v>
      </c>
      <c r="CC416">
        <v>1.0999999999999999E-2</v>
      </c>
      <c r="CD416">
        <v>0.03</v>
      </c>
      <c r="CE416">
        <v>4.2000000000000003E-2</v>
      </c>
      <c r="CF416">
        <v>6.5299999999999997E-2</v>
      </c>
      <c r="CG416">
        <v>17.526796000000001</v>
      </c>
      <c r="CH416">
        <v>25.320999</v>
      </c>
      <c r="CI416">
        <v>26.579599000000002</v>
      </c>
      <c r="CJ416">
        <v>27.319099000000001</v>
      </c>
      <c r="CK416">
        <v>27.684999000000001</v>
      </c>
      <c r="CL416">
        <v>28.159800000000001</v>
      </c>
      <c r="CM416">
        <v>29.178801</v>
      </c>
      <c r="CN416">
        <v>29.692301</v>
      </c>
      <c r="CO416">
        <v>30.429001</v>
      </c>
      <c r="CP416">
        <v>0.53543200000000002</v>
      </c>
      <c r="CQ416">
        <v>21.196515000000002</v>
      </c>
      <c r="CR416">
        <v>23.052264999999998</v>
      </c>
      <c r="CS416">
        <v>23</v>
      </c>
      <c r="CT416">
        <v>731</v>
      </c>
      <c r="CU416">
        <v>162.797054</v>
      </c>
      <c r="CV416">
        <v>45.476190000000003</v>
      </c>
      <c r="CW416">
        <v>132.77024900000001</v>
      </c>
      <c r="CX416">
        <v>17627.939119999999</v>
      </c>
      <c r="CY416">
        <v>0.81555699999999998</v>
      </c>
      <c r="CZ416">
        <v>147</v>
      </c>
      <c r="DA416">
        <v>1.730958</v>
      </c>
      <c r="DB416">
        <v>6.245546</v>
      </c>
      <c r="DC416">
        <v>98.151891000000006</v>
      </c>
      <c r="DD416">
        <v>162.797054</v>
      </c>
      <c r="DE416">
        <v>67.269345000000001</v>
      </c>
      <c r="DF416">
        <v>21.516128999999999</v>
      </c>
      <c r="DG416">
        <v>11.126231000000001</v>
      </c>
      <c r="DH416">
        <v>0.41321000000000002</v>
      </c>
      <c r="DI416">
        <v>0.31985000000000002</v>
      </c>
      <c r="DJ416">
        <v>0.16539799999999999</v>
      </c>
      <c r="DK416">
        <v>26</v>
      </c>
      <c r="DL416">
        <v>33</v>
      </c>
      <c r="DM416">
        <v>41</v>
      </c>
      <c r="DN416">
        <v>56</v>
      </c>
      <c r="DO416">
        <v>67</v>
      </c>
      <c r="DP416">
        <v>74</v>
      </c>
      <c r="DQ416">
        <v>97</v>
      </c>
      <c r="DR416">
        <v>125</v>
      </c>
      <c r="DS416">
        <v>160</v>
      </c>
      <c r="DT416">
        <v>196</v>
      </c>
      <c r="DU416">
        <v>214</v>
      </c>
      <c r="DV416">
        <v>237</v>
      </c>
      <c r="DW416">
        <v>316</v>
      </c>
      <c r="DX416">
        <v>462.74975599999999</v>
      </c>
      <c r="DY416">
        <v>643</v>
      </c>
      <c r="DZ416">
        <v>93.645484999999994</v>
      </c>
      <c r="EA416">
        <v>65.220949000000005</v>
      </c>
      <c r="EB416">
        <v>133.277592</v>
      </c>
      <c r="EC416">
        <v>560</v>
      </c>
      <c r="ED416">
        <v>797</v>
      </c>
      <c r="EE416">
        <v>90.635452000000001</v>
      </c>
      <c r="EF416">
        <v>100</v>
      </c>
      <c r="EG416">
        <v>60.310966000000001</v>
      </c>
      <c r="EH416">
        <v>99.590834999999998</v>
      </c>
      <c r="EI416">
        <v>123.244147</v>
      </c>
      <c r="EJ416">
        <v>203.511706</v>
      </c>
      <c r="EK416">
        <v>542</v>
      </c>
      <c r="EL416">
        <v>598</v>
      </c>
      <c r="EM416">
        <v>737</v>
      </c>
      <c r="EN416">
        <v>1217</v>
      </c>
      <c r="EO416">
        <v>598</v>
      </c>
      <c r="EP416">
        <v>1222</v>
      </c>
      <c r="EQ416">
        <v>54.101405</v>
      </c>
    </row>
    <row r="417" spans="1:147" x14ac:dyDescent="0.25">
      <c r="A417">
        <v>2025</v>
      </c>
      <c r="B417" t="str">
        <f t="shared" si="12"/>
        <v>NE</v>
      </c>
      <c r="C417" t="s">
        <v>1982</v>
      </c>
      <c r="D417" t="s">
        <v>1982</v>
      </c>
      <c r="E417">
        <v>30366</v>
      </c>
      <c r="F417" t="s">
        <v>1975</v>
      </c>
      <c r="G417" t="s">
        <v>1968</v>
      </c>
      <c r="H417" t="s">
        <v>1976</v>
      </c>
      <c r="I417">
        <v>48.33</v>
      </c>
      <c r="J417">
        <v>48.33</v>
      </c>
      <c r="K417" t="s">
        <v>301</v>
      </c>
      <c r="L417">
        <v>1</v>
      </c>
      <c r="M417">
        <v>2020</v>
      </c>
      <c r="O417" t="str">
        <f t="shared" si="13"/>
        <v>Talhadia</v>
      </c>
      <c r="P417" s="2">
        <v>43836</v>
      </c>
      <c r="Q417" t="s">
        <v>174</v>
      </c>
      <c r="R417" t="s">
        <v>278</v>
      </c>
      <c r="S417" t="s">
        <v>154</v>
      </c>
      <c r="T417" t="s">
        <v>175</v>
      </c>
      <c r="U417" t="s">
        <v>156</v>
      </c>
      <c r="V417" s="2">
        <v>45758</v>
      </c>
      <c r="W417" t="s">
        <v>1970</v>
      </c>
      <c r="X417">
        <v>145.33000000000001</v>
      </c>
      <c r="Y417">
        <v>19.2</v>
      </c>
      <c r="Z417">
        <v>10</v>
      </c>
      <c r="AA417">
        <v>15.2</v>
      </c>
      <c r="AB417">
        <v>3</v>
      </c>
      <c r="AC417">
        <v>291.83999999999997</v>
      </c>
      <c r="AD417">
        <v>287.01241430096297</v>
      </c>
      <c r="AE417" s="2">
        <v>45758</v>
      </c>
      <c r="AF417">
        <v>63</v>
      </c>
      <c r="AG417">
        <v>5.2621492128679002</v>
      </c>
      <c r="AH417">
        <v>26.3419783094729</v>
      </c>
      <c r="AI417">
        <v>16.8379310344828</v>
      </c>
      <c r="AJ417">
        <v>23.474590435700101</v>
      </c>
      <c r="AK417">
        <v>29</v>
      </c>
      <c r="AL417">
        <v>1010.4092560118499</v>
      </c>
      <c r="AM417">
        <v>287.78878635698698</v>
      </c>
      <c r="AN417">
        <v>0.28482398062435399</v>
      </c>
      <c r="AO417" t="s">
        <v>278</v>
      </c>
      <c r="AP417" t="s">
        <v>264</v>
      </c>
      <c r="AQ417" t="s">
        <v>850</v>
      </c>
      <c r="AR417">
        <v>9</v>
      </c>
      <c r="AS417">
        <v>0.90936833041066234</v>
      </c>
      <c r="AT417" t="s">
        <v>1983</v>
      </c>
      <c r="AU417" t="s">
        <v>1982</v>
      </c>
      <c r="AV417">
        <v>1066</v>
      </c>
      <c r="AW417">
        <v>603</v>
      </c>
      <c r="AX417">
        <v>348</v>
      </c>
      <c r="AY417">
        <v>99</v>
      </c>
      <c r="AZ417">
        <v>16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27.325001</v>
      </c>
      <c r="BI417">
        <v>17.658587000000001</v>
      </c>
      <c r="BJ417">
        <v>0</v>
      </c>
      <c r="BK417">
        <v>10.773222000000001</v>
      </c>
      <c r="BL417">
        <v>116.06231</v>
      </c>
      <c r="BM417">
        <v>0.61008399999999996</v>
      </c>
      <c r="BN417">
        <v>24.91675</v>
      </c>
      <c r="BO417">
        <v>-0.963507</v>
      </c>
      <c r="BP417">
        <v>2.022856</v>
      </c>
      <c r="BQ417">
        <v>9.5101180000000003</v>
      </c>
      <c r="BR417">
        <v>1.8919999999999999</v>
      </c>
      <c r="BS417">
        <v>23.506499999999999</v>
      </c>
      <c r="BT417">
        <v>17.658587000000001</v>
      </c>
      <c r="BU417">
        <v>5.2775509999999999</v>
      </c>
      <c r="BV417">
        <v>-1.8274729999999999</v>
      </c>
      <c r="BW417">
        <v>-3.1713999999999999E-2</v>
      </c>
      <c r="BX417">
        <v>0.29886600000000002</v>
      </c>
      <c r="BY417">
        <v>-0.346273</v>
      </c>
      <c r="BZ417">
        <v>-6.0089999999999996E-3</v>
      </c>
      <c r="CA417">
        <v>2E-3</v>
      </c>
      <c r="CB417">
        <v>8.9999999999999993E-3</v>
      </c>
      <c r="CC417">
        <v>1.7000000000000001E-2</v>
      </c>
      <c r="CD417">
        <v>4.3999999999999997E-2</v>
      </c>
      <c r="CE417">
        <v>0.11475</v>
      </c>
      <c r="CF417">
        <v>21.020499999999998</v>
      </c>
      <c r="CG417">
        <v>22.763000000000002</v>
      </c>
      <c r="CH417">
        <v>23.506499999999999</v>
      </c>
      <c r="CI417">
        <v>24.164000000000001</v>
      </c>
      <c r="CJ417">
        <v>24.717499</v>
      </c>
      <c r="CK417">
        <v>25.031500000000001</v>
      </c>
      <c r="CL417">
        <v>25.259001000000001</v>
      </c>
      <c r="CM417">
        <v>26.038</v>
      </c>
      <c r="CN417">
        <v>26.512249000000001</v>
      </c>
      <c r="CO417">
        <v>27.030899000000002</v>
      </c>
      <c r="CP417">
        <v>0.64624300000000001</v>
      </c>
      <c r="CQ417">
        <v>20.682822000000002</v>
      </c>
      <c r="CR417">
        <v>21.859649000000001</v>
      </c>
      <c r="CS417">
        <v>25</v>
      </c>
      <c r="CT417">
        <v>740</v>
      </c>
      <c r="CU417">
        <v>148.29174499999999</v>
      </c>
      <c r="CV417">
        <v>36.349206000000002</v>
      </c>
      <c r="CW417">
        <v>115.67980799999999</v>
      </c>
      <c r="CX417">
        <v>13381.818090000001</v>
      </c>
      <c r="CY417">
        <v>0.78008299999999997</v>
      </c>
      <c r="CZ417">
        <v>123</v>
      </c>
      <c r="DA417">
        <v>2.0707110000000002</v>
      </c>
      <c r="DB417">
        <v>8.6123729999999998</v>
      </c>
      <c r="DC417">
        <v>81.927706000000001</v>
      </c>
      <c r="DD417">
        <v>148.29174499999999</v>
      </c>
      <c r="DE417">
        <v>57.185960000000001</v>
      </c>
      <c r="DF417">
        <v>18.027239000000002</v>
      </c>
      <c r="DG417">
        <v>10.939560999999999</v>
      </c>
      <c r="DH417">
        <v>0.385631</v>
      </c>
      <c r="DI417">
        <v>0.31523899999999999</v>
      </c>
      <c r="DJ417">
        <v>0.191298</v>
      </c>
      <c r="DK417">
        <v>28</v>
      </c>
      <c r="DL417">
        <v>36</v>
      </c>
      <c r="DM417">
        <v>42</v>
      </c>
      <c r="DN417">
        <v>57</v>
      </c>
      <c r="DO417">
        <v>66</v>
      </c>
      <c r="DP417">
        <v>77</v>
      </c>
      <c r="DQ417">
        <v>98</v>
      </c>
      <c r="DR417">
        <v>120.5</v>
      </c>
      <c r="DS417">
        <v>148</v>
      </c>
      <c r="DT417">
        <v>171</v>
      </c>
      <c r="DU417">
        <v>189</v>
      </c>
      <c r="DV417">
        <v>208</v>
      </c>
      <c r="DW417">
        <v>273</v>
      </c>
      <c r="DX417">
        <v>371.25</v>
      </c>
      <c r="DY417">
        <v>621.74987799999997</v>
      </c>
      <c r="DZ417">
        <v>95.854062999999996</v>
      </c>
      <c r="EA417">
        <v>73.733582999999996</v>
      </c>
      <c r="EB417">
        <v>130.34825900000001</v>
      </c>
      <c r="EC417">
        <v>578</v>
      </c>
      <c r="ED417">
        <v>786</v>
      </c>
      <c r="EE417">
        <v>95.024876000000006</v>
      </c>
      <c r="EF417">
        <v>100</v>
      </c>
      <c r="EG417">
        <v>71.575985000000003</v>
      </c>
      <c r="EH417">
        <v>99.812382999999997</v>
      </c>
      <c r="EI417">
        <v>126.533997</v>
      </c>
      <c r="EJ417">
        <v>176.451078</v>
      </c>
      <c r="EK417">
        <v>573</v>
      </c>
      <c r="EL417">
        <v>603</v>
      </c>
      <c r="EM417">
        <v>763</v>
      </c>
      <c r="EN417">
        <v>1064</v>
      </c>
      <c r="EO417">
        <v>603</v>
      </c>
      <c r="EP417">
        <v>1066</v>
      </c>
      <c r="EQ417">
        <v>64.379223999999994</v>
      </c>
    </row>
    <row r="418" spans="1:147" x14ac:dyDescent="0.25">
      <c r="A418">
        <v>2025</v>
      </c>
      <c r="B418" t="str">
        <f t="shared" si="12"/>
        <v>NE</v>
      </c>
      <c r="C418" t="s">
        <v>1984</v>
      </c>
      <c r="D418" t="s">
        <v>1984</v>
      </c>
      <c r="E418">
        <v>31027</v>
      </c>
      <c r="F418" t="s">
        <v>1975</v>
      </c>
      <c r="G418" t="s">
        <v>1968</v>
      </c>
      <c r="H418" t="s">
        <v>1976</v>
      </c>
      <c r="I418">
        <v>48.33</v>
      </c>
      <c r="J418">
        <v>48.33</v>
      </c>
      <c r="K418" t="s">
        <v>301</v>
      </c>
      <c r="L418">
        <v>1</v>
      </c>
      <c r="M418">
        <v>2020</v>
      </c>
      <c r="O418" t="str">
        <f t="shared" si="13"/>
        <v>Talhadia</v>
      </c>
      <c r="P418" s="2">
        <v>43836</v>
      </c>
      <c r="Q418" t="s">
        <v>174</v>
      </c>
      <c r="R418" t="s">
        <v>278</v>
      </c>
      <c r="S418" t="s">
        <v>154</v>
      </c>
      <c r="T418" t="s">
        <v>175</v>
      </c>
      <c r="U418" t="s">
        <v>156</v>
      </c>
      <c r="V418" s="2">
        <v>44804</v>
      </c>
      <c r="W418" t="s">
        <v>1970</v>
      </c>
      <c r="X418">
        <v>145.33000000000001</v>
      </c>
      <c r="Y418">
        <v>19</v>
      </c>
      <c r="Z418">
        <v>9</v>
      </c>
      <c r="AA418">
        <v>16.3</v>
      </c>
      <c r="AB418">
        <v>2</v>
      </c>
      <c r="AC418">
        <v>309.7</v>
      </c>
      <c r="AD418">
        <v>305.70074093852998</v>
      </c>
      <c r="AE418" s="2">
        <v>45758</v>
      </c>
      <c r="AF418">
        <v>63</v>
      </c>
      <c r="AG418">
        <v>5.2621492128679002</v>
      </c>
      <c r="AH418">
        <v>28.383727116824598</v>
      </c>
      <c r="AI418">
        <v>17.936666666666699</v>
      </c>
      <c r="AJ418">
        <v>25.542643290950402</v>
      </c>
      <c r="AK418">
        <v>30</v>
      </c>
      <c r="AL418">
        <v>981.35189034534994</v>
      </c>
      <c r="AM418">
        <v>334.16291344232798</v>
      </c>
      <c r="AN418">
        <v>0.340512834111658</v>
      </c>
      <c r="AO418" t="s">
        <v>278</v>
      </c>
      <c r="AP418" t="s">
        <v>264</v>
      </c>
      <c r="AQ418" t="s">
        <v>850</v>
      </c>
      <c r="AR418">
        <v>9</v>
      </c>
      <c r="AS418">
        <v>0.88321670131081342</v>
      </c>
      <c r="AT418" t="s">
        <v>1985</v>
      </c>
      <c r="AU418" t="s">
        <v>1984</v>
      </c>
      <c r="AV418">
        <v>1226</v>
      </c>
      <c r="AW418">
        <v>680</v>
      </c>
      <c r="AX418">
        <v>402</v>
      </c>
      <c r="AY418">
        <v>123</v>
      </c>
      <c r="AZ418">
        <v>21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29.129999000000002</v>
      </c>
      <c r="BI418">
        <v>18.278722999999999</v>
      </c>
      <c r="BJ418">
        <v>0</v>
      </c>
      <c r="BK418">
        <v>11.737024</v>
      </c>
      <c r="BL418">
        <v>137.75773599999999</v>
      </c>
      <c r="BM418">
        <v>0.64211399999999996</v>
      </c>
      <c r="BN418">
        <v>26.613250000000001</v>
      </c>
      <c r="BO418">
        <v>-0.83773299999999995</v>
      </c>
      <c r="BP418">
        <v>1.7975449999999999</v>
      </c>
      <c r="BQ418">
        <v>10.642576999999999</v>
      </c>
      <c r="BR418">
        <v>2.0005000000000002</v>
      </c>
      <c r="BS418">
        <v>25.222000000000001</v>
      </c>
      <c r="BT418">
        <v>18.278722999999999</v>
      </c>
      <c r="BU418">
        <v>5.850975</v>
      </c>
      <c r="BV418">
        <v>-1.831216</v>
      </c>
      <c r="BW418">
        <v>-0.278449</v>
      </c>
      <c r="BX418">
        <v>0.32009799999999999</v>
      </c>
      <c r="BY418">
        <v>-0.31297599999999998</v>
      </c>
      <c r="BZ418">
        <v>-4.759E-2</v>
      </c>
      <c r="CA418">
        <v>1.25E-3</v>
      </c>
      <c r="CB418">
        <v>7.0000000000000001E-3</v>
      </c>
      <c r="CC418">
        <v>1.2E-2</v>
      </c>
      <c r="CD418">
        <v>3.5000000000000003E-2</v>
      </c>
      <c r="CE418">
        <v>6.0249999999999998E-2</v>
      </c>
      <c r="CF418">
        <v>13.497498999999999</v>
      </c>
      <c r="CG418">
        <v>24.249001</v>
      </c>
      <c r="CH418">
        <v>25.222000000000001</v>
      </c>
      <c r="CI418">
        <v>25.789000000000001</v>
      </c>
      <c r="CJ418">
        <v>26.300999000000001</v>
      </c>
      <c r="CK418">
        <v>26.673500000000001</v>
      </c>
      <c r="CL418">
        <v>26.948999000000001</v>
      </c>
      <c r="CM418">
        <v>27.645</v>
      </c>
      <c r="CN418">
        <v>28.249500000000001</v>
      </c>
      <c r="CO418">
        <v>28.774750000000001</v>
      </c>
      <c r="CP418">
        <v>0.62748800000000005</v>
      </c>
      <c r="CQ418">
        <v>21.71997</v>
      </c>
      <c r="CR418">
        <v>23.084548999999999</v>
      </c>
      <c r="CS418">
        <v>21</v>
      </c>
      <c r="CT418">
        <v>744</v>
      </c>
      <c r="CU418">
        <v>161.88907</v>
      </c>
      <c r="CV418">
        <v>55.428570999999998</v>
      </c>
      <c r="CW418">
        <v>129.369463</v>
      </c>
      <c r="CX418">
        <v>16736.457890000001</v>
      </c>
      <c r="CY418">
        <v>0.79912399999999995</v>
      </c>
      <c r="CZ418">
        <v>136</v>
      </c>
      <c r="DA418">
        <v>1.951751</v>
      </c>
      <c r="DB418">
        <v>7.3667629999999997</v>
      </c>
      <c r="DC418">
        <v>91.417658000000003</v>
      </c>
      <c r="DD418">
        <v>161.88907</v>
      </c>
      <c r="DE418">
        <v>64.034227000000001</v>
      </c>
      <c r="DF418">
        <v>20.337015000000001</v>
      </c>
      <c r="DG418">
        <v>12.722498</v>
      </c>
      <c r="DH418">
        <v>0.39554400000000001</v>
      </c>
      <c r="DI418">
        <v>0.31759599999999999</v>
      </c>
      <c r="DJ418">
        <v>0.198683</v>
      </c>
      <c r="DK418">
        <v>26</v>
      </c>
      <c r="DL418">
        <v>35.25</v>
      </c>
      <c r="DM418">
        <v>43.5</v>
      </c>
      <c r="DN418">
        <v>61</v>
      </c>
      <c r="DO418">
        <v>71</v>
      </c>
      <c r="DP418">
        <v>82</v>
      </c>
      <c r="DQ418">
        <v>106</v>
      </c>
      <c r="DR418">
        <v>132</v>
      </c>
      <c r="DS418">
        <v>156</v>
      </c>
      <c r="DT418">
        <v>190</v>
      </c>
      <c r="DU418">
        <v>207</v>
      </c>
      <c r="DV418">
        <v>226</v>
      </c>
      <c r="DW418">
        <v>292.5</v>
      </c>
      <c r="DX418">
        <v>450.5</v>
      </c>
      <c r="DY418">
        <v>650</v>
      </c>
      <c r="DZ418">
        <v>93.235293999999996</v>
      </c>
      <c r="EA418">
        <v>72.185970999999995</v>
      </c>
      <c r="EB418">
        <v>130.14705900000001</v>
      </c>
      <c r="EC418">
        <v>634</v>
      </c>
      <c r="ED418">
        <v>885</v>
      </c>
      <c r="EE418">
        <v>91.029411999999994</v>
      </c>
      <c r="EF418">
        <v>100</v>
      </c>
      <c r="EG418">
        <v>68.597064000000003</v>
      </c>
      <c r="EH418">
        <v>99.673736000000005</v>
      </c>
      <c r="EI418">
        <v>123.67647100000001</v>
      </c>
      <c r="EJ418">
        <v>179.705882</v>
      </c>
      <c r="EK418">
        <v>619</v>
      </c>
      <c r="EL418">
        <v>680</v>
      </c>
      <c r="EM418">
        <v>841</v>
      </c>
      <c r="EN418">
        <v>1222</v>
      </c>
      <c r="EO418">
        <v>680</v>
      </c>
      <c r="EP418">
        <v>1226</v>
      </c>
      <c r="EQ418">
        <v>62.540418000000003</v>
      </c>
    </row>
    <row r="419" spans="1:147" x14ac:dyDescent="0.25">
      <c r="A419">
        <v>2025</v>
      </c>
      <c r="B419" t="str">
        <f t="shared" si="12"/>
        <v>NE</v>
      </c>
      <c r="C419" t="s">
        <v>1986</v>
      </c>
      <c r="D419" t="s">
        <v>1986</v>
      </c>
      <c r="E419">
        <v>27716</v>
      </c>
      <c r="F419" t="s">
        <v>1987</v>
      </c>
      <c r="G419" t="s">
        <v>1988</v>
      </c>
      <c r="H419" t="s">
        <v>1989</v>
      </c>
      <c r="I419">
        <v>29.86</v>
      </c>
      <c r="J419">
        <v>29.86</v>
      </c>
      <c r="K419" t="s">
        <v>301</v>
      </c>
      <c r="L419">
        <v>1</v>
      </c>
      <c r="M419">
        <v>2020</v>
      </c>
      <c r="O419" t="str">
        <f t="shared" si="13"/>
        <v>Talhadia</v>
      </c>
      <c r="P419" s="2">
        <v>44068</v>
      </c>
      <c r="Q419" t="s">
        <v>174</v>
      </c>
      <c r="R419" t="s">
        <v>302</v>
      </c>
      <c r="S419" t="s">
        <v>154</v>
      </c>
      <c r="T419" t="s">
        <v>175</v>
      </c>
      <c r="U419" t="s">
        <v>156</v>
      </c>
      <c r="V419" s="2">
        <v>45709</v>
      </c>
      <c r="W419" t="s">
        <v>1990</v>
      </c>
      <c r="X419">
        <v>43.78</v>
      </c>
      <c r="Y419">
        <v>19.5</v>
      </c>
      <c r="Z419">
        <v>9</v>
      </c>
      <c r="AA419">
        <v>15.5</v>
      </c>
      <c r="AB419">
        <v>6</v>
      </c>
      <c r="AC419">
        <v>302.25</v>
      </c>
      <c r="AD419">
        <v>296.89342893771999</v>
      </c>
      <c r="AE419" s="2">
        <v>45709</v>
      </c>
      <c r="AF419">
        <v>54</v>
      </c>
      <c r="AG419">
        <v>4.4928131416837802</v>
      </c>
      <c r="AH419">
        <v>22.6095350421806</v>
      </c>
      <c r="AI419">
        <v>14.5045454545455</v>
      </c>
      <c r="AJ419">
        <v>12.6430739887521</v>
      </c>
      <c r="AK419">
        <v>22</v>
      </c>
      <c r="AL419">
        <v>741.00663253867299</v>
      </c>
      <c r="AM419">
        <v>131.02010240482801</v>
      </c>
      <c r="AN419">
        <v>0.17681367028518499</v>
      </c>
      <c r="AO419" t="s">
        <v>302</v>
      </c>
      <c r="AP419" t="s">
        <v>264</v>
      </c>
      <c r="AQ419" t="s">
        <v>850</v>
      </c>
      <c r="AR419">
        <v>9</v>
      </c>
      <c r="AS419">
        <v>0.6669059692848065</v>
      </c>
      <c r="AT419" t="s">
        <v>1991</v>
      </c>
      <c r="AU419" t="s">
        <v>1986</v>
      </c>
      <c r="AV419">
        <v>1143</v>
      </c>
      <c r="AW419">
        <v>675</v>
      </c>
      <c r="AX419">
        <v>341</v>
      </c>
      <c r="AY419">
        <v>111</v>
      </c>
      <c r="AZ419">
        <v>14</v>
      </c>
      <c r="BA419">
        <v>2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1E-3</v>
      </c>
      <c r="BH419">
        <v>24.695999</v>
      </c>
      <c r="BI419">
        <v>12.793965999999999</v>
      </c>
      <c r="BJ419">
        <v>1E-3</v>
      </c>
      <c r="BK419">
        <v>8.1771609999999999</v>
      </c>
      <c r="BL419">
        <v>66.865960999999999</v>
      </c>
      <c r="BM419">
        <v>0.63914199999999999</v>
      </c>
      <c r="BN419">
        <v>14.469500999999999</v>
      </c>
      <c r="BO419">
        <v>-0.43062</v>
      </c>
      <c r="BP419">
        <v>1.7825800000000001</v>
      </c>
      <c r="BQ419">
        <v>6.9896820000000002</v>
      </c>
      <c r="BR419">
        <v>6.53</v>
      </c>
      <c r="BS419">
        <v>14.090999999999999</v>
      </c>
      <c r="BT419">
        <v>12.793965999999999</v>
      </c>
      <c r="BU419">
        <v>4.6046430000000003</v>
      </c>
      <c r="BV419">
        <v>-0.56319799999999998</v>
      </c>
      <c r="BW419">
        <v>-0.18467600000000001</v>
      </c>
      <c r="BX419">
        <v>0.35990699999999998</v>
      </c>
      <c r="BY419">
        <v>-0.122311</v>
      </c>
      <c r="BZ419">
        <v>-4.0106000000000003E-2</v>
      </c>
      <c r="CA419">
        <v>5.0000000000000001E-3</v>
      </c>
      <c r="CB419">
        <v>1.7999999999999999E-2</v>
      </c>
      <c r="CC419">
        <v>4.4999999999999998E-2</v>
      </c>
      <c r="CD419">
        <v>0.39340000000000003</v>
      </c>
      <c r="CE419">
        <v>5.87</v>
      </c>
      <c r="CF419">
        <v>9.0278010000000002</v>
      </c>
      <c r="CG419">
        <v>12.3192</v>
      </c>
      <c r="CH419">
        <v>14.092000000000001</v>
      </c>
      <c r="CI419">
        <v>16.514999</v>
      </c>
      <c r="CJ419">
        <v>19.768801</v>
      </c>
      <c r="CK419">
        <v>20.339500000000001</v>
      </c>
      <c r="CL419">
        <v>20.895199000000002</v>
      </c>
      <c r="CM419">
        <v>22.086601000000002</v>
      </c>
      <c r="CN419">
        <v>22.788499999999999</v>
      </c>
      <c r="CO419">
        <v>23.785774</v>
      </c>
      <c r="CP419">
        <v>0.51803900000000003</v>
      </c>
      <c r="CQ419">
        <v>15.181997000000001</v>
      </c>
      <c r="CR419">
        <v>16.415095000000001</v>
      </c>
      <c r="CS419">
        <v>23</v>
      </c>
      <c r="CT419">
        <v>442</v>
      </c>
      <c r="CU419">
        <v>106.841645</v>
      </c>
      <c r="CV419">
        <v>29.650794000000001</v>
      </c>
      <c r="CW419">
        <v>75.914681000000002</v>
      </c>
      <c r="CX419">
        <v>5763.0388249999996</v>
      </c>
      <c r="CY419">
        <v>0.71053500000000003</v>
      </c>
      <c r="CZ419">
        <v>86</v>
      </c>
      <c r="DA419">
        <v>1.757352</v>
      </c>
      <c r="DB419">
        <v>6.538424</v>
      </c>
      <c r="DC419">
        <v>56.216129000000002</v>
      </c>
      <c r="DD419">
        <v>106.841645</v>
      </c>
      <c r="DE419">
        <v>38.485835999999999</v>
      </c>
      <c r="DF419">
        <v>12.158217</v>
      </c>
      <c r="DG419">
        <v>6.4041459999999999</v>
      </c>
      <c r="DH419">
        <v>0.36021399999999998</v>
      </c>
      <c r="DI419">
        <v>0.31591399999999997</v>
      </c>
      <c r="DJ419">
        <v>0.166403</v>
      </c>
      <c r="DK419">
        <v>27</v>
      </c>
      <c r="DL419">
        <v>33</v>
      </c>
      <c r="DM419">
        <v>37</v>
      </c>
      <c r="DN419">
        <v>47</v>
      </c>
      <c r="DO419">
        <v>52</v>
      </c>
      <c r="DP419">
        <v>56</v>
      </c>
      <c r="DQ419">
        <v>70</v>
      </c>
      <c r="DR419">
        <v>85</v>
      </c>
      <c r="DS419">
        <v>102</v>
      </c>
      <c r="DT419">
        <v>126</v>
      </c>
      <c r="DU419">
        <v>138</v>
      </c>
      <c r="DV419">
        <v>151.599976</v>
      </c>
      <c r="DW419">
        <v>197</v>
      </c>
      <c r="DX419">
        <v>264.90002399999997</v>
      </c>
      <c r="DY419">
        <v>386.739868</v>
      </c>
      <c r="DZ419">
        <v>92.296295999999998</v>
      </c>
      <c r="EA419">
        <v>77.690289000000007</v>
      </c>
      <c r="EB419">
        <v>131.555556</v>
      </c>
      <c r="EC419">
        <v>623</v>
      </c>
      <c r="ED419">
        <v>888</v>
      </c>
      <c r="EE419">
        <v>78.222222000000002</v>
      </c>
      <c r="EF419">
        <v>99.851851999999994</v>
      </c>
      <c r="EG419">
        <v>56.605423999999999</v>
      </c>
      <c r="EH419">
        <v>99.737532999999999</v>
      </c>
      <c r="EI419">
        <v>95.851851999999994</v>
      </c>
      <c r="EJ419">
        <v>168.88888900000001</v>
      </c>
      <c r="EK419">
        <v>528</v>
      </c>
      <c r="EL419">
        <v>674</v>
      </c>
      <c r="EM419">
        <v>647</v>
      </c>
      <c r="EN419">
        <v>1140</v>
      </c>
      <c r="EO419">
        <v>675</v>
      </c>
      <c r="EP419">
        <v>1143</v>
      </c>
      <c r="EQ419">
        <v>52.782099000000002</v>
      </c>
    </row>
    <row r="420" spans="1:147" x14ac:dyDescent="0.25">
      <c r="A420">
        <v>2025</v>
      </c>
      <c r="B420" t="str">
        <f t="shared" si="12"/>
        <v>NE</v>
      </c>
      <c r="C420" t="s">
        <v>1992</v>
      </c>
      <c r="D420" t="s">
        <v>1992</v>
      </c>
      <c r="E420">
        <v>27717</v>
      </c>
      <c r="F420" t="s">
        <v>1987</v>
      </c>
      <c r="G420" t="s">
        <v>1988</v>
      </c>
      <c r="H420" t="s">
        <v>1989</v>
      </c>
      <c r="I420">
        <v>29.86</v>
      </c>
      <c r="J420">
        <v>29.86</v>
      </c>
      <c r="K420" t="s">
        <v>301</v>
      </c>
      <c r="L420">
        <v>1</v>
      </c>
      <c r="M420">
        <v>2020</v>
      </c>
      <c r="O420" t="str">
        <f t="shared" si="13"/>
        <v>Talhadia</v>
      </c>
      <c r="P420" s="2">
        <v>44068</v>
      </c>
      <c r="Q420" t="s">
        <v>174</v>
      </c>
      <c r="R420" t="s">
        <v>302</v>
      </c>
      <c r="S420" t="s">
        <v>154</v>
      </c>
      <c r="T420" t="s">
        <v>175</v>
      </c>
      <c r="U420" t="s">
        <v>156</v>
      </c>
      <c r="V420" s="2">
        <v>44805</v>
      </c>
      <c r="W420" t="s">
        <v>1990</v>
      </c>
      <c r="X420">
        <v>43.78</v>
      </c>
      <c r="Y420">
        <v>19.7</v>
      </c>
      <c r="Z420">
        <v>17</v>
      </c>
      <c r="AA420">
        <v>15</v>
      </c>
      <c r="AB420">
        <v>2</v>
      </c>
      <c r="AC420">
        <v>295.5</v>
      </c>
      <c r="AD420">
        <v>282.41591037900901</v>
      </c>
      <c r="AE420" s="2">
        <v>45709</v>
      </c>
      <c r="AF420">
        <v>54</v>
      </c>
      <c r="AG420">
        <v>4.4928131416837802</v>
      </c>
      <c r="AH420">
        <v>24.483175236741701</v>
      </c>
      <c r="AI420">
        <v>16.03</v>
      </c>
      <c r="AJ420">
        <v>22.166586490658499</v>
      </c>
      <c r="AK420">
        <v>30</v>
      </c>
      <c r="AL420">
        <v>1062.26309841182</v>
      </c>
      <c r="AM420">
        <v>248.88037237583001</v>
      </c>
      <c r="AN420">
        <v>0.23429258979995601</v>
      </c>
      <c r="AO420" t="s">
        <v>302</v>
      </c>
      <c r="AP420" t="s">
        <v>264</v>
      </c>
      <c r="AQ420" t="s">
        <v>850</v>
      </c>
      <c r="AR420">
        <v>9</v>
      </c>
      <c r="AS420">
        <v>0.95603678857063479</v>
      </c>
      <c r="AT420" t="s">
        <v>1993</v>
      </c>
      <c r="AU420" t="s">
        <v>1992</v>
      </c>
      <c r="AV420">
        <v>1042</v>
      </c>
      <c r="AW420">
        <v>626</v>
      </c>
      <c r="AX420">
        <v>313</v>
      </c>
      <c r="AY420">
        <v>93</v>
      </c>
      <c r="AZ420">
        <v>10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26.445999</v>
      </c>
      <c r="BI420">
        <v>13.154631</v>
      </c>
      <c r="BJ420">
        <v>0</v>
      </c>
      <c r="BK420">
        <v>10.267633999999999</v>
      </c>
      <c r="BL420">
        <v>105.424306</v>
      </c>
      <c r="BM420">
        <v>0.78053399999999995</v>
      </c>
      <c r="BN420">
        <v>22.438248999999999</v>
      </c>
      <c r="BO420">
        <v>-0.328179</v>
      </c>
      <c r="BP420">
        <v>1.3185929999999999</v>
      </c>
      <c r="BQ420">
        <v>9.5996299999999994</v>
      </c>
      <c r="BR420">
        <v>5.5105000000000004</v>
      </c>
      <c r="BS420">
        <v>18.553000999999998</v>
      </c>
      <c r="BT420">
        <v>13.154631</v>
      </c>
      <c r="BU420">
        <v>5.5827169999999997</v>
      </c>
      <c r="BV420">
        <v>-0.54471199999999997</v>
      </c>
      <c r="BW420">
        <v>-0.85521100000000005</v>
      </c>
      <c r="BX420">
        <v>0.42439199999999999</v>
      </c>
      <c r="BY420">
        <v>-9.7571000000000005E-2</v>
      </c>
      <c r="BZ420">
        <v>-0.15318899999999999</v>
      </c>
      <c r="CA420">
        <v>1E-3</v>
      </c>
      <c r="CB420">
        <v>4.0000000000000001E-3</v>
      </c>
      <c r="CC420">
        <v>0.01</v>
      </c>
      <c r="CD420">
        <v>2.5000000000000001E-2</v>
      </c>
      <c r="CE420">
        <v>3.6249999999999998E-2</v>
      </c>
      <c r="CF420">
        <v>6.3299999999999995E-2</v>
      </c>
      <c r="CG420">
        <v>11.3644</v>
      </c>
      <c r="CH420">
        <v>18.553000999999998</v>
      </c>
      <c r="CI420">
        <v>20.687798999999998</v>
      </c>
      <c r="CJ420">
        <v>21.9373</v>
      </c>
      <c r="CK420">
        <v>22.474499000000002</v>
      </c>
      <c r="CL420">
        <v>22.954799999999999</v>
      </c>
      <c r="CM420">
        <v>23.965</v>
      </c>
      <c r="CN420">
        <v>24.569901000000002</v>
      </c>
      <c r="CO420">
        <v>25.697628000000002</v>
      </c>
      <c r="CP420">
        <v>0.497415</v>
      </c>
      <c r="CQ420">
        <v>16.684348</v>
      </c>
      <c r="CR420">
        <v>18.249500000000001</v>
      </c>
      <c r="CS420">
        <v>21</v>
      </c>
      <c r="CT420">
        <v>668</v>
      </c>
      <c r="CU420">
        <v>160.73032599999999</v>
      </c>
      <c r="CV420">
        <v>31.269841</v>
      </c>
      <c r="CW420">
        <v>144.47618900000001</v>
      </c>
      <c r="CX420">
        <v>20873.36909</v>
      </c>
      <c r="CY420">
        <v>0.89887300000000003</v>
      </c>
      <c r="CZ420">
        <v>141.75</v>
      </c>
      <c r="DA420">
        <v>1.5405679999999999</v>
      </c>
      <c r="DB420">
        <v>4.52881</v>
      </c>
      <c r="DC420">
        <v>108.28657800000001</v>
      </c>
      <c r="DD420">
        <v>160.73032599999999</v>
      </c>
      <c r="DE420">
        <v>72.817311000000004</v>
      </c>
      <c r="DF420">
        <v>27.050332999999998</v>
      </c>
      <c r="DG420">
        <v>12.070549</v>
      </c>
      <c r="DH420">
        <v>0.45304</v>
      </c>
      <c r="DI420">
        <v>0.37148199999999998</v>
      </c>
      <c r="DJ420">
        <v>0.165765</v>
      </c>
      <c r="DK420">
        <v>25.41</v>
      </c>
      <c r="DL420">
        <v>30.049999</v>
      </c>
      <c r="DM420">
        <v>36.099997999999999</v>
      </c>
      <c r="DN420">
        <v>50</v>
      </c>
      <c r="DO420">
        <v>57</v>
      </c>
      <c r="DP420">
        <v>65</v>
      </c>
      <c r="DQ420">
        <v>86</v>
      </c>
      <c r="DR420">
        <v>110</v>
      </c>
      <c r="DS420">
        <v>140</v>
      </c>
      <c r="DT420">
        <v>180</v>
      </c>
      <c r="DU420">
        <v>198.75</v>
      </c>
      <c r="DV420">
        <v>230</v>
      </c>
      <c r="DW420">
        <v>436.50012199999998</v>
      </c>
      <c r="DX420">
        <v>508.70007299999997</v>
      </c>
      <c r="DY420">
        <v>593</v>
      </c>
      <c r="DZ420">
        <v>80.511182000000005</v>
      </c>
      <c r="EA420">
        <v>65.067178999999996</v>
      </c>
      <c r="EB420">
        <v>108.306709</v>
      </c>
      <c r="EC420">
        <v>504</v>
      </c>
      <c r="ED420">
        <v>678</v>
      </c>
      <c r="EE420">
        <v>72.843450000000004</v>
      </c>
      <c r="EF420">
        <v>99.520767000000006</v>
      </c>
      <c r="EG420">
        <v>58.157389999999999</v>
      </c>
      <c r="EH420">
        <v>99.328215</v>
      </c>
      <c r="EI420">
        <v>96.805111999999994</v>
      </c>
      <c r="EJ420">
        <v>165.335463</v>
      </c>
      <c r="EK420">
        <v>456</v>
      </c>
      <c r="EL420">
        <v>623</v>
      </c>
      <c r="EM420">
        <v>606</v>
      </c>
      <c r="EN420">
        <v>1035</v>
      </c>
      <c r="EO420">
        <v>626</v>
      </c>
      <c r="EP420">
        <v>1042</v>
      </c>
      <c r="EQ420">
        <v>50.160789999999999</v>
      </c>
    </row>
    <row r="421" spans="1:147" x14ac:dyDescent="0.25">
      <c r="A421">
        <v>2025</v>
      </c>
      <c r="B421" t="str">
        <f t="shared" si="12"/>
        <v>NE</v>
      </c>
      <c r="C421" t="s">
        <v>1994</v>
      </c>
      <c r="D421" t="s">
        <v>1994</v>
      </c>
      <c r="E421">
        <v>27555</v>
      </c>
      <c r="F421" t="s">
        <v>1995</v>
      </c>
      <c r="G421" t="s">
        <v>1996</v>
      </c>
      <c r="H421" t="s">
        <v>1997</v>
      </c>
      <c r="I421">
        <v>55.25</v>
      </c>
      <c r="J421">
        <v>55.25</v>
      </c>
      <c r="K421" t="s">
        <v>301</v>
      </c>
      <c r="L421">
        <v>1</v>
      </c>
      <c r="M421">
        <v>2020</v>
      </c>
      <c r="O421" t="str">
        <f t="shared" si="13"/>
        <v>Alto fuste</v>
      </c>
      <c r="P421" s="2">
        <v>44007</v>
      </c>
      <c r="Q421" t="s">
        <v>174</v>
      </c>
      <c r="R421" t="s">
        <v>427</v>
      </c>
      <c r="S421" t="s">
        <v>154</v>
      </c>
      <c r="T421" t="s">
        <v>175</v>
      </c>
      <c r="U421" t="s">
        <v>156</v>
      </c>
      <c r="V421" s="2">
        <v>45708</v>
      </c>
      <c r="W421" t="s">
        <v>1998</v>
      </c>
      <c r="X421">
        <v>145.72999999999999</v>
      </c>
      <c r="Y421">
        <v>21.5</v>
      </c>
      <c r="Z421">
        <v>9</v>
      </c>
      <c r="AA421">
        <v>16</v>
      </c>
      <c r="AB421">
        <v>0</v>
      </c>
      <c r="AC421">
        <v>344</v>
      </c>
      <c r="AD421">
        <v>339.76478916472701</v>
      </c>
      <c r="AE421" s="2">
        <v>45708</v>
      </c>
      <c r="AF421">
        <v>56</v>
      </c>
      <c r="AG421">
        <v>4.6570841889116998</v>
      </c>
      <c r="AH421">
        <v>22.442753232546401</v>
      </c>
      <c r="AI421">
        <v>16.228571428571399</v>
      </c>
      <c r="AJ421">
        <v>21.6549177971891</v>
      </c>
      <c r="AK421">
        <v>35</v>
      </c>
      <c r="AL421">
        <v>1030.1244012377899</v>
      </c>
      <c r="AM421">
        <v>218.929931399232</v>
      </c>
      <c r="AN421">
        <v>0.21252766281059601</v>
      </c>
      <c r="AO421" t="s">
        <v>427</v>
      </c>
      <c r="AP421" t="s">
        <v>158</v>
      </c>
      <c r="AQ421" t="s">
        <v>294</v>
      </c>
      <c r="AR421">
        <v>9</v>
      </c>
      <c r="AS421">
        <v>0.92711196111401528</v>
      </c>
      <c r="AT421" t="s">
        <v>1999</v>
      </c>
      <c r="AU421" t="s">
        <v>1994</v>
      </c>
      <c r="AV421">
        <v>1320</v>
      </c>
      <c r="AW421">
        <v>809</v>
      </c>
      <c r="AX421">
        <v>418</v>
      </c>
      <c r="AY421">
        <v>89</v>
      </c>
      <c r="AZ421">
        <v>4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25.895</v>
      </c>
      <c r="BI421">
        <v>17.225788999999999</v>
      </c>
      <c r="BJ421">
        <v>0</v>
      </c>
      <c r="BK421">
        <v>9.5673829999999995</v>
      </c>
      <c r="BL421">
        <v>91.534808999999996</v>
      </c>
      <c r="BM421">
        <v>0.55540999999999996</v>
      </c>
      <c r="BN421">
        <v>11.27375</v>
      </c>
      <c r="BO421">
        <v>-1.128806</v>
      </c>
      <c r="BP421">
        <v>2.4084919999999999</v>
      </c>
      <c r="BQ421">
        <v>8.1848240000000008</v>
      </c>
      <c r="BR421">
        <v>1.420499</v>
      </c>
      <c r="BS421">
        <v>22.192501</v>
      </c>
      <c r="BT421">
        <v>17.225788999999999</v>
      </c>
      <c r="BU421">
        <v>4.591742</v>
      </c>
      <c r="BV421">
        <v>-1.841208</v>
      </c>
      <c r="BW421">
        <v>0.26506299999999999</v>
      </c>
      <c r="BX421">
        <v>0.26656200000000002</v>
      </c>
      <c r="BY421">
        <v>-0.40098200000000001</v>
      </c>
      <c r="BZ421">
        <v>5.7726E-2</v>
      </c>
      <c r="CA421">
        <v>2E-3</v>
      </c>
      <c r="CB421">
        <v>1.0999999999999999E-2</v>
      </c>
      <c r="CC421">
        <v>2.4899999999999999E-2</v>
      </c>
      <c r="CD421">
        <v>0.1116</v>
      </c>
      <c r="CE421">
        <v>12.075251</v>
      </c>
      <c r="CF421">
        <v>20.817399999999999</v>
      </c>
      <c r="CG421">
        <v>21.652799999999999</v>
      </c>
      <c r="CH421">
        <v>22.192501</v>
      </c>
      <c r="CI421">
        <v>22.701401000000001</v>
      </c>
      <c r="CJ421">
        <v>23.148499999999999</v>
      </c>
      <c r="CK421">
        <v>23.349001000000001</v>
      </c>
      <c r="CL421">
        <v>23.627800000000001</v>
      </c>
      <c r="CM421">
        <v>24.238201</v>
      </c>
      <c r="CN421">
        <v>24.6891</v>
      </c>
      <c r="CO421">
        <v>25.222882999999999</v>
      </c>
      <c r="CP421">
        <v>0.66521699999999995</v>
      </c>
      <c r="CQ421">
        <v>19.702621000000001</v>
      </c>
      <c r="CR421">
        <v>20.684829000000001</v>
      </c>
      <c r="CS421">
        <v>22</v>
      </c>
      <c r="CT421">
        <v>614</v>
      </c>
      <c r="CU421">
        <v>120.67197</v>
      </c>
      <c r="CV421">
        <v>40.793650999999997</v>
      </c>
      <c r="CW421">
        <v>78.762908999999993</v>
      </c>
      <c r="CX421">
        <v>6203.5958780000001</v>
      </c>
      <c r="CY421">
        <v>0.65270300000000003</v>
      </c>
      <c r="CZ421">
        <v>95</v>
      </c>
      <c r="DA421">
        <v>1.6718299999999999</v>
      </c>
      <c r="DB421">
        <v>7.3970739999999999</v>
      </c>
      <c r="DC421">
        <v>58.582825999999997</v>
      </c>
      <c r="DD421">
        <v>120.67197</v>
      </c>
      <c r="DE421">
        <v>40.898198000000001</v>
      </c>
      <c r="DF421">
        <v>9.8171309999999998</v>
      </c>
      <c r="DG421">
        <v>6.1854940000000003</v>
      </c>
      <c r="DH421">
        <v>0.33892</v>
      </c>
      <c r="DI421">
        <v>0.240038</v>
      </c>
      <c r="DJ421">
        <v>0.15124099999999999</v>
      </c>
      <c r="DK421">
        <v>26</v>
      </c>
      <c r="DL421">
        <v>34</v>
      </c>
      <c r="DM421">
        <v>40</v>
      </c>
      <c r="DN421">
        <v>53</v>
      </c>
      <c r="DO421">
        <v>61</v>
      </c>
      <c r="DP421">
        <v>70</v>
      </c>
      <c r="DQ421">
        <v>88</v>
      </c>
      <c r="DR421">
        <v>106</v>
      </c>
      <c r="DS421">
        <v>127</v>
      </c>
      <c r="DT421">
        <v>144</v>
      </c>
      <c r="DU421">
        <v>156</v>
      </c>
      <c r="DV421">
        <v>169.199951</v>
      </c>
      <c r="DW421">
        <v>210</v>
      </c>
      <c r="DX421">
        <v>275.050049</v>
      </c>
      <c r="DY421">
        <v>405.43017600000002</v>
      </c>
      <c r="DZ421">
        <v>96.662546000000006</v>
      </c>
      <c r="EA421">
        <v>78.181818000000007</v>
      </c>
      <c r="EB421">
        <v>127.56489500000001</v>
      </c>
      <c r="EC421">
        <v>782</v>
      </c>
      <c r="ED421">
        <v>1032</v>
      </c>
      <c r="EE421">
        <v>93.448701999999997</v>
      </c>
      <c r="EF421">
        <v>100</v>
      </c>
      <c r="EG421">
        <v>73.409091000000004</v>
      </c>
      <c r="EH421">
        <v>99.772727000000003</v>
      </c>
      <c r="EI421">
        <v>119.777503</v>
      </c>
      <c r="EJ421">
        <v>162.79357200000001</v>
      </c>
      <c r="EK421">
        <v>756</v>
      </c>
      <c r="EL421">
        <v>809</v>
      </c>
      <c r="EM421">
        <v>969</v>
      </c>
      <c r="EN421">
        <v>1317</v>
      </c>
      <c r="EO421">
        <v>809</v>
      </c>
      <c r="EP421">
        <v>1320</v>
      </c>
      <c r="EQ421">
        <v>67.301101000000003</v>
      </c>
    </row>
    <row r="422" spans="1:147" x14ac:dyDescent="0.25">
      <c r="A422">
        <v>2025</v>
      </c>
      <c r="B422" t="str">
        <f t="shared" si="12"/>
        <v>NE</v>
      </c>
      <c r="C422" t="s">
        <v>2000</v>
      </c>
      <c r="D422" t="s">
        <v>2000</v>
      </c>
      <c r="E422">
        <v>27556</v>
      </c>
      <c r="F422" t="s">
        <v>1995</v>
      </c>
      <c r="G422" t="s">
        <v>1996</v>
      </c>
      <c r="H422" t="s">
        <v>1997</v>
      </c>
      <c r="I422">
        <v>55.25</v>
      </c>
      <c r="J422">
        <v>55.25</v>
      </c>
      <c r="K422" t="s">
        <v>301</v>
      </c>
      <c r="L422">
        <v>1</v>
      </c>
      <c r="M422">
        <v>2020</v>
      </c>
      <c r="O422" t="str">
        <f t="shared" si="13"/>
        <v>Alto fuste</v>
      </c>
      <c r="P422" s="2">
        <v>44007</v>
      </c>
      <c r="Q422" t="s">
        <v>174</v>
      </c>
      <c r="R422" t="s">
        <v>427</v>
      </c>
      <c r="S422" t="s">
        <v>154</v>
      </c>
      <c r="T422" t="s">
        <v>175</v>
      </c>
      <c r="U422" t="s">
        <v>156</v>
      </c>
      <c r="V422" s="2">
        <v>44806</v>
      </c>
      <c r="W422" t="s">
        <v>1998</v>
      </c>
      <c r="X422">
        <v>145.72999999999999</v>
      </c>
      <c r="Y422">
        <v>19.5</v>
      </c>
      <c r="Z422">
        <v>14</v>
      </c>
      <c r="AA422">
        <v>14.7</v>
      </c>
      <c r="AB422">
        <v>3</v>
      </c>
      <c r="AC422">
        <v>286.64999999999998</v>
      </c>
      <c r="AD422">
        <v>277.75409521603899</v>
      </c>
      <c r="AE422" s="2">
        <v>45708</v>
      </c>
      <c r="AF422">
        <v>56</v>
      </c>
      <c r="AG422">
        <v>4.6570841889116998</v>
      </c>
      <c r="AH422">
        <v>22.5572100888789</v>
      </c>
      <c r="AI422">
        <v>15.6666666666667</v>
      </c>
      <c r="AJ422">
        <v>23.695063741767299</v>
      </c>
      <c r="AK422">
        <v>33</v>
      </c>
      <c r="AL422">
        <v>1188.1012942161101</v>
      </c>
      <c r="AM422">
        <v>244.97355014491799</v>
      </c>
      <c r="AN422">
        <v>0.20618911143140201</v>
      </c>
      <c r="AO422" t="s">
        <v>427</v>
      </c>
      <c r="AP422" t="s">
        <v>158</v>
      </c>
      <c r="AQ422" t="s">
        <v>294</v>
      </c>
      <c r="AR422">
        <v>9</v>
      </c>
      <c r="AS422">
        <v>1.0692911647944969</v>
      </c>
      <c r="AT422" t="s">
        <v>2001</v>
      </c>
      <c r="AU422" t="s">
        <v>2000</v>
      </c>
      <c r="AV422">
        <v>1129</v>
      </c>
      <c r="AW422">
        <v>688</v>
      </c>
      <c r="AX422">
        <v>367</v>
      </c>
      <c r="AY422">
        <v>71</v>
      </c>
      <c r="AZ422">
        <v>3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25.624001</v>
      </c>
      <c r="BI422">
        <v>15.839168000000001</v>
      </c>
      <c r="BJ422">
        <v>0</v>
      </c>
      <c r="BK422">
        <v>10.018306000000001</v>
      </c>
      <c r="BL422">
        <v>100.366461</v>
      </c>
      <c r="BM422">
        <v>0.63250200000000001</v>
      </c>
      <c r="BN422">
        <v>22.77</v>
      </c>
      <c r="BO422">
        <v>-0.85039600000000004</v>
      </c>
      <c r="BP422">
        <v>1.841</v>
      </c>
      <c r="BQ422">
        <v>9.002243</v>
      </c>
      <c r="BR422">
        <v>2.0830000000000002</v>
      </c>
      <c r="BS422">
        <v>21.475000000000001</v>
      </c>
      <c r="BT422">
        <v>15.839168000000001</v>
      </c>
      <c r="BU422">
        <v>5.0367430000000004</v>
      </c>
      <c r="BV422">
        <v>-1.5502609999999999</v>
      </c>
      <c r="BW422">
        <v>-0.194352</v>
      </c>
      <c r="BX422">
        <v>0.31799300000000003</v>
      </c>
      <c r="BY422">
        <v>-0.30779000000000001</v>
      </c>
      <c r="BZ422">
        <v>-3.8587000000000003E-2</v>
      </c>
      <c r="CA422">
        <v>2E-3</v>
      </c>
      <c r="CB422">
        <v>8.9999999999999993E-3</v>
      </c>
      <c r="CC422">
        <v>0.02</v>
      </c>
      <c r="CD422">
        <v>5.96E-2</v>
      </c>
      <c r="CE422">
        <v>0.24099999999999999</v>
      </c>
      <c r="CF422">
        <v>13.797196</v>
      </c>
      <c r="CG422">
        <v>20.503</v>
      </c>
      <c r="CH422">
        <v>21.475000000000001</v>
      </c>
      <c r="CI422">
        <v>22.143598999999998</v>
      </c>
      <c r="CJ422">
        <v>22.738600000000002</v>
      </c>
      <c r="CK422">
        <v>23.010999999999999</v>
      </c>
      <c r="CL422">
        <v>23.367000999999998</v>
      </c>
      <c r="CM422">
        <v>24.052600999999999</v>
      </c>
      <c r="CN422">
        <v>24.505600000000001</v>
      </c>
      <c r="CO422">
        <v>25.223718999999999</v>
      </c>
      <c r="CP422">
        <v>0.61813799999999997</v>
      </c>
      <c r="CQ422">
        <v>18.739179</v>
      </c>
      <c r="CR422">
        <v>19.903143</v>
      </c>
      <c r="CS422">
        <v>22</v>
      </c>
      <c r="CT422">
        <v>402</v>
      </c>
      <c r="CU422">
        <v>98.429584000000006</v>
      </c>
      <c r="CV422">
        <v>34.063491999999997</v>
      </c>
      <c r="CW422">
        <v>56.279102999999999</v>
      </c>
      <c r="CX422">
        <v>3167.3374570000001</v>
      </c>
      <c r="CY422">
        <v>0.57177</v>
      </c>
      <c r="CZ422">
        <v>73</v>
      </c>
      <c r="DA422">
        <v>1.311021</v>
      </c>
      <c r="DB422">
        <v>5.6378680000000001</v>
      </c>
      <c r="DC422">
        <v>43.709597000000002</v>
      </c>
      <c r="DD422">
        <v>98.429584000000006</v>
      </c>
      <c r="DE422">
        <v>30.158166999999999</v>
      </c>
      <c r="DF422">
        <v>6.2767039999999996</v>
      </c>
      <c r="DG422">
        <v>3.5711080000000002</v>
      </c>
      <c r="DH422">
        <v>0.30639300000000003</v>
      </c>
      <c r="DI422">
        <v>0.20812600000000001</v>
      </c>
      <c r="DJ422">
        <v>0.118413</v>
      </c>
      <c r="DK422">
        <v>27</v>
      </c>
      <c r="DL422">
        <v>32</v>
      </c>
      <c r="DM422">
        <v>37</v>
      </c>
      <c r="DN422">
        <v>49</v>
      </c>
      <c r="DO422">
        <v>55</v>
      </c>
      <c r="DP422">
        <v>60</v>
      </c>
      <c r="DQ422">
        <v>73</v>
      </c>
      <c r="DR422">
        <v>90</v>
      </c>
      <c r="DS422">
        <v>104</v>
      </c>
      <c r="DT422">
        <v>120</v>
      </c>
      <c r="DU422">
        <v>128</v>
      </c>
      <c r="DV422">
        <v>138.400024</v>
      </c>
      <c r="DW422">
        <v>168.20001199999999</v>
      </c>
      <c r="DX422">
        <v>201</v>
      </c>
      <c r="DY422">
        <v>286.07959</v>
      </c>
      <c r="DZ422">
        <v>96.220929999999996</v>
      </c>
      <c r="EA422">
        <v>72.542073000000002</v>
      </c>
      <c r="EB422">
        <v>119.04069800000001</v>
      </c>
      <c r="EC422">
        <v>662</v>
      </c>
      <c r="ED422">
        <v>819</v>
      </c>
      <c r="EE422">
        <v>94.767442000000003</v>
      </c>
      <c r="EF422">
        <v>100</v>
      </c>
      <c r="EG422">
        <v>69.264836000000003</v>
      </c>
      <c r="EH422">
        <v>99.645703999999995</v>
      </c>
      <c r="EI422">
        <v>113.662791</v>
      </c>
      <c r="EJ422">
        <v>163.51744199999999</v>
      </c>
      <c r="EK422">
        <v>652</v>
      </c>
      <c r="EL422">
        <v>688</v>
      </c>
      <c r="EM422">
        <v>782</v>
      </c>
      <c r="EN422">
        <v>1125</v>
      </c>
      <c r="EO422">
        <v>688</v>
      </c>
      <c r="EP422">
        <v>1129</v>
      </c>
      <c r="EQ422">
        <v>61.815235000000001</v>
      </c>
    </row>
    <row r="423" spans="1:147" x14ac:dyDescent="0.25">
      <c r="A423">
        <v>2025</v>
      </c>
      <c r="B423" t="str">
        <f t="shared" si="12"/>
        <v>NE</v>
      </c>
      <c r="C423" t="s">
        <v>2002</v>
      </c>
      <c r="D423" t="s">
        <v>2002</v>
      </c>
      <c r="E423">
        <v>27557</v>
      </c>
      <c r="F423" t="s">
        <v>1995</v>
      </c>
      <c r="G423" t="s">
        <v>1996</v>
      </c>
      <c r="H423" t="s">
        <v>1997</v>
      </c>
      <c r="I423">
        <v>55.25</v>
      </c>
      <c r="J423">
        <v>55.25</v>
      </c>
      <c r="K423" t="s">
        <v>301</v>
      </c>
      <c r="L423">
        <v>1</v>
      </c>
      <c r="M423">
        <v>2020</v>
      </c>
      <c r="O423" t="str">
        <f t="shared" si="13"/>
        <v>Alto fuste</v>
      </c>
      <c r="P423" s="2">
        <v>44007</v>
      </c>
      <c r="Q423" t="s">
        <v>174</v>
      </c>
      <c r="R423" t="s">
        <v>427</v>
      </c>
      <c r="S423" t="s">
        <v>154</v>
      </c>
      <c r="T423" t="s">
        <v>175</v>
      </c>
      <c r="U423" t="s">
        <v>156</v>
      </c>
      <c r="V423" s="2">
        <v>45708</v>
      </c>
      <c r="W423" t="s">
        <v>1998</v>
      </c>
      <c r="X423">
        <v>145.72999999999999</v>
      </c>
      <c r="Y423">
        <v>21.6</v>
      </c>
      <c r="Z423">
        <v>16</v>
      </c>
      <c r="AA423">
        <v>15.6</v>
      </c>
      <c r="AB423">
        <v>0</v>
      </c>
      <c r="AC423">
        <v>336.96</v>
      </c>
      <c r="AD423">
        <v>323.90674106337599</v>
      </c>
      <c r="AE423" s="2">
        <v>45708</v>
      </c>
      <c r="AF423">
        <v>56</v>
      </c>
      <c r="AG423">
        <v>4.6570841889116998</v>
      </c>
      <c r="AH423">
        <v>23.155902373513499</v>
      </c>
      <c r="AI423">
        <v>15.588888888888899</v>
      </c>
      <c r="AJ423">
        <v>21.534398373765299</v>
      </c>
      <c r="AK423">
        <v>36</v>
      </c>
      <c r="AL423">
        <v>1111.4310212196599</v>
      </c>
      <c r="AM423">
        <v>225.666916636081</v>
      </c>
      <c r="AN423">
        <v>0.20304176537059301</v>
      </c>
      <c r="AO423" t="s">
        <v>427</v>
      </c>
      <c r="AP423" t="s">
        <v>158</v>
      </c>
      <c r="AQ423" t="s">
        <v>294</v>
      </c>
      <c r="AR423">
        <v>9</v>
      </c>
      <c r="AS423">
        <v>1.0002879190976941</v>
      </c>
      <c r="AT423" t="s">
        <v>2003</v>
      </c>
      <c r="AU423" t="s">
        <v>2002</v>
      </c>
      <c r="AV423">
        <v>1204</v>
      </c>
      <c r="AW423">
        <v>695</v>
      </c>
      <c r="AX423">
        <v>406</v>
      </c>
      <c r="AY423">
        <v>88</v>
      </c>
      <c r="AZ423">
        <v>15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27.129999000000002</v>
      </c>
      <c r="BI423">
        <v>16.662815999999999</v>
      </c>
      <c r="BJ423">
        <v>0</v>
      </c>
      <c r="BK423">
        <v>10.406167999999999</v>
      </c>
      <c r="BL423">
        <v>108.288335</v>
      </c>
      <c r="BM423">
        <v>0.62451400000000001</v>
      </c>
      <c r="BN423">
        <v>23.074750000000002</v>
      </c>
      <c r="BO423">
        <v>-0.84993300000000005</v>
      </c>
      <c r="BP423">
        <v>1.8633040000000001</v>
      </c>
      <c r="BQ423">
        <v>9.3314640000000004</v>
      </c>
      <c r="BR423">
        <v>1.917</v>
      </c>
      <c r="BS423">
        <v>22.805499999999999</v>
      </c>
      <c r="BT423">
        <v>16.662815999999999</v>
      </c>
      <c r="BU423">
        <v>5.2479370000000003</v>
      </c>
      <c r="BV423">
        <v>-1.6660520000000001</v>
      </c>
      <c r="BW423">
        <v>-0.20802599999999999</v>
      </c>
      <c r="BX423">
        <v>0.31494899999999998</v>
      </c>
      <c r="BY423">
        <v>-0.31746799999999997</v>
      </c>
      <c r="BZ423">
        <v>-3.9639000000000001E-2</v>
      </c>
      <c r="CA423">
        <v>1E-3</v>
      </c>
      <c r="CB423">
        <v>8.9999999999999993E-3</v>
      </c>
      <c r="CC423">
        <v>1.9300000000000001E-2</v>
      </c>
      <c r="CD423">
        <v>6.5000000000000002E-2</v>
      </c>
      <c r="CE423">
        <v>1.0980000000000001</v>
      </c>
      <c r="CF423">
        <v>12.855599</v>
      </c>
      <c r="CG423">
        <v>21.995401000000001</v>
      </c>
      <c r="CH423">
        <v>22.805499999999999</v>
      </c>
      <c r="CI423">
        <v>23.350598999999999</v>
      </c>
      <c r="CJ423">
        <v>23.9193</v>
      </c>
      <c r="CK423">
        <v>24.172750000000001</v>
      </c>
      <c r="CL423">
        <v>24.431999000000001</v>
      </c>
      <c r="CM423">
        <v>25.016701000000001</v>
      </c>
      <c r="CN423">
        <v>25.524000000000001</v>
      </c>
      <c r="CO423">
        <v>26.194579999999998</v>
      </c>
      <c r="CP423">
        <v>0.61418399999999995</v>
      </c>
      <c r="CQ423">
        <v>19.643008999999999</v>
      </c>
      <c r="CR423">
        <v>20.860845999999999</v>
      </c>
      <c r="CS423">
        <v>22</v>
      </c>
      <c r="CT423">
        <v>445</v>
      </c>
      <c r="CU423">
        <v>112.346346</v>
      </c>
      <c r="CV423">
        <v>48.857143000000001</v>
      </c>
      <c r="CW423">
        <v>68.318472</v>
      </c>
      <c r="CX423">
        <v>4667.4136109999999</v>
      </c>
      <c r="CY423">
        <v>0.60810600000000004</v>
      </c>
      <c r="CZ423">
        <v>93</v>
      </c>
      <c r="DA423">
        <v>1.1835690000000001</v>
      </c>
      <c r="DB423">
        <v>4.5555479999999999</v>
      </c>
      <c r="DC423">
        <v>53.962398</v>
      </c>
      <c r="DD423">
        <v>112.346346</v>
      </c>
      <c r="DE423">
        <v>36.878650999999998</v>
      </c>
      <c r="DF423">
        <v>8.3219960000000004</v>
      </c>
      <c r="DG423">
        <v>3.924725</v>
      </c>
      <c r="DH423">
        <v>0.32825900000000002</v>
      </c>
      <c r="DI423">
        <v>0.225659</v>
      </c>
      <c r="DJ423">
        <v>0.106423</v>
      </c>
      <c r="DK423">
        <v>28</v>
      </c>
      <c r="DL423">
        <v>34</v>
      </c>
      <c r="DM423">
        <v>41</v>
      </c>
      <c r="DN423">
        <v>52</v>
      </c>
      <c r="DO423">
        <v>58</v>
      </c>
      <c r="DP423">
        <v>63</v>
      </c>
      <c r="DQ423">
        <v>80</v>
      </c>
      <c r="DR423">
        <v>97.5</v>
      </c>
      <c r="DS423">
        <v>117</v>
      </c>
      <c r="DT423">
        <v>138</v>
      </c>
      <c r="DU423">
        <v>151</v>
      </c>
      <c r="DV423">
        <v>164</v>
      </c>
      <c r="DW423">
        <v>205</v>
      </c>
      <c r="DX423">
        <v>246</v>
      </c>
      <c r="DY423">
        <v>334.93994099999998</v>
      </c>
      <c r="DZ423">
        <v>97.841727000000006</v>
      </c>
      <c r="EA423">
        <v>73.837209000000001</v>
      </c>
      <c r="EB423">
        <v>127.913669</v>
      </c>
      <c r="EC423">
        <v>680</v>
      </c>
      <c r="ED423">
        <v>889</v>
      </c>
      <c r="EE423">
        <v>94.820143999999999</v>
      </c>
      <c r="EF423">
        <v>100</v>
      </c>
      <c r="EG423">
        <v>67.358804000000006</v>
      </c>
      <c r="EH423">
        <v>99.418604999999999</v>
      </c>
      <c r="EI423">
        <v>116.690647</v>
      </c>
      <c r="EJ423">
        <v>172.23021600000001</v>
      </c>
      <c r="EK423">
        <v>659</v>
      </c>
      <c r="EL423">
        <v>695</v>
      </c>
      <c r="EM423">
        <v>811</v>
      </c>
      <c r="EN423">
        <v>1197</v>
      </c>
      <c r="EO423">
        <v>695</v>
      </c>
      <c r="EP423">
        <v>1204</v>
      </c>
      <c r="EQ423">
        <v>62.601967000000002</v>
      </c>
    </row>
    <row r="424" spans="1:147" x14ac:dyDescent="0.25">
      <c r="A424">
        <v>2025</v>
      </c>
      <c r="B424" t="str">
        <f t="shared" si="12"/>
        <v>NE</v>
      </c>
      <c r="C424" t="s">
        <v>2004</v>
      </c>
      <c r="D424" t="s">
        <v>2004</v>
      </c>
      <c r="E424">
        <v>25436</v>
      </c>
      <c r="F424" t="s">
        <v>2005</v>
      </c>
      <c r="G424" t="s">
        <v>2006</v>
      </c>
      <c r="H424" t="s">
        <v>2007</v>
      </c>
      <c r="I424">
        <v>45.7</v>
      </c>
      <c r="J424">
        <v>45.7</v>
      </c>
      <c r="K424" t="s">
        <v>301</v>
      </c>
      <c r="L424">
        <v>1</v>
      </c>
      <c r="M424">
        <v>2017</v>
      </c>
      <c r="O424" t="str">
        <f t="shared" si="13"/>
        <v>Alto fuste</v>
      </c>
      <c r="P424" s="2">
        <v>42871</v>
      </c>
      <c r="Q424" t="s">
        <v>174</v>
      </c>
      <c r="R424" t="s">
        <v>427</v>
      </c>
      <c r="S424" t="s">
        <v>154</v>
      </c>
      <c r="T424" t="s">
        <v>175</v>
      </c>
      <c r="U424" t="s">
        <v>156</v>
      </c>
      <c r="V424" s="2">
        <v>44807</v>
      </c>
      <c r="W424" t="s">
        <v>2008</v>
      </c>
      <c r="X424">
        <v>45.7</v>
      </c>
      <c r="Y424">
        <v>19</v>
      </c>
      <c r="Z424">
        <v>18</v>
      </c>
      <c r="AA424">
        <v>15.6</v>
      </c>
      <c r="AB424">
        <v>5</v>
      </c>
      <c r="AC424">
        <v>296.39999999999998</v>
      </c>
      <c r="AD424">
        <v>280.82046288282299</v>
      </c>
      <c r="AE424" s="2">
        <v>45768</v>
      </c>
      <c r="AF424">
        <v>95</v>
      </c>
      <c r="AG424">
        <v>7.9315537303217001</v>
      </c>
      <c r="AH424">
        <v>31.959209998816199</v>
      </c>
      <c r="AI424">
        <v>18.2870967741935</v>
      </c>
      <c r="AJ424">
        <v>29.509437267293599</v>
      </c>
      <c r="AK424">
        <v>31</v>
      </c>
      <c r="AL424">
        <v>1103.90815832161</v>
      </c>
      <c r="AM424">
        <v>420.86199558159598</v>
      </c>
      <c r="AN424">
        <v>0.38124729164197602</v>
      </c>
      <c r="AO424" t="s">
        <v>427</v>
      </c>
      <c r="AP424" t="s">
        <v>158</v>
      </c>
      <c r="AQ424" t="s">
        <v>294</v>
      </c>
      <c r="AR424">
        <v>9</v>
      </c>
      <c r="AS424">
        <v>0.99351734248945167</v>
      </c>
      <c r="AT424" t="s">
        <v>2009</v>
      </c>
      <c r="AU424" t="s">
        <v>2004</v>
      </c>
      <c r="AV424">
        <v>1153</v>
      </c>
      <c r="AW424">
        <v>613</v>
      </c>
      <c r="AX424">
        <v>367</v>
      </c>
      <c r="AY424">
        <v>136</v>
      </c>
      <c r="AZ424">
        <v>35</v>
      </c>
      <c r="BA424">
        <v>2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33.550998999999997</v>
      </c>
      <c r="BI424">
        <v>20.949755</v>
      </c>
      <c r="BJ424">
        <v>0</v>
      </c>
      <c r="BK424">
        <v>11.572597999999999</v>
      </c>
      <c r="BL424">
        <v>133.92502400000001</v>
      </c>
      <c r="BM424">
        <v>0.55239799999999994</v>
      </c>
      <c r="BN424">
        <v>14.837001000000001</v>
      </c>
      <c r="BO424">
        <v>-0.855711</v>
      </c>
      <c r="BP424">
        <v>2.2625920000000002</v>
      </c>
      <c r="BQ424">
        <v>9.8293689999999998</v>
      </c>
      <c r="BR424">
        <v>4.3120000000000003</v>
      </c>
      <c r="BS424">
        <v>27.527000000000001</v>
      </c>
      <c r="BT424">
        <v>20.949755</v>
      </c>
      <c r="BU424">
        <v>6.1603279999999998</v>
      </c>
      <c r="BV424">
        <v>-1.7256419999999999</v>
      </c>
      <c r="BW424">
        <v>-8.5113999999999995E-2</v>
      </c>
      <c r="BX424">
        <v>0.29405300000000001</v>
      </c>
      <c r="BY424">
        <v>-0.28012199999999998</v>
      </c>
      <c r="BZ424">
        <v>-1.3816E-2</v>
      </c>
      <c r="CA424">
        <v>2.5200000000000001E-3</v>
      </c>
      <c r="CB424">
        <v>8.9999999999999993E-3</v>
      </c>
      <c r="CC424">
        <v>2.5000000000000001E-2</v>
      </c>
      <c r="CD424">
        <v>12.457599999999999</v>
      </c>
      <c r="CE424">
        <v>15.523</v>
      </c>
      <c r="CF424">
        <v>16.785601</v>
      </c>
      <c r="CG424">
        <v>20.173399</v>
      </c>
      <c r="CH424">
        <v>27.527000000000001</v>
      </c>
      <c r="CI424">
        <v>29.346599999999999</v>
      </c>
      <c r="CJ424">
        <v>30.047401000000001</v>
      </c>
      <c r="CK424">
        <v>30.360001</v>
      </c>
      <c r="CL424">
        <v>30.676399</v>
      </c>
      <c r="CM424">
        <v>31.254598999999999</v>
      </c>
      <c r="CN424">
        <v>31.695399999999999</v>
      </c>
      <c r="CO424">
        <v>32.865963000000001</v>
      </c>
      <c r="CP424">
        <v>0.62441500000000005</v>
      </c>
      <c r="CQ424">
        <v>23.931173999999999</v>
      </c>
      <c r="CR424">
        <v>25.344238000000001</v>
      </c>
      <c r="CS424">
        <v>21</v>
      </c>
      <c r="CT424">
        <v>601</v>
      </c>
      <c r="CU424">
        <v>126.685169</v>
      </c>
      <c r="CV424">
        <v>39.412697999999999</v>
      </c>
      <c r="CW424">
        <v>93.269121999999996</v>
      </c>
      <c r="CX424">
        <v>8699.1290939999999</v>
      </c>
      <c r="CY424">
        <v>0.73622799999999999</v>
      </c>
      <c r="CZ424">
        <v>129</v>
      </c>
      <c r="DA424">
        <v>1.4203600000000001</v>
      </c>
      <c r="DB424">
        <v>5.5640890000000001</v>
      </c>
      <c r="DC424">
        <v>73.95093</v>
      </c>
      <c r="DD424">
        <v>126.685169</v>
      </c>
      <c r="DE424">
        <v>49.187184000000002</v>
      </c>
      <c r="DF424">
        <v>13.579665</v>
      </c>
      <c r="DG424">
        <v>4.7532959999999997</v>
      </c>
      <c r="DH424">
        <v>0.38826300000000002</v>
      </c>
      <c r="DI424">
        <v>0.27608100000000002</v>
      </c>
      <c r="DJ424">
        <v>9.6637000000000001E-2</v>
      </c>
      <c r="DK424">
        <v>26</v>
      </c>
      <c r="DL424">
        <v>31</v>
      </c>
      <c r="DM424">
        <v>37</v>
      </c>
      <c r="DN424">
        <v>47</v>
      </c>
      <c r="DO424">
        <v>52</v>
      </c>
      <c r="DP424">
        <v>59</v>
      </c>
      <c r="DQ424">
        <v>76</v>
      </c>
      <c r="DR424">
        <v>99</v>
      </c>
      <c r="DS424">
        <v>127</v>
      </c>
      <c r="DT424">
        <v>160.400024</v>
      </c>
      <c r="DU424">
        <v>181</v>
      </c>
      <c r="DV424">
        <v>200</v>
      </c>
      <c r="DW424">
        <v>251</v>
      </c>
      <c r="DX424">
        <v>292.800049</v>
      </c>
      <c r="DY424">
        <v>437.11962899999997</v>
      </c>
      <c r="DZ424">
        <v>97.716149999999999</v>
      </c>
      <c r="EA424">
        <v>81.266261999999998</v>
      </c>
      <c r="EB424">
        <v>152.85481200000001</v>
      </c>
      <c r="EC424">
        <v>599</v>
      </c>
      <c r="ED424">
        <v>937</v>
      </c>
      <c r="EE424">
        <v>87.601957999999996</v>
      </c>
      <c r="EF424">
        <v>100</v>
      </c>
      <c r="EG424">
        <v>57.588898999999998</v>
      </c>
      <c r="EH424">
        <v>99.566349000000002</v>
      </c>
      <c r="EI424">
        <v>108.319739</v>
      </c>
      <c r="EJ424">
        <v>187.27569299999999</v>
      </c>
      <c r="EK424">
        <v>537</v>
      </c>
      <c r="EL424">
        <v>613</v>
      </c>
      <c r="EM424">
        <v>664</v>
      </c>
      <c r="EN424">
        <v>1148</v>
      </c>
      <c r="EO424">
        <v>613</v>
      </c>
      <c r="EP424">
        <v>1153</v>
      </c>
      <c r="EQ424">
        <v>62.744208999999998</v>
      </c>
    </row>
    <row r="425" spans="1:147" x14ac:dyDescent="0.25">
      <c r="A425">
        <v>2025</v>
      </c>
      <c r="B425" t="str">
        <f t="shared" si="12"/>
        <v>NE</v>
      </c>
      <c r="C425" t="s">
        <v>2010</v>
      </c>
      <c r="D425" t="s">
        <v>2010</v>
      </c>
      <c r="E425">
        <v>25438</v>
      </c>
      <c r="F425" t="s">
        <v>2005</v>
      </c>
      <c r="G425" t="s">
        <v>2006</v>
      </c>
      <c r="H425" t="s">
        <v>2007</v>
      </c>
      <c r="I425">
        <v>45.7</v>
      </c>
      <c r="J425">
        <v>45.7</v>
      </c>
      <c r="K425" t="s">
        <v>301</v>
      </c>
      <c r="L425">
        <v>1</v>
      </c>
      <c r="M425">
        <v>2017</v>
      </c>
      <c r="O425" t="str">
        <f t="shared" si="13"/>
        <v>Alto fuste</v>
      </c>
      <c r="P425" s="2">
        <v>42871</v>
      </c>
      <c r="Q425" t="s">
        <v>174</v>
      </c>
      <c r="R425" t="s">
        <v>427</v>
      </c>
      <c r="S425" t="s">
        <v>154</v>
      </c>
      <c r="T425" t="s">
        <v>175</v>
      </c>
      <c r="U425" t="s">
        <v>156</v>
      </c>
      <c r="V425" s="2">
        <v>45768</v>
      </c>
      <c r="W425" t="s">
        <v>2008</v>
      </c>
      <c r="X425">
        <v>45.7</v>
      </c>
      <c r="Y425">
        <v>19.399999999999999</v>
      </c>
      <c r="Z425">
        <v>20</v>
      </c>
      <c r="AA425">
        <v>14.5</v>
      </c>
      <c r="AB425">
        <v>3</v>
      </c>
      <c r="AC425">
        <v>281.3</v>
      </c>
      <c r="AD425">
        <v>263.97327156428702</v>
      </c>
      <c r="AE425" s="2">
        <v>45768</v>
      </c>
      <c r="AF425">
        <v>95</v>
      </c>
      <c r="AG425">
        <v>7.9315537303217001</v>
      </c>
      <c r="AH425">
        <v>30.074300619818899</v>
      </c>
      <c r="AI425">
        <v>19.235483870967698</v>
      </c>
      <c r="AJ425">
        <v>34.680357345666003</v>
      </c>
      <c r="AK425">
        <v>31</v>
      </c>
      <c r="AL425">
        <v>1174.3613213677399</v>
      </c>
      <c r="AM425">
        <v>461.31098918791099</v>
      </c>
      <c r="AN425">
        <v>0.39281861620803299</v>
      </c>
      <c r="AO425" t="s">
        <v>427</v>
      </c>
      <c r="AP425" t="s">
        <v>158</v>
      </c>
      <c r="AQ425" t="s">
        <v>294</v>
      </c>
      <c r="AR425">
        <v>9</v>
      </c>
      <c r="AS425">
        <v>1.056925189230961</v>
      </c>
      <c r="AT425" t="s">
        <v>2011</v>
      </c>
      <c r="AU425" t="s">
        <v>2010</v>
      </c>
      <c r="AV425">
        <v>994</v>
      </c>
      <c r="AW425">
        <v>554</v>
      </c>
      <c r="AX425">
        <v>324</v>
      </c>
      <c r="AY425">
        <v>92</v>
      </c>
      <c r="AZ425">
        <v>22</v>
      </c>
      <c r="BA425">
        <v>2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32.737000000000002</v>
      </c>
      <c r="BI425">
        <v>21.178764999999999</v>
      </c>
      <c r="BJ425">
        <v>0</v>
      </c>
      <c r="BK425">
        <v>12.53989</v>
      </c>
      <c r="BL425">
        <v>157.24884599999999</v>
      </c>
      <c r="BM425">
        <v>0.59209699999999998</v>
      </c>
      <c r="BN425">
        <v>17.529751000000001</v>
      </c>
      <c r="BO425">
        <v>-0.89252900000000002</v>
      </c>
      <c r="BP425">
        <v>2.026599</v>
      </c>
      <c r="BQ425">
        <v>10.99381</v>
      </c>
      <c r="BR425">
        <v>2.324001</v>
      </c>
      <c r="BS425">
        <v>28.911999000000002</v>
      </c>
      <c r="BT425">
        <v>21.178764999999999</v>
      </c>
      <c r="BU425">
        <v>6.3971099999999996</v>
      </c>
      <c r="BV425">
        <v>-2.1311019999999998</v>
      </c>
      <c r="BW425">
        <v>-0.17641899999999999</v>
      </c>
      <c r="BX425">
        <v>0.30205300000000002</v>
      </c>
      <c r="BY425">
        <v>-0.33313500000000001</v>
      </c>
      <c r="BZ425">
        <v>-2.7577999999999998E-2</v>
      </c>
      <c r="CA425">
        <v>2E-3</v>
      </c>
      <c r="CB425">
        <v>8.9999999999999993E-3</v>
      </c>
      <c r="CC425">
        <v>2.63E-2</v>
      </c>
      <c r="CD425">
        <v>0.64539999999999997</v>
      </c>
      <c r="CE425">
        <v>12.86525</v>
      </c>
      <c r="CF425">
        <v>18.088698999999998</v>
      </c>
      <c r="CG425">
        <v>27.293199999999999</v>
      </c>
      <c r="CH425">
        <v>28.911999000000002</v>
      </c>
      <c r="CI425">
        <v>29.637599999999999</v>
      </c>
      <c r="CJ425">
        <v>30.138598999999999</v>
      </c>
      <c r="CK425">
        <v>30.395</v>
      </c>
      <c r="CL425">
        <v>30.680600999999999</v>
      </c>
      <c r="CM425">
        <v>31.290600000000001</v>
      </c>
      <c r="CN425">
        <v>31.721050000000002</v>
      </c>
      <c r="CO425">
        <v>32.363331000000002</v>
      </c>
      <c r="CP425">
        <v>0.64693699999999998</v>
      </c>
      <c r="CQ425">
        <v>24.609566000000001</v>
      </c>
      <c r="CR425">
        <v>26.071928</v>
      </c>
      <c r="CS425">
        <v>24</v>
      </c>
      <c r="CT425">
        <v>603</v>
      </c>
      <c r="CU425">
        <v>129.82092599999999</v>
      </c>
      <c r="CV425">
        <v>33.190475999999997</v>
      </c>
      <c r="CW425">
        <v>90.365779000000003</v>
      </c>
      <c r="CX425">
        <v>8165.9739419999996</v>
      </c>
      <c r="CY425">
        <v>0.69608000000000003</v>
      </c>
      <c r="CZ425">
        <v>119.75</v>
      </c>
      <c r="DA425">
        <v>1.593477</v>
      </c>
      <c r="DB425">
        <v>6.9392440000000004</v>
      </c>
      <c r="DC425">
        <v>69.605187999999998</v>
      </c>
      <c r="DD425">
        <v>129.82092599999999</v>
      </c>
      <c r="DE425">
        <v>47.307138000000002</v>
      </c>
      <c r="DF425">
        <v>11.769828</v>
      </c>
      <c r="DG425">
        <v>5.4412909999999997</v>
      </c>
      <c r="DH425">
        <v>0.36440299999999998</v>
      </c>
      <c r="DI425">
        <v>0.24879599999999999</v>
      </c>
      <c r="DJ425">
        <v>0.115021</v>
      </c>
      <c r="DK425">
        <v>26</v>
      </c>
      <c r="DL425">
        <v>33</v>
      </c>
      <c r="DM425">
        <v>40</v>
      </c>
      <c r="DN425">
        <v>51</v>
      </c>
      <c r="DO425">
        <v>60.25</v>
      </c>
      <c r="DP425">
        <v>68</v>
      </c>
      <c r="DQ425">
        <v>86</v>
      </c>
      <c r="DR425">
        <v>108</v>
      </c>
      <c r="DS425">
        <v>132</v>
      </c>
      <c r="DT425">
        <v>163</v>
      </c>
      <c r="DU425">
        <v>180</v>
      </c>
      <c r="DV425">
        <v>198.400024</v>
      </c>
      <c r="DW425">
        <v>241</v>
      </c>
      <c r="DX425">
        <v>281</v>
      </c>
      <c r="DY425">
        <v>493.28002900000001</v>
      </c>
      <c r="DZ425">
        <v>97.472924000000006</v>
      </c>
      <c r="EA425">
        <v>76.659959999999998</v>
      </c>
      <c r="EB425">
        <v>137.54512600000001</v>
      </c>
      <c r="EC425">
        <v>540</v>
      </c>
      <c r="ED425">
        <v>762</v>
      </c>
      <c r="EE425">
        <v>93.862815999999995</v>
      </c>
      <c r="EF425">
        <v>100</v>
      </c>
      <c r="EG425">
        <v>64.788731999999996</v>
      </c>
      <c r="EH425">
        <v>99.597586000000007</v>
      </c>
      <c r="EI425">
        <v>116.245487</v>
      </c>
      <c r="EJ425">
        <v>178.70036099999999</v>
      </c>
      <c r="EK425">
        <v>520</v>
      </c>
      <c r="EL425">
        <v>554</v>
      </c>
      <c r="EM425">
        <v>644</v>
      </c>
      <c r="EN425">
        <v>990</v>
      </c>
      <c r="EO425">
        <v>554</v>
      </c>
      <c r="EP425">
        <v>994</v>
      </c>
      <c r="EQ425">
        <v>64.48997</v>
      </c>
    </row>
    <row r="426" spans="1:147" x14ac:dyDescent="0.25">
      <c r="A426">
        <v>2025</v>
      </c>
      <c r="B426" t="str">
        <f t="shared" si="12"/>
        <v>NE</v>
      </c>
      <c r="C426" t="s">
        <v>2012</v>
      </c>
      <c r="D426" t="s">
        <v>2012</v>
      </c>
      <c r="E426">
        <v>25440</v>
      </c>
      <c r="F426" t="s">
        <v>2005</v>
      </c>
      <c r="G426" t="s">
        <v>2006</v>
      </c>
      <c r="H426" t="s">
        <v>2007</v>
      </c>
      <c r="I426">
        <v>45.7</v>
      </c>
      <c r="J426">
        <v>45.7</v>
      </c>
      <c r="K426" t="s">
        <v>301</v>
      </c>
      <c r="L426">
        <v>1</v>
      </c>
      <c r="M426">
        <v>2017</v>
      </c>
      <c r="O426" t="str">
        <f t="shared" si="13"/>
        <v>Alto fuste</v>
      </c>
      <c r="P426" s="2">
        <v>42871</v>
      </c>
      <c r="Q426" t="s">
        <v>174</v>
      </c>
      <c r="R426" t="s">
        <v>427</v>
      </c>
      <c r="S426" t="s">
        <v>154</v>
      </c>
      <c r="T426" t="s">
        <v>175</v>
      </c>
      <c r="U426" t="s">
        <v>156</v>
      </c>
      <c r="V426" s="2">
        <v>44808</v>
      </c>
      <c r="W426" t="s">
        <v>2008</v>
      </c>
      <c r="X426">
        <v>45.7</v>
      </c>
      <c r="Y426">
        <v>19.399999999999999</v>
      </c>
      <c r="Z426">
        <v>20</v>
      </c>
      <c r="AA426">
        <v>14.5</v>
      </c>
      <c r="AB426">
        <v>3</v>
      </c>
      <c r="AC426">
        <v>281.3</v>
      </c>
      <c r="AD426">
        <v>263.97327156428702</v>
      </c>
      <c r="AE426" s="2">
        <v>45768</v>
      </c>
      <c r="AF426">
        <v>95</v>
      </c>
      <c r="AG426">
        <v>7.9315537303217001</v>
      </c>
      <c r="AH426">
        <v>26.590161472059599</v>
      </c>
      <c r="AI426">
        <v>16.2939393939394</v>
      </c>
      <c r="AJ426">
        <v>26.845871968000498</v>
      </c>
      <c r="AK426">
        <v>33</v>
      </c>
      <c r="AL426">
        <v>1250.12656790759</v>
      </c>
      <c r="AM426">
        <v>328.50652155971102</v>
      </c>
      <c r="AN426">
        <v>0.26277860977672901</v>
      </c>
      <c r="AO426" t="s">
        <v>427</v>
      </c>
      <c r="AP426" t="s">
        <v>158</v>
      </c>
      <c r="AQ426" t="s">
        <v>294</v>
      </c>
      <c r="AR426">
        <v>9</v>
      </c>
      <c r="AS426">
        <v>1.12511391111683</v>
      </c>
      <c r="AT426" t="s">
        <v>2013</v>
      </c>
      <c r="AU426" t="s">
        <v>2012</v>
      </c>
      <c r="AV426">
        <v>1040</v>
      </c>
      <c r="AW426">
        <v>548</v>
      </c>
      <c r="AX426">
        <v>325</v>
      </c>
      <c r="AY426">
        <v>127</v>
      </c>
      <c r="AZ426">
        <v>35</v>
      </c>
      <c r="BA426">
        <v>5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32.201000000000001</v>
      </c>
      <c r="BI426">
        <v>20.161031999999999</v>
      </c>
      <c r="BJ426">
        <v>0</v>
      </c>
      <c r="BK426">
        <v>10.823053</v>
      </c>
      <c r="BL426">
        <v>117.13847699999999</v>
      </c>
      <c r="BM426">
        <v>0.53683000000000003</v>
      </c>
      <c r="BN426">
        <v>11.794499999999999</v>
      </c>
      <c r="BO426">
        <v>-1.032438</v>
      </c>
      <c r="BP426">
        <v>2.5011109999999999</v>
      </c>
      <c r="BQ426">
        <v>8.8671760000000006</v>
      </c>
      <c r="BR426">
        <v>4.434501</v>
      </c>
      <c r="BS426">
        <v>24.538</v>
      </c>
      <c r="BT426">
        <v>20.161031999999999</v>
      </c>
      <c r="BU426">
        <v>5.6226830000000003</v>
      </c>
      <c r="BV426">
        <v>-1.7874620000000001</v>
      </c>
      <c r="BW426">
        <v>0.16874900000000001</v>
      </c>
      <c r="BX426">
        <v>0.278889</v>
      </c>
      <c r="BY426">
        <v>-0.31790200000000002</v>
      </c>
      <c r="BZ426">
        <v>3.0012E-2</v>
      </c>
      <c r="CA426">
        <v>2E-3</v>
      </c>
      <c r="CB426">
        <v>0.01</v>
      </c>
      <c r="CC426">
        <v>2.5899999999999999E-2</v>
      </c>
      <c r="CD426">
        <v>6.9488009999999996</v>
      </c>
      <c r="CE426">
        <v>16.680499999999999</v>
      </c>
      <c r="CF426">
        <v>19.281400999999999</v>
      </c>
      <c r="CG426">
        <v>22.114000000000001</v>
      </c>
      <c r="CH426">
        <v>24.538</v>
      </c>
      <c r="CI426">
        <v>26.965799000000001</v>
      </c>
      <c r="CJ426">
        <v>28.157101000000001</v>
      </c>
      <c r="CK426">
        <v>28.475000000000001</v>
      </c>
      <c r="CL426">
        <v>28.8522</v>
      </c>
      <c r="CM426">
        <v>29.428099</v>
      </c>
      <c r="CN426">
        <v>29.874151000000001</v>
      </c>
      <c r="CO426">
        <v>30.921908999999999</v>
      </c>
      <c r="CP426">
        <v>0.62609999999999999</v>
      </c>
      <c r="CQ426">
        <v>22.87997</v>
      </c>
      <c r="CR426">
        <v>24.081441000000002</v>
      </c>
      <c r="CS426">
        <v>23</v>
      </c>
      <c r="CT426">
        <v>531</v>
      </c>
      <c r="CU426">
        <v>106.23557700000001</v>
      </c>
      <c r="CV426">
        <v>39.126984</v>
      </c>
      <c r="CW426">
        <v>74.815224999999998</v>
      </c>
      <c r="CX426">
        <v>5597.3178859999998</v>
      </c>
      <c r="CY426">
        <v>0.70423899999999995</v>
      </c>
      <c r="CZ426">
        <v>95</v>
      </c>
      <c r="DA426">
        <v>1.61598</v>
      </c>
      <c r="DB426">
        <v>6.5365970000000004</v>
      </c>
      <c r="DC426">
        <v>57.726137000000001</v>
      </c>
      <c r="DD426">
        <v>106.23557700000001</v>
      </c>
      <c r="DE426">
        <v>38.778205</v>
      </c>
      <c r="DF426">
        <v>11.525859000000001</v>
      </c>
      <c r="DG426">
        <v>4.8596089999999998</v>
      </c>
      <c r="DH426">
        <v>0.36502099999999998</v>
      </c>
      <c r="DI426">
        <v>0.29722500000000002</v>
      </c>
      <c r="DJ426">
        <v>0.12531800000000001</v>
      </c>
      <c r="DK426">
        <v>25.389999</v>
      </c>
      <c r="DL426">
        <v>32</v>
      </c>
      <c r="DM426">
        <v>36</v>
      </c>
      <c r="DN426">
        <v>45</v>
      </c>
      <c r="DO426">
        <v>49</v>
      </c>
      <c r="DP426">
        <v>54</v>
      </c>
      <c r="DQ426">
        <v>67</v>
      </c>
      <c r="DR426">
        <v>83</v>
      </c>
      <c r="DS426">
        <v>104</v>
      </c>
      <c r="DT426">
        <v>131</v>
      </c>
      <c r="DU426">
        <v>144</v>
      </c>
      <c r="DV426">
        <v>159</v>
      </c>
      <c r="DW426">
        <v>205.199951</v>
      </c>
      <c r="DX426">
        <v>253.099976</v>
      </c>
      <c r="DY426">
        <v>358.02966300000003</v>
      </c>
      <c r="DZ426">
        <v>98.722628</v>
      </c>
      <c r="EA426">
        <v>81.25</v>
      </c>
      <c r="EB426">
        <v>154.19708</v>
      </c>
      <c r="EC426">
        <v>541</v>
      </c>
      <c r="ED426">
        <v>845</v>
      </c>
      <c r="EE426">
        <v>93.430656999999997</v>
      </c>
      <c r="EF426">
        <v>100</v>
      </c>
      <c r="EG426">
        <v>67.596153999999999</v>
      </c>
      <c r="EH426">
        <v>99.903846000000001</v>
      </c>
      <c r="EI426">
        <v>128.284672</v>
      </c>
      <c r="EJ426">
        <v>189.59854000000001</v>
      </c>
      <c r="EK426">
        <v>512</v>
      </c>
      <c r="EL426">
        <v>548</v>
      </c>
      <c r="EM426">
        <v>703</v>
      </c>
      <c r="EN426">
        <v>1039</v>
      </c>
      <c r="EO426">
        <v>548</v>
      </c>
      <c r="EP426">
        <v>1040</v>
      </c>
      <c r="EQ426">
        <v>64.227489000000006</v>
      </c>
    </row>
    <row r="427" spans="1:147" x14ac:dyDescent="0.25">
      <c r="A427">
        <v>2025</v>
      </c>
      <c r="B427" t="str">
        <f t="shared" si="12"/>
        <v>NE</v>
      </c>
      <c r="C427" t="s">
        <v>2014</v>
      </c>
      <c r="D427" t="s">
        <v>2014</v>
      </c>
      <c r="E427">
        <v>30899</v>
      </c>
      <c r="F427" t="s">
        <v>2005</v>
      </c>
      <c r="G427" t="s">
        <v>2006</v>
      </c>
      <c r="H427" t="s">
        <v>2007</v>
      </c>
      <c r="I427">
        <v>45.7</v>
      </c>
      <c r="J427">
        <v>45.7</v>
      </c>
      <c r="K427" t="s">
        <v>301</v>
      </c>
      <c r="L427">
        <v>1</v>
      </c>
      <c r="M427">
        <v>2017</v>
      </c>
      <c r="O427" t="str">
        <f t="shared" si="13"/>
        <v>Alto fuste</v>
      </c>
      <c r="P427" s="2">
        <v>42871</v>
      </c>
      <c r="Q427" t="s">
        <v>174</v>
      </c>
      <c r="R427" t="s">
        <v>427</v>
      </c>
      <c r="S427" t="s">
        <v>154</v>
      </c>
      <c r="T427" t="s">
        <v>175</v>
      </c>
      <c r="U427" t="s">
        <v>156</v>
      </c>
      <c r="V427" s="2">
        <v>45768</v>
      </c>
      <c r="W427" t="s">
        <v>2008</v>
      </c>
      <c r="X427">
        <v>45.7</v>
      </c>
      <c r="Y427">
        <v>19.8</v>
      </c>
      <c r="Z427">
        <v>39</v>
      </c>
      <c r="AA427">
        <v>15.7</v>
      </c>
      <c r="AB427">
        <v>4</v>
      </c>
      <c r="AC427">
        <v>310.86</v>
      </c>
      <c r="AD427">
        <v>240.99510808650601</v>
      </c>
      <c r="AE427" s="2">
        <v>45768</v>
      </c>
      <c r="AF427">
        <v>95</v>
      </c>
      <c r="AG427">
        <v>7.9315537303217001</v>
      </c>
      <c r="AH427">
        <v>28.324403504702701</v>
      </c>
      <c r="AI427">
        <v>17.4821428571429</v>
      </c>
      <c r="AJ427">
        <v>28.996413335638799</v>
      </c>
      <c r="AK427">
        <v>28</v>
      </c>
      <c r="AL427">
        <v>1161.84930981874</v>
      </c>
      <c r="AM427">
        <v>376.823967339153</v>
      </c>
      <c r="AN427">
        <v>0.32433118835173202</v>
      </c>
      <c r="AO427" t="s">
        <v>427</v>
      </c>
      <c r="AP427" t="s">
        <v>158</v>
      </c>
      <c r="AQ427" t="s">
        <v>294</v>
      </c>
      <c r="AR427">
        <v>9</v>
      </c>
      <c r="AS427">
        <v>1.0456643788368669</v>
      </c>
      <c r="AT427" t="s">
        <v>2015</v>
      </c>
      <c r="AU427" t="s">
        <v>2014</v>
      </c>
      <c r="AV427">
        <v>922</v>
      </c>
      <c r="AW427">
        <v>502</v>
      </c>
      <c r="AX427">
        <v>295</v>
      </c>
      <c r="AY427">
        <v>99</v>
      </c>
      <c r="AZ427">
        <v>24</v>
      </c>
      <c r="BA427">
        <v>2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36.240001999999997</v>
      </c>
      <c r="BI427">
        <v>19.715558999999999</v>
      </c>
      <c r="BJ427">
        <v>0</v>
      </c>
      <c r="BK427">
        <v>12.564064999999999</v>
      </c>
      <c r="BL427">
        <v>157.855739</v>
      </c>
      <c r="BM427">
        <v>0.63726700000000003</v>
      </c>
      <c r="BN427">
        <v>25.263002</v>
      </c>
      <c r="BO427">
        <v>-0.61961500000000003</v>
      </c>
      <c r="BP427">
        <v>1.789588</v>
      </c>
      <c r="BQ427">
        <v>10.950042</v>
      </c>
      <c r="BR427">
        <v>7.0225</v>
      </c>
      <c r="BS427">
        <v>24.4575</v>
      </c>
      <c r="BT427">
        <v>19.715558999999999</v>
      </c>
      <c r="BU427">
        <v>6.8598420000000004</v>
      </c>
      <c r="BV427">
        <v>-1.344217</v>
      </c>
      <c r="BW427">
        <v>-0.416958</v>
      </c>
      <c r="BX427">
        <v>0.347941</v>
      </c>
      <c r="BY427">
        <v>-0.19595499999999999</v>
      </c>
      <c r="BZ427">
        <v>-6.0782000000000003E-2</v>
      </c>
      <c r="CA427">
        <v>3.0000000000000001E-3</v>
      </c>
      <c r="CB427">
        <v>2.1999999999999999E-2</v>
      </c>
      <c r="CC427">
        <v>0.04</v>
      </c>
      <c r="CD427">
        <v>0.14499999999999999</v>
      </c>
      <c r="CE427">
        <v>5.0949999999999998</v>
      </c>
      <c r="CF427">
        <v>15.806599</v>
      </c>
      <c r="CG427">
        <v>19.3232</v>
      </c>
      <c r="CH427">
        <v>24.4575</v>
      </c>
      <c r="CI427">
        <v>28.507401000000002</v>
      </c>
      <c r="CJ427">
        <v>29.762701</v>
      </c>
      <c r="CK427">
        <v>30.358001999999999</v>
      </c>
      <c r="CL427">
        <v>30.959</v>
      </c>
      <c r="CM427">
        <v>32.169502000000001</v>
      </c>
      <c r="CN427">
        <v>33.079002000000003</v>
      </c>
      <c r="CO427">
        <v>34.543765999999998</v>
      </c>
      <c r="CP427">
        <v>0.54402799999999996</v>
      </c>
      <c r="CQ427">
        <v>23.374939000000001</v>
      </c>
      <c r="CR427">
        <v>25.073090000000001</v>
      </c>
      <c r="CS427">
        <v>23</v>
      </c>
      <c r="CT427">
        <v>535</v>
      </c>
      <c r="CU427">
        <v>129.38828599999999</v>
      </c>
      <c r="CV427">
        <v>31.126984</v>
      </c>
      <c r="CW427">
        <v>93.679826000000006</v>
      </c>
      <c r="CX427">
        <v>8775.9098730000005</v>
      </c>
      <c r="CY427">
        <v>0.72402100000000003</v>
      </c>
      <c r="CZ427">
        <v>129</v>
      </c>
      <c r="DA427">
        <v>1.250472</v>
      </c>
      <c r="DB427">
        <v>4.4795749999999996</v>
      </c>
      <c r="DC427">
        <v>75.104845999999995</v>
      </c>
      <c r="DD427">
        <v>129.38828599999999</v>
      </c>
      <c r="DE427">
        <v>50.011527000000001</v>
      </c>
      <c r="DF427">
        <v>13.482127</v>
      </c>
      <c r="DG427">
        <v>4.6158469999999996</v>
      </c>
      <c r="DH427">
        <v>0.38652300000000001</v>
      </c>
      <c r="DI427">
        <v>0.26957999999999999</v>
      </c>
      <c r="DJ427">
        <v>9.2296000000000003E-2</v>
      </c>
      <c r="DK427">
        <v>25</v>
      </c>
      <c r="DL427">
        <v>32</v>
      </c>
      <c r="DM427">
        <v>37.099997999999999</v>
      </c>
      <c r="DN427">
        <v>49</v>
      </c>
      <c r="DO427">
        <v>55</v>
      </c>
      <c r="DP427">
        <v>62</v>
      </c>
      <c r="DQ427">
        <v>78</v>
      </c>
      <c r="DR427">
        <v>98</v>
      </c>
      <c r="DS427">
        <v>130</v>
      </c>
      <c r="DT427">
        <v>165.70001199999999</v>
      </c>
      <c r="DU427">
        <v>184</v>
      </c>
      <c r="DV427">
        <v>205</v>
      </c>
      <c r="DW427">
        <v>256</v>
      </c>
      <c r="DX427">
        <v>303</v>
      </c>
      <c r="DY427">
        <v>431.15991200000002</v>
      </c>
      <c r="DZ427">
        <v>96.414343000000002</v>
      </c>
      <c r="EA427">
        <v>75.704988999999998</v>
      </c>
      <c r="EB427">
        <v>139.043825</v>
      </c>
      <c r="EC427">
        <v>484</v>
      </c>
      <c r="ED427">
        <v>698</v>
      </c>
      <c r="EE427">
        <v>84.462151000000006</v>
      </c>
      <c r="EF427">
        <v>99.800797000000003</v>
      </c>
      <c r="EG427">
        <v>59.110629000000003</v>
      </c>
      <c r="EH427">
        <v>99.891540000000006</v>
      </c>
      <c r="EI427">
        <v>108.565737</v>
      </c>
      <c r="EJ427">
        <v>183.46613500000001</v>
      </c>
      <c r="EK427">
        <v>424</v>
      </c>
      <c r="EL427">
        <v>501</v>
      </c>
      <c r="EM427">
        <v>545</v>
      </c>
      <c r="EN427">
        <v>921</v>
      </c>
      <c r="EO427">
        <v>502</v>
      </c>
      <c r="EP427">
        <v>922</v>
      </c>
      <c r="EQ427">
        <v>56.052303999999999</v>
      </c>
    </row>
    <row r="428" spans="1:147" x14ac:dyDescent="0.25">
      <c r="A428">
        <v>2025</v>
      </c>
      <c r="B428" t="str">
        <f t="shared" si="12"/>
        <v>NE</v>
      </c>
      <c r="C428" t="s">
        <v>2016</v>
      </c>
      <c r="D428" t="s">
        <v>2016</v>
      </c>
      <c r="E428">
        <v>27260</v>
      </c>
      <c r="F428" t="s">
        <v>2017</v>
      </c>
      <c r="G428" t="s">
        <v>2018</v>
      </c>
      <c r="H428" t="s">
        <v>2019</v>
      </c>
      <c r="I428">
        <v>47.81</v>
      </c>
      <c r="J428">
        <v>47.81</v>
      </c>
      <c r="K428" t="s">
        <v>190</v>
      </c>
      <c r="L428">
        <v>1</v>
      </c>
      <c r="M428">
        <v>2019</v>
      </c>
      <c r="O428" t="str">
        <f t="shared" si="13"/>
        <v>Alto fuste</v>
      </c>
      <c r="P428" s="2">
        <v>43524</v>
      </c>
      <c r="Q428" t="s">
        <v>174</v>
      </c>
      <c r="R428" t="s">
        <v>470</v>
      </c>
      <c r="S428" t="s">
        <v>154</v>
      </c>
      <c r="T428" t="s">
        <v>175</v>
      </c>
      <c r="U428" t="s">
        <v>156</v>
      </c>
      <c r="V428" s="2">
        <v>44809</v>
      </c>
      <c r="W428" t="s">
        <v>2020</v>
      </c>
      <c r="X428">
        <v>130.77000000000001</v>
      </c>
      <c r="Y428">
        <v>19.600000000000001</v>
      </c>
      <c r="Z428">
        <v>16</v>
      </c>
      <c r="AA428">
        <v>15.5</v>
      </c>
      <c r="AB428">
        <v>2</v>
      </c>
      <c r="AC428">
        <v>303.8</v>
      </c>
      <c r="AD428">
        <v>291.85340564655797</v>
      </c>
      <c r="AE428" s="2">
        <v>45740</v>
      </c>
      <c r="AF428">
        <v>73</v>
      </c>
      <c r="AG428">
        <v>6.0670773442847397</v>
      </c>
      <c r="AH428">
        <v>32.264467237476602</v>
      </c>
      <c r="AI428">
        <v>18.9703703703704</v>
      </c>
      <c r="AJ428">
        <v>26.323946442942901</v>
      </c>
      <c r="AK428">
        <v>27</v>
      </c>
      <c r="AL428">
        <v>925.12197828171702</v>
      </c>
      <c r="AM428">
        <v>372.87963555884801</v>
      </c>
      <c r="AN428">
        <v>0.40305996864480398</v>
      </c>
      <c r="AO428" t="s">
        <v>470</v>
      </c>
      <c r="AP428" t="s">
        <v>158</v>
      </c>
      <c r="AQ428" t="s">
        <v>294</v>
      </c>
      <c r="AR428">
        <v>9</v>
      </c>
      <c r="AS428">
        <v>0.83260978045354483</v>
      </c>
      <c r="AT428" t="s">
        <v>2021</v>
      </c>
      <c r="AU428" t="s">
        <v>2016</v>
      </c>
      <c r="AV428">
        <v>1063</v>
      </c>
      <c r="AW428">
        <v>651</v>
      </c>
      <c r="AX428">
        <v>319</v>
      </c>
      <c r="AY428">
        <v>81</v>
      </c>
      <c r="AZ428">
        <v>11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35.868000000000002</v>
      </c>
      <c r="BI428">
        <v>21.647265999999998</v>
      </c>
      <c r="BJ428">
        <v>0</v>
      </c>
      <c r="BK428">
        <v>14.503151000000001</v>
      </c>
      <c r="BL428">
        <v>210.341385</v>
      </c>
      <c r="BM428">
        <v>0.66997600000000002</v>
      </c>
      <c r="BN428">
        <v>33.015002000000003</v>
      </c>
      <c r="BO428">
        <v>-0.67505499999999996</v>
      </c>
      <c r="BP428">
        <v>1.6174470000000001</v>
      </c>
      <c r="BQ428">
        <v>13.226915</v>
      </c>
      <c r="BR428">
        <v>3.115999</v>
      </c>
      <c r="BS428">
        <v>30.995999999999999</v>
      </c>
      <c r="BT428">
        <v>21.647265999999998</v>
      </c>
      <c r="BU428">
        <v>7.5161020000000001</v>
      </c>
      <c r="BV428">
        <v>-1.966556</v>
      </c>
      <c r="BW428">
        <v>-0.74698600000000004</v>
      </c>
      <c r="BX428">
        <v>0.34720800000000002</v>
      </c>
      <c r="BY428">
        <v>-0.26164599999999999</v>
      </c>
      <c r="BZ428">
        <v>-9.9385000000000001E-2</v>
      </c>
      <c r="CA428">
        <v>1.6199999999999999E-3</v>
      </c>
      <c r="CB428">
        <v>7.0000000000000001E-3</v>
      </c>
      <c r="CC428">
        <v>1.6E-2</v>
      </c>
      <c r="CD428">
        <v>3.5999999999999997E-2</v>
      </c>
      <c r="CE428">
        <v>6.5000000000000002E-2</v>
      </c>
      <c r="CF428">
        <v>11.334405</v>
      </c>
      <c r="CG428">
        <v>24.108000000000001</v>
      </c>
      <c r="CH428">
        <v>30.995999999999999</v>
      </c>
      <c r="CI428">
        <v>32.090198999999998</v>
      </c>
      <c r="CJ428">
        <v>32.742801999999998</v>
      </c>
      <c r="CK428">
        <v>33.080002</v>
      </c>
      <c r="CL428">
        <v>33.411799999999999</v>
      </c>
      <c r="CM428">
        <v>34.045600999999998</v>
      </c>
      <c r="CN428">
        <v>34.604599</v>
      </c>
      <c r="CO428">
        <v>35.213279999999997</v>
      </c>
      <c r="CP428">
        <v>0.60352600000000001</v>
      </c>
      <c r="CQ428">
        <v>26.052786000000001</v>
      </c>
      <c r="CR428">
        <v>27.906866999999998</v>
      </c>
      <c r="CS428">
        <v>23</v>
      </c>
      <c r="CT428">
        <v>665</v>
      </c>
      <c r="CU428">
        <v>169.399812</v>
      </c>
      <c r="CV428">
        <v>33.190475999999997</v>
      </c>
      <c r="CW428">
        <v>133.01339100000001</v>
      </c>
      <c r="CX428">
        <v>17692.56222</v>
      </c>
      <c r="CY428">
        <v>0.78520400000000001</v>
      </c>
      <c r="CZ428">
        <v>163</v>
      </c>
      <c r="DA428">
        <v>1.408474</v>
      </c>
      <c r="DB428">
        <v>4.8229829999999998</v>
      </c>
      <c r="DC428">
        <v>101.216334</v>
      </c>
      <c r="DD428">
        <v>169.399812</v>
      </c>
      <c r="DE428">
        <v>69.699845999999994</v>
      </c>
      <c r="DF428">
        <v>19.454751999999999</v>
      </c>
      <c r="DG428">
        <v>9.6225539999999992</v>
      </c>
      <c r="DH428">
        <v>0.41145199999999998</v>
      </c>
      <c r="DI428">
        <v>0.27912199999999998</v>
      </c>
      <c r="DJ428">
        <v>0.13805700000000001</v>
      </c>
      <c r="DK428">
        <v>26.619999</v>
      </c>
      <c r="DL428">
        <v>31</v>
      </c>
      <c r="DM428">
        <v>37</v>
      </c>
      <c r="DN428">
        <v>55.399994</v>
      </c>
      <c r="DO428">
        <v>66</v>
      </c>
      <c r="DP428">
        <v>77</v>
      </c>
      <c r="DQ428">
        <v>104</v>
      </c>
      <c r="DR428">
        <v>138</v>
      </c>
      <c r="DS428">
        <v>172</v>
      </c>
      <c r="DT428">
        <v>207</v>
      </c>
      <c r="DU428">
        <v>229</v>
      </c>
      <c r="DV428">
        <v>251</v>
      </c>
      <c r="DW428">
        <v>337</v>
      </c>
      <c r="DX428">
        <v>485.50012199999998</v>
      </c>
      <c r="DY428">
        <v>589.38000499999998</v>
      </c>
      <c r="DZ428">
        <v>90.168970999999999</v>
      </c>
      <c r="EA428">
        <v>72.060207000000005</v>
      </c>
      <c r="EB428">
        <v>117.665131</v>
      </c>
      <c r="EC428">
        <v>587</v>
      </c>
      <c r="ED428">
        <v>766</v>
      </c>
      <c r="EE428">
        <v>82.334868999999998</v>
      </c>
      <c r="EF428">
        <v>99.539170999999996</v>
      </c>
      <c r="EG428">
        <v>63.217309999999998</v>
      </c>
      <c r="EH428">
        <v>99.529633000000004</v>
      </c>
      <c r="EI428">
        <v>103.22580600000001</v>
      </c>
      <c r="EJ428">
        <v>162.51920100000001</v>
      </c>
      <c r="EK428">
        <v>536</v>
      </c>
      <c r="EL428">
        <v>648</v>
      </c>
      <c r="EM428">
        <v>672</v>
      </c>
      <c r="EN428">
        <v>1058</v>
      </c>
      <c r="EO428">
        <v>651</v>
      </c>
      <c r="EP428">
        <v>1063</v>
      </c>
      <c r="EQ428">
        <v>60.484352000000001</v>
      </c>
    </row>
    <row r="429" spans="1:147" x14ac:dyDescent="0.25">
      <c r="A429">
        <v>2025</v>
      </c>
      <c r="B429" t="str">
        <f t="shared" si="12"/>
        <v>NE</v>
      </c>
      <c r="C429" t="s">
        <v>2022</v>
      </c>
      <c r="D429" t="s">
        <v>2022</v>
      </c>
      <c r="E429">
        <v>30914</v>
      </c>
      <c r="F429" t="s">
        <v>2017</v>
      </c>
      <c r="G429" t="s">
        <v>2018</v>
      </c>
      <c r="H429" t="s">
        <v>2019</v>
      </c>
      <c r="I429">
        <v>47.81</v>
      </c>
      <c r="J429">
        <v>47.81</v>
      </c>
      <c r="K429" t="s">
        <v>190</v>
      </c>
      <c r="L429">
        <v>1</v>
      </c>
      <c r="M429">
        <v>2019</v>
      </c>
      <c r="O429" t="str">
        <f t="shared" si="13"/>
        <v>Alto fuste</v>
      </c>
      <c r="P429" s="2">
        <v>43524</v>
      </c>
      <c r="Q429" t="s">
        <v>174</v>
      </c>
      <c r="R429" t="s">
        <v>470</v>
      </c>
      <c r="S429" t="s">
        <v>154</v>
      </c>
      <c r="T429" t="s">
        <v>175</v>
      </c>
      <c r="U429" t="s">
        <v>156</v>
      </c>
      <c r="V429" s="2">
        <v>45740</v>
      </c>
      <c r="W429" t="s">
        <v>2020</v>
      </c>
      <c r="X429">
        <v>130.77000000000001</v>
      </c>
      <c r="Y429">
        <v>21.5</v>
      </c>
      <c r="Z429">
        <v>5</v>
      </c>
      <c r="AA429">
        <v>15.5</v>
      </c>
      <c r="AB429">
        <v>7</v>
      </c>
      <c r="AC429">
        <v>333.25</v>
      </c>
      <c r="AD429">
        <v>329.50734052432699</v>
      </c>
      <c r="AE429" s="2">
        <v>45740</v>
      </c>
      <c r="AF429">
        <v>73</v>
      </c>
      <c r="AG429">
        <v>6.0670773442847397</v>
      </c>
      <c r="AH429">
        <v>28.88409340822</v>
      </c>
      <c r="AI429">
        <v>18.583870967741898</v>
      </c>
      <c r="AJ429">
        <v>25.888792527078799</v>
      </c>
      <c r="AK429">
        <v>31</v>
      </c>
      <c r="AL429">
        <v>940.79846447946704</v>
      </c>
      <c r="AM429">
        <v>328.16465376553703</v>
      </c>
      <c r="AN429">
        <v>0.34881503973022199</v>
      </c>
      <c r="AO429" t="s">
        <v>470</v>
      </c>
      <c r="AP429" t="s">
        <v>158</v>
      </c>
      <c r="AQ429" t="s">
        <v>294</v>
      </c>
      <c r="AR429">
        <v>9</v>
      </c>
      <c r="AS429">
        <v>0.84671861803152126</v>
      </c>
      <c r="AT429" t="s">
        <v>2023</v>
      </c>
      <c r="AU429" t="s">
        <v>2022</v>
      </c>
      <c r="AV429">
        <v>1260</v>
      </c>
      <c r="AW429">
        <v>683</v>
      </c>
      <c r="AX429">
        <v>428</v>
      </c>
      <c r="AY429">
        <v>122</v>
      </c>
      <c r="AZ429">
        <v>23</v>
      </c>
      <c r="BA429">
        <v>4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34.805999999999997</v>
      </c>
      <c r="BI429">
        <v>19.505973000000001</v>
      </c>
      <c r="BJ429">
        <v>0</v>
      </c>
      <c r="BK429">
        <v>13.176148</v>
      </c>
      <c r="BL429">
        <v>173.61087000000001</v>
      </c>
      <c r="BM429">
        <v>0.67549300000000001</v>
      </c>
      <c r="BN429">
        <v>30.749998999999999</v>
      </c>
      <c r="BO429">
        <v>-0.57279199999999997</v>
      </c>
      <c r="BP429">
        <v>1.621799</v>
      </c>
      <c r="BQ429">
        <v>11.750112</v>
      </c>
      <c r="BR429">
        <v>7.4620009999999999</v>
      </c>
      <c r="BS429">
        <v>24.230999000000001</v>
      </c>
      <c r="BT429">
        <v>19.505973000000001</v>
      </c>
      <c r="BU429">
        <v>7.1284210000000003</v>
      </c>
      <c r="BV429">
        <v>-1.36043</v>
      </c>
      <c r="BW429">
        <v>-0.68803400000000003</v>
      </c>
      <c r="BX429">
        <v>0.365448</v>
      </c>
      <c r="BY429">
        <v>-0.19084599999999999</v>
      </c>
      <c r="BZ429">
        <v>-9.6519999999999995E-2</v>
      </c>
      <c r="CA429">
        <v>1E-3</v>
      </c>
      <c r="CB429">
        <v>6.0000000000000001E-3</v>
      </c>
      <c r="CC429">
        <v>1.2E-2</v>
      </c>
      <c r="CD429">
        <v>3.4000000000000002E-2</v>
      </c>
      <c r="CE429">
        <v>0.17499999999999999</v>
      </c>
      <c r="CF429">
        <v>10.149699999999999</v>
      </c>
      <c r="CG429">
        <v>20.990601000000002</v>
      </c>
      <c r="CH429">
        <v>24.230999000000001</v>
      </c>
      <c r="CI429">
        <v>29.2714</v>
      </c>
      <c r="CJ429">
        <v>30.348700000000001</v>
      </c>
      <c r="CK429">
        <v>30.924999</v>
      </c>
      <c r="CL429">
        <v>31.386399999999998</v>
      </c>
      <c r="CM429">
        <v>32.366501</v>
      </c>
      <c r="CN429">
        <v>32.856147999999997</v>
      </c>
      <c r="CO429">
        <v>34.133460999999997</v>
      </c>
      <c r="CP429">
        <v>0.56042000000000003</v>
      </c>
      <c r="CQ429">
        <v>23.536270999999999</v>
      </c>
      <c r="CR429">
        <v>25.336113999999998</v>
      </c>
      <c r="CS429">
        <v>22</v>
      </c>
      <c r="CT429">
        <v>649</v>
      </c>
      <c r="CU429">
        <v>153.31269800000001</v>
      </c>
      <c r="CV429">
        <v>31.952380999999999</v>
      </c>
      <c r="CW429">
        <v>122.21711000000001</v>
      </c>
      <c r="CX429">
        <v>14937.022080000001</v>
      </c>
      <c r="CY429">
        <v>0.79717499999999997</v>
      </c>
      <c r="CZ429">
        <v>148</v>
      </c>
      <c r="DA429">
        <v>1.481357</v>
      </c>
      <c r="DB429">
        <v>5.0265570000000004</v>
      </c>
      <c r="DC429">
        <v>93.717799999999997</v>
      </c>
      <c r="DD429">
        <v>153.31269800000001</v>
      </c>
      <c r="DE429">
        <v>63.424007000000003</v>
      </c>
      <c r="DF429">
        <v>19.511431000000002</v>
      </c>
      <c r="DG429">
        <v>8.6172740000000001</v>
      </c>
      <c r="DH429">
        <v>0.41369099999999998</v>
      </c>
      <c r="DI429">
        <v>0.30763499999999999</v>
      </c>
      <c r="DJ429">
        <v>0.13586799999999999</v>
      </c>
      <c r="DK429">
        <v>25</v>
      </c>
      <c r="DL429">
        <v>33</v>
      </c>
      <c r="DM429">
        <v>39</v>
      </c>
      <c r="DN429">
        <v>52</v>
      </c>
      <c r="DO429">
        <v>60</v>
      </c>
      <c r="DP429">
        <v>69</v>
      </c>
      <c r="DQ429">
        <v>87</v>
      </c>
      <c r="DR429">
        <v>117</v>
      </c>
      <c r="DS429">
        <v>151</v>
      </c>
      <c r="DT429">
        <v>188</v>
      </c>
      <c r="DU429">
        <v>208</v>
      </c>
      <c r="DV429">
        <v>231</v>
      </c>
      <c r="DW429">
        <v>307</v>
      </c>
      <c r="DX429">
        <v>440.050049</v>
      </c>
      <c r="DY429">
        <v>551.410034</v>
      </c>
      <c r="DZ429">
        <v>88.286968999999999</v>
      </c>
      <c r="EA429">
        <v>72.539682999999997</v>
      </c>
      <c r="EB429">
        <v>133.82137599999999</v>
      </c>
      <c r="EC429">
        <v>603</v>
      </c>
      <c r="ED429">
        <v>914</v>
      </c>
      <c r="EE429">
        <v>83.162518000000006</v>
      </c>
      <c r="EF429">
        <v>100</v>
      </c>
      <c r="EG429">
        <v>63.968254000000002</v>
      </c>
      <c r="EH429">
        <v>99.444444000000004</v>
      </c>
      <c r="EI429">
        <v>118.008785</v>
      </c>
      <c r="EJ429">
        <v>183.455344</v>
      </c>
      <c r="EK429">
        <v>568</v>
      </c>
      <c r="EL429">
        <v>683</v>
      </c>
      <c r="EM429">
        <v>806</v>
      </c>
      <c r="EN429">
        <v>1253</v>
      </c>
      <c r="EO429">
        <v>683</v>
      </c>
      <c r="EP429">
        <v>1260</v>
      </c>
      <c r="EQ429">
        <v>56.142004</v>
      </c>
    </row>
    <row r="430" spans="1:147" x14ac:dyDescent="0.25">
      <c r="A430">
        <v>2025</v>
      </c>
      <c r="B430" t="str">
        <f t="shared" si="12"/>
        <v>NE</v>
      </c>
      <c r="C430" t="s">
        <v>2024</v>
      </c>
      <c r="D430" t="s">
        <v>2024</v>
      </c>
      <c r="E430">
        <v>28605</v>
      </c>
      <c r="F430" t="s">
        <v>2025</v>
      </c>
      <c r="G430" t="s">
        <v>2026</v>
      </c>
      <c r="H430" t="s">
        <v>2027</v>
      </c>
      <c r="I430">
        <v>43.89</v>
      </c>
      <c r="J430">
        <v>43.89</v>
      </c>
      <c r="K430" t="s">
        <v>190</v>
      </c>
      <c r="L430">
        <v>1</v>
      </c>
      <c r="M430">
        <v>2021</v>
      </c>
      <c r="O430" t="str">
        <f t="shared" si="13"/>
        <v>Alto fuste</v>
      </c>
      <c r="P430" s="2">
        <v>44364</v>
      </c>
      <c r="Q430" t="s">
        <v>174</v>
      </c>
      <c r="R430" t="s">
        <v>2028</v>
      </c>
      <c r="S430" t="s">
        <v>154</v>
      </c>
      <c r="T430" t="s">
        <v>175</v>
      </c>
      <c r="U430" t="s">
        <v>156</v>
      </c>
      <c r="V430" s="2">
        <v>44810</v>
      </c>
      <c r="W430" t="s">
        <v>2029</v>
      </c>
      <c r="X430">
        <v>185.62</v>
      </c>
      <c r="Y430">
        <v>20.6</v>
      </c>
      <c r="Z430">
        <v>16</v>
      </c>
      <c r="AA430">
        <v>15.7</v>
      </c>
      <c r="AB430">
        <v>0</v>
      </c>
      <c r="AC430">
        <v>323.42</v>
      </c>
      <c r="AD430">
        <v>310.891257700371</v>
      </c>
      <c r="AE430" s="2">
        <v>45741</v>
      </c>
      <c r="AF430">
        <v>45</v>
      </c>
      <c r="AG430">
        <v>3.7700205338809001</v>
      </c>
      <c r="AH430">
        <v>24.320396378553099</v>
      </c>
      <c r="AI430">
        <v>14.613513513513499</v>
      </c>
      <c r="AJ430">
        <v>20.387554323591701</v>
      </c>
      <c r="AK430">
        <v>37</v>
      </c>
      <c r="AL430">
        <v>1190.1267431475901</v>
      </c>
      <c r="AM430">
        <v>219.89584288957599</v>
      </c>
      <c r="AN430">
        <v>0.184766743673036</v>
      </c>
      <c r="AO430" t="s">
        <v>2028</v>
      </c>
      <c r="AP430" t="s">
        <v>158</v>
      </c>
      <c r="AQ430" t="s">
        <v>294</v>
      </c>
      <c r="AR430">
        <v>9</v>
      </c>
      <c r="AS430">
        <v>1.0711140688328289</v>
      </c>
      <c r="AT430" t="s">
        <v>2030</v>
      </c>
      <c r="AU430" t="s">
        <v>2024</v>
      </c>
      <c r="AV430">
        <v>1164</v>
      </c>
      <c r="AW430">
        <v>695</v>
      </c>
      <c r="AX430">
        <v>391</v>
      </c>
      <c r="AY430">
        <v>70</v>
      </c>
      <c r="AZ430">
        <v>7</v>
      </c>
      <c r="BA430">
        <v>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26.761998999999999</v>
      </c>
      <c r="BI430">
        <v>14.869046000000001</v>
      </c>
      <c r="BJ430">
        <v>0</v>
      </c>
      <c r="BK430">
        <v>10.891614000000001</v>
      </c>
      <c r="BL430">
        <v>118.627253</v>
      </c>
      <c r="BM430">
        <v>0.73250300000000002</v>
      </c>
      <c r="BN430">
        <v>23.609749999999998</v>
      </c>
      <c r="BO430">
        <v>-0.53277600000000003</v>
      </c>
      <c r="BP430">
        <v>1.389608</v>
      </c>
      <c r="BQ430">
        <v>10.285786999999999</v>
      </c>
      <c r="BR430">
        <v>3.1000009999999998</v>
      </c>
      <c r="BS430">
        <v>21.668499000000001</v>
      </c>
      <c r="BT430">
        <v>14.869046000000001</v>
      </c>
      <c r="BU430">
        <v>5.6794710000000004</v>
      </c>
      <c r="BV430">
        <v>-1.0937870000000001</v>
      </c>
      <c r="BW430">
        <v>-0.73389700000000002</v>
      </c>
      <c r="BX430">
        <v>0.38196600000000003</v>
      </c>
      <c r="BY430">
        <v>-0.19258600000000001</v>
      </c>
      <c r="BZ430">
        <v>-0.129219</v>
      </c>
      <c r="CA430">
        <v>1.6299999999999999E-3</v>
      </c>
      <c r="CB430">
        <v>8.0000000000000002E-3</v>
      </c>
      <c r="CC430">
        <v>1.4999999999999999E-2</v>
      </c>
      <c r="CD430">
        <v>3.5000000000000003E-2</v>
      </c>
      <c r="CE430">
        <v>5.6750000000000002E-2</v>
      </c>
      <c r="CF430">
        <v>0.18440000000000001</v>
      </c>
      <c r="CG430">
        <v>20.16</v>
      </c>
      <c r="CH430">
        <v>21.668499000000001</v>
      </c>
      <c r="CI430">
        <v>22.477001000000001</v>
      </c>
      <c r="CJ430">
        <v>23.285</v>
      </c>
      <c r="CK430">
        <v>23.666499999999999</v>
      </c>
      <c r="CL430">
        <v>24.046999</v>
      </c>
      <c r="CM430">
        <v>24.9252</v>
      </c>
      <c r="CN430">
        <v>25.47785</v>
      </c>
      <c r="CO430">
        <v>26.189330999999999</v>
      </c>
      <c r="CP430">
        <v>0.55560299999999996</v>
      </c>
      <c r="CQ430">
        <v>18.428616000000002</v>
      </c>
      <c r="CR430">
        <v>19.905107000000001</v>
      </c>
      <c r="CS430">
        <v>24</v>
      </c>
      <c r="CT430">
        <v>517</v>
      </c>
      <c r="CU430">
        <v>115.005155</v>
      </c>
      <c r="CV430">
        <v>31.825396999999999</v>
      </c>
      <c r="CW430">
        <v>78.188563000000002</v>
      </c>
      <c r="CX430">
        <v>6113.4513919999999</v>
      </c>
      <c r="CY430">
        <v>0.67986999999999997</v>
      </c>
      <c r="CZ430">
        <v>91.25</v>
      </c>
      <c r="DA430">
        <v>1.6349800000000001</v>
      </c>
      <c r="DB430">
        <v>6.4540300000000004</v>
      </c>
      <c r="DC430">
        <v>58.043973999999999</v>
      </c>
      <c r="DD430">
        <v>115.005155</v>
      </c>
      <c r="DE430">
        <v>40.434699000000002</v>
      </c>
      <c r="DF430">
        <v>11.077969</v>
      </c>
      <c r="DG430">
        <v>6.4031570000000002</v>
      </c>
      <c r="DH430">
        <v>0.35159000000000001</v>
      </c>
      <c r="DI430">
        <v>0.27397199999999999</v>
      </c>
      <c r="DJ430">
        <v>0.158358</v>
      </c>
      <c r="DK430">
        <v>26.630001</v>
      </c>
      <c r="DL430">
        <v>32.150002000000001</v>
      </c>
      <c r="DM430">
        <v>38</v>
      </c>
      <c r="DN430">
        <v>50</v>
      </c>
      <c r="DO430">
        <v>56</v>
      </c>
      <c r="DP430">
        <v>64</v>
      </c>
      <c r="DQ430">
        <v>80</v>
      </c>
      <c r="DR430">
        <v>98.5</v>
      </c>
      <c r="DS430">
        <v>116</v>
      </c>
      <c r="DT430">
        <v>136</v>
      </c>
      <c r="DU430">
        <v>147.25</v>
      </c>
      <c r="DV430">
        <v>161</v>
      </c>
      <c r="DW430">
        <v>213</v>
      </c>
      <c r="DX430">
        <v>270.54992700000003</v>
      </c>
      <c r="DY430">
        <v>401.73998999999998</v>
      </c>
      <c r="DZ430">
        <v>90.791366999999994</v>
      </c>
      <c r="EA430">
        <v>66.323024000000004</v>
      </c>
      <c r="EB430">
        <v>111.079137</v>
      </c>
      <c r="EC430">
        <v>631</v>
      </c>
      <c r="ED430">
        <v>772</v>
      </c>
      <c r="EE430">
        <v>87.194244999999995</v>
      </c>
      <c r="EF430">
        <v>100</v>
      </c>
      <c r="EG430">
        <v>62.542954999999999</v>
      </c>
      <c r="EH430">
        <v>99.828179000000006</v>
      </c>
      <c r="EI430">
        <v>104.74820099999999</v>
      </c>
      <c r="EJ430">
        <v>167.194245</v>
      </c>
      <c r="EK430">
        <v>606</v>
      </c>
      <c r="EL430">
        <v>695</v>
      </c>
      <c r="EM430">
        <v>728</v>
      </c>
      <c r="EN430">
        <v>1162</v>
      </c>
      <c r="EO430">
        <v>695</v>
      </c>
      <c r="EP430">
        <v>1164</v>
      </c>
      <c r="EQ430">
        <v>55.791085000000002</v>
      </c>
    </row>
    <row r="431" spans="1:147" x14ac:dyDescent="0.25">
      <c r="A431">
        <v>2025</v>
      </c>
      <c r="B431" t="str">
        <f t="shared" si="12"/>
        <v>NE</v>
      </c>
      <c r="C431" t="s">
        <v>2031</v>
      </c>
      <c r="D431" t="s">
        <v>2031</v>
      </c>
      <c r="E431">
        <v>28609</v>
      </c>
      <c r="F431" t="s">
        <v>2025</v>
      </c>
      <c r="G431" t="s">
        <v>2026</v>
      </c>
      <c r="H431" t="s">
        <v>2032</v>
      </c>
      <c r="I431">
        <v>51.83</v>
      </c>
      <c r="J431">
        <v>51.83</v>
      </c>
      <c r="K431" t="s">
        <v>190</v>
      </c>
      <c r="L431">
        <v>1</v>
      </c>
      <c r="M431">
        <v>2021</v>
      </c>
      <c r="O431" t="str">
        <f t="shared" si="13"/>
        <v>Alto fuste</v>
      </c>
      <c r="P431" s="2">
        <v>44376</v>
      </c>
      <c r="Q431" t="s">
        <v>174</v>
      </c>
      <c r="R431" t="s">
        <v>314</v>
      </c>
      <c r="S431" t="s">
        <v>154</v>
      </c>
      <c r="T431" t="s">
        <v>175</v>
      </c>
      <c r="U431" t="s">
        <v>156</v>
      </c>
      <c r="V431" s="2">
        <v>45741</v>
      </c>
      <c r="W431" t="s">
        <v>2029</v>
      </c>
      <c r="X431">
        <v>185.62</v>
      </c>
      <c r="Y431">
        <v>19.3</v>
      </c>
      <c r="Z431">
        <v>7</v>
      </c>
      <c r="AA431">
        <v>15.1</v>
      </c>
      <c r="AB431">
        <v>4</v>
      </c>
      <c r="AC431">
        <v>291.43</v>
      </c>
      <c r="AD431">
        <v>288.55310769283898</v>
      </c>
      <c r="AE431" s="2">
        <v>45741</v>
      </c>
      <c r="AF431">
        <v>45</v>
      </c>
      <c r="AG431">
        <v>3.7371663244353202</v>
      </c>
      <c r="AH431">
        <v>22.659639301596801</v>
      </c>
      <c r="AI431">
        <v>14.548275862069</v>
      </c>
      <c r="AJ431">
        <v>17.404785672597601</v>
      </c>
      <c r="AK431">
        <v>29</v>
      </c>
      <c r="AL431">
        <v>1005.01430159158</v>
      </c>
      <c r="AM431">
        <v>177.527642741763</v>
      </c>
      <c r="AN431">
        <v>0.17664190694661999</v>
      </c>
      <c r="AO431" t="s">
        <v>314</v>
      </c>
      <c r="AP431" t="s">
        <v>158</v>
      </c>
      <c r="AQ431" t="s">
        <v>294</v>
      </c>
      <c r="AR431">
        <v>9</v>
      </c>
      <c r="AS431">
        <v>0.90451287143242654</v>
      </c>
      <c r="AT431" t="s">
        <v>2033</v>
      </c>
      <c r="AU431" t="s">
        <v>2031</v>
      </c>
      <c r="AV431">
        <v>1097</v>
      </c>
      <c r="AW431">
        <v>697</v>
      </c>
      <c r="AX431">
        <v>320</v>
      </c>
      <c r="AY431">
        <v>73</v>
      </c>
      <c r="AZ431">
        <v>7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26.629000000000001</v>
      </c>
      <c r="BI431">
        <v>16.709551999999999</v>
      </c>
      <c r="BJ431">
        <v>0</v>
      </c>
      <c r="BK431">
        <v>9.5599190000000007</v>
      </c>
      <c r="BL431">
        <v>91.392055999999997</v>
      </c>
      <c r="BM431">
        <v>0.57212300000000005</v>
      </c>
      <c r="BN431">
        <v>12.492000000000001</v>
      </c>
      <c r="BO431">
        <v>-1.024799</v>
      </c>
      <c r="BP431">
        <v>2.2506110000000001</v>
      </c>
      <c r="BQ431">
        <v>8.2582260000000005</v>
      </c>
      <c r="BR431">
        <v>2.097</v>
      </c>
      <c r="BS431">
        <v>21.698999000000001</v>
      </c>
      <c r="BT431">
        <v>16.709551999999999</v>
      </c>
      <c r="BU431">
        <v>4.7703259999999998</v>
      </c>
      <c r="BV431">
        <v>-1.6947840000000001</v>
      </c>
      <c r="BW431">
        <v>9.1410000000000005E-2</v>
      </c>
      <c r="BX431">
        <v>0.28548499999999999</v>
      </c>
      <c r="BY431">
        <v>-0.35527599999999998</v>
      </c>
      <c r="BZ431">
        <v>1.9161999999999998E-2</v>
      </c>
      <c r="CA431">
        <v>1E-3</v>
      </c>
      <c r="CB431">
        <v>8.0000000000000002E-3</v>
      </c>
      <c r="CC431">
        <v>1.7000000000000001E-2</v>
      </c>
      <c r="CD431">
        <v>6.8400000000000002E-2</v>
      </c>
      <c r="CE431">
        <v>10.939</v>
      </c>
      <c r="CF431">
        <v>18.581799</v>
      </c>
      <c r="CG431">
        <v>20.680401</v>
      </c>
      <c r="CH431">
        <v>21.698999000000001</v>
      </c>
      <c r="CI431">
        <v>22.440999999999999</v>
      </c>
      <c r="CJ431">
        <v>23.132200000000001</v>
      </c>
      <c r="CK431">
        <v>23.431000000000001</v>
      </c>
      <c r="CL431">
        <v>23.662800000000001</v>
      </c>
      <c r="CM431">
        <v>24.179600000000001</v>
      </c>
      <c r="CN431">
        <v>24.653998999999999</v>
      </c>
      <c r="CO431">
        <v>25.363682000000001</v>
      </c>
      <c r="CP431">
        <v>0.62749500000000002</v>
      </c>
      <c r="CQ431">
        <v>19.248840999999999</v>
      </c>
      <c r="CR431">
        <v>20.285962999999999</v>
      </c>
      <c r="CS431">
        <v>21</v>
      </c>
      <c r="CT431">
        <v>463</v>
      </c>
      <c r="CU431">
        <v>98.513217999999995</v>
      </c>
      <c r="CV431">
        <v>49.063491999999997</v>
      </c>
      <c r="CW431">
        <v>60.032808000000003</v>
      </c>
      <c r="CX431">
        <v>3603.938009</v>
      </c>
      <c r="CY431">
        <v>0.60938800000000004</v>
      </c>
      <c r="CZ431">
        <v>70</v>
      </c>
      <c r="DA431">
        <v>1.922256</v>
      </c>
      <c r="DB431">
        <v>8.8281259999999993</v>
      </c>
      <c r="DC431">
        <v>43.548000999999999</v>
      </c>
      <c r="DD431">
        <v>98.513217999999995</v>
      </c>
      <c r="DE431">
        <v>30.513126</v>
      </c>
      <c r="DF431">
        <v>7.6430829999999998</v>
      </c>
      <c r="DG431">
        <v>5.2261550000000003</v>
      </c>
      <c r="DH431">
        <v>0.30973600000000001</v>
      </c>
      <c r="DI431">
        <v>0.25048500000000001</v>
      </c>
      <c r="DJ431">
        <v>0.17127600000000001</v>
      </c>
      <c r="DK431">
        <v>26.959999</v>
      </c>
      <c r="DL431">
        <v>32</v>
      </c>
      <c r="DM431">
        <v>38</v>
      </c>
      <c r="DN431">
        <v>50</v>
      </c>
      <c r="DO431">
        <v>55</v>
      </c>
      <c r="DP431">
        <v>61</v>
      </c>
      <c r="DQ431">
        <v>76</v>
      </c>
      <c r="DR431">
        <v>86</v>
      </c>
      <c r="DS431">
        <v>99</v>
      </c>
      <c r="DT431">
        <v>117</v>
      </c>
      <c r="DU431">
        <v>125</v>
      </c>
      <c r="DV431">
        <v>136</v>
      </c>
      <c r="DW431">
        <v>160.400024</v>
      </c>
      <c r="DX431">
        <v>201.199951</v>
      </c>
      <c r="DY431">
        <v>329.320313</v>
      </c>
      <c r="DZ431">
        <v>96.126255</v>
      </c>
      <c r="EA431">
        <v>77.484047000000004</v>
      </c>
      <c r="EB431">
        <v>121.95122000000001</v>
      </c>
      <c r="EC431">
        <v>670</v>
      </c>
      <c r="ED431">
        <v>850</v>
      </c>
      <c r="EE431">
        <v>91.678623000000002</v>
      </c>
      <c r="EF431">
        <v>100</v>
      </c>
      <c r="EG431">
        <v>71.103008000000003</v>
      </c>
      <c r="EH431">
        <v>99.453053999999995</v>
      </c>
      <c r="EI431">
        <v>111.90817800000001</v>
      </c>
      <c r="EJ431">
        <v>156.52797699999999</v>
      </c>
      <c r="EK431">
        <v>639</v>
      </c>
      <c r="EL431">
        <v>697</v>
      </c>
      <c r="EM431">
        <v>780</v>
      </c>
      <c r="EN431">
        <v>1091</v>
      </c>
      <c r="EO431">
        <v>697</v>
      </c>
      <c r="EP431">
        <v>1097</v>
      </c>
      <c r="EQ431">
        <v>64.876024999999998</v>
      </c>
    </row>
    <row r="432" spans="1:147" x14ac:dyDescent="0.25">
      <c r="A432">
        <v>2025</v>
      </c>
      <c r="B432" t="str">
        <f t="shared" si="12"/>
        <v>NE</v>
      </c>
      <c r="C432" t="s">
        <v>2034</v>
      </c>
      <c r="D432" t="s">
        <v>2034</v>
      </c>
      <c r="E432">
        <v>28610</v>
      </c>
      <c r="F432" t="s">
        <v>2025</v>
      </c>
      <c r="G432" t="s">
        <v>2026</v>
      </c>
      <c r="H432" t="s">
        <v>2032</v>
      </c>
      <c r="I432">
        <v>51.83</v>
      </c>
      <c r="J432">
        <v>51.83</v>
      </c>
      <c r="K432" t="s">
        <v>190</v>
      </c>
      <c r="L432">
        <v>1</v>
      </c>
      <c r="M432">
        <v>2021</v>
      </c>
      <c r="O432" t="str">
        <f t="shared" si="13"/>
        <v>Alto fuste</v>
      </c>
      <c r="P432" s="2">
        <v>44376</v>
      </c>
      <c r="Q432" t="s">
        <v>174</v>
      </c>
      <c r="R432" t="s">
        <v>314</v>
      </c>
      <c r="S432" t="s">
        <v>154</v>
      </c>
      <c r="T432" t="s">
        <v>175</v>
      </c>
      <c r="U432" t="s">
        <v>156</v>
      </c>
      <c r="V432" s="2">
        <v>44811</v>
      </c>
      <c r="W432" t="s">
        <v>2029</v>
      </c>
      <c r="X432">
        <v>185.62</v>
      </c>
      <c r="Y432">
        <v>21</v>
      </c>
      <c r="Z432">
        <v>11</v>
      </c>
      <c r="AA432">
        <v>16.399999999999999</v>
      </c>
      <c r="AB432">
        <v>0</v>
      </c>
      <c r="AC432">
        <v>344.4</v>
      </c>
      <c r="AD432">
        <v>338.072401979375</v>
      </c>
      <c r="AE432" s="2">
        <v>45741</v>
      </c>
      <c r="AF432">
        <v>45</v>
      </c>
      <c r="AG432">
        <v>3.7371663244353202</v>
      </c>
      <c r="AH432">
        <v>23.626774128501701</v>
      </c>
      <c r="AI432">
        <v>16.4884615384615</v>
      </c>
      <c r="AJ432">
        <v>16.684208459012702</v>
      </c>
      <c r="AK432">
        <v>26</v>
      </c>
      <c r="AL432">
        <v>769.06602987327506</v>
      </c>
      <c r="AM432">
        <v>171.82149062232401</v>
      </c>
      <c r="AN432">
        <v>0.22341578479371399</v>
      </c>
      <c r="AO432" t="s">
        <v>314</v>
      </c>
      <c r="AP432" t="s">
        <v>158</v>
      </c>
      <c r="AQ432" t="s">
        <v>294</v>
      </c>
      <c r="AR432">
        <v>9</v>
      </c>
      <c r="AS432">
        <v>0.69215942688594789</v>
      </c>
      <c r="AT432" t="s">
        <v>2035</v>
      </c>
      <c r="AU432" t="s">
        <v>2034</v>
      </c>
      <c r="AV432">
        <v>1280</v>
      </c>
      <c r="AW432">
        <v>758</v>
      </c>
      <c r="AX432">
        <v>414</v>
      </c>
      <c r="AY432">
        <v>101</v>
      </c>
      <c r="AZ432">
        <v>7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25.597000000000001</v>
      </c>
      <c r="BI432">
        <v>14.479176000000001</v>
      </c>
      <c r="BJ432">
        <v>0</v>
      </c>
      <c r="BK432">
        <v>10.65076</v>
      </c>
      <c r="BL432">
        <v>113.438689</v>
      </c>
      <c r="BM432">
        <v>0.73559200000000002</v>
      </c>
      <c r="BN432">
        <v>22.999001</v>
      </c>
      <c r="BO432">
        <v>-0.57030499999999995</v>
      </c>
      <c r="BP432">
        <v>1.402425</v>
      </c>
      <c r="BQ432">
        <v>10.058517</v>
      </c>
      <c r="BR432">
        <v>2.8879999999999999</v>
      </c>
      <c r="BS432">
        <v>20.925999000000001</v>
      </c>
      <c r="BT432">
        <v>14.479176000000001</v>
      </c>
      <c r="BU432">
        <v>5.4807639999999997</v>
      </c>
      <c r="BV432">
        <v>-1.1097509999999999</v>
      </c>
      <c r="BW432">
        <v>-0.70664700000000003</v>
      </c>
      <c r="BX432">
        <v>0.378527</v>
      </c>
      <c r="BY432">
        <v>-0.20248099999999999</v>
      </c>
      <c r="BZ432">
        <v>-0.12893199999999999</v>
      </c>
      <c r="CA432">
        <v>1E-3</v>
      </c>
      <c r="CB432">
        <v>5.0000000000000001E-3</v>
      </c>
      <c r="CC432">
        <v>0.01</v>
      </c>
      <c r="CD432">
        <v>2.5000000000000001E-2</v>
      </c>
      <c r="CE432">
        <v>3.6999999999999998E-2</v>
      </c>
      <c r="CF432">
        <v>5.8999999999999997E-2</v>
      </c>
      <c r="CG432">
        <v>19.486601</v>
      </c>
      <c r="CH432">
        <v>20.925999000000001</v>
      </c>
      <c r="CI432">
        <v>21.848998999999999</v>
      </c>
      <c r="CJ432">
        <v>22.636399999999998</v>
      </c>
      <c r="CK432">
        <v>23.036000999999999</v>
      </c>
      <c r="CL432">
        <v>23.389399999999998</v>
      </c>
      <c r="CM432">
        <v>24.073399999999999</v>
      </c>
      <c r="CN432">
        <v>24.5732</v>
      </c>
      <c r="CO432">
        <v>25.123208999999999</v>
      </c>
      <c r="CP432">
        <v>0.56565900000000002</v>
      </c>
      <c r="CQ432">
        <v>17.972106</v>
      </c>
      <c r="CR432">
        <v>19.372731999999999</v>
      </c>
      <c r="CS432">
        <v>24</v>
      </c>
      <c r="CT432">
        <v>503</v>
      </c>
      <c r="CU432">
        <v>124.102344</v>
      </c>
      <c r="CV432">
        <v>46.809524000000003</v>
      </c>
      <c r="CW432">
        <v>89.720448000000005</v>
      </c>
      <c r="CX432">
        <v>8049.7588690000002</v>
      </c>
      <c r="CY432">
        <v>0.72295500000000001</v>
      </c>
      <c r="CZ432">
        <v>95</v>
      </c>
      <c r="DA432">
        <v>1.704842</v>
      </c>
      <c r="DB432">
        <v>6.0402490000000002</v>
      </c>
      <c r="DC432">
        <v>65.197922000000005</v>
      </c>
      <c r="DD432">
        <v>124.102344</v>
      </c>
      <c r="DE432">
        <v>45.482033999999999</v>
      </c>
      <c r="DF432">
        <v>14.323361999999999</v>
      </c>
      <c r="DG432">
        <v>8.4841289999999994</v>
      </c>
      <c r="DH432">
        <v>0.36648799999999998</v>
      </c>
      <c r="DI432">
        <v>0.31492399999999998</v>
      </c>
      <c r="DJ432">
        <v>0.18653800000000001</v>
      </c>
      <c r="DK432">
        <v>27</v>
      </c>
      <c r="DL432">
        <v>33</v>
      </c>
      <c r="DM432">
        <v>41</v>
      </c>
      <c r="DN432">
        <v>53</v>
      </c>
      <c r="DO432">
        <v>60</v>
      </c>
      <c r="DP432">
        <v>69</v>
      </c>
      <c r="DQ432">
        <v>84</v>
      </c>
      <c r="DR432">
        <v>100</v>
      </c>
      <c r="DS432">
        <v>120</v>
      </c>
      <c r="DT432">
        <v>140</v>
      </c>
      <c r="DU432">
        <v>155</v>
      </c>
      <c r="DV432">
        <v>171</v>
      </c>
      <c r="DW432">
        <v>245</v>
      </c>
      <c r="DX432">
        <v>326.20019500000001</v>
      </c>
      <c r="DY432">
        <v>438.20996100000002</v>
      </c>
      <c r="DZ432">
        <v>86.411608999999999</v>
      </c>
      <c r="EA432">
        <v>65.625</v>
      </c>
      <c r="EB432">
        <v>110.817942</v>
      </c>
      <c r="EC432">
        <v>655</v>
      </c>
      <c r="ED432">
        <v>840</v>
      </c>
      <c r="EE432">
        <v>85.224273999999994</v>
      </c>
      <c r="EF432">
        <v>99.472296</v>
      </c>
      <c r="EG432">
        <v>64.453125</v>
      </c>
      <c r="EH432">
        <v>99.375</v>
      </c>
      <c r="EI432">
        <v>108.83905</v>
      </c>
      <c r="EJ432">
        <v>167.81002599999999</v>
      </c>
      <c r="EK432">
        <v>646</v>
      </c>
      <c r="EL432">
        <v>754</v>
      </c>
      <c r="EM432">
        <v>825</v>
      </c>
      <c r="EN432">
        <v>1272</v>
      </c>
      <c r="EO432">
        <v>758</v>
      </c>
      <c r="EP432">
        <v>1280</v>
      </c>
      <c r="EQ432">
        <v>56.573390000000003</v>
      </c>
    </row>
    <row r="433" spans="1:147" x14ac:dyDescent="0.25">
      <c r="A433">
        <v>2025</v>
      </c>
      <c r="B433" t="str">
        <f t="shared" si="12"/>
        <v>NE</v>
      </c>
      <c r="C433" t="s">
        <v>2036</v>
      </c>
      <c r="D433" t="s">
        <v>2036</v>
      </c>
      <c r="E433">
        <v>28611</v>
      </c>
      <c r="F433" t="s">
        <v>2025</v>
      </c>
      <c r="G433" t="s">
        <v>2026</v>
      </c>
      <c r="H433" t="s">
        <v>2032</v>
      </c>
      <c r="I433">
        <v>51.83</v>
      </c>
      <c r="J433">
        <v>51.83</v>
      </c>
      <c r="K433" t="s">
        <v>190</v>
      </c>
      <c r="L433">
        <v>1</v>
      </c>
      <c r="M433">
        <v>2021</v>
      </c>
      <c r="O433" t="str">
        <f t="shared" si="13"/>
        <v>Alto fuste</v>
      </c>
      <c r="P433" s="2">
        <v>44376</v>
      </c>
      <c r="Q433" t="s">
        <v>174</v>
      </c>
      <c r="R433" t="s">
        <v>314</v>
      </c>
      <c r="S433" t="s">
        <v>154</v>
      </c>
      <c r="T433" t="s">
        <v>175</v>
      </c>
      <c r="U433" t="s">
        <v>156</v>
      </c>
      <c r="V433" s="2">
        <v>45741</v>
      </c>
      <c r="W433" t="s">
        <v>2029</v>
      </c>
      <c r="X433">
        <v>185.62</v>
      </c>
      <c r="Y433">
        <v>21.1</v>
      </c>
      <c r="Z433">
        <v>15</v>
      </c>
      <c r="AA433">
        <v>15.7</v>
      </c>
      <c r="AB433">
        <v>1</v>
      </c>
      <c r="AC433">
        <v>331.27</v>
      </c>
      <c r="AD433">
        <v>319.93351362846801</v>
      </c>
      <c r="AE433" s="2">
        <v>45741</v>
      </c>
      <c r="AF433">
        <v>45</v>
      </c>
      <c r="AG433">
        <v>3.7371663244353202</v>
      </c>
      <c r="AH433">
        <v>21.472335739159799</v>
      </c>
      <c r="AI433">
        <v>13.015384615384599</v>
      </c>
      <c r="AJ433">
        <v>16.7182681813145</v>
      </c>
      <c r="AK433">
        <v>39</v>
      </c>
      <c r="AL433">
        <v>1219.00327220142</v>
      </c>
      <c r="AM433">
        <v>161.143108499433</v>
      </c>
      <c r="AN433">
        <v>0.13219251512624899</v>
      </c>
      <c r="AO433" t="s">
        <v>314</v>
      </c>
      <c r="AP433" t="s">
        <v>158</v>
      </c>
      <c r="AQ433" t="s">
        <v>294</v>
      </c>
      <c r="AR433">
        <v>9</v>
      </c>
      <c r="AS433">
        <v>1.0971029449812779</v>
      </c>
      <c r="AT433" t="s">
        <v>2037</v>
      </c>
      <c r="AU433" t="s">
        <v>2036</v>
      </c>
      <c r="AV433">
        <v>1164</v>
      </c>
      <c r="AW433">
        <v>734</v>
      </c>
      <c r="AX433">
        <v>377</v>
      </c>
      <c r="AY433">
        <v>50</v>
      </c>
      <c r="AZ433">
        <v>3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25.222999999999999</v>
      </c>
      <c r="BI433">
        <v>13.664873999999999</v>
      </c>
      <c r="BJ433">
        <v>0</v>
      </c>
      <c r="BK433">
        <v>10.274176000000001</v>
      </c>
      <c r="BL433">
        <v>105.558689</v>
      </c>
      <c r="BM433">
        <v>0.75186799999999998</v>
      </c>
      <c r="BN433">
        <v>22.569251000000001</v>
      </c>
      <c r="BO433">
        <v>-0.40550900000000001</v>
      </c>
      <c r="BP433">
        <v>1.31182</v>
      </c>
      <c r="BQ433">
        <v>9.7014639999999996</v>
      </c>
      <c r="BR433">
        <v>3.4790000000000001</v>
      </c>
      <c r="BS433">
        <v>20.464500000000001</v>
      </c>
      <c r="BT433">
        <v>13.664873999999999</v>
      </c>
      <c r="BU433">
        <v>5.4900419999999999</v>
      </c>
      <c r="BV433">
        <v>-0.83944600000000003</v>
      </c>
      <c r="BW433">
        <v>-0.86174899999999999</v>
      </c>
      <c r="BX433">
        <v>0.40176299999999998</v>
      </c>
      <c r="BY433">
        <v>-0.15290300000000001</v>
      </c>
      <c r="BZ433">
        <v>-0.15696599999999999</v>
      </c>
      <c r="CA433">
        <v>1E-3</v>
      </c>
      <c r="CB433">
        <v>8.9999999999999993E-3</v>
      </c>
      <c r="CC433">
        <v>1.9E-2</v>
      </c>
      <c r="CD433">
        <v>5.7599999999999998E-2</v>
      </c>
      <c r="CE433">
        <v>0.14799999999999999</v>
      </c>
      <c r="CF433">
        <v>1.1048</v>
      </c>
      <c r="CG433">
        <v>12.6632</v>
      </c>
      <c r="CH433">
        <v>20.464500000000001</v>
      </c>
      <c r="CI433">
        <v>21.563600999999998</v>
      </c>
      <c r="CJ433">
        <v>22.387899000000001</v>
      </c>
      <c r="CK433">
        <v>22.717251000000001</v>
      </c>
      <c r="CL433">
        <v>23.059799000000002</v>
      </c>
      <c r="CM433">
        <v>23.621700000000001</v>
      </c>
      <c r="CN433">
        <v>24.001949</v>
      </c>
      <c r="CO433">
        <v>24.636230000000001</v>
      </c>
      <c r="CP433">
        <v>0.54176199999999997</v>
      </c>
      <c r="CQ433">
        <v>17.093764</v>
      </c>
      <c r="CR433">
        <v>18.600940999999999</v>
      </c>
      <c r="CS433">
        <v>24</v>
      </c>
      <c r="CT433">
        <v>467</v>
      </c>
      <c r="CU433">
        <v>99.889174999999994</v>
      </c>
      <c r="CV433">
        <v>31.031745999999998</v>
      </c>
      <c r="CW433">
        <v>67.899822</v>
      </c>
      <c r="CX433">
        <v>4610.385816</v>
      </c>
      <c r="CY433">
        <v>0.67975200000000002</v>
      </c>
      <c r="CZ433">
        <v>77</v>
      </c>
      <c r="DA433">
        <v>1.749071</v>
      </c>
      <c r="DB433">
        <v>6.8409959999999996</v>
      </c>
      <c r="DC433">
        <v>50.349151999999997</v>
      </c>
      <c r="DD433">
        <v>99.889174999999994</v>
      </c>
      <c r="DE433">
        <v>34.626364000000002</v>
      </c>
      <c r="DF433">
        <v>10.574464000000001</v>
      </c>
      <c r="DG433">
        <v>5.6890609999999997</v>
      </c>
      <c r="DH433">
        <v>0.34664800000000001</v>
      </c>
      <c r="DI433">
        <v>0.30538799999999999</v>
      </c>
      <c r="DJ433">
        <v>0.164299</v>
      </c>
      <c r="DK433">
        <v>27</v>
      </c>
      <c r="DL433">
        <v>31.150002000000001</v>
      </c>
      <c r="DM433">
        <v>36</v>
      </c>
      <c r="DN433">
        <v>46</v>
      </c>
      <c r="DO433">
        <v>51</v>
      </c>
      <c r="DP433">
        <v>56</v>
      </c>
      <c r="DQ433">
        <v>67</v>
      </c>
      <c r="DR433">
        <v>82</v>
      </c>
      <c r="DS433">
        <v>97</v>
      </c>
      <c r="DT433">
        <v>115</v>
      </c>
      <c r="DU433">
        <v>128</v>
      </c>
      <c r="DV433">
        <v>144</v>
      </c>
      <c r="DW433">
        <v>185.699951</v>
      </c>
      <c r="DX433">
        <v>238.699951</v>
      </c>
      <c r="DY433">
        <v>343.73998999999998</v>
      </c>
      <c r="DZ433">
        <v>91.008173999999997</v>
      </c>
      <c r="EA433">
        <v>65.979381000000004</v>
      </c>
      <c r="EB433">
        <v>104.632153</v>
      </c>
      <c r="EC433">
        <v>668</v>
      </c>
      <c r="ED433">
        <v>768</v>
      </c>
      <c r="EE433">
        <v>85.831063</v>
      </c>
      <c r="EF433">
        <v>99.727519999999998</v>
      </c>
      <c r="EG433">
        <v>58.505155000000002</v>
      </c>
      <c r="EH433">
        <v>99.656357</v>
      </c>
      <c r="EI433">
        <v>92.779291999999998</v>
      </c>
      <c r="EJ433">
        <v>158.03814700000001</v>
      </c>
      <c r="EK433">
        <v>630</v>
      </c>
      <c r="EL433">
        <v>732</v>
      </c>
      <c r="EM433">
        <v>681</v>
      </c>
      <c r="EN433">
        <v>1160</v>
      </c>
      <c r="EO433">
        <v>734</v>
      </c>
      <c r="EP433">
        <v>1164</v>
      </c>
      <c r="EQ433">
        <v>54.460524999999997</v>
      </c>
    </row>
    <row r="434" spans="1:147" x14ac:dyDescent="0.25">
      <c r="A434">
        <v>2025</v>
      </c>
      <c r="B434" t="str">
        <f t="shared" si="12"/>
        <v>NE</v>
      </c>
      <c r="C434" t="s">
        <v>2038</v>
      </c>
      <c r="D434" t="s">
        <v>2038</v>
      </c>
      <c r="E434">
        <v>28602</v>
      </c>
      <c r="F434" t="s">
        <v>2025</v>
      </c>
      <c r="G434" t="s">
        <v>2026</v>
      </c>
      <c r="H434" t="s">
        <v>2039</v>
      </c>
      <c r="I434">
        <v>26.77</v>
      </c>
      <c r="J434">
        <v>26.77</v>
      </c>
      <c r="K434" t="s">
        <v>190</v>
      </c>
      <c r="L434">
        <v>1</v>
      </c>
      <c r="M434">
        <v>2021</v>
      </c>
      <c r="O434" t="str">
        <f t="shared" si="13"/>
        <v>Alto fuste</v>
      </c>
      <c r="P434" s="2">
        <v>44313</v>
      </c>
      <c r="Q434" t="s">
        <v>174</v>
      </c>
      <c r="R434" t="s">
        <v>314</v>
      </c>
      <c r="S434" t="s">
        <v>154</v>
      </c>
      <c r="T434" t="s">
        <v>175</v>
      </c>
      <c r="U434" t="s">
        <v>156</v>
      </c>
      <c r="V434" s="2">
        <v>44812</v>
      </c>
      <c r="W434" t="s">
        <v>2029</v>
      </c>
      <c r="X434">
        <v>185.62</v>
      </c>
      <c r="Y434">
        <v>19</v>
      </c>
      <c r="Z434">
        <v>9</v>
      </c>
      <c r="AA434">
        <v>14.4</v>
      </c>
      <c r="AB434">
        <v>4</v>
      </c>
      <c r="AC434">
        <v>273.60000000000002</v>
      </c>
      <c r="AD434">
        <v>269.57325956157098</v>
      </c>
      <c r="AE434" s="2">
        <v>45741</v>
      </c>
      <c r="AF434">
        <v>47</v>
      </c>
      <c r="AG434">
        <v>3.90965092402464</v>
      </c>
      <c r="AH434">
        <v>24.763515929224202</v>
      </c>
      <c r="AI434">
        <v>14.866666666666699</v>
      </c>
      <c r="AJ434">
        <v>15.782358601142199</v>
      </c>
      <c r="AK434">
        <v>24</v>
      </c>
      <c r="AL434">
        <v>890.29601968063002</v>
      </c>
      <c r="AM434">
        <v>173.82865991873101</v>
      </c>
      <c r="AN434">
        <v>0.19524816024796701</v>
      </c>
      <c r="AO434" t="s">
        <v>314</v>
      </c>
      <c r="AP434" t="s">
        <v>158</v>
      </c>
      <c r="AQ434" t="s">
        <v>294</v>
      </c>
      <c r="AR434">
        <v>9</v>
      </c>
      <c r="AS434">
        <v>0.80126641771256701</v>
      </c>
      <c r="AT434" t="s">
        <v>2040</v>
      </c>
      <c r="AU434" t="s">
        <v>2038</v>
      </c>
      <c r="AV434">
        <v>1936</v>
      </c>
      <c r="AW434">
        <v>1040</v>
      </c>
      <c r="AX434">
        <v>644</v>
      </c>
      <c r="AY434">
        <v>221</v>
      </c>
      <c r="AZ434">
        <v>30</v>
      </c>
      <c r="BA434">
        <v>1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27.021000000000001</v>
      </c>
      <c r="BI434">
        <v>16.689003</v>
      </c>
      <c r="BJ434">
        <v>0</v>
      </c>
      <c r="BK434">
        <v>10.145493</v>
      </c>
      <c r="BL434">
        <v>102.931021</v>
      </c>
      <c r="BM434">
        <v>0.60791499999999998</v>
      </c>
      <c r="BN434">
        <v>22.695499999999999</v>
      </c>
      <c r="BO434">
        <v>-0.918211</v>
      </c>
      <c r="BP434">
        <v>1.995136</v>
      </c>
      <c r="BQ434">
        <v>8.9764079999999993</v>
      </c>
      <c r="BR434">
        <v>2.2660010000000002</v>
      </c>
      <c r="BS434">
        <v>22.077000000000002</v>
      </c>
      <c r="BT434">
        <v>16.689003</v>
      </c>
      <c r="BU434">
        <v>5.092956</v>
      </c>
      <c r="BV434">
        <v>-1.631988</v>
      </c>
      <c r="BW434">
        <v>-4.8514000000000002E-2</v>
      </c>
      <c r="BX434">
        <v>0.30516799999999999</v>
      </c>
      <c r="BY434">
        <v>-0.32044</v>
      </c>
      <c r="BZ434">
        <v>-9.5259999999999997E-3</v>
      </c>
      <c r="CA434">
        <v>2E-3</v>
      </c>
      <c r="CB434">
        <v>0.01</v>
      </c>
      <c r="CC434">
        <v>2.4500000000000001E-2</v>
      </c>
      <c r="CD434">
        <v>0.09</v>
      </c>
      <c r="CE434">
        <v>1.1725000000000001</v>
      </c>
      <c r="CF434">
        <v>17.267499999999998</v>
      </c>
      <c r="CG434">
        <v>21.257999000000002</v>
      </c>
      <c r="CH434">
        <v>22.077000000000002</v>
      </c>
      <c r="CI434">
        <v>22.725999999999999</v>
      </c>
      <c r="CJ434">
        <v>23.449000999999999</v>
      </c>
      <c r="CK434">
        <v>23.867999999999999</v>
      </c>
      <c r="CL434">
        <v>24.235001</v>
      </c>
      <c r="CM434">
        <v>24.978999999999999</v>
      </c>
      <c r="CN434">
        <v>25.512498999999998</v>
      </c>
      <c r="CO434">
        <v>26.345248999999999</v>
      </c>
      <c r="CP434">
        <v>0.61763100000000004</v>
      </c>
      <c r="CQ434">
        <v>19.529482000000002</v>
      </c>
      <c r="CR434">
        <v>20.677356</v>
      </c>
      <c r="CS434">
        <v>23</v>
      </c>
      <c r="CT434">
        <v>460</v>
      </c>
      <c r="CU434">
        <v>114.153409</v>
      </c>
      <c r="CV434">
        <v>36.873016</v>
      </c>
      <c r="CW434">
        <v>70.814921999999996</v>
      </c>
      <c r="CX434">
        <v>5014.7531980000003</v>
      </c>
      <c r="CY434">
        <v>0.62034900000000004</v>
      </c>
      <c r="CZ434">
        <v>101</v>
      </c>
      <c r="DA434">
        <v>1.084981</v>
      </c>
      <c r="DB434">
        <v>4.3206100000000003</v>
      </c>
      <c r="DC434">
        <v>57.163117</v>
      </c>
      <c r="DD434">
        <v>114.153409</v>
      </c>
      <c r="DE434">
        <v>38.582140000000003</v>
      </c>
      <c r="DF434">
        <v>8.1818500000000007</v>
      </c>
      <c r="DG434">
        <v>3.2181410000000001</v>
      </c>
      <c r="DH434">
        <v>0.33798499999999998</v>
      </c>
      <c r="DI434">
        <v>0.212063</v>
      </c>
      <c r="DJ434">
        <v>8.3409999999999998E-2</v>
      </c>
      <c r="DK434">
        <v>26</v>
      </c>
      <c r="DL434">
        <v>32</v>
      </c>
      <c r="DM434">
        <v>38</v>
      </c>
      <c r="DN434">
        <v>50</v>
      </c>
      <c r="DO434">
        <v>56</v>
      </c>
      <c r="DP434">
        <v>63</v>
      </c>
      <c r="DQ434">
        <v>78</v>
      </c>
      <c r="DR434">
        <v>99</v>
      </c>
      <c r="DS434">
        <v>121</v>
      </c>
      <c r="DT434">
        <v>144</v>
      </c>
      <c r="DU434">
        <v>157</v>
      </c>
      <c r="DV434">
        <v>172</v>
      </c>
      <c r="DW434">
        <v>213.5</v>
      </c>
      <c r="DX434">
        <v>243</v>
      </c>
      <c r="DY434">
        <v>316.25012199999998</v>
      </c>
      <c r="DZ434">
        <v>98.076922999999994</v>
      </c>
      <c r="EA434">
        <v>74.690083000000001</v>
      </c>
      <c r="EB434">
        <v>139.03846200000001</v>
      </c>
      <c r="EC434">
        <v>1020</v>
      </c>
      <c r="ED434">
        <v>1446</v>
      </c>
      <c r="EE434">
        <v>96.346153999999999</v>
      </c>
      <c r="EF434">
        <v>100</v>
      </c>
      <c r="EG434">
        <v>70.144627999999997</v>
      </c>
      <c r="EH434">
        <v>99.793387999999993</v>
      </c>
      <c r="EI434">
        <v>130.57692299999999</v>
      </c>
      <c r="EJ434">
        <v>185.76923099999999</v>
      </c>
      <c r="EK434">
        <v>1002</v>
      </c>
      <c r="EL434">
        <v>1040</v>
      </c>
      <c r="EM434">
        <v>1358</v>
      </c>
      <c r="EN434">
        <v>1932</v>
      </c>
      <c r="EO434">
        <v>1040</v>
      </c>
      <c r="EP434">
        <v>1936</v>
      </c>
      <c r="EQ434">
        <v>62.328665999999998</v>
      </c>
    </row>
    <row r="435" spans="1:147" x14ac:dyDescent="0.25">
      <c r="A435">
        <v>2025</v>
      </c>
      <c r="B435" t="str">
        <f t="shared" si="12"/>
        <v>NE</v>
      </c>
      <c r="C435" t="s">
        <v>2041</v>
      </c>
      <c r="D435" t="s">
        <v>2041</v>
      </c>
      <c r="E435">
        <v>26064</v>
      </c>
      <c r="F435" t="s">
        <v>2042</v>
      </c>
      <c r="G435" t="s">
        <v>2043</v>
      </c>
      <c r="H435" t="s">
        <v>2044</v>
      </c>
      <c r="I435">
        <v>65.42</v>
      </c>
      <c r="J435">
        <v>65.42</v>
      </c>
      <c r="K435" t="s">
        <v>190</v>
      </c>
      <c r="L435">
        <v>1</v>
      </c>
      <c r="M435">
        <v>2018</v>
      </c>
      <c r="O435" t="str">
        <f t="shared" si="13"/>
        <v>Alto fuste</v>
      </c>
      <c r="P435" s="2">
        <v>43321</v>
      </c>
      <c r="Q435" t="s">
        <v>174</v>
      </c>
      <c r="R435" t="s">
        <v>695</v>
      </c>
      <c r="S435" t="s">
        <v>154</v>
      </c>
      <c r="T435" t="s">
        <v>175</v>
      </c>
      <c r="U435" t="s">
        <v>156</v>
      </c>
      <c r="V435" s="2">
        <v>45768</v>
      </c>
      <c r="W435" t="s">
        <v>2045</v>
      </c>
      <c r="X435">
        <v>251.83</v>
      </c>
      <c r="Y435">
        <v>20.2</v>
      </c>
      <c r="Z435">
        <v>27</v>
      </c>
      <c r="AA435">
        <v>15.4</v>
      </c>
      <c r="AB435">
        <v>1</v>
      </c>
      <c r="AC435">
        <v>311.08</v>
      </c>
      <c r="AD435">
        <v>277.13209455465</v>
      </c>
      <c r="AE435" s="2">
        <v>45768</v>
      </c>
      <c r="AF435">
        <v>80</v>
      </c>
      <c r="AG435">
        <v>6.69952087611225</v>
      </c>
      <c r="AH435">
        <v>27.6057488574018</v>
      </c>
      <c r="AI435">
        <v>15.49</v>
      </c>
      <c r="AJ435">
        <v>20.770284523367199</v>
      </c>
      <c r="AK435">
        <v>30</v>
      </c>
      <c r="AL435">
        <v>1082.51626532863</v>
      </c>
      <c r="AM435">
        <v>255.735313989014</v>
      </c>
      <c r="AN435">
        <v>0.236241544057889</v>
      </c>
      <c r="AO435" t="s">
        <v>695</v>
      </c>
      <c r="AP435" t="s">
        <v>158</v>
      </c>
      <c r="AQ435" t="s">
        <v>294</v>
      </c>
      <c r="AR435">
        <v>9</v>
      </c>
      <c r="AS435">
        <v>0.97426463879576541</v>
      </c>
      <c r="AT435" t="s">
        <v>2046</v>
      </c>
      <c r="AU435" t="s">
        <v>2041</v>
      </c>
      <c r="AV435">
        <v>891</v>
      </c>
      <c r="AW435">
        <v>482</v>
      </c>
      <c r="AX435">
        <v>294</v>
      </c>
      <c r="AY435">
        <v>99</v>
      </c>
      <c r="AZ435">
        <v>13</v>
      </c>
      <c r="BA435">
        <v>3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2E-3</v>
      </c>
      <c r="BH435">
        <v>31.739000000000001</v>
      </c>
      <c r="BI435">
        <v>16.832512000000001</v>
      </c>
      <c r="BJ435">
        <v>2E-3</v>
      </c>
      <c r="BK435">
        <v>12.321049</v>
      </c>
      <c r="BL435">
        <v>151.80825300000001</v>
      </c>
      <c r="BM435">
        <v>0.73197900000000005</v>
      </c>
      <c r="BN435">
        <v>24.469498999999999</v>
      </c>
      <c r="BO435">
        <v>-0.22801099999999999</v>
      </c>
      <c r="BP435">
        <v>1.225743</v>
      </c>
      <c r="BQ435">
        <v>11.78764</v>
      </c>
      <c r="BR435">
        <v>7.1240009999999998</v>
      </c>
      <c r="BS435">
        <v>23.095998999999999</v>
      </c>
      <c r="BT435">
        <v>16.832512000000001</v>
      </c>
      <c r="BU435">
        <v>6.7390629999999998</v>
      </c>
      <c r="BV435">
        <v>-0.64937900000000004</v>
      </c>
      <c r="BW435">
        <v>-1.0166869999999999</v>
      </c>
      <c r="BX435">
        <v>0.40035999999999999</v>
      </c>
      <c r="BY435">
        <v>-9.6360000000000001E-2</v>
      </c>
      <c r="BZ435">
        <v>-0.150865</v>
      </c>
      <c r="CA435">
        <v>7.0000000000000001E-3</v>
      </c>
      <c r="CB435">
        <v>4.1000000000000002E-2</v>
      </c>
      <c r="CC435">
        <v>0.109</v>
      </c>
      <c r="CD435">
        <v>3.0390000000000001</v>
      </c>
      <c r="CE435">
        <v>3.9215</v>
      </c>
      <c r="CF435">
        <v>4.5590000000000002</v>
      </c>
      <c r="CG435">
        <v>6.0540000000000003</v>
      </c>
      <c r="CH435">
        <v>23.097999999999999</v>
      </c>
      <c r="CI435">
        <v>26.952000000000002</v>
      </c>
      <c r="CJ435">
        <v>27.969000000000001</v>
      </c>
      <c r="CK435">
        <v>28.390999000000001</v>
      </c>
      <c r="CL435">
        <v>28.856000999999999</v>
      </c>
      <c r="CM435">
        <v>29.739000000000001</v>
      </c>
      <c r="CN435">
        <v>30.414000999999999</v>
      </c>
      <c r="CO435">
        <v>31.333597000000001</v>
      </c>
      <c r="CP435">
        <v>0.53031200000000001</v>
      </c>
      <c r="CQ435">
        <v>20.855965999999999</v>
      </c>
      <c r="CR435">
        <v>22.894628000000001</v>
      </c>
      <c r="CS435">
        <v>24</v>
      </c>
      <c r="CT435">
        <v>511</v>
      </c>
      <c r="CU435">
        <v>151.79348999999999</v>
      </c>
      <c r="CV435">
        <v>31.730159</v>
      </c>
      <c r="CW435">
        <v>103.82823999999999</v>
      </c>
      <c r="CX435">
        <v>10780.30337</v>
      </c>
      <c r="CY435">
        <v>0.68401000000000001</v>
      </c>
      <c r="CZ435">
        <v>158</v>
      </c>
      <c r="DA435">
        <v>0.80215099999999995</v>
      </c>
      <c r="DB435">
        <v>2.8488389999999999</v>
      </c>
      <c r="DC435">
        <v>86.952949000000004</v>
      </c>
      <c r="DD435">
        <v>151.79348999999999</v>
      </c>
      <c r="DE435">
        <v>57.618197000000002</v>
      </c>
      <c r="DF435">
        <v>11.792586999999999</v>
      </c>
      <c r="DG435">
        <v>2.511892</v>
      </c>
      <c r="DH435">
        <v>0.379583</v>
      </c>
      <c r="DI435">
        <v>0.20466799999999999</v>
      </c>
      <c r="DJ435">
        <v>4.3595000000000002E-2</v>
      </c>
      <c r="DK435">
        <v>27</v>
      </c>
      <c r="DL435">
        <v>32</v>
      </c>
      <c r="DM435">
        <v>39</v>
      </c>
      <c r="DN435">
        <v>55</v>
      </c>
      <c r="DO435">
        <v>63</v>
      </c>
      <c r="DP435">
        <v>72</v>
      </c>
      <c r="DQ435">
        <v>94</v>
      </c>
      <c r="DR435">
        <v>126</v>
      </c>
      <c r="DS435">
        <v>165</v>
      </c>
      <c r="DT435">
        <v>201</v>
      </c>
      <c r="DU435">
        <v>221</v>
      </c>
      <c r="DV435">
        <v>244</v>
      </c>
      <c r="DW435">
        <v>304</v>
      </c>
      <c r="DX435">
        <v>343</v>
      </c>
      <c r="DY435">
        <v>430</v>
      </c>
      <c r="DZ435">
        <v>93.775934000000007</v>
      </c>
      <c r="EA435">
        <v>80.246914000000004</v>
      </c>
      <c r="EB435">
        <v>148.340249</v>
      </c>
      <c r="EC435">
        <v>452</v>
      </c>
      <c r="ED435">
        <v>715</v>
      </c>
      <c r="EE435">
        <v>81.535269999999997</v>
      </c>
      <c r="EF435">
        <v>100</v>
      </c>
      <c r="EG435">
        <v>56.004489</v>
      </c>
      <c r="EH435">
        <v>99.663300000000007</v>
      </c>
      <c r="EI435">
        <v>103.526971</v>
      </c>
      <c r="EJ435">
        <v>184.23236499999999</v>
      </c>
      <c r="EK435">
        <v>393</v>
      </c>
      <c r="EL435">
        <v>482</v>
      </c>
      <c r="EM435">
        <v>499</v>
      </c>
      <c r="EN435">
        <v>888</v>
      </c>
      <c r="EO435">
        <v>482</v>
      </c>
      <c r="EP435">
        <v>891</v>
      </c>
      <c r="EQ435">
        <v>52.731268</v>
      </c>
    </row>
    <row r="436" spans="1:147" x14ac:dyDescent="0.25">
      <c r="A436">
        <v>2025</v>
      </c>
      <c r="B436" t="str">
        <f t="shared" si="12"/>
        <v>NE</v>
      </c>
      <c r="C436" t="s">
        <v>2047</v>
      </c>
      <c r="D436" t="s">
        <v>2047</v>
      </c>
      <c r="E436">
        <v>26065</v>
      </c>
      <c r="F436" t="s">
        <v>2042</v>
      </c>
      <c r="G436" t="s">
        <v>2043</v>
      </c>
      <c r="H436" t="s">
        <v>2044</v>
      </c>
      <c r="I436">
        <v>65.42</v>
      </c>
      <c r="J436">
        <v>65.42</v>
      </c>
      <c r="K436" t="s">
        <v>190</v>
      </c>
      <c r="L436">
        <v>1</v>
      </c>
      <c r="M436">
        <v>2018</v>
      </c>
      <c r="O436" t="str">
        <f t="shared" si="13"/>
        <v>Alto fuste</v>
      </c>
      <c r="P436" s="2">
        <v>43321</v>
      </c>
      <c r="Q436" t="s">
        <v>174</v>
      </c>
      <c r="R436" t="s">
        <v>695</v>
      </c>
      <c r="S436" t="s">
        <v>154</v>
      </c>
      <c r="T436" t="s">
        <v>175</v>
      </c>
      <c r="U436" t="s">
        <v>156</v>
      </c>
      <c r="V436" s="2">
        <v>44813</v>
      </c>
      <c r="W436" t="s">
        <v>2045</v>
      </c>
      <c r="X436">
        <v>251.83</v>
      </c>
      <c r="Y436">
        <v>19</v>
      </c>
      <c r="Z436">
        <v>15</v>
      </c>
      <c r="AA436">
        <v>14.8</v>
      </c>
      <c r="AB436">
        <v>4</v>
      </c>
      <c r="AC436">
        <v>281.2</v>
      </c>
      <c r="AD436">
        <v>270.95669372200598</v>
      </c>
      <c r="AE436" s="2">
        <v>45768</v>
      </c>
      <c r="AF436">
        <v>80</v>
      </c>
      <c r="AG436">
        <v>6.69952087611225</v>
      </c>
      <c r="AH436">
        <v>29.5750427650581</v>
      </c>
      <c r="AI436">
        <v>17.603225806451601</v>
      </c>
      <c r="AJ436">
        <v>28.500335794257801</v>
      </c>
      <c r="AK436">
        <v>31</v>
      </c>
      <c r="AL436">
        <v>1144.09426739629</v>
      </c>
      <c r="AM436">
        <v>377.403555258751</v>
      </c>
      <c r="AN436">
        <v>0.32987103074787599</v>
      </c>
      <c r="AO436" t="s">
        <v>695</v>
      </c>
      <c r="AP436" t="s">
        <v>158</v>
      </c>
      <c r="AQ436" t="s">
        <v>294</v>
      </c>
      <c r="AR436">
        <v>9</v>
      </c>
      <c r="AS436">
        <v>1.029684840656663</v>
      </c>
      <c r="AT436" t="s">
        <v>2048</v>
      </c>
      <c r="AU436" t="s">
        <v>2047</v>
      </c>
      <c r="AV436">
        <v>1005</v>
      </c>
      <c r="AW436">
        <v>557</v>
      </c>
      <c r="AX436">
        <v>327</v>
      </c>
      <c r="AY436">
        <v>106</v>
      </c>
      <c r="AZ436">
        <v>15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33.908999999999999</v>
      </c>
      <c r="BI436">
        <v>18.784412</v>
      </c>
      <c r="BJ436">
        <v>0</v>
      </c>
      <c r="BK436">
        <v>13.330748</v>
      </c>
      <c r="BL436">
        <v>177.70883000000001</v>
      </c>
      <c r="BM436">
        <v>0.70967100000000005</v>
      </c>
      <c r="BN436">
        <v>29.724999</v>
      </c>
      <c r="BO436">
        <v>-0.51435200000000003</v>
      </c>
      <c r="BP436">
        <v>1.4722869999999999</v>
      </c>
      <c r="BQ436">
        <v>12.30425</v>
      </c>
      <c r="BR436">
        <v>4.9930019999999997</v>
      </c>
      <c r="BS436">
        <v>27.205998999999998</v>
      </c>
      <c r="BT436">
        <v>18.784412</v>
      </c>
      <c r="BU436">
        <v>7.1389449999999997</v>
      </c>
      <c r="BV436">
        <v>-1.292978</v>
      </c>
      <c r="BW436">
        <v>-0.85492400000000002</v>
      </c>
      <c r="BX436">
        <v>0.38004599999999999</v>
      </c>
      <c r="BY436">
        <v>-0.181116</v>
      </c>
      <c r="BZ436">
        <v>-0.119755</v>
      </c>
      <c r="CA436">
        <v>2E-3</v>
      </c>
      <c r="CB436">
        <v>0.01</v>
      </c>
      <c r="CC436">
        <v>0.02</v>
      </c>
      <c r="CD436">
        <v>5.6800000000000003E-2</v>
      </c>
      <c r="CE436">
        <v>0.16900000000000001</v>
      </c>
      <c r="CF436">
        <v>1.2540009999999999</v>
      </c>
      <c r="CG436">
        <v>18.408200999999998</v>
      </c>
      <c r="CH436">
        <v>27.205998999999998</v>
      </c>
      <c r="CI436">
        <v>28.32</v>
      </c>
      <c r="CJ436">
        <v>29.308800000000002</v>
      </c>
      <c r="CK436">
        <v>29.893999000000001</v>
      </c>
      <c r="CL436">
        <v>30.408200999999998</v>
      </c>
      <c r="CM436">
        <v>31.785599000000001</v>
      </c>
      <c r="CN436">
        <v>32.428600000000003</v>
      </c>
      <c r="CO436">
        <v>33.238602</v>
      </c>
      <c r="CP436">
        <v>0.55396500000000004</v>
      </c>
      <c r="CQ436">
        <v>23.030114000000001</v>
      </c>
      <c r="CR436">
        <v>24.887689999999999</v>
      </c>
      <c r="CS436">
        <v>22</v>
      </c>
      <c r="CT436">
        <v>613</v>
      </c>
      <c r="CU436">
        <v>179.07263699999999</v>
      </c>
      <c r="CV436">
        <v>40.761904999999999</v>
      </c>
      <c r="CW436">
        <v>122.00506900000001</v>
      </c>
      <c r="CX436">
        <v>14885.23675</v>
      </c>
      <c r="CY436">
        <v>0.68131600000000003</v>
      </c>
      <c r="CZ436">
        <v>183</v>
      </c>
      <c r="DA436">
        <v>0.80468300000000004</v>
      </c>
      <c r="DB436">
        <v>3.008035</v>
      </c>
      <c r="DC436">
        <v>101.16353599999999</v>
      </c>
      <c r="DD436">
        <v>179.07263699999999</v>
      </c>
      <c r="DE436">
        <v>67.786555000000007</v>
      </c>
      <c r="DF436">
        <v>12.782628000000001</v>
      </c>
      <c r="DG436">
        <v>3.8416779999999999</v>
      </c>
      <c r="DH436">
        <v>0.37854199999999999</v>
      </c>
      <c r="DI436">
        <v>0.18857199999999999</v>
      </c>
      <c r="DJ436">
        <v>5.6673000000000001E-2</v>
      </c>
      <c r="DK436">
        <v>26.040001</v>
      </c>
      <c r="DL436">
        <v>35</v>
      </c>
      <c r="DM436">
        <v>44</v>
      </c>
      <c r="DN436">
        <v>62</v>
      </c>
      <c r="DO436">
        <v>73</v>
      </c>
      <c r="DP436">
        <v>85</v>
      </c>
      <c r="DQ436">
        <v>117.60000599999999</v>
      </c>
      <c r="DR436">
        <v>155</v>
      </c>
      <c r="DS436">
        <v>201</v>
      </c>
      <c r="DT436">
        <v>238</v>
      </c>
      <c r="DU436">
        <v>256</v>
      </c>
      <c r="DV436">
        <v>284</v>
      </c>
      <c r="DW436">
        <v>347.199951</v>
      </c>
      <c r="DX436">
        <v>422.79998799999998</v>
      </c>
      <c r="DY436">
        <v>519.760132</v>
      </c>
      <c r="DZ436">
        <v>89.407539999999997</v>
      </c>
      <c r="EA436">
        <v>69.552239</v>
      </c>
      <c r="EB436">
        <v>125.49371600000001</v>
      </c>
      <c r="EC436">
        <v>498</v>
      </c>
      <c r="ED436">
        <v>699</v>
      </c>
      <c r="EE436">
        <v>81.867144999999994</v>
      </c>
      <c r="EF436">
        <v>100</v>
      </c>
      <c r="EG436">
        <v>59.701492999999999</v>
      </c>
      <c r="EH436">
        <v>99.701492999999999</v>
      </c>
      <c r="EI436">
        <v>107.719928</v>
      </c>
      <c r="EJ436">
        <v>179.89228</v>
      </c>
      <c r="EK436">
        <v>456</v>
      </c>
      <c r="EL436">
        <v>557</v>
      </c>
      <c r="EM436">
        <v>600</v>
      </c>
      <c r="EN436">
        <v>1002</v>
      </c>
      <c r="EO436">
        <v>557</v>
      </c>
      <c r="EP436">
        <v>1005</v>
      </c>
      <c r="EQ436">
        <v>55.524227000000003</v>
      </c>
    </row>
    <row r="437" spans="1:147" x14ac:dyDescent="0.25">
      <c r="A437">
        <v>2025</v>
      </c>
      <c r="B437" t="str">
        <f t="shared" si="12"/>
        <v>NE</v>
      </c>
      <c r="C437" t="s">
        <v>2049</v>
      </c>
      <c r="D437" t="s">
        <v>2049</v>
      </c>
      <c r="E437">
        <v>26066</v>
      </c>
      <c r="F437" t="s">
        <v>2042</v>
      </c>
      <c r="G437" t="s">
        <v>2043</v>
      </c>
      <c r="H437" t="s">
        <v>2044</v>
      </c>
      <c r="I437">
        <v>65.42</v>
      </c>
      <c r="J437">
        <v>65.42</v>
      </c>
      <c r="K437" t="s">
        <v>190</v>
      </c>
      <c r="L437">
        <v>1</v>
      </c>
      <c r="M437">
        <v>2018</v>
      </c>
      <c r="O437" t="str">
        <f t="shared" si="13"/>
        <v>Alto fuste</v>
      </c>
      <c r="P437" s="2">
        <v>43321</v>
      </c>
      <c r="Q437" t="s">
        <v>174</v>
      </c>
      <c r="R437" t="s">
        <v>695</v>
      </c>
      <c r="S437" t="s">
        <v>154</v>
      </c>
      <c r="T437" t="s">
        <v>175</v>
      </c>
      <c r="U437" t="s">
        <v>156</v>
      </c>
      <c r="V437" s="2">
        <v>45768</v>
      </c>
      <c r="W437" t="s">
        <v>2045</v>
      </c>
      <c r="X437">
        <v>251.83</v>
      </c>
      <c r="Y437">
        <v>19.8</v>
      </c>
      <c r="Z437">
        <v>26</v>
      </c>
      <c r="AA437">
        <v>15.3</v>
      </c>
      <c r="AB437">
        <v>1</v>
      </c>
      <c r="AC437">
        <v>302.94</v>
      </c>
      <c r="AD437">
        <v>272.23919872125401</v>
      </c>
      <c r="AE437" s="2">
        <v>45768</v>
      </c>
      <c r="AF437">
        <v>80</v>
      </c>
      <c r="AG437">
        <v>6.69952087611225</v>
      </c>
      <c r="AH437">
        <v>32.806527801445803</v>
      </c>
      <c r="AI437">
        <v>19.600000000000001</v>
      </c>
      <c r="AJ437">
        <v>32.414502346050398</v>
      </c>
      <c r="AK437">
        <v>29</v>
      </c>
      <c r="AL437">
        <v>1065.23969127948</v>
      </c>
      <c r="AM437">
        <v>466.34462560885902</v>
      </c>
      <c r="AN437">
        <v>0.43778374897834099</v>
      </c>
      <c r="AO437" t="s">
        <v>695</v>
      </c>
      <c r="AP437" t="s">
        <v>158</v>
      </c>
      <c r="AQ437" t="s">
        <v>294</v>
      </c>
      <c r="AR437">
        <v>9</v>
      </c>
      <c r="AS437">
        <v>0.95871572215152656</v>
      </c>
      <c r="AT437" t="s">
        <v>2050</v>
      </c>
      <c r="AU437" t="s">
        <v>2049</v>
      </c>
      <c r="AV437">
        <v>1009</v>
      </c>
      <c r="AW437">
        <v>604</v>
      </c>
      <c r="AX437">
        <v>293</v>
      </c>
      <c r="AY437">
        <v>99</v>
      </c>
      <c r="AZ437">
        <v>11</v>
      </c>
      <c r="BA437">
        <v>2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35.242001000000002</v>
      </c>
      <c r="BI437">
        <v>21.014330999999999</v>
      </c>
      <c r="BJ437">
        <v>0</v>
      </c>
      <c r="BK437">
        <v>13.909637999999999</v>
      </c>
      <c r="BL437">
        <v>193.47802100000001</v>
      </c>
      <c r="BM437">
        <v>0.66191199999999994</v>
      </c>
      <c r="BN437">
        <v>31.129000000000001</v>
      </c>
      <c r="BO437">
        <v>-0.75010399999999999</v>
      </c>
      <c r="BP437">
        <v>1.671459</v>
      </c>
      <c r="BQ437">
        <v>12.735109</v>
      </c>
      <c r="BR437">
        <v>3.0649989999999998</v>
      </c>
      <c r="BS437">
        <v>29.215</v>
      </c>
      <c r="BT437">
        <v>21.014330999999999</v>
      </c>
      <c r="BU437">
        <v>7.0692409999999999</v>
      </c>
      <c r="BV437">
        <v>-1.9614990000000001</v>
      </c>
      <c r="BW437">
        <v>-0.49156100000000003</v>
      </c>
      <c r="BX437">
        <v>0.33640100000000001</v>
      </c>
      <c r="BY437">
        <v>-0.27746900000000002</v>
      </c>
      <c r="BZ437">
        <v>-6.9535E-2</v>
      </c>
      <c r="CA437">
        <v>1E-3</v>
      </c>
      <c r="CB437">
        <v>7.4000000000000003E-3</v>
      </c>
      <c r="CC437">
        <v>1.78E-2</v>
      </c>
      <c r="CD437">
        <v>5.0999999999999997E-2</v>
      </c>
      <c r="CE437">
        <v>0.153</v>
      </c>
      <c r="CF437">
        <v>9.2515990000000006</v>
      </c>
      <c r="CG437">
        <v>28.382401000000002</v>
      </c>
      <c r="CH437">
        <v>29.215</v>
      </c>
      <c r="CI437">
        <v>30.038799000000001</v>
      </c>
      <c r="CJ437">
        <v>30.868400999999999</v>
      </c>
      <c r="CK437">
        <v>31.282</v>
      </c>
      <c r="CL437">
        <v>31.827400000000001</v>
      </c>
      <c r="CM437">
        <v>32.771197999999998</v>
      </c>
      <c r="CN437">
        <v>33.550800000000002</v>
      </c>
      <c r="CO437">
        <v>34.081161000000002</v>
      </c>
      <c r="CP437">
        <v>0.59628700000000001</v>
      </c>
      <c r="CQ437">
        <v>25.196991000000001</v>
      </c>
      <c r="CR437">
        <v>26.892399000000001</v>
      </c>
      <c r="CS437">
        <v>22</v>
      </c>
      <c r="CT437">
        <v>575</v>
      </c>
      <c r="CU437">
        <v>178.775025</v>
      </c>
      <c r="CV437">
        <v>30.777778000000001</v>
      </c>
      <c r="CW437">
        <v>122.694444</v>
      </c>
      <c r="CX437">
        <v>15053.926520000001</v>
      </c>
      <c r="CY437">
        <v>0.68630599999999997</v>
      </c>
      <c r="CZ437">
        <v>184</v>
      </c>
      <c r="DA437">
        <v>0.84655100000000005</v>
      </c>
      <c r="DB437">
        <v>3.1792630000000002</v>
      </c>
      <c r="DC437">
        <v>99.705378999999994</v>
      </c>
      <c r="DD437">
        <v>178.775025</v>
      </c>
      <c r="DE437">
        <v>67.941636000000003</v>
      </c>
      <c r="DF437">
        <v>12.640463</v>
      </c>
      <c r="DG437">
        <v>4.9667209999999997</v>
      </c>
      <c r="DH437">
        <v>0.38003999999999999</v>
      </c>
      <c r="DI437">
        <v>0.18604899999999999</v>
      </c>
      <c r="DJ437">
        <v>7.3103000000000001E-2</v>
      </c>
      <c r="DK437">
        <v>26</v>
      </c>
      <c r="DL437">
        <v>32</v>
      </c>
      <c r="DM437">
        <v>40.800002999999997</v>
      </c>
      <c r="DN437">
        <v>61</v>
      </c>
      <c r="DO437">
        <v>73</v>
      </c>
      <c r="DP437">
        <v>84</v>
      </c>
      <c r="DQ437">
        <v>123.200012</v>
      </c>
      <c r="DR437">
        <v>159</v>
      </c>
      <c r="DS437">
        <v>194.79998800000001</v>
      </c>
      <c r="DT437">
        <v>229.599976</v>
      </c>
      <c r="DU437">
        <v>257</v>
      </c>
      <c r="DV437">
        <v>280</v>
      </c>
      <c r="DW437">
        <v>339.20001200000002</v>
      </c>
      <c r="DX437">
        <v>437.59997600000003</v>
      </c>
      <c r="DY437">
        <v>513.75994900000001</v>
      </c>
      <c r="DZ437">
        <v>89.900661999999997</v>
      </c>
      <c r="EA437">
        <v>70.86224</v>
      </c>
      <c r="EB437">
        <v>118.377483</v>
      </c>
      <c r="EC437">
        <v>543</v>
      </c>
      <c r="ED437">
        <v>715</v>
      </c>
      <c r="EE437">
        <v>88.245033000000006</v>
      </c>
      <c r="EF437">
        <v>99.834436999999994</v>
      </c>
      <c r="EG437">
        <v>67.294351000000006</v>
      </c>
      <c r="EH437">
        <v>99.603567999999996</v>
      </c>
      <c r="EI437">
        <v>112.417219</v>
      </c>
      <c r="EJ437">
        <v>166.390728</v>
      </c>
      <c r="EK437">
        <v>533</v>
      </c>
      <c r="EL437">
        <v>603</v>
      </c>
      <c r="EM437">
        <v>679</v>
      </c>
      <c r="EN437">
        <v>1005</v>
      </c>
      <c r="EO437">
        <v>604</v>
      </c>
      <c r="EP437">
        <v>1009</v>
      </c>
      <c r="EQ437">
        <v>60.627920000000003</v>
      </c>
    </row>
    <row r="438" spans="1:147" x14ac:dyDescent="0.25">
      <c r="A438">
        <v>2025</v>
      </c>
      <c r="B438" t="str">
        <f t="shared" si="12"/>
        <v>NE</v>
      </c>
      <c r="C438" t="s">
        <v>2051</v>
      </c>
      <c r="D438" t="s">
        <v>2051</v>
      </c>
      <c r="E438">
        <v>26318</v>
      </c>
      <c r="F438" t="s">
        <v>2052</v>
      </c>
      <c r="G438" t="s">
        <v>2053</v>
      </c>
      <c r="H438" t="s">
        <v>2054</v>
      </c>
      <c r="I438">
        <v>42.01</v>
      </c>
      <c r="J438">
        <v>42.01</v>
      </c>
      <c r="K438" t="s">
        <v>1098</v>
      </c>
      <c r="L438">
        <v>1</v>
      </c>
      <c r="M438">
        <v>2018</v>
      </c>
      <c r="O438" t="str">
        <f t="shared" si="13"/>
        <v>Alto fuste</v>
      </c>
      <c r="P438" s="2">
        <v>43157</v>
      </c>
      <c r="Q438" t="s">
        <v>174</v>
      </c>
      <c r="R438" t="s">
        <v>427</v>
      </c>
      <c r="S438" t="s">
        <v>154</v>
      </c>
      <c r="T438" t="s">
        <v>1098</v>
      </c>
      <c r="U438" t="s">
        <v>156</v>
      </c>
      <c r="V438" s="2">
        <v>44814</v>
      </c>
      <c r="W438" t="s">
        <v>2055</v>
      </c>
      <c r="X438">
        <v>126.12</v>
      </c>
      <c r="Y438">
        <v>21</v>
      </c>
      <c r="Z438">
        <v>12</v>
      </c>
      <c r="AA438">
        <v>15.3</v>
      </c>
      <c r="AB438">
        <v>1</v>
      </c>
      <c r="AC438">
        <v>321.3</v>
      </c>
      <c r="AD438">
        <v>314.230957928615</v>
      </c>
      <c r="AE438" s="2">
        <v>45735</v>
      </c>
      <c r="AF438">
        <v>85</v>
      </c>
      <c r="AG438">
        <v>7.0581793292265598</v>
      </c>
      <c r="AH438">
        <v>27.649153131775002</v>
      </c>
      <c r="AI438">
        <v>16.2222222222222</v>
      </c>
      <c r="AJ438">
        <v>24.277559753892199</v>
      </c>
      <c r="AK438">
        <v>36</v>
      </c>
      <c r="AL438">
        <v>1145.65414678773</v>
      </c>
      <c r="AM438">
        <v>307.12276424135501</v>
      </c>
      <c r="AN438">
        <v>0.26807633447012602</v>
      </c>
      <c r="AO438" t="s">
        <v>427</v>
      </c>
      <c r="AP438" t="s">
        <v>158</v>
      </c>
      <c r="AQ438" t="s">
        <v>294</v>
      </c>
      <c r="AR438">
        <v>9</v>
      </c>
      <c r="AS438">
        <v>1.031088732108961</v>
      </c>
      <c r="AT438" t="s">
        <v>2056</v>
      </c>
      <c r="AU438" t="s">
        <v>2051</v>
      </c>
      <c r="AV438">
        <v>1312</v>
      </c>
      <c r="AW438">
        <v>775</v>
      </c>
      <c r="AX438">
        <v>414</v>
      </c>
      <c r="AY438">
        <v>111</v>
      </c>
      <c r="AZ438">
        <v>11</v>
      </c>
      <c r="BA438">
        <v>1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30.035999</v>
      </c>
      <c r="BI438">
        <v>20.352062</v>
      </c>
      <c r="BJ438">
        <v>0</v>
      </c>
      <c r="BK438">
        <v>9.916499</v>
      </c>
      <c r="BL438">
        <v>98.336946999999995</v>
      </c>
      <c r="BM438">
        <v>0.48724800000000001</v>
      </c>
      <c r="BN438">
        <v>9.9802510000000009</v>
      </c>
      <c r="BO438">
        <v>-1.205654</v>
      </c>
      <c r="BP438">
        <v>3.0163129999999998</v>
      </c>
      <c r="BQ438">
        <v>7.8846980000000002</v>
      </c>
      <c r="BR438">
        <v>2.8959999999999999</v>
      </c>
      <c r="BS438">
        <v>25.8125</v>
      </c>
      <c r="BT438">
        <v>20.352062</v>
      </c>
      <c r="BU438">
        <v>5.0454949999999998</v>
      </c>
      <c r="BV438">
        <v>-1.823674</v>
      </c>
      <c r="BW438">
        <v>0.33554099999999998</v>
      </c>
      <c r="BX438">
        <v>0.24791099999999999</v>
      </c>
      <c r="BY438">
        <v>-0.36144599999999999</v>
      </c>
      <c r="BZ438">
        <v>6.6503000000000007E-2</v>
      </c>
      <c r="CA438">
        <v>3.0000000000000001E-3</v>
      </c>
      <c r="CB438">
        <v>1.4999999999999999E-2</v>
      </c>
      <c r="CC438">
        <v>3.1199999999999999E-2</v>
      </c>
      <c r="CD438">
        <v>15.598599999999999</v>
      </c>
      <c r="CE438">
        <v>17.588749</v>
      </c>
      <c r="CF438">
        <v>18.747299000000002</v>
      </c>
      <c r="CG438">
        <v>21.125399000000002</v>
      </c>
      <c r="CH438">
        <v>25.8125</v>
      </c>
      <c r="CI438">
        <v>26.773599999999998</v>
      </c>
      <c r="CJ438">
        <v>27.366800000000001</v>
      </c>
      <c r="CK438">
        <v>27.568999999999999</v>
      </c>
      <c r="CL438">
        <v>27.854799</v>
      </c>
      <c r="CM438">
        <v>28.402000000000001</v>
      </c>
      <c r="CN438">
        <v>28.780698999999998</v>
      </c>
      <c r="CO438">
        <v>29.477041</v>
      </c>
      <c r="CP438">
        <v>0.677589</v>
      </c>
      <c r="CQ438">
        <v>22.637765000000002</v>
      </c>
      <c r="CR438">
        <v>23.665877999999999</v>
      </c>
      <c r="CS438">
        <v>21</v>
      </c>
      <c r="CT438">
        <v>433</v>
      </c>
      <c r="CU438">
        <v>83.538110000000003</v>
      </c>
      <c r="CV438">
        <v>40.619047999999999</v>
      </c>
      <c r="CW438">
        <v>48.974409999999999</v>
      </c>
      <c r="CX438">
        <v>2398.4928260000002</v>
      </c>
      <c r="CY438">
        <v>0.586252</v>
      </c>
      <c r="CZ438">
        <v>61</v>
      </c>
      <c r="DA438">
        <v>1.815858</v>
      </c>
      <c r="DB438">
        <v>8.8298930000000002</v>
      </c>
      <c r="DC438">
        <v>37.163032999999999</v>
      </c>
      <c r="DD438">
        <v>83.538110000000003</v>
      </c>
      <c r="DE438">
        <v>25.272124000000002</v>
      </c>
      <c r="DF438">
        <v>6.9204470000000002</v>
      </c>
      <c r="DG438">
        <v>3.3576779999999999</v>
      </c>
      <c r="DH438">
        <v>0.30252200000000001</v>
      </c>
      <c r="DI438">
        <v>0.273837</v>
      </c>
      <c r="DJ438">
        <v>0.13286100000000001</v>
      </c>
      <c r="DK438">
        <v>26.110001</v>
      </c>
      <c r="DL438">
        <v>33</v>
      </c>
      <c r="DM438">
        <v>37</v>
      </c>
      <c r="DN438">
        <v>43</v>
      </c>
      <c r="DO438">
        <v>47</v>
      </c>
      <c r="DP438">
        <v>51</v>
      </c>
      <c r="DQ438">
        <v>60</v>
      </c>
      <c r="DR438">
        <v>70</v>
      </c>
      <c r="DS438">
        <v>82</v>
      </c>
      <c r="DT438">
        <v>99</v>
      </c>
      <c r="DU438">
        <v>108</v>
      </c>
      <c r="DV438">
        <v>119</v>
      </c>
      <c r="DW438">
        <v>147.900024</v>
      </c>
      <c r="DX438">
        <v>170</v>
      </c>
      <c r="DY438">
        <v>250.35022000000001</v>
      </c>
      <c r="DZ438">
        <v>98.580645000000004</v>
      </c>
      <c r="EA438">
        <v>83.765243999999996</v>
      </c>
      <c r="EB438">
        <v>141.80645200000001</v>
      </c>
      <c r="EC438">
        <v>764</v>
      </c>
      <c r="ED438">
        <v>1099</v>
      </c>
      <c r="EE438">
        <v>89.419354999999996</v>
      </c>
      <c r="EF438">
        <v>100</v>
      </c>
      <c r="EG438">
        <v>63.109755999999997</v>
      </c>
      <c r="EH438">
        <v>99.847560999999999</v>
      </c>
      <c r="EI438">
        <v>106.83871000000001</v>
      </c>
      <c r="EJ438">
        <v>169.03225800000001</v>
      </c>
      <c r="EK438">
        <v>693</v>
      </c>
      <c r="EL438">
        <v>775</v>
      </c>
      <c r="EM438">
        <v>828</v>
      </c>
      <c r="EN438">
        <v>1310</v>
      </c>
      <c r="EO438">
        <v>775</v>
      </c>
      <c r="EP438">
        <v>1312</v>
      </c>
      <c r="EQ438">
        <v>68.042610999999994</v>
      </c>
    </row>
    <row r="439" spans="1:147" x14ac:dyDescent="0.25">
      <c r="A439">
        <v>2025</v>
      </c>
      <c r="B439" t="str">
        <f t="shared" si="12"/>
        <v>NE</v>
      </c>
      <c r="C439" t="s">
        <v>2057</v>
      </c>
      <c r="D439" t="s">
        <v>2057</v>
      </c>
      <c r="E439">
        <v>26320</v>
      </c>
      <c r="F439" t="s">
        <v>2052</v>
      </c>
      <c r="G439" t="s">
        <v>2053</v>
      </c>
      <c r="H439" t="s">
        <v>2054</v>
      </c>
      <c r="I439">
        <v>42.01</v>
      </c>
      <c r="J439">
        <v>42.01</v>
      </c>
      <c r="K439" t="s">
        <v>1098</v>
      </c>
      <c r="L439">
        <v>1</v>
      </c>
      <c r="M439">
        <v>2018</v>
      </c>
      <c r="O439" t="str">
        <f t="shared" si="13"/>
        <v>Alto fuste</v>
      </c>
      <c r="P439" s="2">
        <v>43157</v>
      </c>
      <c r="Q439" t="s">
        <v>174</v>
      </c>
      <c r="R439" t="s">
        <v>427</v>
      </c>
      <c r="S439" t="s">
        <v>154</v>
      </c>
      <c r="T439" t="s">
        <v>1098</v>
      </c>
      <c r="U439" t="s">
        <v>156</v>
      </c>
      <c r="V439" s="2">
        <v>45735</v>
      </c>
      <c r="W439" t="s">
        <v>2055</v>
      </c>
      <c r="X439">
        <v>126.12</v>
      </c>
      <c r="Y439">
        <v>20.8</v>
      </c>
      <c r="Z439">
        <v>10</v>
      </c>
      <c r="AA439">
        <v>14.8</v>
      </c>
      <c r="AB439">
        <v>1</v>
      </c>
      <c r="AC439">
        <v>307.83999999999997</v>
      </c>
      <c r="AD439">
        <v>303.11704546066801</v>
      </c>
      <c r="AE439" s="2">
        <v>45735</v>
      </c>
      <c r="AF439">
        <v>85</v>
      </c>
      <c r="AG439">
        <v>7.0581793292265598</v>
      </c>
      <c r="AH439">
        <v>24.9563832755526</v>
      </c>
      <c r="AI439">
        <v>16.054054054054099</v>
      </c>
      <c r="AJ439">
        <v>25.778940516290799</v>
      </c>
      <c r="AK439">
        <v>37</v>
      </c>
      <c r="AL439">
        <v>1220.65058874431</v>
      </c>
      <c r="AM439">
        <v>296.70242320214902</v>
      </c>
      <c r="AN439">
        <v>0.24306908622177301</v>
      </c>
      <c r="AO439" t="s">
        <v>427</v>
      </c>
      <c r="AP439" t="s">
        <v>158</v>
      </c>
      <c r="AQ439" t="s">
        <v>294</v>
      </c>
      <c r="AR439">
        <v>9</v>
      </c>
      <c r="AS439">
        <v>1.0985855298698779</v>
      </c>
      <c r="AT439" t="s">
        <v>2058</v>
      </c>
      <c r="AU439" t="s">
        <v>2057</v>
      </c>
      <c r="AV439">
        <v>1358</v>
      </c>
      <c r="AW439">
        <v>801</v>
      </c>
      <c r="AX439">
        <v>410</v>
      </c>
      <c r="AY439">
        <v>133</v>
      </c>
      <c r="AZ439">
        <v>13</v>
      </c>
      <c r="BA439">
        <v>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30.385000000000002</v>
      </c>
      <c r="BI439">
        <v>21.485880000000002</v>
      </c>
      <c r="BJ439">
        <v>0</v>
      </c>
      <c r="BK439">
        <v>8.5910840000000004</v>
      </c>
      <c r="BL439">
        <v>73.806725999999998</v>
      </c>
      <c r="BM439">
        <v>0.39984799999999998</v>
      </c>
      <c r="BN439">
        <v>8.9137500000000003</v>
      </c>
      <c r="BO439">
        <v>-1.5223450000000001</v>
      </c>
      <c r="BP439">
        <v>4.3336410000000001</v>
      </c>
      <c r="BQ439">
        <v>6.4876870000000002</v>
      </c>
      <c r="BR439">
        <v>3.292999</v>
      </c>
      <c r="BS439">
        <v>25.137001000000001</v>
      </c>
      <c r="BT439">
        <v>21.485880000000002</v>
      </c>
      <c r="BU439">
        <v>4.298826</v>
      </c>
      <c r="BV439">
        <v>-1.5858179999999999</v>
      </c>
      <c r="BW439">
        <v>0.60571299999999995</v>
      </c>
      <c r="BX439">
        <v>0.200077</v>
      </c>
      <c r="BY439">
        <v>-0.368896</v>
      </c>
      <c r="BZ439">
        <v>0.140902</v>
      </c>
      <c r="CA439">
        <v>6.5700000000000003E-3</v>
      </c>
      <c r="CB439">
        <v>3.3000000000000002E-2</v>
      </c>
      <c r="CC439">
        <v>0.48980000000000001</v>
      </c>
      <c r="CD439">
        <v>17.637599999999999</v>
      </c>
      <c r="CE439">
        <v>18.649249999999999</v>
      </c>
      <c r="CF439">
        <v>19.731501000000002</v>
      </c>
      <c r="CG439">
        <v>22.149398999999999</v>
      </c>
      <c r="CH439">
        <v>25.137001000000001</v>
      </c>
      <c r="CI439">
        <v>26.510601000000001</v>
      </c>
      <c r="CJ439">
        <v>27.265501</v>
      </c>
      <c r="CK439">
        <v>27.562999999999999</v>
      </c>
      <c r="CL439">
        <v>27.849001000000001</v>
      </c>
      <c r="CM439">
        <v>28.488900999999998</v>
      </c>
      <c r="CN439">
        <v>29.033152000000001</v>
      </c>
      <c r="CO439">
        <v>29.784882</v>
      </c>
      <c r="CP439">
        <v>0.707121</v>
      </c>
      <c r="CQ439">
        <v>23.138612999999999</v>
      </c>
      <c r="CR439">
        <v>23.932752000000001</v>
      </c>
      <c r="CS439">
        <v>23</v>
      </c>
      <c r="CT439">
        <v>377</v>
      </c>
      <c r="CU439">
        <v>84.435935000000001</v>
      </c>
      <c r="CV439">
        <v>39.857143000000001</v>
      </c>
      <c r="CW439">
        <v>46.937123</v>
      </c>
      <c r="CX439">
        <v>2203.093535</v>
      </c>
      <c r="CY439">
        <v>0.55589</v>
      </c>
      <c r="CZ439">
        <v>59</v>
      </c>
      <c r="DA439">
        <v>1.4888980000000001</v>
      </c>
      <c r="DB439">
        <v>6.4851520000000002</v>
      </c>
      <c r="DC439">
        <v>36.369253</v>
      </c>
      <c r="DD439">
        <v>84.435935000000001</v>
      </c>
      <c r="DE439">
        <v>24.784835000000001</v>
      </c>
      <c r="DF439">
        <v>6.3272890000000004</v>
      </c>
      <c r="DG439">
        <v>3.0936849999999998</v>
      </c>
      <c r="DH439">
        <v>0.29353400000000002</v>
      </c>
      <c r="DI439">
        <v>0.25528899999999999</v>
      </c>
      <c r="DJ439">
        <v>0.124822</v>
      </c>
      <c r="DK439">
        <v>27.57</v>
      </c>
      <c r="DL439">
        <v>33</v>
      </c>
      <c r="DM439">
        <v>37</v>
      </c>
      <c r="DN439">
        <v>45</v>
      </c>
      <c r="DO439">
        <v>49</v>
      </c>
      <c r="DP439">
        <v>53</v>
      </c>
      <c r="DQ439">
        <v>62</v>
      </c>
      <c r="DR439">
        <v>72</v>
      </c>
      <c r="DS439">
        <v>84</v>
      </c>
      <c r="DT439">
        <v>100.900024</v>
      </c>
      <c r="DU439">
        <v>108</v>
      </c>
      <c r="DV439">
        <v>118</v>
      </c>
      <c r="DW439">
        <v>150</v>
      </c>
      <c r="DX439">
        <v>175.150024</v>
      </c>
      <c r="DY439">
        <v>227.29016100000001</v>
      </c>
      <c r="DZ439">
        <v>99.500624000000002</v>
      </c>
      <c r="EA439">
        <v>89.175257999999999</v>
      </c>
      <c r="EB439">
        <v>151.18601699999999</v>
      </c>
      <c r="EC439">
        <v>797</v>
      </c>
      <c r="ED439">
        <v>1211</v>
      </c>
      <c r="EE439">
        <v>89.013733000000002</v>
      </c>
      <c r="EF439">
        <v>100</v>
      </c>
      <c r="EG439">
        <v>62.739322999999999</v>
      </c>
      <c r="EH439">
        <v>99.852725000000007</v>
      </c>
      <c r="EI439">
        <v>106.367041</v>
      </c>
      <c r="EJ439">
        <v>169.28838999999999</v>
      </c>
      <c r="EK439">
        <v>713</v>
      </c>
      <c r="EL439">
        <v>801</v>
      </c>
      <c r="EM439">
        <v>852</v>
      </c>
      <c r="EN439">
        <v>1356</v>
      </c>
      <c r="EO439">
        <v>801</v>
      </c>
      <c r="EP439">
        <v>1358</v>
      </c>
      <c r="EQ439">
        <v>71.196351000000007</v>
      </c>
    </row>
    <row r="440" spans="1:147" x14ac:dyDescent="0.25">
      <c r="A440">
        <v>2025</v>
      </c>
      <c r="B440" t="str">
        <f t="shared" si="12"/>
        <v>NE</v>
      </c>
      <c r="C440" t="s">
        <v>2059</v>
      </c>
      <c r="D440" t="s">
        <v>2059</v>
      </c>
      <c r="E440">
        <v>25314</v>
      </c>
      <c r="F440" t="s">
        <v>1119</v>
      </c>
      <c r="G440" t="s">
        <v>1112</v>
      </c>
      <c r="H440" t="s">
        <v>2060</v>
      </c>
      <c r="I440">
        <v>37.61</v>
      </c>
      <c r="J440">
        <v>37.61</v>
      </c>
      <c r="K440" t="s">
        <v>1098</v>
      </c>
      <c r="L440">
        <v>1</v>
      </c>
      <c r="M440">
        <v>2017</v>
      </c>
      <c r="O440" t="str">
        <f t="shared" si="13"/>
        <v>Alto fuste</v>
      </c>
      <c r="P440" s="2">
        <v>42943</v>
      </c>
      <c r="Q440" t="s">
        <v>174</v>
      </c>
      <c r="R440" t="s">
        <v>314</v>
      </c>
      <c r="S440" t="s">
        <v>154</v>
      </c>
      <c r="T440" t="s">
        <v>1098</v>
      </c>
      <c r="U440" t="s">
        <v>156</v>
      </c>
      <c r="V440" s="2">
        <v>44815</v>
      </c>
      <c r="W440" t="s">
        <v>1114</v>
      </c>
      <c r="X440">
        <v>56.72</v>
      </c>
      <c r="Y440">
        <v>21.2</v>
      </c>
      <c r="Z440">
        <v>14</v>
      </c>
      <c r="AA440">
        <v>15</v>
      </c>
      <c r="AB440">
        <v>2</v>
      </c>
      <c r="AC440">
        <v>318</v>
      </c>
      <c r="AD440">
        <v>308.36607817086798</v>
      </c>
      <c r="AE440" s="2">
        <v>45736</v>
      </c>
      <c r="AF440">
        <v>92</v>
      </c>
      <c r="AG440">
        <v>7.6468172484599597</v>
      </c>
      <c r="AH440">
        <v>28.0385033772653</v>
      </c>
      <c r="AI440">
        <v>16.3322580645161</v>
      </c>
      <c r="AJ440">
        <v>22.725489565091301</v>
      </c>
      <c r="AK440">
        <v>31</v>
      </c>
      <c r="AL440">
        <v>1005.2986432192</v>
      </c>
      <c r="AM440">
        <v>313.84340261442202</v>
      </c>
      <c r="AN440">
        <v>0.31218922330325799</v>
      </c>
      <c r="AO440" t="s">
        <v>314</v>
      </c>
      <c r="AP440" t="s">
        <v>158</v>
      </c>
      <c r="AQ440" t="s">
        <v>901</v>
      </c>
      <c r="AR440">
        <v>9</v>
      </c>
      <c r="AS440">
        <v>0.90476877889728191</v>
      </c>
      <c r="AT440" t="s">
        <v>2061</v>
      </c>
      <c r="AU440" t="s">
        <v>2059</v>
      </c>
      <c r="AV440">
        <v>1193</v>
      </c>
      <c r="AW440">
        <v>513</v>
      </c>
      <c r="AX440">
        <v>395</v>
      </c>
      <c r="AY440">
        <v>214</v>
      </c>
      <c r="AZ440">
        <v>60</v>
      </c>
      <c r="BA440">
        <v>11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35.603999999999999</v>
      </c>
      <c r="BI440">
        <v>18.543759000000001</v>
      </c>
      <c r="BJ440">
        <v>0</v>
      </c>
      <c r="BK440">
        <v>11.586868000000001</v>
      </c>
      <c r="BL440">
        <v>134.255516</v>
      </c>
      <c r="BM440">
        <v>0.62483900000000003</v>
      </c>
      <c r="BN440">
        <v>19.110999</v>
      </c>
      <c r="BO440">
        <v>-0.46090700000000001</v>
      </c>
      <c r="BP440">
        <v>1.837491</v>
      </c>
      <c r="BQ440">
        <v>9.9797589999999996</v>
      </c>
      <c r="BR440">
        <v>8.7300009999999997</v>
      </c>
      <c r="BS440">
        <v>21.077998999999998</v>
      </c>
      <c r="BT440">
        <v>18.543759000000001</v>
      </c>
      <c r="BU440">
        <v>6.5273149999999998</v>
      </c>
      <c r="BV440">
        <v>-0.85289999999999999</v>
      </c>
      <c r="BW440">
        <v>-0.21248</v>
      </c>
      <c r="BX440">
        <v>0.351995</v>
      </c>
      <c r="BY440">
        <v>-0.130666</v>
      </c>
      <c r="BZ440">
        <v>-3.2551999999999998E-2</v>
      </c>
      <c r="CA440">
        <v>2E-3</v>
      </c>
      <c r="CB440">
        <v>1.2999999999999999E-2</v>
      </c>
      <c r="CC440">
        <v>2.6200000000000001E-2</v>
      </c>
      <c r="CD440">
        <v>0.15060000000000001</v>
      </c>
      <c r="CE440">
        <v>10.250999999999999</v>
      </c>
      <c r="CF440">
        <v>12.569400999999999</v>
      </c>
      <c r="CG440">
        <v>16.866399999999999</v>
      </c>
      <c r="CH440">
        <v>21.077998999999998</v>
      </c>
      <c r="CI440">
        <v>24.638399</v>
      </c>
      <c r="CJ440">
        <v>28.024999999999999</v>
      </c>
      <c r="CK440">
        <v>29.361999999999998</v>
      </c>
      <c r="CL440">
        <v>29.861398999999999</v>
      </c>
      <c r="CM440">
        <v>31.811201000000001</v>
      </c>
      <c r="CN440">
        <v>32.572398999999997</v>
      </c>
      <c r="CO440">
        <v>34.474155000000003</v>
      </c>
      <c r="CP440">
        <v>0.52083400000000002</v>
      </c>
      <c r="CQ440">
        <v>21.863530000000001</v>
      </c>
      <c r="CR440">
        <v>23.587156</v>
      </c>
      <c r="CS440">
        <v>22</v>
      </c>
      <c r="CT440">
        <v>504</v>
      </c>
      <c r="CU440">
        <v>98.072086999999996</v>
      </c>
      <c r="CV440">
        <v>37.301586999999998</v>
      </c>
      <c r="CW440">
        <v>67.136878999999993</v>
      </c>
      <c r="CX440">
        <v>4507.3605710000002</v>
      </c>
      <c r="CY440">
        <v>0.68456700000000004</v>
      </c>
      <c r="CZ440">
        <v>87</v>
      </c>
      <c r="DA440">
        <v>1.689022</v>
      </c>
      <c r="DB440">
        <v>7.2747760000000001</v>
      </c>
      <c r="DC440">
        <v>51.589365000000001</v>
      </c>
      <c r="DD440">
        <v>98.072086999999996</v>
      </c>
      <c r="DE440">
        <v>34.696750000000002</v>
      </c>
      <c r="DF440">
        <v>10.252762000000001</v>
      </c>
      <c r="DG440">
        <v>4.239503</v>
      </c>
      <c r="DH440">
        <v>0.35378799999999999</v>
      </c>
      <c r="DI440">
        <v>0.29549599999999998</v>
      </c>
      <c r="DJ440">
        <v>0.122187</v>
      </c>
      <c r="DK440">
        <v>26.92</v>
      </c>
      <c r="DL440">
        <v>31</v>
      </c>
      <c r="DM440">
        <v>36</v>
      </c>
      <c r="DN440">
        <v>43</v>
      </c>
      <c r="DO440">
        <v>46</v>
      </c>
      <c r="DP440">
        <v>51</v>
      </c>
      <c r="DQ440">
        <v>63</v>
      </c>
      <c r="DR440">
        <v>77</v>
      </c>
      <c r="DS440">
        <v>95</v>
      </c>
      <c r="DT440">
        <v>118.400024</v>
      </c>
      <c r="DU440">
        <v>133</v>
      </c>
      <c r="DV440">
        <v>146</v>
      </c>
      <c r="DW440">
        <v>188.800049</v>
      </c>
      <c r="DX440">
        <v>225.400024</v>
      </c>
      <c r="DY440">
        <v>337</v>
      </c>
      <c r="DZ440">
        <v>98.050681999999995</v>
      </c>
      <c r="EA440">
        <v>79.547359999999998</v>
      </c>
      <c r="EB440">
        <v>184.990253</v>
      </c>
      <c r="EC440">
        <v>503</v>
      </c>
      <c r="ED440">
        <v>949</v>
      </c>
      <c r="EE440">
        <v>89.278751999999997</v>
      </c>
      <c r="EF440">
        <v>100</v>
      </c>
      <c r="EG440">
        <v>56.244760999999997</v>
      </c>
      <c r="EH440">
        <v>99.916178000000002</v>
      </c>
      <c r="EI440">
        <v>130.79921999999999</v>
      </c>
      <c r="EJ440">
        <v>232.35867400000001</v>
      </c>
      <c r="EK440">
        <v>458</v>
      </c>
      <c r="EL440">
        <v>513</v>
      </c>
      <c r="EM440">
        <v>671</v>
      </c>
      <c r="EN440">
        <v>1192</v>
      </c>
      <c r="EO440">
        <v>513</v>
      </c>
      <c r="EP440">
        <v>1193</v>
      </c>
      <c r="EQ440">
        <v>52.766975000000002</v>
      </c>
    </row>
    <row r="441" spans="1:147" x14ac:dyDescent="0.25">
      <c r="A441">
        <v>2025</v>
      </c>
      <c r="B441" t="str">
        <f t="shared" si="12"/>
        <v>NE</v>
      </c>
      <c r="C441" t="s">
        <v>2062</v>
      </c>
      <c r="D441" t="s">
        <v>2062</v>
      </c>
      <c r="E441">
        <v>31057</v>
      </c>
      <c r="F441" t="s">
        <v>1119</v>
      </c>
      <c r="G441" t="s">
        <v>1112</v>
      </c>
      <c r="H441" t="s">
        <v>2060</v>
      </c>
      <c r="I441">
        <v>37.61</v>
      </c>
      <c r="J441">
        <v>37.61</v>
      </c>
      <c r="K441" t="s">
        <v>1098</v>
      </c>
      <c r="L441">
        <v>1</v>
      </c>
      <c r="M441">
        <v>2017</v>
      </c>
      <c r="O441" t="str">
        <f t="shared" si="13"/>
        <v>Alto fuste</v>
      </c>
      <c r="P441" s="2">
        <v>42943</v>
      </c>
      <c r="Q441" t="s">
        <v>174</v>
      </c>
      <c r="R441" t="s">
        <v>314</v>
      </c>
      <c r="S441" t="s">
        <v>154</v>
      </c>
      <c r="T441" t="s">
        <v>1098</v>
      </c>
      <c r="U441" t="s">
        <v>156</v>
      </c>
      <c r="V441" s="2">
        <v>44816</v>
      </c>
      <c r="W441" t="s">
        <v>1114</v>
      </c>
      <c r="X441">
        <v>56.72</v>
      </c>
      <c r="Y441">
        <v>21.3</v>
      </c>
      <c r="Z441">
        <v>10</v>
      </c>
      <c r="AA441">
        <v>14.9</v>
      </c>
      <c r="AB441">
        <v>3</v>
      </c>
      <c r="AC441">
        <v>317.37</v>
      </c>
      <c r="AD441">
        <v>312.12009980364797</v>
      </c>
      <c r="AE441" s="2">
        <v>45736</v>
      </c>
      <c r="AF441">
        <v>92</v>
      </c>
      <c r="AG441">
        <v>7.6468172484599597</v>
      </c>
      <c r="AH441">
        <v>26.778757603833299</v>
      </c>
      <c r="AI441">
        <v>16.72</v>
      </c>
      <c r="AJ441">
        <v>22.760535579433</v>
      </c>
      <c r="AK441">
        <v>30</v>
      </c>
      <c r="AL441">
        <v>961.16847389427005</v>
      </c>
      <c r="AM441">
        <v>295.283280077489</v>
      </c>
      <c r="AN441">
        <v>0.30721282282711498</v>
      </c>
      <c r="AO441" t="s">
        <v>314</v>
      </c>
      <c r="AP441" t="s">
        <v>158</v>
      </c>
      <c r="AQ441" t="s">
        <v>901</v>
      </c>
      <c r="AR441">
        <v>9</v>
      </c>
      <c r="AS441">
        <v>0.86505162650484424</v>
      </c>
      <c r="AT441" t="s">
        <v>2063</v>
      </c>
      <c r="AU441" t="s">
        <v>2062</v>
      </c>
      <c r="AV441">
        <v>1221</v>
      </c>
      <c r="AW441">
        <v>532</v>
      </c>
      <c r="AX441">
        <v>412</v>
      </c>
      <c r="AY441">
        <v>208</v>
      </c>
      <c r="AZ441">
        <v>62</v>
      </c>
      <c r="BA441">
        <v>7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35.094002000000003</v>
      </c>
      <c r="BI441">
        <v>19.307382</v>
      </c>
      <c r="BJ441">
        <v>0</v>
      </c>
      <c r="BK441">
        <v>11.291641</v>
      </c>
      <c r="BL441">
        <v>127.501155</v>
      </c>
      <c r="BM441">
        <v>0.58483499999999999</v>
      </c>
      <c r="BN441">
        <v>18.566998999999999</v>
      </c>
      <c r="BO441">
        <v>-0.51985599999999998</v>
      </c>
      <c r="BP441">
        <v>1.9669099999999999</v>
      </c>
      <c r="BQ441">
        <v>9.6541429999999995</v>
      </c>
      <c r="BR441">
        <v>8.6469989999999992</v>
      </c>
      <c r="BS441">
        <v>21.516000999999999</v>
      </c>
      <c r="BT441">
        <v>19.307382</v>
      </c>
      <c r="BU441">
        <v>6.3594499999999998</v>
      </c>
      <c r="BV441">
        <v>-0.94650500000000004</v>
      </c>
      <c r="BW441">
        <v>-7.8278E-2</v>
      </c>
      <c r="BX441">
        <v>0.32937899999999998</v>
      </c>
      <c r="BY441">
        <v>-0.14883399999999999</v>
      </c>
      <c r="BZ441">
        <v>-1.2309E-2</v>
      </c>
      <c r="CA441">
        <v>2E-3</v>
      </c>
      <c r="CB441">
        <v>1.2E-2</v>
      </c>
      <c r="CC441">
        <v>2.4E-2</v>
      </c>
      <c r="CD441">
        <v>8.4830000000000005</v>
      </c>
      <c r="CE441">
        <v>10.997</v>
      </c>
      <c r="CF441">
        <v>13.458</v>
      </c>
      <c r="CG441">
        <v>17.924999</v>
      </c>
      <c r="CH441">
        <v>21.516000999999999</v>
      </c>
      <c r="CI441">
        <v>25.131001000000001</v>
      </c>
      <c r="CJ441">
        <v>28.400998999999999</v>
      </c>
      <c r="CK441">
        <v>29.563998999999999</v>
      </c>
      <c r="CL441">
        <v>30.315999999999999</v>
      </c>
      <c r="CM441">
        <v>31.98</v>
      </c>
      <c r="CN441">
        <v>33.005001</v>
      </c>
      <c r="CO441">
        <v>34.248806000000002</v>
      </c>
      <c r="CP441">
        <v>0.55016200000000004</v>
      </c>
      <c r="CQ441">
        <v>22.364519999999999</v>
      </c>
      <c r="CR441">
        <v>24.002642000000002</v>
      </c>
      <c r="CS441">
        <v>23</v>
      </c>
      <c r="CT441">
        <v>603</v>
      </c>
      <c r="CU441">
        <v>106.65356300000001</v>
      </c>
      <c r="CV441">
        <v>50.619047999999999</v>
      </c>
      <c r="CW441">
        <v>93.593007999999998</v>
      </c>
      <c r="CX441">
        <v>8759.651194</v>
      </c>
      <c r="CY441">
        <v>0.87754200000000004</v>
      </c>
      <c r="CZ441">
        <v>83</v>
      </c>
      <c r="DA441">
        <v>2.555323</v>
      </c>
      <c r="DB441">
        <v>10.795971</v>
      </c>
      <c r="DC441">
        <v>63.603101000000002</v>
      </c>
      <c r="DD441">
        <v>106.65356300000001</v>
      </c>
      <c r="DE441">
        <v>42.935167</v>
      </c>
      <c r="DF441">
        <v>18.145959999999999</v>
      </c>
      <c r="DG441">
        <v>10.362994</v>
      </c>
      <c r="DH441">
        <v>0.40256700000000001</v>
      </c>
      <c r="DI441">
        <v>0.42263600000000001</v>
      </c>
      <c r="DJ441">
        <v>0.241364</v>
      </c>
      <c r="DK441">
        <v>27</v>
      </c>
      <c r="DL441">
        <v>32</v>
      </c>
      <c r="DM441">
        <v>36</v>
      </c>
      <c r="DN441">
        <v>44</v>
      </c>
      <c r="DO441">
        <v>49</v>
      </c>
      <c r="DP441">
        <v>53</v>
      </c>
      <c r="DQ441">
        <v>62</v>
      </c>
      <c r="DR441">
        <v>75</v>
      </c>
      <c r="DS441">
        <v>91</v>
      </c>
      <c r="DT441">
        <v>116</v>
      </c>
      <c r="DU441">
        <v>132</v>
      </c>
      <c r="DV441">
        <v>148</v>
      </c>
      <c r="DW441">
        <v>209</v>
      </c>
      <c r="DX441">
        <v>281</v>
      </c>
      <c r="DY441">
        <v>503.800049</v>
      </c>
      <c r="DZ441">
        <v>95.864661999999996</v>
      </c>
      <c r="EA441">
        <v>82.882883000000007</v>
      </c>
      <c r="EB441">
        <v>190.22556399999999</v>
      </c>
      <c r="EC441">
        <v>510</v>
      </c>
      <c r="ED441">
        <v>1012</v>
      </c>
      <c r="EE441">
        <v>81.578946999999999</v>
      </c>
      <c r="EF441">
        <v>99.812029999999993</v>
      </c>
      <c r="EG441">
        <v>56.429155999999999</v>
      </c>
      <c r="EH441">
        <v>99.754300000000001</v>
      </c>
      <c r="EI441">
        <v>129.511278</v>
      </c>
      <c r="EJ441">
        <v>228.94736800000001</v>
      </c>
      <c r="EK441">
        <v>434</v>
      </c>
      <c r="EL441">
        <v>531</v>
      </c>
      <c r="EM441">
        <v>689</v>
      </c>
      <c r="EN441">
        <v>1218</v>
      </c>
      <c r="EO441">
        <v>532</v>
      </c>
      <c r="EP441">
        <v>1221</v>
      </c>
      <c r="EQ441">
        <v>55.380692000000003</v>
      </c>
    </row>
    <row r="442" spans="1:147" x14ac:dyDescent="0.25">
      <c r="A442">
        <v>2025</v>
      </c>
      <c r="B442" t="str">
        <f t="shared" si="12"/>
        <v>NE</v>
      </c>
      <c r="C442" t="s">
        <v>2064</v>
      </c>
      <c r="D442" t="s">
        <v>2064</v>
      </c>
      <c r="E442">
        <v>26506</v>
      </c>
      <c r="F442" t="s">
        <v>1430</v>
      </c>
      <c r="G442" t="s">
        <v>1112</v>
      </c>
      <c r="H442" t="s">
        <v>1431</v>
      </c>
      <c r="I442">
        <v>54.03</v>
      </c>
      <c r="J442">
        <v>54.03</v>
      </c>
      <c r="K442" t="s">
        <v>1098</v>
      </c>
      <c r="L442">
        <v>1</v>
      </c>
      <c r="M442">
        <v>2018</v>
      </c>
      <c r="O442" t="str">
        <f t="shared" si="13"/>
        <v>Talhadia</v>
      </c>
      <c r="P442" s="2">
        <v>43143</v>
      </c>
      <c r="Q442" t="s">
        <v>174</v>
      </c>
      <c r="R442" t="s">
        <v>278</v>
      </c>
      <c r="S442" t="s">
        <v>154</v>
      </c>
      <c r="T442" t="s">
        <v>1098</v>
      </c>
      <c r="U442" t="s">
        <v>156</v>
      </c>
      <c r="V442" s="2">
        <v>45736</v>
      </c>
      <c r="W442" t="s">
        <v>1114</v>
      </c>
      <c r="X442">
        <v>105.87</v>
      </c>
      <c r="Y442">
        <v>19.3</v>
      </c>
      <c r="Z442">
        <v>21</v>
      </c>
      <c r="AA442">
        <v>16.2</v>
      </c>
      <c r="AB442">
        <v>4</v>
      </c>
      <c r="AC442">
        <v>312.66000000000003</v>
      </c>
      <c r="AD442">
        <v>291.18221884714097</v>
      </c>
      <c r="AE442" s="2">
        <v>45736</v>
      </c>
      <c r="AF442">
        <v>85</v>
      </c>
      <c r="AG442">
        <v>7.0992470910335399</v>
      </c>
      <c r="AH442">
        <v>30.154005729308299</v>
      </c>
      <c r="AI442">
        <v>17.837499999999999</v>
      </c>
      <c r="AJ442">
        <v>29.951013539572301</v>
      </c>
      <c r="AK442">
        <v>32</v>
      </c>
      <c r="AL442">
        <v>1098.96820371435</v>
      </c>
      <c r="AM442">
        <v>450.31035890672098</v>
      </c>
      <c r="AN442">
        <v>0.40975740461347299</v>
      </c>
      <c r="AO442" t="s">
        <v>278</v>
      </c>
      <c r="AP442" t="s">
        <v>264</v>
      </c>
      <c r="AQ442" t="s">
        <v>901</v>
      </c>
      <c r="AR442">
        <v>9</v>
      </c>
      <c r="AS442">
        <v>0.98907138334291111</v>
      </c>
      <c r="AT442" t="s">
        <v>2065</v>
      </c>
      <c r="AU442" t="s">
        <v>2064</v>
      </c>
      <c r="AV442">
        <v>1212</v>
      </c>
      <c r="AW442">
        <v>557</v>
      </c>
      <c r="AX442">
        <v>409</v>
      </c>
      <c r="AY442">
        <v>188</v>
      </c>
      <c r="AZ442">
        <v>53</v>
      </c>
      <c r="BA442">
        <v>5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38.252997999999998</v>
      </c>
      <c r="BI442">
        <v>21.174894999999999</v>
      </c>
      <c r="BJ442">
        <v>0</v>
      </c>
      <c r="BK442">
        <v>13.267580000000001</v>
      </c>
      <c r="BL442">
        <v>176.02867699999999</v>
      </c>
      <c r="BM442">
        <v>0.62657099999999999</v>
      </c>
      <c r="BN442">
        <v>24.171250000000001</v>
      </c>
      <c r="BO442">
        <v>-0.54357800000000001</v>
      </c>
      <c r="BP442">
        <v>1.770189</v>
      </c>
      <c r="BQ442">
        <v>11.613163</v>
      </c>
      <c r="BR442">
        <v>8.9524989999999995</v>
      </c>
      <c r="BS442">
        <v>25.470500999999999</v>
      </c>
      <c r="BT442">
        <v>21.174894999999999</v>
      </c>
      <c r="BU442">
        <v>7.3753320000000002</v>
      </c>
      <c r="BV442">
        <v>-1.2582519999999999</v>
      </c>
      <c r="BW442">
        <v>-0.38947199999999998</v>
      </c>
      <c r="BX442">
        <v>0.34830499999999998</v>
      </c>
      <c r="BY442">
        <v>-0.170603</v>
      </c>
      <c r="BZ442">
        <v>-5.2807E-2</v>
      </c>
      <c r="CA442">
        <v>6.0000000000000001E-3</v>
      </c>
      <c r="CB442">
        <v>3.3000000000000002E-2</v>
      </c>
      <c r="CC442">
        <v>7.4099999999999999E-2</v>
      </c>
      <c r="CD442">
        <v>0.68740000000000001</v>
      </c>
      <c r="CE442">
        <v>9.0265000000000004</v>
      </c>
      <c r="CF442">
        <v>13.714399999999999</v>
      </c>
      <c r="CG442">
        <v>21.664200000000001</v>
      </c>
      <c r="CH442">
        <v>25.470500999999999</v>
      </c>
      <c r="CI442">
        <v>29.071999000000002</v>
      </c>
      <c r="CJ442">
        <v>31.878601</v>
      </c>
      <c r="CK442">
        <v>33.197749999999999</v>
      </c>
      <c r="CL442">
        <v>34.178001000000002</v>
      </c>
      <c r="CM442">
        <v>35.196598000000002</v>
      </c>
      <c r="CN442">
        <v>35.988548000000002</v>
      </c>
      <c r="CO442">
        <v>37.032890000000002</v>
      </c>
      <c r="CP442">
        <v>0.55354899999999996</v>
      </c>
      <c r="CQ442">
        <v>24.985188000000001</v>
      </c>
      <c r="CR442">
        <v>26.869408</v>
      </c>
      <c r="CS442">
        <v>23</v>
      </c>
      <c r="CT442">
        <v>474</v>
      </c>
      <c r="CU442">
        <v>97.072607000000005</v>
      </c>
      <c r="CV442">
        <v>44.476190000000003</v>
      </c>
      <c r="CW442">
        <v>62.554825999999998</v>
      </c>
      <c r="CX442">
        <v>3913.1062019999999</v>
      </c>
      <c r="CY442">
        <v>0.64441300000000001</v>
      </c>
      <c r="CZ442">
        <v>83.25</v>
      </c>
      <c r="DA442">
        <v>1.409198</v>
      </c>
      <c r="DB442">
        <v>5.5423499999999999</v>
      </c>
      <c r="DC442">
        <v>49.192475999999999</v>
      </c>
      <c r="DD442">
        <v>97.072607000000005</v>
      </c>
      <c r="DE442">
        <v>33.068337999999997</v>
      </c>
      <c r="DF442">
        <v>8.9369789999999991</v>
      </c>
      <c r="DG442">
        <v>3.6280060000000001</v>
      </c>
      <c r="DH442">
        <v>0.34065600000000001</v>
      </c>
      <c r="DI442">
        <v>0.270258</v>
      </c>
      <c r="DJ442">
        <v>0.109712</v>
      </c>
      <c r="DK442">
        <v>27.110001</v>
      </c>
      <c r="DL442">
        <v>31</v>
      </c>
      <c r="DM442">
        <v>36</v>
      </c>
      <c r="DN442">
        <v>44.199997000000003</v>
      </c>
      <c r="DO442">
        <v>48</v>
      </c>
      <c r="DP442">
        <v>53</v>
      </c>
      <c r="DQ442">
        <v>63.399994</v>
      </c>
      <c r="DR442">
        <v>79</v>
      </c>
      <c r="DS442">
        <v>98</v>
      </c>
      <c r="DT442">
        <v>120</v>
      </c>
      <c r="DU442">
        <v>131.25</v>
      </c>
      <c r="DV442">
        <v>145</v>
      </c>
      <c r="DW442">
        <v>182</v>
      </c>
      <c r="DX442">
        <v>218.449951</v>
      </c>
      <c r="DY442">
        <v>305.45007299999997</v>
      </c>
      <c r="DZ442">
        <v>98.922801000000007</v>
      </c>
      <c r="EA442">
        <v>78.630363000000003</v>
      </c>
      <c r="EB442">
        <v>171.09515300000001</v>
      </c>
      <c r="EC442">
        <v>551</v>
      </c>
      <c r="ED442">
        <v>953</v>
      </c>
      <c r="EE442">
        <v>93.716337999999993</v>
      </c>
      <c r="EF442">
        <v>100</v>
      </c>
      <c r="EG442">
        <v>61.386139</v>
      </c>
      <c r="EH442">
        <v>99.917491999999996</v>
      </c>
      <c r="EI442">
        <v>133.572711</v>
      </c>
      <c r="EJ442">
        <v>217.41472200000001</v>
      </c>
      <c r="EK442">
        <v>522</v>
      </c>
      <c r="EL442">
        <v>557</v>
      </c>
      <c r="EM442">
        <v>744</v>
      </c>
      <c r="EN442">
        <v>1211</v>
      </c>
      <c r="EO442">
        <v>557</v>
      </c>
      <c r="EP442">
        <v>1212</v>
      </c>
      <c r="EQ442">
        <v>56.147095999999998</v>
      </c>
    </row>
    <row r="443" spans="1:147" x14ac:dyDescent="0.25">
      <c r="A443">
        <v>2025</v>
      </c>
      <c r="B443" t="str">
        <f t="shared" si="12"/>
        <v>NE</v>
      </c>
      <c r="C443" t="s">
        <v>2066</v>
      </c>
      <c r="D443" t="s">
        <v>2066</v>
      </c>
      <c r="E443">
        <v>26507</v>
      </c>
      <c r="F443" t="s">
        <v>1430</v>
      </c>
      <c r="G443" t="s">
        <v>1112</v>
      </c>
      <c r="H443" t="s">
        <v>1431</v>
      </c>
      <c r="I443">
        <v>54.03</v>
      </c>
      <c r="J443">
        <v>54.03</v>
      </c>
      <c r="K443" t="s">
        <v>1098</v>
      </c>
      <c r="L443">
        <v>1</v>
      </c>
      <c r="M443">
        <v>2018</v>
      </c>
      <c r="O443" t="str">
        <f t="shared" si="13"/>
        <v>Talhadia</v>
      </c>
      <c r="P443" s="2">
        <v>43143</v>
      </c>
      <c r="Q443" t="s">
        <v>174</v>
      </c>
      <c r="R443" t="s">
        <v>278</v>
      </c>
      <c r="S443" t="s">
        <v>154</v>
      </c>
      <c r="T443" t="s">
        <v>1098</v>
      </c>
      <c r="U443" t="s">
        <v>156</v>
      </c>
      <c r="V443" s="2">
        <v>44817</v>
      </c>
      <c r="W443" t="s">
        <v>1114</v>
      </c>
      <c r="X443">
        <v>105.87</v>
      </c>
      <c r="Y443">
        <v>19.7</v>
      </c>
      <c r="Z443">
        <v>12</v>
      </c>
      <c r="AA443">
        <v>14.8</v>
      </c>
      <c r="AB443">
        <v>4</v>
      </c>
      <c r="AC443">
        <v>291.56</v>
      </c>
      <c r="AD443">
        <v>284.49400909503402</v>
      </c>
      <c r="AE443" s="2">
        <v>45736</v>
      </c>
      <c r="AF443">
        <v>85</v>
      </c>
      <c r="AG443">
        <v>7.0992470910335399</v>
      </c>
      <c r="AH443">
        <v>27.183520118252599</v>
      </c>
      <c r="AI443">
        <v>19.191666666666698</v>
      </c>
      <c r="AJ443">
        <v>27.333535920666399</v>
      </c>
      <c r="AK443">
        <v>24</v>
      </c>
      <c r="AL443">
        <v>843.60300156559299</v>
      </c>
      <c r="AM443">
        <v>380.23970790690402</v>
      </c>
      <c r="AN443">
        <v>0.45073299549816598</v>
      </c>
      <c r="AO443" t="s">
        <v>278</v>
      </c>
      <c r="AP443" t="s">
        <v>264</v>
      </c>
      <c r="AQ443" t="s">
        <v>901</v>
      </c>
      <c r="AR443">
        <v>9</v>
      </c>
      <c r="AS443">
        <v>0.75924270140903427</v>
      </c>
      <c r="AT443" t="s">
        <v>2067</v>
      </c>
      <c r="AU443" t="s">
        <v>2066</v>
      </c>
      <c r="AV443">
        <v>2398</v>
      </c>
      <c r="AW443">
        <v>902</v>
      </c>
      <c r="AX443">
        <v>831</v>
      </c>
      <c r="AY443">
        <v>482</v>
      </c>
      <c r="AZ443">
        <v>155</v>
      </c>
      <c r="BA443">
        <v>28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39.527000000000001</v>
      </c>
      <c r="BI443">
        <v>17.604996</v>
      </c>
      <c r="BJ443">
        <v>0</v>
      </c>
      <c r="BK443">
        <v>12.173470999999999</v>
      </c>
      <c r="BL443">
        <v>148.19339400000001</v>
      </c>
      <c r="BM443">
        <v>0.69147800000000004</v>
      </c>
      <c r="BN443">
        <v>19.943501000000001</v>
      </c>
      <c r="BO443">
        <v>-8.8938000000000003E-2</v>
      </c>
      <c r="BP443">
        <v>1.8010269999999999</v>
      </c>
      <c r="BQ443">
        <v>10.396420000000001</v>
      </c>
      <c r="BR443">
        <v>10.096000999999999</v>
      </c>
      <c r="BS443">
        <v>18.524000000000001</v>
      </c>
      <c r="BT443">
        <v>17.604996</v>
      </c>
      <c r="BU443">
        <v>6.9806949999999999</v>
      </c>
      <c r="BV443">
        <v>-9.2311000000000004E-2</v>
      </c>
      <c r="BW443">
        <v>-9.6273999999999998E-2</v>
      </c>
      <c r="BX443">
        <v>0.39651799999999998</v>
      </c>
      <c r="BY443">
        <v>-1.3224E-2</v>
      </c>
      <c r="BZ443">
        <v>-1.3790999999999999E-2</v>
      </c>
      <c r="CA443">
        <v>2E-3</v>
      </c>
      <c r="CB443">
        <v>1.0999999999999999E-2</v>
      </c>
      <c r="CC443">
        <v>2.1000000000000001E-2</v>
      </c>
      <c r="CD443">
        <v>8.7400000000000005E-2</v>
      </c>
      <c r="CE443">
        <v>7.8252499999999996</v>
      </c>
      <c r="CF443">
        <v>10.2723</v>
      </c>
      <c r="CG443">
        <v>14.811400000000001</v>
      </c>
      <c r="CH443">
        <v>18.524000000000001</v>
      </c>
      <c r="CI443">
        <v>22.041</v>
      </c>
      <c r="CJ443">
        <v>25.626902000000001</v>
      </c>
      <c r="CK443">
        <v>27.768751000000002</v>
      </c>
      <c r="CL443">
        <v>30.368601000000002</v>
      </c>
      <c r="CM443">
        <v>33.874901000000001</v>
      </c>
      <c r="CN443">
        <v>36.034199000000001</v>
      </c>
      <c r="CO443">
        <v>37.973419</v>
      </c>
      <c r="CP443">
        <v>0.44539200000000001</v>
      </c>
      <c r="CQ443">
        <v>21.402511000000001</v>
      </c>
      <c r="CR443">
        <v>23.585232000000001</v>
      </c>
      <c r="CS443">
        <v>22</v>
      </c>
      <c r="CT443">
        <v>523</v>
      </c>
      <c r="CU443">
        <v>92.120517000000007</v>
      </c>
      <c r="CV443">
        <v>29.952380999999999</v>
      </c>
      <c r="CW443">
        <v>67.310432000000006</v>
      </c>
      <c r="CX443">
        <v>4530.6942719999997</v>
      </c>
      <c r="CY443">
        <v>0.73067800000000005</v>
      </c>
      <c r="CZ443">
        <v>73</v>
      </c>
      <c r="DA443">
        <v>2.0495199999999998</v>
      </c>
      <c r="DB443">
        <v>8.8561320000000006</v>
      </c>
      <c r="DC443">
        <v>49.451044000000003</v>
      </c>
      <c r="DD443">
        <v>92.120517000000007</v>
      </c>
      <c r="DE443">
        <v>33.351765</v>
      </c>
      <c r="DF443">
        <v>11.587987999999999</v>
      </c>
      <c r="DG443">
        <v>5.69346</v>
      </c>
      <c r="DH443">
        <v>0.36204500000000001</v>
      </c>
      <c r="DI443">
        <v>0.34744799999999998</v>
      </c>
      <c r="DJ443">
        <v>0.170709</v>
      </c>
      <c r="DK443">
        <v>25</v>
      </c>
      <c r="DL443">
        <v>31</v>
      </c>
      <c r="DM443">
        <v>34</v>
      </c>
      <c r="DN443">
        <v>41</v>
      </c>
      <c r="DO443">
        <v>45</v>
      </c>
      <c r="DP443">
        <v>49</v>
      </c>
      <c r="DQ443">
        <v>59</v>
      </c>
      <c r="DR443">
        <v>70</v>
      </c>
      <c r="DS443">
        <v>85</v>
      </c>
      <c r="DT443">
        <v>106</v>
      </c>
      <c r="DU443">
        <v>118</v>
      </c>
      <c r="DV443">
        <v>135.599976</v>
      </c>
      <c r="DW443">
        <v>180</v>
      </c>
      <c r="DX443">
        <v>225</v>
      </c>
      <c r="DY443">
        <v>350.06005900000002</v>
      </c>
      <c r="DZ443">
        <v>97.782705000000007</v>
      </c>
      <c r="EA443">
        <v>78.482067999999998</v>
      </c>
      <c r="EB443">
        <v>208.64744999999999</v>
      </c>
      <c r="EC443">
        <v>882</v>
      </c>
      <c r="ED443">
        <v>1882</v>
      </c>
      <c r="EE443">
        <v>88.913525000000007</v>
      </c>
      <c r="EF443">
        <v>100</v>
      </c>
      <c r="EG443">
        <v>52.793995000000002</v>
      </c>
      <c r="EH443">
        <v>99.791493000000003</v>
      </c>
      <c r="EI443">
        <v>140.35476700000001</v>
      </c>
      <c r="EJ443">
        <v>265.29933499999999</v>
      </c>
      <c r="EK443">
        <v>802</v>
      </c>
      <c r="EL443">
        <v>902</v>
      </c>
      <c r="EM443">
        <v>1266</v>
      </c>
      <c r="EN443">
        <v>2393</v>
      </c>
      <c r="EO443">
        <v>902</v>
      </c>
      <c r="EP443">
        <v>2398</v>
      </c>
      <c r="EQ443">
        <v>45.33925</v>
      </c>
    </row>
    <row r="444" spans="1:147" x14ac:dyDescent="0.25">
      <c r="A444">
        <v>2025</v>
      </c>
      <c r="B444" t="str">
        <f t="shared" si="12"/>
        <v>NE</v>
      </c>
      <c r="C444" t="s">
        <v>2068</v>
      </c>
      <c r="D444" t="s">
        <v>2068</v>
      </c>
      <c r="E444">
        <v>26508</v>
      </c>
      <c r="F444" t="s">
        <v>1430</v>
      </c>
      <c r="G444" t="s">
        <v>1112</v>
      </c>
      <c r="H444" t="s">
        <v>1431</v>
      </c>
      <c r="I444">
        <v>54.03</v>
      </c>
      <c r="J444">
        <v>54.03</v>
      </c>
      <c r="K444" t="s">
        <v>1098</v>
      </c>
      <c r="L444">
        <v>1</v>
      </c>
      <c r="M444">
        <v>2018</v>
      </c>
      <c r="O444" t="str">
        <f t="shared" si="13"/>
        <v>Talhadia</v>
      </c>
      <c r="P444" s="2">
        <v>43143</v>
      </c>
      <c r="Q444" t="s">
        <v>174</v>
      </c>
      <c r="R444" t="s">
        <v>278</v>
      </c>
      <c r="S444" t="s">
        <v>154</v>
      </c>
      <c r="T444" t="s">
        <v>1098</v>
      </c>
      <c r="U444" t="s">
        <v>156</v>
      </c>
      <c r="V444" s="2">
        <v>45736</v>
      </c>
      <c r="W444" t="s">
        <v>1114</v>
      </c>
      <c r="X444">
        <v>105.87</v>
      </c>
      <c r="Y444">
        <v>21.1</v>
      </c>
      <c r="Z444">
        <v>25</v>
      </c>
      <c r="AA444">
        <v>14.1</v>
      </c>
      <c r="AB444">
        <v>6</v>
      </c>
      <c r="AC444">
        <v>297.51</v>
      </c>
      <c r="AD444">
        <v>268.15853752921902</v>
      </c>
      <c r="AE444" s="2">
        <v>45736</v>
      </c>
      <c r="AF444">
        <v>85</v>
      </c>
      <c r="AG444">
        <v>7.0992470910335399</v>
      </c>
      <c r="AH444">
        <v>17.932006926430802</v>
      </c>
      <c r="AI444">
        <v>15.029166666666701</v>
      </c>
      <c r="AJ444">
        <v>16.9907421116196</v>
      </c>
      <c r="AK444">
        <v>24</v>
      </c>
      <c r="AL444">
        <v>894.99294787080601</v>
      </c>
      <c r="AM444">
        <v>146.98822673013601</v>
      </c>
      <c r="AN444">
        <v>0.16423394964152699</v>
      </c>
      <c r="AO444" t="s">
        <v>278</v>
      </c>
      <c r="AP444" t="s">
        <v>264</v>
      </c>
      <c r="AQ444" t="s">
        <v>901</v>
      </c>
      <c r="AR444">
        <v>9</v>
      </c>
      <c r="AS444">
        <v>0.80549365308372578</v>
      </c>
      <c r="AT444" t="s">
        <v>2069</v>
      </c>
      <c r="AU444" t="s">
        <v>2068</v>
      </c>
      <c r="AV444">
        <v>1007</v>
      </c>
      <c r="AW444">
        <v>534</v>
      </c>
      <c r="AX444">
        <v>338</v>
      </c>
      <c r="AY444">
        <v>119</v>
      </c>
      <c r="AZ444">
        <v>15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1E-3</v>
      </c>
      <c r="BH444">
        <v>22.533000999999999</v>
      </c>
      <c r="BI444">
        <v>13.218297</v>
      </c>
      <c r="BJ444">
        <v>1E-3</v>
      </c>
      <c r="BK444">
        <v>7.5904410000000002</v>
      </c>
      <c r="BL444">
        <v>57.614801</v>
      </c>
      <c r="BM444">
        <v>0.574237</v>
      </c>
      <c r="BN444">
        <v>11.764499000000001</v>
      </c>
      <c r="BO444">
        <v>-0.87851100000000004</v>
      </c>
      <c r="BP444">
        <v>2.119173</v>
      </c>
      <c r="BQ444">
        <v>6.5436690000000004</v>
      </c>
      <c r="BR444">
        <v>2.528</v>
      </c>
      <c r="BS444">
        <v>16.822001</v>
      </c>
      <c r="BT444">
        <v>13.218297</v>
      </c>
      <c r="BU444">
        <v>3.9877389999999999</v>
      </c>
      <c r="BV444">
        <v>-1.1240319999999999</v>
      </c>
      <c r="BW444">
        <v>5.8421000000000001E-2</v>
      </c>
      <c r="BX444">
        <v>0.30168299999999998</v>
      </c>
      <c r="BY444">
        <v>-0.28187200000000001</v>
      </c>
      <c r="BZ444">
        <v>1.465E-2</v>
      </c>
      <c r="CA444">
        <v>8.0599999999999995E-3</v>
      </c>
      <c r="CB444">
        <v>2.93E-2</v>
      </c>
      <c r="CC444">
        <v>6.5199999999999994E-2</v>
      </c>
      <c r="CD444">
        <v>1.1095999999999999</v>
      </c>
      <c r="CE444">
        <v>6.9320000000000004</v>
      </c>
      <c r="CF444">
        <v>11.681800000000001</v>
      </c>
      <c r="CG444">
        <v>15.8414</v>
      </c>
      <c r="CH444">
        <v>16.823</v>
      </c>
      <c r="CI444">
        <v>17.7346</v>
      </c>
      <c r="CJ444">
        <v>18.386399999999998</v>
      </c>
      <c r="CK444">
        <v>18.696498999999999</v>
      </c>
      <c r="CL444">
        <v>19.020800000000001</v>
      </c>
      <c r="CM444">
        <v>20.0748</v>
      </c>
      <c r="CN444">
        <v>20.8367</v>
      </c>
      <c r="CO444">
        <v>21.970220999999999</v>
      </c>
      <c r="CP444">
        <v>0.58660100000000004</v>
      </c>
      <c r="CQ444">
        <v>15.240766000000001</v>
      </c>
      <c r="CR444">
        <v>16.144742999999998</v>
      </c>
      <c r="CS444">
        <v>24</v>
      </c>
      <c r="CT444">
        <v>473</v>
      </c>
      <c r="CU444">
        <v>112.819265</v>
      </c>
      <c r="CV444">
        <v>38.253968</v>
      </c>
      <c r="CW444">
        <v>70.033867999999998</v>
      </c>
      <c r="CX444">
        <v>4904.7426500000001</v>
      </c>
      <c r="CY444">
        <v>0.62076200000000004</v>
      </c>
      <c r="CZ444">
        <v>102</v>
      </c>
      <c r="DA444">
        <v>1.157824</v>
      </c>
      <c r="DB444">
        <v>4.721533</v>
      </c>
      <c r="DC444">
        <v>56.187396999999997</v>
      </c>
      <c r="DD444">
        <v>112.819265</v>
      </c>
      <c r="DE444">
        <v>37.963926000000001</v>
      </c>
      <c r="DF444">
        <v>8.3891969999999993</v>
      </c>
      <c r="DG444">
        <v>3.116409</v>
      </c>
      <c r="DH444">
        <v>0.33650200000000002</v>
      </c>
      <c r="DI444">
        <v>0.22097800000000001</v>
      </c>
      <c r="DJ444">
        <v>8.2088999999999995E-2</v>
      </c>
      <c r="DK444">
        <v>29</v>
      </c>
      <c r="DL444">
        <v>34</v>
      </c>
      <c r="DM444">
        <v>40</v>
      </c>
      <c r="DN444">
        <v>48</v>
      </c>
      <c r="DO444">
        <v>55</v>
      </c>
      <c r="DP444">
        <v>62.799987999999999</v>
      </c>
      <c r="DQ444">
        <v>77</v>
      </c>
      <c r="DR444">
        <v>97</v>
      </c>
      <c r="DS444">
        <v>117</v>
      </c>
      <c r="DT444">
        <v>141</v>
      </c>
      <c r="DU444">
        <v>157</v>
      </c>
      <c r="DV444">
        <v>172</v>
      </c>
      <c r="DW444">
        <v>210.400024</v>
      </c>
      <c r="DX444">
        <v>238</v>
      </c>
      <c r="DY444">
        <v>312.64001500000001</v>
      </c>
      <c r="DZ444">
        <v>97.940074999999993</v>
      </c>
      <c r="EA444">
        <v>78.351539000000002</v>
      </c>
      <c r="EB444">
        <v>147.75280900000001</v>
      </c>
      <c r="EC444">
        <v>523</v>
      </c>
      <c r="ED444">
        <v>789</v>
      </c>
      <c r="EE444">
        <v>96.441947999999996</v>
      </c>
      <c r="EF444">
        <v>100</v>
      </c>
      <c r="EG444">
        <v>67.527309000000002</v>
      </c>
      <c r="EH444">
        <v>99.801389999999998</v>
      </c>
      <c r="EI444">
        <v>127.340824</v>
      </c>
      <c r="EJ444">
        <v>188.202247</v>
      </c>
      <c r="EK444">
        <v>515</v>
      </c>
      <c r="EL444">
        <v>534</v>
      </c>
      <c r="EM444">
        <v>680</v>
      </c>
      <c r="EN444">
        <v>1005</v>
      </c>
      <c r="EO444">
        <v>534</v>
      </c>
      <c r="EP444">
        <v>1007</v>
      </c>
      <c r="EQ444">
        <v>59.160904000000002</v>
      </c>
    </row>
    <row r="445" spans="1:147" x14ac:dyDescent="0.25">
      <c r="A445">
        <v>2025</v>
      </c>
      <c r="B445" t="str">
        <f t="shared" si="12"/>
        <v>NE</v>
      </c>
      <c r="C445" t="s">
        <v>2070</v>
      </c>
      <c r="D445" t="s">
        <v>2070</v>
      </c>
      <c r="E445">
        <v>31055</v>
      </c>
      <c r="F445" t="s">
        <v>1430</v>
      </c>
      <c r="G445" t="s">
        <v>1112</v>
      </c>
      <c r="H445" t="s">
        <v>1431</v>
      </c>
      <c r="I445">
        <v>54.03</v>
      </c>
      <c r="J445">
        <v>54.03</v>
      </c>
      <c r="K445" t="s">
        <v>1098</v>
      </c>
      <c r="L445">
        <v>1</v>
      </c>
      <c r="M445">
        <v>2018</v>
      </c>
      <c r="O445" t="str">
        <f t="shared" si="13"/>
        <v>Talhadia</v>
      </c>
      <c r="P445" s="2">
        <v>43143</v>
      </c>
      <c r="Q445" t="s">
        <v>174</v>
      </c>
      <c r="R445" t="s">
        <v>278</v>
      </c>
      <c r="S445" t="s">
        <v>154</v>
      </c>
      <c r="T445" t="s">
        <v>1098</v>
      </c>
      <c r="U445" t="s">
        <v>156</v>
      </c>
      <c r="V445" s="2">
        <v>44818</v>
      </c>
      <c r="W445" t="s">
        <v>1114</v>
      </c>
      <c r="X445">
        <v>105.87</v>
      </c>
      <c r="Y445">
        <v>18.899999999999999</v>
      </c>
      <c r="Z445">
        <v>11</v>
      </c>
      <c r="AA445">
        <v>14.7</v>
      </c>
      <c r="AB445">
        <v>8</v>
      </c>
      <c r="AC445">
        <v>277.83</v>
      </c>
      <c r="AD445">
        <v>270.071334749811</v>
      </c>
      <c r="AE445" s="2">
        <v>45736</v>
      </c>
      <c r="AF445">
        <v>85</v>
      </c>
      <c r="AG445">
        <v>7.0992470910335399</v>
      </c>
      <c r="AH445">
        <v>31.563539548161899</v>
      </c>
      <c r="AI445">
        <v>18.603846153846199</v>
      </c>
      <c r="AJ445">
        <v>28.112299455487801</v>
      </c>
      <c r="AK445">
        <v>26</v>
      </c>
      <c r="AL445">
        <v>962.70861267397902</v>
      </c>
      <c r="AM445">
        <v>434.92924928147397</v>
      </c>
      <c r="AN445">
        <v>0.45177662644300298</v>
      </c>
      <c r="AO445" t="s">
        <v>278</v>
      </c>
      <c r="AP445" t="s">
        <v>264</v>
      </c>
      <c r="AQ445" t="s">
        <v>901</v>
      </c>
      <c r="AR445">
        <v>9</v>
      </c>
      <c r="AS445">
        <v>0.86643775140657997</v>
      </c>
      <c r="AT445" t="s">
        <v>2071</v>
      </c>
      <c r="AU445" t="s">
        <v>2070</v>
      </c>
      <c r="AV445">
        <v>1135</v>
      </c>
      <c r="AW445">
        <v>583</v>
      </c>
      <c r="AX445">
        <v>378</v>
      </c>
      <c r="AY445">
        <v>143</v>
      </c>
      <c r="AZ445">
        <v>30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39.938000000000002</v>
      </c>
      <c r="BI445">
        <v>22.118950999999999</v>
      </c>
      <c r="BJ445">
        <v>0</v>
      </c>
      <c r="BK445">
        <v>13.806384</v>
      </c>
      <c r="BL445">
        <v>190.616231</v>
      </c>
      <c r="BM445">
        <v>0.62418799999999997</v>
      </c>
      <c r="BN445">
        <v>24.16</v>
      </c>
      <c r="BO445">
        <v>-0.61756999999999995</v>
      </c>
      <c r="BP445">
        <v>1.8175699999999999</v>
      </c>
      <c r="BQ445">
        <v>12.004299</v>
      </c>
      <c r="BR445">
        <v>8.7190019999999997</v>
      </c>
      <c r="BS445">
        <v>26.327998999999998</v>
      </c>
      <c r="BT445">
        <v>22.118950999999999</v>
      </c>
      <c r="BU445">
        <v>7.5696640000000004</v>
      </c>
      <c r="BV445">
        <v>-1.5144420000000001</v>
      </c>
      <c r="BW445">
        <v>-0.45256200000000002</v>
      </c>
      <c r="BX445">
        <v>0.342225</v>
      </c>
      <c r="BY445">
        <v>-0.20006699999999999</v>
      </c>
      <c r="BZ445">
        <v>-5.9785999999999999E-2</v>
      </c>
      <c r="CA445">
        <v>4.0000000000000001E-3</v>
      </c>
      <c r="CB445">
        <v>2.07E-2</v>
      </c>
      <c r="CC445">
        <v>4.8000000000000001E-2</v>
      </c>
      <c r="CD445">
        <v>0.36099999999999999</v>
      </c>
      <c r="CE445">
        <v>10.125</v>
      </c>
      <c r="CF445">
        <v>16.284400999999999</v>
      </c>
      <c r="CG445">
        <v>22.216801</v>
      </c>
      <c r="CH445">
        <v>26.327998999999998</v>
      </c>
      <c r="CI445">
        <v>31.883800999999998</v>
      </c>
      <c r="CJ445">
        <v>33.912598000000003</v>
      </c>
      <c r="CK445">
        <v>34.284999999999997</v>
      </c>
      <c r="CL445">
        <v>34.855400000000003</v>
      </c>
      <c r="CM445">
        <v>35.806399999999996</v>
      </c>
      <c r="CN445">
        <v>36.365101000000003</v>
      </c>
      <c r="CO445">
        <v>37.900959</v>
      </c>
      <c r="CP445">
        <v>0.55383199999999999</v>
      </c>
      <c r="CQ445">
        <v>26.070985</v>
      </c>
      <c r="CR445">
        <v>27.950310999999999</v>
      </c>
      <c r="CS445">
        <v>23</v>
      </c>
      <c r="CT445">
        <v>601</v>
      </c>
      <c r="CU445">
        <v>115.35682799999999</v>
      </c>
      <c r="CV445">
        <v>32.174602999999998</v>
      </c>
      <c r="CW445">
        <v>90.656718999999995</v>
      </c>
      <c r="CX445">
        <v>8218.6406389999993</v>
      </c>
      <c r="CY445">
        <v>0.78588100000000005</v>
      </c>
      <c r="CZ445">
        <v>101</v>
      </c>
      <c r="DA445">
        <v>2.0894349999999999</v>
      </c>
      <c r="DB445">
        <v>8.8196750000000002</v>
      </c>
      <c r="DC445">
        <v>65.596468000000002</v>
      </c>
      <c r="DD445">
        <v>115.35682799999999</v>
      </c>
      <c r="DE445">
        <v>44.761730999999997</v>
      </c>
      <c r="DF445">
        <v>14.897703999999999</v>
      </c>
      <c r="DG445">
        <v>7.6434740000000003</v>
      </c>
      <c r="DH445">
        <v>0.38802799999999998</v>
      </c>
      <c r="DI445">
        <v>0.33282200000000001</v>
      </c>
      <c r="DJ445">
        <v>0.17075899999999999</v>
      </c>
      <c r="DK445">
        <v>26</v>
      </c>
      <c r="DL445">
        <v>32</v>
      </c>
      <c r="DM445">
        <v>36</v>
      </c>
      <c r="DN445">
        <v>44.800002999999997</v>
      </c>
      <c r="DO445">
        <v>50</v>
      </c>
      <c r="DP445">
        <v>56</v>
      </c>
      <c r="DQ445">
        <v>71</v>
      </c>
      <c r="DR445">
        <v>89</v>
      </c>
      <c r="DS445">
        <v>112</v>
      </c>
      <c r="DT445">
        <v>138.79998800000001</v>
      </c>
      <c r="DU445">
        <v>151</v>
      </c>
      <c r="DV445">
        <v>168</v>
      </c>
      <c r="DW445">
        <v>215.599976</v>
      </c>
      <c r="DX445">
        <v>291</v>
      </c>
      <c r="DY445">
        <v>492.62023900000003</v>
      </c>
      <c r="DZ445">
        <v>94.511149000000003</v>
      </c>
      <c r="EA445">
        <v>77.356827999999993</v>
      </c>
      <c r="EB445">
        <v>150.60034300000001</v>
      </c>
      <c r="EC445">
        <v>551</v>
      </c>
      <c r="ED445">
        <v>878</v>
      </c>
      <c r="EE445">
        <v>85.420240000000007</v>
      </c>
      <c r="EF445">
        <v>100</v>
      </c>
      <c r="EG445">
        <v>60.440528999999998</v>
      </c>
      <c r="EH445">
        <v>99.911894000000004</v>
      </c>
      <c r="EI445">
        <v>117.667238</v>
      </c>
      <c r="EJ445">
        <v>194.51114899999999</v>
      </c>
      <c r="EK445">
        <v>498</v>
      </c>
      <c r="EL445">
        <v>583</v>
      </c>
      <c r="EM445">
        <v>686</v>
      </c>
      <c r="EN445">
        <v>1134</v>
      </c>
      <c r="EO445">
        <v>583</v>
      </c>
      <c r="EP445">
        <v>1135</v>
      </c>
      <c r="EQ445">
        <v>57.336914999999998</v>
      </c>
    </row>
    <row r="446" spans="1:147" x14ac:dyDescent="0.25">
      <c r="A446">
        <v>2025</v>
      </c>
      <c r="B446" t="str">
        <f t="shared" si="12"/>
        <v>NE</v>
      </c>
      <c r="C446" t="s">
        <v>2072</v>
      </c>
      <c r="D446" t="s">
        <v>2072</v>
      </c>
      <c r="E446">
        <v>26617</v>
      </c>
      <c r="F446" t="s">
        <v>1430</v>
      </c>
      <c r="G446" t="s">
        <v>1112</v>
      </c>
      <c r="H446" t="s">
        <v>2073</v>
      </c>
      <c r="I446">
        <v>51.84</v>
      </c>
      <c r="J446">
        <v>51.84</v>
      </c>
      <c r="K446" t="s">
        <v>1098</v>
      </c>
      <c r="L446">
        <v>1</v>
      </c>
      <c r="M446">
        <v>2018</v>
      </c>
      <c r="O446" t="str">
        <f t="shared" si="13"/>
        <v>Talhadia</v>
      </c>
      <c r="P446" s="2">
        <v>43144</v>
      </c>
      <c r="Q446" t="s">
        <v>174</v>
      </c>
      <c r="R446" t="s">
        <v>660</v>
      </c>
      <c r="S446" t="s">
        <v>154</v>
      </c>
      <c r="T446" t="s">
        <v>1098</v>
      </c>
      <c r="U446" t="s">
        <v>156</v>
      </c>
      <c r="V446" s="2">
        <v>45736</v>
      </c>
      <c r="W446" t="s">
        <v>1114</v>
      </c>
      <c r="X446">
        <v>105.87</v>
      </c>
      <c r="Y446">
        <v>19.600000000000001</v>
      </c>
      <c r="Z446">
        <v>8</v>
      </c>
      <c r="AA446">
        <v>15.7</v>
      </c>
      <c r="AB446">
        <v>2</v>
      </c>
      <c r="AC446">
        <v>307.72000000000003</v>
      </c>
      <c r="AD446">
        <v>304.53965969982102</v>
      </c>
      <c r="AE446" s="2">
        <v>45736</v>
      </c>
      <c r="AF446">
        <v>85</v>
      </c>
      <c r="AG446">
        <v>7.0965092402464096</v>
      </c>
      <c r="AH446">
        <v>28.1574103818179</v>
      </c>
      <c r="AI446">
        <v>17.390625</v>
      </c>
      <c r="AJ446">
        <v>25.825041807604698</v>
      </c>
      <c r="AK446">
        <v>32</v>
      </c>
      <c r="AL446">
        <v>1050.76626248095</v>
      </c>
      <c r="AM446">
        <v>341.107686922374</v>
      </c>
      <c r="AN446">
        <v>0.32462755905104002</v>
      </c>
      <c r="AO446" t="s">
        <v>660</v>
      </c>
      <c r="AP446" t="s">
        <v>264</v>
      </c>
      <c r="AQ446" t="s">
        <v>901</v>
      </c>
      <c r="AR446">
        <v>9</v>
      </c>
      <c r="AS446">
        <v>0.94568963623285107</v>
      </c>
      <c r="AT446" t="s">
        <v>2074</v>
      </c>
      <c r="AU446" t="s">
        <v>2072</v>
      </c>
      <c r="AV446">
        <v>1156</v>
      </c>
      <c r="AW446">
        <v>589</v>
      </c>
      <c r="AX446">
        <v>392</v>
      </c>
      <c r="AY446">
        <v>137</v>
      </c>
      <c r="AZ446">
        <v>32</v>
      </c>
      <c r="BA446">
        <v>6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32.902000000000001</v>
      </c>
      <c r="BI446">
        <v>19.235607999999999</v>
      </c>
      <c r="BJ446">
        <v>0</v>
      </c>
      <c r="BK446">
        <v>11.180763000000001</v>
      </c>
      <c r="BL446">
        <v>125.009471</v>
      </c>
      <c r="BM446">
        <v>0.58125300000000002</v>
      </c>
      <c r="BN446">
        <v>18.708749000000001</v>
      </c>
      <c r="BO446">
        <v>-0.66895700000000002</v>
      </c>
      <c r="BP446">
        <v>1.971708</v>
      </c>
      <c r="BQ446">
        <v>9.646706</v>
      </c>
      <c r="BR446">
        <v>7.027501</v>
      </c>
      <c r="BS446">
        <v>22.696999000000002</v>
      </c>
      <c r="BT446">
        <v>19.235607999999999</v>
      </c>
      <c r="BU446">
        <v>6.1607789999999998</v>
      </c>
      <c r="BV446">
        <v>-1.308155</v>
      </c>
      <c r="BW446">
        <v>-0.16136900000000001</v>
      </c>
      <c r="BX446">
        <v>0.32028000000000001</v>
      </c>
      <c r="BY446">
        <v>-0.212336</v>
      </c>
      <c r="BZ446">
        <v>-2.6193000000000001E-2</v>
      </c>
      <c r="CA446">
        <v>2E-3</v>
      </c>
      <c r="CB446">
        <v>1.0999999999999999E-2</v>
      </c>
      <c r="CC446">
        <v>2.4500000000000001E-2</v>
      </c>
      <c r="CD446">
        <v>6.2610000000000001</v>
      </c>
      <c r="CE446">
        <v>10.307</v>
      </c>
      <c r="CF446">
        <v>14.397500000000001</v>
      </c>
      <c r="CG446">
        <v>20.040001</v>
      </c>
      <c r="CH446">
        <v>22.696999000000002</v>
      </c>
      <c r="CI446">
        <v>26.525998999999999</v>
      </c>
      <c r="CJ446">
        <v>28.421500999999999</v>
      </c>
      <c r="CK446">
        <v>29.015749</v>
      </c>
      <c r="CL446">
        <v>29.541</v>
      </c>
      <c r="CM446">
        <v>30.48</v>
      </c>
      <c r="CN446">
        <v>31.149249999999999</v>
      </c>
      <c r="CO446">
        <v>32.127850000000002</v>
      </c>
      <c r="CP446">
        <v>0.58463299999999996</v>
      </c>
      <c r="CQ446">
        <v>22.246572</v>
      </c>
      <c r="CR446">
        <v>23.746637</v>
      </c>
      <c r="CS446">
        <v>23</v>
      </c>
      <c r="CT446">
        <v>710</v>
      </c>
      <c r="CU446">
        <v>128.950692</v>
      </c>
      <c r="CV446">
        <v>33.904761999999998</v>
      </c>
      <c r="CW446">
        <v>102.937934</v>
      </c>
      <c r="CX446">
        <v>10596.218349999999</v>
      </c>
      <c r="CY446">
        <v>0.79827400000000004</v>
      </c>
      <c r="CZ446">
        <v>117.25</v>
      </c>
      <c r="DA446">
        <v>1.936126</v>
      </c>
      <c r="DB446">
        <v>8.0147290000000009</v>
      </c>
      <c r="DC446">
        <v>75.906986000000003</v>
      </c>
      <c r="DD446">
        <v>128.950692</v>
      </c>
      <c r="DE446">
        <v>51.612546999999999</v>
      </c>
      <c r="DF446">
        <v>16.804445000000001</v>
      </c>
      <c r="DG446">
        <v>8.0392860000000006</v>
      </c>
      <c r="DH446">
        <v>0.40024999999999999</v>
      </c>
      <c r="DI446">
        <v>0.32558799999999999</v>
      </c>
      <c r="DJ446">
        <v>0.15576200000000001</v>
      </c>
      <c r="DK446">
        <v>28</v>
      </c>
      <c r="DL446">
        <v>32</v>
      </c>
      <c r="DM446">
        <v>37</v>
      </c>
      <c r="DN446">
        <v>48</v>
      </c>
      <c r="DO446">
        <v>54</v>
      </c>
      <c r="DP446">
        <v>60.5</v>
      </c>
      <c r="DQ446">
        <v>75</v>
      </c>
      <c r="DR446">
        <v>97.5</v>
      </c>
      <c r="DS446">
        <v>126</v>
      </c>
      <c r="DT446">
        <v>156</v>
      </c>
      <c r="DU446">
        <v>171.25</v>
      </c>
      <c r="DV446">
        <v>194</v>
      </c>
      <c r="DW446">
        <v>252</v>
      </c>
      <c r="DX446">
        <v>325.25</v>
      </c>
      <c r="DY446">
        <v>531.44995100000006</v>
      </c>
      <c r="DZ446">
        <v>95.755517999999995</v>
      </c>
      <c r="EA446">
        <v>82.352941000000001</v>
      </c>
      <c r="EB446">
        <v>161.62988100000001</v>
      </c>
      <c r="EC446">
        <v>564</v>
      </c>
      <c r="ED446">
        <v>952</v>
      </c>
      <c r="EE446">
        <v>89.134125999999995</v>
      </c>
      <c r="EF446">
        <v>100</v>
      </c>
      <c r="EG446">
        <v>61.851210999999999</v>
      </c>
      <c r="EH446">
        <v>99.826989999999995</v>
      </c>
      <c r="EI446">
        <v>121.39219</v>
      </c>
      <c r="EJ446">
        <v>195.925297</v>
      </c>
      <c r="EK446">
        <v>525</v>
      </c>
      <c r="EL446">
        <v>589</v>
      </c>
      <c r="EM446">
        <v>715</v>
      </c>
      <c r="EN446">
        <v>1154</v>
      </c>
      <c r="EO446">
        <v>589</v>
      </c>
      <c r="EP446">
        <v>1156</v>
      </c>
      <c r="EQ446">
        <v>58.865934000000003</v>
      </c>
    </row>
    <row r="447" spans="1:147" x14ac:dyDescent="0.25">
      <c r="A447">
        <v>2025</v>
      </c>
      <c r="B447" t="str">
        <f t="shared" si="12"/>
        <v>NE</v>
      </c>
      <c r="C447" t="s">
        <v>2075</v>
      </c>
      <c r="D447" t="s">
        <v>2075</v>
      </c>
      <c r="E447">
        <v>28823</v>
      </c>
      <c r="F447" t="s">
        <v>2076</v>
      </c>
      <c r="G447" t="s">
        <v>2077</v>
      </c>
      <c r="H447" t="s">
        <v>2078</v>
      </c>
      <c r="I447">
        <v>58.06</v>
      </c>
      <c r="J447">
        <v>58.06</v>
      </c>
      <c r="K447" t="s">
        <v>1098</v>
      </c>
      <c r="L447">
        <v>1</v>
      </c>
      <c r="M447">
        <v>2021</v>
      </c>
      <c r="O447" t="str">
        <f t="shared" si="13"/>
        <v>Talhadia</v>
      </c>
      <c r="P447" s="2">
        <v>44505</v>
      </c>
      <c r="Q447" t="s">
        <v>174</v>
      </c>
      <c r="R447" t="s">
        <v>302</v>
      </c>
      <c r="S447" t="s">
        <v>154</v>
      </c>
      <c r="T447" t="s">
        <v>1098</v>
      </c>
      <c r="U447" t="s">
        <v>156</v>
      </c>
      <c r="V447" s="2">
        <v>45740</v>
      </c>
      <c r="W447" t="s">
        <v>2079</v>
      </c>
      <c r="X447">
        <v>190.22</v>
      </c>
      <c r="Y447">
        <v>21.3</v>
      </c>
      <c r="Z447">
        <v>20</v>
      </c>
      <c r="AA447">
        <v>15.7</v>
      </c>
      <c r="AB447">
        <v>5</v>
      </c>
      <c r="AC447">
        <v>334.41</v>
      </c>
      <c r="AD447">
        <v>313.04682131612702</v>
      </c>
      <c r="AE447" s="2">
        <v>45740</v>
      </c>
      <c r="AF447">
        <v>40</v>
      </c>
      <c r="AG447">
        <v>3.38124572210815</v>
      </c>
      <c r="AH447">
        <v>18.2151915834033</v>
      </c>
      <c r="AI447">
        <v>12.535714285714301</v>
      </c>
      <c r="AJ447">
        <v>11.8270799205887</v>
      </c>
      <c r="AK447">
        <v>28</v>
      </c>
      <c r="AL447">
        <v>894.43489259149896</v>
      </c>
      <c r="AM447">
        <v>105.854193085771</v>
      </c>
      <c r="AN447">
        <v>0.118347566673158</v>
      </c>
      <c r="AO447" t="s">
        <v>302</v>
      </c>
      <c r="AP447" t="s">
        <v>264</v>
      </c>
      <c r="AQ447" t="s">
        <v>901</v>
      </c>
      <c r="AR447">
        <v>9</v>
      </c>
      <c r="AS447">
        <v>0.80499140333234842</v>
      </c>
      <c r="AT447" t="s">
        <v>2080</v>
      </c>
      <c r="AU447" t="s">
        <v>2075</v>
      </c>
      <c r="AV447">
        <v>1152</v>
      </c>
      <c r="AW447">
        <v>700</v>
      </c>
      <c r="AX447">
        <v>372</v>
      </c>
      <c r="AY447">
        <v>70</v>
      </c>
      <c r="AZ447">
        <v>10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23.945</v>
      </c>
      <c r="BI447">
        <v>7.6804889999999997</v>
      </c>
      <c r="BJ447">
        <v>0</v>
      </c>
      <c r="BK447">
        <v>8.5407650000000004</v>
      </c>
      <c r="BL447">
        <v>72.944659000000001</v>
      </c>
      <c r="BM447">
        <v>1.1120080000000001</v>
      </c>
      <c r="BN447">
        <v>16.519500000000001</v>
      </c>
      <c r="BO447">
        <v>0.49626599999999998</v>
      </c>
      <c r="BP447">
        <v>1.4952650000000001</v>
      </c>
      <c r="BQ447">
        <v>8.0126069999999991</v>
      </c>
      <c r="BR447">
        <v>1.3129999999999999</v>
      </c>
      <c r="BS447">
        <v>1.329</v>
      </c>
      <c r="BT447">
        <v>7.6804889999999997</v>
      </c>
      <c r="BU447">
        <v>4.5633869999999996</v>
      </c>
      <c r="BV447">
        <v>1.1049640000000001</v>
      </c>
      <c r="BW447">
        <v>-0.50400299999999998</v>
      </c>
      <c r="BX447">
        <v>0.59415300000000004</v>
      </c>
      <c r="BY447">
        <v>0.24213699999999999</v>
      </c>
      <c r="BZ447">
        <v>-0.110445</v>
      </c>
      <c r="CA447">
        <v>4.0000000000000001E-3</v>
      </c>
      <c r="CB447">
        <v>2.155E-2</v>
      </c>
      <c r="CC447">
        <v>5.8099999999999999E-2</v>
      </c>
      <c r="CD447">
        <v>0.1452</v>
      </c>
      <c r="CE447">
        <v>0.21325</v>
      </c>
      <c r="CF447">
        <v>0.2903</v>
      </c>
      <c r="CG447">
        <v>0.50860000000000005</v>
      </c>
      <c r="CH447">
        <v>1.329</v>
      </c>
      <c r="CI447">
        <v>9.8675979999999992</v>
      </c>
      <c r="CJ447">
        <v>15.184801</v>
      </c>
      <c r="CK447">
        <v>16.732749999999999</v>
      </c>
      <c r="CL447">
        <v>18.1724</v>
      </c>
      <c r="CM447">
        <v>20.246700000000001</v>
      </c>
      <c r="CN447">
        <v>21.528095</v>
      </c>
      <c r="CO447">
        <v>22.732410000000002</v>
      </c>
      <c r="CP447">
        <v>0.32075500000000001</v>
      </c>
      <c r="CQ447">
        <v>11.483521</v>
      </c>
      <c r="CR447">
        <v>13.464964999999999</v>
      </c>
      <c r="CS447">
        <v>21</v>
      </c>
      <c r="CT447">
        <v>597</v>
      </c>
      <c r="CU447">
        <v>180.83420100000001</v>
      </c>
      <c r="CV447">
        <v>30.142856999999999</v>
      </c>
      <c r="CW447">
        <v>131.09228100000001</v>
      </c>
      <c r="CX447">
        <v>17185.18621</v>
      </c>
      <c r="CY447">
        <v>0.72493099999999999</v>
      </c>
      <c r="CZ447">
        <v>197.5</v>
      </c>
      <c r="DA447">
        <v>0.84432200000000002</v>
      </c>
      <c r="DB447">
        <v>2.773898</v>
      </c>
      <c r="DC447">
        <v>109.21977200000001</v>
      </c>
      <c r="DD447">
        <v>180.83420100000001</v>
      </c>
      <c r="DE447">
        <v>72.382481999999996</v>
      </c>
      <c r="DF447">
        <v>16.321352000000001</v>
      </c>
      <c r="DG447">
        <v>3.7279499999999999</v>
      </c>
      <c r="DH447">
        <v>0.40027000000000001</v>
      </c>
      <c r="DI447">
        <v>0.22548799999999999</v>
      </c>
      <c r="DJ447">
        <v>5.1503E-2</v>
      </c>
      <c r="DK447">
        <v>27</v>
      </c>
      <c r="DL447">
        <v>34.549999</v>
      </c>
      <c r="DM447">
        <v>41</v>
      </c>
      <c r="DN447">
        <v>60</v>
      </c>
      <c r="DO447">
        <v>71.75</v>
      </c>
      <c r="DP447">
        <v>83</v>
      </c>
      <c r="DQ447">
        <v>109</v>
      </c>
      <c r="DR447">
        <v>146</v>
      </c>
      <c r="DS447">
        <v>186.599976</v>
      </c>
      <c r="DT447">
        <v>239.70001199999999</v>
      </c>
      <c r="DU447">
        <v>269.25</v>
      </c>
      <c r="DV447">
        <v>298</v>
      </c>
      <c r="DW447">
        <v>383</v>
      </c>
      <c r="DX447">
        <v>432.899902</v>
      </c>
      <c r="DY447">
        <v>522.40991199999996</v>
      </c>
      <c r="DZ447">
        <v>62.571429000000002</v>
      </c>
      <c r="EA447">
        <v>45.746527999999998</v>
      </c>
      <c r="EB447">
        <v>75.285713999999999</v>
      </c>
      <c r="EC447">
        <v>438</v>
      </c>
      <c r="ED447">
        <v>527</v>
      </c>
      <c r="EE447">
        <v>58.714286000000001</v>
      </c>
      <c r="EF447">
        <v>99.714286000000001</v>
      </c>
      <c r="EG447">
        <v>42.1875</v>
      </c>
      <c r="EH447">
        <v>99.739582999999996</v>
      </c>
      <c r="EI447">
        <v>69.428571000000005</v>
      </c>
      <c r="EJ447">
        <v>164.14285699999999</v>
      </c>
      <c r="EK447">
        <v>411</v>
      </c>
      <c r="EL447">
        <v>698</v>
      </c>
      <c r="EM447">
        <v>486</v>
      </c>
      <c r="EN447">
        <v>1149</v>
      </c>
      <c r="EO447">
        <v>700</v>
      </c>
      <c r="EP447">
        <v>1152</v>
      </c>
      <c r="EQ447">
        <v>32.764375999999999</v>
      </c>
    </row>
    <row r="448" spans="1:147" x14ac:dyDescent="0.25">
      <c r="A448">
        <v>2025</v>
      </c>
      <c r="B448" t="str">
        <f t="shared" si="12"/>
        <v>NE</v>
      </c>
      <c r="C448" t="s">
        <v>2081</v>
      </c>
      <c r="D448" t="s">
        <v>2081</v>
      </c>
      <c r="E448">
        <v>28657</v>
      </c>
      <c r="F448" t="s">
        <v>2082</v>
      </c>
      <c r="G448" t="s">
        <v>2083</v>
      </c>
      <c r="H448" t="s">
        <v>2084</v>
      </c>
      <c r="I448">
        <v>78.69</v>
      </c>
      <c r="J448">
        <v>78.69</v>
      </c>
      <c r="K448" t="s">
        <v>1098</v>
      </c>
      <c r="L448">
        <v>1</v>
      </c>
      <c r="M448">
        <v>2021</v>
      </c>
      <c r="O448" t="str">
        <f t="shared" si="13"/>
        <v>Talhadia</v>
      </c>
      <c r="P448" s="2">
        <v>44476</v>
      </c>
      <c r="Q448" t="s">
        <v>174</v>
      </c>
      <c r="R448" t="s">
        <v>302</v>
      </c>
      <c r="S448" t="s">
        <v>154</v>
      </c>
      <c r="T448" t="s">
        <v>1098</v>
      </c>
      <c r="U448" t="s">
        <v>156</v>
      </c>
      <c r="V448" s="2">
        <v>45740</v>
      </c>
      <c r="W448" t="s">
        <v>2085</v>
      </c>
      <c r="X448">
        <v>212.82</v>
      </c>
      <c r="Y448">
        <v>21.5</v>
      </c>
      <c r="Z448">
        <v>16</v>
      </c>
      <c r="AA448">
        <v>16.3</v>
      </c>
      <c r="AB448">
        <v>5</v>
      </c>
      <c r="AC448">
        <v>350.45</v>
      </c>
      <c r="AD448">
        <v>335.59225345258898</v>
      </c>
      <c r="AE448" s="2">
        <v>45740</v>
      </c>
      <c r="AF448">
        <v>41</v>
      </c>
      <c r="AG448">
        <v>3.46064339493498</v>
      </c>
      <c r="AH448">
        <v>21.404046797877001</v>
      </c>
      <c r="AI448">
        <v>15.795</v>
      </c>
      <c r="AJ448">
        <v>12.4183536843688</v>
      </c>
      <c r="AK448">
        <v>20</v>
      </c>
      <c r="AL448">
        <v>595.961312999303</v>
      </c>
      <c r="AM448">
        <v>128.74415565711701</v>
      </c>
      <c r="AN448">
        <v>0.21602770657911399</v>
      </c>
      <c r="AO448" t="s">
        <v>302</v>
      </c>
      <c r="AP448" t="s">
        <v>264</v>
      </c>
      <c r="AQ448" t="s">
        <v>901</v>
      </c>
      <c r="AR448">
        <v>9</v>
      </c>
      <c r="AS448">
        <v>0.53636518169937319</v>
      </c>
      <c r="AT448" t="s">
        <v>2086</v>
      </c>
      <c r="AU448" t="s">
        <v>2081</v>
      </c>
      <c r="AV448">
        <v>1265</v>
      </c>
      <c r="AW448">
        <v>717</v>
      </c>
      <c r="AX448">
        <v>413</v>
      </c>
      <c r="AY448">
        <v>125</v>
      </c>
      <c r="AZ448">
        <v>10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1E-3</v>
      </c>
      <c r="BH448">
        <v>26.525998999999999</v>
      </c>
      <c r="BI448">
        <v>12.237174</v>
      </c>
      <c r="BJ448">
        <v>1E-3</v>
      </c>
      <c r="BK448">
        <v>10.254875999999999</v>
      </c>
      <c r="BL448">
        <v>105.162481</v>
      </c>
      <c r="BM448">
        <v>0.83801000000000003</v>
      </c>
      <c r="BN448">
        <v>22.132000999999999</v>
      </c>
      <c r="BO448">
        <v>-0.13782700000000001</v>
      </c>
      <c r="BP448">
        <v>1.2396119999999999</v>
      </c>
      <c r="BQ448">
        <v>9.6397630000000003</v>
      </c>
      <c r="BR448">
        <v>9.2000010000000003</v>
      </c>
      <c r="BS448">
        <v>14.238999</v>
      </c>
      <c r="BT448">
        <v>12.237174</v>
      </c>
      <c r="BU448">
        <v>5.6353340000000003</v>
      </c>
      <c r="BV448">
        <v>-0.14526</v>
      </c>
      <c r="BW448">
        <v>-0.95130000000000003</v>
      </c>
      <c r="BX448">
        <v>0.460509</v>
      </c>
      <c r="BY448">
        <v>-2.5777000000000001E-2</v>
      </c>
      <c r="BZ448">
        <v>-0.16880999999999999</v>
      </c>
      <c r="CA448">
        <v>3.0000000000000001E-3</v>
      </c>
      <c r="CB448">
        <v>1.0999999999999999E-2</v>
      </c>
      <c r="CC448">
        <v>2.5000000000000001E-2</v>
      </c>
      <c r="CD448">
        <v>6.6799999999999998E-2</v>
      </c>
      <c r="CE448">
        <v>0.10299999999999999</v>
      </c>
      <c r="CF448">
        <v>0.21</v>
      </c>
      <c r="CG448">
        <v>6.9756030000000004</v>
      </c>
      <c r="CH448">
        <v>14.24</v>
      </c>
      <c r="CI448">
        <v>20.149000000000001</v>
      </c>
      <c r="CJ448">
        <v>21.712399999999999</v>
      </c>
      <c r="CK448">
        <v>22.235001</v>
      </c>
      <c r="CL448">
        <v>22.665001</v>
      </c>
      <c r="CM448">
        <v>23.584999</v>
      </c>
      <c r="CN448">
        <v>24.762001000000001</v>
      </c>
      <c r="CO448">
        <v>25.951719000000001</v>
      </c>
      <c r="CP448">
        <v>0.46130700000000002</v>
      </c>
      <c r="CQ448">
        <v>15.963326</v>
      </c>
      <c r="CR448">
        <v>17.69613</v>
      </c>
      <c r="CS448">
        <v>20</v>
      </c>
      <c r="CT448">
        <v>648</v>
      </c>
      <c r="CU448">
        <v>153.97707500000001</v>
      </c>
      <c r="CV448">
        <v>29.968254000000002</v>
      </c>
      <c r="CW448">
        <v>120.21356400000001</v>
      </c>
      <c r="CX448">
        <v>14451.3009</v>
      </c>
      <c r="CY448">
        <v>0.78072399999999997</v>
      </c>
      <c r="CZ448">
        <v>140</v>
      </c>
      <c r="DA448">
        <v>1.360978</v>
      </c>
      <c r="DB448">
        <v>4.3989500000000001</v>
      </c>
      <c r="DC448">
        <v>92.104281999999998</v>
      </c>
      <c r="DD448">
        <v>153.97707500000001</v>
      </c>
      <c r="DE448">
        <v>63.032809</v>
      </c>
      <c r="DF448">
        <v>18.971012000000002</v>
      </c>
      <c r="DG448">
        <v>8.5824879999999997</v>
      </c>
      <c r="DH448">
        <v>0.40936499999999998</v>
      </c>
      <c r="DI448">
        <v>0.30097000000000002</v>
      </c>
      <c r="DJ448">
        <v>0.136159</v>
      </c>
      <c r="DK448">
        <v>26</v>
      </c>
      <c r="DL448">
        <v>33</v>
      </c>
      <c r="DM448">
        <v>38</v>
      </c>
      <c r="DN448">
        <v>53</v>
      </c>
      <c r="DO448">
        <v>60</v>
      </c>
      <c r="DP448">
        <v>70</v>
      </c>
      <c r="DQ448">
        <v>94</v>
      </c>
      <c r="DR448">
        <v>122</v>
      </c>
      <c r="DS448">
        <v>146</v>
      </c>
      <c r="DT448">
        <v>180</v>
      </c>
      <c r="DU448">
        <v>200</v>
      </c>
      <c r="DV448">
        <v>237</v>
      </c>
      <c r="DW448">
        <v>332.59997600000003</v>
      </c>
      <c r="DX448">
        <v>421.800049</v>
      </c>
      <c r="DY448">
        <v>522.35998500000005</v>
      </c>
      <c r="DZ448">
        <v>82.845187999999993</v>
      </c>
      <c r="EA448">
        <v>62.687747000000002</v>
      </c>
      <c r="EB448">
        <v>110.599721</v>
      </c>
      <c r="EC448">
        <v>594</v>
      </c>
      <c r="ED448">
        <v>793</v>
      </c>
      <c r="EE448">
        <v>74.755927</v>
      </c>
      <c r="EF448">
        <v>100</v>
      </c>
      <c r="EG448">
        <v>52.806323999999996</v>
      </c>
      <c r="EH448">
        <v>99.683794000000006</v>
      </c>
      <c r="EI448">
        <v>93.165969000000004</v>
      </c>
      <c r="EJ448">
        <v>175.87168800000001</v>
      </c>
      <c r="EK448">
        <v>536</v>
      </c>
      <c r="EL448">
        <v>717</v>
      </c>
      <c r="EM448">
        <v>668</v>
      </c>
      <c r="EN448">
        <v>1261</v>
      </c>
      <c r="EO448">
        <v>717</v>
      </c>
      <c r="EP448">
        <v>1265</v>
      </c>
      <c r="EQ448">
        <v>46.151032000000001</v>
      </c>
    </row>
    <row r="449" spans="1:147" x14ac:dyDescent="0.25">
      <c r="A449">
        <v>2025</v>
      </c>
      <c r="B449" t="str">
        <f t="shared" si="12"/>
        <v>NE</v>
      </c>
      <c r="C449" t="s">
        <v>2087</v>
      </c>
      <c r="D449" t="s">
        <v>2087</v>
      </c>
      <c r="E449">
        <v>28659</v>
      </c>
      <c r="F449" t="s">
        <v>2082</v>
      </c>
      <c r="G449" t="s">
        <v>2083</v>
      </c>
      <c r="H449" t="s">
        <v>2084</v>
      </c>
      <c r="I449">
        <v>78.69</v>
      </c>
      <c r="J449">
        <v>78.69</v>
      </c>
      <c r="K449" t="s">
        <v>1098</v>
      </c>
      <c r="L449">
        <v>1</v>
      </c>
      <c r="M449">
        <v>2021</v>
      </c>
      <c r="O449" t="str">
        <f t="shared" si="13"/>
        <v>Talhadia</v>
      </c>
      <c r="P449" s="2">
        <v>44476</v>
      </c>
      <c r="Q449" t="s">
        <v>174</v>
      </c>
      <c r="R449" t="s">
        <v>302</v>
      </c>
      <c r="S449" t="s">
        <v>154</v>
      </c>
      <c r="T449" t="s">
        <v>1098</v>
      </c>
      <c r="U449" t="s">
        <v>156</v>
      </c>
      <c r="V449" s="2">
        <v>44821</v>
      </c>
      <c r="W449" t="s">
        <v>2085</v>
      </c>
      <c r="X449">
        <v>212.82</v>
      </c>
      <c r="Y449">
        <v>21.6</v>
      </c>
      <c r="Z449">
        <v>7</v>
      </c>
      <c r="AA449">
        <v>15.3</v>
      </c>
      <c r="AB449">
        <v>1</v>
      </c>
      <c r="AC449">
        <v>330.48</v>
      </c>
      <c r="AD449">
        <v>327.96669366951102</v>
      </c>
      <c r="AE449" s="2">
        <v>45740</v>
      </c>
      <c r="AF449">
        <v>41</v>
      </c>
      <c r="AG449">
        <v>3.46064339493498</v>
      </c>
      <c r="AH449">
        <v>21.187312570901799</v>
      </c>
      <c r="AI449">
        <v>14.1846153846154</v>
      </c>
      <c r="AJ449">
        <v>13.409018164642101</v>
      </c>
      <c r="AK449">
        <v>26</v>
      </c>
      <c r="AL449">
        <v>792.76342695334802</v>
      </c>
      <c r="AM449">
        <v>138.76363752380999</v>
      </c>
      <c r="AN449">
        <v>0.17503789000091699</v>
      </c>
      <c r="AO449" t="s">
        <v>302</v>
      </c>
      <c r="AP449" t="s">
        <v>264</v>
      </c>
      <c r="AQ449" t="s">
        <v>901</v>
      </c>
      <c r="AR449">
        <v>9</v>
      </c>
      <c r="AS449">
        <v>0.71348708425801199</v>
      </c>
      <c r="AT449" t="s">
        <v>2088</v>
      </c>
      <c r="AU449" t="s">
        <v>2087</v>
      </c>
      <c r="AV449">
        <v>1233</v>
      </c>
      <c r="AW449">
        <v>674</v>
      </c>
      <c r="AX449">
        <v>413</v>
      </c>
      <c r="AY449">
        <v>118</v>
      </c>
      <c r="AZ449">
        <v>27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26.035999</v>
      </c>
      <c r="BI449">
        <v>13.742041</v>
      </c>
      <c r="BJ449">
        <v>0</v>
      </c>
      <c r="BK449">
        <v>9.6114890000000006</v>
      </c>
      <c r="BL449">
        <v>92.380726999999993</v>
      </c>
      <c r="BM449">
        <v>0.69942199999999999</v>
      </c>
      <c r="BN449">
        <v>21.416001000000001</v>
      </c>
      <c r="BO449">
        <v>-0.50912100000000005</v>
      </c>
      <c r="BP449">
        <v>1.4651609999999999</v>
      </c>
      <c r="BQ449">
        <v>8.9302089999999996</v>
      </c>
      <c r="BR449">
        <v>3.6419999999999999</v>
      </c>
      <c r="BS449">
        <v>19.492999999999999</v>
      </c>
      <c r="BT449">
        <v>13.742041</v>
      </c>
      <c r="BU449">
        <v>5.1617649999999999</v>
      </c>
      <c r="BV449">
        <v>-0.93838900000000003</v>
      </c>
      <c r="BW449">
        <v>-0.54839199999999999</v>
      </c>
      <c r="BX449">
        <v>0.37561899999999998</v>
      </c>
      <c r="BY449">
        <v>-0.18179600000000001</v>
      </c>
      <c r="BZ449">
        <v>-0.106241</v>
      </c>
      <c r="CA449">
        <v>1E-3</v>
      </c>
      <c r="CB449">
        <v>7.0000000000000001E-3</v>
      </c>
      <c r="CC449">
        <v>1.7000000000000001E-2</v>
      </c>
      <c r="CD449">
        <v>4.8399999999999999E-2</v>
      </c>
      <c r="CE449">
        <v>0.13500000000000001</v>
      </c>
      <c r="CF449">
        <v>4.2539999999999996</v>
      </c>
      <c r="CG449">
        <v>14.493199000000001</v>
      </c>
      <c r="CH449">
        <v>19.492999999999999</v>
      </c>
      <c r="CI449">
        <v>20.499400999999999</v>
      </c>
      <c r="CJ449">
        <v>21.240601000000002</v>
      </c>
      <c r="CK449">
        <v>21.551000999999999</v>
      </c>
      <c r="CL449">
        <v>21.9816</v>
      </c>
      <c r="CM449">
        <v>22.950001</v>
      </c>
      <c r="CN449">
        <v>23.808802</v>
      </c>
      <c r="CO449">
        <v>24.881924000000001</v>
      </c>
      <c r="CP449">
        <v>0.52780899999999997</v>
      </c>
      <c r="CQ449">
        <v>16.767513000000001</v>
      </c>
      <c r="CR449">
        <v>18.119384</v>
      </c>
      <c r="CS449">
        <v>23</v>
      </c>
      <c r="CT449">
        <v>674</v>
      </c>
      <c r="CU449">
        <v>118.927007</v>
      </c>
      <c r="CV449">
        <v>54</v>
      </c>
      <c r="CW449">
        <v>104.116005</v>
      </c>
      <c r="CX449">
        <v>10840.142400000001</v>
      </c>
      <c r="CY449">
        <v>0.87546100000000004</v>
      </c>
      <c r="CZ449">
        <v>74</v>
      </c>
      <c r="DA449">
        <v>2.3876680000000001</v>
      </c>
      <c r="DB449">
        <v>8.9238680000000006</v>
      </c>
      <c r="DC449">
        <v>68.718146000000004</v>
      </c>
      <c r="DD449">
        <v>118.927007</v>
      </c>
      <c r="DE449">
        <v>47.464838999999998</v>
      </c>
      <c r="DF449">
        <v>20.431128000000001</v>
      </c>
      <c r="DG449">
        <v>13.29787</v>
      </c>
      <c r="DH449">
        <v>0.39910899999999999</v>
      </c>
      <c r="DI449">
        <v>0.430448</v>
      </c>
      <c r="DJ449">
        <v>0.280163</v>
      </c>
      <c r="DK449">
        <v>27</v>
      </c>
      <c r="DL449">
        <v>34</v>
      </c>
      <c r="DM449">
        <v>39</v>
      </c>
      <c r="DN449">
        <v>51</v>
      </c>
      <c r="DO449">
        <v>58</v>
      </c>
      <c r="DP449">
        <v>62.600006</v>
      </c>
      <c r="DQ449">
        <v>74</v>
      </c>
      <c r="DR449">
        <v>87</v>
      </c>
      <c r="DS449">
        <v>101</v>
      </c>
      <c r="DT449">
        <v>120</v>
      </c>
      <c r="DU449">
        <v>132</v>
      </c>
      <c r="DV449">
        <v>148</v>
      </c>
      <c r="DW449">
        <v>233.600098</v>
      </c>
      <c r="DX449">
        <v>375.800049</v>
      </c>
      <c r="DY449">
        <v>535.36010699999997</v>
      </c>
      <c r="DZ449">
        <v>93.175073999999995</v>
      </c>
      <c r="EA449">
        <v>72.424980000000005</v>
      </c>
      <c r="EB449">
        <v>132.492582</v>
      </c>
      <c r="EC449">
        <v>628</v>
      </c>
      <c r="ED449">
        <v>893</v>
      </c>
      <c r="EE449">
        <v>88.278931999999998</v>
      </c>
      <c r="EF449">
        <v>100</v>
      </c>
      <c r="EG449">
        <v>61.07056</v>
      </c>
      <c r="EH449">
        <v>99.756691000000004</v>
      </c>
      <c r="EI449">
        <v>111.721068</v>
      </c>
      <c r="EJ449">
        <v>182.492582</v>
      </c>
      <c r="EK449">
        <v>595</v>
      </c>
      <c r="EL449">
        <v>674</v>
      </c>
      <c r="EM449">
        <v>753</v>
      </c>
      <c r="EN449">
        <v>1230</v>
      </c>
      <c r="EO449">
        <v>674</v>
      </c>
      <c r="EP449">
        <v>1233</v>
      </c>
      <c r="EQ449">
        <v>54.238594999999997</v>
      </c>
    </row>
    <row r="450" spans="1:147" x14ac:dyDescent="0.25">
      <c r="A450">
        <v>2025</v>
      </c>
      <c r="B450" t="str">
        <f t="shared" si="12"/>
        <v>NE</v>
      </c>
      <c r="C450" t="s">
        <v>2089</v>
      </c>
      <c r="D450" t="s">
        <v>2089</v>
      </c>
      <c r="E450">
        <v>28660</v>
      </c>
      <c r="F450" t="s">
        <v>2082</v>
      </c>
      <c r="G450" t="s">
        <v>2083</v>
      </c>
      <c r="H450" t="s">
        <v>2084</v>
      </c>
      <c r="I450">
        <v>78.69</v>
      </c>
      <c r="J450">
        <v>78.69</v>
      </c>
      <c r="K450" t="s">
        <v>1098</v>
      </c>
      <c r="L450">
        <v>1</v>
      </c>
      <c r="M450">
        <v>2021</v>
      </c>
      <c r="O450" t="str">
        <f t="shared" si="13"/>
        <v>Talhadia</v>
      </c>
      <c r="P450" s="2">
        <v>44476</v>
      </c>
      <c r="Q450" t="s">
        <v>174</v>
      </c>
      <c r="R450" t="s">
        <v>302</v>
      </c>
      <c r="S450" t="s">
        <v>154</v>
      </c>
      <c r="T450" t="s">
        <v>1098</v>
      </c>
      <c r="U450" t="s">
        <v>156</v>
      </c>
      <c r="V450" s="2">
        <v>45740</v>
      </c>
      <c r="W450" t="s">
        <v>2085</v>
      </c>
      <c r="X450">
        <v>212.82</v>
      </c>
      <c r="Y450">
        <v>20.8</v>
      </c>
      <c r="Z450">
        <v>14</v>
      </c>
      <c r="AA450">
        <v>14.4</v>
      </c>
      <c r="AB450">
        <v>2</v>
      </c>
      <c r="AC450">
        <v>299.52</v>
      </c>
      <c r="AD450">
        <v>290.44593626961699</v>
      </c>
      <c r="AE450" s="2">
        <v>45740</v>
      </c>
      <c r="AF450">
        <v>41</v>
      </c>
      <c r="AG450">
        <v>3.46064339493498</v>
      </c>
      <c r="AH450">
        <v>19.4749055102433</v>
      </c>
      <c r="AI450">
        <v>16.071428571428601</v>
      </c>
      <c r="AJ450">
        <v>15.2726318245293</v>
      </c>
      <c r="AK450">
        <v>21</v>
      </c>
      <c r="AL450">
        <v>723.02612560934404</v>
      </c>
      <c r="AM450">
        <v>138.84256718277399</v>
      </c>
      <c r="AN450">
        <v>0.19202980675942</v>
      </c>
      <c r="AO450" t="s">
        <v>302</v>
      </c>
      <c r="AP450" t="s">
        <v>264</v>
      </c>
      <c r="AQ450" t="s">
        <v>901</v>
      </c>
      <c r="AR450">
        <v>9</v>
      </c>
      <c r="AS450">
        <v>0.65072351304841081</v>
      </c>
      <c r="AT450" t="s">
        <v>2090</v>
      </c>
      <c r="AU450" t="s">
        <v>2089</v>
      </c>
      <c r="AV450">
        <v>1190</v>
      </c>
      <c r="AW450">
        <v>704</v>
      </c>
      <c r="AX450">
        <v>376</v>
      </c>
      <c r="AY450">
        <v>95</v>
      </c>
      <c r="AZ450">
        <v>15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26.631001000000001</v>
      </c>
      <c r="BI450">
        <v>13.102371</v>
      </c>
      <c r="BJ450">
        <v>0</v>
      </c>
      <c r="BK450">
        <v>9.1049159999999993</v>
      </c>
      <c r="BL450">
        <v>82.899502999999996</v>
      </c>
      <c r="BM450">
        <v>0.69490600000000002</v>
      </c>
      <c r="BN450">
        <v>19.603249999999999</v>
      </c>
      <c r="BO450">
        <v>-0.45965600000000001</v>
      </c>
      <c r="BP450">
        <v>1.502623</v>
      </c>
      <c r="BQ450">
        <v>8.3494200000000003</v>
      </c>
      <c r="BR450">
        <v>4.5605000000000002</v>
      </c>
      <c r="BS450">
        <v>17.722000000000001</v>
      </c>
      <c r="BT450">
        <v>13.102371</v>
      </c>
      <c r="BU450">
        <v>4.9819430000000002</v>
      </c>
      <c r="BV450">
        <v>-0.75933200000000001</v>
      </c>
      <c r="BW450">
        <v>-0.466447</v>
      </c>
      <c r="BX450">
        <v>0.38023200000000001</v>
      </c>
      <c r="BY450">
        <v>-0.152417</v>
      </c>
      <c r="BZ450">
        <v>-9.3628000000000003E-2</v>
      </c>
      <c r="CA450">
        <v>3.0000000000000001E-3</v>
      </c>
      <c r="CB450">
        <v>1.4E-2</v>
      </c>
      <c r="CC450">
        <v>3.5000000000000003E-2</v>
      </c>
      <c r="CD450">
        <v>0.2462</v>
      </c>
      <c r="CE450">
        <v>1.1127499999999999</v>
      </c>
      <c r="CF450">
        <v>4.5467009999999997</v>
      </c>
      <c r="CG450">
        <v>13.242000000000001</v>
      </c>
      <c r="CH450">
        <v>17.722000000000001</v>
      </c>
      <c r="CI450">
        <v>19.4648</v>
      </c>
      <c r="CJ450">
        <v>20.350200999999998</v>
      </c>
      <c r="CK450">
        <v>20.716000000000001</v>
      </c>
      <c r="CL450">
        <v>21.034200999999999</v>
      </c>
      <c r="CM450">
        <v>22.342699</v>
      </c>
      <c r="CN450">
        <v>23.216851999999999</v>
      </c>
      <c r="CO450">
        <v>25.063027999999999</v>
      </c>
      <c r="CP450">
        <v>0.49199700000000002</v>
      </c>
      <c r="CQ450">
        <v>15.953118</v>
      </c>
      <c r="CR450">
        <v>17.278521999999999</v>
      </c>
      <c r="CS450">
        <v>24</v>
      </c>
      <c r="CT450">
        <v>620</v>
      </c>
      <c r="CU450">
        <v>134.18823499999999</v>
      </c>
      <c r="CV450">
        <v>33.460317000000003</v>
      </c>
      <c r="CW450">
        <v>86.627543000000003</v>
      </c>
      <c r="CX450">
        <v>7504.3312320000005</v>
      </c>
      <c r="CY450">
        <v>0.645567</v>
      </c>
      <c r="CZ450">
        <v>117</v>
      </c>
      <c r="DA450">
        <v>1.324214</v>
      </c>
      <c r="DB450">
        <v>5.9176529999999996</v>
      </c>
      <c r="DC450">
        <v>67.391142000000002</v>
      </c>
      <c r="DD450">
        <v>134.18823499999999</v>
      </c>
      <c r="DE450">
        <v>46.401420999999999</v>
      </c>
      <c r="DF450">
        <v>9.1654879999999999</v>
      </c>
      <c r="DG450">
        <v>4.9750220000000001</v>
      </c>
      <c r="DH450">
        <v>0.34579399999999999</v>
      </c>
      <c r="DI450">
        <v>0.19752600000000001</v>
      </c>
      <c r="DJ450">
        <v>0.10721700000000001</v>
      </c>
      <c r="DK450">
        <v>28</v>
      </c>
      <c r="DL450">
        <v>33</v>
      </c>
      <c r="DM450">
        <v>39</v>
      </c>
      <c r="DN450">
        <v>54.800002999999997</v>
      </c>
      <c r="DO450">
        <v>64</v>
      </c>
      <c r="DP450">
        <v>73</v>
      </c>
      <c r="DQ450">
        <v>97</v>
      </c>
      <c r="DR450">
        <v>122</v>
      </c>
      <c r="DS450">
        <v>145</v>
      </c>
      <c r="DT450">
        <v>168</v>
      </c>
      <c r="DU450">
        <v>181</v>
      </c>
      <c r="DV450">
        <v>198</v>
      </c>
      <c r="DW450">
        <v>239</v>
      </c>
      <c r="DX450">
        <v>282</v>
      </c>
      <c r="DY450">
        <v>406.32995599999998</v>
      </c>
      <c r="DZ450">
        <v>91.335227000000003</v>
      </c>
      <c r="EA450">
        <v>71.008403000000001</v>
      </c>
      <c r="EB450">
        <v>120.028409</v>
      </c>
      <c r="EC450">
        <v>643</v>
      </c>
      <c r="ED450">
        <v>845</v>
      </c>
      <c r="EE450">
        <v>85.653408999999996</v>
      </c>
      <c r="EF450">
        <v>100</v>
      </c>
      <c r="EG450">
        <v>60.420167999999997</v>
      </c>
      <c r="EH450">
        <v>99.747899000000004</v>
      </c>
      <c r="EI450">
        <v>102.13068199999999</v>
      </c>
      <c r="EJ450">
        <v>168.607955</v>
      </c>
      <c r="EK450">
        <v>603</v>
      </c>
      <c r="EL450">
        <v>704</v>
      </c>
      <c r="EM450">
        <v>719</v>
      </c>
      <c r="EN450">
        <v>1187</v>
      </c>
      <c r="EO450">
        <v>704</v>
      </c>
      <c r="EP450">
        <v>1190</v>
      </c>
      <c r="EQ450">
        <v>51.266564000000002</v>
      </c>
    </row>
    <row r="451" spans="1:147" x14ac:dyDescent="0.25">
      <c r="A451">
        <v>2025</v>
      </c>
      <c r="B451" t="str">
        <f t="shared" ref="B451:B494" si="14">LEFT(C451,2)</f>
        <v>RD</v>
      </c>
      <c r="C451" t="s">
        <v>2091</v>
      </c>
      <c r="D451" t="s">
        <v>2091</v>
      </c>
      <c r="E451">
        <v>24555</v>
      </c>
      <c r="F451" t="s">
        <v>2092</v>
      </c>
      <c r="G451" t="s">
        <v>2093</v>
      </c>
      <c r="H451" t="s">
        <v>2094</v>
      </c>
      <c r="I451">
        <v>50.21</v>
      </c>
      <c r="J451">
        <v>50.21</v>
      </c>
      <c r="K451" t="s">
        <v>236</v>
      </c>
      <c r="L451">
        <v>1</v>
      </c>
      <c r="M451">
        <v>2016</v>
      </c>
      <c r="O451" t="str">
        <f t="shared" ref="O451:O494" si="15">IF(MID(F451,12,1)="R","Talhadia","Alto fuste")</f>
        <v>Alto fuste</v>
      </c>
      <c r="P451" s="2">
        <v>42605</v>
      </c>
      <c r="Q451" t="s">
        <v>237</v>
      </c>
      <c r="R451" t="s">
        <v>821</v>
      </c>
      <c r="S451" t="s">
        <v>154</v>
      </c>
      <c r="T451" t="s">
        <v>238</v>
      </c>
      <c r="U451" t="s">
        <v>156</v>
      </c>
      <c r="V451" s="2">
        <v>44822</v>
      </c>
      <c r="W451" t="s">
        <v>2095</v>
      </c>
      <c r="X451">
        <v>158.88</v>
      </c>
      <c r="Y451">
        <v>20.7</v>
      </c>
      <c r="Z451">
        <v>6</v>
      </c>
      <c r="AA451">
        <v>16.100000000000001</v>
      </c>
      <c r="AB451">
        <v>2</v>
      </c>
      <c r="AC451">
        <v>333.27</v>
      </c>
      <c r="AD451">
        <v>331.24240514979698</v>
      </c>
      <c r="AE451" s="2">
        <v>45751</v>
      </c>
      <c r="AF451">
        <v>104</v>
      </c>
      <c r="AG451">
        <v>8.6132785763175903</v>
      </c>
      <c r="AH451">
        <v>23.736226085544399</v>
      </c>
      <c r="AI451">
        <v>15.115384615384601</v>
      </c>
      <c r="AJ451">
        <v>15.049877931326799</v>
      </c>
      <c r="AK451">
        <v>26</v>
      </c>
      <c r="AL451">
        <v>784.92365698896697</v>
      </c>
      <c r="AM451">
        <v>175.195459781062</v>
      </c>
      <c r="AN451">
        <v>0.223200636420014</v>
      </c>
      <c r="AO451" t="s">
        <v>821</v>
      </c>
      <c r="AP451" t="s">
        <v>158</v>
      </c>
      <c r="AQ451" t="s">
        <v>901</v>
      </c>
      <c r="AR451">
        <v>7.5</v>
      </c>
      <c r="AS451">
        <v>0.58869274274172589</v>
      </c>
      <c r="AT451" t="s">
        <v>2096</v>
      </c>
      <c r="AU451" t="s">
        <v>2091</v>
      </c>
      <c r="AV451">
        <v>740</v>
      </c>
      <c r="AW451">
        <v>426</v>
      </c>
      <c r="AX451">
        <v>245</v>
      </c>
      <c r="AY451">
        <v>59</v>
      </c>
      <c r="AZ451">
        <v>10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25.403998999999999</v>
      </c>
      <c r="BI451">
        <v>8.6004640000000006</v>
      </c>
      <c r="BJ451">
        <v>0</v>
      </c>
      <c r="BK451">
        <v>9.4153789999999997</v>
      </c>
      <c r="BL451">
        <v>88.649364000000006</v>
      </c>
      <c r="BM451">
        <v>1.0947530000000001</v>
      </c>
      <c r="BN451">
        <v>18.898499000000001</v>
      </c>
      <c r="BO451">
        <v>0.40232800000000002</v>
      </c>
      <c r="BP451">
        <v>1.398201</v>
      </c>
      <c r="BQ451">
        <v>8.8958150000000007</v>
      </c>
      <c r="BR451">
        <v>1.6165</v>
      </c>
      <c r="BS451">
        <v>1.6214999999999999</v>
      </c>
      <c r="BT451">
        <v>8.6004640000000006</v>
      </c>
      <c r="BU451">
        <v>5.0531560000000004</v>
      </c>
      <c r="BV451">
        <v>1.070524</v>
      </c>
      <c r="BW451">
        <v>-0.67941399999999996</v>
      </c>
      <c r="BX451">
        <v>0.58754499999999998</v>
      </c>
      <c r="BY451">
        <v>0.21185300000000001</v>
      </c>
      <c r="BZ451">
        <v>-0.13445299999999999</v>
      </c>
      <c r="CA451">
        <v>2E-3</v>
      </c>
      <c r="CB451">
        <v>8.9499999999999996E-3</v>
      </c>
      <c r="CC451">
        <v>1.4999999999999999E-2</v>
      </c>
      <c r="CD451">
        <v>0.03</v>
      </c>
      <c r="CE451">
        <v>0.04</v>
      </c>
      <c r="CF451">
        <v>5.8700000000000002E-2</v>
      </c>
      <c r="CG451">
        <v>0.13880000000000001</v>
      </c>
      <c r="CH451">
        <v>1.6214999999999999</v>
      </c>
      <c r="CI451">
        <v>12.4876</v>
      </c>
      <c r="CJ451">
        <v>16.711399</v>
      </c>
      <c r="CK451">
        <v>18.938499</v>
      </c>
      <c r="CL451">
        <v>20.1968</v>
      </c>
      <c r="CM451">
        <v>21.825600000000001</v>
      </c>
      <c r="CN451">
        <v>22.768647999999999</v>
      </c>
      <c r="CO451">
        <v>24.846219999999999</v>
      </c>
      <c r="CP451">
        <v>0.33854800000000002</v>
      </c>
      <c r="CQ451">
        <v>12.747451999999999</v>
      </c>
      <c r="CR451">
        <v>14.821132</v>
      </c>
      <c r="CS451">
        <v>21</v>
      </c>
      <c r="CT451">
        <v>572</v>
      </c>
      <c r="CU451">
        <v>171.67567600000001</v>
      </c>
      <c r="CV451">
        <v>29.746032</v>
      </c>
      <c r="CW451">
        <v>140.25443799999999</v>
      </c>
      <c r="CX451">
        <v>19671.307390000002</v>
      </c>
      <c r="CY451">
        <v>0.81697299999999995</v>
      </c>
      <c r="CZ451">
        <v>206.75</v>
      </c>
      <c r="DA451">
        <v>0.93324300000000004</v>
      </c>
      <c r="DB451">
        <v>2.6215489999999999</v>
      </c>
      <c r="DC451">
        <v>117.39700499999999</v>
      </c>
      <c r="DD451">
        <v>171.67567600000001</v>
      </c>
      <c r="DE451">
        <v>75.852020999999993</v>
      </c>
      <c r="DF451">
        <v>21.623073000000002</v>
      </c>
      <c r="DG451">
        <v>3.2605230000000001</v>
      </c>
      <c r="DH451">
        <v>0.44183299999999998</v>
      </c>
      <c r="DI451">
        <v>0.28506900000000002</v>
      </c>
      <c r="DJ451">
        <v>4.2985000000000002E-2</v>
      </c>
      <c r="DK451">
        <v>26</v>
      </c>
      <c r="DL451">
        <v>33</v>
      </c>
      <c r="DM451">
        <v>38</v>
      </c>
      <c r="DN451">
        <v>49</v>
      </c>
      <c r="DO451">
        <v>57</v>
      </c>
      <c r="DP451">
        <v>64</v>
      </c>
      <c r="DQ451">
        <v>85.600005999999993</v>
      </c>
      <c r="DR451">
        <v>119</v>
      </c>
      <c r="DS451">
        <v>159.39999399999999</v>
      </c>
      <c r="DT451">
        <v>222.29998800000001</v>
      </c>
      <c r="DU451">
        <v>263.75</v>
      </c>
      <c r="DV451">
        <v>311</v>
      </c>
      <c r="DW451">
        <v>409.09997600000003</v>
      </c>
      <c r="DX451">
        <v>449.199951</v>
      </c>
      <c r="DY451">
        <v>513</v>
      </c>
      <c r="DZ451">
        <v>61.032863999999996</v>
      </c>
      <c r="EA451">
        <v>47.432431999999999</v>
      </c>
      <c r="EB451">
        <v>82.394366000000005</v>
      </c>
      <c r="EC451">
        <v>260</v>
      </c>
      <c r="ED451">
        <v>351</v>
      </c>
      <c r="EE451">
        <v>57.746479000000001</v>
      </c>
      <c r="EF451">
        <v>100</v>
      </c>
      <c r="EG451">
        <v>44.459459000000003</v>
      </c>
      <c r="EH451">
        <v>99.729730000000004</v>
      </c>
      <c r="EI451">
        <v>77.230046999999999</v>
      </c>
      <c r="EJ451">
        <v>173.23943700000001</v>
      </c>
      <c r="EK451">
        <v>246</v>
      </c>
      <c r="EL451">
        <v>426</v>
      </c>
      <c r="EM451">
        <v>329</v>
      </c>
      <c r="EN451">
        <v>738</v>
      </c>
      <c r="EO451">
        <v>426</v>
      </c>
      <c r="EP451">
        <v>740</v>
      </c>
      <c r="EQ451">
        <v>33.585014000000001</v>
      </c>
    </row>
    <row r="452" spans="1:147" x14ac:dyDescent="0.25">
      <c r="A452">
        <v>2025</v>
      </c>
      <c r="B452" t="str">
        <f t="shared" si="14"/>
        <v>RD</v>
      </c>
      <c r="C452" t="s">
        <v>2097</v>
      </c>
      <c r="D452" t="s">
        <v>2097</v>
      </c>
      <c r="E452">
        <v>24556</v>
      </c>
      <c r="F452" t="s">
        <v>2092</v>
      </c>
      <c r="G452" t="s">
        <v>2093</v>
      </c>
      <c r="H452" t="s">
        <v>2094</v>
      </c>
      <c r="I452">
        <v>50.21</v>
      </c>
      <c r="J452">
        <v>50.21</v>
      </c>
      <c r="K452" t="s">
        <v>236</v>
      </c>
      <c r="L452">
        <v>1</v>
      </c>
      <c r="M452">
        <v>2016</v>
      </c>
      <c r="O452" t="str">
        <f t="shared" si="15"/>
        <v>Alto fuste</v>
      </c>
      <c r="P452" s="2">
        <v>42605</v>
      </c>
      <c r="Q452" t="s">
        <v>237</v>
      </c>
      <c r="R452" t="s">
        <v>821</v>
      </c>
      <c r="S452" t="s">
        <v>154</v>
      </c>
      <c r="T452" t="s">
        <v>238</v>
      </c>
      <c r="U452" t="s">
        <v>156</v>
      </c>
      <c r="V452" s="2">
        <v>45751</v>
      </c>
      <c r="W452" t="s">
        <v>2095</v>
      </c>
      <c r="X452">
        <v>158.88</v>
      </c>
      <c r="Y452">
        <v>20.9</v>
      </c>
      <c r="Z452">
        <v>20</v>
      </c>
      <c r="AA452">
        <v>14.9</v>
      </c>
      <c r="AB452">
        <v>3</v>
      </c>
      <c r="AC452">
        <v>311.41000000000003</v>
      </c>
      <c r="AD452">
        <v>292.22864023403702</v>
      </c>
      <c r="AE452" s="2">
        <v>45751</v>
      </c>
      <c r="AF452">
        <v>104</v>
      </c>
      <c r="AG452">
        <v>8.6132785763175903</v>
      </c>
      <c r="AH452">
        <v>22.979875778378599</v>
      </c>
      <c r="AI452">
        <v>15.5</v>
      </c>
      <c r="AJ452">
        <v>24.486621078902498</v>
      </c>
      <c r="AK452">
        <v>37</v>
      </c>
      <c r="AL452">
        <v>1266.13188804382</v>
      </c>
      <c r="AM452">
        <v>260.595168095161</v>
      </c>
      <c r="AN452">
        <v>0.20581992330813301</v>
      </c>
      <c r="AO452" t="s">
        <v>821</v>
      </c>
      <c r="AP452" t="s">
        <v>158</v>
      </c>
      <c r="AQ452" t="s">
        <v>901</v>
      </c>
      <c r="AR452">
        <v>7.5</v>
      </c>
      <c r="AS452">
        <v>0.94959891603286628</v>
      </c>
      <c r="AT452" t="s">
        <v>2098</v>
      </c>
      <c r="AU452" t="s">
        <v>2097</v>
      </c>
      <c r="AV452">
        <v>1243</v>
      </c>
      <c r="AW452">
        <v>609</v>
      </c>
      <c r="AX452">
        <v>440</v>
      </c>
      <c r="AY452">
        <v>165</v>
      </c>
      <c r="AZ452">
        <v>26</v>
      </c>
      <c r="BA452">
        <v>3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24.672999999999998</v>
      </c>
      <c r="BI452">
        <v>13.269572</v>
      </c>
      <c r="BJ452">
        <v>0</v>
      </c>
      <c r="BK452">
        <v>9.0272710000000007</v>
      </c>
      <c r="BL452">
        <v>81.491625999999997</v>
      </c>
      <c r="BM452">
        <v>0.68029899999999999</v>
      </c>
      <c r="BN452">
        <v>19.203500999999999</v>
      </c>
      <c r="BO452">
        <v>-0.38767299999999999</v>
      </c>
      <c r="BP452">
        <v>1.531741</v>
      </c>
      <c r="BQ452">
        <v>8.1236560000000004</v>
      </c>
      <c r="BR452">
        <v>6.5830000000000002</v>
      </c>
      <c r="BS452">
        <v>16.306000000000001</v>
      </c>
      <c r="BT452">
        <v>13.269572</v>
      </c>
      <c r="BU452">
        <v>5.0463100000000001</v>
      </c>
      <c r="BV452">
        <v>-0.62307699999999999</v>
      </c>
      <c r="BW452">
        <v>-0.45685500000000001</v>
      </c>
      <c r="BX452">
        <v>0.38029200000000002</v>
      </c>
      <c r="BY452">
        <v>-0.123472</v>
      </c>
      <c r="BZ452">
        <v>-9.0533000000000002E-2</v>
      </c>
      <c r="CA452">
        <v>5.0000000000000001E-3</v>
      </c>
      <c r="CB452">
        <v>2.1000000000000001E-2</v>
      </c>
      <c r="CC452">
        <v>6.0199999999999997E-2</v>
      </c>
      <c r="CD452">
        <v>0.87760000000000005</v>
      </c>
      <c r="CE452">
        <v>2.5924999999999998</v>
      </c>
      <c r="CF452">
        <v>4.4623999999999997</v>
      </c>
      <c r="CG452">
        <v>12.844199</v>
      </c>
      <c r="CH452">
        <v>16.306000000000001</v>
      </c>
      <c r="CI452">
        <v>18.564001000000001</v>
      </c>
      <c r="CJ452">
        <v>20.703001</v>
      </c>
      <c r="CK452">
        <v>21.796001</v>
      </c>
      <c r="CL452">
        <v>22.479599</v>
      </c>
      <c r="CM452">
        <v>23.293801999999999</v>
      </c>
      <c r="CN452">
        <v>23.745701</v>
      </c>
      <c r="CO452">
        <v>24.255699</v>
      </c>
      <c r="CP452">
        <v>0.53781800000000002</v>
      </c>
      <c r="CQ452">
        <v>16.047044</v>
      </c>
      <c r="CR452">
        <v>17.427485999999998</v>
      </c>
      <c r="CS452">
        <v>22</v>
      </c>
      <c r="CT452">
        <v>557</v>
      </c>
      <c r="CU452">
        <v>111.117458</v>
      </c>
      <c r="CV452">
        <v>38.984127000000001</v>
      </c>
      <c r="CW452">
        <v>87.187079999999995</v>
      </c>
      <c r="CX452">
        <v>7601.5868369999998</v>
      </c>
      <c r="CY452">
        <v>0.78463899999999998</v>
      </c>
      <c r="CZ452">
        <v>91.5</v>
      </c>
      <c r="DA452">
        <v>2.0238269999999998</v>
      </c>
      <c r="DB452">
        <v>7.893675</v>
      </c>
      <c r="DC452">
        <v>63.137894000000003</v>
      </c>
      <c r="DD452">
        <v>111.117458</v>
      </c>
      <c r="DE452">
        <v>42.801895999999999</v>
      </c>
      <c r="DF452">
        <v>15.551167</v>
      </c>
      <c r="DG452">
        <v>8.1160680000000003</v>
      </c>
      <c r="DH452">
        <v>0.38519500000000001</v>
      </c>
      <c r="DI452">
        <v>0.36332900000000001</v>
      </c>
      <c r="DJ452">
        <v>0.18961900000000001</v>
      </c>
      <c r="DK452">
        <v>26.42</v>
      </c>
      <c r="DL452">
        <v>32</v>
      </c>
      <c r="DM452">
        <v>38</v>
      </c>
      <c r="DN452">
        <v>47</v>
      </c>
      <c r="DO452">
        <v>52</v>
      </c>
      <c r="DP452">
        <v>57</v>
      </c>
      <c r="DQ452">
        <v>67</v>
      </c>
      <c r="DR452">
        <v>81</v>
      </c>
      <c r="DS452">
        <v>103</v>
      </c>
      <c r="DT452">
        <v>125</v>
      </c>
      <c r="DU452">
        <v>143.5</v>
      </c>
      <c r="DV452">
        <v>158.599976</v>
      </c>
      <c r="DW452">
        <v>218.600098</v>
      </c>
      <c r="DX452">
        <v>293.800049</v>
      </c>
      <c r="DY452">
        <v>464.15991200000002</v>
      </c>
      <c r="DZ452">
        <v>91.625615999999994</v>
      </c>
      <c r="EA452">
        <v>73.531778000000003</v>
      </c>
      <c r="EB452">
        <v>150.08210199999999</v>
      </c>
      <c r="EC452">
        <v>558</v>
      </c>
      <c r="ED452">
        <v>914</v>
      </c>
      <c r="EE452">
        <v>85.057471000000007</v>
      </c>
      <c r="EF452">
        <v>100</v>
      </c>
      <c r="EG452">
        <v>59.452936000000001</v>
      </c>
      <c r="EH452">
        <v>99.919549000000004</v>
      </c>
      <c r="EI452">
        <v>121.34647</v>
      </c>
      <c r="EJ452">
        <v>203.940887</v>
      </c>
      <c r="EK452">
        <v>518</v>
      </c>
      <c r="EL452">
        <v>609</v>
      </c>
      <c r="EM452">
        <v>739</v>
      </c>
      <c r="EN452">
        <v>1242</v>
      </c>
      <c r="EO452">
        <v>609</v>
      </c>
      <c r="EP452">
        <v>1243</v>
      </c>
      <c r="EQ452">
        <v>53.69997</v>
      </c>
    </row>
    <row r="453" spans="1:147" x14ac:dyDescent="0.25">
      <c r="A453">
        <v>2025</v>
      </c>
      <c r="B453" t="str">
        <f t="shared" si="14"/>
        <v>RD</v>
      </c>
      <c r="C453" t="s">
        <v>2099</v>
      </c>
      <c r="D453" t="s">
        <v>2099</v>
      </c>
      <c r="E453">
        <v>24558</v>
      </c>
      <c r="F453" t="s">
        <v>2092</v>
      </c>
      <c r="G453" t="s">
        <v>2093</v>
      </c>
      <c r="H453" t="s">
        <v>2100</v>
      </c>
      <c r="I453">
        <v>48.44</v>
      </c>
      <c r="J453">
        <v>48.44</v>
      </c>
      <c r="K453" t="s">
        <v>236</v>
      </c>
      <c r="L453">
        <v>1</v>
      </c>
      <c r="M453">
        <v>2016</v>
      </c>
      <c r="O453" t="str">
        <f t="shared" si="15"/>
        <v>Alto fuste</v>
      </c>
      <c r="P453" s="2">
        <v>42599</v>
      </c>
      <c r="Q453" t="s">
        <v>237</v>
      </c>
      <c r="R453" t="s">
        <v>165</v>
      </c>
      <c r="S453" t="s">
        <v>154</v>
      </c>
      <c r="T453" t="s">
        <v>238</v>
      </c>
      <c r="U453" t="s">
        <v>156</v>
      </c>
      <c r="V453" s="2">
        <v>45758</v>
      </c>
      <c r="W453" t="s">
        <v>2095</v>
      </c>
      <c r="X453">
        <v>158.88</v>
      </c>
      <c r="Y453">
        <v>20</v>
      </c>
      <c r="Z453">
        <v>13</v>
      </c>
      <c r="AA453">
        <v>15.4</v>
      </c>
      <c r="AB453">
        <v>2</v>
      </c>
      <c r="AC453">
        <v>308</v>
      </c>
      <c r="AD453">
        <v>299.92316349945702</v>
      </c>
      <c r="AE453" s="2">
        <v>45758</v>
      </c>
      <c r="AF453">
        <v>104</v>
      </c>
      <c r="AG453">
        <v>8.6488706365503099</v>
      </c>
      <c r="AH453">
        <v>23.533266830214799</v>
      </c>
      <c r="AI453">
        <v>16.1806451612903</v>
      </c>
      <c r="AJ453">
        <v>21.6580843544773</v>
      </c>
      <c r="AK453">
        <v>31</v>
      </c>
      <c r="AL453">
        <v>1033.5980601930501</v>
      </c>
      <c r="AM453">
        <v>233.78474731270799</v>
      </c>
      <c r="AN453">
        <v>0.226185358038544</v>
      </c>
      <c r="AO453" t="s">
        <v>165</v>
      </c>
      <c r="AP453" t="s">
        <v>158</v>
      </c>
      <c r="AQ453" t="s">
        <v>901</v>
      </c>
      <c r="AR453">
        <v>7.5</v>
      </c>
      <c r="AS453">
        <v>0.77519854514478315</v>
      </c>
      <c r="AT453" t="s">
        <v>2101</v>
      </c>
      <c r="AU453" t="s">
        <v>2099</v>
      </c>
      <c r="AV453">
        <v>1124</v>
      </c>
      <c r="AW453">
        <v>604</v>
      </c>
      <c r="AX453">
        <v>379</v>
      </c>
      <c r="AY453">
        <v>128</v>
      </c>
      <c r="AZ453">
        <v>13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1E-3</v>
      </c>
      <c r="BH453">
        <v>25.106999999999999</v>
      </c>
      <c r="BI453">
        <v>13.048624999999999</v>
      </c>
      <c r="BJ453">
        <v>1E-3</v>
      </c>
      <c r="BK453">
        <v>9.1801969999999997</v>
      </c>
      <c r="BL453">
        <v>84.276014000000004</v>
      </c>
      <c r="BM453">
        <v>0.70353699999999997</v>
      </c>
      <c r="BN453">
        <v>19.597501000000001</v>
      </c>
      <c r="BO453">
        <v>-0.47594599999999998</v>
      </c>
      <c r="BP453">
        <v>1.4823710000000001</v>
      </c>
      <c r="BQ453">
        <v>8.4170370000000005</v>
      </c>
      <c r="BR453">
        <v>4.7605000000000004</v>
      </c>
      <c r="BS453">
        <v>17.651501</v>
      </c>
      <c r="BT453">
        <v>13.048624999999999</v>
      </c>
      <c r="BU453">
        <v>4.9930459999999997</v>
      </c>
      <c r="BV453">
        <v>-0.74967300000000003</v>
      </c>
      <c r="BW453">
        <v>-0.48726399999999997</v>
      </c>
      <c r="BX453">
        <v>0.38264900000000002</v>
      </c>
      <c r="BY453">
        <v>-0.150143</v>
      </c>
      <c r="BZ453">
        <v>-9.7587999999999994E-2</v>
      </c>
      <c r="CA453">
        <v>5.0000000000000001E-3</v>
      </c>
      <c r="CB453">
        <v>2.1000000000000001E-2</v>
      </c>
      <c r="CC453">
        <v>4.7300000000000002E-2</v>
      </c>
      <c r="CD453">
        <v>0.52659999999999996</v>
      </c>
      <c r="CE453">
        <v>1.0055000000000001</v>
      </c>
      <c r="CF453">
        <v>1.5367</v>
      </c>
      <c r="CG453">
        <v>14.521400999999999</v>
      </c>
      <c r="CH453">
        <v>17.6525</v>
      </c>
      <c r="CI453">
        <v>19.210999999999999</v>
      </c>
      <c r="CJ453">
        <v>20.100100999999999</v>
      </c>
      <c r="CK453">
        <v>20.603000999999999</v>
      </c>
      <c r="CL453">
        <v>21.045200000000001</v>
      </c>
      <c r="CM453">
        <v>22.677499999999998</v>
      </c>
      <c r="CN453">
        <v>23.384948999999999</v>
      </c>
      <c r="CO453">
        <v>24.258769999999998</v>
      </c>
      <c r="CP453">
        <v>0.51970099999999997</v>
      </c>
      <c r="CQ453">
        <v>15.952043</v>
      </c>
      <c r="CR453">
        <v>17.269037999999998</v>
      </c>
      <c r="CS453">
        <v>25</v>
      </c>
      <c r="CT453">
        <v>514</v>
      </c>
      <c r="CU453">
        <v>125.709964</v>
      </c>
      <c r="CV453">
        <v>40.523809999999997</v>
      </c>
      <c r="CW453">
        <v>83.562494999999998</v>
      </c>
      <c r="CX453">
        <v>6982.6905150000002</v>
      </c>
      <c r="CY453">
        <v>0.66472500000000001</v>
      </c>
      <c r="CZ453">
        <v>112</v>
      </c>
      <c r="DA453">
        <v>1.4288190000000001</v>
      </c>
      <c r="DB453">
        <v>5.6591849999999999</v>
      </c>
      <c r="DC453">
        <v>64.906720000000007</v>
      </c>
      <c r="DD453">
        <v>125.709964</v>
      </c>
      <c r="DE453">
        <v>44.162849999999999</v>
      </c>
      <c r="DF453">
        <v>10.99709</v>
      </c>
      <c r="DG453">
        <v>5.1719520000000001</v>
      </c>
      <c r="DH453">
        <v>0.35130699999999998</v>
      </c>
      <c r="DI453">
        <v>0.24901200000000001</v>
      </c>
      <c r="DJ453">
        <v>0.11711100000000001</v>
      </c>
      <c r="DK453">
        <v>28.23</v>
      </c>
      <c r="DL453">
        <v>34.150002000000001</v>
      </c>
      <c r="DM453">
        <v>41</v>
      </c>
      <c r="DN453">
        <v>53</v>
      </c>
      <c r="DO453">
        <v>60</v>
      </c>
      <c r="DP453">
        <v>68</v>
      </c>
      <c r="DQ453">
        <v>85</v>
      </c>
      <c r="DR453">
        <v>104</v>
      </c>
      <c r="DS453">
        <v>129</v>
      </c>
      <c r="DT453">
        <v>157</v>
      </c>
      <c r="DU453">
        <v>172</v>
      </c>
      <c r="DV453">
        <v>188.400024</v>
      </c>
      <c r="DW453">
        <v>229</v>
      </c>
      <c r="DX453">
        <v>277</v>
      </c>
      <c r="DY453">
        <v>437.31005900000002</v>
      </c>
      <c r="DZ453">
        <v>88.410595999999998</v>
      </c>
      <c r="EA453">
        <v>68.327402000000006</v>
      </c>
      <c r="EB453">
        <v>127.15231799999999</v>
      </c>
      <c r="EC453">
        <v>534</v>
      </c>
      <c r="ED453">
        <v>768</v>
      </c>
      <c r="EE453">
        <v>85.099338000000003</v>
      </c>
      <c r="EF453">
        <v>100</v>
      </c>
      <c r="EG453">
        <v>61.298932000000001</v>
      </c>
      <c r="EH453">
        <v>99.822063999999997</v>
      </c>
      <c r="EI453">
        <v>114.07284799999999</v>
      </c>
      <c r="EJ453">
        <v>185.76158899999999</v>
      </c>
      <c r="EK453">
        <v>514</v>
      </c>
      <c r="EL453">
        <v>604</v>
      </c>
      <c r="EM453">
        <v>689</v>
      </c>
      <c r="EN453">
        <v>1122</v>
      </c>
      <c r="EO453">
        <v>604</v>
      </c>
      <c r="EP453">
        <v>1124</v>
      </c>
      <c r="EQ453">
        <v>52.758465999999999</v>
      </c>
    </row>
    <row r="454" spans="1:147" x14ac:dyDescent="0.25">
      <c r="A454">
        <v>2025</v>
      </c>
      <c r="B454" t="str">
        <f t="shared" si="14"/>
        <v>RD</v>
      </c>
      <c r="C454" t="s">
        <v>2102</v>
      </c>
      <c r="D454" t="s">
        <v>2102</v>
      </c>
      <c r="E454">
        <v>28059</v>
      </c>
      <c r="F454" t="s">
        <v>2103</v>
      </c>
      <c r="G454" t="s">
        <v>261</v>
      </c>
      <c r="H454" t="s">
        <v>2104</v>
      </c>
      <c r="I454">
        <v>87.44</v>
      </c>
      <c r="J454">
        <v>87.44</v>
      </c>
      <c r="K454" t="s">
        <v>261</v>
      </c>
      <c r="L454">
        <v>1</v>
      </c>
      <c r="M454">
        <v>2020</v>
      </c>
      <c r="O454" t="str">
        <f t="shared" si="15"/>
        <v>Alto fuste</v>
      </c>
      <c r="P454" s="2">
        <v>44159</v>
      </c>
      <c r="Q454" t="s">
        <v>237</v>
      </c>
      <c r="R454" t="s">
        <v>323</v>
      </c>
      <c r="S454" t="s">
        <v>154</v>
      </c>
      <c r="T454" t="s">
        <v>221</v>
      </c>
      <c r="U454" t="s">
        <v>156</v>
      </c>
      <c r="V454" s="2">
        <v>44824</v>
      </c>
      <c r="W454" t="s">
        <v>2105</v>
      </c>
      <c r="X454">
        <v>479.05</v>
      </c>
      <c r="Y454">
        <v>20.2</v>
      </c>
      <c r="Z454">
        <v>0</v>
      </c>
      <c r="AA454">
        <v>15.4</v>
      </c>
      <c r="AB454">
        <v>0</v>
      </c>
      <c r="AC454">
        <v>311.08</v>
      </c>
      <c r="AD454">
        <v>311.08</v>
      </c>
      <c r="AE454" s="2">
        <v>45742</v>
      </c>
      <c r="AF454">
        <v>52</v>
      </c>
      <c r="AG454">
        <v>4.3340177960301203</v>
      </c>
      <c r="AH454">
        <v>19.290296406814701</v>
      </c>
      <c r="AI454">
        <v>11.95</v>
      </c>
      <c r="AJ454">
        <v>11.9950709617735</v>
      </c>
      <c r="AK454">
        <v>32</v>
      </c>
      <c r="AL454">
        <v>1028.6742960010299</v>
      </c>
      <c r="AM454">
        <v>113.582153879</v>
      </c>
      <c r="AN454">
        <v>0.110416051339622</v>
      </c>
      <c r="AO454" t="s">
        <v>323</v>
      </c>
      <c r="AP454" t="s">
        <v>158</v>
      </c>
      <c r="AQ454" t="s">
        <v>286</v>
      </c>
      <c r="AR454">
        <v>7.5</v>
      </c>
      <c r="AS454">
        <v>0.7715057220007715</v>
      </c>
      <c r="AT454" t="s">
        <v>2106</v>
      </c>
      <c r="AU454" t="s">
        <v>2102</v>
      </c>
      <c r="AV454">
        <v>1310</v>
      </c>
      <c r="AW454">
        <v>667</v>
      </c>
      <c r="AX454">
        <v>433</v>
      </c>
      <c r="AY454">
        <v>176</v>
      </c>
      <c r="AZ454">
        <v>32</v>
      </c>
      <c r="BA454">
        <v>2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22.632999000000002</v>
      </c>
      <c r="BI454">
        <v>10.277901999999999</v>
      </c>
      <c r="BJ454">
        <v>0</v>
      </c>
      <c r="BK454">
        <v>6.4689930000000002</v>
      </c>
      <c r="BL454">
        <v>41.847875999999999</v>
      </c>
      <c r="BM454">
        <v>0.62940799999999997</v>
      </c>
      <c r="BN454">
        <v>11.172750000000001</v>
      </c>
      <c r="BO454">
        <v>-0.51754900000000004</v>
      </c>
      <c r="BP454">
        <v>1.936566</v>
      </c>
      <c r="BQ454">
        <v>5.4451520000000002</v>
      </c>
      <c r="BR454">
        <v>4.24</v>
      </c>
      <c r="BS454">
        <v>11.8955</v>
      </c>
      <c r="BT454">
        <v>10.277901999999999</v>
      </c>
      <c r="BU454">
        <v>3.601826</v>
      </c>
      <c r="BV454">
        <v>-0.487402</v>
      </c>
      <c r="BW454">
        <v>-6.1069999999999996E-3</v>
      </c>
      <c r="BX454">
        <v>0.35044399999999998</v>
      </c>
      <c r="BY454">
        <v>-0.135321</v>
      </c>
      <c r="BZ454">
        <v>-1.696E-3</v>
      </c>
      <c r="CA454">
        <v>1E-3</v>
      </c>
      <c r="CB454">
        <v>6.0000000000000001E-3</v>
      </c>
      <c r="CC454">
        <v>1.5900000000000001E-2</v>
      </c>
      <c r="CD454">
        <v>5.28E-2</v>
      </c>
      <c r="CE454">
        <v>4.36625</v>
      </c>
      <c r="CF454">
        <v>8.3666</v>
      </c>
      <c r="CG454">
        <v>10.551000999999999</v>
      </c>
      <c r="CH454">
        <v>11.8955</v>
      </c>
      <c r="CI454">
        <v>13.3294</v>
      </c>
      <c r="CJ454">
        <v>14.7439</v>
      </c>
      <c r="CK454">
        <v>15.539001000000001</v>
      </c>
      <c r="CL454">
        <v>16.191600999999999</v>
      </c>
      <c r="CM454">
        <v>17.4499</v>
      </c>
      <c r="CN454">
        <v>18.303452</v>
      </c>
      <c r="CO454">
        <v>20.218551999999999</v>
      </c>
      <c r="CP454">
        <v>0.45411099999999999</v>
      </c>
      <c r="CQ454">
        <v>12.142949</v>
      </c>
      <c r="CR454">
        <v>13.074614</v>
      </c>
      <c r="CS454">
        <v>23</v>
      </c>
      <c r="CT454">
        <v>499</v>
      </c>
      <c r="CU454">
        <v>84</v>
      </c>
      <c r="CV454">
        <v>30.555555999999999</v>
      </c>
      <c r="CW454">
        <v>60.022914</v>
      </c>
      <c r="CX454">
        <v>3602.7501910000001</v>
      </c>
      <c r="CY454">
        <v>0.71455800000000003</v>
      </c>
      <c r="CZ454">
        <v>56</v>
      </c>
      <c r="DA454">
        <v>2.576111</v>
      </c>
      <c r="DB454">
        <v>12.126189999999999</v>
      </c>
      <c r="DC454">
        <v>40.909923999999997</v>
      </c>
      <c r="DD454">
        <v>84</v>
      </c>
      <c r="DE454">
        <v>28.169509999999999</v>
      </c>
      <c r="DF454">
        <v>10.53773</v>
      </c>
      <c r="DG454">
        <v>6.4100950000000001</v>
      </c>
      <c r="DH454">
        <v>0.33535100000000001</v>
      </c>
      <c r="DI454">
        <v>0.374083</v>
      </c>
      <c r="DJ454">
        <v>0.22755400000000001</v>
      </c>
      <c r="DK454">
        <v>27</v>
      </c>
      <c r="DL454">
        <v>32</v>
      </c>
      <c r="DM454">
        <v>35</v>
      </c>
      <c r="DN454">
        <v>42</v>
      </c>
      <c r="DO454">
        <v>45</v>
      </c>
      <c r="DP454">
        <v>49</v>
      </c>
      <c r="DQ454">
        <v>57</v>
      </c>
      <c r="DR454">
        <v>66.5</v>
      </c>
      <c r="DS454">
        <v>77</v>
      </c>
      <c r="DT454">
        <v>93</v>
      </c>
      <c r="DU454">
        <v>101</v>
      </c>
      <c r="DV454">
        <v>112</v>
      </c>
      <c r="DW454">
        <v>149</v>
      </c>
      <c r="DX454">
        <v>200.550049</v>
      </c>
      <c r="DY454">
        <v>336.82006799999999</v>
      </c>
      <c r="DZ454">
        <v>97.751124000000004</v>
      </c>
      <c r="EA454">
        <v>76.641221000000002</v>
      </c>
      <c r="EB454">
        <v>150.52473800000001</v>
      </c>
      <c r="EC454">
        <v>652</v>
      </c>
      <c r="ED454">
        <v>1004</v>
      </c>
      <c r="EE454">
        <v>89.505246999999997</v>
      </c>
      <c r="EF454">
        <v>100</v>
      </c>
      <c r="EG454">
        <v>61.374046</v>
      </c>
      <c r="EH454">
        <v>99.465648999999999</v>
      </c>
      <c r="EI454">
        <v>120.53973000000001</v>
      </c>
      <c r="EJ454">
        <v>195.35232400000001</v>
      </c>
      <c r="EK454">
        <v>597</v>
      </c>
      <c r="EL454">
        <v>667</v>
      </c>
      <c r="EM454">
        <v>804</v>
      </c>
      <c r="EN454">
        <v>1303</v>
      </c>
      <c r="EO454">
        <v>667</v>
      </c>
      <c r="EP454">
        <v>1310</v>
      </c>
      <c r="EQ454">
        <v>49.742361000000002</v>
      </c>
    </row>
    <row r="455" spans="1:147" x14ac:dyDescent="0.25">
      <c r="A455">
        <v>2025</v>
      </c>
      <c r="B455" t="str">
        <f t="shared" si="14"/>
        <v>RD</v>
      </c>
      <c r="C455" t="s">
        <v>2107</v>
      </c>
      <c r="D455" t="s">
        <v>2107</v>
      </c>
      <c r="E455">
        <v>28060</v>
      </c>
      <c r="F455" t="s">
        <v>2103</v>
      </c>
      <c r="G455" t="s">
        <v>261</v>
      </c>
      <c r="H455" t="s">
        <v>2104</v>
      </c>
      <c r="I455">
        <v>87.44</v>
      </c>
      <c r="J455">
        <v>87.44</v>
      </c>
      <c r="K455" t="s">
        <v>261</v>
      </c>
      <c r="L455">
        <v>1</v>
      </c>
      <c r="M455">
        <v>2020</v>
      </c>
      <c r="O455" t="str">
        <f t="shared" si="15"/>
        <v>Alto fuste</v>
      </c>
      <c r="P455" s="2">
        <v>44159</v>
      </c>
      <c r="Q455" t="s">
        <v>237</v>
      </c>
      <c r="R455" t="s">
        <v>323</v>
      </c>
      <c r="S455" t="s">
        <v>154</v>
      </c>
      <c r="T455" t="s">
        <v>221</v>
      </c>
      <c r="U455" t="s">
        <v>156</v>
      </c>
      <c r="V455" s="2">
        <v>45742</v>
      </c>
      <c r="W455" t="s">
        <v>2105</v>
      </c>
      <c r="X455">
        <v>479.05</v>
      </c>
      <c r="Y455">
        <v>19</v>
      </c>
      <c r="Z455">
        <v>0</v>
      </c>
      <c r="AA455">
        <v>15</v>
      </c>
      <c r="AB455">
        <v>0</v>
      </c>
      <c r="AC455">
        <v>285</v>
      </c>
      <c r="AD455">
        <v>285</v>
      </c>
      <c r="AE455" s="2">
        <v>45742</v>
      </c>
      <c r="AF455">
        <v>52</v>
      </c>
      <c r="AG455">
        <v>4.3340177960301203</v>
      </c>
      <c r="AH455">
        <v>21.713280166591002</v>
      </c>
      <c r="AI455">
        <v>13.605</v>
      </c>
      <c r="AJ455">
        <v>20.965721712602299</v>
      </c>
      <c r="AK455">
        <v>40</v>
      </c>
      <c r="AL455">
        <v>1403.5087719298201</v>
      </c>
      <c r="AM455">
        <v>218.60860551859801</v>
      </c>
      <c r="AN455">
        <v>0.155758631432001</v>
      </c>
      <c r="AO455" t="s">
        <v>323</v>
      </c>
      <c r="AP455" t="s">
        <v>158</v>
      </c>
      <c r="AQ455" t="s">
        <v>286</v>
      </c>
      <c r="AR455">
        <v>7.5</v>
      </c>
      <c r="AS455">
        <v>1.0526315789473679</v>
      </c>
      <c r="AT455" t="s">
        <v>2108</v>
      </c>
      <c r="AU455" t="s">
        <v>2107</v>
      </c>
      <c r="AV455">
        <v>1181</v>
      </c>
      <c r="AW455">
        <v>613</v>
      </c>
      <c r="AX455">
        <v>393</v>
      </c>
      <c r="AY455">
        <v>149</v>
      </c>
      <c r="AZ455">
        <v>26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25.070999</v>
      </c>
      <c r="BI455">
        <v>12.91188</v>
      </c>
      <c r="BJ455">
        <v>0</v>
      </c>
      <c r="BK455">
        <v>8.1350789999999993</v>
      </c>
      <c r="BL455">
        <v>66.179503999999994</v>
      </c>
      <c r="BM455">
        <v>0.63004599999999999</v>
      </c>
      <c r="BN455">
        <v>13.483999000000001</v>
      </c>
      <c r="BO455">
        <v>-0.531219</v>
      </c>
      <c r="BP455">
        <v>1.847064</v>
      </c>
      <c r="BQ455">
        <v>6.973465</v>
      </c>
      <c r="BR455">
        <v>5.62</v>
      </c>
      <c r="BS455">
        <v>15.023</v>
      </c>
      <c r="BT455">
        <v>12.91188</v>
      </c>
      <c r="BU455">
        <v>4.5373270000000003</v>
      </c>
      <c r="BV455">
        <v>-0.68090499999999998</v>
      </c>
      <c r="BW455">
        <v>-0.14543200000000001</v>
      </c>
      <c r="BX455">
        <v>0.35140700000000002</v>
      </c>
      <c r="BY455">
        <v>-0.15006700000000001</v>
      </c>
      <c r="BZ455">
        <v>-3.2051999999999997E-2</v>
      </c>
      <c r="CA455">
        <v>1E-3</v>
      </c>
      <c r="CB455">
        <v>6.0000000000000001E-3</v>
      </c>
      <c r="CC455">
        <v>1.2999999999999999E-2</v>
      </c>
      <c r="CD455">
        <v>0.04</v>
      </c>
      <c r="CE455">
        <v>6.5069999999999997</v>
      </c>
      <c r="CF455">
        <v>9.298</v>
      </c>
      <c r="CG455">
        <v>12.686999999999999</v>
      </c>
      <c r="CH455">
        <v>15.023</v>
      </c>
      <c r="CI455">
        <v>17.561001000000001</v>
      </c>
      <c r="CJ455">
        <v>19.285</v>
      </c>
      <c r="CK455">
        <v>19.990998999999999</v>
      </c>
      <c r="CL455">
        <v>20.585999999999999</v>
      </c>
      <c r="CM455">
        <v>21.771999000000001</v>
      </c>
      <c r="CN455">
        <v>22.707001000000002</v>
      </c>
      <c r="CO455">
        <v>24.034196999999999</v>
      </c>
      <c r="CP455">
        <v>0.51501300000000005</v>
      </c>
      <c r="CQ455">
        <v>15.259099000000001</v>
      </c>
      <c r="CR455">
        <v>16.421361999999998</v>
      </c>
      <c r="CS455">
        <v>24</v>
      </c>
      <c r="CT455">
        <v>448</v>
      </c>
      <c r="CU455">
        <v>80.486875999999995</v>
      </c>
      <c r="CV455">
        <v>37.460317000000003</v>
      </c>
      <c r="CW455">
        <v>63.71114</v>
      </c>
      <c r="CX455">
        <v>4059.1093620000001</v>
      </c>
      <c r="CY455">
        <v>0.79157200000000005</v>
      </c>
      <c r="CZ455">
        <v>50</v>
      </c>
      <c r="DA455">
        <v>2.8889619999999998</v>
      </c>
      <c r="DB455">
        <v>12.985452</v>
      </c>
      <c r="DC455">
        <v>40.953629999999997</v>
      </c>
      <c r="DD455">
        <v>80.486875999999995</v>
      </c>
      <c r="DE455">
        <v>28.091716000000002</v>
      </c>
      <c r="DF455">
        <v>12.256693</v>
      </c>
      <c r="DG455">
        <v>7.7750069999999996</v>
      </c>
      <c r="DH455">
        <v>0.349022</v>
      </c>
      <c r="DI455">
        <v>0.43630999999999998</v>
      </c>
      <c r="DJ455">
        <v>0.27677200000000002</v>
      </c>
      <c r="DK455">
        <v>27</v>
      </c>
      <c r="DL455">
        <v>31</v>
      </c>
      <c r="DM455">
        <v>35</v>
      </c>
      <c r="DN455">
        <v>41</v>
      </c>
      <c r="DO455">
        <v>43</v>
      </c>
      <c r="DP455">
        <v>45</v>
      </c>
      <c r="DQ455">
        <v>52</v>
      </c>
      <c r="DR455">
        <v>61</v>
      </c>
      <c r="DS455">
        <v>71</v>
      </c>
      <c r="DT455">
        <v>84</v>
      </c>
      <c r="DU455">
        <v>93</v>
      </c>
      <c r="DV455">
        <v>103</v>
      </c>
      <c r="DW455">
        <v>136</v>
      </c>
      <c r="DX455">
        <v>197</v>
      </c>
      <c r="DY455">
        <v>379.399902</v>
      </c>
      <c r="DZ455">
        <v>95.758564000000007</v>
      </c>
      <c r="EA455">
        <v>77.138019</v>
      </c>
      <c r="EB455">
        <v>148.61337700000001</v>
      </c>
      <c r="EC455">
        <v>587</v>
      </c>
      <c r="ED455">
        <v>911</v>
      </c>
      <c r="EE455">
        <v>86.786297000000005</v>
      </c>
      <c r="EF455">
        <v>100</v>
      </c>
      <c r="EG455">
        <v>59.017781999999997</v>
      </c>
      <c r="EH455">
        <v>99.745977999999994</v>
      </c>
      <c r="EI455">
        <v>113.70310000000001</v>
      </c>
      <c r="EJ455">
        <v>192.169657</v>
      </c>
      <c r="EK455">
        <v>532</v>
      </c>
      <c r="EL455">
        <v>613</v>
      </c>
      <c r="EM455">
        <v>697</v>
      </c>
      <c r="EN455">
        <v>1178</v>
      </c>
      <c r="EO455">
        <v>613</v>
      </c>
      <c r="EP455">
        <v>1181</v>
      </c>
      <c r="EQ455">
        <v>52.748370000000001</v>
      </c>
    </row>
    <row r="456" spans="1:147" x14ac:dyDescent="0.25">
      <c r="A456">
        <v>2025</v>
      </c>
      <c r="B456" t="str">
        <f t="shared" si="14"/>
        <v>RD</v>
      </c>
      <c r="C456" t="s">
        <v>2109</v>
      </c>
      <c r="D456" t="s">
        <v>2109</v>
      </c>
      <c r="E456">
        <v>28061</v>
      </c>
      <c r="F456" t="s">
        <v>2103</v>
      </c>
      <c r="G456" t="s">
        <v>261</v>
      </c>
      <c r="H456" t="s">
        <v>2104</v>
      </c>
      <c r="I456">
        <v>87.44</v>
      </c>
      <c r="J456">
        <v>87.44</v>
      </c>
      <c r="K456" t="s">
        <v>261</v>
      </c>
      <c r="L456">
        <v>1</v>
      </c>
      <c r="M456">
        <v>2020</v>
      </c>
      <c r="O456" t="str">
        <f t="shared" si="15"/>
        <v>Alto fuste</v>
      </c>
      <c r="P456" s="2">
        <v>44159</v>
      </c>
      <c r="Q456" t="s">
        <v>237</v>
      </c>
      <c r="R456" t="s">
        <v>323</v>
      </c>
      <c r="S456" t="s">
        <v>154</v>
      </c>
      <c r="T456" t="s">
        <v>221</v>
      </c>
      <c r="U456" t="s">
        <v>156</v>
      </c>
      <c r="V456" s="2">
        <v>44825</v>
      </c>
      <c r="W456" t="s">
        <v>2105</v>
      </c>
      <c r="X456">
        <v>479.05</v>
      </c>
      <c r="Y456">
        <v>20.5</v>
      </c>
      <c r="Z456">
        <v>0</v>
      </c>
      <c r="AA456">
        <v>15</v>
      </c>
      <c r="AB456">
        <v>0</v>
      </c>
      <c r="AC456">
        <v>307.5</v>
      </c>
      <c r="AD456">
        <v>307.5</v>
      </c>
      <c r="AE456" s="2">
        <v>45742</v>
      </c>
      <c r="AF456">
        <v>52</v>
      </c>
      <c r="AG456">
        <v>4.3340177960301203</v>
      </c>
      <c r="AH456">
        <v>23.0653166073756</v>
      </c>
      <c r="AI456">
        <v>13.265000000000001</v>
      </c>
      <c r="AJ456">
        <v>18.6980443173046</v>
      </c>
      <c r="AK456">
        <v>40</v>
      </c>
      <c r="AL456">
        <v>1300.8130081300801</v>
      </c>
      <c r="AM456">
        <v>215.070341226186</v>
      </c>
      <c r="AN456">
        <v>0.165335324817631</v>
      </c>
      <c r="AO456" t="s">
        <v>323</v>
      </c>
      <c r="AP456" t="s">
        <v>158</v>
      </c>
      <c r="AQ456" t="s">
        <v>286</v>
      </c>
      <c r="AR456">
        <v>7.5</v>
      </c>
      <c r="AS456">
        <v>0.97560975609756095</v>
      </c>
      <c r="AT456" t="s">
        <v>2110</v>
      </c>
      <c r="AU456" t="s">
        <v>2109</v>
      </c>
      <c r="AV456">
        <v>1261</v>
      </c>
      <c r="AW456">
        <v>621</v>
      </c>
      <c r="AX456">
        <v>454</v>
      </c>
      <c r="AY456">
        <v>158</v>
      </c>
      <c r="AZ456">
        <v>27</v>
      </c>
      <c r="BA456">
        <v>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24.686001000000001</v>
      </c>
      <c r="BI456">
        <v>12.133367</v>
      </c>
      <c r="BJ456">
        <v>0</v>
      </c>
      <c r="BK456">
        <v>7.7039160000000004</v>
      </c>
      <c r="BL456">
        <v>59.350329000000002</v>
      </c>
      <c r="BM456">
        <v>0.63493599999999994</v>
      </c>
      <c r="BN456">
        <v>13.081</v>
      </c>
      <c r="BO456">
        <v>-0.35182799999999997</v>
      </c>
      <c r="BP456">
        <v>1.832144</v>
      </c>
      <c r="BQ456">
        <v>6.5639789999999998</v>
      </c>
      <c r="BR456">
        <v>6.1170010000000001</v>
      </c>
      <c r="BS456">
        <v>13.302</v>
      </c>
      <c r="BT456">
        <v>12.133367</v>
      </c>
      <c r="BU456">
        <v>4.379696</v>
      </c>
      <c r="BV456">
        <v>-0.40751199999999999</v>
      </c>
      <c r="BW456">
        <v>-7.0849999999999996E-2</v>
      </c>
      <c r="BX456">
        <v>0.36096299999999998</v>
      </c>
      <c r="BY456">
        <v>-9.3046000000000004E-2</v>
      </c>
      <c r="BZ456">
        <v>-1.6177E-2</v>
      </c>
      <c r="CA456">
        <v>2E-3</v>
      </c>
      <c r="CB456">
        <v>0.01</v>
      </c>
      <c r="CC456">
        <v>1.9E-2</v>
      </c>
      <c r="CD456">
        <v>2.597</v>
      </c>
      <c r="CE456">
        <v>5.798</v>
      </c>
      <c r="CF456">
        <v>8.6310000000000002</v>
      </c>
      <c r="CG456">
        <v>11.22</v>
      </c>
      <c r="CH456">
        <v>13.302</v>
      </c>
      <c r="CI456">
        <v>15.515000000000001</v>
      </c>
      <c r="CJ456">
        <v>17.691998999999999</v>
      </c>
      <c r="CK456">
        <v>18.879000000000001</v>
      </c>
      <c r="CL456">
        <v>20.023001000000001</v>
      </c>
      <c r="CM456">
        <v>21.427</v>
      </c>
      <c r="CN456">
        <v>22.292998999999998</v>
      </c>
      <c r="CO456">
        <v>23.737003000000001</v>
      </c>
      <c r="CP456">
        <v>0.491508</v>
      </c>
      <c r="CQ456">
        <v>14.370869000000001</v>
      </c>
      <c r="CR456">
        <v>15.583195</v>
      </c>
      <c r="CS456">
        <v>23</v>
      </c>
      <c r="CT456">
        <v>497</v>
      </c>
      <c r="CU456">
        <v>89.014274</v>
      </c>
      <c r="CV456">
        <v>30.523810000000001</v>
      </c>
      <c r="CW456">
        <v>69.538214999999994</v>
      </c>
      <c r="CX456">
        <v>4835.5632880000003</v>
      </c>
      <c r="CY456">
        <v>0.78120299999999998</v>
      </c>
      <c r="CZ456">
        <v>59</v>
      </c>
      <c r="DA456">
        <v>2.5478740000000002</v>
      </c>
      <c r="DB456">
        <v>10.821514000000001</v>
      </c>
      <c r="DC456">
        <v>46.193345999999998</v>
      </c>
      <c r="DD456">
        <v>89.014274</v>
      </c>
      <c r="DE456">
        <v>31.955397999999999</v>
      </c>
      <c r="DF456">
        <v>13.033337</v>
      </c>
      <c r="DG456">
        <v>8.0708380000000002</v>
      </c>
      <c r="DH456">
        <v>0.35899199999999998</v>
      </c>
      <c r="DI456">
        <v>0.40786</v>
      </c>
      <c r="DJ456">
        <v>0.25256600000000001</v>
      </c>
      <c r="DK456">
        <v>27</v>
      </c>
      <c r="DL456">
        <v>32</v>
      </c>
      <c r="DM456">
        <v>36</v>
      </c>
      <c r="DN456">
        <v>42</v>
      </c>
      <c r="DO456">
        <v>45</v>
      </c>
      <c r="DP456">
        <v>49</v>
      </c>
      <c r="DQ456">
        <v>58</v>
      </c>
      <c r="DR456">
        <v>69</v>
      </c>
      <c r="DS456">
        <v>81</v>
      </c>
      <c r="DT456">
        <v>95</v>
      </c>
      <c r="DU456">
        <v>104</v>
      </c>
      <c r="DV456">
        <v>114</v>
      </c>
      <c r="DW456">
        <v>163</v>
      </c>
      <c r="DX456">
        <v>234</v>
      </c>
      <c r="DY456">
        <v>378.20007299999997</v>
      </c>
      <c r="DZ456">
        <v>95.813204999999996</v>
      </c>
      <c r="EA456">
        <v>79.540047999999999</v>
      </c>
      <c r="EB456">
        <v>161.513688</v>
      </c>
      <c r="EC456">
        <v>595</v>
      </c>
      <c r="ED456">
        <v>1003</v>
      </c>
      <c r="EE456">
        <v>82.608695999999995</v>
      </c>
      <c r="EF456">
        <v>100</v>
      </c>
      <c r="EG456">
        <v>56.225217999999998</v>
      </c>
      <c r="EH456">
        <v>99.762094000000005</v>
      </c>
      <c r="EI456">
        <v>114.170692</v>
      </c>
      <c r="EJ456">
        <v>202.57649000000001</v>
      </c>
      <c r="EK456">
        <v>513</v>
      </c>
      <c r="EL456">
        <v>621</v>
      </c>
      <c r="EM456">
        <v>709</v>
      </c>
      <c r="EN456">
        <v>1258</v>
      </c>
      <c r="EO456">
        <v>621</v>
      </c>
      <c r="EP456">
        <v>1261</v>
      </c>
      <c r="EQ456">
        <v>50.100127999999998</v>
      </c>
    </row>
    <row r="457" spans="1:147" x14ac:dyDescent="0.25">
      <c r="A457">
        <v>2025</v>
      </c>
      <c r="B457" t="str">
        <f t="shared" si="14"/>
        <v>RD</v>
      </c>
      <c r="C457" t="s">
        <v>2111</v>
      </c>
      <c r="D457" t="s">
        <v>2111</v>
      </c>
      <c r="E457">
        <v>26620</v>
      </c>
      <c r="F457" t="s">
        <v>2112</v>
      </c>
      <c r="G457" t="s">
        <v>2113</v>
      </c>
      <c r="H457" t="s">
        <v>2114</v>
      </c>
      <c r="I457">
        <v>88.47</v>
      </c>
      <c r="J457">
        <v>88.47</v>
      </c>
      <c r="K457" t="s">
        <v>261</v>
      </c>
      <c r="L457">
        <v>1</v>
      </c>
      <c r="M457">
        <v>2018</v>
      </c>
      <c r="O457" t="str">
        <f t="shared" si="15"/>
        <v>Alto fuste</v>
      </c>
      <c r="P457" s="2">
        <v>43454</v>
      </c>
      <c r="Q457" t="s">
        <v>237</v>
      </c>
      <c r="R457" t="s">
        <v>249</v>
      </c>
      <c r="S457" t="s">
        <v>154</v>
      </c>
      <c r="T457" t="s">
        <v>221</v>
      </c>
      <c r="U457" t="s">
        <v>156</v>
      </c>
      <c r="V457" s="2">
        <v>44826</v>
      </c>
      <c r="W457" t="s">
        <v>2115</v>
      </c>
      <c r="X457">
        <v>109.01</v>
      </c>
      <c r="Y457">
        <v>21.4</v>
      </c>
      <c r="Z457">
        <v>16</v>
      </c>
      <c r="AA457">
        <v>15.3</v>
      </c>
      <c r="AB457">
        <v>0</v>
      </c>
      <c r="AC457">
        <v>327.42</v>
      </c>
      <c r="AD457">
        <v>314.73630448412399</v>
      </c>
      <c r="AE457" s="2">
        <v>45735</v>
      </c>
      <c r="AF457">
        <v>75</v>
      </c>
      <c r="AG457">
        <v>6.2450376454483196</v>
      </c>
      <c r="AH457">
        <v>19.763304890038999</v>
      </c>
      <c r="AI457">
        <v>12.5659090909091</v>
      </c>
      <c r="AJ457">
        <v>18.571163997573802</v>
      </c>
      <c r="AK457">
        <v>44</v>
      </c>
      <c r="AL457">
        <v>1397.99569903825</v>
      </c>
      <c r="AM457">
        <v>183.07535292549801</v>
      </c>
      <c r="AN457">
        <v>0.130955590958859</v>
      </c>
      <c r="AO457" t="s">
        <v>249</v>
      </c>
      <c r="AP457" t="s">
        <v>158</v>
      </c>
      <c r="AQ457" t="s">
        <v>486</v>
      </c>
      <c r="AR457">
        <v>7.5</v>
      </c>
      <c r="AS457">
        <v>1.048496774278691</v>
      </c>
      <c r="AT457" t="s">
        <v>2116</v>
      </c>
      <c r="AU457" t="s">
        <v>2111</v>
      </c>
      <c r="AV457">
        <v>1238</v>
      </c>
      <c r="AW457">
        <v>707</v>
      </c>
      <c r="AX457">
        <v>376</v>
      </c>
      <c r="AY457">
        <v>134</v>
      </c>
      <c r="AZ457">
        <v>19</v>
      </c>
      <c r="BA457">
        <v>2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23.632999000000002</v>
      </c>
      <c r="BI457">
        <v>15.699014999999999</v>
      </c>
      <c r="BJ457">
        <v>0</v>
      </c>
      <c r="BK457">
        <v>6.8108579999999996</v>
      </c>
      <c r="BL457">
        <v>46.387782000000001</v>
      </c>
      <c r="BM457">
        <v>0.43384</v>
      </c>
      <c r="BN457">
        <v>6.4240009999999996</v>
      </c>
      <c r="BO457">
        <v>-1.3768009999999999</v>
      </c>
      <c r="BP457">
        <v>3.5812539999999999</v>
      </c>
      <c r="BQ457">
        <v>5.3181029999999998</v>
      </c>
      <c r="BR457">
        <v>2.1894999999999998</v>
      </c>
      <c r="BS457">
        <v>18.652999999999999</v>
      </c>
      <c r="BT457">
        <v>15.699014999999999</v>
      </c>
      <c r="BU457">
        <v>3.422717</v>
      </c>
      <c r="BV457">
        <v>-1.296748</v>
      </c>
      <c r="BW457">
        <v>0.49707800000000002</v>
      </c>
      <c r="BX457">
        <v>0.21802099999999999</v>
      </c>
      <c r="BY457">
        <v>-0.37886500000000001</v>
      </c>
      <c r="BZ457">
        <v>0.145229</v>
      </c>
      <c r="CA457">
        <v>6.0000000000000001E-3</v>
      </c>
      <c r="CB457">
        <v>3.4000000000000002E-2</v>
      </c>
      <c r="CC457">
        <v>0.51659999999999995</v>
      </c>
      <c r="CD457">
        <v>11.818398999999999</v>
      </c>
      <c r="CE457">
        <v>13.758749999999999</v>
      </c>
      <c r="CF457">
        <v>15.280099999999999</v>
      </c>
      <c r="CG457">
        <v>17.580801000000001</v>
      </c>
      <c r="CH457">
        <v>18.652999999999999</v>
      </c>
      <c r="CI457">
        <v>19.380800000000001</v>
      </c>
      <c r="CJ457">
        <v>19.938400000000001</v>
      </c>
      <c r="CK457">
        <v>20.182751</v>
      </c>
      <c r="CL457">
        <v>20.5322</v>
      </c>
      <c r="CM457">
        <v>21.178303</v>
      </c>
      <c r="CN457">
        <v>21.84075</v>
      </c>
      <c r="CO457">
        <v>22.756119000000002</v>
      </c>
      <c r="CP457">
        <v>0.66428399999999999</v>
      </c>
      <c r="CQ457">
        <v>17.111674000000001</v>
      </c>
      <c r="CR457">
        <v>17.776544999999999</v>
      </c>
      <c r="CS457">
        <v>24</v>
      </c>
      <c r="CT457">
        <v>350</v>
      </c>
      <c r="CU457">
        <v>120.109047</v>
      </c>
      <c r="CV457">
        <v>49.873016</v>
      </c>
      <c r="CW457">
        <v>74.859837999999996</v>
      </c>
      <c r="CX457">
        <v>5603.9953750000004</v>
      </c>
      <c r="CY457">
        <v>0.62326599999999999</v>
      </c>
      <c r="CZ457">
        <v>123</v>
      </c>
      <c r="DA457">
        <v>0.68432099999999996</v>
      </c>
      <c r="DB457">
        <v>2.418806</v>
      </c>
      <c r="DC457">
        <v>63.950572999999999</v>
      </c>
      <c r="DD457">
        <v>120.109047</v>
      </c>
      <c r="DE457">
        <v>41.847827000000002</v>
      </c>
      <c r="DF457">
        <v>8.0956419999999998</v>
      </c>
      <c r="DG457">
        <v>0.86371799999999999</v>
      </c>
      <c r="DH457">
        <v>0.34841499999999997</v>
      </c>
      <c r="DI457">
        <v>0.19345399999999999</v>
      </c>
      <c r="DJ457">
        <v>2.0639000000000001E-2</v>
      </c>
      <c r="DK457">
        <v>29</v>
      </c>
      <c r="DL457">
        <v>35</v>
      </c>
      <c r="DM457">
        <v>39</v>
      </c>
      <c r="DN457">
        <v>48</v>
      </c>
      <c r="DO457">
        <v>53</v>
      </c>
      <c r="DP457">
        <v>59</v>
      </c>
      <c r="DQ457">
        <v>78</v>
      </c>
      <c r="DR457">
        <v>100</v>
      </c>
      <c r="DS457">
        <v>127.200012</v>
      </c>
      <c r="DT457">
        <v>163.900024</v>
      </c>
      <c r="DU457">
        <v>176</v>
      </c>
      <c r="DV457">
        <v>191</v>
      </c>
      <c r="DW457">
        <v>232</v>
      </c>
      <c r="DX457">
        <v>262</v>
      </c>
      <c r="DY457">
        <v>302.26001000000002</v>
      </c>
      <c r="DZ457">
        <v>99.434229000000002</v>
      </c>
      <c r="EA457">
        <v>87.641356999999999</v>
      </c>
      <c r="EB457">
        <v>153.46534700000001</v>
      </c>
      <c r="EC457">
        <v>703</v>
      </c>
      <c r="ED457">
        <v>1085</v>
      </c>
      <c r="EE457">
        <v>94.908062000000001</v>
      </c>
      <c r="EF457">
        <v>100</v>
      </c>
      <c r="EG457">
        <v>68.982229000000004</v>
      </c>
      <c r="EH457">
        <v>99.676897999999994</v>
      </c>
      <c r="EI457">
        <v>120.792079</v>
      </c>
      <c r="EJ457">
        <v>174.540311</v>
      </c>
      <c r="EK457">
        <v>671</v>
      </c>
      <c r="EL457">
        <v>707</v>
      </c>
      <c r="EM457">
        <v>854</v>
      </c>
      <c r="EN457">
        <v>1234</v>
      </c>
      <c r="EO457">
        <v>707</v>
      </c>
      <c r="EP457">
        <v>1238</v>
      </c>
      <c r="EQ457">
        <v>67.985051999999996</v>
      </c>
    </row>
    <row r="458" spans="1:147" x14ac:dyDescent="0.25">
      <c r="A458">
        <v>2025</v>
      </c>
      <c r="B458" t="str">
        <f t="shared" si="14"/>
        <v>RD</v>
      </c>
      <c r="C458" t="s">
        <v>2117</v>
      </c>
      <c r="D458" t="s">
        <v>2117</v>
      </c>
      <c r="E458">
        <v>26621</v>
      </c>
      <c r="F458" t="s">
        <v>2112</v>
      </c>
      <c r="G458" t="s">
        <v>2113</v>
      </c>
      <c r="H458" t="s">
        <v>2114</v>
      </c>
      <c r="I458">
        <v>88.47</v>
      </c>
      <c r="J458">
        <v>88.47</v>
      </c>
      <c r="K458" t="s">
        <v>261</v>
      </c>
      <c r="L458">
        <v>1</v>
      </c>
      <c r="M458">
        <v>2018</v>
      </c>
      <c r="O458" t="str">
        <f t="shared" si="15"/>
        <v>Alto fuste</v>
      </c>
      <c r="P458" s="2">
        <v>43454</v>
      </c>
      <c r="Q458" t="s">
        <v>237</v>
      </c>
      <c r="R458" t="s">
        <v>249</v>
      </c>
      <c r="S458" t="s">
        <v>154</v>
      </c>
      <c r="T458" t="s">
        <v>221</v>
      </c>
      <c r="U458" t="s">
        <v>156</v>
      </c>
      <c r="V458" s="2">
        <v>45735</v>
      </c>
      <c r="W458" t="s">
        <v>2115</v>
      </c>
      <c r="X458">
        <v>109.01</v>
      </c>
      <c r="Y458">
        <v>20.2</v>
      </c>
      <c r="Z458">
        <v>3</v>
      </c>
      <c r="AA458">
        <v>15</v>
      </c>
      <c r="AB458">
        <v>0</v>
      </c>
      <c r="AC458">
        <v>303</v>
      </c>
      <c r="AD458">
        <v>302.58474903063598</v>
      </c>
      <c r="AE458" s="2">
        <v>45735</v>
      </c>
      <c r="AF458">
        <v>75</v>
      </c>
      <c r="AG458">
        <v>6.2450376454483196</v>
      </c>
      <c r="AH458">
        <v>22.658445154152201</v>
      </c>
      <c r="AI458">
        <v>14.532500000000001</v>
      </c>
      <c r="AJ458">
        <v>23.1390324355371</v>
      </c>
      <c r="AK458">
        <v>40</v>
      </c>
      <c r="AL458">
        <v>1321.9436910863601</v>
      </c>
      <c r="AM458">
        <v>256.63862104617903</v>
      </c>
      <c r="AN458">
        <v>0.194137331852067</v>
      </c>
      <c r="AO458" t="s">
        <v>249</v>
      </c>
      <c r="AP458" t="s">
        <v>158</v>
      </c>
      <c r="AQ458" t="s">
        <v>486</v>
      </c>
      <c r="AR458">
        <v>7.5</v>
      </c>
      <c r="AS458">
        <v>0.99145776831477306</v>
      </c>
      <c r="AT458" t="s">
        <v>2118</v>
      </c>
      <c r="AU458" t="s">
        <v>2117</v>
      </c>
      <c r="AV458">
        <v>1252</v>
      </c>
      <c r="AW458">
        <v>656</v>
      </c>
      <c r="AX458">
        <v>405</v>
      </c>
      <c r="AY458">
        <v>149</v>
      </c>
      <c r="AZ458">
        <v>34</v>
      </c>
      <c r="BA458">
        <v>8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1E-3</v>
      </c>
      <c r="BH458">
        <v>24.353000999999999</v>
      </c>
      <c r="BI458">
        <v>15.740836</v>
      </c>
      <c r="BJ458">
        <v>1E-3</v>
      </c>
      <c r="BK458">
        <v>7.249746</v>
      </c>
      <c r="BL458">
        <v>52.558819</v>
      </c>
      <c r="BM458">
        <v>0.46056900000000001</v>
      </c>
      <c r="BN458">
        <v>9.1117500000000007</v>
      </c>
      <c r="BO458">
        <v>-1.0829740000000001</v>
      </c>
      <c r="BP458">
        <v>3.0619559999999999</v>
      </c>
      <c r="BQ458">
        <v>5.8056109999999999</v>
      </c>
      <c r="BR458">
        <v>3.820999</v>
      </c>
      <c r="BS458">
        <v>18.088000999999998</v>
      </c>
      <c r="BT458">
        <v>15.740836</v>
      </c>
      <c r="BU458">
        <v>3.8589169999999999</v>
      </c>
      <c r="BV458">
        <v>-1.107272</v>
      </c>
      <c r="BW458">
        <v>0.288657</v>
      </c>
      <c r="BX458">
        <v>0.24515300000000001</v>
      </c>
      <c r="BY458">
        <v>-0.286939</v>
      </c>
      <c r="BZ458">
        <v>7.4802999999999994E-2</v>
      </c>
      <c r="CA458">
        <v>3.0000000000000001E-3</v>
      </c>
      <c r="CB458">
        <v>1.8550000000000001E-2</v>
      </c>
      <c r="CC458">
        <v>4.82E-2</v>
      </c>
      <c r="CD458">
        <v>10.944800000000001</v>
      </c>
      <c r="CE458">
        <v>12.33</v>
      </c>
      <c r="CF458">
        <v>13.680099</v>
      </c>
      <c r="CG458">
        <v>15.856400000000001</v>
      </c>
      <c r="CH458">
        <v>18.089001</v>
      </c>
      <c r="CI458">
        <v>20.170999999999999</v>
      </c>
      <c r="CJ458">
        <v>21.110399000000001</v>
      </c>
      <c r="CK458">
        <v>21.441749999999999</v>
      </c>
      <c r="CL458">
        <v>21.795000000000002</v>
      </c>
      <c r="CM458">
        <v>22.417798999999999</v>
      </c>
      <c r="CN458">
        <v>23.011049</v>
      </c>
      <c r="CO458">
        <v>23.922889999999999</v>
      </c>
      <c r="CP458">
        <v>0.646347</v>
      </c>
      <c r="CQ458">
        <v>17.328900000000001</v>
      </c>
      <c r="CR458">
        <v>18.138656999999998</v>
      </c>
      <c r="CS458">
        <v>23</v>
      </c>
      <c r="CT458">
        <v>517</v>
      </c>
      <c r="CU458">
        <v>124.32907299999999</v>
      </c>
      <c r="CV458">
        <v>46.523809999999997</v>
      </c>
      <c r="CW458">
        <v>84.712107000000003</v>
      </c>
      <c r="CX458">
        <v>7176.1410249999999</v>
      </c>
      <c r="CY458">
        <v>0.68135400000000002</v>
      </c>
      <c r="CZ458">
        <v>121.25</v>
      </c>
      <c r="DA458">
        <v>1.085232</v>
      </c>
      <c r="DB458">
        <v>3.842225</v>
      </c>
      <c r="DC458">
        <v>69.175912999999994</v>
      </c>
      <c r="DD458">
        <v>124.32907299999999</v>
      </c>
      <c r="DE458">
        <v>45.877290000000002</v>
      </c>
      <c r="DF458">
        <v>11.566369999999999</v>
      </c>
      <c r="DG458">
        <v>3.3547389999999999</v>
      </c>
      <c r="DH458">
        <v>0.36899900000000002</v>
      </c>
      <c r="DI458">
        <v>0.25211499999999998</v>
      </c>
      <c r="DJ458">
        <v>7.3123999999999995E-2</v>
      </c>
      <c r="DK458">
        <v>26</v>
      </c>
      <c r="DL458">
        <v>33</v>
      </c>
      <c r="DM458">
        <v>39</v>
      </c>
      <c r="DN458">
        <v>50</v>
      </c>
      <c r="DO458">
        <v>56</v>
      </c>
      <c r="DP458">
        <v>62</v>
      </c>
      <c r="DQ458">
        <v>78</v>
      </c>
      <c r="DR458">
        <v>97</v>
      </c>
      <c r="DS458">
        <v>123.599976</v>
      </c>
      <c r="DT458">
        <v>158</v>
      </c>
      <c r="DU458">
        <v>177.25</v>
      </c>
      <c r="DV458">
        <v>198.79998800000001</v>
      </c>
      <c r="DW458">
        <v>253.900024</v>
      </c>
      <c r="DX458">
        <v>282</v>
      </c>
      <c r="DY458">
        <v>354.46997099999999</v>
      </c>
      <c r="DZ458">
        <v>98.628049000000004</v>
      </c>
      <c r="EA458">
        <v>87.460064000000003</v>
      </c>
      <c r="EB458">
        <v>166.92073199999999</v>
      </c>
      <c r="EC458">
        <v>647</v>
      </c>
      <c r="ED458">
        <v>1095</v>
      </c>
      <c r="EE458">
        <v>86.585365999999993</v>
      </c>
      <c r="EF458">
        <v>100</v>
      </c>
      <c r="EG458">
        <v>60.702874999999999</v>
      </c>
      <c r="EH458">
        <v>99.600639000000001</v>
      </c>
      <c r="EI458">
        <v>115.85365899999999</v>
      </c>
      <c r="EJ458">
        <v>190.091463</v>
      </c>
      <c r="EK458">
        <v>568</v>
      </c>
      <c r="EL458">
        <v>656</v>
      </c>
      <c r="EM458">
        <v>760</v>
      </c>
      <c r="EN458">
        <v>1247</v>
      </c>
      <c r="EO458">
        <v>656</v>
      </c>
      <c r="EP458">
        <v>1252</v>
      </c>
      <c r="EQ458">
        <v>64.760786999999993</v>
      </c>
    </row>
    <row r="459" spans="1:147" x14ac:dyDescent="0.25">
      <c r="A459">
        <v>2025</v>
      </c>
      <c r="B459" t="str">
        <f t="shared" si="14"/>
        <v>RD</v>
      </c>
      <c r="C459" t="s">
        <v>2119</v>
      </c>
      <c r="D459" t="s">
        <v>2119</v>
      </c>
      <c r="E459">
        <v>26622</v>
      </c>
      <c r="F459" t="s">
        <v>2112</v>
      </c>
      <c r="G459" t="s">
        <v>2113</v>
      </c>
      <c r="H459" t="s">
        <v>2114</v>
      </c>
      <c r="I459">
        <v>88.47</v>
      </c>
      <c r="J459">
        <v>88.47</v>
      </c>
      <c r="K459" t="s">
        <v>261</v>
      </c>
      <c r="L459">
        <v>1</v>
      </c>
      <c r="M459">
        <v>2018</v>
      </c>
      <c r="O459" t="str">
        <f t="shared" si="15"/>
        <v>Alto fuste</v>
      </c>
      <c r="P459" s="2">
        <v>43454</v>
      </c>
      <c r="Q459" t="s">
        <v>237</v>
      </c>
      <c r="R459" t="s">
        <v>249</v>
      </c>
      <c r="S459" t="s">
        <v>154</v>
      </c>
      <c r="T459" t="s">
        <v>221</v>
      </c>
      <c r="U459" t="s">
        <v>156</v>
      </c>
      <c r="V459" s="2">
        <v>44827</v>
      </c>
      <c r="W459" t="s">
        <v>2115</v>
      </c>
      <c r="X459">
        <v>109.01</v>
      </c>
      <c r="Y459">
        <v>20.9</v>
      </c>
      <c r="Z459">
        <v>15</v>
      </c>
      <c r="AA459">
        <v>14.7</v>
      </c>
      <c r="AB459">
        <v>2</v>
      </c>
      <c r="AC459">
        <v>307.23</v>
      </c>
      <c r="AD459">
        <v>296.58061258924602</v>
      </c>
      <c r="AE459" s="2">
        <v>45735</v>
      </c>
      <c r="AF459">
        <v>75</v>
      </c>
      <c r="AG459">
        <v>6.2450376454483196</v>
      </c>
      <c r="AH459">
        <v>22.1123938297706</v>
      </c>
      <c r="AI459">
        <v>13.757894736842101</v>
      </c>
      <c r="AJ459">
        <v>19.698734613858399</v>
      </c>
      <c r="AK459">
        <v>38</v>
      </c>
      <c r="AL459">
        <v>1281.27053445091</v>
      </c>
      <c r="AM459">
        <v>211.343526263765</v>
      </c>
      <c r="AN459">
        <v>0.164948401279154</v>
      </c>
      <c r="AO459" t="s">
        <v>249</v>
      </c>
      <c r="AP459" t="s">
        <v>158</v>
      </c>
      <c r="AQ459" t="s">
        <v>486</v>
      </c>
      <c r="AR459">
        <v>7.5</v>
      </c>
      <c r="AS459">
        <v>0.96095290083817864</v>
      </c>
      <c r="AT459" t="s">
        <v>2120</v>
      </c>
      <c r="AU459" t="s">
        <v>2119</v>
      </c>
      <c r="AV459">
        <v>1444</v>
      </c>
      <c r="AW459">
        <v>786</v>
      </c>
      <c r="AX459">
        <v>474</v>
      </c>
      <c r="AY459">
        <v>160</v>
      </c>
      <c r="AZ459">
        <v>22</v>
      </c>
      <c r="BA459">
        <v>2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23.195999</v>
      </c>
      <c r="BI459">
        <v>15.659367</v>
      </c>
      <c r="BJ459">
        <v>0</v>
      </c>
      <c r="BK459">
        <v>6.431381</v>
      </c>
      <c r="BL459">
        <v>41.362659000000001</v>
      </c>
      <c r="BM459">
        <v>0.41070499999999999</v>
      </c>
      <c r="BN459">
        <v>7.0332509999999999</v>
      </c>
      <c r="BO459">
        <v>-1.35005</v>
      </c>
      <c r="BP459">
        <v>3.9379529999999998</v>
      </c>
      <c r="BQ459">
        <v>4.9024910000000004</v>
      </c>
      <c r="BR459">
        <v>3.2765</v>
      </c>
      <c r="BS459">
        <v>17.603999999999999</v>
      </c>
      <c r="BT459">
        <v>15.659367</v>
      </c>
      <c r="BU459">
        <v>3.3232810000000002</v>
      </c>
      <c r="BV459">
        <v>-1.0408820000000001</v>
      </c>
      <c r="BW459">
        <v>0.40501799999999999</v>
      </c>
      <c r="BX459">
        <v>0.21222299999999999</v>
      </c>
      <c r="BY459">
        <v>-0.31320900000000002</v>
      </c>
      <c r="BZ459">
        <v>0.121873</v>
      </c>
      <c r="CA459">
        <v>7.0000000000000001E-3</v>
      </c>
      <c r="CB459">
        <v>4.5999999999999999E-2</v>
      </c>
      <c r="CC459">
        <v>0.78649999999999998</v>
      </c>
      <c r="CD459">
        <v>12.307399999999999</v>
      </c>
      <c r="CE459">
        <v>13.459</v>
      </c>
      <c r="CF459">
        <v>14.1629</v>
      </c>
      <c r="CG459">
        <v>15.6614</v>
      </c>
      <c r="CH459">
        <v>17.603999999999999</v>
      </c>
      <c r="CI459">
        <v>19.2866</v>
      </c>
      <c r="CJ459">
        <v>20.223299000000001</v>
      </c>
      <c r="CK459">
        <v>20.492249999999999</v>
      </c>
      <c r="CL459">
        <v>20.784200999999999</v>
      </c>
      <c r="CM459">
        <v>21.497098999999999</v>
      </c>
      <c r="CN459">
        <v>21.869250999999998</v>
      </c>
      <c r="CO459">
        <v>22.408279</v>
      </c>
      <c r="CP459">
        <v>0.67508900000000005</v>
      </c>
      <c r="CQ459">
        <v>16.927782000000001</v>
      </c>
      <c r="CR459">
        <v>17.568788000000001</v>
      </c>
      <c r="CS459">
        <v>22</v>
      </c>
      <c r="CT459">
        <v>373</v>
      </c>
      <c r="CU459">
        <v>115.619806</v>
      </c>
      <c r="CV459">
        <v>33.142856999999999</v>
      </c>
      <c r="CW459">
        <v>68.159499999999994</v>
      </c>
      <c r="CX459">
        <v>4645.7174450000002</v>
      </c>
      <c r="CY459">
        <v>0.58951399999999998</v>
      </c>
      <c r="CZ459">
        <v>107</v>
      </c>
      <c r="DA459">
        <v>0.72542499999999999</v>
      </c>
      <c r="DB459">
        <v>2.738378</v>
      </c>
      <c r="DC459">
        <v>57.423825000000001</v>
      </c>
      <c r="DD459">
        <v>115.619806</v>
      </c>
      <c r="DE459">
        <v>38.084657999999997</v>
      </c>
      <c r="DF459">
        <v>6.925503</v>
      </c>
      <c r="DG459">
        <v>1.4551160000000001</v>
      </c>
      <c r="DH459">
        <v>0.32939600000000002</v>
      </c>
      <c r="DI459">
        <v>0.18184500000000001</v>
      </c>
      <c r="DJ459">
        <v>3.8206999999999998E-2</v>
      </c>
      <c r="DK459">
        <v>29.43</v>
      </c>
      <c r="DL459">
        <v>35</v>
      </c>
      <c r="DM459">
        <v>40</v>
      </c>
      <c r="DN459">
        <v>50</v>
      </c>
      <c r="DO459">
        <v>56</v>
      </c>
      <c r="DP459">
        <v>63</v>
      </c>
      <c r="DQ459">
        <v>80</v>
      </c>
      <c r="DR459">
        <v>99.5</v>
      </c>
      <c r="DS459">
        <v>124</v>
      </c>
      <c r="DT459">
        <v>152</v>
      </c>
      <c r="DU459">
        <v>163</v>
      </c>
      <c r="DV459">
        <v>178</v>
      </c>
      <c r="DW459">
        <v>215</v>
      </c>
      <c r="DX459">
        <v>238</v>
      </c>
      <c r="DY459">
        <v>296</v>
      </c>
      <c r="DZ459">
        <v>98.982187999999994</v>
      </c>
      <c r="EA459">
        <v>89.058171999999999</v>
      </c>
      <c r="EB459">
        <v>163.61323200000001</v>
      </c>
      <c r="EC459">
        <v>778</v>
      </c>
      <c r="ED459">
        <v>1286</v>
      </c>
      <c r="EE459">
        <v>90.458015000000003</v>
      </c>
      <c r="EF459">
        <v>100</v>
      </c>
      <c r="EG459">
        <v>59.972299</v>
      </c>
      <c r="EH459">
        <v>99.930747999999994</v>
      </c>
      <c r="EI459">
        <v>110.178117</v>
      </c>
      <c r="EJ459">
        <v>183.58778599999999</v>
      </c>
      <c r="EK459">
        <v>711</v>
      </c>
      <c r="EL459">
        <v>786</v>
      </c>
      <c r="EM459">
        <v>866</v>
      </c>
      <c r="EN459">
        <v>1443</v>
      </c>
      <c r="EO459">
        <v>786</v>
      </c>
      <c r="EP459">
        <v>1444</v>
      </c>
      <c r="EQ459">
        <v>68.926568000000003</v>
      </c>
    </row>
    <row r="460" spans="1:147" x14ac:dyDescent="0.25">
      <c r="A460">
        <v>2025</v>
      </c>
      <c r="B460" t="str">
        <f t="shared" si="14"/>
        <v>RD</v>
      </c>
      <c r="C460" t="s">
        <v>2121</v>
      </c>
      <c r="D460" t="s">
        <v>2121</v>
      </c>
      <c r="E460">
        <v>26623</v>
      </c>
      <c r="F460" t="s">
        <v>2112</v>
      </c>
      <c r="G460" t="s">
        <v>2113</v>
      </c>
      <c r="H460" t="s">
        <v>2114</v>
      </c>
      <c r="I460">
        <v>88.47</v>
      </c>
      <c r="J460">
        <v>88.47</v>
      </c>
      <c r="K460" t="s">
        <v>261</v>
      </c>
      <c r="L460">
        <v>1</v>
      </c>
      <c r="M460">
        <v>2018</v>
      </c>
      <c r="O460" t="str">
        <f t="shared" si="15"/>
        <v>Alto fuste</v>
      </c>
      <c r="P460" s="2">
        <v>43454</v>
      </c>
      <c r="Q460" t="s">
        <v>237</v>
      </c>
      <c r="R460" t="s">
        <v>249</v>
      </c>
      <c r="S460" t="s">
        <v>154</v>
      </c>
      <c r="T460" t="s">
        <v>221</v>
      </c>
      <c r="U460" t="s">
        <v>156</v>
      </c>
      <c r="V460" s="2">
        <v>45735</v>
      </c>
      <c r="W460" t="s">
        <v>2115</v>
      </c>
      <c r="X460">
        <v>109.01</v>
      </c>
      <c r="Y460">
        <v>19</v>
      </c>
      <c r="Z460">
        <v>11</v>
      </c>
      <c r="AA460">
        <v>15</v>
      </c>
      <c r="AB460">
        <v>1</v>
      </c>
      <c r="AC460">
        <v>285</v>
      </c>
      <c r="AD460">
        <v>279.72113790880701</v>
      </c>
      <c r="AE460" s="2">
        <v>45735</v>
      </c>
      <c r="AF460">
        <v>75</v>
      </c>
      <c r="AG460">
        <v>6.2450376454483196</v>
      </c>
      <c r="AH460">
        <v>22.281435630110899</v>
      </c>
      <c r="AI460">
        <v>13.7810810810811</v>
      </c>
      <c r="AJ460">
        <v>20.599378093399199</v>
      </c>
      <c r="AK460">
        <v>37</v>
      </c>
      <c r="AL460">
        <v>1322.7459417837199</v>
      </c>
      <c r="AM460">
        <v>224.63267974379201</v>
      </c>
      <c r="AN460">
        <v>0.169822996728211</v>
      </c>
      <c r="AO460" t="s">
        <v>249</v>
      </c>
      <c r="AP460" t="s">
        <v>158</v>
      </c>
      <c r="AQ460" t="s">
        <v>486</v>
      </c>
      <c r="AR460">
        <v>7.5</v>
      </c>
      <c r="AS460">
        <v>0.99205945633779336</v>
      </c>
      <c r="AT460" t="s">
        <v>2122</v>
      </c>
      <c r="AU460" t="s">
        <v>2121</v>
      </c>
      <c r="AV460">
        <v>1291</v>
      </c>
      <c r="AW460">
        <v>731</v>
      </c>
      <c r="AX460">
        <v>416</v>
      </c>
      <c r="AY460">
        <v>126</v>
      </c>
      <c r="AZ460">
        <v>16</v>
      </c>
      <c r="BA460">
        <v>2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23.582001000000002</v>
      </c>
      <c r="BI460">
        <v>15.201065</v>
      </c>
      <c r="BJ460">
        <v>0</v>
      </c>
      <c r="BK460">
        <v>6.8916170000000001</v>
      </c>
      <c r="BL460">
        <v>47.494391</v>
      </c>
      <c r="BM460">
        <v>0.45336399999999999</v>
      </c>
      <c r="BN460">
        <v>7.214499</v>
      </c>
      <c r="BO460">
        <v>-1.254135</v>
      </c>
      <c r="BP460">
        <v>3.3716370000000002</v>
      </c>
      <c r="BQ460">
        <v>5.3583670000000003</v>
      </c>
      <c r="BR460">
        <v>2.9560010000000001</v>
      </c>
      <c r="BS460">
        <v>17.847999999999999</v>
      </c>
      <c r="BT460">
        <v>15.201065</v>
      </c>
      <c r="BU460">
        <v>3.5555590000000001</v>
      </c>
      <c r="BV460">
        <v>-1.1633910000000001</v>
      </c>
      <c r="BW460">
        <v>0.368114</v>
      </c>
      <c r="BX460">
        <v>0.233902</v>
      </c>
      <c r="BY460">
        <v>-0.32720300000000002</v>
      </c>
      <c r="BZ460">
        <v>0.103532</v>
      </c>
      <c r="CA460">
        <v>5.0000000000000001E-3</v>
      </c>
      <c r="CB460">
        <v>4.5999999999999999E-2</v>
      </c>
      <c r="CC460">
        <v>0.14699999999999999</v>
      </c>
      <c r="CD460">
        <v>12.055999999999999</v>
      </c>
      <c r="CE460">
        <v>13.045500000000001</v>
      </c>
      <c r="CF460">
        <v>13.872999999999999</v>
      </c>
      <c r="CG460">
        <v>15.544</v>
      </c>
      <c r="CH460">
        <v>17.847999999999999</v>
      </c>
      <c r="CI460">
        <v>19.403998999999999</v>
      </c>
      <c r="CJ460">
        <v>20.000999</v>
      </c>
      <c r="CK460">
        <v>20.259998</v>
      </c>
      <c r="CL460">
        <v>20.493998999999999</v>
      </c>
      <c r="CM460">
        <v>21.091999000000001</v>
      </c>
      <c r="CN460">
        <v>21.736000000000001</v>
      </c>
      <c r="CO460">
        <v>22.703098000000001</v>
      </c>
      <c r="CP460">
        <v>0.64460499999999998</v>
      </c>
      <c r="CQ460">
        <v>16.689218</v>
      </c>
      <c r="CR460">
        <v>17.398413999999999</v>
      </c>
      <c r="CS460">
        <v>25</v>
      </c>
      <c r="CT460">
        <v>433</v>
      </c>
      <c r="CU460">
        <v>123.408985</v>
      </c>
      <c r="CV460">
        <v>37.952381000000003</v>
      </c>
      <c r="CW460">
        <v>73.879621999999998</v>
      </c>
      <c r="CX460">
        <v>5458.1984929999999</v>
      </c>
      <c r="CY460">
        <v>0.59865699999999999</v>
      </c>
      <c r="CZ460">
        <v>111</v>
      </c>
      <c r="DA460">
        <v>0.938778</v>
      </c>
      <c r="DB460">
        <v>3.7555369999999999</v>
      </c>
      <c r="DC460">
        <v>60.569490999999999</v>
      </c>
      <c r="DD460">
        <v>123.408985</v>
      </c>
      <c r="DE460">
        <v>40.661704</v>
      </c>
      <c r="DF460">
        <v>7.62981</v>
      </c>
      <c r="DG460">
        <v>2.6787570000000001</v>
      </c>
      <c r="DH460">
        <v>0.32948699999999997</v>
      </c>
      <c r="DI460">
        <v>0.187641</v>
      </c>
      <c r="DJ460">
        <v>6.5878999999999993E-2</v>
      </c>
      <c r="DK460">
        <v>31</v>
      </c>
      <c r="DL460">
        <v>37</v>
      </c>
      <c r="DM460">
        <v>43</v>
      </c>
      <c r="DN460">
        <v>53</v>
      </c>
      <c r="DO460">
        <v>60</v>
      </c>
      <c r="DP460">
        <v>67</v>
      </c>
      <c r="DQ460">
        <v>86</v>
      </c>
      <c r="DR460">
        <v>110</v>
      </c>
      <c r="DS460">
        <v>136</v>
      </c>
      <c r="DT460">
        <v>158</v>
      </c>
      <c r="DU460">
        <v>171</v>
      </c>
      <c r="DV460">
        <v>184</v>
      </c>
      <c r="DW460">
        <v>222</v>
      </c>
      <c r="DX460">
        <v>254.5</v>
      </c>
      <c r="DY460">
        <v>344.09997600000003</v>
      </c>
      <c r="DZ460">
        <v>97.948015999999996</v>
      </c>
      <c r="EA460">
        <v>85.902400999999998</v>
      </c>
      <c r="EB460">
        <v>151.70998599999999</v>
      </c>
      <c r="EC460">
        <v>716</v>
      </c>
      <c r="ED460">
        <v>1109</v>
      </c>
      <c r="EE460">
        <v>86.867305000000002</v>
      </c>
      <c r="EF460">
        <v>100</v>
      </c>
      <c r="EG460">
        <v>62.122385999999999</v>
      </c>
      <c r="EH460">
        <v>99.922540999999995</v>
      </c>
      <c r="EI460">
        <v>109.712722</v>
      </c>
      <c r="EJ460">
        <v>176.47058799999999</v>
      </c>
      <c r="EK460">
        <v>635</v>
      </c>
      <c r="EL460">
        <v>731</v>
      </c>
      <c r="EM460">
        <v>802</v>
      </c>
      <c r="EN460">
        <v>1290</v>
      </c>
      <c r="EO460">
        <v>731</v>
      </c>
      <c r="EP460">
        <v>1291</v>
      </c>
      <c r="EQ460">
        <v>65.874694000000005</v>
      </c>
    </row>
    <row r="461" spans="1:147" x14ac:dyDescent="0.25">
      <c r="A461">
        <v>2025</v>
      </c>
      <c r="B461" t="str">
        <f t="shared" si="14"/>
        <v>RD</v>
      </c>
      <c r="C461" t="s">
        <v>2123</v>
      </c>
      <c r="D461" t="s">
        <v>2123</v>
      </c>
      <c r="E461">
        <v>27371</v>
      </c>
      <c r="F461" t="s">
        <v>2124</v>
      </c>
      <c r="G461" t="s">
        <v>2113</v>
      </c>
      <c r="H461" t="s">
        <v>2125</v>
      </c>
      <c r="I461">
        <v>72.19</v>
      </c>
      <c r="J461">
        <v>72.19</v>
      </c>
      <c r="K461" t="s">
        <v>261</v>
      </c>
      <c r="L461">
        <v>1</v>
      </c>
      <c r="M461">
        <v>2019</v>
      </c>
      <c r="O461" t="str">
        <f t="shared" si="15"/>
        <v>Talhadia</v>
      </c>
      <c r="P461" s="2">
        <v>43518</v>
      </c>
      <c r="Q461" t="s">
        <v>152</v>
      </c>
      <c r="R461" t="s">
        <v>2126</v>
      </c>
      <c r="S461" t="s">
        <v>154</v>
      </c>
      <c r="T461" t="s">
        <v>221</v>
      </c>
      <c r="U461" t="s">
        <v>156</v>
      </c>
      <c r="V461" s="2">
        <v>45735</v>
      </c>
      <c r="W461" t="s">
        <v>2115</v>
      </c>
      <c r="X461">
        <v>332.68</v>
      </c>
      <c r="Y461">
        <v>20.9</v>
      </c>
      <c r="Z461">
        <v>4</v>
      </c>
      <c r="AA461">
        <v>14</v>
      </c>
      <c r="AB461">
        <v>1</v>
      </c>
      <c r="AC461">
        <v>292.60000000000002</v>
      </c>
      <c r="AD461">
        <v>291.84278526541698</v>
      </c>
      <c r="AE461" s="2">
        <v>45734</v>
      </c>
      <c r="AF461">
        <v>73</v>
      </c>
      <c r="AG461">
        <v>6.0670773442847397</v>
      </c>
      <c r="AH461">
        <v>24.503094698194499</v>
      </c>
      <c r="AI461">
        <v>17.207692307692302</v>
      </c>
      <c r="AJ461">
        <v>21.183049862611799</v>
      </c>
      <c r="AK461">
        <v>26</v>
      </c>
      <c r="AL461">
        <v>890.89062031649303</v>
      </c>
      <c r="AM461">
        <v>232.125465982289</v>
      </c>
      <c r="AN461">
        <v>0.26055439432040001</v>
      </c>
      <c r="AO461" t="s">
        <v>2126</v>
      </c>
      <c r="AP461" t="s">
        <v>264</v>
      </c>
      <c r="AQ461" t="s">
        <v>486</v>
      </c>
      <c r="AR461">
        <v>9.99</v>
      </c>
      <c r="AS461">
        <v>0.88999972969617525</v>
      </c>
      <c r="AT461" t="s">
        <v>2127</v>
      </c>
      <c r="AU461" t="s">
        <v>2123</v>
      </c>
      <c r="AV461">
        <v>1114</v>
      </c>
      <c r="AW461">
        <v>633</v>
      </c>
      <c r="AX461">
        <v>327</v>
      </c>
      <c r="AY461">
        <v>134</v>
      </c>
      <c r="AZ461">
        <v>18</v>
      </c>
      <c r="BA461">
        <v>2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25.606999999999999</v>
      </c>
      <c r="BI461">
        <v>15.472372999999999</v>
      </c>
      <c r="BJ461">
        <v>0</v>
      </c>
      <c r="BK461">
        <v>10.080067</v>
      </c>
      <c r="BL461">
        <v>101.607741</v>
      </c>
      <c r="BM461">
        <v>0.65148799999999996</v>
      </c>
      <c r="BN461">
        <v>22.556000000000001</v>
      </c>
      <c r="BO461">
        <v>-0.75167499999999998</v>
      </c>
      <c r="BP461">
        <v>1.702153</v>
      </c>
      <c r="BQ461">
        <v>9.1584959999999995</v>
      </c>
      <c r="BR461">
        <v>2.0670000000000002</v>
      </c>
      <c r="BS461">
        <v>21.759499000000002</v>
      </c>
      <c r="BT461">
        <v>15.472372999999999</v>
      </c>
      <c r="BU461">
        <v>5.1600570000000001</v>
      </c>
      <c r="BV461">
        <v>-1.479895</v>
      </c>
      <c r="BW461">
        <v>-0.39584999999999998</v>
      </c>
      <c r="BX461">
        <v>0.33350099999999999</v>
      </c>
      <c r="BY461">
        <v>-0.286798</v>
      </c>
      <c r="BZ461">
        <v>-7.6714000000000004E-2</v>
      </c>
      <c r="CA461">
        <v>1E-3</v>
      </c>
      <c r="CB461">
        <v>6.0000000000000001E-3</v>
      </c>
      <c r="CC461">
        <v>1.4E-2</v>
      </c>
      <c r="CD461">
        <v>5.1999999999999998E-2</v>
      </c>
      <c r="CE461">
        <v>0.62824999999999998</v>
      </c>
      <c r="CF461">
        <v>8.3569980000000008</v>
      </c>
      <c r="CG461">
        <v>19.870602000000002</v>
      </c>
      <c r="CH461">
        <v>21.759499000000002</v>
      </c>
      <c r="CI461">
        <v>22.445399999999999</v>
      </c>
      <c r="CJ461">
        <v>22.924299000000001</v>
      </c>
      <c r="CK461">
        <v>23.184249999999999</v>
      </c>
      <c r="CL461">
        <v>23.378</v>
      </c>
      <c r="CM461">
        <v>23.876899999999999</v>
      </c>
      <c r="CN461">
        <v>24.193349999999999</v>
      </c>
      <c r="CO461">
        <v>24.768198000000002</v>
      </c>
      <c r="CP461">
        <v>0.60422399999999998</v>
      </c>
      <c r="CQ461">
        <v>18.463771999999999</v>
      </c>
      <c r="CR461">
        <v>19.701322000000001</v>
      </c>
      <c r="CS461">
        <v>21</v>
      </c>
      <c r="CT461">
        <v>593</v>
      </c>
      <c r="CU461">
        <v>132.666966</v>
      </c>
      <c r="CV461">
        <v>48.238095000000001</v>
      </c>
      <c r="CW461">
        <v>93.848568999999998</v>
      </c>
      <c r="CX461">
        <v>8807.5538579999993</v>
      </c>
      <c r="CY461">
        <v>0.70740000000000003</v>
      </c>
      <c r="CZ461">
        <v>120.75</v>
      </c>
      <c r="DA461">
        <v>1.4051400000000001</v>
      </c>
      <c r="DB461">
        <v>5.4375340000000003</v>
      </c>
      <c r="DC461">
        <v>72.683179999999993</v>
      </c>
      <c r="DD461">
        <v>132.666966</v>
      </c>
      <c r="DE461">
        <v>49.639912000000002</v>
      </c>
      <c r="DF461">
        <v>12.938152000000001</v>
      </c>
      <c r="DG461">
        <v>5.8935069999999996</v>
      </c>
      <c r="DH461">
        <v>0.37416899999999997</v>
      </c>
      <c r="DI461">
        <v>0.26063999999999998</v>
      </c>
      <c r="DJ461">
        <v>0.118725</v>
      </c>
      <c r="DK461">
        <v>27</v>
      </c>
      <c r="DL461">
        <v>33</v>
      </c>
      <c r="DM461">
        <v>38.300002999999997</v>
      </c>
      <c r="DN461">
        <v>52</v>
      </c>
      <c r="DO461">
        <v>57</v>
      </c>
      <c r="DP461">
        <v>67</v>
      </c>
      <c r="DQ461">
        <v>88</v>
      </c>
      <c r="DR461">
        <v>111</v>
      </c>
      <c r="DS461">
        <v>134</v>
      </c>
      <c r="DT461">
        <v>164</v>
      </c>
      <c r="DU461">
        <v>177.75</v>
      </c>
      <c r="DV461">
        <v>202</v>
      </c>
      <c r="DW461">
        <v>259.70001200000002</v>
      </c>
      <c r="DX461">
        <v>311</v>
      </c>
      <c r="DY461">
        <v>455.30993699999999</v>
      </c>
      <c r="DZ461">
        <v>96.524486999999993</v>
      </c>
      <c r="EA461">
        <v>71.813284999999993</v>
      </c>
      <c r="EB461">
        <v>126.382306</v>
      </c>
      <c r="EC461">
        <v>611</v>
      </c>
      <c r="ED461">
        <v>800</v>
      </c>
      <c r="EE461">
        <v>95.102686000000006</v>
      </c>
      <c r="EF461">
        <v>100</v>
      </c>
      <c r="EG461">
        <v>66.068223000000003</v>
      </c>
      <c r="EH461">
        <v>99.730699999999999</v>
      </c>
      <c r="EI461">
        <v>116.271722</v>
      </c>
      <c r="EJ461">
        <v>175.513428</v>
      </c>
      <c r="EK461">
        <v>602</v>
      </c>
      <c r="EL461">
        <v>633</v>
      </c>
      <c r="EM461">
        <v>736</v>
      </c>
      <c r="EN461">
        <v>1111</v>
      </c>
      <c r="EO461">
        <v>633</v>
      </c>
      <c r="EP461">
        <v>1114</v>
      </c>
      <c r="EQ461">
        <v>61.456090000000003</v>
      </c>
    </row>
    <row r="462" spans="1:147" x14ac:dyDescent="0.25">
      <c r="A462">
        <v>2025</v>
      </c>
      <c r="B462" t="str">
        <f t="shared" si="14"/>
        <v>RD</v>
      </c>
      <c r="C462" t="s">
        <v>2128</v>
      </c>
      <c r="D462" t="s">
        <v>2128</v>
      </c>
      <c r="E462">
        <v>27372</v>
      </c>
      <c r="F462" t="s">
        <v>2124</v>
      </c>
      <c r="G462" t="s">
        <v>2113</v>
      </c>
      <c r="H462" t="s">
        <v>2125</v>
      </c>
      <c r="I462">
        <v>72.19</v>
      </c>
      <c r="J462">
        <v>72.19</v>
      </c>
      <c r="K462" t="s">
        <v>261</v>
      </c>
      <c r="L462">
        <v>1</v>
      </c>
      <c r="M462">
        <v>2019</v>
      </c>
      <c r="O462" t="str">
        <f t="shared" si="15"/>
        <v>Talhadia</v>
      </c>
      <c r="P462" s="2">
        <v>43518</v>
      </c>
      <c r="Q462" t="s">
        <v>152</v>
      </c>
      <c r="R462" t="s">
        <v>2126</v>
      </c>
      <c r="S462" t="s">
        <v>154</v>
      </c>
      <c r="T462" t="s">
        <v>221</v>
      </c>
      <c r="U462" t="s">
        <v>156</v>
      </c>
      <c r="V462" s="2">
        <v>44829</v>
      </c>
      <c r="W462" t="s">
        <v>2115</v>
      </c>
      <c r="X462">
        <v>332.68</v>
      </c>
      <c r="Y462">
        <v>21.2</v>
      </c>
      <c r="Z462">
        <v>20</v>
      </c>
      <c r="AA462">
        <v>14</v>
      </c>
      <c r="AB462">
        <v>6</v>
      </c>
      <c r="AC462">
        <v>296.8</v>
      </c>
      <c r="AD462">
        <v>277.37292225015398</v>
      </c>
      <c r="AE462" s="2">
        <v>45735</v>
      </c>
      <c r="AF462">
        <v>73</v>
      </c>
      <c r="AG462">
        <v>6.06981519507187</v>
      </c>
      <c r="AH462">
        <v>22.851300656916798</v>
      </c>
      <c r="AI462">
        <v>16.14</v>
      </c>
      <c r="AJ462">
        <v>15.239231175896</v>
      </c>
      <c r="AK462">
        <v>20</v>
      </c>
      <c r="AL462">
        <v>721.05091721832196</v>
      </c>
      <c r="AM462">
        <v>157.87265179244</v>
      </c>
      <c r="AN462">
        <v>0.21894799385524999</v>
      </c>
      <c r="AO462" t="s">
        <v>2126</v>
      </c>
      <c r="AP462" t="s">
        <v>264</v>
      </c>
      <c r="AQ462" t="s">
        <v>486</v>
      </c>
      <c r="AR462">
        <v>9.99</v>
      </c>
      <c r="AS462">
        <v>0.72032986630110429</v>
      </c>
      <c r="AT462" t="s">
        <v>2129</v>
      </c>
      <c r="AU462" t="s">
        <v>2128</v>
      </c>
      <c r="AV462">
        <v>2055</v>
      </c>
      <c r="AW462">
        <v>1139</v>
      </c>
      <c r="AX462">
        <v>658</v>
      </c>
      <c r="AY462">
        <v>227</v>
      </c>
      <c r="AZ462">
        <v>30</v>
      </c>
      <c r="BA462">
        <v>1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25.572001</v>
      </c>
      <c r="BI462">
        <v>12.819746</v>
      </c>
      <c r="BJ462">
        <v>0</v>
      </c>
      <c r="BK462">
        <v>9.0752749999999995</v>
      </c>
      <c r="BL462">
        <v>82.360607999999999</v>
      </c>
      <c r="BM462">
        <v>0.70791400000000004</v>
      </c>
      <c r="BN462">
        <v>20.268000000000001</v>
      </c>
      <c r="BO462">
        <v>-0.36891600000000002</v>
      </c>
      <c r="BP462">
        <v>1.5094259999999999</v>
      </c>
      <c r="BQ462">
        <v>8.1798310000000001</v>
      </c>
      <c r="BR462">
        <v>6.4899990000000001</v>
      </c>
      <c r="BS462">
        <v>15.712999999999999</v>
      </c>
      <c r="BT462">
        <v>12.819746</v>
      </c>
      <c r="BU462">
        <v>5.0580309999999997</v>
      </c>
      <c r="BV462">
        <v>-0.54678400000000005</v>
      </c>
      <c r="BW462">
        <v>-0.49441800000000002</v>
      </c>
      <c r="BX462">
        <v>0.39455000000000001</v>
      </c>
      <c r="BY462">
        <v>-0.108102</v>
      </c>
      <c r="BZ462">
        <v>-9.7749000000000003E-2</v>
      </c>
      <c r="CA462">
        <v>2.5400000000000002E-3</v>
      </c>
      <c r="CB462">
        <v>0.02</v>
      </c>
      <c r="CC462">
        <v>0.06</v>
      </c>
      <c r="CD462">
        <v>0.32600000000000001</v>
      </c>
      <c r="CE462">
        <v>0.80500000000000005</v>
      </c>
      <c r="CF462">
        <v>4.4526009999999996</v>
      </c>
      <c r="CG462">
        <v>12.0718</v>
      </c>
      <c r="CH462">
        <v>15.712999999999999</v>
      </c>
      <c r="CI462">
        <v>18.301400999999998</v>
      </c>
      <c r="CJ462">
        <v>20.405398999999999</v>
      </c>
      <c r="CK462">
        <v>21.073</v>
      </c>
      <c r="CL462">
        <v>21.758600000000001</v>
      </c>
      <c r="CM462">
        <v>22.814001000000001</v>
      </c>
      <c r="CN462">
        <v>23.627400999999999</v>
      </c>
      <c r="CO462">
        <v>24.718316999999999</v>
      </c>
      <c r="CP462">
        <v>0.50131999999999999</v>
      </c>
      <c r="CQ462">
        <v>15.705617999999999</v>
      </c>
      <c r="CR462">
        <v>17.096616000000001</v>
      </c>
      <c r="CS462">
        <v>23</v>
      </c>
      <c r="CT462">
        <v>574</v>
      </c>
      <c r="CU462">
        <v>117.16009699999999</v>
      </c>
      <c r="CV462">
        <v>40.492063000000002</v>
      </c>
      <c r="CW462">
        <v>103.08205700000001</v>
      </c>
      <c r="CX462">
        <v>10625.91058</v>
      </c>
      <c r="CY462">
        <v>0.87983900000000004</v>
      </c>
      <c r="CZ462">
        <v>84</v>
      </c>
      <c r="DA462">
        <v>2.088165</v>
      </c>
      <c r="DB462">
        <v>7.2015950000000002</v>
      </c>
      <c r="DC462">
        <v>71.896542999999994</v>
      </c>
      <c r="DD462">
        <v>117.16009699999999</v>
      </c>
      <c r="DE462">
        <v>48.655231000000001</v>
      </c>
      <c r="DF462">
        <v>20.716097999999999</v>
      </c>
      <c r="DG462">
        <v>11.531983</v>
      </c>
      <c r="DH462">
        <v>0.41528799999999999</v>
      </c>
      <c r="DI462">
        <v>0.42577300000000001</v>
      </c>
      <c r="DJ462">
        <v>0.237014</v>
      </c>
      <c r="DK462">
        <v>27</v>
      </c>
      <c r="DL462">
        <v>32</v>
      </c>
      <c r="DM462">
        <v>38</v>
      </c>
      <c r="DN462">
        <v>47</v>
      </c>
      <c r="DO462">
        <v>52</v>
      </c>
      <c r="DP462">
        <v>56</v>
      </c>
      <c r="DQ462">
        <v>67</v>
      </c>
      <c r="DR462">
        <v>82</v>
      </c>
      <c r="DS462">
        <v>100</v>
      </c>
      <c r="DT462">
        <v>120</v>
      </c>
      <c r="DU462">
        <v>136</v>
      </c>
      <c r="DV462">
        <v>157</v>
      </c>
      <c r="DW462">
        <v>260</v>
      </c>
      <c r="DX462">
        <v>366.20019500000001</v>
      </c>
      <c r="DY462">
        <v>502.91992199999999</v>
      </c>
      <c r="DZ462">
        <v>81.913960000000003</v>
      </c>
      <c r="EA462">
        <v>70.608272999999997</v>
      </c>
      <c r="EB462">
        <v>127.39245</v>
      </c>
      <c r="EC462">
        <v>933</v>
      </c>
      <c r="ED462">
        <v>1451</v>
      </c>
      <c r="EE462">
        <v>75.329235999999995</v>
      </c>
      <c r="EF462">
        <v>99.736610999999996</v>
      </c>
      <c r="EG462">
        <v>58.442822</v>
      </c>
      <c r="EH462">
        <v>99.756691000000004</v>
      </c>
      <c r="EI462">
        <v>105.443371</v>
      </c>
      <c r="EJ462">
        <v>179.98244099999999</v>
      </c>
      <c r="EK462">
        <v>858</v>
      </c>
      <c r="EL462">
        <v>1136</v>
      </c>
      <c r="EM462">
        <v>1201</v>
      </c>
      <c r="EN462">
        <v>2050</v>
      </c>
      <c r="EO462">
        <v>1139</v>
      </c>
      <c r="EP462">
        <v>2055</v>
      </c>
      <c r="EQ462">
        <v>50.858173000000001</v>
      </c>
    </row>
    <row r="463" spans="1:147" x14ac:dyDescent="0.25">
      <c r="A463">
        <v>2025</v>
      </c>
      <c r="B463" t="str">
        <f t="shared" si="14"/>
        <v>RD</v>
      </c>
      <c r="C463" t="s">
        <v>2130</v>
      </c>
      <c r="D463" t="s">
        <v>2130</v>
      </c>
      <c r="E463">
        <v>27373</v>
      </c>
      <c r="F463" t="s">
        <v>2124</v>
      </c>
      <c r="G463" t="s">
        <v>2113</v>
      </c>
      <c r="H463" t="s">
        <v>2125</v>
      </c>
      <c r="I463">
        <v>72.19</v>
      </c>
      <c r="J463">
        <v>72.19</v>
      </c>
      <c r="K463" t="s">
        <v>261</v>
      </c>
      <c r="L463">
        <v>1</v>
      </c>
      <c r="M463">
        <v>2019</v>
      </c>
      <c r="O463" t="str">
        <f t="shared" si="15"/>
        <v>Talhadia</v>
      </c>
      <c r="P463" s="2">
        <v>43518</v>
      </c>
      <c r="Q463" t="s">
        <v>152</v>
      </c>
      <c r="R463" t="s">
        <v>2126</v>
      </c>
      <c r="S463" t="s">
        <v>154</v>
      </c>
      <c r="T463" t="s">
        <v>221</v>
      </c>
      <c r="U463" t="s">
        <v>156</v>
      </c>
      <c r="V463" s="2">
        <v>45735</v>
      </c>
      <c r="W463" t="s">
        <v>2115</v>
      </c>
      <c r="X463">
        <v>332.68</v>
      </c>
      <c r="Y463">
        <v>19.2</v>
      </c>
      <c r="Z463">
        <v>20</v>
      </c>
      <c r="AA463">
        <v>14</v>
      </c>
      <c r="AB463">
        <v>0</v>
      </c>
      <c r="AC463">
        <v>268.8</v>
      </c>
      <c r="AD463">
        <v>252.58937646725201</v>
      </c>
      <c r="AE463" s="2">
        <v>45734</v>
      </c>
      <c r="AF463">
        <v>73</v>
      </c>
      <c r="AG463">
        <v>6.0670773442847397</v>
      </c>
      <c r="AH463">
        <v>23.497390136953999</v>
      </c>
      <c r="AI463">
        <v>16.321052631578901</v>
      </c>
      <c r="AJ463">
        <v>16.6212601483467</v>
      </c>
      <c r="AK463">
        <v>19</v>
      </c>
      <c r="AL463">
        <v>752.20899096139601</v>
      </c>
      <c r="AM463">
        <v>182.063380505559</v>
      </c>
      <c r="AN463">
        <v>0.242038293470628</v>
      </c>
      <c r="AO463" t="s">
        <v>2126</v>
      </c>
      <c r="AP463" t="s">
        <v>264</v>
      </c>
      <c r="AQ463" t="s">
        <v>486</v>
      </c>
      <c r="AR463">
        <v>9.99</v>
      </c>
      <c r="AS463">
        <v>0.75145678197043542</v>
      </c>
      <c r="AT463" t="s">
        <v>2131</v>
      </c>
      <c r="AU463" t="s">
        <v>2130</v>
      </c>
      <c r="AV463">
        <v>991</v>
      </c>
      <c r="AW463">
        <v>578</v>
      </c>
      <c r="AX463">
        <v>298</v>
      </c>
      <c r="AY463">
        <v>93</v>
      </c>
      <c r="AZ463">
        <v>22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1E-3</v>
      </c>
      <c r="BH463">
        <v>25.806000000000001</v>
      </c>
      <c r="BI463">
        <v>16.517883000000001</v>
      </c>
      <c r="BJ463">
        <v>1E-3</v>
      </c>
      <c r="BK463">
        <v>9.6590819999999997</v>
      </c>
      <c r="BL463">
        <v>93.297871999999998</v>
      </c>
      <c r="BM463">
        <v>0.58476499999999998</v>
      </c>
      <c r="BN463">
        <v>17.296500000000002</v>
      </c>
      <c r="BO463">
        <v>-0.877772</v>
      </c>
      <c r="BP463">
        <v>1.9802630000000001</v>
      </c>
      <c r="BQ463">
        <v>8.5845549999999999</v>
      </c>
      <c r="BR463">
        <v>2.011002</v>
      </c>
      <c r="BS463">
        <v>22.181000000000001</v>
      </c>
      <c r="BT463">
        <v>16.517883000000001</v>
      </c>
      <c r="BU463">
        <v>4.9422879999999996</v>
      </c>
      <c r="BV463">
        <v>-1.646371</v>
      </c>
      <c r="BW463">
        <v>-0.109475</v>
      </c>
      <c r="BX463">
        <v>0.29920799999999997</v>
      </c>
      <c r="BY463">
        <v>-0.333119</v>
      </c>
      <c r="BZ463">
        <v>-2.2151000000000001E-2</v>
      </c>
      <c r="CA463">
        <v>4.8999999999999998E-3</v>
      </c>
      <c r="CB463">
        <v>1.4E-2</v>
      </c>
      <c r="CC463">
        <v>3.6999999999999998E-2</v>
      </c>
      <c r="CD463">
        <v>1.9179999999999999</v>
      </c>
      <c r="CE463">
        <v>6.3490000000000002</v>
      </c>
      <c r="CF463">
        <v>12.773999999999999</v>
      </c>
      <c r="CG463">
        <v>20.850999999999999</v>
      </c>
      <c r="CH463">
        <v>22.181999000000001</v>
      </c>
      <c r="CI463">
        <v>22.937999999999999</v>
      </c>
      <c r="CJ463">
        <v>23.441998999999999</v>
      </c>
      <c r="CK463">
        <v>23.645499999999998</v>
      </c>
      <c r="CL463">
        <v>23.851998999999999</v>
      </c>
      <c r="CM463">
        <v>24.378</v>
      </c>
      <c r="CN463">
        <v>24.673999999999999</v>
      </c>
      <c r="CO463">
        <v>25.175398000000001</v>
      </c>
      <c r="CP463">
        <v>0.640065</v>
      </c>
      <c r="CQ463">
        <v>19.132280999999999</v>
      </c>
      <c r="CR463">
        <v>20.275438000000001</v>
      </c>
      <c r="CS463">
        <v>25</v>
      </c>
      <c r="CT463">
        <v>416</v>
      </c>
      <c r="CU463">
        <v>118.45206899999999</v>
      </c>
      <c r="CV463">
        <v>43.619047999999999</v>
      </c>
      <c r="CW463">
        <v>73.934447000000006</v>
      </c>
      <c r="CX463">
        <v>5466.302498</v>
      </c>
      <c r="CY463">
        <v>0.62417199999999995</v>
      </c>
      <c r="CZ463">
        <v>110.5</v>
      </c>
      <c r="DA463">
        <v>0.93468200000000001</v>
      </c>
      <c r="DB463">
        <v>3.4531429999999999</v>
      </c>
      <c r="DC463">
        <v>60.441136999999998</v>
      </c>
      <c r="DD463">
        <v>118.45206899999999</v>
      </c>
      <c r="DE463">
        <v>40.692497000000003</v>
      </c>
      <c r="DF463">
        <v>8.4953970000000005</v>
      </c>
      <c r="DG463">
        <v>2.848265</v>
      </c>
      <c r="DH463">
        <v>0.34353600000000001</v>
      </c>
      <c r="DI463">
        <v>0.20877100000000001</v>
      </c>
      <c r="DJ463">
        <v>6.9995000000000002E-2</v>
      </c>
      <c r="DK463">
        <v>28</v>
      </c>
      <c r="DL463">
        <v>33</v>
      </c>
      <c r="DM463">
        <v>39</v>
      </c>
      <c r="DN463">
        <v>49</v>
      </c>
      <c r="DO463">
        <v>57</v>
      </c>
      <c r="DP463">
        <v>64</v>
      </c>
      <c r="DQ463">
        <v>83</v>
      </c>
      <c r="DR463">
        <v>102</v>
      </c>
      <c r="DS463">
        <v>122</v>
      </c>
      <c r="DT463">
        <v>152</v>
      </c>
      <c r="DU463">
        <v>167.5</v>
      </c>
      <c r="DV463">
        <v>180</v>
      </c>
      <c r="DW463">
        <v>225</v>
      </c>
      <c r="DX463">
        <v>259</v>
      </c>
      <c r="DY463">
        <v>328.399902</v>
      </c>
      <c r="DZ463">
        <v>97.750865000000005</v>
      </c>
      <c r="EA463">
        <v>78.506558999999996</v>
      </c>
      <c r="EB463">
        <v>134.60207600000001</v>
      </c>
      <c r="EC463">
        <v>565</v>
      </c>
      <c r="ED463">
        <v>778</v>
      </c>
      <c r="EE463">
        <v>93.425606000000002</v>
      </c>
      <c r="EF463">
        <v>100</v>
      </c>
      <c r="EG463">
        <v>67.103935000000007</v>
      </c>
      <c r="EH463">
        <v>99.899091999999996</v>
      </c>
      <c r="EI463">
        <v>115.051903</v>
      </c>
      <c r="EJ463">
        <v>171.28027700000001</v>
      </c>
      <c r="EK463">
        <v>540</v>
      </c>
      <c r="EL463">
        <v>578</v>
      </c>
      <c r="EM463">
        <v>665</v>
      </c>
      <c r="EN463">
        <v>990</v>
      </c>
      <c r="EO463">
        <v>578</v>
      </c>
      <c r="EP463">
        <v>991</v>
      </c>
      <c r="EQ463">
        <v>64.628449000000003</v>
      </c>
    </row>
    <row r="464" spans="1:147" x14ac:dyDescent="0.25">
      <c r="A464">
        <v>2025</v>
      </c>
      <c r="B464" t="str">
        <f t="shared" si="14"/>
        <v>RD</v>
      </c>
      <c r="C464" t="s">
        <v>2132</v>
      </c>
      <c r="D464" t="s">
        <v>2132</v>
      </c>
      <c r="E464">
        <v>27374</v>
      </c>
      <c r="F464" t="s">
        <v>2124</v>
      </c>
      <c r="G464" t="s">
        <v>2113</v>
      </c>
      <c r="H464" t="s">
        <v>2125</v>
      </c>
      <c r="I464">
        <v>72.19</v>
      </c>
      <c r="J464">
        <v>72.19</v>
      </c>
      <c r="K464" t="s">
        <v>261</v>
      </c>
      <c r="L464">
        <v>1</v>
      </c>
      <c r="M464">
        <v>2019</v>
      </c>
      <c r="O464" t="str">
        <f t="shared" si="15"/>
        <v>Talhadia</v>
      </c>
      <c r="P464" s="2">
        <v>43518</v>
      </c>
      <c r="Q464" t="s">
        <v>152</v>
      </c>
      <c r="R464" t="s">
        <v>2126</v>
      </c>
      <c r="S464" t="s">
        <v>154</v>
      </c>
      <c r="T464" t="s">
        <v>221</v>
      </c>
      <c r="U464" t="s">
        <v>156</v>
      </c>
      <c r="V464" s="2">
        <v>44830</v>
      </c>
      <c r="W464" t="s">
        <v>2115</v>
      </c>
      <c r="X464">
        <v>332.68</v>
      </c>
      <c r="Y464">
        <v>20.6</v>
      </c>
      <c r="Z464">
        <v>25</v>
      </c>
      <c r="AA464">
        <v>14</v>
      </c>
      <c r="AB464">
        <v>0</v>
      </c>
      <c r="AC464">
        <v>288.39999999999998</v>
      </c>
      <c r="AD464">
        <v>261.37916578136998</v>
      </c>
      <c r="AE464" s="2">
        <v>45734</v>
      </c>
      <c r="AF464">
        <v>73</v>
      </c>
      <c r="AG464">
        <v>6.0670773442847397</v>
      </c>
      <c r="AH464">
        <v>22.873954902976202</v>
      </c>
      <c r="AI464">
        <v>17.463157894736799</v>
      </c>
      <c r="AJ464">
        <v>17.854779241843399</v>
      </c>
      <c r="AK464">
        <v>19</v>
      </c>
      <c r="AL464">
        <v>726.91333080053198</v>
      </c>
      <c r="AM464">
        <v>180.094422453557</v>
      </c>
      <c r="AN464">
        <v>0.247752262646254</v>
      </c>
      <c r="AO464" t="s">
        <v>2126</v>
      </c>
      <c r="AP464" t="s">
        <v>264</v>
      </c>
      <c r="AQ464" t="s">
        <v>486</v>
      </c>
      <c r="AR464">
        <v>9.99</v>
      </c>
      <c r="AS464">
        <v>0.72618641746973112</v>
      </c>
      <c r="AT464" t="s">
        <v>2133</v>
      </c>
      <c r="AU464" t="s">
        <v>2132</v>
      </c>
      <c r="AV464">
        <v>1009</v>
      </c>
      <c r="AW464">
        <v>648</v>
      </c>
      <c r="AX464">
        <v>297</v>
      </c>
      <c r="AY464">
        <v>62</v>
      </c>
      <c r="AZ464">
        <v>2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24.290001</v>
      </c>
      <c r="BI464">
        <v>13.581739000000001</v>
      </c>
      <c r="BJ464">
        <v>0</v>
      </c>
      <c r="BK464">
        <v>9.1484900000000007</v>
      </c>
      <c r="BL464">
        <v>83.694869999999995</v>
      </c>
      <c r="BM464">
        <v>0.67358799999999996</v>
      </c>
      <c r="BN464">
        <v>19.951001000000002</v>
      </c>
      <c r="BO464">
        <v>-0.66331899999999999</v>
      </c>
      <c r="BP464">
        <v>1.587629</v>
      </c>
      <c r="BQ464">
        <v>8.4251819999999995</v>
      </c>
      <c r="BR464">
        <v>2.5529989999999998</v>
      </c>
      <c r="BS464">
        <v>18.865998999999999</v>
      </c>
      <c r="BT464">
        <v>13.581739000000001</v>
      </c>
      <c r="BU464">
        <v>4.76654</v>
      </c>
      <c r="BV464">
        <v>-1.1379840000000001</v>
      </c>
      <c r="BW464">
        <v>-0.40046700000000002</v>
      </c>
      <c r="BX464">
        <v>0.35095199999999999</v>
      </c>
      <c r="BY464">
        <v>-0.23874400000000001</v>
      </c>
      <c r="BZ464">
        <v>-8.4015999999999993E-2</v>
      </c>
      <c r="CA464">
        <v>4.0000000000000001E-3</v>
      </c>
      <c r="CB464">
        <v>1.9E-2</v>
      </c>
      <c r="CC464">
        <v>3.9E-2</v>
      </c>
      <c r="CD464">
        <v>0.129</v>
      </c>
      <c r="CE464">
        <v>0.68</v>
      </c>
      <c r="CF464">
        <v>3.4445969999999999</v>
      </c>
      <c r="CG464">
        <v>17.595199999999998</v>
      </c>
      <c r="CH464">
        <v>18.865998999999999</v>
      </c>
      <c r="CI464">
        <v>19.759599999999999</v>
      </c>
      <c r="CJ464">
        <v>20.310600000000001</v>
      </c>
      <c r="CK464">
        <v>20.631001000000001</v>
      </c>
      <c r="CL464">
        <v>20.933201</v>
      </c>
      <c r="CM464">
        <v>21.7668</v>
      </c>
      <c r="CN464">
        <v>22.332998</v>
      </c>
      <c r="CO464">
        <v>23.017719</v>
      </c>
      <c r="CP464">
        <v>0.55914900000000001</v>
      </c>
      <c r="CQ464">
        <v>16.373013</v>
      </c>
      <c r="CR464">
        <v>17.549227999999999</v>
      </c>
      <c r="CS464">
        <v>24</v>
      </c>
      <c r="CT464">
        <v>506</v>
      </c>
      <c r="CU464">
        <v>134.023786</v>
      </c>
      <c r="CV464">
        <v>31.650794000000001</v>
      </c>
      <c r="CW464">
        <v>87.632582999999997</v>
      </c>
      <c r="CX464">
        <v>7679.4696720000002</v>
      </c>
      <c r="CY464">
        <v>0.65385800000000005</v>
      </c>
      <c r="CZ464">
        <v>109</v>
      </c>
      <c r="DA464">
        <v>1.308298</v>
      </c>
      <c r="DB464">
        <v>4.8558209999999997</v>
      </c>
      <c r="DC464">
        <v>67.045136999999997</v>
      </c>
      <c r="DD464">
        <v>134.023786</v>
      </c>
      <c r="DE464">
        <v>46.649577999999998</v>
      </c>
      <c r="DF464">
        <v>11.190694000000001</v>
      </c>
      <c r="DG464">
        <v>6.4326840000000001</v>
      </c>
      <c r="DH464">
        <v>0.34806900000000002</v>
      </c>
      <c r="DI464">
        <v>0.23988799999999999</v>
      </c>
      <c r="DJ464">
        <v>0.13789399999999999</v>
      </c>
      <c r="DK464">
        <v>29.08</v>
      </c>
      <c r="DL464">
        <v>35</v>
      </c>
      <c r="DM464">
        <v>41.800002999999997</v>
      </c>
      <c r="DN464">
        <v>57</v>
      </c>
      <c r="DO464">
        <v>67</v>
      </c>
      <c r="DP464">
        <v>77</v>
      </c>
      <c r="DQ464">
        <v>98</v>
      </c>
      <c r="DR464">
        <v>116</v>
      </c>
      <c r="DS464">
        <v>137</v>
      </c>
      <c r="DT464">
        <v>161.599976</v>
      </c>
      <c r="DU464">
        <v>176</v>
      </c>
      <c r="DV464">
        <v>192.400024</v>
      </c>
      <c r="DW464">
        <v>249.400024</v>
      </c>
      <c r="DX464">
        <v>309.399902</v>
      </c>
      <c r="DY464">
        <v>415.839966</v>
      </c>
      <c r="DZ464">
        <v>89.351851999999994</v>
      </c>
      <c r="EA464">
        <v>70.168484000000007</v>
      </c>
      <c r="EB464">
        <v>109.259259</v>
      </c>
      <c r="EC464">
        <v>579</v>
      </c>
      <c r="ED464">
        <v>708</v>
      </c>
      <c r="EE464">
        <v>87.808642000000006</v>
      </c>
      <c r="EF464">
        <v>99.845679000000004</v>
      </c>
      <c r="EG464">
        <v>65.510406000000003</v>
      </c>
      <c r="EH464">
        <v>99.900891999999999</v>
      </c>
      <c r="EI464">
        <v>102.006173</v>
      </c>
      <c r="EJ464">
        <v>155.555556</v>
      </c>
      <c r="EK464">
        <v>569</v>
      </c>
      <c r="EL464">
        <v>647</v>
      </c>
      <c r="EM464">
        <v>661</v>
      </c>
      <c r="EN464">
        <v>1008</v>
      </c>
      <c r="EO464">
        <v>648</v>
      </c>
      <c r="EP464">
        <v>1009</v>
      </c>
      <c r="EQ464">
        <v>57.979565999999998</v>
      </c>
    </row>
    <row r="465" spans="1:147" x14ac:dyDescent="0.25">
      <c r="A465">
        <v>2025</v>
      </c>
      <c r="B465" t="str">
        <f t="shared" si="14"/>
        <v>RD</v>
      </c>
      <c r="C465" t="s">
        <v>2134</v>
      </c>
      <c r="D465" t="s">
        <v>2134</v>
      </c>
      <c r="E465">
        <v>31049</v>
      </c>
      <c r="F465" t="s">
        <v>2124</v>
      </c>
      <c r="G465" t="s">
        <v>2113</v>
      </c>
      <c r="H465" t="s">
        <v>2125</v>
      </c>
      <c r="I465">
        <v>72.19</v>
      </c>
      <c r="J465">
        <v>72.19</v>
      </c>
      <c r="K465" t="s">
        <v>261</v>
      </c>
      <c r="L465">
        <v>1</v>
      </c>
      <c r="M465">
        <v>2019</v>
      </c>
      <c r="O465" t="str">
        <f t="shared" si="15"/>
        <v>Talhadia</v>
      </c>
      <c r="P465" s="2">
        <v>43518</v>
      </c>
      <c r="Q465" t="s">
        <v>152</v>
      </c>
      <c r="R465" t="s">
        <v>2126</v>
      </c>
      <c r="S465" t="s">
        <v>154</v>
      </c>
      <c r="T465" t="s">
        <v>221</v>
      </c>
      <c r="U465" t="s">
        <v>156</v>
      </c>
      <c r="V465" s="2">
        <v>45735</v>
      </c>
      <c r="W465" t="s">
        <v>2115</v>
      </c>
      <c r="X465">
        <v>332.68</v>
      </c>
      <c r="Y465">
        <v>20</v>
      </c>
      <c r="Z465">
        <v>4</v>
      </c>
      <c r="AA465">
        <v>15</v>
      </c>
      <c r="AB465">
        <v>0</v>
      </c>
      <c r="AC465">
        <v>300</v>
      </c>
      <c r="AD465">
        <v>299.26921507794702</v>
      </c>
      <c r="AE465" s="2">
        <v>45735</v>
      </c>
      <c r="AF465">
        <v>73</v>
      </c>
      <c r="AG465">
        <v>6.06981519507187</v>
      </c>
      <c r="AH465">
        <v>23.8865028590211</v>
      </c>
      <c r="AI465">
        <v>16.633333333333301</v>
      </c>
      <c r="AJ465">
        <v>13.5911216264297</v>
      </c>
      <c r="AK465">
        <v>18</v>
      </c>
      <c r="AL465">
        <v>601.46513884870296</v>
      </c>
      <c r="AM465">
        <v>148.32666394141501</v>
      </c>
      <c r="AN465">
        <v>0.24660891273821001</v>
      </c>
      <c r="AO465" t="s">
        <v>2126</v>
      </c>
      <c r="AP465" t="s">
        <v>264</v>
      </c>
      <c r="AQ465" t="s">
        <v>486</v>
      </c>
      <c r="AR465">
        <v>9.99</v>
      </c>
      <c r="AS465">
        <v>0.60086367370985505</v>
      </c>
      <c r="AT465" t="s">
        <v>2135</v>
      </c>
      <c r="AU465" t="s">
        <v>2134</v>
      </c>
      <c r="AV465">
        <v>1462</v>
      </c>
      <c r="AW465">
        <v>778</v>
      </c>
      <c r="AX465">
        <v>526</v>
      </c>
      <c r="AY465">
        <v>140</v>
      </c>
      <c r="AZ465">
        <v>18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26.960999999999999</v>
      </c>
      <c r="BI465">
        <v>11.626300000000001</v>
      </c>
      <c r="BJ465">
        <v>0</v>
      </c>
      <c r="BK465">
        <v>9.9853729999999992</v>
      </c>
      <c r="BL465">
        <v>99.707678000000001</v>
      </c>
      <c r="BM465">
        <v>0.85886099999999999</v>
      </c>
      <c r="BN465">
        <v>21.263750999999999</v>
      </c>
      <c r="BO465">
        <v>3.1413999999999997E-2</v>
      </c>
      <c r="BP465">
        <v>1.2823070000000001</v>
      </c>
      <c r="BQ465">
        <v>9.3233510000000006</v>
      </c>
      <c r="BR465">
        <v>10.925501000000001</v>
      </c>
      <c r="BS465">
        <v>12.4315</v>
      </c>
      <c r="BT465">
        <v>11.626300000000001</v>
      </c>
      <c r="BU465">
        <v>5.5695649999999999</v>
      </c>
      <c r="BV465">
        <v>0.21184900000000001</v>
      </c>
      <c r="BW465">
        <v>-0.84351699999999996</v>
      </c>
      <c r="BX465">
        <v>0.479049</v>
      </c>
      <c r="BY465">
        <v>3.8037000000000001E-2</v>
      </c>
      <c r="BZ465">
        <v>-0.151451</v>
      </c>
      <c r="CA465">
        <v>5.6100000000000004E-3</v>
      </c>
      <c r="CB465">
        <v>0.04</v>
      </c>
      <c r="CC465">
        <v>8.4099999999999994E-2</v>
      </c>
      <c r="CD465">
        <v>0.39419999999999999</v>
      </c>
      <c r="CE465">
        <v>0.78725000000000001</v>
      </c>
      <c r="CF465">
        <v>1.1009</v>
      </c>
      <c r="CG465">
        <v>3.5314000000000001</v>
      </c>
      <c r="CH465">
        <v>12.4315</v>
      </c>
      <c r="CI465">
        <v>17.378401</v>
      </c>
      <c r="CJ465">
        <v>20.822600999999999</v>
      </c>
      <c r="CK465">
        <v>22.051000999999999</v>
      </c>
      <c r="CL465">
        <v>22.812201000000002</v>
      </c>
      <c r="CM465">
        <v>24.009398999999998</v>
      </c>
      <c r="CN465">
        <v>24.884249000000001</v>
      </c>
      <c r="CO465">
        <v>25.821110000000001</v>
      </c>
      <c r="CP465">
        <v>0.43122700000000003</v>
      </c>
      <c r="CQ465">
        <v>15.323522000000001</v>
      </c>
      <c r="CR465">
        <v>17.188336</v>
      </c>
      <c r="CS465">
        <v>25</v>
      </c>
      <c r="CT465">
        <v>538</v>
      </c>
      <c r="CU465">
        <v>115.816005</v>
      </c>
      <c r="CV465">
        <v>41.285713999999999</v>
      </c>
      <c r="CW465">
        <v>85.721760000000003</v>
      </c>
      <c r="CX465">
        <v>7348.2200590000002</v>
      </c>
      <c r="CY465">
        <v>0.74015500000000001</v>
      </c>
      <c r="CZ465">
        <v>92.75</v>
      </c>
      <c r="DA465">
        <v>1.761334</v>
      </c>
      <c r="DB465">
        <v>6.4025189999999998</v>
      </c>
      <c r="DC465">
        <v>63.301161999999998</v>
      </c>
      <c r="DD465">
        <v>115.816005</v>
      </c>
      <c r="DE465">
        <v>43.229008999999998</v>
      </c>
      <c r="DF465">
        <v>14.596168</v>
      </c>
      <c r="DG465">
        <v>7.5286160000000004</v>
      </c>
      <c r="DH465">
        <v>0.37325599999999998</v>
      </c>
      <c r="DI465">
        <v>0.337648</v>
      </c>
      <c r="DJ465">
        <v>0.17415700000000001</v>
      </c>
      <c r="DK465">
        <v>28</v>
      </c>
      <c r="DL465">
        <v>34</v>
      </c>
      <c r="DM465">
        <v>40</v>
      </c>
      <c r="DN465">
        <v>49</v>
      </c>
      <c r="DO465">
        <v>54</v>
      </c>
      <c r="DP465">
        <v>60</v>
      </c>
      <c r="DQ465">
        <v>74.400024000000002</v>
      </c>
      <c r="DR465">
        <v>91</v>
      </c>
      <c r="DS465">
        <v>108</v>
      </c>
      <c r="DT465">
        <v>131</v>
      </c>
      <c r="DU465">
        <v>146.75</v>
      </c>
      <c r="DV465">
        <v>166</v>
      </c>
      <c r="DW465">
        <v>229.900024</v>
      </c>
      <c r="DX465">
        <v>303.84985399999999</v>
      </c>
      <c r="DY465">
        <v>431.95007299999997</v>
      </c>
      <c r="DZ465">
        <v>78.920308000000006</v>
      </c>
      <c r="EA465">
        <v>60.191518000000002</v>
      </c>
      <c r="EB465">
        <v>113.11054</v>
      </c>
      <c r="EC465">
        <v>614</v>
      </c>
      <c r="ED465">
        <v>880</v>
      </c>
      <c r="EE465">
        <v>71.722364999999996</v>
      </c>
      <c r="EF465">
        <v>100</v>
      </c>
      <c r="EG465">
        <v>51.504787999999998</v>
      </c>
      <c r="EH465">
        <v>99.794802000000004</v>
      </c>
      <c r="EI465">
        <v>96.786631999999997</v>
      </c>
      <c r="EJ465">
        <v>187.53213400000001</v>
      </c>
      <c r="EK465">
        <v>558</v>
      </c>
      <c r="EL465">
        <v>778</v>
      </c>
      <c r="EM465">
        <v>753</v>
      </c>
      <c r="EN465">
        <v>1459</v>
      </c>
      <c r="EO465">
        <v>778</v>
      </c>
      <c r="EP465">
        <v>1462</v>
      </c>
      <c r="EQ465">
        <v>44.021692000000002</v>
      </c>
    </row>
    <row r="466" spans="1:147" x14ac:dyDescent="0.25">
      <c r="A466">
        <v>2025</v>
      </c>
      <c r="B466" t="str">
        <f t="shared" si="14"/>
        <v>RD</v>
      </c>
      <c r="C466" t="s">
        <v>2136</v>
      </c>
      <c r="D466" t="s">
        <v>2136</v>
      </c>
      <c r="E466">
        <v>28534</v>
      </c>
      <c r="F466" t="s">
        <v>2137</v>
      </c>
      <c r="G466" t="s">
        <v>221</v>
      </c>
      <c r="H466" t="s">
        <v>2138</v>
      </c>
      <c r="I466">
        <v>45.63</v>
      </c>
      <c r="J466">
        <v>45.63</v>
      </c>
      <c r="K466" t="s">
        <v>261</v>
      </c>
      <c r="L466">
        <v>1</v>
      </c>
      <c r="M466">
        <v>2021</v>
      </c>
      <c r="O466" t="str">
        <f t="shared" si="15"/>
        <v>Alto fuste</v>
      </c>
      <c r="P466" s="2">
        <v>44302</v>
      </c>
      <c r="Q466" t="s">
        <v>237</v>
      </c>
      <c r="R466" t="s">
        <v>427</v>
      </c>
      <c r="S466" t="s">
        <v>154</v>
      </c>
      <c r="T466" t="s">
        <v>221</v>
      </c>
      <c r="U466" t="s">
        <v>156</v>
      </c>
      <c r="V466" s="2">
        <v>44831</v>
      </c>
      <c r="W466" t="s">
        <v>2139</v>
      </c>
      <c r="X466">
        <v>477.46000000000009</v>
      </c>
      <c r="Y466">
        <v>19.2</v>
      </c>
      <c r="Z466">
        <v>10</v>
      </c>
      <c r="AA466">
        <v>14.7</v>
      </c>
      <c r="AB466">
        <v>1</v>
      </c>
      <c r="AC466">
        <v>282.24</v>
      </c>
      <c r="AD466">
        <v>277.90980675292002</v>
      </c>
      <c r="AE466" s="2">
        <v>45742</v>
      </c>
      <c r="AF466">
        <v>47</v>
      </c>
      <c r="AG466">
        <v>3.9425051334702301</v>
      </c>
      <c r="AH466">
        <v>20.697004152661801</v>
      </c>
      <c r="AI466">
        <v>11.7324324324324</v>
      </c>
      <c r="AJ466">
        <v>15.055232154013</v>
      </c>
      <c r="AK466">
        <v>37</v>
      </c>
      <c r="AL466">
        <v>1331.3671954331401</v>
      </c>
      <c r="AM466">
        <v>158.099224960008</v>
      </c>
      <c r="AN466">
        <v>0.11874952717952</v>
      </c>
      <c r="AO466" t="s">
        <v>427</v>
      </c>
      <c r="AP466" t="s">
        <v>158</v>
      </c>
      <c r="AQ466" t="s">
        <v>166</v>
      </c>
      <c r="AR466">
        <v>7.5</v>
      </c>
      <c r="AS466">
        <v>0.99852539657485218</v>
      </c>
      <c r="AT466" t="s">
        <v>2140</v>
      </c>
      <c r="AU466" t="s">
        <v>2136</v>
      </c>
      <c r="AV466">
        <v>937</v>
      </c>
      <c r="AW466">
        <v>536</v>
      </c>
      <c r="AX466">
        <v>310</v>
      </c>
      <c r="AY466">
        <v>77</v>
      </c>
      <c r="AZ466">
        <v>14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20.968</v>
      </c>
      <c r="BI466">
        <v>12.378612</v>
      </c>
      <c r="BJ466">
        <v>0</v>
      </c>
      <c r="BK466">
        <v>7.5229619999999997</v>
      </c>
      <c r="BL466">
        <v>56.594963999999997</v>
      </c>
      <c r="BM466">
        <v>0.60773900000000003</v>
      </c>
      <c r="BN466">
        <v>12.645</v>
      </c>
      <c r="BO466">
        <v>-0.70158600000000004</v>
      </c>
      <c r="BP466">
        <v>1.8795249999999999</v>
      </c>
      <c r="BQ466">
        <v>6.6015230000000003</v>
      </c>
      <c r="BR466">
        <v>3.6219999999999999</v>
      </c>
      <c r="BS466">
        <v>15.791</v>
      </c>
      <c r="BT466">
        <v>12.378612</v>
      </c>
      <c r="BU466">
        <v>4.0712580000000003</v>
      </c>
      <c r="BV466">
        <v>-0.96259499999999998</v>
      </c>
      <c r="BW466">
        <v>-0.204847</v>
      </c>
      <c r="BX466">
        <v>0.32889499999999999</v>
      </c>
      <c r="BY466">
        <v>-0.23643700000000001</v>
      </c>
      <c r="BZ466">
        <v>-5.0314999999999999E-2</v>
      </c>
      <c r="CA466">
        <v>2E-3</v>
      </c>
      <c r="CB466">
        <v>0.01</v>
      </c>
      <c r="CC466">
        <v>2.8000000000000001E-2</v>
      </c>
      <c r="CD466">
        <v>0.37659900000000002</v>
      </c>
      <c r="CE466">
        <v>6.05</v>
      </c>
      <c r="CF466">
        <v>9.3930000000000007</v>
      </c>
      <c r="CG466">
        <v>12.987</v>
      </c>
      <c r="CH466">
        <v>15.791</v>
      </c>
      <c r="CI466">
        <v>17.489201000000001</v>
      </c>
      <c r="CJ466">
        <v>18.381401</v>
      </c>
      <c r="CK466">
        <v>18.695</v>
      </c>
      <c r="CL466">
        <v>18.938798999999999</v>
      </c>
      <c r="CM466">
        <v>19.509799999999998</v>
      </c>
      <c r="CN466">
        <v>19.8916</v>
      </c>
      <c r="CO466">
        <v>20.468121</v>
      </c>
      <c r="CP466">
        <v>0.59035700000000002</v>
      </c>
      <c r="CQ466">
        <v>14.483252</v>
      </c>
      <c r="CR466">
        <v>15.463794</v>
      </c>
      <c r="CS466">
        <v>22</v>
      </c>
      <c r="CT466">
        <v>458</v>
      </c>
      <c r="CU466">
        <v>108.314835</v>
      </c>
      <c r="CV466">
        <v>35.841270000000002</v>
      </c>
      <c r="CW466">
        <v>69.667295999999993</v>
      </c>
      <c r="CX466">
        <v>4853.5321839999997</v>
      </c>
      <c r="CY466">
        <v>0.64319300000000001</v>
      </c>
      <c r="CZ466">
        <v>90</v>
      </c>
      <c r="DA466">
        <v>1.514964</v>
      </c>
      <c r="DB466">
        <v>6.294645</v>
      </c>
      <c r="DC466">
        <v>53.687561000000002</v>
      </c>
      <c r="DD466">
        <v>108.314835</v>
      </c>
      <c r="DE466">
        <v>36.634273</v>
      </c>
      <c r="DF466">
        <v>9.2433169999999993</v>
      </c>
      <c r="DG466">
        <v>4.4872629999999996</v>
      </c>
      <c r="DH466">
        <v>0.33822000000000002</v>
      </c>
      <c r="DI466">
        <v>0.25231300000000001</v>
      </c>
      <c r="DJ466">
        <v>0.122488</v>
      </c>
      <c r="DK466">
        <v>27</v>
      </c>
      <c r="DL466">
        <v>33</v>
      </c>
      <c r="DM466">
        <v>38</v>
      </c>
      <c r="DN466">
        <v>48</v>
      </c>
      <c r="DO466">
        <v>55</v>
      </c>
      <c r="DP466">
        <v>61</v>
      </c>
      <c r="DQ466">
        <v>74</v>
      </c>
      <c r="DR466">
        <v>92</v>
      </c>
      <c r="DS466">
        <v>109</v>
      </c>
      <c r="DT466">
        <v>134</v>
      </c>
      <c r="DU466">
        <v>145</v>
      </c>
      <c r="DV466">
        <v>159.79998800000001</v>
      </c>
      <c r="DW466">
        <v>194.800049</v>
      </c>
      <c r="DX466">
        <v>230</v>
      </c>
      <c r="DY466">
        <v>350.20007299999997</v>
      </c>
      <c r="DZ466">
        <v>94.589551999999998</v>
      </c>
      <c r="EA466">
        <v>77.481323000000003</v>
      </c>
      <c r="EB466">
        <v>135.44776100000001</v>
      </c>
      <c r="EC466">
        <v>507</v>
      </c>
      <c r="ED466">
        <v>726</v>
      </c>
      <c r="EE466">
        <v>87.126866000000007</v>
      </c>
      <c r="EF466">
        <v>99.813433000000003</v>
      </c>
      <c r="EG466">
        <v>61.686233000000001</v>
      </c>
      <c r="EH466">
        <v>99.573105999999996</v>
      </c>
      <c r="EI466">
        <v>107.835821</v>
      </c>
      <c r="EJ466">
        <v>174.06716399999999</v>
      </c>
      <c r="EK466">
        <v>467</v>
      </c>
      <c r="EL466">
        <v>535</v>
      </c>
      <c r="EM466">
        <v>578</v>
      </c>
      <c r="EN466">
        <v>933</v>
      </c>
      <c r="EO466">
        <v>536</v>
      </c>
      <c r="EP466">
        <v>937</v>
      </c>
      <c r="EQ466">
        <v>59.493806999999997</v>
      </c>
    </row>
    <row r="467" spans="1:147" x14ac:dyDescent="0.25">
      <c r="A467">
        <v>2025</v>
      </c>
      <c r="B467" t="str">
        <f t="shared" si="14"/>
        <v>RD</v>
      </c>
      <c r="C467" t="s">
        <v>2141</v>
      </c>
      <c r="D467" t="s">
        <v>2141</v>
      </c>
      <c r="E467">
        <v>28535</v>
      </c>
      <c r="F467" t="s">
        <v>2137</v>
      </c>
      <c r="G467" t="s">
        <v>221</v>
      </c>
      <c r="H467" t="s">
        <v>2138</v>
      </c>
      <c r="I467">
        <v>45.63</v>
      </c>
      <c r="J467">
        <v>45.63</v>
      </c>
      <c r="K467" t="s">
        <v>261</v>
      </c>
      <c r="L467">
        <v>1</v>
      </c>
      <c r="M467">
        <v>2021</v>
      </c>
      <c r="O467" t="str">
        <f t="shared" si="15"/>
        <v>Alto fuste</v>
      </c>
      <c r="P467" s="2">
        <v>44302</v>
      </c>
      <c r="Q467" t="s">
        <v>237</v>
      </c>
      <c r="R467" t="s">
        <v>427</v>
      </c>
      <c r="S467" t="s">
        <v>154</v>
      </c>
      <c r="T467" t="s">
        <v>221</v>
      </c>
      <c r="U467" t="s">
        <v>156</v>
      </c>
      <c r="V467" s="2">
        <v>45742</v>
      </c>
      <c r="W467" t="s">
        <v>2139</v>
      </c>
      <c r="X467">
        <v>477.46000000000009</v>
      </c>
      <c r="Y467">
        <v>20.2</v>
      </c>
      <c r="Z467">
        <v>1</v>
      </c>
      <c r="AA467">
        <v>14.6</v>
      </c>
      <c r="AB467">
        <v>1</v>
      </c>
      <c r="AC467">
        <v>294.92</v>
      </c>
      <c r="AD467">
        <v>294.83017135223599</v>
      </c>
      <c r="AE467" s="2">
        <v>45742</v>
      </c>
      <c r="AF467">
        <v>47</v>
      </c>
      <c r="AG467">
        <v>3.9425051334702301</v>
      </c>
      <c r="AH467">
        <v>19.963323505026199</v>
      </c>
      <c r="AI467">
        <v>11.8340909090909</v>
      </c>
      <c r="AJ467">
        <v>16.874342859702899</v>
      </c>
      <c r="AK467">
        <v>44</v>
      </c>
      <c r="AL467">
        <v>1492.3845750994301</v>
      </c>
      <c r="AM467">
        <v>164.971643204803</v>
      </c>
      <c r="AN467">
        <v>0.110542313259845</v>
      </c>
      <c r="AO467" t="s">
        <v>427</v>
      </c>
      <c r="AP467" t="s">
        <v>158</v>
      </c>
      <c r="AQ467" t="s">
        <v>166</v>
      </c>
      <c r="AR467">
        <v>7.5</v>
      </c>
      <c r="AS467">
        <v>1.119288431324575</v>
      </c>
      <c r="AT467" t="s">
        <v>2142</v>
      </c>
      <c r="AU467" t="s">
        <v>2141</v>
      </c>
      <c r="AV467">
        <v>1148</v>
      </c>
      <c r="AW467">
        <v>594</v>
      </c>
      <c r="AX467">
        <v>404</v>
      </c>
      <c r="AY467">
        <v>131</v>
      </c>
      <c r="AZ467">
        <v>19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20.577998999999998</v>
      </c>
      <c r="BI467">
        <v>12.734499</v>
      </c>
      <c r="BJ467">
        <v>0</v>
      </c>
      <c r="BK467">
        <v>7.5601640000000003</v>
      </c>
      <c r="BL467">
        <v>57.156084999999997</v>
      </c>
      <c r="BM467">
        <v>0.59367599999999998</v>
      </c>
      <c r="BN467">
        <v>11.67375</v>
      </c>
      <c r="BO467">
        <v>-0.85780000000000001</v>
      </c>
      <c r="BP467">
        <v>2.0374219999999998</v>
      </c>
      <c r="BQ467">
        <v>6.5385799999999996</v>
      </c>
      <c r="BR467">
        <v>2.4140009999999998</v>
      </c>
      <c r="BS467">
        <v>16.993500000000001</v>
      </c>
      <c r="BT467">
        <v>12.734499</v>
      </c>
      <c r="BU467">
        <v>3.9533260000000001</v>
      </c>
      <c r="BV467">
        <v>-1.158874</v>
      </c>
      <c r="BW467">
        <v>-0.110706</v>
      </c>
      <c r="BX467">
        <v>0.310442</v>
      </c>
      <c r="BY467">
        <v>-0.29313899999999998</v>
      </c>
      <c r="BZ467">
        <v>-2.8003E-2</v>
      </c>
      <c r="CA467">
        <v>2.47E-3</v>
      </c>
      <c r="CB467">
        <v>1.0999999999999999E-2</v>
      </c>
      <c r="CC467">
        <v>2.5000000000000001E-2</v>
      </c>
      <c r="CD467">
        <v>0.10780000000000001</v>
      </c>
      <c r="CE467">
        <v>6.8887499999999999</v>
      </c>
      <c r="CF467">
        <v>11.1027</v>
      </c>
      <c r="CG467">
        <v>14.346598999999999</v>
      </c>
      <c r="CH467">
        <v>16.993500000000001</v>
      </c>
      <c r="CI467">
        <v>17.747199999999999</v>
      </c>
      <c r="CJ467">
        <v>18.3309</v>
      </c>
      <c r="CK467">
        <v>18.5625</v>
      </c>
      <c r="CL467">
        <v>18.757000000000001</v>
      </c>
      <c r="CM467">
        <v>19.3339</v>
      </c>
      <c r="CN467">
        <v>19.648250999999998</v>
      </c>
      <c r="CO467">
        <v>20.152059999999999</v>
      </c>
      <c r="CP467">
        <v>0.61883999999999995</v>
      </c>
      <c r="CQ467">
        <v>14.807895</v>
      </c>
      <c r="CR467">
        <v>15.708845999999999</v>
      </c>
      <c r="CS467">
        <v>23</v>
      </c>
      <c r="CT467">
        <v>556</v>
      </c>
      <c r="CU467">
        <v>109.671603</v>
      </c>
      <c r="CV467">
        <v>39.920634999999997</v>
      </c>
      <c r="CW467">
        <v>67.884698999999998</v>
      </c>
      <c r="CX467">
        <v>4608.3323399999999</v>
      </c>
      <c r="CY467">
        <v>0.61898200000000003</v>
      </c>
      <c r="CZ467">
        <v>84</v>
      </c>
      <c r="DA467">
        <v>1.6256630000000001</v>
      </c>
      <c r="DB467">
        <v>7.2207710000000001</v>
      </c>
      <c r="DC467">
        <v>51.402368000000003</v>
      </c>
      <c r="DD467">
        <v>109.671603</v>
      </c>
      <c r="DE467">
        <v>35.454022999999999</v>
      </c>
      <c r="DF467">
        <v>8.8233149999999991</v>
      </c>
      <c r="DG467">
        <v>4.8497510000000004</v>
      </c>
      <c r="DH467">
        <v>0.32327400000000001</v>
      </c>
      <c r="DI467">
        <v>0.248866</v>
      </c>
      <c r="DJ467">
        <v>0.13678999999999999</v>
      </c>
      <c r="DK467">
        <v>28</v>
      </c>
      <c r="DL467">
        <v>36</v>
      </c>
      <c r="DM467">
        <v>42</v>
      </c>
      <c r="DN467">
        <v>53</v>
      </c>
      <c r="DO467">
        <v>58</v>
      </c>
      <c r="DP467">
        <v>64</v>
      </c>
      <c r="DQ467">
        <v>78</v>
      </c>
      <c r="DR467">
        <v>94</v>
      </c>
      <c r="DS467">
        <v>113</v>
      </c>
      <c r="DT467">
        <v>132</v>
      </c>
      <c r="DU467">
        <v>142</v>
      </c>
      <c r="DV467">
        <v>155</v>
      </c>
      <c r="DW467">
        <v>192</v>
      </c>
      <c r="DX467">
        <v>236.650024</v>
      </c>
      <c r="DY467">
        <v>358.59008799999998</v>
      </c>
      <c r="DZ467">
        <v>97.979798000000002</v>
      </c>
      <c r="EA467">
        <v>76.829267999999999</v>
      </c>
      <c r="EB467">
        <v>148.484848</v>
      </c>
      <c r="EC467">
        <v>582</v>
      </c>
      <c r="ED467">
        <v>882</v>
      </c>
      <c r="EE467">
        <v>94.444444000000004</v>
      </c>
      <c r="EF467">
        <v>100</v>
      </c>
      <c r="EG467">
        <v>64.982578000000004</v>
      </c>
      <c r="EH467">
        <v>99.912891999999999</v>
      </c>
      <c r="EI467">
        <v>125.589226</v>
      </c>
      <c r="EJ467">
        <v>193.09764300000001</v>
      </c>
      <c r="EK467">
        <v>561</v>
      </c>
      <c r="EL467">
        <v>594</v>
      </c>
      <c r="EM467">
        <v>746</v>
      </c>
      <c r="EN467">
        <v>1147</v>
      </c>
      <c r="EO467">
        <v>594</v>
      </c>
      <c r="EP467">
        <v>1148</v>
      </c>
      <c r="EQ467">
        <v>62.219276000000001</v>
      </c>
    </row>
    <row r="468" spans="1:147" x14ac:dyDescent="0.25">
      <c r="A468">
        <v>2025</v>
      </c>
      <c r="B468" t="str">
        <f t="shared" si="14"/>
        <v>RD</v>
      </c>
      <c r="C468" t="s">
        <v>2143</v>
      </c>
      <c r="D468" t="s">
        <v>2143</v>
      </c>
      <c r="E468">
        <v>28551</v>
      </c>
      <c r="F468" t="s">
        <v>2137</v>
      </c>
      <c r="G468" t="s">
        <v>221</v>
      </c>
      <c r="H468" t="s">
        <v>2144</v>
      </c>
      <c r="I468">
        <v>54.52</v>
      </c>
      <c r="J468">
        <v>54.52</v>
      </c>
      <c r="K468" t="s">
        <v>261</v>
      </c>
      <c r="L468">
        <v>1</v>
      </c>
      <c r="M468">
        <v>2021</v>
      </c>
      <c r="O468" t="str">
        <f t="shared" si="15"/>
        <v>Alto fuste</v>
      </c>
      <c r="P468" s="2">
        <v>44305</v>
      </c>
      <c r="Q468" t="s">
        <v>237</v>
      </c>
      <c r="R468" t="s">
        <v>367</v>
      </c>
      <c r="S468" t="s">
        <v>154</v>
      </c>
      <c r="T468" t="s">
        <v>221</v>
      </c>
      <c r="U468" t="s">
        <v>156</v>
      </c>
      <c r="V468" s="2">
        <v>45742</v>
      </c>
      <c r="W468" t="s">
        <v>2139</v>
      </c>
      <c r="X468">
        <v>477.46000000000009</v>
      </c>
      <c r="Y468">
        <v>19.2</v>
      </c>
      <c r="Z468">
        <v>14</v>
      </c>
      <c r="AA468">
        <v>15</v>
      </c>
      <c r="AB468">
        <v>0</v>
      </c>
      <c r="AC468">
        <v>288</v>
      </c>
      <c r="AD468">
        <v>279.44516916748699</v>
      </c>
      <c r="AE468" s="2">
        <v>45742</v>
      </c>
      <c r="AF468">
        <v>47</v>
      </c>
      <c r="AG468">
        <v>3.9342915811088299</v>
      </c>
      <c r="AH468">
        <v>20.1413297985635</v>
      </c>
      <c r="AI468">
        <v>10.9485714285714</v>
      </c>
      <c r="AJ468">
        <v>12.442923095811899</v>
      </c>
      <c r="AK468">
        <v>35</v>
      </c>
      <c r="AL468">
        <v>1252.4818412238301</v>
      </c>
      <c r="AM468">
        <v>129.199934273965</v>
      </c>
      <c r="AN468">
        <v>0.103155135684618</v>
      </c>
      <c r="AO468" t="s">
        <v>367</v>
      </c>
      <c r="AP468" t="s">
        <v>158</v>
      </c>
      <c r="AQ468" t="s">
        <v>166</v>
      </c>
      <c r="AR468">
        <v>7.5</v>
      </c>
      <c r="AS468">
        <v>0.93936138091787591</v>
      </c>
      <c r="AT468" t="s">
        <v>2145</v>
      </c>
      <c r="AU468" t="s">
        <v>2143</v>
      </c>
      <c r="AV468">
        <v>957</v>
      </c>
      <c r="AW468">
        <v>511</v>
      </c>
      <c r="AX468">
        <v>318</v>
      </c>
      <c r="AY468">
        <v>102</v>
      </c>
      <c r="AZ468">
        <v>22</v>
      </c>
      <c r="BA468">
        <v>4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20.320999</v>
      </c>
      <c r="BI468">
        <v>11.750968</v>
      </c>
      <c r="BJ468">
        <v>0</v>
      </c>
      <c r="BK468">
        <v>6.5347970000000002</v>
      </c>
      <c r="BL468">
        <v>42.703572000000001</v>
      </c>
      <c r="BM468">
        <v>0.55610700000000002</v>
      </c>
      <c r="BN468">
        <v>8.9179999999999993</v>
      </c>
      <c r="BO468">
        <v>-0.79355100000000001</v>
      </c>
      <c r="BP468">
        <v>2.169419</v>
      </c>
      <c r="BQ468">
        <v>5.5360370000000003</v>
      </c>
      <c r="BR468">
        <v>3.2949999999999999</v>
      </c>
      <c r="BS468">
        <v>14.263999999999999</v>
      </c>
      <c r="BT468">
        <v>11.750968</v>
      </c>
      <c r="BU468">
        <v>3.5511620000000002</v>
      </c>
      <c r="BV468">
        <v>-0.84302100000000002</v>
      </c>
      <c r="BW468">
        <v>4.9778000000000003E-2</v>
      </c>
      <c r="BX468">
        <v>0.30220200000000003</v>
      </c>
      <c r="BY468">
        <v>-0.23739299999999999</v>
      </c>
      <c r="BZ468">
        <v>1.4017E-2</v>
      </c>
      <c r="CA468">
        <v>4.0000000000000001E-3</v>
      </c>
      <c r="CB468">
        <v>0.05</v>
      </c>
      <c r="CC468">
        <v>0.14599999999999999</v>
      </c>
      <c r="CD468">
        <v>2.9094000000000002</v>
      </c>
      <c r="CE468">
        <v>7.9429999999999996</v>
      </c>
      <c r="CF468">
        <v>9.5573999999999995</v>
      </c>
      <c r="CG468">
        <v>12.523999</v>
      </c>
      <c r="CH468">
        <v>14.263999999999999</v>
      </c>
      <c r="CI468">
        <v>15.622</v>
      </c>
      <c r="CJ468">
        <v>16.510999999999999</v>
      </c>
      <c r="CK468">
        <v>16.861000000000001</v>
      </c>
      <c r="CL468">
        <v>17.148201</v>
      </c>
      <c r="CM468">
        <v>18.267199999999999</v>
      </c>
      <c r="CN468">
        <v>18.870000999999998</v>
      </c>
      <c r="CO468">
        <v>19.597560999999999</v>
      </c>
      <c r="CP468">
        <v>0.57826699999999998</v>
      </c>
      <c r="CQ468">
        <v>13.444114000000001</v>
      </c>
      <c r="CR468">
        <v>14.269062</v>
      </c>
      <c r="CS468">
        <v>25</v>
      </c>
      <c r="CT468">
        <v>463</v>
      </c>
      <c r="CU468">
        <v>130.43364700000001</v>
      </c>
      <c r="CV468">
        <v>45.857143000000001</v>
      </c>
      <c r="CW468">
        <v>86.212706999999995</v>
      </c>
      <c r="CX468">
        <v>7432.6307909999996</v>
      </c>
      <c r="CY468">
        <v>0.66096999999999995</v>
      </c>
      <c r="CZ468">
        <v>117</v>
      </c>
      <c r="DA468">
        <v>1.0811139999999999</v>
      </c>
      <c r="DB468">
        <v>3.8069869999999999</v>
      </c>
      <c r="DC468">
        <v>69.453937999999994</v>
      </c>
      <c r="DD468">
        <v>130.43364700000001</v>
      </c>
      <c r="DE468">
        <v>46.787937999999997</v>
      </c>
      <c r="DF468">
        <v>11.192596999999999</v>
      </c>
      <c r="DG468">
        <v>4.1008339999999999</v>
      </c>
      <c r="DH468">
        <v>0.358711</v>
      </c>
      <c r="DI468">
        <v>0.23921999999999999</v>
      </c>
      <c r="DJ468">
        <v>8.7647000000000003E-2</v>
      </c>
      <c r="DK468">
        <v>28</v>
      </c>
      <c r="DL468">
        <v>34</v>
      </c>
      <c r="DM468">
        <v>42</v>
      </c>
      <c r="DN468">
        <v>53</v>
      </c>
      <c r="DO468">
        <v>60</v>
      </c>
      <c r="DP468">
        <v>67</v>
      </c>
      <c r="DQ468">
        <v>85.399994000000007</v>
      </c>
      <c r="DR468">
        <v>109</v>
      </c>
      <c r="DS468">
        <v>132.599976</v>
      </c>
      <c r="DT468">
        <v>164</v>
      </c>
      <c r="DU468">
        <v>177</v>
      </c>
      <c r="DV468">
        <v>199.79998800000001</v>
      </c>
      <c r="DW468">
        <v>252.800049</v>
      </c>
      <c r="DX468">
        <v>298</v>
      </c>
      <c r="DY468">
        <v>394.40002399999997</v>
      </c>
      <c r="DZ468">
        <v>95.107631999999995</v>
      </c>
      <c r="EA468">
        <v>79.937303999999997</v>
      </c>
      <c r="EB468">
        <v>149.706458</v>
      </c>
      <c r="EC468">
        <v>486</v>
      </c>
      <c r="ED468">
        <v>765</v>
      </c>
      <c r="EE468">
        <v>86.692758999999995</v>
      </c>
      <c r="EF468">
        <v>99.804304999999999</v>
      </c>
      <c r="EG468">
        <v>63.009404000000004</v>
      </c>
      <c r="EH468">
        <v>99.895506999999995</v>
      </c>
      <c r="EI468">
        <v>118.00391399999999</v>
      </c>
      <c r="EJ468">
        <v>187.084149</v>
      </c>
      <c r="EK468">
        <v>443</v>
      </c>
      <c r="EL468">
        <v>510</v>
      </c>
      <c r="EM468">
        <v>603</v>
      </c>
      <c r="EN468">
        <v>956</v>
      </c>
      <c r="EO468">
        <v>511</v>
      </c>
      <c r="EP468">
        <v>957</v>
      </c>
      <c r="EQ468">
        <v>58.938481000000003</v>
      </c>
    </row>
    <row r="469" spans="1:147" x14ac:dyDescent="0.25">
      <c r="A469">
        <v>2025</v>
      </c>
      <c r="B469" t="str">
        <f t="shared" si="14"/>
        <v>RD</v>
      </c>
      <c r="C469" t="s">
        <v>2146</v>
      </c>
      <c r="D469" t="s">
        <v>2146</v>
      </c>
      <c r="E469">
        <v>28552</v>
      </c>
      <c r="F469" t="s">
        <v>2137</v>
      </c>
      <c r="G469" t="s">
        <v>221</v>
      </c>
      <c r="H469" t="s">
        <v>2144</v>
      </c>
      <c r="I469">
        <v>54.52</v>
      </c>
      <c r="J469">
        <v>54.52</v>
      </c>
      <c r="K469" t="s">
        <v>261</v>
      </c>
      <c r="L469">
        <v>1</v>
      </c>
      <c r="M469">
        <v>2021</v>
      </c>
      <c r="O469" t="str">
        <f t="shared" si="15"/>
        <v>Alto fuste</v>
      </c>
      <c r="P469" s="2">
        <v>44305</v>
      </c>
      <c r="Q469" t="s">
        <v>237</v>
      </c>
      <c r="R469" t="s">
        <v>367</v>
      </c>
      <c r="S469" t="s">
        <v>154</v>
      </c>
      <c r="T469" t="s">
        <v>221</v>
      </c>
      <c r="U469" t="s">
        <v>156</v>
      </c>
      <c r="V469" s="2">
        <v>44833</v>
      </c>
      <c r="W469" t="s">
        <v>2139</v>
      </c>
      <c r="X469">
        <v>477.46000000000009</v>
      </c>
      <c r="Y469">
        <v>20.9</v>
      </c>
      <c r="Z469">
        <v>28</v>
      </c>
      <c r="AA469">
        <v>15.2</v>
      </c>
      <c r="AB469">
        <v>2</v>
      </c>
      <c r="AC469">
        <v>317.68</v>
      </c>
      <c r="AD469">
        <v>280.32392145128</v>
      </c>
      <c r="AE469" s="2">
        <v>45742</v>
      </c>
      <c r="AF469">
        <v>47</v>
      </c>
      <c r="AG469">
        <v>3.9342915811088299</v>
      </c>
      <c r="AH469">
        <v>19.216453216248802</v>
      </c>
      <c r="AI469">
        <v>10.951282051282</v>
      </c>
      <c r="AJ469">
        <v>13.4625594062317</v>
      </c>
      <c r="AK469">
        <v>39</v>
      </c>
      <c r="AL469">
        <v>1391.2476608521699</v>
      </c>
      <c r="AM469">
        <v>128.15433434624501</v>
      </c>
      <c r="AN469">
        <v>9.2114680910045599E-2</v>
      </c>
      <c r="AO469" t="s">
        <v>367</v>
      </c>
      <c r="AP469" t="s">
        <v>158</v>
      </c>
      <c r="AQ469" t="s">
        <v>166</v>
      </c>
      <c r="AR469">
        <v>7.5</v>
      </c>
      <c r="AS469">
        <v>1.043435745639125</v>
      </c>
      <c r="AT469" t="s">
        <v>2147</v>
      </c>
      <c r="AU469" t="s">
        <v>2146</v>
      </c>
      <c r="AV469">
        <v>999</v>
      </c>
      <c r="AW469">
        <v>552</v>
      </c>
      <c r="AX469">
        <v>297</v>
      </c>
      <c r="AY469">
        <v>130</v>
      </c>
      <c r="AZ469">
        <v>19</v>
      </c>
      <c r="BA469">
        <v>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20.749001</v>
      </c>
      <c r="BI469">
        <v>10.843297</v>
      </c>
      <c r="BJ469">
        <v>0</v>
      </c>
      <c r="BK469">
        <v>6.9876120000000004</v>
      </c>
      <c r="BL469">
        <v>48.826723000000001</v>
      </c>
      <c r="BM469">
        <v>0.64441800000000005</v>
      </c>
      <c r="BN469">
        <v>15.132999999999999</v>
      </c>
      <c r="BO469">
        <v>-0.53021399999999996</v>
      </c>
      <c r="BP469">
        <v>1.742138</v>
      </c>
      <c r="BQ469">
        <v>6.1176000000000004</v>
      </c>
      <c r="BR469">
        <v>4.3099990000000004</v>
      </c>
      <c r="BS469">
        <v>13.247</v>
      </c>
      <c r="BT469">
        <v>10.843297</v>
      </c>
      <c r="BU469">
        <v>3.8733209999999998</v>
      </c>
      <c r="BV469">
        <v>-0.61456100000000002</v>
      </c>
      <c r="BW469">
        <v>-0.19498499999999999</v>
      </c>
      <c r="BX469">
        <v>0.357209</v>
      </c>
      <c r="BY469">
        <v>-0.158665</v>
      </c>
      <c r="BZ469">
        <v>-5.0340999999999997E-2</v>
      </c>
      <c r="CA469">
        <v>2E-3</v>
      </c>
      <c r="CB469">
        <v>1.7899999999999999E-2</v>
      </c>
      <c r="CC469">
        <v>4.1799999999999997E-2</v>
      </c>
      <c r="CD469">
        <v>0.4284</v>
      </c>
      <c r="CE469">
        <v>1.7104999999999999</v>
      </c>
      <c r="CF469">
        <v>7.6816000000000004</v>
      </c>
      <c r="CG469">
        <v>10.704801</v>
      </c>
      <c r="CH469">
        <v>13.247</v>
      </c>
      <c r="CI469">
        <v>15.131</v>
      </c>
      <c r="CJ469">
        <v>16.310801000000001</v>
      </c>
      <c r="CK469">
        <v>16.843499999999999</v>
      </c>
      <c r="CL469">
        <v>17.204799999999999</v>
      </c>
      <c r="CM469">
        <v>18.105799000000001</v>
      </c>
      <c r="CN469">
        <v>19.088698999999998</v>
      </c>
      <c r="CO469">
        <v>20.100801000000001</v>
      </c>
      <c r="CP469">
        <v>0.522594</v>
      </c>
      <c r="CQ469">
        <v>12.897866</v>
      </c>
      <c r="CR469">
        <v>13.891925000000001</v>
      </c>
      <c r="CS469">
        <v>23</v>
      </c>
      <c r="CT469">
        <v>583</v>
      </c>
      <c r="CU469">
        <v>144.67867899999999</v>
      </c>
      <c r="CV469">
        <v>40.777777999999998</v>
      </c>
      <c r="CW469">
        <v>98.386195999999998</v>
      </c>
      <c r="CX469">
        <v>9679.8435430000009</v>
      </c>
      <c r="CY469">
        <v>0.68003199999999997</v>
      </c>
      <c r="CZ469">
        <v>137.5</v>
      </c>
      <c r="DA469">
        <v>1.107245</v>
      </c>
      <c r="DB469">
        <v>4.0815929999999998</v>
      </c>
      <c r="DC469">
        <v>78.763098999999997</v>
      </c>
      <c r="DD469">
        <v>144.67867899999999</v>
      </c>
      <c r="DE469">
        <v>53.370240000000003</v>
      </c>
      <c r="DF469">
        <v>12.154622</v>
      </c>
      <c r="DG469">
        <v>4.9368720000000001</v>
      </c>
      <c r="DH469">
        <v>0.36888799999999999</v>
      </c>
      <c r="DI469">
        <v>0.227742</v>
      </c>
      <c r="DJ469">
        <v>9.2502000000000001E-2</v>
      </c>
      <c r="DK469">
        <v>27</v>
      </c>
      <c r="DL469">
        <v>34</v>
      </c>
      <c r="DM469">
        <v>42</v>
      </c>
      <c r="DN469">
        <v>53.600006</v>
      </c>
      <c r="DO469">
        <v>63</v>
      </c>
      <c r="DP469">
        <v>75.399994000000007</v>
      </c>
      <c r="DQ469">
        <v>96</v>
      </c>
      <c r="DR469">
        <v>122</v>
      </c>
      <c r="DS469">
        <v>153</v>
      </c>
      <c r="DT469">
        <v>183</v>
      </c>
      <c r="DU469">
        <v>200.5</v>
      </c>
      <c r="DV469">
        <v>222.400024</v>
      </c>
      <c r="DW469">
        <v>276.40002399999997</v>
      </c>
      <c r="DX469">
        <v>336</v>
      </c>
      <c r="DY469">
        <v>438.220215</v>
      </c>
      <c r="DZ469">
        <v>93.840580000000003</v>
      </c>
      <c r="EA469">
        <v>74.274274000000005</v>
      </c>
      <c r="EB469">
        <v>134.42028999999999</v>
      </c>
      <c r="EC469">
        <v>518</v>
      </c>
      <c r="ED469">
        <v>742</v>
      </c>
      <c r="EE469">
        <v>85.869564999999994</v>
      </c>
      <c r="EF469">
        <v>100</v>
      </c>
      <c r="EG469">
        <v>59.459459000000003</v>
      </c>
      <c r="EH469">
        <v>99.699700000000007</v>
      </c>
      <c r="EI469">
        <v>107.60869599999999</v>
      </c>
      <c r="EJ469">
        <v>180.43478300000001</v>
      </c>
      <c r="EK469">
        <v>474</v>
      </c>
      <c r="EL469">
        <v>552</v>
      </c>
      <c r="EM469">
        <v>594</v>
      </c>
      <c r="EN469">
        <v>996</v>
      </c>
      <c r="EO469">
        <v>552</v>
      </c>
      <c r="EP469">
        <v>999</v>
      </c>
      <c r="EQ469">
        <v>52.954929999999997</v>
      </c>
    </row>
    <row r="470" spans="1:147" x14ac:dyDescent="0.25">
      <c r="A470">
        <v>2025</v>
      </c>
      <c r="B470" t="str">
        <f t="shared" si="14"/>
        <v>RD</v>
      </c>
      <c r="C470" t="s">
        <v>2148</v>
      </c>
      <c r="D470" t="s">
        <v>2148</v>
      </c>
      <c r="E470">
        <v>28553</v>
      </c>
      <c r="F470" t="s">
        <v>2137</v>
      </c>
      <c r="G470" t="s">
        <v>221</v>
      </c>
      <c r="H470" t="s">
        <v>2144</v>
      </c>
      <c r="I470">
        <v>54.52</v>
      </c>
      <c r="J470">
        <v>54.52</v>
      </c>
      <c r="K470" t="s">
        <v>261</v>
      </c>
      <c r="L470">
        <v>1</v>
      </c>
      <c r="M470">
        <v>2021</v>
      </c>
      <c r="O470" t="str">
        <f t="shared" si="15"/>
        <v>Alto fuste</v>
      </c>
      <c r="P470" s="2">
        <v>44305</v>
      </c>
      <c r="Q470" t="s">
        <v>237</v>
      </c>
      <c r="R470" t="s">
        <v>367</v>
      </c>
      <c r="S470" t="s">
        <v>154</v>
      </c>
      <c r="T470" t="s">
        <v>221</v>
      </c>
      <c r="U470" t="s">
        <v>156</v>
      </c>
      <c r="V470" s="2">
        <v>45742</v>
      </c>
      <c r="W470" t="s">
        <v>2139</v>
      </c>
      <c r="X470">
        <v>477.46000000000009</v>
      </c>
      <c r="Y470">
        <v>19.8</v>
      </c>
      <c r="Z470">
        <v>0</v>
      </c>
      <c r="AA470">
        <v>15.4</v>
      </c>
      <c r="AB470">
        <v>0</v>
      </c>
      <c r="AC470">
        <v>304.92</v>
      </c>
      <c r="AD470">
        <v>304.92</v>
      </c>
      <c r="AE470" s="2">
        <v>45742</v>
      </c>
      <c r="AF470">
        <v>47</v>
      </c>
      <c r="AG470">
        <v>3.9342915811088299</v>
      </c>
      <c r="AH470">
        <v>22.9612951458266</v>
      </c>
      <c r="AI470">
        <v>13.424137931034499</v>
      </c>
      <c r="AJ470">
        <v>14.057498947469799</v>
      </c>
      <c r="AK470">
        <v>29</v>
      </c>
      <c r="AL470">
        <v>951.06913288731505</v>
      </c>
      <c r="AM470">
        <v>160.92148525772299</v>
      </c>
      <c r="AN470">
        <v>0.16920061822339599</v>
      </c>
      <c r="AO470" t="s">
        <v>367</v>
      </c>
      <c r="AP470" t="s">
        <v>158</v>
      </c>
      <c r="AQ470" t="s">
        <v>166</v>
      </c>
      <c r="AR470">
        <v>7.5</v>
      </c>
      <c r="AS470">
        <v>0.71330184966548604</v>
      </c>
      <c r="AT470" t="s">
        <v>2149</v>
      </c>
      <c r="AU470" t="s">
        <v>2148</v>
      </c>
      <c r="AV470">
        <v>1090</v>
      </c>
      <c r="AW470">
        <v>606</v>
      </c>
      <c r="AX470">
        <v>356</v>
      </c>
      <c r="AY470">
        <v>108</v>
      </c>
      <c r="AZ470">
        <v>19</v>
      </c>
      <c r="BA470">
        <v>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24.532</v>
      </c>
      <c r="BI470">
        <v>12.082855</v>
      </c>
      <c r="BJ470">
        <v>0</v>
      </c>
      <c r="BK470">
        <v>8.4631519999999991</v>
      </c>
      <c r="BL470">
        <v>71.624937000000003</v>
      </c>
      <c r="BM470">
        <v>0.70042599999999999</v>
      </c>
      <c r="BN470">
        <v>17.311249</v>
      </c>
      <c r="BO470">
        <v>-0.28450500000000001</v>
      </c>
      <c r="BP470">
        <v>1.4708969999999999</v>
      </c>
      <c r="BQ470">
        <v>7.7185199999999998</v>
      </c>
      <c r="BR470">
        <v>6.3559989999999997</v>
      </c>
      <c r="BS470">
        <v>14.837</v>
      </c>
      <c r="BT470">
        <v>12.082855</v>
      </c>
      <c r="BU470">
        <v>4.7640279999999997</v>
      </c>
      <c r="BV470">
        <v>-0.42092600000000002</v>
      </c>
      <c r="BW470">
        <v>-0.42604399999999998</v>
      </c>
      <c r="BX470">
        <v>0.39428000000000002</v>
      </c>
      <c r="BY470">
        <v>-8.8355000000000003E-2</v>
      </c>
      <c r="BZ470">
        <v>-8.9428999999999995E-2</v>
      </c>
      <c r="CA470">
        <v>3.8899999999999998E-3</v>
      </c>
      <c r="CB470">
        <v>2.445E-2</v>
      </c>
      <c r="CC470">
        <v>9.3799999999999994E-2</v>
      </c>
      <c r="CD470">
        <v>0.94579999999999997</v>
      </c>
      <c r="CE470">
        <v>2.1687500000000002</v>
      </c>
      <c r="CF470">
        <v>4.3952999999999998</v>
      </c>
      <c r="CG470">
        <v>10.6252</v>
      </c>
      <c r="CH470">
        <v>14.837</v>
      </c>
      <c r="CI470">
        <v>17.602399999999999</v>
      </c>
      <c r="CJ470">
        <v>18.9636</v>
      </c>
      <c r="CK470">
        <v>19.48</v>
      </c>
      <c r="CL470">
        <v>20.091000000000001</v>
      </c>
      <c r="CM470">
        <v>21.697199000000001</v>
      </c>
      <c r="CN470">
        <v>22.845251000000001</v>
      </c>
      <c r="CO470">
        <v>23.823969000000002</v>
      </c>
      <c r="CP470">
        <v>0.49253400000000003</v>
      </c>
      <c r="CQ470">
        <v>14.749733000000001</v>
      </c>
      <c r="CR470">
        <v>16.115898000000001</v>
      </c>
      <c r="CS470">
        <v>25</v>
      </c>
      <c r="CT470">
        <v>490</v>
      </c>
      <c r="CU470">
        <v>116.28440399999999</v>
      </c>
      <c r="CV470">
        <v>39.761904999999999</v>
      </c>
      <c r="CW470">
        <v>81.177672000000001</v>
      </c>
      <c r="CX470">
        <v>6589.8143570000002</v>
      </c>
      <c r="CY470">
        <v>0.69809600000000005</v>
      </c>
      <c r="CZ470">
        <v>94</v>
      </c>
      <c r="DA470">
        <v>1.551488</v>
      </c>
      <c r="DB470">
        <v>5.5490880000000002</v>
      </c>
      <c r="DC470">
        <v>61.343338000000003</v>
      </c>
      <c r="DD470">
        <v>116.28440399999999</v>
      </c>
      <c r="DE470">
        <v>41.997315999999998</v>
      </c>
      <c r="DF470">
        <v>12.774755000000001</v>
      </c>
      <c r="DG470">
        <v>6.3471029999999997</v>
      </c>
      <c r="DH470">
        <v>0.36115999999999998</v>
      </c>
      <c r="DI470">
        <v>0.30418000000000001</v>
      </c>
      <c r="DJ470">
        <v>0.15113099999999999</v>
      </c>
      <c r="DK470">
        <v>28.889999</v>
      </c>
      <c r="DL470">
        <v>35</v>
      </c>
      <c r="DM470">
        <v>40</v>
      </c>
      <c r="DN470">
        <v>50</v>
      </c>
      <c r="DO470">
        <v>56</v>
      </c>
      <c r="DP470">
        <v>62</v>
      </c>
      <c r="DQ470">
        <v>76</v>
      </c>
      <c r="DR470">
        <v>93.5</v>
      </c>
      <c r="DS470">
        <v>113</v>
      </c>
      <c r="DT470">
        <v>135.29998800000001</v>
      </c>
      <c r="DU470">
        <v>150</v>
      </c>
      <c r="DV470">
        <v>164</v>
      </c>
      <c r="DW470">
        <v>226</v>
      </c>
      <c r="DX470">
        <v>290.65014600000001</v>
      </c>
      <c r="DY470">
        <v>400.21997099999999</v>
      </c>
      <c r="DZ470">
        <v>89.108911000000006</v>
      </c>
      <c r="EA470">
        <v>73.486238999999998</v>
      </c>
      <c r="EB470">
        <v>132.17821799999999</v>
      </c>
      <c r="EC470">
        <v>540</v>
      </c>
      <c r="ED470">
        <v>801</v>
      </c>
      <c r="EE470">
        <v>79.372936999999993</v>
      </c>
      <c r="EF470">
        <v>100</v>
      </c>
      <c r="EG470">
        <v>57.064219999999999</v>
      </c>
      <c r="EH470">
        <v>99.816513999999998</v>
      </c>
      <c r="EI470">
        <v>102.640264</v>
      </c>
      <c r="EJ470">
        <v>179.53795400000001</v>
      </c>
      <c r="EK470">
        <v>481</v>
      </c>
      <c r="EL470">
        <v>606</v>
      </c>
      <c r="EM470">
        <v>622</v>
      </c>
      <c r="EN470">
        <v>1088</v>
      </c>
      <c r="EO470">
        <v>606</v>
      </c>
      <c r="EP470">
        <v>1090</v>
      </c>
      <c r="EQ470">
        <v>49.705395000000003</v>
      </c>
    </row>
    <row r="471" spans="1:147" x14ac:dyDescent="0.25">
      <c r="A471">
        <v>2025</v>
      </c>
      <c r="B471" t="str">
        <f t="shared" si="14"/>
        <v>RD</v>
      </c>
      <c r="C471" t="s">
        <v>2150</v>
      </c>
      <c r="D471" t="s">
        <v>2150</v>
      </c>
      <c r="E471">
        <v>24458</v>
      </c>
      <c r="F471" t="s">
        <v>2151</v>
      </c>
      <c r="G471" t="s">
        <v>259</v>
      </c>
      <c r="H471" t="s">
        <v>2152</v>
      </c>
      <c r="I471">
        <v>15.81</v>
      </c>
      <c r="J471">
        <v>15.81</v>
      </c>
      <c r="K471" t="s">
        <v>261</v>
      </c>
      <c r="L471">
        <v>1</v>
      </c>
      <c r="M471">
        <v>2016</v>
      </c>
      <c r="O471" t="str">
        <f t="shared" si="15"/>
        <v>Alto fuste</v>
      </c>
      <c r="P471" s="2">
        <v>42531</v>
      </c>
      <c r="Q471" t="s">
        <v>237</v>
      </c>
      <c r="R471" t="s">
        <v>808</v>
      </c>
      <c r="S471" t="s">
        <v>154</v>
      </c>
      <c r="T471" t="s">
        <v>221</v>
      </c>
      <c r="U471" t="s">
        <v>156</v>
      </c>
      <c r="V471" s="2">
        <v>44836</v>
      </c>
      <c r="W471" t="s">
        <v>263</v>
      </c>
      <c r="X471">
        <v>36.6</v>
      </c>
      <c r="Y471">
        <v>20.5</v>
      </c>
      <c r="Z471">
        <v>28</v>
      </c>
      <c r="AA471">
        <v>15.3</v>
      </c>
      <c r="AB471">
        <v>1</v>
      </c>
      <c r="AC471">
        <v>313.64999999999998</v>
      </c>
      <c r="AD471">
        <v>276.89433372797703</v>
      </c>
      <c r="AE471" s="2">
        <v>45735</v>
      </c>
      <c r="AF471">
        <v>105</v>
      </c>
      <c r="AG471">
        <v>8.7720739219712502</v>
      </c>
      <c r="AH471">
        <v>27.492860628927701</v>
      </c>
      <c r="AI471">
        <v>16.746666666666702</v>
      </c>
      <c r="AJ471">
        <v>24.3724617288728</v>
      </c>
      <c r="AK471">
        <v>30</v>
      </c>
      <c r="AL471">
        <v>1083.4457894494999</v>
      </c>
      <c r="AM471">
        <v>322.62316452411898</v>
      </c>
      <c r="AN471">
        <v>0.29777508728705798</v>
      </c>
      <c r="AO471" t="s">
        <v>808</v>
      </c>
      <c r="AP471" t="s">
        <v>158</v>
      </c>
      <c r="AQ471" t="s">
        <v>166</v>
      </c>
      <c r="AR471">
        <v>7.5</v>
      </c>
      <c r="AS471">
        <v>0.81258434208712127</v>
      </c>
      <c r="AT471" t="s">
        <v>2153</v>
      </c>
      <c r="AU471" t="s">
        <v>2150</v>
      </c>
      <c r="AV471">
        <v>1224</v>
      </c>
      <c r="AW471">
        <v>660</v>
      </c>
      <c r="AX471">
        <v>390</v>
      </c>
      <c r="AY471">
        <v>140</v>
      </c>
      <c r="AZ471">
        <v>29</v>
      </c>
      <c r="BA471">
        <v>5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1E-3</v>
      </c>
      <c r="BH471">
        <v>35.436000999999997</v>
      </c>
      <c r="BI471">
        <v>20.228354</v>
      </c>
      <c r="BJ471">
        <v>1E-3</v>
      </c>
      <c r="BK471">
        <v>10.048253000000001</v>
      </c>
      <c r="BL471">
        <v>100.96737899999999</v>
      </c>
      <c r="BM471">
        <v>0.49674099999999999</v>
      </c>
      <c r="BN471">
        <v>13.942500000000001</v>
      </c>
      <c r="BO471">
        <v>-0.84887800000000002</v>
      </c>
      <c r="BP471">
        <v>2.5378370000000001</v>
      </c>
      <c r="BQ471">
        <v>8.3273200000000003</v>
      </c>
      <c r="BR471">
        <v>5.8084980000000002</v>
      </c>
      <c r="BS471">
        <v>23.397499</v>
      </c>
      <c r="BT471">
        <v>20.228354</v>
      </c>
      <c r="BU471">
        <v>5.5032050000000003</v>
      </c>
      <c r="BV471">
        <v>-1.2904230000000001</v>
      </c>
      <c r="BW471">
        <v>0.278528</v>
      </c>
      <c r="BX471">
        <v>0.27205400000000002</v>
      </c>
      <c r="BY471">
        <v>-0.234486</v>
      </c>
      <c r="BZ471">
        <v>5.0611999999999997E-2</v>
      </c>
      <c r="CA471">
        <v>6.0000000000000001E-3</v>
      </c>
      <c r="CB471">
        <v>2.315E-2</v>
      </c>
      <c r="CC471">
        <v>6.0999999999999999E-2</v>
      </c>
      <c r="CD471">
        <v>11.5832</v>
      </c>
      <c r="CE471">
        <v>14.342750000000001</v>
      </c>
      <c r="CF471">
        <v>16.730801</v>
      </c>
      <c r="CG471">
        <v>20.087</v>
      </c>
      <c r="CH471">
        <v>23.398499000000001</v>
      </c>
      <c r="CI471">
        <v>25.857599</v>
      </c>
      <c r="CJ471">
        <v>27.704298000000001</v>
      </c>
      <c r="CK471">
        <v>28.285250000000001</v>
      </c>
      <c r="CL471">
        <v>28.926400999999998</v>
      </c>
      <c r="CM471">
        <v>30.389700000000001</v>
      </c>
      <c r="CN471">
        <v>31.210699000000002</v>
      </c>
      <c r="CO471">
        <v>33.007271000000003</v>
      </c>
      <c r="CP471">
        <v>0.57082999999999995</v>
      </c>
      <c r="CQ471">
        <v>22.584755999999999</v>
      </c>
      <c r="CR471">
        <v>23.833826999999999</v>
      </c>
      <c r="CS471">
        <v>25</v>
      </c>
      <c r="CT471">
        <v>413</v>
      </c>
      <c r="CU471">
        <v>120.107026</v>
      </c>
      <c r="CV471">
        <v>43.476190000000003</v>
      </c>
      <c r="CW471">
        <v>79.271039999999999</v>
      </c>
      <c r="CX471">
        <v>6283.8977759999998</v>
      </c>
      <c r="CY471">
        <v>0.66000300000000001</v>
      </c>
      <c r="CZ471">
        <v>107</v>
      </c>
      <c r="DA471">
        <v>1.120976</v>
      </c>
      <c r="DB471">
        <v>3.8035009999999998</v>
      </c>
      <c r="DC471">
        <v>63.949497000000001</v>
      </c>
      <c r="DD471">
        <v>120.107026</v>
      </c>
      <c r="DE471">
        <v>42.774845999999997</v>
      </c>
      <c r="DF471">
        <v>11.029819</v>
      </c>
      <c r="DG471">
        <v>3.8526389999999999</v>
      </c>
      <c r="DH471">
        <v>0.35613899999999998</v>
      </c>
      <c r="DI471">
        <v>0.25785799999999998</v>
      </c>
      <c r="DJ471">
        <v>9.0067999999999995E-2</v>
      </c>
      <c r="DK471">
        <v>29</v>
      </c>
      <c r="DL471">
        <v>35</v>
      </c>
      <c r="DM471">
        <v>41</v>
      </c>
      <c r="DN471">
        <v>50</v>
      </c>
      <c r="DO471">
        <v>57</v>
      </c>
      <c r="DP471">
        <v>63</v>
      </c>
      <c r="DQ471">
        <v>78</v>
      </c>
      <c r="DR471">
        <v>97</v>
      </c>
      <c r="DS471">
        <v>120</v>
      </c>
      <c r="DT471">
        <v>149.099976</v>
      </c>
      <c r="DU471">
        <v>164</v>
      </c>
      <c r="DV471">
        <v>185</v>
      </c>
      <c r="DW471">
        <v>234.699951</v>
      </c>
      <c r="DX471">
        <v>274</v>
      </c>
      <c r="DY471">
        <v>362.16015599999997</v>
      </c>
      <c r="DZ471">
        <v>95.757576</v>
      </c>
      <c r="EA471">
        <v>87.254902000000001</v>
      </c>
      <c r="EB471">
        <v>161.81818200000001</v>
      </c>
      <c r="EC471">
        <v>632</v>
      </c>
      <c r="ED471">
        <v>1068</v>
      </c>
      <c r="EE471">
        <v>75.909091000000004</v>
      </c>
      <c r="EF471">
        <v>100</v>
      </c>
      <c r="EG471">
        <v>59.803922</v>
      </c>
      <c r="EH471">
        <v>99.836601000000002</v>
      </c>
      <c r="EI471">
        <v>110.909091</v>
      </c>
      <c r="EJ471">
        <v>185.15151499999999</v>
      </c>
      <c r="EK471">
        <v>501</v>
      </c>
      <c r="EL471">
        <v>660</v>
      </c>
      <c r="EM471">
        <v>732</v>
      </c>
      <c r="EN471">
        <v>1222</v>
      </c>
      <c r="EO471">
        <v>660</v>
      </c>
      <c r="EP471">
        <v>1224</v>
      </c>
      <c r="EQ471">
        <v>60.253318</v>
      </c>
    </row>
    <row r="472" spans="1:147" x14ac:dyDescent="0.25">
      <c r="A472">
        <v>2025</v>
      </c>
      <c r="B472" t="str">
        <f t="shared" si="14"/>
        <v>RD</v>
      </c>
      <c r="C472" t="s">
        <v>2154</v>
      </c>
      <c r="D472" t="s">
        <v>2154</v>
      </c>
      <c r="E472">
        <v>27524</v>
      </c>
      <c r="F472" t="s">
        <v>2155</v>
      </c>
      <c r="G472" t="s">
        <v>2156</v>
      </c>
      <c r="H472" t="s">
        <v>2157</v>
      </c>
      <c r="I472">
        <v>75.05</v>
      </c>
      <c r="J472">
        <v>75.05</v>
      </c>
      <c r="K472" t="s">
        <v>261</v>
      </c>
      <c r="L472">
        <v>1</v>
      </c>
      <c r="M472">
        <v>2020</v>
      </c>
      <c r="O472" t="str">
        <f t="shared" si="15"/>
        <v>Talhadia</v>
      </c>
      <c r="P472" s="2">
        <v>43836</v>
      </c>
      <c r="Q472" t="s">
        <v>237</v>
      </c>
      <c r="R472" t="s">
        <v>165</v>
      </c>
      <c r="S472" t="s">
        <v>154</v>
      </c>
      <c r="T472" t="s">
        <v>221</v>
      </c>
      <c r="U472" t="s">
        <v>156</v>
      </c>
      <c r="V472" s="2">
        <v>44837</v>
      </c>
      <c r="W472" t="s">
        <v>2158</v>
      </c>
      <c r="X472">
        <v>176.63</v>
      </c>
      <c r="Y472">
        <v>21</v>
      </c>
      <c r="Z472">
        <v>16</v>
      </c>
      <c r="AA472">
        <v>15.2</v>
      </c>
      <c r="AB472">
        <v>2</v>
      </c>
      <c r="AC472">
        <v>319.2</v>
      </c>
      <c r="AD472">
        <v>306.64781791435598</v>
      </c>
      <c r="AE472" s="2">
        <v>45770</v>
      </c>
      <c r="AF472">
        <v>63</v>
      </c>
      <c r="AG472">
        <v>5.2950034223134796</v>
      </c>
      <c r="AH472">
        <v>24.749779218734702</v>
      </c>
      <c r="AI472">
        <v>14.8545454545455</v>
      </c>
      <c r="AJ472">
        <v>19.006693969513201</v>
      </c>
      <c r="AK472">
        <v>33</v>
      </c>
      <c r="AL472">
        <v>1076.1531004670901</v>
      </c>
      <c r="AM472">
        <v>216.43707183960299</v>
      </c>
      <c r="AN472">
        <v>0.201121078167839</v>
      </c>
      <c r="AO472" t="s">
        <v>165</v>
      </c>
      <c r="AP472" t="s">
        <v>264</v>
      </c>
      <c r="AQ472" t="s">
        <v>166</v>
      </c>
      <c r="AR472">
        <v>7.5</v>
      </c>
      <c r="AS472">
        <v>0.80711482535031298</v>
      </c>
      <c r="AT472" t="s">
        <v>2159</v>
      </c>
      <c r="AU472" t="s">
        <v>2154</v>
      </c>
      <c r="AV472">
        <v>1152</v>
      </c>
      <c r="AW472">
        <v>656</v>
      </c>
      <c r="AX472">
        <v>377</v>
      </c>
      <c r="AY472">
        <v>104</v>
      </c>
      <c r="AZ472">
        <v>15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27.739000000000001</v>
      </c>
      <c r="BI472">
        <v>14.081094999999999</v>
      </c>
      <c r="BJ472">
        <v>0</v>
      </c>
      <c r="BK472">
        <v>9.7482799999999994</v>
      </c>
      <c r="BL472">
        <v>95.028963000000005</v>
      </c>
      <c r="BM472">
        <v>0.69229600000000002</v>
      </c>
      <c r="BN472">
        <v>21.882999000000002</v>
      </c>
      <c r="BO472">
        <v>-0.48412500000000003</v>
      </c>
      <c r="BP472">
        <v>1.5743590000000001</v>
      </c>
      <c r="BQ472">
        <v>8.7916469999999993</v>
      </c>
      <c r="BR472">
        <v>5.4435010000000004</v>
      </c>
      <c r="BS472">
        <v>18.294499999999999</v>
      </c>
      <c r="BT472">
        <v>14.081094999999999</v>
      </c>
      <c r="BU472">
        <v>5.3524050000000001</v>
      </c>
      <c r="BV472">
        <v>-0.76904099999999997</v>
      </c>
      <c r="BW472">
        <v>-0.42376000000000003</v>
      </c>
      <c r="BX472">
        <v>0.38011299999999998</v>
      </c>
      <c r="BY472">
        <v>-0.143681</v>
      </c>
      <c r="BZ472">
        <v>-7.9172000000000006E-2</v>
      </c>
      <c r="CA472">
        <v>2E-3</v>
      </c>
      <c r="CB472">
        <v>1.0999999999999999E-2</v>
      </c>
      <c r="CC472">
        <v>2.4E-2</v>
      </c>
      <c r="CD472">
        <v>7.0999999999999994E-2</v>
      </c>
      <c r="CE472">
        <v>0.26424999999999998</v>
      </c>
      <c r="CF472">
        <v>5.3933</v>
      </c>
      <c r="CG472">
        <v>15.377000000000001</v>
      </c>
      <c r="CH472">
        <v>18.294499999999999</v>
      </c>
      <c r="CI472">
        <v>20.1206</v>
      </c>
      <c r="CJ472">
        <v>21.460899000000001</v>
      </c>
      <c r="CK472">
        <v>22.147248999999999</v>
      </c>
      <c r="CL472">
        <v>22.872799000000001</v>
      </c>
      <c r="CM472">
        <v>24.274899999999999</v>
      </c>
      <c r="CN472">
        <v>25.481345999999998</v>
      </c>
      <c r="CO472">
        <v>26.840309000000001</v>
      </c>
      <c r="CP472">
        <v>0.50762799999999997</v>
      </c>
      <c r="CQ472">
        <v>17.123775999999999</v>
      </c>
      <c r="CR472">
        <v>18.522462000000001</v>
      </c>
      <c r="CS472">
        <v>21</v>
      </c>
      <c r="CT472">
        <v>569</v>
      </c>
      <c r="CU472">
        <v>120.668403</v>
      </c>
      <c r="CV472">
        <v>38.396825</v>
      </c>
      <c r="CW472">
        <v>85.463753999999994</v>
      </c>
      <c r="CX472">
        <v>7304.0532839999996</v>
      </c>
      <c r="CY472">
        <v>0.70825300000000002</v>
      </c>
      <c r="CZ472">
        <v>98</v>
      </c>
      <c r="DA472">
        <v>1.4951509999999999</v>
      </c>
      <c r="DB472">
        <v>5.2535429999999996</v>
      </c>
      <c r="DC472">
        <v>64.980751999999995</v>
      </c>
      <c r="DD472">
        <v>120.668403</v>
      </c>
      <c r="DE472">
        <v>44.422328999999998</v>
      </c>
      <c r="DF472">
        <v>13.370405</v>
      </c>
      <c r="DG472">
        <v>6.5676540000000001</v>
      </c>
      <c r="DH472">
        <v>0.36813600000000002</v>
      </c>
      <c r="DI472">
        <v>0.30098399999999997</v>
      </c>
      <c r="DJ472">
        <v>0.14784600000000001</v>
      </c>
      <c r="DK472">
        <v>27</v>
      </c>
      <c r="DL472">
        <v>33</v>
      </c>
      <c r="DM472">
        <v>40</v>
      </c>
      <c r="DN472">
        <v>51</v>
      </c>
      <c r="DO472">
        <v>59</v>
      </c>
      <c r="DP472">
        <v>63.299987999999999</v>
      </c>
      <c r="DQ472">
        <v>78</v>
      </c>
      <c r="DR472">
        <v>96</v>
      </c>
      <c r="DS472">
        <v>117</v>
      </c>
      <c r="DT472">
        <v>142</v>
      </c>
      <c r="DU472">
        <v>157</v>
      </c>
      <c r="DV472">
        <v>178</v>
      </c>
      <c r="DW472">
        <v>236.900024</v>
      </c>
      <c r="DX472">
        <v>305.69970699999999</v>
      </c>
      <c r="DY472">
        <v>396.95996100000002</v>
      </c>
      <c r="DZ472">
        <v>88.414634000000007</v>
      </c>
      <c r="EA472">
        <v>71.701389000000006</v>
      </c>
      <c r="EB472">
        <v>125.91463400000001</v>
      </c>
      <c r="EC472">
        <v>580</v>
      </c>
      <c r="ED472">
        <v>826</v>
      </c>
      <c r="EE472">
        <v>81.554878000000002</v>
      </c>
      <c r="EF472">
        <v>99.847560999999999</v>
      </c>
      <c r="EG472">
        <v>62.586806000000003</v>
      </c>
      <c r="EH472">
        <v>99.739582999999996</v>
      </c>
      <c r="EI472">
        <v>109.908537</v>
      </c>
      <c r="EJ472">
        <v>175.15243899999999</v>
      </c>
      <c r="EK472">
        <v>535</v>
      </c>
      <c r="EL472">
        <v>655</v>
      </c>
      <c r="EM472">
        <v>721</v>
      </c>
      <c r="EN472">
        <v>1149</v>
      </c>
      <c r="EO472">
        <v>656</v>
      </c>
      <c r="EP472">
        <v>1152</v>
      </c>
      <c r="EQ472">
        <v>51.455953000000001</v>
      </c>
    </row>
    <row r="473" spans="1:147" x14ac:dyDescent="0.25">
      <c r="A473">
        <v>2025</v>
      </c>
      <c r="B473" t="str">
        <f t="shared" si="14"/>
        <v>RD</v>
      </c>
      <c r="C473" t="s">
        <v>2160</v>
      </c>
      <c r="D473" t="s">
        <v>2160</v>
      </c>
      <c r="E473">
        <v>27526</v>
      </c>
      <c r="F473" t="s">
        <v>2155</v>
      </c>
      <c r="G473" t="s">
        <v>2156</v>
      </c>
      <c r="H473" t="s">
        <v>2157</v>
      </c>
      <c r="I473">
        <v>75.05</v>
      </c>
      <c r="J473">
        <v>75.05</v>
      </c>
      <c r="K473" t="s">
        <v>261</v>
      </c>
      <c r="L473">
        <v>1</v>
      </c>
      <c r="M473">
        <v>2020</v>
      </c>
      <c r="O473" t="str">
        <f t="shared" si="15"/>
        <v>Talhadia</v>
      </c>
      <c r="P473" s="2">
        <v>43836</v>
      </c>
      <c r="Q473" t="s">
        <v>237</v>
      </c>
      <c r="R473" t="s">
        <v>165</v>
      </c>
      <c r="S473" t="s">
        <v>154</v>
      </c>
      <c r="T473" t="s">
        <v>221</v>
      </c>
      <c r="U473" t="s">
        <v>156</v>
      </c>
      <c r="V473" s="2">
        <v>44838</v>
      </c>
      <c r="W473" t="s">
        <v>2158</v>
      </c>
      <c r="X473">
        <v>176.63</v>
      </c>
      <c r="Y473">
        <v>19.399999999999999</v>
      </c>
      <c r="Z473">
        <v>12</v>
      </c>
      <c r="AA473">
        <v>15</v>
      </c>
      <c r="AB473">
        <v>1</v>
      </c>
      <c r="AC473">
        <v>291</v>
      </c>
      <c r="AD473">
        <v>284.597599617887</v>
      </c>
      <c r="AE473" s="2">
        <v>45770</v>
      </c>
      <c r="AF473">
        <v>63</v>
      </c>
      <c r="AG473">
        <v>5.2950034223134796</v>
      </c>
      <c r="AH473">
        <v>24.9024688383168</v>
      </c>
      <c r="AI473">
        <v>14.363636363636401</v>
      </c>
      <c r="AJ473">
        <v>19.3101950294405</v>
      </c>
      <c r="AK473">
        <v>33</v>
      </c>
      <c r="AL473">
        <v>1159.5319160916099</v>
      </c>
      <c r="AM473">
        <v>224.21052674780799</v>
      </c>
      <c r="AN473">
        <v>0.19336296279238799</v>
      </c>
      <c r="AO473" t="s">
        <v>165</v>
      </c>
      <c r="AP473" t="s">
        <v>264</v>
      </c>
      <c r="AQ473" t="s">
        <v>166</v>
      </c>
      <c r="AR473">
        <v>7.5</v>
      </c>
      <c r="AS473">
        <v>0.86964893706870383</v>
      </c>
      <c r="AT473" t="s">
        <v>2161</v>
      </c>
      <c r="AU473" t="s">
        <v>2160</v>
      </c>
      <c r="AV473">
        <v>980</v>
      </c>
      <c r="AW473">
        <v>562</v>
      </c>
      <c r="AX473">
        <v>313</v>
      </c>
      <c r="AY473">
        <v>95</v>
      </c>
      <c r="AZ473">
        <v>10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27.716999000000001</v>
      </c>
      <c r="BI473">
        <v>12.416104000000001</v>
      </c>
      <c r="BJ473">
        <v>0</v>
      </c>
      <c r="BK473">
        <v>10.610582000000001</v>
      </c>
      <c r="BL473">
        <v>112.584451</v>
      </c>
      <c r="BM473">
        <v>0.85458199999999995</v>
      </c>
      <c r="BN473">
        <v>22.794250000000002</v>
      </c>
      <c r="BO473">
        <v>-7.9367999999999994E-2</v>
      </c>
      <c r="BP473">
        <v>1.2333700000000001</v>
      </c>
      <c r="BQ473">
        <v>10.081721</v>
      </c>
      <c r="BR473">
        <v>9.798</v>
      </c>
      <c r="BS473">
        <v>14.685499</v>
      </c>
      <c r="BT473">
        <v>12.416104000000001</v>
      </c>
      <c r="BU473">
        <v>5.8535729999999999</v>
      </c>
      <c r="BV473">
        <v>-2.317E-2</v>
      </c>
      <c r="BW473">
        <v>-0.99191300000000004</v>
      </c>
      <c r="BX473">
        <v>0.47144999999999998</v>
      </c>
      <c r="BY473">
        <v>-3.9579999999999997E-3</v>
      </c>
      <c r="BZ473">
        <v>-0.16945399999999999</v>
      </c>
      <c r="CA473">
        <v>1E-3</v>
      </c>
      <c r="CB473">
        <v>7.0000000000000001E-3</v>
      </c>
      <c r="CC473">
        <v>1.2999999999999999E-2</v>
      </c>
      <c r="CD473">
        <v>3.2800000000000003E-2</v>
      </c>
      <c r="CE473">
        <v>4.675E-2</v>
      </c>
      <c r="CF473">
        <v>6.2700000000000006E-2</v>
      </c>
      <c r="CG473">
        <v>6.5225999999999997</v>
      </c>
      <c r="CH473">
        <v>14.685499</v>
      </c>
      <c r="CI473">
        <v>20.058800000000002</v>
      </c>
      <c r="CJ473">
        <v>22.222000000000001</v>
      </c>
      <c r="CK473">
        <v>22.841000000000001</v>
      </c>
      <c r="CL473">
        <v>23.434601000000001</v>
      </c>
      <c r="CM473">
        <v>24.7087</v>
      </c>
      <c r="CN473">
        <v>25.438299000000001</v>
      </c>
      <c r="CO473">
        <v>27.008510999999999</v>
      </c>
      <c r="CP473">
        <v>0.44796000000000002</v>
      </c>
      <c r="CQ473">
        <v>16.328785</v>
      </c>
      <c r="CR473">
        <v>18.179926999999999</v>
      </c>
      <c r="CS473">
        <v>24</v>
      </c>
      <c r="CT473">
        <v>451</v>
      </c>
      <c r="CU473">
        <v>141.091837</v>
      </c>
      <c r="CV473">
        <v>37.555556000000003</v>
      </c>
      <c r="CW473">
        <v>105.83545599999999</v>
      </c>
      <c r="CX473">
        <v>11201.143749999999</v>
      </c>
      <c r="CY473">
        <v>0.75011799999999995</v>
      </c>
      <c r="CZ473">
        <v>129.5</v>
      </c>
      <c r="DA473">
        <v>1.1510039999999999</v>
      </c>
      <c r="DB473">
        <v>3.4150909999999999</v>
      </c>
      <c r="DC473">
        <v>84.142149000000003</v>
      </c>
      <c r="DD473">
        <v>141.091837</v>
      </c>
      <c r="DE473">
        <v>56.440086999999998</v>
      </c>
      <c r="DF473">
        <v>16.494626</v>
      </c>
      <c r="DG473">
        <v>5.8334820000000001</v>
      </c>
      <c r="DH473">
        <v>0.40002399999999999</v>
      </c>
      <c r="DI473">
        <v>0.29225000000000001</v>
      </c>
      <c r="DJ473">
        <v>0.103357</v>
      </c>
      <c r="DK473">
        <v>26.790001</v>
      </c>
      <c r="DL473">
        <v>33</v>
      </c>
      <c r="DM473">
        <v>39</v>
      </c>
      <c r="DN473">
        <v>50</v>
      </c>
      <c r="DO473">
        <v>59</v>
      </c>
      <c r="DP473">
        <v>67.700012000000001</v>
      </c>
      <c r="DQ473">
        <v>83</v>
      </c>
      <c r="DR473">
        <v>108</v>
      </c>
      <c r="DS473">
        <v>136</v>
      </c>
      <c r="DT473">
        <v>169.29998800000001</v>
      </c>
      <c r="DU473">
        <v>188.5</v>
      </c>
      <c r="DV473">
        <v>214</v>
      </c>
      <c r="DW473">
        <v>324.199951</v>
      </c>
      <c r="DX473">
        <v>382.04998799999998</v>
      </c>
      <c r="DY473">
        <v>418.05011000000002</v>
      </c>
      <c r="DZ473">
        <v>79.003558999999996</v>
      </c>
      <c r="EA473">
        <v>63.265306000000002</v>
      </c>
      <c r="EB473">
        <v>110.320285</v>
      </c>
      <c r="EC473">
        <v>444</v>
      </c>
      <c r="ED473">
        <v>620</v>
      </c>
      <c r="EE473">
        <v>70.462632999999997</v>
      </c>
      <c r="EF473">
        <v>99.644127999999995</v>
      </c>
      <c r="EG473">
        <v>51.836734999999997</v>
      </c>
      <c r="EH473">
        <v>99.591836999999998</v>
      </c>
      <c r="EI473">
        <v>90.391458999999998</v>
      </c>
      <c r="EJ473">
        <v>173.66548</v>
      </c>
      <c r="EK473">
        <v>396</v>
      </c>
      <c r="EL473">
        <v>560</v>
      </c>
      <c r="EM473">
        <v>508</v>
      </c>
      <c r="EN473">
        <v>976</v>
      </c>
      <c r="EO473">
        <v>562</v>
      </c>
      <c r="EP473">
        <v>980</v>
      </c>
      <c r="EQ473">
        <v>44.941873000000001</v>
      </c>
    </row>
    <row r="474" spans="1:147" x14ac:dyDescent="0.25">
      <c r="A474">
        <v>2025</v>
      </c>
      <c r="B474" t="str">
        <f t="shared" si="14"/>
        <v>RD</v>
      </c>
      <c r="C474" t="s">
        <v>2162</v>
      </c>
      <c r="D474" t="s">
        <v>2162</v>
      </c>
      <c r="E474">
        <v>26591</v>
      </c>
      <c r="F474" t="s">
        <v>1323</v>
      </c>
      <c r="G474" t="s">
        <v>1324</v>
      </c>
      <c r="H474" t="s">
        <v>2163</v>
      </c>
      <c r="I474">
        <v>48.58</v>
      </c>
      <c r="J474">
        <v>48.58</v>
      </c>
      <c r="K474" t="s">
        <v>261</v>
      </c>
      <c r="L474">
        <v>1</v>
      </c>
      <c r="M474">
        <v>2018</v>
      </c>
      <c r="O474" t="str">
        <f t="shared" si="15"/>
        <v>Alto fuste</v>
      </c>
      <c r="P474" s="2">
        <v>43188</v>
      </c>
      <c r="Q474" t="s">
        <v>237</v>
      </c>
      <c r="R474" t="s">
        <v>367</v>
      </c>
      <c r="S474" t="s">
        <v>154</v>
      </c>
      <c r="T474" t="s">
        <v>221</v>
      </c>
      <c r="U474" t="s">
        <v>156</v>
      </c>
      <c r="V474" s="2">
        <v>45764</v>
      </c>
      <c r="W474" t="s">
        <v>1326</v>
      </c>
      <c r="X474">
        <v>168.91</v>
      </c>
      <c r="Y474">
        <v>19.7</v>
      </c>
      <c r="Z474">
        <v>6</v>
      </c>
      <c r="AA474">
        <v>14.4</v>
      </c>
      <c r="AB474">
        <v>1</v>
      </c>
      <c r="AC474">
        <v>283.68</v>
      </c>
      <c r="AD474">
        <v>282.08300212613801</v>
      </c>
      <c r="AE474" s="2">
        <v>45764</v>
      </c>
      <c r="AF474">
        <v>85</v>
      </c>
      <c r="AG474">
        <v>7.0527036276522903</v>
      </c>
      <c r="AH474">
        <v>25.6486911948653</v>
      </c>
      <c r="AI474">
        <v>15.021875</v>
      </c>
      <c r="AJ474">
        <v>21.177097225452801</v>
      </c>
      <c r="AK474">
        <v>32</v>
      </c>
      <c r="AL474">
        <v>1134.41787554752</v>
      </c>
      <c r="AM474">
        <v>274.05713130462402</v>
      </c>
      <c r="AN474">
        <v>0.24158393235151701</v>
      </c>
      <c r="AO474" t="s">
        <v>367</v>
      </c>
      <c r="AP474" t="s">
        <v>158</v>
      </c>
      <c r="AQ474" t="s">
        <v>166</v>
      </c>
      <c r="AR474">
        <v>7.5</v>
      </c>
      <c r="AS474">
        <v>0.85081340666063976</v>
      </c>
      <c r="AT474" t="s">
        <v>2164</v>
      </c>
      <c r="AU474" t="s">
        <v>2162</v>
      </c>
      <c r="AV474">
        <v>1125</v>
      </c>
      <c r="AW474">
        <v>542</v>
      </c>
      <c r="AX474">
        <v>375</v>
      </c>
      <c r="AY474">
        <v>157</v>
      </c>
      <c r="AZ474">
        <v>45</v>
      </c>
      <c r="BA474">
        <v>6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29.136998999999999</v>
      </c>
      <c r="BI474">
        <v>15.242108</v>
      </c>
      <c r="BJ474">
        <v>0</v>
      </c>
      <c r="BK474">
        <v>10.113706000000001</v>
      </c>
      <c r="BL474">
        <v>102.28705100000001</v>
      </c>
      <c r="BM474">
        <v>0.66353700000000004</v>
      </c>
      <c r="BN474">
        <v>21.477</v>
      </c>
      <c r="BO474">
        <v>-0.43043700000000001</v>
      </c>
      <c r="BP474">
        <v>1.6593530000000001</v>
      </c>
      <c r="BQ474">
        <v>8.9068649999999998</v>
      </c>
      <c r="BR474">
        <v>7.2799990000000001</v>
      </c>
      <c r="BS474">
        <v>18.214001</v>
      </c>
      <c r="BT474">
        <v>15.242108</v>
      </c>
      <c r="BU474">
        <v>5.6696150000000003</v>
      </c>
      <c r="BV474">
        <v>-0.72187999999999997</v>
      </c>
      <c r="BW474">
        <v>-0.36468699999999998</v>
      </c>
      <c r="BX474">
        <v>0.371971</v>
      </c>
      <c r="BY474">
        <v>-0.12732399999999999</v>
      </c>
      <c r="BZ474">
        <v>-6.4323000000000005E-2</v>
      </c>
      <c r="CA474">
        <v>3.0000000000000001E-3</v>
      </c>
      <c r="CB474">
        <v>1.4E-2</v>
      </c>
      <c r="CC474">
        <v>3.3000000000000002E-2</v>
      </c>
      <c r="CD474">
        <v>0.42880000000000001</v>
      </c>
      <c r="CE474">
        <v>3.137</v>
      </c>
      <c r="CF474">
        <v>8.8390000000000004</v>
      </c>
      <c r="CG474">
        <v>14.859400000000001</v>
      </c>
      <c r="CH474">
        <v>18.214001</v>
      </c>
      <c r="CI474">
        <v>20.744599999999998</v>
      </c>
      <c r="CJ474">
        <v>23.207398999999999</v>
      </c>
      <c r="CK474">
        <v>24.614000000000001</v>
      </c>
      <c r="CL474">
        <v>25.135000000000002</v>
      </c>
      <c r="CM474">
        <v>26.643801</v>
      </c>
      <c r="CN474">
        <v>27.215199999999999</v>
      </c>
      <c r="CO474">
        <v>28.427119999999999</v>
      </c>
      <c r="CP474">
        <v>0.523119</v>
      </c>
      <c r="CQ474">
        <v>18.289833000000002</v>
      </c>
      <c r="CR474">
        <v>19.805812</v>
      </c>
      <c r="CS474">
        <v>23</v>
      </c>
      <c r="CT474">
        <v>583</v>
      </c>
      <c r="CU474">
        <v>123.264</v>
      </c>
      <c r="CV474">
        <v>40.777777999999998</v>
      </c>
      <c r="CW474">
        <v>88.124137000000005</v>
      </c>
      <c r="CX474">
        <v>7765.8635160000003</v>
      </c>
      <c r="CY474">
        <v>0.71492199999999995</v>
      </c>
      <c r="CZ474">
        <v>109</v>
      </c>
      <c r="DA474">
        <v>1.5761309999999999</v>
      </c>
      <c r="DB474">
        <v>5.9068569999999996</v>
      </c>
      <c r="DC474">
        <v>67.266730999999993</v>
      </c>
      <c r="DD474">
        <v>123.264</v>
      </c>
      <c r="DE474">
        <v>45.654466999999997</v>
      </c>
      <c r="DF474">
        <v>13.62265</v>
      </c>
      <c r="DG474">
        <v>6.4330600000000002</v>
      </c>
      <c r="DH474">
        <v>0.37037999999999999</v>
      </c>
      <c r="DI474">
        <v>0.29838599999999998</v>
      </c>
      <c r="DJ474">
        <v>0.14090800000000001</v>
      </c>
      <c r="DK474">
        <v>28</v>
      </c>
      <c r="DL474">
        <v>34</v>
      </c>
      <c r="DM474">
        <v>39.400002000000001</v>
      </c>
      <c r="DN474">
        <v>51</v>
      </c>
      <c r="DO474">
        <v>57</v>
      </c>
      <c r="DP474">
        <v>65</v>
      </c>
      <c r="DQ474">
        <v>79</v>
      </c>
      <c r="DR474">
        <v>98</v>
      </c>
      <c r="DS474">
        <v>117</v>
      </c>
      <c r="DT474">
        <v>145</v>
      </c>
      <c r="DU474">
        <v>166</v>
      </c>
      <c r="DV474">
        <v>184</v>
      </c>
      <c r="DW474">
        <v>239.199951</v>
      </c>
      <c r="DX474">
        <v>296.60034200000001</v>
      </c>
      <c r="DY474">
        <v>436</v>
      </c>
      <c r="DZ474">
        <v>93.173432000000005</v>
      </c>
      <c r="EA474">
        <v>75.2</v>
      </c>
      <c r="EB474">
        <v>156.088561</v>
      </c>
      <c r="EC474">
        <v>505</v>
      </c>
      <c r="ED474">
        <v>846</v>
      </c>
      <c r="EE474">
        <v>82.656827000000007</v>
      </c>
      <c r="EF474">
        <v>100</v>
      </c>
      <c r="EG474">
        <v>59.555556000000003</v>
      </c>
      <c r="EH474">
        <v>99.555555999999996</v>
      </c>
      <c r="EI474">
        <v>123.616236</v>
      </c>
      <c r="EJ474">
        <v>206.642066</v>
      </c>
      <c r="EK474">
        <v>448</v>
      </c>
      <c r="EL474">
        <v>542</v>
      </c>
      <c r="EM474">
        <v>670</v>
      </c>
      <c r="EN474">
        <v>1120</v>
      </c>
      <c r="EO474">
        <v>542</v>
      </c>
      <c r="EP474">
        <v>1125</v>
      </c>
      <c r="EQ474">
        <v>52.606808999999998</v>
      </c>
    </row>
    <row r="475" spans="1:147" x14ac:dyDescent="0.25">
      <c r="A475">
        <v>2025</v>
      </c>
      <c r="B475" t="str">
        <f t="shared" si="14"/>
        <v>RD</v>
      </c>
      <c r="C475" t="s">
        <v>2165</v>
      </c>
      <c r="D475" t="s">
        <v>2165</v>
      </c>
      <c r="E475">
        <v>26296</v>
      </c>
      <c r="F475" t="s">
        <v>1323</v>
      </c>
      <c r="G475" t="s">
        <v>1324</v>
      </c>
      <c r="H475" t="s">
        <v>1337</v>
      </c>
      <c r="I475">
        <v>52.9</v>
      </c>
      <c r="J475">
        <v>52.9</v>
      </c>
      <c r="K475" t="s">
        <v>261</v>
      </c>
      <c r="L475">
        <v>1</v>
      </c>
      <c r="M475">
        <v>2018</v>
      </c>
      <c r="O475" t="str">
        <f t="shared" si="15"/>
        <v>Alto fuste</v>
      </c>
      <c r="P475" s="2">
        <v>43182</v>
      </c>
      <c r="Q475" t="s">
        <v>237</v>
      </c>
      <c r="R475" t="s">
        <v>821</v>
      </c>
      <c r="S475" t="s">
        <v>154</v>
      </c>
      <c r="T475" t="s">
        <v>221</v>
      </c>
      <c r="U475" t="s">
        <v>156</v>
      </c>
      <c r="V475" s="2">
        <v>44839</v>
      </c>
      <c r="W475" t="s">
        <v>1326</v>
      </c>
      <c r="X475">
        <v>168.91</v>
      </c>
      <c r="Y475">
        <v>19.7</v>
      </c>
      <c r="Z475">
        <v>22</v>
      </c>
      <c r="AA475">
        <v>15.5</v>
      </c>
      <c r="AB475">
        <v>2</v>
      </c>
      <c r="AC475">
        <v>305.35000000000002</v>
      </c>
      <c r="AD475">
        <v>282.943123624073</v>
      </c>
      <c r="AE475" s="2">
        <v>45769</v>
      </c>
      <c r="AF475">
        <v>85</v>
      </c>
      <c r="AG475">
        <v>7.0828199863107502</v>
      </c>
      <c r="AH475">
        <v>24.717001258889301</v>
      </c>
      <c r="AI475">
        <v>16.1071428571429</v>
      </c>
      <c r="AJ475">
        <v>21.385222662003699</v>
      </c>
      <c r="AK475">
        <v>28</v>
      </c>
      <c r="AL475">
        <v>989.59817935712397</v>
      </c>
      <c r="AM475">
        <v>258.88983687222702</v>
      </c>
      <c r="AN475">
        <v>0.26161106828269498</v>
      </c>
      <c r="AO475" t="s">
        <v>821</v>
      </c>
      <c r="AP475" t="s">
        <v>158</v>
      </c>
      <c r="AQ475" t="s">
        <v>166</v>
      </c>
      <c r="AR475">
        <v>7.5</v>
      </c>
      <c r="AS475">
        <v>0.74219863451784229</v>
      </c>
      <c r="AT475" t="s">
        <v>2166</v>
      </c>
      <c r="AU475" t="s">
        <v>2165</v>
      </c>
      <c r="AV475">
        <v>1076</v>
      </c>
      <c r="AW475">
        <v>623</v>
      </c>
      <c r="AX475">
        <v>335</v>
      </c>
      <c r="AY475">
        <v>100</v>
      </c>
      <c r="AZ475">
        <v>18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28.235001</v>
      </c>
      <c r="BI475">
        <v>14.804894000000001</v>
      </c>
      <c r="BJ475">
        <v>0</v>
      </c>
      <c r="BK475">
        <v>10.488904</v>
      </c>
      <c r="BL475">
        <v>110.017109</v>
      </c>
      <c r="BM475">
        <v>0.70847499999999997</v>
      </c>
      <c r="BN475">
        <v>23.101749000000002</v>
      </c>
      <c r="BO475">
        <v>-0.42518299999999998</v>
      </c>
      <c r="BP475">
        <v>1.451065</v>
      </c>
      <c r="BQ475">
        <v>9.6335979999999992</v>
      </c>
      <c r="BR475">
        <v>5.9165000000000001</v>
      </c>
      <c r="BS475">
        <v>19.728999999999999</v>
      </c>
      <c r="BT475">
        <v>14.804894000000001</v>
      </c>
      <c r="BU475">
        <v>5.7591210000000004</v>
      </c>
      <c r="BV475">
        <v>-0.81737800000000005</v>
      </c>
      <c r="BW475">
        <v>-0.66570600000000002</v>
      </c>
      <c r="BX475">
        <v>0.38900099999999999</v>
      </c>
      <c r="BY475">
        <v>-0.141928</v>
      </c>
      <c r="BZ475">
        <v>-0.115592</v>
      </c>
      <c r="CA475">
        <v>2E-3</v>
      </c>
      <c r="CB475">
        <v>1.6750000000000001E-2</v>
      </c>
      <c r="CC475">
        <v>4.3499999999999997E-2</v>
      </c>
      <c r="CD475">
        <v>0.24</v>
      </c>
      <c r="CE475">
        <v>1.0182500000000001</v>
      </c>
      <c r="CF475">
        <v>3.7835000000000001</v>
      </c>
      <c r="CG475">
        <v>14.916</v>
      </c>
      <c r="CH475">
        <v>19.728999999999999</v>
      </c>
      <c r="CI475">
        <v>21.895</v>
      </c>
      <c r="CJ475">
        <v>23.66</v>
      </c>
      <c r="CK475">
        <v>24.119999</v>
      </c>
      <c r="CL475">
        <v>24.620000999999998</v>
      </c>
      <c r="CM475">
        <v>25.745998</v>
      </c>
      <c r="CN475">
        <v>26.312000000000001</v>
      </c>
      <c r="CO475">
        <v>27.283999999999999</v>
      </c>
      <c r="CP475">
        <v>0.52434499999999995</v>
      </c>
      <c r="CQ475">
        <v>18.141107000000002</v>
      </c>
      <c r="CR475">
        <v>19.692502999999999</v>
      </c>
      <c r="CS475">
        <v>25</v>
      </c>
      <c r="CT475">
        <v>465</v>
      </c>
      <c r="CU475">
        <v>116.909851</v>
      </c>
      <c r="CV475">
        <v>38.968254000000002</v>
      </c>
      <c r="CW475">
        <v>85.737415999999996</v>
      </c>
      <c r="CX475">
        <v>7350.9044240000003</v>
      </c>
      <c r="CY475">
        <v>0.73336299999999999</v>
      </c>
      <c r="CZ475">
        <v>98</v>
      </c>
      <c r="DA475">
        <v>1.580023</v>
      </c>
      <c r="DB475">
        <v>5.3704130000000001</v>
      </c>
      <c r="DC475">
        <v>64.833510000000004</v>
      </c>
      <c r="DD475">
        <v>116.909851</v>
      </c>
      <c r="DE475">
        <v>43.970495</v>
      </c>
      <c r="DF475">
        <v>14.297717</v>
      </c>
      <c r="DG475">
        <v>6.8624239999999999</v>
      </c>
      <c r="DH475">
        <v>0.376106</v>
      </c>
      <c r="DI475">
        <v>0.32516600000000001</v>
      </c>
      <c r="DJ475">
        <v>0.15606900000000001</v>
      </c>
      <c r="DK475">
        <v>27.75</v>
      </c>
      <c r="DL475">
        <v>33</v>
      </c>
      <c r="DM475">
        <v>39</v>
      </c>
      <c r="DN475">
        <v>49</v>
      </c>
      <c r="DO475">
        <v>53</v>
      </c>
      <c r="DP475">
        <v>60</v>
      </c>
      <c r="DQ475">
        <v>74</v>
      </c>
      <c r="DR475">
        <v>91</v>
      </c>
      <c r="DS475">
        <v>108</v>
      </c>
      <c r="DT475">
        <v>137.5</v>
      </c>
      <c r="DU475">
        <v>151</v>
      </c>
      <c r="DV475">
        <v>176</v>
      </c>
      <c r="DW475">
        <v>225.5</v>
      </c>
      <c r="DX475">
        <v>321.25</v>
      </c>
      <c r="DY475">
        <v>408.25</v>
      </c>
      <c r="DZ475">
        <v>88.121989999999997</v>
      </c>
      <c r="EA475">
        <v>70.724907000000002</v>
      </c>
      <c r="EB475">
        <v>122.15088299999999</v>
      </c>
      <c r="EC475">
        <v>549</v>
      </c>
      <c r="ED475">
        <v>761</v>
      </c>
      <c r="EE475">
        <v>81.701445000000007</v>
      </c>
      <c r="EF475">
        <v>100</v>
      </c>
      <c r="EG475">
        <v>60.315984999999998</v>
      </c>
      <c r="EH475">
        <v>99.907062999999994</v>
      </c>
      <c r="EI475">
        <v>104.173355</v>
      </c>
      <c r="EJ475">
        <v>172.552167</v>
      </c>
      <c r="EK475">
        <v>509</v>
      </c>
      <c r="EL475">
        <v>623</v>
      </c>
      <c r="EM475">
        <v>649</v>
      </c>
      <c r="EN475">
        <v>1075</v>
      </c>
      <c r="EO475">
        <v>623</v>
      </c>
      <c r="EP475">
        <v>1076</v>
      </c>
      <c r="EQ475">
        <v>53.261453000000003</v>
      </c>
    </row>
    <row r="476" spans="1:147" x14ac:dyDescent="0.25">
      <c r="A476">
        <v>2025</v>
      </c>
      <c r="B476" t="str">
        <f t="shared" si="14"/>
        <v>RD</v>
      </c>
      <c r="C476" t="s">
        <v>2167</v>
      </c>
      <c r="D476" t="s">
        <v>2167</v>
      </c>
      <c r="E476">
        <v>26297</v>
      </c>
      <c r="F476" t="s">
        <v>1323</v>
      </c>
      <c r="G476" t="s">
        <v>1324</v>
      </c>
      <c r="H476" t="s">
        <v>1337</v>
      </c>
      <c r="I476">
        <v>52.9</v>
      </c>
      <c r="J476">
        <v>52.9</v>
      </c>
      <c r="K476" t="s">
        <v>261</v>
      </c>
      <c r="L476">
        <v>1</v>
      </c>
      <c r="M476">
        <v>2018</v>
      </c>
      <c r="O476" t="str">
        <f t="shared" si="15"/>
        <v>Alto fuste</v>
      </c>
      <c r="P476" s="2">
        <v>43182</v>
      </c>
      <c r="Q476" t="s">
        <v>237</v>
      </c>
      <c r="R476" t="s">
        <v>821</v>
      </c>
      <c r="S476" t="s">
        <v>154</v>
      </c>
      <c r="T476" t="s">
        <v>221</v>
      </c>
      <c r="U476" t="s">
        <v>156</v>
      </c>
      <c r="V476" s="2">
        <v>45769</v>
      </c>
      <c r="W476" t="s">
        <v>1326</v>
      </c>
      <c r="X476">
        <v>168.91</v>
      </c>
      <c r="Y476">
        <v>20.399999999999999</v>
      </c>
      <c r="Z476">
        <v>2</v>
      </c>
      <c r="AA476">
        <v>16.100000000000001</v>
      </c>
      <c r="AB476">
        <v>7</v>
      </c>
      <c r="AC476">
        <v>328.44</v>
      </c>
      <c r="AD476">
        <v>325.79327261316001</v>
      </c>
      <c r="AE476" s="2">
        <v>45769</v>
      </c>
      <c r="AF476">
        <v>85</v>
      </c>
      <c r="AG476">
        <v>7.0828199863107502</v>
      </c>
      <c r="AH476">
        <v>26.4430881878836</v>
      </c>
      <c r="AI476">
        <v>15.8117647058823</v>
      </c>
      <c r="AJ476">
        <v>20.999155187854502</v>
      </c>
      <c r="AK476">
        <v>34</v>
      </c>
      <c r="AL476">
        <v>1043.6065707339201</v>
      </c>
      <c r="AM476">
        <v>268.55107682901303</v>
      </c>
      <c r="AN476">
        <v>0.25732980642327102</v>
      </c>
      <c r="AO476" t="s">
        <v>821</v>
      </c>
      <c r="AP476" t="s">
        <v>158</v>
      </c>
      <c r="AQ476" t="s">
        <v>166</v>
      </c>
      <c r="AR476">
        <v>7.5</v>
      </c>
      <c r="AS476">
        <v>0.78270492805043757</v>
      </c>
      <c r="AT476" t="s">
        <v>2168</v>
      </c>
      <c r="AU476" t="s">
        <v>2167</v>
      </c>
      <c r="AV476">
        <v>1057</v>
      </c>
      <c r="AW476">
        <v>672</v>
      </c>
      <c r="AX476">
        <v>306</v>
      </c>
      <c r="AY476">
        <v>73</v>
      </c>
      <c r="AZ476">
        <v>6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27.974001000000001</v>
      </c>
      <c r="BI476">
        <v>8.3362149999999993</v>
      </c>
      <c r="BJ476">
        <v>0</v>
      </c>
      <c r="BK476">
        <v>10.748246999999999</v>
      </c>
      <c r="BL476">
        <v>115.524811</v>
      </c>
      <c r="BM476">
        <v>1.289344</v>
      </c>
      <c r="BN476">
        <v>19.863999</v>
      </c>
      <c r="BO476">
        <v>0.76543300000000003</v>
      </c>
      <c r="BP476">
        <v>1.783412</v>
      </c>
      <c r="BQ476">
        <v>9.8050909999999991</v>
      </c>
      <c r="BR476">
        <v>0.71099999999999997</v>
      </c>
      <c r="BS476">
        <v>0.72099999999999997</v>
      </c>
      <c r="BT476">
        <v>8.3362149999999993</v>
      </c>
      <c r="BU476">
        <v>5.4859489999999997</v>
      </c>
      <c r="BV476">
        <v>1.902209</v>
      </c>
      <c r="BW476">
        <v>-0.32573400000000002</v>
      </c>
      <c r="BX476">
        <v>0.65808599999999995</v>
      </c>
      <c r="BY476">
        <v>0.34674199999999999</v>
      </c>
      <c r="BZ476">
        <v>-5.9375999999999998E-2</v>
      </c>
      <c r="CA476">
        <v>2E-3</v>
      </c>
      <c r="CB476">
        <v>1.4999999999999999E-2</v>
      </c>
      <c r="CC476">
        <v>2.5999999999999999E-2</v>
      </c>
      <c r="CD476">
        <v>5.1999999999999998E-2</v>
      </c>
      <c r="CE476">
        <v>7.0999999999999994E-2</v>
      </c>
      <c r="CF476">
        <v>9.5000000000000001E-2</v>
      </c>
      <c r="CG476">
        <v>0.1794</v>
      </c>
      <c r="CH476">
        <v>0.72099999999999997</v>
      </c>
      <c r="CI476">
        <v>2.9673959999999999</v>
      </c>
      <c r="CJ476">
        <v>16.948399999999999</v>
      </c>
      <c r="CK476">
        <v>19.934999000000001</v>
      </c>
      <c r="CL476">
        <v>23.097000000000001</v>
      </c>
      <c r="CM476">
        <v>25.8566</v>
      </c>
      <c r="CN476">
        <v>26.692399999999999</v>
      </c>
      <c r="CO476">
        <v>27.575239</v>
      </c>
      <c r="CP476">
        <v>0.29799900000000001</v>
      </c>
      <c r="CQ476">
        <v>13.598088000000001</v>
      </c>
      <c r="CR476">
        <v>16.405293</v>
      </c>
      <c r="CS476">
        <v>24</v>
      </c>
      <c r="CT476">
        <v>628</v>
      </c>
      <c r="CU476">
        <v>200.91674599999999</v>
      </c>
      <c r="CV476">
        <v>33.587302000000001</v>
      </c>
      <c r="CW476">
        <v>146.204722</v>
      </c>
      <c r="CX476">
        <v>21375.82071</v>
      </c>
      <c r="CY476">
        <v>0.727688</v>
      </c>
      <c r="CZ476">
        <v>235</v>
      </c>
      <c r="DA476">
        <v>0.77711799999999998</v>
      </c>
      <c r="DB476">
        <v>2.461014</v>
      </c>
      <c r="DC476">
        <v>123.666132</v>
      </c>
      <c r="DD476">
        <v>200.91674599999999</v>
      </c>
      <c r="DE476">
        <v>80.940224000000001</v>
      </c>
      <c r="DF476">
        <v>18.072996</v>
      </c>
      <c r="DG476">
        <v>3.0952739999999999</v>
      </c>
      <c r="DH476">
        <v>0.40285500000000002</v>
      </c>
      <c r="DI476">
        <v>0.22328799999999999</v>
      </c>
      <c r="DJ476">
        <v>3.8240999999999997E-2</v>
      </c>
      <c r="DK476">
        <v>27</v>
      </c>
      <c r="DL476">
        <v>36</v>
      </c>
      <c r="DM476">
        <v>45</v>
      </c>
      <c r="DN476">
        <v>69</v>
      </c>
      <c r="DO476">
        <v>80</v>
      </c>
      <c r="DP476">
        <v>92.799987999999999</v>
      </c>
      <c r="DQ476">
        <v>121</v>
      </c>
      <c r="DR476">
        <v>153</v>
      </c>
      <c r="DS476">
        <v>196.599976</v>
      </c>
      <c r="DT476">
        <v>268</v>
      </c>
      <c r="DU476">
        <v>315</v>
      </c>
      <c r="DV476">
        <v>348.99993899999998</v>
      </c>
      <c r="DW476">
        <v>430.40002399999997</v>
      </c>
      <c r="DX476">
        <v>480.20001200000002</v>
      </c>
      <c r="DY476">
        <v>560.51953100000003</v>
      </c>
      <c r="DZ476">
        <v>51.190475999999997</v>
      </c>
      <c r="EA476">
        <v>40.018920999999999</v>
      </c>
      <c r="EB476">
        <v>62.946429000000002</v>
      </c>
      <c r="EC476">
        <v>344</v>
      </c>
      <c r="ED476">
        <v>423</v>
      </c>
      <c r="EE476">
        <v>46.279761999999998</v>
      </c>
      <c r="EF476">
        <v>99.851190000000003</v>
      </c>
      <c r="EG476">
        <v>35.856197000000002</v>
      </c>
      <c r="EH476">
        <v>99.621570000000006</v>
      </c>
      <c r="EI476">
        <v>56.398809999999997</v>
      </c>
      <c r="EJ476">
        <v>156.69642899999999</v>
      </c>
      <c r="EK476">
        <v>311</v>
      </c>
      <c r="EL476">
        <v>671</v>
      </c>
      <c r="EM476">
        <v>379</v>
      </c>
      <c r="EN476">
        <v>1053</v>
      </c>
      <c r="EO476">
        <v>672</v>
      </c>
      <c r="EP476">
        <v>1057</v>
      </c>
      <c r="EQ476">
        <v>29.214783000000001</v>
      </c>
    </row>
    <row r="477" spans="1:147" x14ac:dyDescent="0.25">
      <c r="A477">
        <v>2025</v>
      </c>
      <c r="B477" t="str">
        <f t="shared" si="14"/>
        <v>RD</v>
      </c>
      <c r="C477" t="s">
        <v>2169</v>
      </c>
      <c r="D477" t="s">
        <v>2169</v>
      </c>
      <c r="E477">
        <v>26608</v>
      </c>
      <c r="F477" t="s">
        <v>2170</v>
      </c>
      <c r="G477" t="s">
        <v>1324</v>
      </c>
      <c r="H477" t="s">
        <v>2171</v>
      </c>
      <c r="I477">
        <v>37.83</v>
      </c>
      <c r="J477">
        <v>37.83</v>
      </c>
      <c r="K477" t="s">
        <v>261</v>
      </c>
      <c r="L477">
        <v>1</v>
      </c>
      <c r="M477">
        <v>2018</v>
      </c>
      <c r="O477" t="str">
        <f t="shared" si="15"/>
        <v>Talhadia</v>
      </c>
      <c r="P477" s="2">
        <v>43154</v>
      </c>
      <c r="Q477" t="s">
        <v>237</v>
      </c>
      <c r="R477" t="s">
        <v>165</v>
      </c>
      <c r="S477" t="s">
        <v>154</v>
      </c>
      <c r="T477" t="s">
        <v>221</v>
      </c>
      <c r="U477" t="s">
        <v>156</v>
      </c>
      <c r="V477" s="2">
        <v>44840</v>
      </c>
      <c r="W477" t="s">
        <v>1326</v>
      </c>
      <c r="X477">
        <v>145.61000000000001</v>
      </c>
      <c r="Y477">
        <v>19</v>
      </c>
      <c r="Z477">
        <v>11</v>
      </c>
      <c r="AA477">
        <v>15.2</v>
      </c>
      <c r="AB477">
        <v>3</v>
      </c>
      <c r="AC477">
        <v>288.8</v>
      </c>
      <c r="AD477">
        <v>283.105412000537</v>
      </c>
      <c r="AE477" s="2">
        <v>45769</v>
      </c>
      <c r="AF477">
        <v>86</v>
      </c>
      <c r="AG477">
        <v>7.1594798083504401</v>
      </c>
      <c r="AH477">
        <v>25.457792371832401</v>
      </c>
      <c r="AI477">
        <v>15.8774193548387</v>
      </c>
      <c r="AJ477">
        <v>22.776499723888399</v>
      </c>
      <c r="AK477">
        <v>31</v>
      </c>
      <c r="AL477">
        <v>1094.9984947635401</v>
      </c>
      <c r="AM477">
        <v>273.48640646882097</v>
      </c>
      <c r="AN477">
        <v>0.249759618644845</v>
      </c>
      <c r="AO477" t="s">
        <v>165</v>
      </c>
      <c r="AP477" t="s">
        <v>264</v>
      </c>
      <c r="AQ477" t="s">
        <v>166</v>
      </c>
      <c r="AR477">
        <v>7.5</v>
      </c>
      <c r="AS477">
        <v>0.82124887107265532</v>
      </c>
      <c r="AT477" t="s">
        <v>2172</v>
      </c>
      <c r="AU477" t="s">
        <v>2169</v>
      </c>
      <c r="AV477">
        <v>1145</v>
      </c>
      <c r="AW477">
        <v>614</v>
      </c>
      <c r="AX477">
        <v>352</v>
      </c>
      <c r="AY477">
        <v>133</v>
      </c>
      <c r="AZ477">
        <v>44</v>
      </c>
      <c r="BA477">
        <v>2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28.969999000000001</v>
      </c>
      <c r="BI477">
        <v>16.597363999999999</v>
      </c>
      <c r="BJ477">
        <v>0</v>
      </c>
      <c r="BK477">
        <v>9.6083549999999995</v>
      </c>
      <c r="BL477">
        <v>92.320492000000002</v>
      </c>
      <c r="BM477">
        <v>0.57890900000000001</v>
      </c>
      <c r="BN477">
        <v>12.819000000000001</v>
      </c>
      <c r="BO477">
        <v>-0.79727700000000001</v>
      </c>
      <c r="BP477">
        <v>2.1404000000000001</v>
      </c>
      <c r="BQ477">
        <v>8.0886630000000004</v>
      </c>
      <c r="BR477">
        <v>5.1379999999999999</v>
      </c>
      <c r="BS477">
        <v>20.146999000000001</v>
      </c>
      <c r="BT477">
        <v>16.597363999999999</v>
      </c>
      <c r="BU477">
        <v>5.1941839999999999</v>
      </c>
      <c r="BV477">
        <v>-1.196496</v>
      </c>
      <c r="BW477">
        <v>2.9340000000000001E-2</v>
      </c>
      <c r="BX477">
        <v>0.31295200000000001</v>
      </c>
      <c r="BY477">
        <v>-0.230353</v>
      </c>
      <c r="BZ477">
        <v>5.6490000000000004E-3</v>
      </c>
      <c r="CA477">
        <v>4.0000000000000001E-3</v>
      </c>
      <c r="CB477">
        <v>1.4999999999999999E-2</v>
      </c>
      <c r="CC477">
        <v>3.2399999999999998E-2</v>
      </c>
      <c r="CD477">
        <v>0.94140000000000001</v>
      </c>
      <c r="CE477">
        <v>11.361000000000001</v>
      </c>
      <c r="CF477">
        <v>14.309801</v>
      </c>
      <c r="CG477">
        <v>18.063199999999998</v>
      </c>
      <c r="CH477">
        <v>20.146999000000001</v>
      </c>
      <c r="CI477">
        <v>21.805002000000002</v>
      </c>
      <c r="CJ477">
        <v>23.512599999999999</v>
      </c>
      <c r="CK477">
        <v>24.18</v>
      </c>
      <c r="CL477">
        <v>25.106999999999999</v>
      </c>
      <c r="CM477">
        <v>26.252399</v>
      </c>
      <c r="CN477">
        <v>26.824000999999999</v>
      </c>
      <c r="CO477">
        <v>27.942442</v>
      </c>
      <c r="CP477">
        <v>0.57291599999999998</v>
      </c>
      <c r="CQ477">
        <v>19.175827999999999</v>
      </c>
      <c r="CR477">
        <v>20.374863000000001</v>
      </c>
      <c r="CS477">
        <v>23</v>
      </c>
      <c r="CT477">
        <v>561</v>
      </c>
      <c r="CU477">
        <v>130.64803499999999</v>
      </c>
      <c r="CV477">
        <v>48.619047999999999</v>
      </c>
      <c r="CW477">
        <v>97.194559999999996</v>
      </c>
      <c r="CX477">
        <v>9446.7824810000002</v>
      </c>
      <c r="CY477">
        <v>0.74394199999999999</v>
      </c>
      <c r="CZ477">
        <v>109</v>
      </c>
      <c r="DA477">
        <v>1.7157450000000001</v>
      </c>
      <c r="DB477">
        <v>6.4043989999999997</v>
      </c>
      <c r="DC477">
        <v>72.040524000000005</v>
      </c>
      <c r="DD477">
        <v>130.64803499999999</v>
      </c>
      <c r="DE477">
        <v>49.560236000000003</v>
      </c>
      <c r="DF477">
        <v>14.978113</v>
      </c>
      <c r="DG477">
        <v>7.9294560000000001</v>
      </c>
      <c r="DH477">
        <v>0.37934200000000001</v>
      </c>
      <c r="DI477">
        <v>0.30221999999999999</v>
      </c>
      <c r="DJ477">
        <v>0.159996</v>
      </c>
      <c r="DK477">
        <v>26.439999</v>
      </c>
      <c r="DL477">
        <v>33</v>
      </c>
      <c r="DM477">
        <v>40</v>
      </c>
      <c r="DN477">
        <v>52</v>
      </c>
      <c r="DO477">
        <v>58</v>
      </c>
      <c r="DP477">
        <v>66</v>
      </c>
      <c r="DQ477">
        <v>83</v>
      </c>
      <c r="DR477">
        <v>106</v>
      </c>
      <c r="DS477">
        <v>130.400024</v>
      </c>
      <c r="DT477">
        <v>154.79998800000001</v>
      </c>
      <c r="DU477">
        <v>167</v>
      </c>
      <c r="DV477">
        <v>191</v>
      </c>
      <c r="DW477">
        <v>243.599976</v>
      </c>
      <c r="DX477">
        <v>333</v>
      </c>
      <c r="DY477">
        <v>488</v>
      </c>
      <c r="DZ477">
        <v>92.508143000000004</v>
      </c>
      <c r="EA477">
        <v>78.515283999999994</v>
      </c>
      <c r="EB477">
        <v>146.41693799999999</v>
      </c>
      <c r="EC477">
        <v>568</v>
      </c>
      <c r="ED477">
        <v>899</v>
      </c>
      <c r="EE477">
        <v>85.179152999999999</v>
      </c>
      <c r="EF477">
        <v>100</v>
      </c>
      <c r="EG477">
        <v>64.104803000000004</v>
      </c>
      <c r="EH477">
        <v>99.912664000000007</v>
      </c>
      <c r="EI477">
        <v>119.54397400000001</v>
      </c>
      <c r="EJ477">
        <v>186.31921800000001</v>
      </c>
      <c r="EK477">
        <v>523</v>
      </c>
      <c r="EL477">
        <v>614</v>
      </c>
      <c r="EM477">
        <v>734</v>
      </c>
      <c r="EN477">
        <v>1144</v>
      </c>
      <c r="EO477">
        <v>614</v>
      </c>
      <c r="EP477">
        <v>1145</v>
      </c>
      <c r="EQ477">
        <v>58.376705999999999</v>
      </c>
    </row>
    <row r="478" spans="1:147" x14ac:dyDescent="0.25">
      <c r="A478">
        <v>2025</v>
      </c>
      <c r="B478" t="str">
        <f t="shared" si="14"/>
        <v>RD</v>
      </c>
      <c r="C478" t="s">
        <v>2173</v>
      </c>
      <c r="D478" t="s">
        <v>2173</v>
      </c>
      <c r="E478">
        <v>26285</v>
      </c>
      <c r="F478" t="s">
        <v>2170</v>
      </c>
      <c r="G478" t="s">
        <v>1324</v>
      </c>
      <c r="H478" t="s">
        <v>2174</v>
      </c>
      <c r="I478">
        <v>55.98</v>
      </c>
      <c r="J478">
        <v>55.98</v>
      </c>
      <c r="K478" t="s">
        <v>261</v>
      </c>
      <c r="L478">
        <v>1</v>
      </c>
      <c r="M478">
        <v>2018</v>
      </c>
      <c r="O478" t="str">
        <f t="shared" si="15"/>
        <v>Talhadia</v>
      </c>
      <c r="P478" s="2">
        <v>43178</v>
      </c>
      <c r="Q478" t="s">
        <v>798</v>
      </c>
      <c r="R478" t="s">
        <v>660</v>
      </c>
      <c r="S478" t="s">
        <v>154</v>
      </c>
      <c r="T478" t="s">
        <v>221</v>
      </c>
      <c r="U478" t="s">
        <v>156</v>
      </c>
      <c r="V478" s="2">
        <v>45769</v>
      </c>
      <c r="W478" t="s">
        <v>1326</v>
      </c>
      <c r="X478">
        <v>145.61000000000001</v>
      </c>
      <c r="Y478">
        <v>21</v>
      </c>
      <c r="Z478">
        <v>6</v>
      </c>
      <c r="AA478">
        <v>15</v>
      </c>
      <c r="AB478">
        <v>0</v>
      </c>
      <c r="AC478">
        <v>315</v>
      </c>
      <c r="AD478">
        <v>313.27439704100601</v>
      </c>
      <c r="AE478" s="2">
        <v>45769</v>
      </c>
      <c r="AF478">
        <v>85</v>
      </c>
      <c r="AG478">
        <v>7.0937713894592704</v>
      </c>
      <c r="AH478">
        <v>26.869288724520999</v>
      </c>
      <c r="AI478">
        <v>17</v>
      </c>
      <c r="AJ478">
        <v>21.233306228584699</v>
      </c>
      <c r="AK478">
        <v>28</v>
      </c>
      <c r="AL478">
        <v>893.78513738979302</v>
      </c>
      <c r="AM478">
        <v>268.18389309031699</v>
      </c>
      <c r="AN478">
        <v>0.30005409787135201</v>
      </c>
      <c r="AO478" t="s">
        <v>660</v>
      </c>
      <c r="AP478" t="s">
        <v>264</v>
      </c>
      <c r="AQ478" t="s">
        <v>166</v>
      </c>
      <c r="AR478">
        <v>7.5</v>
      </c>
      <c r="AS478">
        <v>0.67033885304234442</v>
      </c>
      <c r="AT478" t="s">
        <v>2175</v>
      </c>
      <c r="AU478" t="s">
        <v>2173</v>
      </c>
      <c r="AV478">
        <v>1282</v>
      </c>
      <c r="AW478">
        <v>711</v>
      </c>
      <c r="AX478">
        <v>410</v>
      </c>
      <c r="AY478">
        <v>127</v>
      </c>
      <c r="AZ478">
        <v>32</v>
      </c>
      <c r="BA478">
        <v>2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30.957999999999998</v>
      </c>
      <c r="BI478">
        <v>14.194236</v>
      </c>
      <c r="BJ478">
        <v>0</v>
      </c>
      <c r="BK478">
        <v>10.376595</v>
      </c>
      <c r="BL478">
        <v>107.673717</v>
      </c>
      <c r="BM478">
        <v>0.731043</v>
      </c>
      <c r="BN478">
        <v>21.775251000000001</v>
      </c>
      <c r="BO478">
        <v>-0.17443600000000001</v>
      </c>
      <c r="BP478">
        <v>1.6217680000000001</v>
      </c>
      <c r="BQ478">
        <v>9.1186190000000007</v>
      </c>
      <c r="BR478">
        <v>8.6735000000000007</v>
      </c>
      <c r="BS478">
        <v>16.377500999999999</v>
      </c>
      <c r="BT478">
        <v>14.194236</v>
      </c>
      <c r="BU478">
        <v>5.8949069999999999</v>
      </c>
      <c r="BV478">
        <v>-0.19134999999999999</v>
      </c>
      <c r="BW478">
        <v>-0.33509499999999998</v>
      </c>
      <c r="BX478">
        <v>0.41530299999999998</v>
      </c>
      <c r="BY478">
        <v>-3.2460000000000003E-2</v>
      </c>
      <c r="BZ478">
        <v>-5.6845E-2</v>
      </c>
      <c r="CA478">
        <v>1E-3</v>
      </c>
      <c r="CB478">
        <v>7.0000000000000001E-3</v>
      </c>
      <c r="CC478">
        <v>1.7999999999999999E-2</v>
      </c>
      <c r="CD478">
        <v>7.3200000000000001E-2</v>
      </c>
      <c r="CE478">
        <v>0.78525</v>
      </c>
      <c r="CF478">
        <v>5.8742979999999996</v>
      </c>
      <c r="CG478">
        <v>12.692603</v>
      </c>
      <c r="CH478">
        <v>16.377500999999999</v>
      </c>
      <c r="CI478">
        <v>19.074400000000001</v>
      </c>
      <c r="CJ478">
        <v>21.249300000000002</v>
      </c>
      <c r="CK478">
        <v>22.560500999999999</v>
      </c>
      <c r="CL478">
        <v>24.045601000000001</v>
      </c>
      <c r="CM478">
        <v>27.6434</v>
      </c>
      <c r="CN478">
        <v>29.009793999999999</v>
      </c>
      <c r="CO478">
        <v>30.294229999999999</v>
      </c>
      <c r="CP478">
        <v>0.45850000000000002</v>
      </c>
      <c r="CQ478">
        <v>17.580273999999999</v>
      </c>
      <c r="CR478">
        <v>19.351281</v>
      </c>
      <c r="CS478">
        <v>23</v>
      </c>
      <c r="CT478">
        <v>544</v>
      </c>
      <c r="CU478">
        <v>130.78471099999999</v>
      </c>
      <c r="CV478">
        <v>47.809524000000003</v>
      </c>
      <c r="CW478">
        <v>111.91237599999999</v>
      </c>
      <c r="CX478">
        <v>12524.37984</v>
      </c>
      <c r="CY478">
        <v>0.85569899999999999</v>
      </c>
      <c r="CZ478">
        <v>109</v>
      </c>
      <c r="DA478">
        <v>1.727042</v>
      </c>
      <c r="DB478">
        <v>5.4381890000000004</v>
      </c>
      <c r="DC478">
        <v>82.246854999999996</v>
      </c>
      <c r="DD478">
        <v>130.78471099999999</v>
      </c>
      <c r="DE478">
        <v>55.408332999999999</v>
      </c>
      <c r="DF478">
        <v>21.227502999999999</v>
      </c>
      <c r="DG478">
        <v>10.311437</v>
      </c>
      <c r="DH478">
        <v>0.42366100000000001</v>
      </c>
      <c r="DI478">
        <v>0.38311000000000001</v>
      </c>
      <c r="DJ478">
        <v>0.18609899999999999</v>
      </c>
      <c r="DK478">
        <v>26</v>
      </c>
      <c r="DL478">
        <v>33</v>
      </c>
      <c r="DM478">
        <v>37</v>
      </c>
      <c r="DN478">
        <v>48</v>
      </c>
      <c r="DO478">
        <v>53</v>
      </c>
      <c r="DP478">
        <v>60</v>
      </c>
      <c r="DQ478">
        <v>73</v>
      </c>
      <c r="DR478">
        <v>91</v>
      </c>
      <c r="DS478">
        <v>116</v>
      </c>
      <c r="DT478">
        <v>148</v>
      </c>
      <c r="DU478">
        <v>162</v>
      </c>
      <c r="DV478">
        <v>182.800049</v>
      </c>
      <c r="DW478">
        <v>307.90002399999997</v>
      </c>
      <c r="DX478">
        <v>417.949951</v>
      </c>
      <c r="DY478">
        <v>499.37988300000001</v>
      </c>
      <c r="DZ478">
        <v>84.247539000000003</v>
      </c>
      <c r="EA478">
        <v>72.542901999999998</v>
      </c>
      <c r="EB478">
        <v>130.80168800000001</v>
      </c>
      <c r="EC478">
        <v>599</v>
      </c>
      <c r="ED478">
        <v>930</v>
      </c>
      <c r="EE478">
        <v>70.182840999999996</v>
      </c>
      <c r="EF478">
        <v>99.859352999999999</v>
      </c>
      <c r="EG478">
        <v>56.396256000000001</v>
      </c>
      <c r="EH478">
        <v>99.453978000000006</v>
      </c>
      <c r="EI478">
        <v>101.687764</v>
      </c>
      <c r="EJ478">
        <v>179.324895</v>
      </c>
      <c r="EK478">
        <v>499</v>
      </c>
      <c r="EL478">
        <v>710</v>
      </c>
      <c r="EM478">
        <v>723</v>
      </c>
      <c r="EN478">
        <v>1275</v>
      </c>
      <c r="EO478">
        <v>711</v>
      </c>
      <c r="EP478">
        <v>1282</v>
      </c>
      <c r="EQ478">
        <v>45.831684000000003</v>
      </c>
    </row>
    <row r="479" spans="1:147" x14ac:dyDescent="0.25">
      <c r="A479">
        <v>2025</v>
      </c>
      <c r="B479" t="str">
        <f t="shared" si="14"/>
        <v>RD</v>
      </c>
      <c r="C479" t="s">
        <v>2176</v>
      </c>
      <c r="D479" t="s">
        <v>2176</v>
      </c>
      <c r="E479">
        <v>26286</v>
      </c>
      <c r="F479" t="s">
        <v>2170</v>
      </c>
      <c r="G479" t="s">
        <v>1324</v>
      </c>
      <c r="H479" t="s">
        <v>2174</v>
      </c>
      <c r="I479">
        <v>55.98</v>
      </c>
      <c r="J479">
        <v>55.98</v>
      </c>
      <c r="K479" t="s">
        <v>261</v>
      </c>
      <c r="L479">
        <v>1</v>
      </c>
      <c r="M479">
        <v>2018</v>
      </c>
      <c r="O479" t="str">
        <f t="shared" si="15"/>
        <v>Talhadia</v>
      </c>
      <c r="P479" s="2">
        <v>43178</v>
      </c>
      <c r="Q479" t="s">
        <v>798</v>
      </c>
      <c r="R479" t="s">
        <v>660</v>
      </c>
      <c r="S479" t="s">
        <v>154</v>
      </c>
      <c r="T479" t="s">
        <v>221</v>
      </c>
      <c r="U479" t="s">
        <v>156</v>
      </c>
      <c r="V479" s="2">
        <v>44841</v>
      </c>
      <c r="W479" t="s">
        <v>1326</v>
      </c>
      <c r="X479">
        <v>145.61000000000001</v>
      </c>
      <c r="Y479">
        <v>19.399999999999999</v>
      </c>
      <c r="Z479">
        <v>20</v>
      </c>
      <c r="AA479">
        <v>14.8</v>
      </c>
      <c r="AB479">
        <v>3</v>
      </c>
      <c r="AC479">
        <v>287.12</v>
      </c>
      <c r="AD479">
        <v>269.43478752768601</v>
      </c>
      <c r="AE479" s="2">
        <v>45769</v>
      </c>
      <c r="AF479">
        <v>85</v>
      </c>
      <c r="AG479">
        <v>7.0937713894592704</v>
      </c>
      <c r="AH479">
        <v>23.530855293273</v>
      </c>
      <c r="AI479">
        <v>14.7896551724138</v>
      </c>
      <c r="AJ479">
        <v>19.369108432322601</v>
      </c>
      <c r="AK479">
        <v>29</v>
      </c>
      <c r="AL479">
        <v>1076.3272354732601</v>
      </c>
      <c r="AM479">
        <v>214.19848570597901</v>
      </c>
      <c r="AN479">
        <v>0.19900870167221599</v>
      </c>
      <c r="AO479" t="s">
        <v>660</v>
      </c>
      <c r="AP479" t="s">
        <v>264</v>
      </c>
      <c r="AQ479" t="s">
        <v>166</v>
      </c>
      <c r="AR479">
        <v>7.5</v>
      </c>
      <c r="AS479">
        <v>0.80724542660494647</v>
      </c>
      <c r="AT479" t="s">
        <v>2177</v>
      </c>
      <c r="AU479" t="s">
        <v>2176</v>
      </c>
      <c r="AV479">
        <v>959</v>
      </c>
      <c r="AW479">
        <v>508</v>
      </c>
      <c r="AX479">
        <v>318</v>
      </c>
      <c r="AY479">
        <v>118</v>
      </c>
      <c r="AZ479">
        <v>12</v>
      </c>
      <c r="BA479">
        <v>3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27.677999</v>
      </c>
      <c r="BI479">
        <v>14.290113</v>
      </c>
      <c r="BJ479">
        <v>0</v>
      </c>
      <c r="BK479">
        <v>9.8013870000000001</v>
      </c>
      <c r="BL479">
        <v>96.067183</v>
      </c>
      <c r="BM479">
        <v>0.685886</v>
      </c>
      <c r="BN479">
        <v>21.028001</v>
      </c>
      <c r="BO479">
        <v>-0.36708499999999999</v>
      </c>
      <c r="BP479">
        <v>1.600338</v>
      </c>
      <c r="BQ479">
        <v>8.6916600000000006</v>
      </c>
      <c r="BR479">
        <v>7.8730010000000004</v>
      </c>
      <c r="BS479">
        <v>16.948999000000001</v>
      </c>
      <c r="BT479">
        <v>14.290113</v>
      </c>
      <c r="BU479">
        <v>5.5134499999999997</v>
      </c>
      <c r="BV479">
        <v>-0.58455800000000002</v>
      </c>
      <c r="BW479">
        <v>-0.41618100000000002</v>
      </c>
      <c r="BX479">
        <v>0.38582300000000003</v>
      </c>
      <c r="BY479">
        <v>-0.10602399999999999</v>
      </c>
      <c r="BZ479">
        <v>-7.5484999999999997E-2</v>
      </c>
      <c r="CA479">
        <v>1E-3</v>
      </c>
      <c r="CB479">
        <v>6.0000000000000001E-3</v>
      </c>
      <c r="CC479">
        <v>1.4800000000000001E-2</v>
      </c>
      <c r="CD479">
        <v>6.5199999999999994E-2</v>
      </c>
      <c r="CE479">
        <v>2.2549999999999999</v>
      </c>
      <c r="CF479">
        <v>7.2362000000000002</v>
      </c>
      <c r="CG479">
        <v>13.723801</v>
      </c>
      <c r="CH479">
        <v>16.948999000000001</v>
      </c>
      <c r="CI479">
        <v>19.936800000000002</v>
      </c>
      <c r="CJ479">
        <v>21.819799</v>
      </c>
      <c r="CK479">
        <v>23.283000999999999</v>
      </c>
      <c r="CL479">
        <v>24.339400999999999</v>
      </c>
      <c r="CM479">
        <v>25.495398999999999</v>
      </c>
      <c r="CN479">
        <v>26.255797999999999</v>
      </c>
      <c r="CO479">
        <v>27.242538</v>
      </c>
      <c r="CP479">
        <v>0.51629899999999995</v>
      </c>
      <c r="CQ479">
        <v>17.32554</v>
      </c>
      <c r="CR479">
        <v>18.839829999999999</v>
      </c>
      <c r="CS479">
        <v>22</v>
      </c>
      <c r="CT479">
        <v>517</v>
      </c>
      <c r="CU479">
        <v>119.101147</v>
      </c>
      <c r="CV479">
        <v>37.714286000000001</v>
      </c>
      <c r="CW479">
        <v>97.715412999999998</v>
      </c>
      <c r="CX479">
        <v>9548.3018670000001</v>
      </c>
      <c r="CY479">
        <v>0.82044099999999998</v>
      </c>
      <c r="CZ479">
        <v>96.5</v>
      </c>
      <c r="DA479">
        <v>1.8648480000000001</v>
      </c>
      <c r="DB479">
        <v>6.3055149999999998</v>
      </c>
      <c r="DC479">
        <v>70.300342999999998</v>
      </c>
      <c r="DD479">
        <v>119.101147</v>
      </c>
      <c r="DE479">
        <v>48.010387999999999</v>
      </c>
      <c r="DF479">
        <v>18.065632000000001</v>
      </c>
      <c r="DG479">
        <v>9.5703490000000002</v>
      </c>
      <c r="DH479">
        <v>0.40310600000000002</v>
      </c>
      <c r="DI479">
        <v>0.37628600000000001</v>
      </c>
      <c r="DJ479">
        <v>0.19933899999999999</v>
      </c>
      <c r="DK479">
        <v>26.58</v>
      </c>
      <c r="DL479">
        <v>32</v>
      </c>
      <c r="DM479">
        <v>37</v>
      </c>
      <c r="DN479">
        <v>47</v>
      </c>
      <c r="DO479">
        <v>51</v>
      </c>
      <c r="DP479">
        <v>58</v>
      </c>
      <c r="DQ479">
        <v>70</v>
      </c>
      <c r="DR479">
        <v>87</v>
      </c>
      <c r="DS479">
        <v>109.799988</v>
      </c>
      <c r="DT479">
        <v>130</v>
      </c>
      <c r="DU479">
        <v>147.5</v>
      </c>
      <c r="DV479">
        <v>167.400024</v>
      </c>
      <c r="DW479">
        <v>240.400024</v>
      </c>
      <c r="DX479">
        <v>364.29992700000003</v>
      </c>
      <c r="DY479">
        <v>455</v>
      </c>
      <c r="DZ479">
        <v>87.795276000000001</v>
      </c>
      <c r="EA479">
        <v>74.556830000000005</v>
      </c>
      <c r="EB479">
        <v>140.748031</v>
      </c>
      <c r="EC479">
        <v>446</v>
      </c>
      <c r="ED479">
        <v>715</v>
      </c>
      <c r="EE479">
        <v>78.543306999999999</v>
      </c>
      <c r="EF479">
        <v>100</v>
      </c>
      <c r="EG479">
        <v>58.289884999999998</v>
      </c>
      <c r="EH479">
        <v>99.791449</v>
      </c>
      <c r="EI479">
        <v>110.03937000000001</v>
      </c>
      <c r="EJ479">
        <v>188.38582700000001</v>
      </c>
      <c r="EK479">
        <v>399</v>
      </c>
      <c r="EL479">
        <v>508</v>
      </c>
      <c r="EM479">
        <v>559</v>
      </c>
      <c r="EN479">
        <v>957</v>
      </c>
      <c r="EO479">
        <v>508</v>
      </c>
      <c r="EP479">
        <v>959</v>
      </c>
      <c r="EQ479">
        <v>51.443314000000001</v>
      </c>
    </row>
    <row r="480" spans="1:147" x14ac:dyDescent="0.25">
      <c r="A480">
        <v>2025</v>
      </c>
      <c r="B480" t="str">
        <f t="shared" si="14"/>
        <v>RD</v>
      </c>
      <c r="C480" t="s">
        <v>2178</v>
      </c>
      <c r="D480" t="s">
        <v>2178</v>
      </c>
      <c r="E480">
        <v>26287</v>
      </c>
      <c r="F480" t="s">
        <v>2170</v>
      </c>
      <c r="G480" t="s">
        <v>1324</v>
      </c>
      <c r="H480" t="s">
        <v>2174</v>
      </c>
      <c r="I480">
        <v>55.98</v>
      </c>
      <c r="J480">
        <v>55.98</v>
      </c>
      <c r="K480" t="s">
        <v>261</v>
      </c>
      <c r="L480">
        <v>1</v>
      </c>
      <c r="M480">
        <v>2018</v>
      </c>
      <c r="O480" t="str">
        <f t="shared" si="15"/>
        <v>Talhadia</v>
      </c>
      <c r="P480" s="2">
        <v>43178</v>
      </c>
      <c r="Q480" t="s">
        <v>798</v>
      </c>
      <c r="R480" t="s">
        <v>660</v>
      </c>
      <c r="S480" t="s">
        <v>154</v>
      </c>
      <c r="T480" t="s">
        <v>221</v>
      </c>
      <c r="U480" t="s">
        <v>156</v>
      </c>
      <c r="V480" s="2">
        <v>45769</v>
      </c>
      <c r="W480" t="s">
        <v>1326</v>
      </c>
      <c r="X480">
        <v>145.61000000000001</v>
      </c>
      <c r="Y480">
        <v>20.399999999999999</v>
      </c>
      <c r="Z480">
        <v>3</v>
      </c>
      <c r="AA480">
        <v>15.2</v>
      </c>
      <c r="AB480">
        <v>3</v>
      </c>
      <c r="AC480">
        <v>310.08</v>
      </c>
      <c r="AD480">
        <v>309.230674657897</v>
      </c>
      <c r="AE480" s="2">
        <v>45769</v>
      </c>
      <c r="AF480">
        <v>85</v>
      </c>
      <c r="AG480">
        <v>7.0937713894592704</v>
      </c>
      <c r="AH480">
        <v>25.9435937010396</v>
      </c>
      <c r="AI480">
        <v>15.8029411764706</v>
      </c>
      <c r="AJ480">
        <v>23.152089414198102</v>
      </c>
      <c r="AK480">
        <v>34</v>
      </c>
      <c r="AL480">
        <v>1099.50282382607</v>
      </c>
      <c r="AM480">
        <v>292.51592018343302</v>
      </c>
      <c r="AN480">
        <v>0.26604380984264298</v>
      </c>
      <c r="AO480" t="s">
        <v>660</v>
      </c>
      <c r="AP480" t="s">
        <v>264</v>
      </c>
      <c r="AQ480" t="s">
        <v>166</v>
      </c>
      <c r="AR480">
        <v>7.5</v>
      </c>
      <c r="AS480">
        <v>0.82462711786955611</v>
      </c>
      <c r="AT480" t="s">
        <v>2179</v>
      </c>
      <c r="AU480" t="s">
        <v>2178</v>
      </c>
      <c r="AV480">
        <v>1319</v>
      </c>
      <c r="AW480">
        <v>699</v>
      </c>
      <c r="AX480">
        <v>410</v>
      </c>
      <c r="AY480">
        <v>163</v>
      </c>
      <c r="AZ480">
        <v>43</v>
      </c>
      <c r="BA480">
        <v>4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30.408999999999999</v>
      </c>
      <c r="BI480">
        <v>15.825118</v>
      </c>
      <c r="BJ480">
        <v>0</v>
      </c>
      <c r="BK480">
        <v>9.9088429999999992</v>
      </c>
      <c r="BL480">
        <v>98.185169000000002</v>
      </c>
      <c r="BM480">
        <v>0.62614700000000001</v>
      </c>
      <c r="BN480">
        <v>16.241</v>
      </c>
      <c r="BO480">
        <v>-0.411829</v>
      </c>
      <c r="BP480">
        <v>1.818578</v>
      </c>
      <c r="BQ480">
        <v>8.5752070000000007</v>
      </c>
      <c r="BR480">
        <v>7.5410000000000004</v>
      </c>
      <c r="BS480">
        <v>18.202000000000002</v>
      </c>
      <c r="BT480">
        <v>15.825118</v>
      </c>
      <c r="BU480">
        <v>5.6135489999999999</v>
      </c>
      <c r="BV480">
        <v>-0.64726399999999995</v>
      </c>
      <c r="BW480">
        <v>-0.149981</v>
      </c>
      <c r="BX480">
        <v>0.35472399999999998</v>
      </c>
      <c r="BY480">
        <v>-0.115304</v>
      </c>
      <c r="BZ480">
        <v>-2.6717999999999999E-2</v>
      </c>
      <c r="CA480">
        <v>1E-3</v>
      </c>
      <c r="CB480">
        <v>8.0000000000000002E-3</v>
      </c>
      <c r="CC480">
        <v>1.9E-2</v>
      </c>
      <c r="CD480">
        <v>3.5242019999999998</v>
      </c>
      <c r="CE480">
        <v>8.3699999999999992</v>
      </c>
      <c r="CF480">
        <v>10.6576</v>
      </c>
      <c r="CG480">
        <v>14.479400999999999</v>
      </c>
      <c r="CH480">
        <v>18.202000000000002</v>
      </c>
      <c r="CI480">
        <v>20.736799000000001</v>
      </c>
      <c r="CJ480">
        <v>23.322199000000001</v>
      </c>
      <c r="CK480">
        <v>24.611000000000001</v>
      </c>
      <c r="CL480">
        <v>25.713602000000002</v>
      </c>
      <c r="CM480">
        <v>27.598400000000002</v>
      </c>
      <c r="CN480">
        <v>28.468499999999999</v>
      </c>
      <c r="CO480">
        <v>29.376397999999998</v>
      </c>
      <c r="CP480">
        <v>0.52040900000000001</v>
      </c>
      <c r="CQ480">
        <v>18.669363000000001</v>
      </c>
      <c r="CR480">
        <v>20.182186999999999</v>
      </c>
      <c r="CS480">
        <v>24</v>
      </c>
      <c r="CT480">
        <v>581</v>
      </c>
      <c r="CU480">
        <v>115.802881</v>
      </c>
      <c r="CV480">
        <v>32.841270000000002</v>
      </c>
      <c r="CW480">
        <v>91.421876999999995</v>
      </c>
      <c r="CX480">
        <v>8357.9595969999991</v>
      </c>
      <c r="CY480">
        <v>0.78946099999999997</v>
      </c>
      <c r="CZ480">
        <v>96.5</v>
      </c>
      <c r="DA480">
        <v>1.801831</v>
      </c>
      <c r="DB480">
        <v>6.458081</v>
      </c>
      <c r="DC480">
        <v>67.676535000000001</v>
      </c>
      <c r="DD480">
        <v>115.802881</v>
      </c>
      <c r="DE480">
        <v>45.644731</v>
      </c>
      <c r="DF480">
        <v>16.523882</v>
      </c>
      <c r="DG480">
        <v>8.1520600000000005</v>
      </c>
      <c r="DH480">
        <v>0.39415899999999998</v>
      </c>
      <c r="DI480">
        <v>0.36201100000000003</v>
      </c>
      <c r="DJ480">
        <v>0.17859800000000001</v>
      </c>
      <c r="DK480">
        <v>27</v>
      </c>
      <c r="DL480">
        <v>32</v>
      </c>
      <c r="DM480">
        <v>37</v>
      </c>
      <c r="DN480">
        <v>47</v>
      </c>
      <c r="DO480">
        <v>52</v>
      </c>
      <c r="DP480">
        <v>58</v>
      </c>
      <c r="DQ480">
        <v>70</v>
      </c>
      <c r="DR480">
        <v>85</v>
      </c>
      <c r="DS480">
        <v>102</v>
      </c>
      <c r="DT480">
        <v>125</v>
      </c>
      <c r="DU480">
        <v>148.5</v>
      </c>
      <c r="DV480">
        <v>172</v>
      </c>
      <c r="DW480">
        <v>241.199951</v>
      </c>
      <c r="DX480">
        <v>306.09997600000003</v>
      </c>
      <c r="DY480">
        <v>444</v>
      </c>
      <c r="DZ480">
        <v>93.705292999999998</v>
      </c>
      <c r="EA480">
        <v>80.212282000000002</v>
      </c>
      <c r="EB480">
        <v>151.359084</v>
      </c>
      <c r="EC480">
        <v>655</v>
      </c>
      <c r="ED480">
        <v>1058</v>
      </c>
      <c r="EE480">
        <v>78.683834000000004</v>
      </c>
      <c r="EF480">
        <v>100</v>
      </c>
      <c r="EG480">
        <v>56.557997999999998</v>
      </c>
      <c r="EH480">
        <v>99.696740000000005</v>
      </c>
      <c r="EI480">
        <v>106.72389099999999</v>
      </c>
      <c r="EJ480">
        <v>188.12589399999999</v>
      </c>
      <c r="EK480">
        <v>550</v>
      </c>
      <c r="EL480">
        <v>699</v>
      </c>
      <c r="EM480">
        <v>746</v>
      </c>
      <c r="EN480">
        <v>1315</v>
      </c>
      <c r="EO480">
        <v>699</v>
      </c>
      <c r="EP480">
        <v>1319</v>
      </c>
      <c r="EQ480">
        <v>52.876562</v>
      </c>
    </row>
    <row r="481" spans="1:147" x14ac:dyDescent="0.25">
      <c r="A481">
        <v>2025</v>
      </c>
      <c r="B481" t="str">
        <f t="shared" si="14"/>
        <v>RD</v>
      </c>
      <c r="C481" t="s">
        <v>2180</v>
      </c>
      <c r="D481" t="s">
        <v>2180</v>
      </c>
      <c r="E481">
        <v>31085</v>
      </c>
      <c r="F481" t="s">
        <v>2170</v>
      </c>
      <c r="G481" t="s">
        <v>1324</v>
      </c>
      <c r="H481" t="s">
        <v>2174</v>
      </c>
      <c r="I481">
        <v>55.98</v>
      </c>
      <c r="J481">
        <v>55.98</v>
      </c>
      <c r="K481" t="s">
        <v>261</v>
      </c>
      <c r="L481">
        <v>1</v>
      </c>
      <c r="M481">
        <v>2018</v>
      </c>
      <c r="O481" t="str">
        <f t="shared" si="15"/>
        <v>Talhadia</v>
      </c>
      <c r="P481" s="2">
        <v>43178</v>
      </c>
      <c r="Q481" t="s">
        <v>798</v>
      </c>
      <c r="R481" t="s">
        <v>660</v>
      </c>
      <c r="S481" t="s">
        <v>154</v>
      </c>
      <c r="T481" t="s">
        <v>221</v>
      </c>
      <c r="U481" t="s">
        <v>156</v>
      </c>
      <c r="V481" s="2">
        <v>44842</v>
      </c>
      <c r="W481" t="s">
        <v>1326</v>
      </c>
      <c r="X481">
        <v>145.61000000000001</v>
      </c>
      <c r="Y481">
        <v>21.3</v>
      </c>
      <c r="Z481">
        <v>17</v>
      </c>
      <c r="AA481">
        <v>15.3</v>
      </c>
      <c r="AB481">
        <v>0</v>
      </c>
      <c r="AC481">
        <v>325.89</v>
      </c>
      <c r="AD481">
        <v>311.65015692079402</v>
      </c>
      <c r="AE481" s="2">
        <v>45769</v>
      </c>
      <c r="AF481">
        <v>85</v>
      </c>
      <c r="AG481">
        <v>7.0937713894592704</v>
      </c>
      <c r="AH481">
        <v>23.564449487472199</v>
      </c>
      <c r="AI481">
        <v>15.5103448275862</v>
      </c>
      <c r="AJ481">
        <v>18.496678165724099</v>
      </c>
      <c r="AK481">
        <v>29</v>
      </c>
      <c r="AL481">
        <v>930.53057590374999</v>
      </c>
      <c r="AM481">
        <v>204.515847746167</v>
      </c>
      <c r="AN481">
        <v>0.21978412428579999</v>
      </c>
      <c r="AO481" t="s">
        <v>660</v>
      </c>
      <c r="AP481" t="s">
        <v>264</v>
      </c>
      <c r="AQ481" t="s">
        <v>166</v>
      </c>
      <c r="AR481">
        <v>7.5</v>
      </c>
      <c r="AS481">
        <v>0.69789793192781124</v>
      </c>
      <c r="AT481" t="s">
        <v>2181</v>
      </c>
      <c r="AU481" t="s">
        <v>2180</v>
      </c>
      <c r="AV481">
        <v>1278</v>
      </c>
      <c r="AW481">
        <v>677</v>
      </c>
      <c r="AX481">
        <v>434</v>
      </c>
      <c r="AY481">
        <v>140</v>
      </c>
      <c r="AZ481">
        <v>25</v>
      </c>
      <c r="BA481">
        <v>2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28.879000000000001</v>
      </c>
      <c r="BI481">
        <v>14.113479</v>
      </c>
      <c r="BJ481">
        <v>0</v>
      </c>
      <c r="BK481">
        <v>9.5219640000000005</v>
      </c>
      <c r="BL481">
        <v>90.667807999999994</v>
      </c>
      <c r="BM481">
        <v>0.67467200000000005</v>
      </c>
      <c r="BN481">
        <v>19.202499</v>
      </c>
      <c r="BO481">
        <v>-0.21307799999999999</v>
      </c>
      <c r="BP481">
        <v>1.6595139999999999</v>
      </c>
      <c r="BQ481">
        <v>8.307817</v>
      </c>
      <c r="BR481">
        <v>8.3945000000000007</v>
      </c>
      <c r="BS481">
        <v>15.9895</v>
      </c>
      <c r="BT481">
        <v>14.113479</v>
      </c>
      <c r="BU481">
        <v>5.4390140000000002</v>
      </c>
      <c r="BV481">
        <v>-0.30772500000000003</v>
      </c>
      <c r="BW481">
        <v>-0.237318</v>
      </c>
      <c r="BX481">
        <v>0.38537700000000003</v>
      </c>
      <c r="BY481">
        <v>-5.6577000000000002E-2</v>
      </c>
      <c r="BZ481">
        <v>-4.3632999999999998E-2</v>
      </c>
      <c r="CA481">
        <v>3.7699999999999999E-3</v>
      </c>
      <c r="CB481">
        <v>2.6849999999999999E-2</v>
      </c>
      <c r="CC481">
        <v>9.01E-2</v>
      </c>
      <c r="CD481">
        <v>1.7228000000000001</v>
      </c>
      <c r="CE481">
        <v>3.33</v>
      </c>
      <c r="CF481">
        <v>7.6161009999999996</v>
      </c>
      <c r="CG481">
        <v>12.510199999999999</v>
      </c>
      <c r="CH481">
        <v>15.9895</v>
      </c>
      <c r="CI481">
        <v>18.074200000000001</v>
      </c>
      <c r="CJ481">
        <v>20.623401999999999</v>
      </c>
      <c r="CK481">
        <v>22.532499000000001</v>
      </c>
      <c r="CL481">
        <v>24.411197999999999</v>
      </c>
      <c r="CM481">
        <v>26.344000000000001</v>
      </c>
      <c r="CN481">
        <v>27.018051</v>
      </c>
      <c r="CO481">
        <v>27.948858000000001</v>
      </c>
      <c r="CP481">
        <v>0.48871100000000001</v>
      </c>
      <c r="CQ481">
        <v>17.023136000000001</v>
      </c>
      <c r="CR481">
        <v>18.627423</v>
      </c>
      <c r="CS481">
        <v>19</v>
      </c>
      <c r="CT481">
        <v>505</v>
      </c>
      <c r="CU481">
        <v>108.830986</v>
      </c>
      <c r="CV481">
        <v>34.428570999999998</v>
      </c>
      <c r="CW481">
        <v>81.179873999999998</v>
      </c>
      <c r="CX481">
        <v>6590.1718819999996</v>
      </c>
      <c r="CY481">
        <v>0.74592599999999998</v>
      </c>
      <c r="CZ481">
        <v>89</v>
      </c>
      <c r="DA481">
        <v>1.928482</v>
      </c>
      <c r="DB481">
        <v>7.5122159999999996</v>
      </c>
      <c r="DC481">
        <v>59.269368999999998</v>
      </c>
      <c r="DD481">
        <v>108.830986</v>
      </c>
      <c r="DE481">
        <v>40.464351000000001</v>
      </c>
      <c r="DF481">
        <v>13.546986</v>
      </c>
      <c r="DG481">
        <v>7.1477959999999996</v>
      </c>
      <c r="DH481">
        <v>0.371809</v>
      </c>
      <c r="DI481">
        <v>0.33478799999999997</v>
      </c>
      <c r="DJ481">
        <v>0.176644</v>
      </c>
      <c r="DK481">
        <v>26</v>
      </c>
      <c r="DL481">
        <v>32.849997999999999</v>
      </c>
      <c r="DM481">
        <v>37</v>
      </c>
      <c r="DN481">
        <v>46</v>
      </c>
      <c r="DO481">
        <v>52</v>
      </c>
      <c r="DP481">
        <v>57</v>
      </c>
      <c r="DQ481">
        <v>68</v>
      </c>
      <c r="DR481">
        <v>85</v>
      </c>
      <c r="DS481">
        <v>103</v>
      </c>
      <c r="DT481">
        <v>126.900024</v>
      </c>
      <c r="DU481">
        <v>141</v>
      </c>
      <c r="DV481">
        <v>155</v>
      </c>
      <c r="DW481">
        <v>204</v>
      </c>
      <c r="DX481">
        <v>268.75012199999998</v>
      </c>
      <c r="DY481">
        <v>422.98974600000003</v>
      </c>
      <c r="DZ481">
        <v>89.217134000000001</v>
      </c>
      <c r="EA481">
        <v>75.743348999999995</v>
      </c>
      <c r="EB481">
        <v>142.98375200000001</v>
      </c>
      <c r="EC481">
        <v>604</v>
      </c>
      <c r="ED481">
        <v>968</v>
      </c>
      <c r="EE481">
        <v>76.070901000000006</v>
      </c>
      <c r="EF481">
        <v>99.852289999999996</v>
      </c>
      <c r="EG481">
        <v>55.555556000000003</v>
      </c>
      <c r="EH481">
        <v>99.843504999999993</v>
      </c>
      <c r="EI481">
        <v>104.87444600000001</v>
      </c>
      <c r="EJ481">
        <v>188.47858199999999</v>
      </c>
      <c r="EK481">
        <v>515</v>
      </c>
      <c r="EL481">
        <v>676</v>
      </c>
      <c r="EM481">
        <v>710</v>
      </c>
      <c r="EN481">
        <v>1276</v>
      </c>
      <c r="EO481">
        <v>677</v>
      </c>
      <c r="EP481">
        <v>1278</v>
      </c>
      <c r="EQ481">
        <v>49.492801</v>
      </c>
    </row>
    <row r="482" spans="1:147" x14ac:dyDescent="0.25">
      <c r="A482">
        <v>2025</v>
      </c>
      <c r="B482" t="str">
        <f t="shared" si="14"/>
        <v>RD</v>
      </c>
      <c r="C482" t="s">
        <v>2182</v>
      </c>
      <c r="D482" t="s">
        <v>2182</v>
      </c>
      <c r="E482">
        <v>24439</v>
      </c>
      <c r="F482" t="s">
        <v>828</v>
      </c>
      <c r="G482" t="s">
        <v>829</v>
      </c>
      <c r="H482" t="s">
        <v>830</v>
      </c>
      <c r="I482">
        <v>43.26</v>
      </c>
      <c r="J482">
        <v>43.26</v>
      </c>
      <c r="K482" t="s">
        <v>261</v>
      </c>
      <c r="L482">
        <v>1</v>
      </c>
      <c r="M482">
        <v>2016</v>
      </c>
      <c r="O482" t="str">
        <f t="shared" si="15"/>
        <v>Alto fuste</v>
      </c>
      <c r="P482" s="2">
        <v>42732</v>
      </c>
      <c r="Q482" t="s">
        <v>237</v>
      </c>
      <c r="R482" t="s">
        <v>249</v>
      </c>
      <c r="S482" t="s">
        <v>154</v>
      </c>
      <c r="T482" t="s">
        <v>221</v>
      </c>
      <c r="U482" t="s">
        <v>156</v>
      </c>
      <c r="V482" s="2">
        <v>45769</v>
      </c>
      <c r="W482" t="s">
        <v>831</v>
      </c>
      <c r="X482">
        <v>45.099999999999987</v>
      </c>
      <c r="Y482">
        <v>20</v>
      </c>
      <c r="Z482">
        <v>14</v>
      </c>
      <c r="AA482">
        <v>15.2</v>
      </c>
      <c r="AB482">
        <v>2</v>
      </c>
      <c r="AC482">
        <v>304</v>
      </c>
      <c r="AD482">
        <v>294.79021309416299</v>
      </c>
      <c r="AE482" s="2">
        <v>45769</v>
      </c>
      <c r="AF482">
        <v>100</v>
      </c>
      <c r="AG482">
        <v>8.3148528405201905</v>
      </c>
      <c r="AH482">
        <v>24.450518254935002</v>
      </c>
      <c r="AI482">
        <v>15.258536585365899</v>
      </c>
      <c r="AJ482">
        <v>26.200772144012898</v>
      </c>
      <c r="AK482">
        <v>41</v>
      </c>
      <c r="AL482">
        <v>1390.81957876613</v>
      </c>
      <c r="AM482">
        <v>308.03144837192099</v>
      </c>
      <c r="AN482">
        <v>0.221474771476249</v>
      </c>
      <c r="AO482" t="s">
        <v>249</v>
      </c>
      <c r="AP482" t="s">
        <v>158</v>
      </c>
      <c r="AQ482" t="s">
        <v>166</v>
      </c>
      <c r="AR482">
        <v>7.5</v>
      </c>
      <c r="AS482">
        <v>1.043114684074594</v>
      </c>
      <c r="AT482" t="s">
        <v>2183</v>
      </c>
      <c r="AU482" t="s">
        <v>2182</v>
      </c>
      <c r="AV482">
        <v>1248</v>
      </c>
      <c r="AW482">
        <v>740</v>
      </c>
      <c r="AX482">
        <v>360</v>
      </c>
      <c r="AY482">
        <v>127</v>
      </c>
      <c r="AZ482">
        <v>17</v>
      </c>
      <c r="BA482">
        <v>4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25.740998999999999</v>
      </c>
      <c r="BI482">
        <v>16.919868000000001</v>
      </c>
      <c r="BJ482">
        <v>0</v>
      </c>
      <c r="BK482">
        <v>8.8489430000000002</v>
      </c>
      <c r="BL482">
        <v>78.303787999999997</v>
      </c>
      <c r="BM482">
        <v>0.52299099999999998</v>
      </c>
      <c r="BN482">
        <v>9.7437500000000004</v>
      </c>
      <c r="BO482">
        <v>-1.1410039999999999</v>
      </c>
      <c r="BP482">
        <v>2.606579</v>
      </c>
      <c r="BQ482">
        <v>7.3939490000000001</v>
      </c>
      <c r="BR482">
        <v>1.4904999999999999</v>
      </c>
      <c r="BS482">
        <v>21.983499999999999</v>
      </c>
      <c r="BT482">
        <v>16.919868000000001</v>
      </c>
      <c r="BU482">
        <v>4.3948219999999996</v>
      </c>
      <c r="BV482">
        <v>-1.7383090000000001</v>
      </c>
      <c r="BW482">
        <v>0.25334699999999999</v>
      </c>
      <c r="BX482">
        <v>0.259743</v>
      </c>
      <c r="BY482">
        <v>-0.395536</v>
      </c>
      <c r="BZ482">
        <v>5.7646999999999997E-2</v>
      </c>
      <c r="CA482">
        <v>3.0000000000000001E-3</v>
      </c>
      <c r="CB482">
        <v>1.2E-2</v>
      </c>
      <c r="CC482">
        <v>2.5000000000000001E-2</v>
      </c>
      <c r="CD482">
        <v>6.9791980000000002</v>
      </c>
      <c r="CE482">
        <v>13.138500000000001</v>
      </c>
      <c r="CF482">
        <v>16.862701000000001</v>
      </c>
      <c r="CG482">
        <v>20.842400000000001</v>
      </c>
      <c r="CH482">
        <v>21.983499999999999</v>
      </c>
      <c r="CI482">
        <v>22.404199999999999</v>
      </c>
      <c r="CJ482">
        <v>22.714901000000001</v>
      </c>
      <c r="CK482">
        <v>22.882249999999999</v>
      </c>
      <c r="CL482">
        <v>23.073999000000001</v>
      </c>
      <c r="CM482">
        <v>23.517299999999999</v>
      </c>
      <c r="CN482">
        <v>23.887948999999999</v>
      </c>
      <c r="CO482">
        <v>24.960529000000001</v>
      </c>
      <c r="CP482">
        <v>0.65731200000000001</v>
      </c>
      <c r="CQ482">
        <v>19.092485</v>
      </c>
      <c r="CR482">
        <v>20.021106</v>
      </c>
      <c r="CS482">
        <v>23</v>
      </c>
      <c r="CT482">
        <v>410</v>
      </c>
      <c r="CU482">
        <v>137.89583300000001</v>
      </c>
      <c r="CV482">
        <v>41.428570999999998</v>
      </c>
      <c r="CW482">
        <v>88.692943</v>
      </c>
      <c r="CX482">
        <v>7866.4382180000002</v>
      </c>
      <c r="CY482">
        <v>0.64318799999999998</v>
      </c>
      <c r="CZ482">
        <v>152</v>
      </c>
      <c r="DA482">
        <v>0.53073300000000001</v>
      </c>
      <c r="DB482">
        <v>2.1770079999999998</v>
      </c>
      <c r="DC482">
        <v>77.077724000000003</v>
      </c>
      <c r="DD482">
        <v>137.89583300000001</v>
      </c>
      <c r="DE482">
        <v>50.104123999999999</v>
      </c>
      <c r="DF482">
        <v>7.6705240000000003</v>
      </c>
      <c r="DG482">
        <v>-7.6922000000000004E-2</v>
      </c>
      <c r="DH482">
        <v>0.363348</v>
      </c>
      <c r="DI482">
        <v>0.15309200000000001</v>
      </c>
      <c r="DJ482">
        <v>-1.5349999999999999E-3</v>
      </c>
      <c r="DK482">
        <v>26</v>
      </c>
      <c r="DL482">
        <v>31</v>
      </c>
      <c r="DM482">
        <v>37.699997000000003</v>
      </c>
      <c r="DN482">
        <v>49</v>
      </c>
      <c r="DO482">
        <v>57</v>
      </c>
      <c r="DP482">
        <v>64.100005999999993</v>
      </c>
      <c r="DQ482">
        <v>88</v>
      </c>
      <c r="DR482">
        <v>119</v>
      </c>
      <c r="DS482">
        <v>158</v>
      </c>
      <c r="DT482">
        <v>194</v>
      </c>
      <c r="DU482">
        <v>209</v>
      </c>
      <c r="DV482">
        <v>228</v>
      </c>
      <c r="DW482">
        <v>265</v>
      </c>
      <c r="DX482">
        <v>294</v>
      </c>
      <c r="DY482">
        <v>342.65014600000001</v>
      </c>
      <c r="DZ482">
        <v>99.459458999999995</v>
      </c>
      <c r="EA482">
        <v>81.330128000000002</v>
      </c>
      <c r="EB482">
        <v>137.162162</v>
      </c>
      <c r="EC482">
        <v>736</v>
      </c>
      <c r="ED482">
        <v>1015</v>
      </c>
      <c r="EE482">
        <v>96.756756999999993</v>
      </c>
      <c r="EF482">
        <v>100</v>
      </c>
      <c r="EG482">
        <v>69.791667000000004</v>
      </c>
      <c r="EH482">
        <v>99.919871999999998</v>
      </c>
      <c r="EI482">
        <v>117.702703</v>
      </c>
      <c r="EJ482">
        <v>168.51351399999999</v>
      </c>
      <c r="EK482">
        <v>716</v>
      </c>
      <c r="EL482">
        <v>740</v>
      </c>
      <c r="EM482">
        <v>871</v>
      </c>
      <c r="EN482">
        <v>1247</v>
      </c>
      <c r="EO482">
        <v>740</v>
      </c>
      <c r="EP482">
        <v>1248</v>
      </c>
      <c r="EQ482">
        <v>66.777816999999999</v>
      </c>
    </row>
    <row r="483" spans="1:147" x14ac:dyDescent="0.25">
      <c r="A483">
        <v>2025</v>
      </c>
      <c r="B483" t="str">
        <f t="shared" si="14"/>
        <v>RD</v>
      </c>
      <c r="C483" t="s">
        <v>2184</v>
      </c>
      <c r="D483" t="s">
        <v>2184</v>
      </c>
      <c r="E483">
        <v>24440</v>
      </c>
      <c r="F483" t="s">
        <v>828</v>
      </c>
      <c r="G483" t="s">
        <v>829</v>
      </c>
      <c r="H483" t="s">
        <v>830</v>
      </c>
      <c r="I483">
        <v>43.26</v>
      </c>
      <c r="J483">
        <v>43.26</v>
      </c>
      <c r="K483" t="s">
        <v>261</v>
      </c>
      <c r="L483">
        <v>1</v>
      </c>
      <c r="M483">
        <v>2016</v>
      </c>
      <c r="O483" t="str">
        <f t="shared" si="15"/>
        <v>Alto fuste</v>
      </c>
      <c r="P483" s="2">
        <v>42732</v>
      </c>
      <c r="Q483" t="s">
        <v>237</v>
      </c>
      <c r="R483" t="s">
        <v>249</v>
      </c>
      <c r="S483" t="s">
        <v>154</v>
      </c>
      <c r="T483" t="s">
        <v>221</v>
      </c>
      <c r="U483" t="s">
        <v>156</v>
      </c>
      <c r="V483" s="2">
        <v>44843</v>
      </c>
      <c r="W483" t="s">
        <v>831</v>
      </c>
      <c r="X483">
        <v>45.099999999999987</v>
      </c>
      <c r="Y483">
        <v>20.399999999999999</v>
      </c>
      <c r="Z483">
        <v>17</v>
      </c>
      <c r="AA483">
        <v>15.2</v>
      </c>
      <c r="AB483">
        <v>1</v>
      </c>
      <c r="AC483">
        <v>310.08</v>
      </c>
      <c r="AD483">
        <v>296.48581562467803</v>
      </c>
      <c r="AE483" s="2">
        <v>45769</v>
      </c>
      <c r="AF483">
        <v>100</v>
      </c>
      <c r="AG483">
        <v>8.3148528405201905</v>
      </c>
      <c r="AH483">
        <v>24.321443640886599</v>
      </c>
      <c r="AI483">
        <v>14.423809523809499</v>
      </c>
      <c r="AJ483">
        <v>24.073592132439799</v>
      </c>
      <c r="AK483">
        <v>42</v>
      </c>
      <c r="AL483">
        <v>1416.5939072501201</v>
      </c>
      <c r="AM483">
        <v>289.02246024183199</v>
      </c>
      <c r="AN483">
        <v>0.20402633299678699</v>
      </c>
      <c r="AO483" t="s">
        <v>249</v>
      </c>
      <c r="AP483" t="s">
        <v>158</v>
      </c>
      <c r="AQ483" t="s">
        <v>166</v>
      </c>
      <c r="AR483">
        <v>7.5</v>
      </c>
      <c r="AS483">
        <v>1.062445430437587</v>
      </c>
      <c r="AT483" t="s">
        <v>2185</v>
      </c>
      <c r="AU483" t="s">
        <v>2184</v>
      </c>
      <c r="AV483">
        <v>1145</v>
      </c>
      <c r="AW483">
        <v>780</v>
      </c>
      <c r="AX483">
        <v>286</v>
      </c>
      <c r="AY483">
        <v>73</v>
      </c>
      <c r="AZ483">
        <v>6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26.059999000000001</v>
      </c>
      <c r="BI483">
        <v>17.706652999999999</v>
      </c>
      <c r="BJ483">
        <v>0</v>
      </c>
      <c r="BK483">
        <v>8.6969340000000006</v>
      </c>
      <c r="BL483">
        <v>75.636662000000001</v>
      </c>
      <c r="BM483">
        <v>0.49116799999999999</v>
      </c>
      <c r="BN483">
        <v>3.5300009999999999</v>
      </c>
      <c r="BO483">
        <v>-1.414766</v>
      </c>
      <c r="BP483">
        <v>3.2080869999999999</v>
      </c>
      <c r="BQ483">
        <v>6.8740439999999996</v>
      </c>
      <c r="BR483">
        <v>1.2520009999999999</v>
      </c>
      <c r="BS483">
        <v>21.636998999999999</v>
      </c>
      <c r="BT483">
        <v>17.706652999999999</v>
      </c>
      <c r="BU483">
        <v>4.0313369999999997</v>
      </c>
      <c r="BV483">
        <v>-1.778591</v>
      </c>
      <c r="BW483">
        <v>0.65693000000000001</v>
      </c>
      <c r="BX483">
        <v>0.22767399999999999</v>
      </c>
      <c r="BY483">
        <v>-0.441191</v>
      </c>
      <c r="BZ483">
        <v>0.16295599999999999</v>
      </c>
      <c r="CA483">
        <v>1.4400000000000001E-3</v>
      </c>
      <c r="CB483">
        <v>1.0999999999999999E-2</v>
      </c>
      <c r="CC483">
        <v>2.5000000000000001E-2</v>
      </c>
      <c r="CD483">
        <v>12.651</v>
      </c>
      <c r="CE483">
        <v>19.100999999999999</v>
      </c>
      <c r="CF483">
        <v>20.391000999999999</v>
      </c>
      <c r="CG483">
        <v>21.167200000000001</v>
      </c>
      <c r="CH483">
        <v>21.636998999999999</v>
      </c>
      <c r="CI483">
        <v>21.990400000000001</v>
      </c>
      <c r="CJ483">
        <v>22.405000999999999</v>
      </c>
      <c r="CK483">
        <v>22.631001000000001</v>
      </c>
      <c r="CL483">
        <v>22.889399999999998</v>
      </c>
      <c r="CM483">
        <v>23.950600000000001</v>
      </c>
      <c r="CN483">
        <v>24.434000000000001</v>
      </c>
      <c r="CO483">
        <v>25.678162</v>
      </c>
      <c r="CP483">
        <v>0.67945699999999998</v>
      </c>
      <c r="CQ483">
        <v>19.725521000000001</v>
      </c>
      <c r="CR483">
        <v>20.516511000000001</v>
      </c>
      <c r="CS483">
        <v>19</v>
      </c>
      <c r="CT483">
        <v>381</v>
      </c>
      <c r="CU483">
        <v>136.12663800000001</v>
      </c>
      <c r="CV483">
        <v>47.730159</v>
      </c>
      <c r="CW483">
        <v>78.437742999999998</v>
      </c>
      <c r="CX483">
        <v>6152.4795780000004</v>
      </c>
      <c r="CY483">
        <v>0.57621199999999995</v>
      </c>
      <c r="CZ483">
        <v>138</v>
      </c>
      <c r="DA483">
        <v>0.411885</v>
      </c>
      <c r="DB483">
        <v>2.18398</v>
      </c>
      <c r="DC483">
        <v>67.595195000000004</v>
      </c>
      <c r="DD483">
        <v>136.12663800000001</v>
      </c>
      <c r="DE483">
        <v>44.684049000000002</v>
      </c>
      <c r="DF483">
        <v>4.7430690000000002</v>
      </c>
      <c r="DG483">
        <v>0.27506399999999998</v>
      </c>
      <c r="DH483">
        <v>0.32825399999999999</v>
      </c>
      <c r="DI483">
        <v>0.10614700000000001</v>
      </c>
      <c r="DJ483">
        <v>6.156E-3</v>
      </c>
      <c r="DK483">
        <v>27</v>
      </c>
      <c r="DL483">
        <v>35</v>
      </c>
      <c r="DM483">
        <v>41</v>
      </c>
      <c r="DN483">
        <v>54.800002999999997</v>
      </c>
      <c r="DO483">
        <v>64</v>
      </c>
      <c r="DP483">
        <v>72</v>
      </c>
      <c r="DQ483">
        <v>100.200012</v>
      </c>
      <c r="DR483">
        <v>128</v>
      </c>
      <c r="DS483">
        <v>156</v>
      </c>
      <c r="DT483">
        <v>185</v>
      </c>
      <c r="DU483">
        <v>202</v>
      </c>
      <c r="DV483">
        <v>213.20001199999999</v>
      </c>
      <c r="DW483">
        <v>243.599976</v>
      </c>
      <c r="DX483">
        <v>267.800049</v>
      </c>
      <c r="DY483">
        <v>315.68017600000002</v>
      </c>
      <c r="DZ483">
        <v>98.717949000000004</v>
      </c>
      <c r="EA483">
        <v>82.008734000000004</v>
      </c>
      <c r="EB483">
        <v>120.384615</v>
      </c>
      <c r="EC483">
        <v>770</v>
      </c>
      <c r="ED483">
        <v>939</v>
      </c>
      <c r="EE483">
        <v>97.051282</v>
      </c>
      <c r="EF483">
        <v>100</v>
      </c>
      <c r="EG483">
        <v>77.641920999999996</v>
      </c>
      <c r="EH483">
        <v>99.563319000000007</v>
      </c>
      <c r="EI483">
        <v>113.97435900000001</v>
      </c>
      <c r="EJ483">
        <v>146.15384599999999</v>
      </c>
      <c r="EK483">
        <v>757</v>
      </c>
      <c r="EL483">
        <v>780</v>
      </c>
      <c r="EM483">
        <v>889</v>
      </c>
      <c r="EN483">
        <v>1140</v>
      </c>
      <c r="EO483">
        <v>780</v>
      </c>
      <c r="EP483">
        <v>1145</v>
      </c>
      <c r="EQ483">
        <v>67.919116000000002</v>
      </c>
    </row>
    <row r="484" spans="1:147" x14ac:dyDescent="0.25">
      <c r="A484">
        <v>2025</v>
      </c>
      <c r="B484" t="str">
        <f t="shared" si="14"/>
        <v>RD</v>
      </c>
      <c r="C484" t="s">
        <v>2186</v>
      </c>
      <c r="D484" t="s">
        <v>2186</v>
      </c>
      <c r="E484">
        <v>24441</v>
      </c>
      <c r="F484" t="s">
        <v>828</v>
      </c>
      <c r="G484" t="s">
        <v>829</v>
      </c>
      <c r="H484" t="s">
        <v>830</v>
      </c>
      <c r="I484">
        <v>43.26</v>
      </c>
      <c r="J484">
        <v>43.26</v>
      </c>
      <c r="K484" t="s">
        <v>261</v>
      </c>
      <c r="L484">
        <v>1</v>
      </c>
      <c r="M484">
        <v>2016</v>
      </c>
      <c r="O484" t="str">
        <f t="shared" si="15"/>
        <v>Alto fuste</v>
      </c>
      <c r="P484" s="2">
        <v>42732</v>
      </c>
      <c r="Q484" t="s">
        <v>237</v>
      </c>
      <c r="R484" t="s">
        <v>249</v>
      </c>
      <c r="S484" t="s">
        <v>154</v>
      </c>
      <c r="T484" t="s">
        <v>221</v>
      </c>
      <c r="U484" t="s">
        <v>156</v>
      </c>
      <c r="V484" s="2">
        <v>45769</v>
      </c>
      <c r="W484" t="s">
        <v>831</v>
      </c>
      <c r="X484">
        <v>45.099999999999987</v>
      </c>
      <c r="Y484">
        <v>18.399999999999999</v>
      </c>
      <c r="Z484">
        <v>13</v>
      </c>
      <c r="AA484">
        <v>14.8</v>
      </c>
      <c r="AB484">
        <v>1</v>
      </c>
      <c r="AC484">
        <v>272.32</v>
      </c>
      <c r="AD484">
        <v>265.300043405655</v>
      </c>
      <c r="AE484" s="2">
        <v>45769</v>
      </c>
      <c r="AF484">
        <v>100</v>
      </c>
      <c r="AG484">
        <v>8.3148528405201905</v>
      </c>
      <c r="AH484">
        <v>25.401118024836499</v>
      </c>
      <c r="AI484">
        <v>14.6777777777778</v>
      </c>
      <c r="AJ484">
        <v>24.116959608658298</v>
      </c>
      <c r="AK484">
        <v>36</v>
      </c>
      <c r="AL484">
        <v>1356.9541692443099</v>
      </c>
      <c r="AM484">
        <v>309.555626816374</v>
      </c>
      <c r="AN484">
        <v>0.22812533675235699</v>
      </c>
      <c r="AO484" t="s">
        <v>249</v>
      </c>
      <c r="AP484" t="s">
        <v>158</v>
      </c>
      <c r="AQ484" t="s">
        <v>166</v>
      </c>
      <c r="AR484">
        <v>7.5</v>
      </c>
      <c r="AS484">
        <v>1.017715626933233</v>
      </c>
      <c r="AT484" t="s">
        <v>2187</v>
      </c>
      <c r="AU484" t="s">
        <v>2186</v>
      </c>
      <c r="AV484">
        <v>1099</v>
      </c>
      <c r="AW484">
        <v>653</v>
      </c>
      <c r="AX484">
        <v>336</v>
      </c>
      <c r="AY484">
        <v>99</v>
      </c>
      <c r="AZ484">
        <v>10</v>
      </c>
      <c r="BA484">
        <v>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28.891000999999999</v>
      </c>
      <c r="BI484">
        <v>18.254709999999999</v>
      </c>
      <c r="BJ484">
        <v>0</v>
      </c>
      <c r="BK484">
        <v>7.6207700000000003</v>
      </c>
      <c r="BL484">
        <v>58.076143000000002</v>
      </c>
      <c r="BM484">
        <v>0.41746899999999998</v>
      </c>
      <c r="BN484">
        <v>6.6565000000000003</v>
      </c>
      <c r="BO484">
        <v>-1.424995</v>
      </c>
      <c r="BP484">
        <v>3.9434800000000001</v>
      </c>
      <c r="BQ484">
        <v>5.7241020000000002</v>
      </c>
      <c r="BR484">
        <v>2.4870009999999998</v>
      </c>
      <c r="BS484">
        <v>21.361999999999998</v>
      </c>
      <c r="BT484">
        <v>18.254709999999999</v>
      </c>
      <c r="BU484">
        <v>3.8283710000000002</v>
      </c>
      <c r="BV484">
        <v>-1.3546260000000001</v>
      </c>
      <c r="BW484">
        <v>0.67655299999999996</v>
      </c>
      <c r="BX484">
        <v>0.20971999999999999</v>
      </c>
      <c r="BY484">
        <v>-0.35383900000000001</v>
      </c>
      <c r="BZ484">
        <v>0.17672099999999999</v>
      </c>
      <c r="CA484">
        <v>8.9599999999999992E-3</v>
      </c>
      <c r="CB484">
        <v>6.7799999999999999E-2</v>
      </c>
      <c r="CC484">
        <v>0.73160000000000003</v>
      </c>
      <c r="CD484">
        <v>14.523</v>
      </c>
      <c r="CE484">
        <v>16.459</v>
      </c>
      <c r="CF484">
        <v>17.779199999999999</v>
      </c>
      <c r="CG484">
        <v>19.5124</v>
      </c>
      <c r="CH484">
        <v>21.361999999999998</v>
      </c>
      <c r="CI484">
        <v>22.318999999999999</v>
      </c>
      <c r="CJ484">
        <v>22.842400000000001</v>
      </c>
      <c r="CK484">
        <v>23.115499</v>
      </c>
      <c r="CL484">
        <v>23.316998999999999</v>
      </c>
      <c r="CM484">
        <v>24.212199999999999</v>
      </c>
      <c r="CN484">
        <v>25.726199999999999</v>
      </c>
      <c r="CO484">
        <v>28.075980999999999</v>
      </c>
      <c r="CP484">
        <v>0.63184799999999997</v>
      </c>
      <c r="CQ484">
        <v>19.780235999999999</v>
      </c>
      <c r="CR484">
        <v>20.512249000000001</v>
      </c>
      <c r="CS484">
        <v>19</v>
      </c>
      <c r="CT484">
        <v>401</v>
      </c>
      <c r="CU484">
        <v>107.235669</v>
      </c>
      <c r="CV484">
        <v>37.190475999999997</v>
      </c>
      <c r="CW484">
        <v>62.088220999999997</v>
      </c>
      <c r="CX484">
        <v>3854.947142</v>
      </c>
      <c r="CY484">
        <v>0.57898899999999998</v>
      </c>
      <c r="CZ484">
        <v>98.5</v>
      </c>
      <c r="DA484">
        <v>0.85548299999999999</v>
      </c>
      <c r="DB484">
        <v>3.5561259999999999</v>
      </c>
      <c r="DC484">
        <v>51.947538000000002</v>
      </c>
      <c r="DD484">
        <v>107.235669</v>
      </c>
      <c r="DE484">
        <v>34.397308000000002</v>
      </c>
      <c r="DF484">
        <v>6.2722540000000002</v>
      </c>
      <c r="DG484">
        <v>1.463843</v>
      </c>
      <c r="DH484">
        <v>0.32076399999999999</v>
      </c>
      <c r="DI484">
        <v>0.18234700000000001</v>
      </c>
      <c r="DJ484">
        <v>4.2556999999999998E-2</v>
      </c>
      <c r="DK484">
        <v>28</v>
      </c>
      <c r="DL484">
        <v>34</v>
      </c>
      <c r="DM484">
        <v>39.800002999999997</v>
      </c>
      <c r="DN484">
        <v>49</v>
      </c>
      <c r="DO484">
        <v>54</v>
      </c>
      <c r="DP484">
        <v>60</v>
      </c>
      <c r="DQ484">
        <v>72</v>
      </c>
      <c r="DR484">
        <v>94</v>
      </c>
      <c r="DS484">
        <v>115.799988</v>
      </c>
      <c r="DT484">
        <v>141.599976</v>
      </c>
      <c r="DU484">
        <v>152.5</v>
      </c>
      <c r="DV484">
        <v>161</v>
      </c>
      <c r="DW484">
        <v>193</v>
      </c>
      <c r="DX484">
        <v>219</v>
      </c>
      <c r="DY484">
        <v>273.02001999999999</v>
      </c>
      <c r="DZ484">
        <v>99.081164000000001</v>
      </c>
      <c r="EA484">
        <v>88.353048000000001</v>
      </c>
      <c r="EB484">
        <v>148.69831500000001</v>
      </c>
      <c r="EC484">
        <v>647</v>
      </c>
      <c r="ED484">
        <v>971</v>
      </c>
      <c r="EE484">
        <v>90.352221</v>
      </c>
      <c r="EF484">
        <v>100</v>
      </c>
      <c r="EG484">
        <v>67.697907000000001</v>
      </c>
      <c r="EH484">
        <v>99.909008</v>
      </c>
      <c r="EI484">
        <v>113.935681</v>
      </c>
      <c r="EJ484">
        <v>168.14701400000001</v>
      </c>
      <c r="EK484">
        <v>590</v>
      </c>
      <c r="EL484">
        <v>653</v>
      </c>
      <c r="EM484">
        <v>744</v>
      </c>
      <c r="EN484">
        <v>1098</v>
      </c>
      <c r="EO484">
        <v>653</v>
      </c>
      <c r="EP484">
        <v>1099</v>
      </c>
      <c r="EQ484">
        <v>64.003781000000004</v>
      </c>
    </row>
    <row r="485" spans="1:147" x14ac:dyDescent="0.25">
      <c r="A485">
        <v>2025</v>
      </c>
      <c r="B485" t="str">
        <f t="shared" si="14"/>
        <v>RD</v>
      </c>
      <c r="C485" t="s">
        <v>2188</v>
      </c>
      <c r="D485" t="s">
        <v>2188</v>
      </c>
      <c r="E485">
        <v>30976</v>
      </c>
      <c r="F485" t="s">
        <v>1576</v>
      </c>
      <c r="G485" t="s">
        <v>1577</v>
      </c>
      <c r="H485" t="s">
        <v>2189</v>
      </c>
      <c r="I485">
        <v>60.13</v>
      </c>
      <c r="J485">
        <v>60.13</v>
      </c>
      <c r="K485" t="s">
        <v>219</v>
      </c>
      <c r="L485">
        <v>1</v>
      </c>
      <c r="M485">
        <v>2019</v>
      </c>
      <c r="O485" t="str">
        <f t="shared" si="15"/>
        <v>Talhadia</v>
      </c>
      <c r="P485" s="2">
        <v>43607</v>
      </c>
      <c r="Q485" t="s">
        <v>237</v>
      </c>
      <c r="R485" t="s">
        <v>249</v>
      </c>
      <c r="S485" t="s">
        <v>154</v>
      </c>
      <c r="T485" t="s">
        <v>221</v>
      </c>
      <c r="U485" t="s">
        <v>156</v>
      </c>
      <c r="V485" s="2">
        <v>44844</v>
      </c>
      <c r="W485" t="s">
        <v>1579</v>
      </c>
      <c r="X485">
        <v>358.54</v>
      </c>
      <c r="Y485">
        <v>19.2</v>
      </c>
      <c r="Z485">
        <v>21</v>
      </c>
      <c r="AA485">
        <v>15.5</v>
      </c>
      <c r="AB485">
        <v>0</v>
      </c>
      <c r="AC485">
        <v>297.60000000000002</v>
      </c>
      <c r="AD485">
        <v>277.83353492556699</v>
      </c>
      <c r="AE485" s="2">
        <v>45762</v>
      </c>
      <c r="AF485">
        <v>71</v>
      </c>
      <c r="AG485">
        <v>5.90006844626968</v>
      </c>
      <c r="AH485">
        <v>22.195075609552202</v>
      </c>
      <c r="AI485">
        <v>14.3571428571429</v>
      </c>
      <c r="AJ485">
        <v>16.978552740178198</v>
      </c>
      <c r="AK485">
        <v>28</v>
      </c>
      <c r="AL485">
        <v>1007.7977090671</v>
      </c>
      <c r="AM485">
        <v>175.26481000340399</v>
      </c>
      <c r="AN485">
        <v>0.17390872039751301</v>
      </c>
      <c r="AO485" t="s">
        <v>249</v>
      </c>
      <c r="AP485" t="s">
        <v>264</v>
      </c>
      <c r="AQ485" t="s">
        <v>294</v>
      </c>
      <c r="AR485">
        <v>7.5</v>
      </c>
      <c r="AS485">
        <v>0.75584828180032348</v>
      </c>
      <c r="AT485" t="s">
        <v>2190</v>
      </c>
      <c r="AU485" t="s">
        <v>2188</v>
      </c>
      <c r="AV485">
        <v>1432</v>
      </c>
      <c r="AW485">
        <v>750</v>
      </c>
      <c r="AX485">
        <v>516</v>
      </c>
      <c r="AY485">
        <v>139</v>
      </c>
      <c r="AZ485">
        <v>25</v>
      </c>
      <c r="BA485">
        <v>2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24.601998999999999</v>
      </c>
      <c r="BI485">
        <v>11.795005</v>
      </c>
      <c r="BJ485">
        <v>0</v>
      </c>
      <c r="BK485">
        <v>9.1845429999999997</v>
      </c>
      <c r="BL485">
        <v>84.355823000000001</v>
      </c>
      <c r="BM485">
        <v>0.77868099999999996</v>
      </c>
      <c r="BN485">
        <v>20.111249999999998</v>
      </c>
      <c r="BO485">
        <v>-0.21765000000000001</v>
      </c>
      <c r="BP485">
        <v>1.316565</v>
      </c>
      <c r="BQ485">
        <v>8.5532400000000006</v>
      </c>
      <c r="BR485">
        <v>6.7489999999999997</v>
      </c>
      <c r="BS485">
        <v>15.158500999999999</v>
      </c>
      <c r="BT485">
        <v>11.795005</v>
      </c>
      <c r="BU485">
        <v>5.0994200000000003</v>
      </c>
      <c r="BV485">
        <v>-0.31402000000000002</v>
      </c>
      <c r="BW485">
        <v>-0.72774700000000003</v>
      </c>
      <c r="BX485">
        <v>0.43233700000000003</v>
      </c>
      <c r="BY485">
        <v>-6.1580000000000003E-2</v>
      </c>
      <c r="BZ485">
        <v>-0.14271200000000001</v>
      </c>
      <c r="CA485">
        <v>3.0000000000000001E-3</v>
      </c>
      <c r="CB485">
        <v>1.0999999999999999E-2</v>
      </c>
      <c r="CC485">
        <v>3.1099999999999999E-2</v>
      </c>
      <c r="CD485">
        <v>0.13220000000000001</v>
      </c>
      <c r="CE485">
        <v>0.29849999999999999</v>
      </c>
      <c r="CF485">
        <v>1.4802999999999999</v>
      </c>
      <c r="CG485">
        <v>8.9421999999999997</v>
      </c>
      <c r="CH485">
        <v>15.158500999999999</v>
      </c>
      <c r="CI485">
        <v>18.269600000000001</v>
      </c>
      <c r="CJ485">
        <v>20.009398999999998</v>
      </c>
      <c r="CK485">
        <v>20.409749999999999</v>
      </c>
      <c r="CL485">
        <v>20.907599999999999</v>
      </c>
      <c r="CM485">
        <v>22.080400000000001</v>
      </c>
      <c r="CN485">
        <v>22.887748999999999</v>
      </c>
      <c r="CO485">
        <v>23.936449</v>
      </c>
      <c r="CP485">
        <v>0.479433</v>
      </c>
      <c r="CQ485">
        <v>14.947209000000001</v>
      </c>
      <c r="CR485">
        <v>16.454764000000001</v>
      </c>
      <c r="CS485">
        <v>24</v>
      </c>
      <c r="CT485">
        <v>618</v>
      </c>
      <c r="CU485">
        <v>110.89176</v>
      </c>
      <c r="CV485">
        <v>42.857143000000001</v>
      </c>
      <c r="CW485">
        <v>89.012669000000002</v>
      </c>
      <c r="CX485">
        <v>7923.2552219999998</v>
      </c>
      <c r="CY485">
        <v>0.80269900000000005</v>
      </c>
      <c r="CZ485">
        <v>88</v>
      </c>
      <c r="DA485">
        <v>1.846117</v>
      </c>
      <c r="DB485">
        <v>6.4677559999999996</v>
      </c>
      <c r="DC485">
        <v>65.272665000000003</v>
      </c>
      <c r="DD485">
        <v>110.89176</v>
      </c>
      <c r="DE485">
        <v>43.892184</v>
      </c>
      <c r="DF485">
        <v>16.833515999999999</v>
      </c>
      <c r="DG485">
        <v>8.2428139999999992</v>
      </c>
      <c r="DH485">
        <v>0.39581100000000002</v>
      </c>
      <c r="DI485">
        <v>0.38352000000000003</v>
      </c>
      <c r="DJ485">
        <v>0.18779699999999999</v>
      </c>
      <c r="DK485">
        <v>28</v>
      </c>
      <c r="DL485">
        <v>33</v>
      </c>
      <c r="DM485">
        <v>37</v>
      </c>
      <c r="DN485">
        <v>45</v>
      </c>
      <c r="DO485">
        <v>50</v>
      </c>
      <c r="DP485">
        <v>54</v>
      </c>
      <c r="DQ485">
        <v>64.400024000000002</v>
      </c>
      <c r="DR485">
        <v>79</v>
      </c>
      <c r="DS485">
        <v>99</v>
      </c>
      <c r="DT485">
        <v>124</v>
      </c>
      <c r="DU485">
        <v>138</v>
      </c>
      <c r="DV485">
        <v>155.800049</v>
      </c>
      <c r="DW485">
        <v>232.800049</v>
      </c>
      <c r="DX485">
        <v>325</v>
      </c>
      <c r="DY485">
        <v>413.75976600000001</v>
      </c>
      <c r="DZ485">
        <v>88.533332999999999</v>
      </c>
      <c r="EA485">
        <v>66.410615000000007</v>
      </c>
      <c r="EB485">
        <v>126.8</v>
      </c>
      <c r="EC485">
        <v>664</v>
      </c>
      <c r="ED485">
        <v>951</v>
      </c>
      <c r="EE485">
        <v>81.466667000000001</v>
      </c>
      <c r="EF485">
        <v>100</v>
      </c>
      <c r="EG485">
        <v>55.796089000000002</v>
      </c>
      <c r="EH485">
        <v>99.720669999999998</v>
      </c>
      <c r="EI485">
        <v>106.533333</v>
      </c>
      <c r="EJ485">
        <v>190.4</v>
      </c>
      <c r="EK485">
        <v>611</v>
      </c>
      <c r="EL485">
        <v>750</v>
      </c>
      <c r="EM485">
        <v>799</v>
      </c>
      <c r="EN485">
        <v>1428</v>
      </c>
      <c r="EO485">
        <v>750</v>
      </c>
      <c r="EP485">
        <v>1432</v>
      </c>
      <c r="EQ485">
        <v>48.263153000000003</v>
      </c>
    </row>
    <row r="486" spans="1:147" x14ac:dyDescent="0.25">
      <c r="A486">
        <v>2025</v>
      </c>
      <c r="B486" t="str">
        <f t="shared" si="14"/>
        <v>RD</v>
      </c>
      <c r="C486" t="s">
        <v>2191</v>
      </c>
      <c r="D486" t="s">
        <v>2191</v>
      </c>
      <c r="E486">
        <v>27536</v>
      </c>
      <c r="F486" t="s">
        <v>2192</v>
      </c>
      <c r="G486" t="s">
        <v>1577</v>
      </c>
      <c r="H486" t="s">
        <v>2193</v>
      </c>
      <c r="I486">
        <v>60.35</v>
      </c>
      <c r="J486">
        <v>60.35</v>
      </c>
      <c r="K486" t="s">
        <v>219</v>
      </c>
      <c r="L486">
        <v>1</v>
      </c>
      <c r="M486">
        <v>2020</v>
      </c>
      <c r="O486" t="str">
        <f t="shared" si="15"/>
        <v>Talhadia</v>
      </c>
      <c r="P486" s="2">
        <v>43915</v>
      </c>
      <c r="Q486" t="s">
        <v>237</v>
      </c>
      <c r="R486" t="s">
        <v>165</v>
      </c>
      <c r="S486" t="s">
        <v>154</v>
      </c>
      <c r="T486" t="s">
        <v>221</v>
      </c>
      <c r="U486" t="s">
        <v>156</v>
      </c>
      <c r="V486" s="2">
        <v>45762</v>
      </c>
      <c r="W486" t="s">
        <v>1579</v>
      </c>
      <c r="X486">
        <v>60.35</v>
      </c>
      <c r="Y486">
        <v>20.2</v>
      </c>
      <c r="Z486">
        <v>13</v>
      </c>
      <c r="AA486">
        <v>15</v>
      </c>
      <c r="AB486">
        <v>1</v>
      </c>
      <c r="AC486">
        <v>303</v>
      </c>
      <c r="AD486">
        <v>295.18916404198501</v>
      </c>
      <c r="AE486" s="2">
        <v>45762</v>
      </c>
      <c r="AF486">
        <v>61</v>
      </c>
      <c r="AG486">
        <v>5.0568104038329897</v>
      </c>
      <c r="AH486">
        <v>24.4167837961893</v>
      </c>
      <c r="AI486">
        <v>14.373333333333299</v>
      </c>
      <c r="AJ486">
        <v>16.699423088083101</v>
      </c>
      <c r="AK486">
        <v>30</v>
      </c>
      <c r="AL486">
        <v>1016.29746801048</v>
      </c>
      <c r="AM486">
        <v>186.206280208122</v>
      </c>
      <c r="AN486">
        <v>0.18322025398001099</v>
      </c>
      <c r="AO486" t="s">
        <v>165</v>
      </c>
      <c r="AP486" t="s">
        <v>264</v>
      </c>
      <c r="AQ486" t="s">
        <v>294</v>
      </c>
      <c r="AR486">
        <v>7.5</v>
      </c>
      <c r="AS486">
        <v>0.76222310100786106</v>
      </c>
      <c r="AT486" t="s">
        <v>2194</v>
      </c>
      <c r="AU486" t="s">
        <v>2191</v>
      </c>
      <c r="AV486">
        <v>1201</v>
      </c>
      <c r="AW486">
        <v>660</v>
      </c>
      <c r="AX486">
        <v>393</v>
      </c>
      <c r="AY486">
        <v>133</v>
      </c>
      <c r="AZ486">
        <v>15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23.806999000000001</v>
      </c>
      <c r="BI486">
        <v>7.2079149999999998</v>
      </c>
      <c r="BJ486">
        <v>0</v>
      </c>
      <c r="BK486">
        <v>6.6936879999999999</v>
      </c>
      <c r="BL486">
        <v>44.805458000000002</v>
      </c>
      <c r="BM486">
        <v>0.92865799999999998</v>
      </c>
      <c r="BN486">
        <v>11.343</v>
      </c>
      <c r="BO486">
        <v>0.57278200000000001</v>
      </c>
      <c r="BP486">
        <v>2.3184650000000002</v>
      </c>
      <c r="BQ486">
        <v>5.6582730000000003</v>
      </c>
      <c r="BR486">
        <v>6.4509999999999996</v>
      </c>
      <c r="BS486">
        <v>6.8070000000000004</v>
      </c>
      <c r="BT486">
        <v>7.2079149999999998</v>
      </c>
      <c r="BU486">
        <v>3.734569</v>
      </c>
      <c r="BV486">
        <v>0.66217700000000002</v>
      </c>
      <c r="BW486">
        <v>-1.1191E-2</v>
      </c>
      <c r="BX486">
        <v>0.51812100000000005</v>
      </c>
      <c r="BY486">
        <v>0.17731</v>
      </c>
      <c r="BZ486">
        <v>-2.9970000000000001E-3</v>
      </c>
      <c r="CA486">
        <v>2E-3</v>
      </c>
      <c r="CB486">
        <v>0.01</v>
      </c>
      <c r="CC486">
        <v>2.1000000000000001E-2</v>
      </c>
      <c r="CD486">
        <v>5.8000000000000003E-2</v>
      </c>
      <c r="CE486">
        <v>0.109</v>
      </c>
      <c r="CF486">
        <v>0.29299999999999998</v>
      </c>
      <c r="CG486">
        <v>4.1539999999999999</v>
      </c>
      <c r="CH486">
        <v>6.8070000000000004</v>
      </c>
      <c r="CI486">
        <v>8.7720000000000002</v>
      </c>
      <c r="CJ486">
        <v>10.513999999999999</v>
      </c>
      <c r="CK486">
        <v>11.452</v>
      </c>
      <c r="CL486">
        <v>12.787000000000001</v>
      </c>
      <c r="CM486">
        <v>17.402000000000001</v>
      </c>
      <c r="CN486">
        <v>20.283000999999999</v>
      </c>
      <c r="CO486">
        <v>22.975000000000001</v>
      </c>
      <c r="CP486">
        <v>0.30276500000000001</v>
      </c>
      <c r="CQ486">
        <v>9.8347440000000006</v>
      </c>
      <c r="CR486">
        <v>11.483091</v>
      </c>
      <c r="CS486">
        <v>25</v>
      </c>
      <c r="CT486">
        <v>596</v>
      </c>
      <c r="CU486">
        <v>133.120733</v>
      </c>
      <c r="CV486">
        <v>43.126984</v>
      </c>
      <c r="CW486">
        <v>112.464007</v>
      </c>
      <c r="CX486">
        <v>12648.152910000001</v>
      </c>
      <c r="CY486">
        <v>0.84482699999999999</v>
      </c>
      <c r="CZ486">
        <v>105</v>
      </c>
      <c r="DA486">
        <v>1.6168469999999999</v>
      </c>
      <c r="DB486">
        <v>4.8222379999999996</v>
      </c>
      <c r="DC486">
        <v>83.861840000000001</v>
      </c>
      <c r="DD486">
        <v>133.120733</v>
      </c>
      <c r="DE486">
        <v>55.994695999999998</v>
      </c>
      <c r="DF486">
        <v>21.811430999999999</v>
      </c>
      <c r="DG486">
        <v>10.09609</v>
      </c>
      <c r="DH486">
        <v>0.42063099999999998</v>
      </c>
      <c r="DI486">
        <v>0.38952700000000001</v>
      </c>
      <c r="DJ486">
        <v>0.18030399999999999</v>
      </c>
      <c r="DK486">
        <v>28</v>
      </c>
      <c r="DL486">
        <v>34</v>
      </c>
      <c r="DM486">
        <v>40</v>
      </c>
      <c r="DN486">
        <v>50</v>
      </c>
      <c r="DO486">
        <v>56</v>
      </c>
      <c r="DP486">
        <v>61</v>
      </c>
      <c r="DQ486">
        <v>75</v>
      </c>
      <c r="DR486">
        <v>92</v>
      </c>
      <c r="DS486">
        <v>111</v>
      </c>
      <c r="DT486">
        <v>142</v>
      </c>
      <c r="DU486">
        <v>161</v>
      </c>
      <c r="DV486">
        <v>188</v>
      </c>
      <c r="DW486">
        <v>333</v>
      </c>
      <c r="DX486">
        <v>407</v>
      </c>
      <c r="DY486">
        <v>475</v>
      </c>
      <c r="DZ486">
        <v>79.242424</v>
      </c>
      <c r="EA486">
        <v>62.697752000000001</v>
      </c>
      <c r="EB486">
        <v>114.090909</v>
      </c>
      <c r="EC486">
        <v>523</v>
      </c>
      <c r="ED486">
        <v>753</v>
      </c>
      <c r="EE486">
        <v>63.333333000000003</v>
      </c>
      <c r="EF486">
        <v>99.696969999999993</v>
      </c>
      <c r="EG486">
        <v>48.792673000000001</v>
      </c>
      <c r="EH486">
        <v>99.666944000000001</v>
      </c>
      <c r="EI486">
        <v>88.787879000000004</v>
      </c>
      <c r="EJ486">
        <v>181.36363600000001</v>
      </c>
      <c r="EK486">
        <v>418</v>
      </c>
      <c r="EL486">
        <v>658</v>
      </c>
      <c r="EM486">
        <v>586</v>
      </c>
      <c r="EN486">
        <v>1197</v>
      </c>
      <c r="EO486">
        <v>660</v>
      </c>
      <c r="EP486">
        <v>1201</v>
      </c>
      <c r="EQ486">
        <v>30.329684</v>
      </c>
    </row>
    <row r="487" spans="1:147" x14ac:dyDescent="0.25">
      <c r="A487">
        <v>2025</v>
      </c>
      <c r="B487" t="str">
        <f t="shared" si="14"/>
        <v>RD</v>
      </c>
      <c r="C487" t="s">
        <v>2195</v>
      </c>
      <c r="D487" t="s">
        <v>2195</v>
      </c>
      <c r="E487">
        <v>27537</v>
      </c>
      <c r="F487" t="s">
        <v>2192</v>
      </c>
      <c r="G487" t="s">
        <v>1577</v>
      </c>
      <c r="H487" t="s">
        <v>2193</v>
      </c>
      <c r="I487">
        <v>60.35</v>
      </c>
      <c r="J487">
        <v>60.35</v>
      </c>
      <c r="K487" t="s">
        <v>219</v>
      </c>
      <c r="L487">
        <v>1</v>
      </c>
      <c r="M487">
        <v>2020</v>
      </c>
      <c r="O487" t="str">
        <f t="shared" si="15"/>
        <v>Talhadia</v>
      </c>
      <c r="P487" s="2">
        <v>43915</v>
      </c>
      <c r="Q487" t="s">
        <v>237</v>
      </c>
      <c r="R487" t="s">
        <v>165</v>
      </c>
      <c r="S487" t="s">
        <v>154</v>
      </c>
      <c r="T487" t="s">
        <v>221</v>
      </c>
      <c r="U487" t="s">
        <v>156</v>
      </c>
      <c r="V487" s="2">
        <v>44845</v>
      </c>
      <c r="W487" t="s">
        <v>1579</v>
      </c>
      <c r="X487">
        <v>60.35</v>
      </c>
      <c r="Y487">
        <v>20.2</v>
      </c>
      <c r="Z487">
        <v>13</v>
      </c>
      <c r="AA487">
        <v>15.4</v>
      </c>
      <c r="AB487">
        <v>1</v>
      </c>
      <c r="AC487">
        <v>311.08</v>
      </c>
      <c r="AD487">
        <v>303.06087508310497</v>
      </c>
      <c r="AE487" s="2">
        <v>45762</v>
      </c>
      <c r="AF487">
        <v>61</v>
      </c>
      <c r="AG487">
        <v>5.0568104038329897</v>
      </c>
      <c r="AH487">
        <v>23.1280954795774</v>
      </c>
      <c r="AI487">
        <v>15.6142857142857</v>
      </c>
      <c r="AJ487">
        <v>13.4677540311858</v>
      </c>
      <c r="AK487">
        <v>21</v>
      </c>
      <c r="AL487">
        <v>692.93009182532796</v>
      </c>
      <c r="AM487">
        <v>139.956879221035</v>
      </c>
      <c r="AN487">
        <v>0.20197835376489101</v>
      </c>
      <c r="AO487" t="s">
        <v>165</v>
      </c>
      <c r="AP487" t="s">
        <v>264</v>
      </c>
      <c r="AQ487" t="s">
        <v>294</v>
      </c>
      <c r="AR487">
        <v>7.5</v>
      </c>
      <c r="AS487">
        <v>0.51969756886899554</v>
      </c>
      <c r="AT487" t="s">
        <v>2196</v>
      </c>
      <c r="AU487" t="s">
        <v>2195</v>
      </c>
      <c r="AV487">
        <v>977</v>
      </c>
      <c r="AW487">
        <v>681</v>
      </c>
      <c r="AX487">
        <v>227</v>
      </c>
      <c r="AY487">
        <v>64</v>
      </c>
      <c r="AZ487">
        <v>5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10.622</v>
      </c>
      <c r="BI487">
        <v>4.8716179999999998</v>
      </c>
      <c r="BJ487">
        <v>0</v>
      </c>
      <c r="BK487">
        <v>3.2973110000000001</v>
      </c>
      <c r="BL487">
        <v>10.872259</v>
      </c>
      <c r="BM487">
        <v>0.67684100000000003</v>
      </c>
      <c r="BN487">
        <v>7.17</v>
      </c>
      <c r="BO487">
        <v>-0.45356600000000002</v>
      </c>
      <c r="BP487">
        <v>1.666334</v>
      </c>
      <c r="BQ487">
        <v>2.908096</v>
      </c>
      <c r="BR487">
        <v>1.919</v>
      </c>
      <c r="BS487">
        <v>6.0830000000000002</v>
      </c>
      <c r="BT487">
        <v>4.8716179999999998</v>
      </c>
      <c r="BU487">
        <v>1.8265880000000001</v>
      </c>
      <c r="BV487">
        <v>-0.228324</v>
      </c>
      <c r="BW487">
        <v>-8.9833999999999997E-2</v>
      </c>
      <c r="BX487">
        <v>0.37494499999999997</v>
      </c>
      <c r="BY487">
        <v>-0.125</v>
      </c>
      <c r="BZ487">
        <v>-4.9181999999999997E-2</v>
      </c>
      <c r="CA487">
        <v>3.0000000000000001E-3</v>
      </c>
      <c r="CB487">
        <v>1.7000000000000001E-2</v>
      </c>
      <c r="CC487">
        <v>4.1000000000000002E-2</v>
      </c>
      <c r="CD487">
        <v>0.1512</v>
      </c>
      <c r="CE487">
        <v>0.36699999999999999</v>
      </c>
      <c r="CF487">
        <v>2.6131980000000001</v>
      </c>
      <c r="CG487">
        <v>5.1821999999999999</v>
      </c>
      <c r="CH487">
        <v>6.0830000000000002</v>
      </c>
      <c r="CI487">
        <v>6.6497999999999999</v>
      </c>
      <c r="CJ487">
        <v>7.2257999999999996</v>
      </c>
      <c r="CK487">
        <v>7.5369999999999999</v>
      </c>
      <c r="CL487">
        <v>7.8566000000000003</v>
      </c>
      <c r="CM487">
        <v>8.3707999999999991</v>
      </c>
      <c r="CN487">
        <v>8.9857999999999993</v>
      </c>
      <c r="CO487">
        <v>9.70364</v>
      </c>
      <c r="CP487">
        <v>0.45863500000000001</v>
      </c>
      <c r="CQ487">
        <v>5.8816490000000003</v>
      </c>
      <c r="CR487">
        <v>6.3669750000000001</v>
      </c>
      <c r="CS487">
        <v>22</v>
      </c>
      <c r="CT487">
        <v>571</v>
      </c>
      <c r="CU487">
        <v>171.880246</v>
      </c>
      <c r="CV487">
        <v>65.571428999999995</v>
      </c>
      <c r="CW487">
        <v>119.951899</v>
      </c>
      <c r="CX487">
        <v>14388.457979999999</v>
      </c>
      <c r="CY487">
        <v>0.69788099999999997</v>
      </c>
      <c r="CZ487">
        <v>137</v>
      </c>
      <c r="DA487">
        <v>1.1920299999999999</v>
      </c>
      <c r="DB487">
        <v>3.7302330000000001</v>
      </c>
      <c r="DC487">
        <v>92.096024</v>
      </c>
      <c r="DD487">
        <v>171.880246</v>
      </c>
      <c r="DE487">
        <v>63.883626999999997</v>
      </c>
      <c r="DF487">
        <v>17.258289999999999</v>
      </c>
      <c r="DG487">
        <v>8.7454560000000008</v>
      </c>
      <c r="DH487">
        <v>0.37167499999999998</v>
      </c>
      <c r="DI487">
        <v>0.270152</v>
      </c>
      <c r="DJ487">
        <v>0.13689699999999999</v>
      </c>
      <c r="DK487">
        <v>30</v>
      </c>
      <c r="DL487">
        <v>41</v>
      </c>
      <c r="DM487">
        <v>50</v>
      </c>
      <c r="DN487">
        <v>71</v>
      </c>
      <c r="DO487">
        <v>79</v>
      </c>
      <c r="DP487">
        <v>91</v>
      </c>
      <c r="DQ487">
        <v>118</v>
      </c>
      <c r="DR487">
        <v>142</v>
      </c>
      <c r="DS487">
        <v>167</v>
      </c>
      <c r="DT487">
        <v>196</v>
      </c>
      <c r="DU487">
        <v>216</v>
      </c>
      <c r="DV487">
        <v>245.79998800000001</v>
      </c>
      <c r="DW487">
        <v>378.800049</v>
      </c>
      <c r="DX487">
        <v>436</v>
      </c>
      <c r="DY487">
        <v>514.23999000000003</v>
      </c>
      <c r="DZ487">
        <v>79.148311000000007</v>
      </c>
      <c r="EA487">
        <v>69.293756000000002</v>
      </c>
      <c r="EB487">
        <v>99.412627999999998</v>
      </c>
      <c r="EC487">
        <v>539</v>
      </c>
      <c r="ED487">
        <v>677</v>
      </c>
      <c r="EE487">
        <v>73.421439000000007</v>
      </c>
      <c r="EF487">
        <v>100</v>
      </c>
      <c r="EG487">
        <v>62.436028999999998</v>
      </c>
      <c r="EH487">
        <v>99.897645999999995</v>
      </c>
      <c r="EI487">
        <v>89.574156000000002</v>
      </c>
      <c r="EJ487">
        <v>143.31864899999999</v>
      </c>
      <c r="EK487">
        <v>500</v>
      </c>
      <c r="EL487">
        <v>681</v>
      </c>
      <c r="EM487">
        <v>610</v>
      </c>
      <c r="EN487">
        <v>976</v>
      </c>
      <c r="EO487">
        <v>681</v>
      </c>
      <c r="EP487">
        <v>977</v>
      </c>
      <c r="EQ487">
        <v>49.169348999999997</v>
      </c>
    </row>
    <row r="488" spans="1:147" x14ac:dyDescent="0.25">
      <c r="A488">
        <v>2025</v>
      </c>
      <c r="B488" t="str">
        <f t="shared" si="14"/>
        <v>RD</v>
      </c>
      <c r="C488" t="s">
        <v>2197</v>
      </c>
      <c r="D488" t="s">
        <v>2197</v>
      </c>
      <c r="E488">
        <v>27538</v>
      </c>
      <c r="F488" t="s">
        <v>2192</v>
      </c>
      <c r="G488" t="s">
        <v>1577</v>
      </c>
      <c r="H488" t="s">
        <v>2193</v>
      </c>
      <c r="I488">
        <v>60.35</v>
      </c>
      <c r="J488">
        <v>60.35</v>
      </c>
      <c r="K488" t="s">
        <v>219</v>
      </c>
      <c r="L488">
        <v>1</v>
      </c>
      <c r="M488">
        <v>2020</v>
      </c>
      <c r="O488" t="str">
        <f t="shared" si="15"/>
        <v>Talhadia</v>
      </c>
      <c r="P488" s="2">
        <v>43915</v>
      </c>
      <c r="Q488" t="s">
        <v>237</v>
      </c>
      <c r="R488" t="s">
        <v>165</v>
      </c>
      <c r="S488" t="s">
        <v>154</v>
      </c>
      <c r="T488" t="s">
        <v>221</v>
      </c>
      <c r="U488" t="s">
        <v>156</v>
      </c>
      <c r="V488" s="2">
        <v>45762</v>
      </c>
      <c r="W488" t="s">
        <v>1579</v>
      </c>
      <c r="X488">
        <v>60.35</v>
      </c>
      <c r="Y488">
        <v>20.8</v>
      </c>
      <c r="Z488">
        <v>21</v>
      </c>
      <c r="AA488">
        <v>15.4</v>
      </c>
      <c r="AB488">
        <v>3</v>
      </c>
      <c r="AC488">
        <v>320.32</v>
      </c>
      <c r="AD488">
        <v>298.63465214587097</v>
      </c>
      <c r="AE488" s="2">
        <v>45762</v>
      </c>
      <c r="AF488">
        <v>61</v>
      </c>
      <c r="AG488">
        <v>5.0568104038329897</v>
      </c>
      <c r="AH488">
        <v>23.416736105761</v>
      </c>
      <c r="AI488">
        <v>14.713333333333299</v>
      </c>
      <c r="AJ488">
        <v>17.623804603723201</v>
      </c>
      <c r="AK488">
        <v>30</v>
      </c>
      <c r="AL488">
        <v>1004.57196726608</v>
      </c>
      <c r="AM488">
        <v>190.263138564028</v>
      </c>
      <c r="AN488">
        <v>0.18939722067083301</v>
      </c>
      <c r="AO488" t="s">
        <v>165</v>
      </c>
      <c r="AP488" t="s">
        <v>264</v>
      </c>
      <c r="AQ488" t="s">
        <v>294</v>
      </c>
      <c r="AR488">
        <v>7.5</v>
      </c>
      <c r="AS488">
        <v>0.75342897544956233</v>
      </c>
      <c r="AT488" t="s">
        <v>2198</v>
      </c>
      <c r="AU488" t="s">
        <v>2197</v>
      </c>
      <c r="AV488">
        <v>2114</v>
      </c>
      <c r="AW488">
        <v>1217</v>
      </c>
      <c r="AX488">
        <v>659</v>
      </c>
      <c r="AY488">
        <v>198</v>
      </c>
      <c r="AZ488">
        <v>36</v>
      </c>
      <c r="BA488">
        <v>4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27.059000000000001</v>
      </c>
      <c r="BI488">
        <v>12.646324</v>
      </c>
      <c r="BJ488">
        <v>0</v>
      </c>
      <c r="BK488">
        <v>9.6328429999999994</v>
      </c>
      <c r="BL488">
        <v>92.791658999999996</v>
      </c>
      <c r="BM488">
        <v>0.76171100000000003</v>
      </c>
      <c r="BN488">
        <v>21.30725</v>
      </c>
      <c r="BO488">
        <v>-0.27184900000000001</v>
      </c>
      <c r="BP488">
        <v>1.4537929999999999</v>
      </c>
      <c r="BQ488">
        <v>8.7362110000000008</v>
      </c>
      <c r="BR488">
        <v>7.3419999999999996</v>
      </c>
      <c r="BS488">
        <v>15.848000000000001</v>
      </c>
      <c r="BT488">
        <v>12.646324</v>
      </c>
      <c r="BU488">
        <v>5.369224</v>
      </c>
      <c r="BV488">
        <v>-0.32137500000000002</v>
      </c>
      <c r="BW488">
        <v>-0.58016599999999996</v>
      </c>
      <c r="BX488">
        <v>0.424568</v>
      </c>
      <c r="BY488">
        <v>-5.9854999999999998E-2</v>
      </c>
      <c r="BZ488">
        <v>-0.108054</v>
      </c>
      <c r="CA488">
        <v>1.1299999999999999E-3</v>
      </c>
      <c r="CB488">
        <v>7.0000000000000001E-3</v>
      </c>
      <c r="CC488">
        <v>1.6E-2</v>
      </c>
      <c r="CD488">
        <v>3.6999999999999998E-2</v>
      </c>
      <c r="CE488">
        <v>5.8000000000000003E-2</v>
      </c>
      <c r="CF488">
        <v>0.13700000000000001</v>
      </c>
      <c r="CG488">
        <v>11.725801000000001</v>
      </c>
      <c r="CH488">
        <v>15.848000000000001</v>
      </c>
      <c r="CI488">
        <v>17.9328</v>
      </c>
      <c r="CJ488">
        <v>20.2288</v>
      </c>
      <c r="CK488">
        <v>21.36525</v>
      </c>
      <c r="CL488">
        <v>22.276599999999998</v>
      </c>
      <c r="CM488">
        <v>23.957198999999999</v>
      </c>
      <c r="CN488">
        <v>24.731100000000001</v>
      </c>
      <c r="CO488">
        <v>26.041143000000002</v>
      </c>
      <c r="CP488">
        <v>0.46736100000000003</v>
      </c>
      <c r="CQ488">
        <v>15.895826</v>
      </c>
      <c r="CR488">
        <v>17.433373</v>
      </c>
      <c r="CS488">
        <v>18</v>
      </c>
      <c r="CT488">
        <v>548</v>
      </c>
      <c r="CU488">
        <v>147.84768199999999</v>
      </c>
      <c r="CV488">
        <v>34.825397000000002</v>
      </c>
      <c r="CW488">
        <v>118.594528</v>
      </c>
      <c r="CX488">
        <v>14064.66207</v>
      </c>
      <c r="CY488">
        <v>0.80213999999999996</v>
      </c>
      <c r="CZ488">
        <v>134</v>
      </c>
      <c r="DA488">
        <v>1.2949120000000001</v>
      </c>
      <c r="DB488">
        <v>3.76173</v>
      </c>
      <c r="DC488">
        <v>92.808605</v>
      </c>
      <c r="DD488">
        <v>147.84768199999999</v>
      </c>
      <c r="DE488">
        <v>61.902408999999999</v>
      </c>
      <c r="DF488">
        <v>20.46003</v>
      </c>
      <c r="DG488">
        <v>7.695856</v>
      </c>
      <c r="DH488">
        <v>0.41869000000000001</v>
      </c>
      <c r="DI488">
        <v>0.33052100000000001</v>
      </c>
      <c r="DJ488">
        <v>0.124322</v>
      </c>
      <c r="DK488">
        <v>27</v>
      </c>
      <c r="DL488">
        <v>34</v>
      </c>
      <c r="DM488">
        <v>39</v>
      </c>
      <c r="DN488">
        <v>52.600006</v>
      </c>
      <c r="DO488">
        <v>59</v>
      </c>
      <c r="DP488">
        <v>65.900024000000002</v>
      </c>
      <c r="DQ488">
        <v>85</v>
      </c>
      <c r="DR488">
        <v>106</v>
      </c>
      <c r="DS488">
        <v>132</v>
      </c>
      <c r="DT488">
        <v>168.099976</v>
      </c>
      <c r="DU488">
        <v>193</v>
      </c>
      <c r="DV488">
        <v>232.400024</v>
      </c>
      <c r="DW488">
        <v>356.79980499999999</v>
      </c>
      <c r="DX488">
        <v>418</v>
      </c>
      <c r="DY488">
        <v>471</v>
      </c>
      <c r="DZ488">
        <v>79.950698000000003</v>
      </c>
      <c r="EA488">
        <v>67.928098000000006</v>
      </c>
      <c r="EB488">
        <v>117.99507</v>
      </c>
      <c r="EC488">
        <v>973</v>
      </c>
      <c r="ED488">
        <v>1436</v>
      </c>
      <c r="EE488">
        <v>72.062449000000001</v>
      </c>
      <c r="EF488">
        <v>99.589153999999994</v>
      </c>
      <c r="EG488">
        <v>58.278146</v>
      </c>
      <c r="EH488">
        <v>99.621570000000006</v>
      </c>
      <c r="EI488">
        <v>101.232539</v>
      </c>
      <c r="EJ488">
        <v>173.04848000000001</v>
      </c>
      <c r="EK488">
        <v>877</v>
      </c>
      <c r="EL488">
        <v>1212</v>
      </c>
      <c r="EM488">
        <v>1232</v>
      </c>
      <c r="EN488">
        <v>2106</v>
      </c>
      <c r="EO488">
        <v>1217</v>
      </c>
      <c r="EP488">
        <v>2114</v>
      </c>
      <c r="EQ488">
        <v>47.538497999999997</v>
      </c>
    </row>
    <row r="489" spans="1:147" x14ac:dyDescent="0.25">
      <c r="A489">
        <v>2025</v>
      </c>
      <c r="B489" t="str">
        <f t="shared" si="14"/>
        <v>RD</v>
      </c>
      <c r="C489" t="s">
        <v>2199</v>
      </c>
      <c r="D489" t="s">
        <v>2199</v>
      </c>
      <c r="E489">
        <v>30974</v>
      </c>
      <c r="F489" t="s">
        <v>2192</v>
      </c>
      <c r="G489" t="s">
        <v>1577</v>
      </c>
      <c r="H489" t="s">
        <v>2193</v>
      </c>
      <c r="I489">
        <v>60.35</v>
      </c>
      <c r="J489">
        <v>60.35</v>
      </c>
      <c r="K489" t="s">
        <v>219</v>
      </c>
      <c r="L489">
        <v>1</v>
      </c>
      <c r="M489">
        <v>2020</v>
      </c>
      <c r="O489" t="str">
        <f t="shared" si="15"/>
        <v>Talhadia</v>
      </c>
      <c r="P489" s="2">
        <v>43915</v>
      </c>
      <c r="Q489" t="s">
        <v>237</v>
      </c>
      <c r="R489" t="s">
        <v>165</v>
      </c>
      <c r="S489" t="s">
        <v>154</v>
      </c>
      <c r="T489" t="s">
        <v>221</v>
      </c>
      <c r="U489" t="s">
        <v>156</v>
      </c>
      <c r="V489" s="2">
        <v>44846</v>
      </c>
      <c r="W489" t="s">
        <v>1579</v>
      </c>
      <c r="X489">
        <v>60.35</v>
      </c>
      <c r="Y489">
        <v>20</v>
      </c>
      <c r="Z489">
        <v>18</v>
      </c>
      <c r="AA489">
        <v>16.2</v>
      </c>
      <c r="AB489">
        <v>2</v>
      </c>
      <c r="AC489">
        <v>324</v>
      </c>
      <c r="AD489">
        <v>307.95459930932498</v>
      </c>
      <c r="AE489" s="2">
        <v>45762</v>
      </c>
      <c r="AF489">
        <v>61</v>
      </c>
      <c r="AG489">
        <v>5.0568104038329897</v>
      </c>
      <c r="AH489">
        <v>21.092040111723101</v>
      </c>
      <c r="AI489">
        <v>12.331428571428599</v>
      </c>
      <c r="AJ489">
        <v>13.8883457389862</v>
      </c>
      <c r="AK489">
        <v>35</v>
      </c>
      <c r="AL489">
        <v>1136.5311665582301</v>
      </c>
      <c r="AM489">
        <v>136.87060872318301</v>
      </c>
      <c r="AN489">
        <v>0.12042838133306</v>
      </c>
      <c r="AO489" t="s">
        <v>165</v>
      </c>
      <c r="AP489" t="s">
        <v>264</v>
      </c>
      <c r="AQ489" t="s">
        <v>294</v>
      </c>
      <c r="AR489">
        <v>7.5</v>
      </c>
      <c r="AS489">
        <v>0.85239837491867387</v>
      </c>
      <c r="AT489" t="s">
        <v>2200</v>
      </c>
      <c r="AU489" t="s">
        <v>2199</v>
      </c>
      <c r="AV489">
        <v>1045</v>
      </c>
      <c r="AW489">
        <v>558</v>
      </c>
      <c r="AX489">
        <v>358</v>
      </c>
      <c r="AY489">
        <v>113</v>
      </c>
      <c r="AZ489">
        <v>15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24.347999999999999</v>
      </c>
      <c r="BI489">
        <v>8.8498819999999991</v>
      </c>
      <c r="BJ489">
        <v>0</v>
      </c>
      <c r="BK489">
        <v>9.0209189999999992</v>
      </c>
      <c r="BL489">
        <v>81.376983999999993</v>
      </c>
      <c r="BM489">
        <v>1.019326</v>
      </c>
      <c r="BN489">
        <v>17.652000000000001</v>
      </c>
      <c r="BO489">
        <v>0.29943399999999998</v>
      </c>
      <c r="BP489">
        <v>1.40659</v>
      </c>
      <c r="BQ489">
        <v>8.4336339999999996</v>
      </c>
      <c r="BR489">
        <v>6.8129999999999997</v>
      </c>
      <c r="BS489">
        <v>6.827</v>
      </c>
      <c r="BT489">
        <v>8.8498819999999991</v>
      </c>
      <c r="BU489">
        <v>4.9398090000000003</v>
      </c>
      <c r="BV489">
        <v>0.82202500000000001</v>
      </c>
      <c r="BW489">
        <v>-0.65948600000000002</v>
      </c>
      <c r="BX489">
        <v>0.55817799999999995</v>
      </c>
      <c r="BY489">
        <v>0.166408</v>
      </c>
      <c r="BZ489">
        <v>-0.13350400000000001</v>
      </c>
      <c r="CA489">
        <v>1E-3</v>
      </c>
      <c r="CB489">
        <v>6.0000000000000001E-3</v>
      </c>
      <c r="CC489">
        <v>1.2E-2</v>
      </c>
      <c r="CD489">
        <v>2.9000000000000001E-2</v>
      </c>
      <c r="CE489">
        <v>3.9E-2</v>
      </c>
      <c r="CF489">
        <v>5.7000000000000002E-2</v>
      </c>
      <c r="CG489">
        <v>0.1198</v>
      </c>
      <c r="CH489">
        <v>6.827</v>
      </c>
      <c r="CI489">
        <v>12.932402</v>
      </c>
      <c r="CJ489">
        <v>16.004999000000002</v>
      </c>
      <c r="CK489">
        <v>17.690999999999999</v>
      </c>
      <c r="CL489">
        <v>19.372999</v>
      </c>
      <c r="CM489">
        <v>21.755400000000002</v>
      </c>
      <c r="CN489">
        <v>22.561800000000002</v>
      </c>
      <c r="CO489">
        <v>23.754004999999999</v>
      </c>
      <c r="CP489">
        <v>0.36347499999999999</v>
      </c>
      <c r="CQ489">
        <v>12.634062</v>
      </c>
      <c r="CR489">
        <v>14.535685000000001</v>
      </c>
      <c r="CS489">
        <v>21</v>
      </c>
      <c r="CT489">
        <v>550</v>
      </c>
      <c r="CU489">
        <v>151.79425800000001</v>
      </c>
      <c r="CV489">
        <v>37.793650999999997</v>
      </c>
      <c r="CW489">
        <v>128.910706</v>
      </c>
      <c r="CX489">
        <v>16617.970079999999</v>
      </c>
      <c r="CY489">
        <v>0.84924599999999995</v>
      </c>
      <c r="CZ489">
        <v>151</v>
      </c>
      <c r="DA489">
        <v>1.1804809999999999</v>
      </c>
      <c r="DB489">
        <v>3.1102289999999999</v>
      </c>
      <c r="DC489">
        <v>104.092507</v>
      </c>
      <c r="DD489">
        <v>151.79425800000001</v>
      </c>
      <c r="DE489">
        <v>67.129947000000001</v>
      </c>
      <c r="DF489">
        <v>23.399512000000001</v>
      </c>
      <c r="DG489">
        <v>6.4449059999999996</v>
      </c>
      <c r="DH489">
        <v>0.442243</v>
      </c>
      <c r="DI489">
        <v>0.34856999999999999</v>
      </c>
      <c r="DJ489">
        <v>9.6005999999999994E-2</v>
      </c>
      <c r="DK489">
        <v>28.439999</v>
      </c>
      <c r="DL489">
        <v>33</v>
      </c>
      <c r="DM489">
        <v>39</v>
      </c>
      <c r="DN489">
        <v>49</v>
      </c>
      <c r="DO489">
        <v>55</v>
      </c>
      <c r="DP489">
        <v>62</v>
      </c>
      <c r="DQ489">
        <v>79</v>
      </c>
      <c r="DR489">
        <v>98</v>
      </c>
      <c r="DS489">
        <v>126</v>
      </c>
      <c r="DT489">
        <v>165</v>
      </c>
      <c r="DU489">
        <v>206</v>
      </c>
      <c r="DV489">
        <v>272.20001200000002</v>
      </c>
      <c r="DW489">
        <v>386.59997600000003</v>
      </c>
      <c r="DX489">
        <v>425.79998799999998</v>
      </c>
      <c r="DY489">
        <v>477.56005900000002</v>
      </c>
      <c r="DZ489">
        <v>67.383512999999994</v>
      </c>
      <c r="EA489">
        <v>53.110047999999999</v>
      </c>
      <c r="EB489">
        <v>99.462366000000003</v>
      </c>
      <c r="EC489">
        <v>376</v>
      </c>
      <c r="ED489">
        <v>555</v>
      </c>
      <c r="EE489">
        <v>62.724013999999997</v>
      </c>
      <c r="EF489">
        <v>99.462366000000003</v>
      </c>
      <c r="EG489">
        <v>47.751196</v>
      </c>
      <c r="EH489">
        <v>99.043062000000006</v>
      </c>
      <c r="EI489">
        <v>89.426523000000003</v>
      </c>
      <c r="EJ489">
        <v>185.48387099999999</v>
      </c>
      <c r="EK489">
        <v>350</v>
      </c>
      <c r="EL489">
        <v>555</v>
      </c>
      <c r="EM489">
        <v>499</v>
      </c>
      <c r="EN489">
        <v>1035</v>
      </c>
      <c r="EO489">
        <v>558</v>
      </c>
      <c r="EP489">
        <v>1045</v>
      </c>
      <c r="EQ489">
        <v>36.218361999999999</v>
      </c>
    </row>
    <row r="490" spans="1:147" x14ac:dyDescent="0.25">
      <c r="A490">
        <v>2025</v>
      </c>
      <c r="B490" t="str">
        <f t="shared" si="14"/>
        <v>RD</v>
      </c>
      <c r="C490" t="s">
        <v>2201</v>
      </c>
      <c r="D490" t="s">
        <v>2201</v>
      </c>
      <c r="E490">
        <v>25767</v>
      </c>
      <c r="F490" t="s">
        <v>1222</v>
      </c>
      <c r="G490" t="s">
        <v>1223</v>
      </c>
      <c r="H490" t="s">
        <v>1224</v>
      </c>
      <c r="I490">
        <v>38.32</v>
      </c>
      <c r="J490">
        <v>38.32</v>
      </c>
      <c r="K490" t="s">
        <v>527</v>
      </c>
      <c r="L490">
        <v>1</v>
      </c>
      <c r="M490">
        <v>2017</v>
      </c>
      <c r="O490" t="str">
        <f t="shared" si="15"/>
        <v>Alto fuste</v>
      </c>
      <c r="P490" s="2">
        <v>43089</v>
      </c>
      <c r="Q490" t="s">
        <v>174</v>
      </c>
      <c r="R490" t="s">
        <v>367</v>
      </c>
      <c r="S490" t="s">
        <v>154</v>
      </c>
      <c r="T490" t="s">
        <v>527</v>
      </c>
      <c r="U490" t="s">
        <v>156</v>
      </c>
      <c r="V490" s="2">
        <v>45736</v>
      </c>
      <c r="W490" t="s">
        <v>1225</v>
      </c>
      <c r="X490">
        <v>66.100000000000009</v>
      </c>
      <c r="Y490">
        <v>21.6</v>
      </c>
      <c r="Z490">
        <v>30</v>
      </c>
      <c r="AA490">
        <v>14.3</v>
      </c>
      <c r="AB490">
        <v>7</v>
      </c>
      <c r="AC490">
        <v>308.88</v>
      </c>
      <c r="AD490">
        <v>265.504037738899</v>
      </c>
      <c r="AE490" s="2">
        <v>45736</v>
      </c>
      <c r="AF490">
        <v>87</v>
      </c>
      <c r="AG490">
        <v>7.2470910335386698</v>
      </c>
      <c r="AH490">
        <v>26.9427817855547</v>
      </c>
      <c r="AI490">
        <v>15.3368421052632</v>
      </c>
      <c r="AJ490">
        <v>27.3926147707604</v>
      </c>
      <c r="AK490">
        <v>38</v>
      </c>
      <c r="AL490">
        <v>1431.2400038665301</v>
      </c>
      <c r="AM490">
        <v>345.14479495090302</v>
      </c>
      <c r="AN490">
        <v>0.24115088595797099</v>
      </c>
      <c r="AO490" t="s">
        <v>367</v>
      </c>
      <c r="AP490" t="s">
        <v>158</v>
      </c>
      <c r="AQ490" t="s">
        <v>294</v>
      </c>
      <c r="AR490">
        <v>9</v>
      </c>
      <c r="AS490">
        <v>1.2881160034798731</v>
      </c>
      <c r="AT490" t="s">
        <v>2202</v>
      </c>
      <c r="AU490" t="s">
        <v>2201</v>
      </c>
      <c r="AV490">
        <v>1258</v>
      </c>
      <c r="AW490">
        <v>755</v>
      </c>
      <c r="AX490">
        <v>393</v>
      </c>
      <c r="AY490">
        <v>99</v>
      </c>
      <c r="AZ490">
        <v>9</v>
      </c>
      <c r="BA490">
        <v>2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30.959999</v>
      </c>
      <c r="BI490">
        <v>14.417154999999999</v>
      </c>
      <c r="BJ490">
        <v>0</v>
      </c>
      <c r="BK490">
        <v>12.575908</v>
      </c>
      <c r="BL490">
        <v>158.15347199999999</v>
      </c>
      <c r="BM490">
        <v>0.87228799999999995</v>
      </c>
      <c r="BN490">
        <v>25.835999999999999</v>
      </c>
      <c r="BO490">
        <v>-5.6874000000000001E-2</v>
      </c>
      <c r="BP490">
        <v>1.1252059999999999</v>
      </c>
      <c r="BQ490">
        <v>12.204893</v>
      </c>
      <c r="BR490">
        <v>10.138498</v>
      </c>
      <c r="BS490">
        <v>19.205501999999999</v>
      </c>
      <c r="BT490">
        <v>14.417154999999999</v>
      </c>
      <c r="BU490">
        <v>6.7919159999999996</v>
      </c>
      <c r="BV490">
        <v>-1.5617000000000001E-2</v>
      </c>
      <c r="BW490">
        <v>-1.2848660000000001</v>
      </c>
      <c r="BX490">
        <v>0.47110000000000002</v>
      </c>
      <c r="BY490">
        <v>-2.2989999999999998E-3</v>
      </c>
      <c r="BZ490">
        <v>-0.18917600000000001</v>
      </c>
      <c r="CA490">
        <v>6.0000000000000001E-3</v>
      </c>
      <c r="CB490">
        <v>3.6850000000000001E-2</v>
      </c>
      <c r="CC490">
        <v>0.1144</v>
      </c>
      <c r="CD490">
        <v>0.69620000000000004</v>
      </c>
      <c r="CE490">
        <v>0.98299999999999998</v>
      </c>
      <c r="CF490">
        <v>1.3130999999999999</v>
      </c>
      <c r="CG490">
        <v>2.0047999999999999</v>
      </c>
      <c r="CH490">
        <v>19.205501999999999</v>
      </c>
      <c r="CI490">
        <v>25.147600000000001</v>
      </c>
      <c r="CJ490">
        <v>26.393801</v>
      </c>
      <c r="CK490">
        <v>26.818999999999999</v>
      </c>
      <c r="CL490">
        <v>27.3568</v>
      </c>
      <c r="CM490">
        <v>28.4893</v>
      </c>
      <c r="CN490">
        <v>29.289650000000002</v>
      </c>
      <c r="CO490">
        <v>30.344771999999999</v>
      </c>
      <c r="CP490">
        <v>0.46566999999999997</v>
      </c>
      <c r="CQ490">
        <v>19.128045</v>
      </c>
      <c r="CR490">
        <v>21.340309000000001</v>
      </c>
      <c r="CS490">
        <v>24</v>
      </c>
      <c r="CT490">
        <v>635</v>
      </c>
      <c r="CU490">
        <v>193.489666</v>
      </c>
      <c r="CV490">
        <v>33.698413000000002</v>
      </c>
      <c r="CW490">
        <v>134.698001</v>
      </c>
      <c r="CX490">
        <v>18143.551599999999</v>
      </c>
      <c r="CY490">
        <v>0.69615099999999996</v>
      </c>
      <c r="CZ490">
        <v>193.5</v>
      </c>
      <c r="DA490">
        <v>0.84297200000000005</v>
      </c>
      <c r="DB490">
        <v>2.9338839999999999</v>
      </c>
      <c r="DC490">
        <v>109.940476</v>
      </c>
      <c r="DD490">
        <v>193.489666</v>
      </c>
      <c r="DE490">
        <v>74.575784999999996</v>
      </c>
      <c r="DF490">
        <v>15.328003000000001</v>
      </c>
      <c r="DG490">
        <v>5.2697640000000003</v>
      </c>
      <c r="DH490">
        <v>0.38542500000000002</v>
      </c>
      <c r="DI490">
        <v>0.205536</v>
      </c>
      <c r="DJ490">
        <v>7.0663000000000004E-2</v>
      </c>
      <c r="DK490">
        <v>27.57</v>
      </c>
      <c r="DL490">
        <v>35</v>
      </c>
      <c r="DM490">
        <v>46</v>
      </c>
      <c r="DN490">
        <v>67.399994000000007</v>
      </c>
      <c r="DO490">
        <v>78.25</v>
      </c>
      <c r="DP490">
        <v>94</v>
      </c>
      <c r="DQ490">
        <v>129</v>
      </c>
      <c r="DR490">
        <v>165.5</v>
      </c>
      <c r="DS490">
        <v>203.20001199999999</v>
      </c>
      <c r="DT490">
        <v>247.900024</v>
      </c>
      <c r="DU490">
        <v>271.75</v>
      </c>
      <c r="DV490">
        <v>307</v>
      </c>
      <c r="DW490">
        <v>402.300049</v>
      </c>
      <c r="DX490">
        <v>461.45007299999997</v>
      </c>
      <c r="DY490">
        <v>554.16064500000005</v>
      </c>
      <c r="DZ490">
        <v>77.880795000000006</v>
      </c>
      <c r="EA490">
        <v>56.597774000000001</v>
      </c>
      <c r="EB490">
        <v>94.304636000000002</v>
      </c>
      <c r="EC490">
        <v>588</v>
      </c>
      <c r="ED490">
        <v>712</v>
      </c>
      <c r="EE490">
        <v>74.172184999999999</v>
      </c>
      <c r="EF490">
        <v>100</v>
      </c>
      <c r="EG490">
        <v>52.464229000000003</v>
      </c>
      <c r="EH490">
        <v>99.841016999999994</v>
      </c>
      <c r="EI490">
        <v>87.417219000000003</v>
      </c>
      <c r="EJ490">
        <v>166.35761600000001</v>
      </c>
      <c r="EK490">
        <v>560</v>
      </c>
      <c r="EL490">
        <v>755</v>
      </c>
      <c r="EM490">
        <v>660</v>
      </c>
      <c r="EN490">
        <v>1256</v>
      </c>
      <c r="EO490">
        <v>755</v>
      </c>
      <c r="EP490">
        <v>1258</v>
      </c>
      <c r="EQ490">
        <v>46.511401999999997</v>
      </c>
    </row>
    <row r="491" spans="1:147" x14ac:dyDescent="0.25">
      <c r="A491">
        <v>2025</v>
      </c>
      <c r="B491" t="str">
        <f t="shared" si="14"/>
        <v>RD</v>
      </c>
      <c r="C491" t="s">
        <v>2203</v>
      </c>
      <c r="D491" t="s">
        <v>2203</v>
      </c>
      <c r="E491">
        <v>25771</v>
      </c>
      <c r="F491" t="s">
        <v>1222</v>
      </c>
      <c r="G491" t="s">
        <v>1223</v>
      </c>
      <c r="H491" t="s">
        <v>1224</v>
      </c>
      <c r="I491">
        <v>38.32</v>
      </c>
      <c r="J491">
        <v>38.32</v>
      </c>
      <c r="K491" t="s">
        <v>527</v>
      </c>
      <c r="L491">
        <v>1</v>
      </c>
      <c r="M491">
        <v>2017</v>
      </c>
      <c r="O491" t="str">
        <f t="shared" si="15"/>
        <v>Alto fuste</v>
      </c>
      <c r="P491" s="2">
        <v>43089</v>
      </c>
      <c r="Q491" t="s">
        <v>174</v>
      </c>
      <c r="R491" t="s">
        <v>367</v>
      </c>
      <c r="S491" t="s">
        <v>154</v>
      </c>
      <c r="T491" t="s">
        <v>527</v>
      </c>
      <c r="U491" t="s">
        <v>156</v>
      </c>
      <c r="V491" s="2">
        <v>44847</v>
      </c>
      <c r="W491" t="s">
        <v>1225</v>
      </c>
      <c r="X491">
        <v>66.100000000000009</v>
      </c>
      <c r="Y491">
        <v>20</v>
      </c>
      <c r="Z491">
        <v>15</v>
      </c>
      <c r="AA491">
        <v>15.1</v>
      </c>
      <c r="AB491">
        <v>1</v>
      </c>
      <c r="AC491">
        <v>302</v>
      </c>
      <c r="AD491">
        <v>291.66517075436201</v>
      </c>
      <c r="AE491" s="2">
        <v>45736</v>
      </c>
      <c r="AF491">
        <v>87</v>
      </c>
      <c r="AG491">
        <v>7.2470910335386698</v>
      </c>
      <c r="AH491">
        <v>27.139145410601699</v>
      </c>
      <c r="AI491">
        <v>16.3071428571429</v>
      </c>
      <c r="AJ491">
        <v>20.7876123128665</v>
      </c>
      <c r="AK491">
        <v>28</v>
      </c>
      <c r="AL491">
        <v>960.00492371375401</v>
      </c>
      <c r="AM491">
        <v>262.46055677795601</v>
      </c>
      <c r="AN491">
        <v>0.27339501110331199</v>
      </c>
      <c r="AO491" t="s">
        <v>367</v>
      </c>
      <c r="AP491" t="s">
        <v>158</v>
      </c>
      <c r="AQ491" t="s">
        <v>294</v>
      </c>
      <c r="AR491">
        <v>9</v>
      </c>
      <c r="AS491">
        <v>0.86400443134237748</v>
      </c>
      <c r="AT491" t="s">
        <v>2204</v>
      </c>
      <c r="AU491" t="s">
        <v>2203</v>
      </c>
      <c r="AV491">
        <v>1203</v>
      </c>
      <c r="AW491">
        <v>787</v>
      </c>
      <c r="AX491">
        <v>324</v>
      </c>
      <c r="AY491">
        <v>83</v>
      </c>
      <c r="AZ491">
        <v>8</v>
      </c>
      <c r="BA491">
        <v>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31.033000999999999</v>
      </c>
      <c r="BI491">
        <v>16.894393999999998</v>
      </c>
      <c r="BJ491">
        <v>0</v>
      </c>
      <c r="BK491">
        <v>11.843026999999999</v>
      </c>
      <c r="BL491">
        <v>140.257285</v>
      </c>
      <c r="BM491">
        <v>0.70100300000000004</v>
      </c>
      <c r="BN491">
        <v>24.703999</v>
      </c>
      <c r="BO491">
        <v>-0.53589200000000003</v>
      </c>
      <c r="BP491">
        <v>1.4227190000000001</v>
      </c>
      <c r="BQ491">
        <v>11.089677999999999</v>
      </c>
      <c r="BR491">
        <v>3.1869999999999998</v>
      </c>
      <c r="BS491">
        <v>24.646999000000001</v>
      </c>
      <c r="BT491">
        <v>16.894393999999998</v>
      </c>
      <c r="BU491">
        <v>6.2395100000000001</v>
      </c>
      <c r="BV491">
        <v>-1.2840469999999999</v>
      </c>
      <c r="BW491">
        <v>-0.711086</v>
      </c>
      <c r="BX491">
        <v>0.36932399999999999</v>
      </c>
      <c r="BY491">
        <v>-0.205793</v>
      </c>
      <c r="BZ491">
        <v>-0.113965</v>
      </c>
      <c r="CA491">
        <v>2E-3</v>
      </c>
      <c r="CB491">
        <v>1.0999999999999999E-2</v>
      </c>
      <c r="CC491">
        <v>2.7E-2</v>
      </c>
      <c r="CD491">
        <v>0.4108</v>
      </c>
      <c r="CE491">
        <v>1.6865000000000001</v>
      </c>
      <c r="CF491">
        <v>2.6936</v>
      </c>
      <c r="CG491">
        <v>19.609400000000001</v>
      </c>
      <c r="CH491">
        <v>24.646999000000001</v>
      </c>
      <c r="CI491">
        <v>25.410999</v>
      </c>
      <c r="CJ491">
        <v>26.055600999999999</v>
      </c>
      <c r="CK491">
        <v>26.390498999999998</v>
      </c>
      <c r="CL491">
        <v>26.764999</v>
      </c>
      <c r="CM491">
        <v>27.648201</v>
      </c>
      <c r="CN491">
        <v>28.4834</v>
      </c>
      <c r="CO491">
        <v>29.811458999999999</v>
      </c>
      <c r="CP491">
        <v>0.54440100000000002</v>
      </c>
      <c r="CQ491">
        <v>20.629135999999999</v>
      </c>
      <c r="CR491">
        <v>22.263604999999998</v>
      </c>
      <c r="CS491">
        <v>25</v>
      </c>
      <c r="CT491">
        <v>552</v>
      </c>
      <c r="CU491">
        <v>159.73898600000001</v>
      </c>
      <c r="CV491">
        <v>50.095238000000002</v>
      </c>
      <c r="CW491">
        <v>103.992768</v>
      </c>
      <c r="CX491">
        <v>10814.49588</v>
      </c>
      <c r="CY491">
        <v>0.65101699999999996</v>
      </c>
      <c r="CZ491">
        <v>142</v>
      </c>
      <c r="DA491">
        <v>1.054594</v>
      </c>
      <c r="DB491">
        <v>4.0726509999999996</v>
      </c>
      <c r="DC491">
        <v>82.068217000000004</v>
      </c>
      <c r="DD491">
        <v>159.73898600000001</v>
      </c>
      <c r="DE491">
        <v>56.680377999999997</v>
      </c>
      <c r="DF491">
        <v>11.204313000000001</v>
      </c>
      <c r="DG491">
        <v>6.0147349999999999</v>
      </c>
      <c r="DH491">
        <v>0.35483100000000001</v>
      </c>
      <c r="DI491">
        <v>0.19767499999999999</v>
      </c>
      <c r="DJ491">
        <v>0.106117</v>
      </c>
      <c r="DK491">
        <v>29</v>
      </c>
      <c r="DL491">
        <v>34.099997999999999</v>
      </c>
      <c r="DM491">
        <v>44</v>
      </c>
      <c r="DN491">
        <v>63</v>
      </c>
      <c r="DO491">
        <v>74</v>
      </c>
      <c r="DP491">
        <v>88.600005999999993</v>
      </c>
      <c r="DQ491">
        <v>116</v>
      </c>
      <c r="DR491">
        <v>143</v>
      </c>
      <c r="DS491">
        <v>169.20001199999999</v>
      </c>
      <c r="DT491">
        <v>202.400024</v>
      </c>
      <c r="DU491">
        <v>216</v>
      </c>
      <c r="DV491">
        <v>236.599976</v>
      </c>
      <c r="DW491">
        <v>294</v>
      </c>
      <c r="DX491">
        <v>364.90002399999997</v>
      </c>
      <c r="DY491">
        <v>492.81982399999998</v>
      </c>
      <c r="DZ491">
        <v>87.039389999999997</v>
      </c>
      <c r="EA491">
        <v>69.243557999999993</v>
      </c>
      <c r="EB491">
        <v>105.844981</v>
      </c>
      <c r="EC491">
        <v>685</v>
      </c>
      <c r="ED491">
        <v>833</v>
      </c>
      <c r="EE491">
        <v>82.083862999999994</v>
      </c>
      <c r="EF491">
        <v>100</v>
      </c>
      <c r="EG491">
        <v>62.593516000000001</v>
      </c>
      <c r="EH491">
        <v>99.916874000000007</v>
      </c>
      <c r="EI491">
        <v>95.679796999999994</v>
      </c>
      <c r="EJ491">
        <v>152.73189300000001</v>
      </c>
      <c r="EK491">
        <v>646</v>
      </c>
      <c r="EL491">
        <v>787</v>
      </c>
      <c r="EM491">
        <v>753</v>
      </c>
      <c r="EN491">
        <v>1202</v>
      </c>
      <c r="EO491">
        <v>787</v>
      </c>
      <c r="EP491">
        <v>1203</v>
      </c>
      <c r="EQ491">
        <v>55.663541000000002</v>
      </c>
    </row>
    <row r="492" spans="1:147" x14ac:dyDescent="0.25">
      <c r="A492">
        <v>2025</v>
      </c>
      <c r="B492" t="str">
        <f t="shared" si="14"/>
        <v>RD</v>
      </c>
      <c r="C492" t="s">
        <v>2205</v>
      </c>
      <c r="D492" t="s">
        <v>2205</v>
      </c>
      <c r="E492">
        <v>30809</v>
      </c>
      <c r="F492" t="s">
        <v>1222</v>
      </c>
      <c r="G492" t="s">
        <v>1223</v>
      </c>
      <c r="H492" t="s">
        <v>1224</v>
      </c>
      <c r="I492">
        <v>38.32</v>
      </c>
      <c r="J492">
        <v>38.32</v>
      </c>
      <c r="K492" t="s">
        <v>527</v>
      </c>
      <c r="L492">
        <v>1</v>
      </c>
      <c r="M492">
        <v>2017</v>
      </c>
      <c r="O492" t="str">
        <f t="shared" si="15"/>
        <v>Alto fuste</v>
      </c>
      <c r="P492" s="2">
        <v>43089</v>
      </c>
      <c r="Q492" t="s">
        <v>174</v>
      </c>
      <c r="R492" t="s">
        <v>367</v>
      </c>
      <c r="S492" t="s">
        <v>154</v>
      </c>
      <c r="T492" t="s">
        <v>527</v>
      </c>
      <c r="U492" t="s">
        <v>156</v>
      </c>
      <c r="V492" s="2">
        <v>45736</v>
      </c>
      <c r="W492" t="s">
        <v>1225</v>
      </c>
      <c r="X492">
        <v>66.100000000000009</v>
      </c>
      <c r="Y492">
        <v>19.600000000000001</v>
      </c>
      <c r="Z492">
        <v>3</v>
      </c>
      <c r="AA492">
        <v>15.5</v>
      </c>
      <c r="AB492">
        <v>0</v>
      </c>
      <c r="AC492">
        <v>303.8</v>
      </c>
      <c r="AD492">
        <v>303.38365265843998</v>
      </c>
      <c r="AE492" s="2">
        <v>45736</v>
      </c>
      <c r="AF492">
        <v>87</v>
      </c>
      <c r="AG492">
        <v>7.2470910335386698</v>
      </c>
      <c r="AH492">
        <v>27.781904473642101</v>
      </c>
      <c r="AI492">
        <v>16.896296296296299</v>
      </c>
      <c r="AJ492">
        <v>20.606758534004399</v>
      </c>
      <c r="AK492">
        <v>27</v>
      </c>
      <c r="AL492">
        <v>889.96225615351705</v>
      </c>
      <c r="AM492">
        <v>264.407206945415</v>
      </c>
      <c r="AN492">
        <v>0.29709934900857699</v>
      </c>
      <c r="AO492" t="s">
        <v>367</v>
      </c>
      <c r="AP492" t="s">
        <v>158</v>
      </c>
      <c r="AQ492" t="s">
        <v>294</v>
      </c>
      <c r="AR492">
        <v>9</v>
      </c>
      <c r="AS492">
        <v>0.80096603053816462</v>
      </c>
      <c r="AT492" t="s">
        <v>2206</v>
      </c>
      <c r="AU492" t="s">
        <v>2205</v>
      </c>
      <c r="AV492">
        <v>1200</v>
      </c>
      <c r="AW492">
        <v>648</v>
      </c>
      <c r="AX492">
        <v>365</v>
      </c>
      <c r="AY492">
        <v>149</v>
      </c>
      <c r="AZ492">
        <v>34</v>
      </c>
      <c r="BA492">
        <v>4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32.235000999999997</v>
      </c>
      <c r="BI492">
        <v>17.006786999999999</v>
      </c>
      <c r="BJ492">
        <v>0</v>
      </c>
      <c r="BK492">
        <v>11.056552999999999</v>
      </c>
      <c r="BL492">
        <v>122.24737500000001</v>
      </c>
      <c r="BM492">
        <v>0.65012599999999998</v>
      </c>
      <c r="BN492">
        <v>21.329501</v>
      </c>
      <c r="BO492">
        <v>-0.42577999999999999</v>
      </c>
      <c r="BP492">
        <v>1.6999390000000001</v>
      </c>
      <c r="BQ492">
        <v>9.6390969999999996</v>
      </c>
      <c r="BR492">
        <v>8.4239999999999995</v>
      </c>
      <c r="BS492">
        <v>19.815999999999999</v>
      </c>
      <c r="BT492">
        <v>17.006786999999999</v>
      </c>
      <c r="BU492">
        <v>6.2199679999999997</v>
      </c>
      <c r="BV492">
        <v>-0.78694600000000003</v>
      </c>
      <c r="BW492">
        <v>-0.341806</v>
      </c>
      <c r="BX492">
        <v>0.365734</v>
      </c>
      <c r="BY492">
        <v>-0.12651899999999999</v>
      </c>
      <c r="BZ492">
        <v>-5.4953000000000002E-2</v>
      </c>
      <c r="CA492">
        <v>2E-3</v>
      </c>
      <c r="CB492">
        <v>1.2999999999999999E-2</v>
      </c>
      <c r="CC492">
        <v>3.6999999999999998E-2</v>
      </c>
      <c r="CD492">
        <v>1.2196</v>
      </c>
      <c r="CE492">
        <v>5.9015000000000004</v>
      </c>
      <c r="CF492">
        <v>10.080201000000001</v>
      </c>
      <c r="CG492">
        <v>16.518599999999999</v>
      </c>
      <c r="CH492">
        <v>19.815999999999999</v>
      </c>
      <c r="CI492">
        <v>22.617000999999998</v>
      </c>
      <c r="CJ492">
        <v>26.108499999999999</v>
      </c>
      <c r="CK492">
        <v>27.231000999999999</v>
      </c>
      <c r="CL492">
        <v>28.103399</v>
      </c>
      <c r="CM492">
        <v>29.480298999999999</v>
      </c>
      <c r="CN492">
        <v>30.389900000000001</v>
      </c>
      <c r="CO492">
        <v>31.388071</v>
      </c>
      <c r="CP492">
        <v>0.52758799999999995</v>
      </c>
      <c r="CQ492">
        <v>20.282413999999999</v>
      </c>
      <c r="CR492">
        <v>21.950139</v>
      </c>
      <c r="CS492">
        <v>22</v>
      </c>
      <c r="CT492">
        <v>600</v>
      </c>
      <c r="CU492">
        <v>141.46250000000001</v>
      </c>
      <c r="CV492">
        <v>31.174603000000001</v>
      </c>
      <c r="CW492">
        <v>108.32143499999999</v>
      </c>
      <c r="CX492">
        <v>11733.53321</v>
      </c>
      <c r="CY492">
        <v>0.76572499999999999</v>
      </c>
      <c r="CZ492">
        <v>132</v>
      </c>
      <c r="DA492">
        <v>1.528726</v>
      </c>
      <c r="DB492">
        <v>5.4544329999999999</v>
      </c>
      <c r="DC492">
        <v>82.586186999999995</v>
      </c>
      <c r="DD492">
        <v>141.46250000000001</v>
      </c>
      <c r="DE492">
        <v>56.197265999999999</v>
      </c>
      <c r="DF492">
        <v>16.962192000000002</v>
      </c>
      <c r="DG492">
        <v>7.9605240000000004</v>
      </c>
      <c r="DH492">
        <v>0.39725899999999997</v>
      </c>
      <c r="DI492">
        <v>0.30183300000000002</v>
      </c>
      <c r="DJ492">
        <v>0.141653</v>
      </c>
      <c r="DK492">
        <v>27</v>
      </c>
      <c r="DL492">
        <v>32</v>
      </c>
      <c r="DM492">
        <v>38</v>
      </c>
      <c r="DN492">
        <v>52</v>
      </c>
      <c r="DO492">
        <v>60</v>
      </c>
      <c r="DP492">
        <v>67</v>
      </c>
      <c r="DQ492">
        <v>87</v>
      </c>
      <c r="DR492">
        <v>109</v>
      </c>
      <c r="DS492">
        <v>137</v>
      </c>
      <c r="DT492">
        <v>171.29998800000001</v>
      </c>
      <c r="DU492">
        <v>192</v>
      </c>
      <c r="DV492">
        <v>215</v>
      </c>
      <c r="DW492">
        <v>280.09997600000003</v>
      </c>
      <c r="DX492">
        <v>371.050049</v>
      </c>
      <c r="DY492">
        <v>508.03002900000001</v>
      </c>
      <c r="DZ492">
        <v>91.975308999999996</v>
      </c>
      <c r="EA492">
        <v>77.583332999999996</v>
      </c>
      <c r="EB492">
        <v>143.67284000000001</v>
      </c>
      <c r="EC492">
        <v>596</v>
      </c>
      <c r="ED492">
        <v>931</v>
      </c>
      <c r="EE492">
        <v>81.327160000000006</v>
      </c>
      <c r="EF492">
        <v>99.845679000000004</v>
      </c>
      <c r="EG492">
        <v>58.583333000000003</v>
      </c>
      <c r="EH492">
        <v>99.916667000000004</v>
      </c>
      <c r="EI492">
        <v>108.48765400000001</v>
      </c>
      <c r="EJ492">
        <v>185.03086400000001</v>
      </c>
      <c r="EK492">
        <v>527</v>
      </c>
      <c r="EL492">
        <v>647</v>
      </c>
      <c r="EM492">
        <v>703</v>
      </c>
      <c r="EN492">
        <v>1199</v>
      </c>
      <c r="EO492">
        <v>648</v>
      </c>
      <c r="EP492">
        <v>1200</v>
      </c>
      <c r="EQ492">
        <v>53.171081000000001</v>
      </c>
    </row>
    <row r="493" spans="1:147" x14ac:dyDescent="0.25">
      <c r="A493">
        <v>2025</v>
      </c>
      <c r="B493" t="str">
        <f t="shared" si="14"/>
        <v>RD</v>
      </c>
      <c r="C493" t="s">
        <v>2207</v>
      </c>
      <c r="D493" t="s">
        <v>2207</v>
      </c>
      <c r="E493">
        <v>30810</v>
      </c>
      <c r="F493" t="s">
        <v>1222</v>
      </c>
      <c r="G493" t="s">
        <v>1223</v>
      </c>
      <c r="H493" t="s">
        <v>1224</v>
      </c>
      <c r="I493">
        <v>38.32</v>
      </c>
      <c r="J493">
        <v>38.32</v>
      </c>
      <c r="K493" t="s">
        <v>527</v>
      </c>
      <c r="L493">
        <v>1</v>
      </c>
      <c r="M493">
        <v>2017</v>
      </c>
      <c r="O493" t="str">
        <f t="shared" si="15"/>
        <v>Alto fuste</v>
      </c>
      <c r="P493" s="2">
        <v>43089</v>
      </c>
      <c r="Q493" t="s">
        <v>174</v>
      </c>
      <c r="R493" t="s">
        <v>367</v>
      </c>
      <c r="S493" t="s">
        <v>154</v>
      </c>
      <c r="T493" t="s">
        <v>527</v>
      </c>
      <c r="U493" t="s">
        <v>156</v>
      </c>
      <c r="V493" s="2">
        <v>44848</v>
      </c>
      <c r="W493" t="s">
        <v>1225</v>
      </c>
      <c r="X493">
        <v>66.100000000000009</v>
      </c>
      <c r="Y493">
        <v>19.600000000000001</v>
      </c>
      <c r="Z493">
        <v>0</v>
      </c>
      <c r="AA493">
        <v>15.9</v>
      </c>
      <c r="AB493">
        <v>0</v>
      </c>
      <c r="AC493">
        <v>311.64</v>
      </c>
      <c r="AD493">
        <v>311.64</v>
      </c>
      <c r="AE493" s="2">
        <v>45736</v>
      </c>
      <c r="AF493">
        <v>87</v>
      </c>
      <c r="AG493">
        <v>7.2470910335386698</v>
      </c>
      <c r="AH493">
        <v>26.544635011567301</v>
      </c>
      <c r="AI493">
        <v>16.112500000000001</v>
      </c>
      <c r="AJ493">
        <v>21.660497060058798</v>
      </c>
      <c r="AK493">
        <v>32</v>
      </c>
      <c r="AL493">
        <v>1026.82582466949</v>
      </c>
      <c r="AM493">
        <v>265.69897033866903</v>
      </c>
      <c r="AN493">
        <v>0.25875758473857102</v>
      </c>
      <c r="AO493" t="s">
        <v>367</v>
      </c>
      <c r="AP493" t="s">
        <v>158</v>
      </c>
      <c r="AQ493" t="s">
        <v>294</v>
      </c>
      <c r="AR493">
        <v>9</v>
      </c>
      <c r="AS493">
        <v>0.9241432422025414</v>
      </c>
      <c r="AT493" t="s">
        <v>2208</v>
      </c>
      <c r="AU493" t="s">
        <v>2207</v>
      </c>
      <c r="AV493">
        <v>1261</v>
      </c>
      <c r="AW493">
        <v>728</v>
      </c>
      <c r="AX493">
        <v>418</v>
      </c>
      <c r="AY493">
        <v>103</v>
      </c>
      <c r="AZ493">
        <v>12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31.589001</v>
      </c>
      <c r="BI493">
        <v>15.334141000000001</v>
      </c>
      <c r="BJ493">
        <v>0</v>
      </c>
      <c r="BK493">
        <v>12.492348</v>
      </c>
      <c r="BL493">
        <v>156.058763</v>
      </c>
      <c r="BM493">
        <v>0.81467500000000004</v>
      </c>
      <c r="BN493">
        <v>26.005001</v>
      </c>
      <c r="BO493">
        <v>-6.5567E-2</v>
      </c>
      <c r="BP493">
        <v>1.1880569999999999</v>
      </c>
      <c r="BQ493">
        <v>11.948105999999999</v>
      </c>
      <c r="BR493">
        <v>11.977999000000001</v>
      </c>
      <c r="BS493">
        <v>17.853000999999999</v>
      </c>
      <c r="BT493">
        <v>15.334141000000001</v>
      </c>
      <c r="BU493">
        <v>6.8842220000000003</v>
      </c>
      <c r="BV493">
        <v>-0.140427</v>
      </c>
      <c r="BW493">
        <v>-1.164644</v>
      </c>
      <c r="BX493">
        <v>0.44894699999999998</v>
      </c>
      <c r="BY493">
        <v>-2.0397999999999999E-2</v>
      </c>
      <c r="BZ493">
        <v>-0.16917599999999999</v>
      </c>
      <c r="CA493">
        <v>3.0000000000000001E-3</v>
      </c>
      <c r="CB493">
        <v>2.5999999999999999E-2</v>
      </c>
      <c r="CC493">
        <v>6.5000000000000002E-2</v>
      </c>
      <c r="CD493">
        <v>1.32</v>
      </c>
      <c r="CE493">
        <v>2.0489999999999999</v>
      </c>
      <c r="CF493">
        <v>2.6520000000000001</v>
      </c>
      <c r="CG493">
        <v>5.0170000000000003</v>
      </c>
      <c r="CH493">
        <v>17.853000999999999</v>
      </c>
      <c r="CI493">
        <v>25.655000999999999</v>
      </c>
      <c r="CJ493">
        <v>27.535999</v>
      </c>
      <c r="CK493">
        <v>28.054001</v>
      </c>
      <c r="CL493">
        <v>28.556000000000001</v>
      </c>
      <c r="CM493">
        <v>29.606999999999999</v>
      </c>
      <c r="CN493">
        <v>30.292998999999998</v>
      </c>
      <c r="CO493">
        <v>31.002399</v>
      </c>
      <c r="CP493">
        <v>0.485427</v>
      </c>
      <c r="CQ493">
        <v>19.775511999999999</v>
      </c>
      <c r="CR493">
        <v>22.002246</v>
      </c>
      <c r="CS493">
        <v>23</v>
      </c>
      <c r="CT493">
        <v>489</v>
      </c>
      <c r="CU493">
        <v>128.54559900000001</v>
      </c>
      <c r="CV493">
        <v>37.793650999999997</v>
      </c>
      <c r="CW493">
        <v>85.809121000000005</v>
      </c>
      <c r="CX493">
        <v>7363.2052599999997</v>
      </c>
      <c r="CY493">
        <v>0.66753799999999996</v>
      </c>
      <c r="CZ493">
        <v>115</v>
      </c>
      <c r="DA493">
        <v>1.1717869999999999</v>
      </c>
      <c r="DB493">
        <v>4.3745399999999997</v>
      </c>
      <c r="DC493">
        <v>67.675172000000003</v>
      </c>
      <c r="DD493">
        <v>128.54559900000001</v>
      </c>
      <c r="DE493">
        <v>46.300195000000002</v>
      </c>
      <c r="DF493">
        <v>10.690023999999999</v>
      </c>
      <c r="DG493">
        <v>4.7464529999999998</v>
      </c>
      <c r="DH493">
        <v>0.36018499999999998</v>
      </c>
      <c r="DI493">
        <v>0.23088500000000001</v>
      </c>
      <c r="DJ493">
        <v>0.102515</v>
      </c>
      <c r="DK493">
        <v>27</v>
      </c>
      <c r="DL493">
        <v>33</v>
      </c>
      <c r="DM493">
        <v>39</v>
      </c>
      <c r="DN493">
        <v>49</v>
      </c>
      <c r="DO493">
        <v>58</v>
      </c>
      <c r="DP493">
        <v>67</v>
      </c>
      <c r="DQ493">
        <v>88</v>
      </c>
      <c r="DR493">
        <v>111</v>
      </c>
      <c r="DS493">
        <v>135</v>
      </c>
      <c r="DT493">
        <v>160</v>
      </c>
      <c r="DU493">
        <v>173</v>
      </c>
      <c r="DV493">
        <v>192</v>
      </c>
      <c r="DW493">
        <v>243</v>
      </c>
      <c r="DX493">
        <v>293</v>
      </c>
      <c r="DY493">
        <v>410.800049</v>
      </c>
      <c r="DZ493">
        <v>86.401099000000002</v>
      </c>
      <c r="EA493">
        <v>68.437747999999999</v>
      </c>
      <c r="EB493">
        <v>118.54395599999999</v>
      </c>
      <c r="EC493">
        <v>629</v>
      </c>
      <c r="ED493">
        <v>863</v>
      </c>
      <c r="EE493">
        <v>78.021978000000004</v>
      </c>
      <c r="EF493">
        <v>100</v>
      </c>
      <c r="EG493">
        <v>52.97383</v>
      </c>
      <c r="EH493">
        <v>99.762094000000005</v>
      </c>
      <c r="EI493">
        <v>91.758241999999996</v>
      </c>
      <c r="EJ493">
        <v>172.802198</v>
      </c>
      <c r="EK493">
        <v>568</v>
      </c>
      <c r="EL493">
        <v>728</v>
      </c>
      <c r="EM493">
        <v>668</v>
      </c>
      <c r="EN493">
        <v>1258</v>
      </c>
      <c r="EO493">
        <v>728</v>
      </c>
      <c r="EP493">
        <v>1261</v>
      </c>
      <c r="EQ493">
        <v>48.422542999999997</v>
      </c>
    </row>
    <row r="494" spans="1:147" x14ac:dyDescent="0.25">
      <c r="A494">
        <v>2025</v>
      </c>
      <c r="B494" t="str">
        <f t="shared" si="14"/>
        <v>RD</v>
      </c>
      <c r="C494" t="s">
        <v>2209</v>
      </c>
      <c r="D494" t="s">
        <v>2209</v>
      </c>
      <c r="E494">
        <v>30983</v>
      </c>
      <c r="F494" t="s">
        <v>1222</v>
      </c>
      <c r="G494" t="s">
        <v>1223</v>
      </c>
      <c r="H494" t="s">
        <v>1224</v>
      </c>
      <c r="I494">
        <v>38.32</v>
      </c>
      <c r="J494">
        <v>38.32</v>
      </c>
      <c r="K494" t="s">
        <v>527</v>
      </c>
      <c r="L494">
        <v>1</v>
      </c>
      <c r="M494">
        <v>2017</v>
      </c>
      <c r="O494" t="str">
        <f t="shared" si="15"/>
        <v>Alto fuste</v>
      </c>
      <c r="P494" s="2">
        <v>43089</v>
      </c>
      <c r="Q494" t="s">
        <v>174</v>
      </c>
      <c r="R494" t="s">
        <v>367</v>
      </c>
      <c r="S494" t="s">
        <v>154</v>
      </c>
      <c r="T494" t="s">
        <v>527</v>
      </c>
      <c r="U494" t="s">
        <v>156</v>
      </c>
      <c r="V494" s="2">
        <v>45736</v>
      </c>
      <c r="W494" t="s">
        <v>1225</v>
      </c>
      <c r="X494">
        <v>66.100000000000009</v>
      </c>
      <c r="Y494">
        <v>19.3</v>
      </c>
      <c r="Z494">
        <v>28</v>
      </c>
      <c r="AA494">
        <v>14.7</v>
      </c>
      <c r="AB494">
        <v>0</v>
      </c>
      <c r="AC494">
        <v>283.70999999999998</v>
      </c>
      <c r="AD494">
        <v>250.50106157000599</v>
      </c>
      <c r="AE494" s="2">
        <v>45736</v>
      </c>
      <c r="AF494">
        <v>87</v>
      </c>
      <c r="AG494">
        <v>7.2470910335386698</v>
      </c>
      <c r="AH494">
        <v>28.262119425336</v>
      </c>
      <c r="AI494">
        <v>17.753571428571401</v>
      </c>
      <c r="AJ494">
        <v>28.2522982574359</v>
      </c>
      <c r="AK494">
        <v>28</v>
      </c>
      <c r="AL494">
        <v>1117.7597342107499</v>
      </c>
      <c r="AM494">
        <v>362.27956406162599</v>
      </c>
      <c r="AN494">
        <v>0.32411219779484401</v>
      </c>
      <c r="AO494" t="s">
        <v>367</v>
      </c>
      <c r="AP494" t="s">
        <v>158</v>
      </c>
      <c r="AQ494" t="s">
        <v>294</v>
      </c>
      <c r="AR494">
        <v>9</v>
      </c>
      <c r="AS494">
        <v>1.0059837607896731</v>
      </c>
      <c r="AT494" t="s">
        <v>2210</v>
      </c>
      <c r="AU494" t="s">
        <v>2209</v>
      </c>
      <c r="AV494">
        <v>987</v>
      </c>
      <c r="AW494">
        <v>624</v>
      </c>
      <c r="AX494">
        <v>280</v>
      </c>
      <c r="AY494">
        <v>73</v>
      </c>
      <c r="AZ494">
        <v>9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34.004002</v>
      </c>
      <c r="BI494">
        <v>18.389351999999999</v>
      </c>
      <c r="BJ494">
        <v>0</v>
      </c>
      <c r="BK494">
        <v>13.516014999999999</v>
      </c>
      <c r="BL494">
        <v>182.68266399999999</v>
      </c>
      <c r="BM494">
        <v>0.73499099999999995</v>
      </c>
      <c r="BN494">
        <v>29.253</v>
      </c>
      <c r="BO494">
        <v>-0.44323499999999999</v>
      </c>
      <c r="BP494">
        <v>1.318964</v>
      </c>
      <c r="BQ494">
        <v>12.873377</v>
      </c>
      <c r="BR494">
        <v>3.8239990000000001</v>
      </c>
      <c r="BS494">
        <v>27.6</v>
      </c>
      <c r="BT494">
        <v>18.389351999999999</v>
      </c>
      <c r="BU494">
        <v>7.1592650000000004</v>
      </c>
      <c r="BV494">
        <v>-1.258081</v>
      </c>
      <c r="BW494">
        <v>-1.025066</v>
      </c>
      <c r="BX494">
        <v>0.389316</v>
      </c>
      <c r="BY494">
        <v>-0.175728</v>
      </c>
      <c r="BZ494">
        <v>-0.14318</v>
      </c>
      <c r="CA494">
        <v>2E-3</v>
      </c>
      <c r="CB494">
        <v>1.2999999999999999E-2</v>
      </c>
      <c r="CC494">
        <v>2.6599999999999999E-2</v>
      </c>
      <c r="CD494">
        <v>8.2000000000000003E-2</v>
      </c>
      <c r="CE494">
        <v>0.52549999999999997</v>
      </c>
      <c r="CF494">
        <v>3.2667989999999998</v>
      </c>
      <c r="CG494">
        <v>19.815000999999999</v>
      </c>
      <c r="CH494">
        <v>27.6</v>
      </c>
      <c r="CI494">
        <v>28.632401000000002</v>
      </c>
      <c r="CJ494">
        <v>29.399401000000001</v>
      </c>
      <c r="CK494">
        <v>29.778500000000001</v>
      </c>
      <c r="CL494">
        <v>30.096399000000002</v>
      </c>
      <c r="CM494">
        <v>31.041401</v>
      </c>
      <c r="CN494">
        <v>31.808900999999999</v>
      </c>
      <c r="CO494">
        <v>32.820262999999997</v>
      </c>
      <c r="CP494">
        <v>0.54079999999999995</v>
      </c>
      <c r="CQ494">
        <v>22.818103000000001</v>
      </c>
      <c r="CR494">
        <v>24.767669000000001</v>
      </c>
      <c r="CS494">
        <v>23</v>
      </c>
      <c r="CT494">
        <v>568</v>
      </c>
      <c r="CU494">
        <v>152.63019299999999</v>
      </c>
      <c r="CV494">
        <v>31.650794000000001</v>
      </c>
      <c r="CW494">
        <v>109.73089</v>
      </c>
      <c r="CX494">
        <v>12040.868179999999</v>
      </c>
      <c r="CY494">
        <v>0.71893300000000004</v>
      </c>
      <c r="CZ494">
        <v>134</v>
      </c>
      <c r="DA494">
        <v>1.32216</v>
      </c>
      <c r="DB494">
        <v>4.5128159999999999</v>
      </c>
      <c r="DC494">
        <v>83.843372000000002</v>
      </c>
      <c r="DD494">
        <v>152.63019299999999</v>
      </c>
      <c r="DE494">
        <v>58.057042000000003</v>
      </c>
      <c r="DF494">
        <v>15.476115</v>
      </c>
      <c r="DG494">
        <v>8.1376209999999993</v>
      </c>
      <c r="DH494">
        <v>0.38037700000000002</v>
      </c>
      <c r="DI494">
        <v>0.266567</v>
      </c>
      <c r="DJ494">
        <v>0.14016600000000001</v>
      </c>
      <c r="DK494">
        <v>26</v>
      </c>
      <c r="DL494">
        <v>33</v>
      </c>
      <c r="DM494">
        <v>41</v>
      </c>
      <c r="DN494">
        <v>59</v>
      </c>
      <c r="DO494">
        <v>67</v>
      </c>
      <c r="DP494">
        <v>77</v>
      </c>
      <c r="DQ494">
        <v>102.39999400000001</v>
      </c>
      <c r="DR494">
        <v>127</v>
      </c>
      <c r="DS494">
        <v>151.599976</v>
      </c>
      <c r="DT494">
        <v>182</v>
      </c>
      <c r="DU494">
        <v>201</v>
      </c>
      <c r="DV494">
        <v>221</v>
      </c>
      <c r="DW494">
        <v>301.800049</v>
      </c>
      <c r="DX494">
        <v>399.40002399999997</v>
      </c>
      <c r="DY494">
        <v>490.14001500000001</v>
      </c>
      <c r="DZ494">
        <v>88.621795000000006</v>
      </c>
      <c r="EA494">
        <v>70.618033999999994</v>
      </c>
      <c r="EB494">
        <v>111.698718</v>
      </c>
      <c r="EC494">
        <v>553</v>
      </c>
      <c r="ED494">
        <v>697</v>
      </c>
      <c r="EE494">
        <v>79.647435999999999</v>
      </c>
      <c r="EF494">
        <v>100</v>
      </c>
      <c r="EG494">
        <v>60.587639000000003</v>
      </c>
      <c r="EH494">
        <v>99.898683000000005</v>
      </c>
      <c r="EI494">
        <v>95.833332999999996</v>
      </c>
      <c r="EJ494">
        <v>158.012821</v>
      </c>
      <c r="EK494">
        <v>497</v>
      </c>
      <c r="EL494">
        <v>624</v>
      </c>
      <c r="EM494">
        <v>598</v>
      </c>
      <c r="EN494">
        <v>986</v>
      </c>
      <c r="EO494">
        <v>624</v>
      </c>
      <c r="EP494">
        <v>987</v>
      </c>
      <c r="EQ494">
        <v>55.041891999999997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ippolito</cp:lastModifiedBy>
  <dcterms:created xsi:type="dcterms:W3CDTF">2025-12-26T17:29:32Z</dcterms:created>
  <dcterms:modified xsi:type="dcterms:W3CDTF">2026-01-05T19:46:34Z</dcterms:modified>
</cp:coreProperties>
</file>