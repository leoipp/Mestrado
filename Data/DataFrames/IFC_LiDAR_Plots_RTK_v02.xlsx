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PycharmProjects\Mestrado\Data\DataFrames\"/>
    </mc:Choice>
  </mc:AlternateContent>
  <xr:revisionPtr revIDLastSave="0" documentId="13_ncr:1_{2D529453-8216-4BC5-8C5D-525C1C4031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DOS" sheetId="1" r:id="rId1"/>
  </sheets>
  <definedNames>
    <definedName name="_xlnm._FilterDatabase" localSheetId="0" hidden="1">DADOS!$B$1:$ER$513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2" i="1"/>
</calcChain>
</file>

<file path=xl/sharedStrings.xml><?xml version="1.0" encoding="utf-8"?>
<sst xmlns="http://schemas.openxmlformats.org/spreadsheetml/2006/main" count="8852" uniqueCount="2269">
  <si>
    <t>Parcelas LiDAR</t>
  </si>
  <si>
    <t>Chave Parcela</t>
  </si>
  <si>
    <t>Parcela</t>
  </si>
  <si>
    <t>LOTE_CODIGO</t>
  </si>
  <si>
    <t>PROJETO_NOME</t>
  </si>
  <si>
    <t>TALHAO_CODIGO</t>
  </si>
  <si>
    <t>AREA_ESTRATO</t>
  </si>
  <si>
    <t>TALHAO_AREA</t>
  </si>
  <si>
    <t>SUBREGIAO_NOME</t>
  </si>
  <si>
    <t>NUM_MEDICAO</t>
  </si>
  <si>
    <t>ANO_MANEJO</t>
  </si>
  <si>
    <t>CICLO</t>
  </si>
  <si>
    <t>ROTACAO</t>
  </si>
  <si>
    <t>INICIO_ROTACAO</t>
  </si>
  <si>
    <t>ESPACAMENTO</t>
  </si>
  <si>
    <t>MG_NOME</t>
  </si>
  <si>
    <t>MG_TIPO</t>
  </si>
  <si>
    <t>REGIAO_NOME</t>
  </si>
  <si>
    <t>DESCTIPOPROPRIEDADE</t>
  </si>
  <si>
    <t>DATA_MEDICAO</t>
  </si>
  <si>
    <t>PROJETO_CODIGO</t>
  </si>
  <si>
    <t>LOTE_AREA</t>
  </si>
  <si>
    <t>Comprimento (m)</t>
  </si>
  <si>
    <t>Comp.Dec (o)</t>
  </si>
  <si>
    <t>Largura (m)</t>
  </si>
  <si>
    <t>Larg.Dec (o)</t>
  </si>
  <si>
    <t>Área (m²)</t>
  </si>
  <si>
    <t>Área.corrigida (m²)</t>
  </si>
  <si>
    <t>Medição</t>
  </si>
  <si>
    <t>Idade (meses)</t>
  </si>
  <si>
    <t>Idade (anos)</t>
  </si>
  <si>
    <t>HT.média (m)</t>
  </si>
  <si>
    <t>Dap.médio (cm)</t>
  </si>
  <si>
    <t>Área basal (m²)</t>
  </si>
  <si>
    <t>Fustes (n)</t>
  </si>
  <si>
    <t>Fustes (n/ha)</t>
  </si>
  <si>
    <t>VTCC(m³/ha)</t>
  </si>
  <si>
    <t>VTCC(m³/Fuste)</t>
  </si>
  <si>
    <t>DataFile</t>
  </si>
  <si>
    <t>FileTitle</t>
  </si>
  <si>
    <t>Total return count</t>
  </si>
  <si>
    <t>Return 1 count</t>
  </si>
  <si>
    <t>Return 2 count</t>
  </si>
  <si>
    <t>Return 3 count</t>
  </si>
  <si>
    <t>Return 4 count</t>
  </si>
  <si>
    <t>Return 5 count</t>
  </si>
  <si>
    <t>Return 6 count</t>
  </si>
  <si>
    <t>Return 7 count</t>
  </si>
  <si>
    <t>Return 8 count</t>
  </si>
  <si>
    <t>Return 9 count</t>
  </si>
  <si>
    <t>Other return count</t>
  </si>
  <si>
    <t>Elev minimum</t>
  </si>
  <si>
    <t>Elev maximum</t>
  </si>
  <si>
    <t>Elev mean</t>
  </si>
  <si>
    <t>Elev mode</t>
  </si>
  <si>
    <t>Elev stddev</t>
  </si>
  <si>
    <t>Elev variance</t>
  </si>
  <si>
    <t>Elev CV</t>
  </si>
  <si>
    <t>Elev IQ</t>
  </si>
  <si>
    <t>Elev skewness</t>
  </si>
  <si>
    <t>Elev kurtosis</t>
  </si>
  <si>
    <t>Elev AAD</t>
  </si>
  <si>
    <t>Elev MAD median</t>
  </si>
  <si>
    <t>Elev MAD mode</t>
  </si>
  <si>
    <t>Elev L1</t>
  </si>
  <si>
    <t>Elev L2</t>
  </si>
  <si>
    <t>Elev L3</t>
  </si>
  <si>
    <t>Elev L4</t>
  </si>
  <si>
    <t>Elev L CV</t>
  </si>
  <si>
    <t>Elev L skewness</t>
  </si>
  <si>
    <t>Elev L kurtosis</t>
  </si>
  <si>
    <t>Elev P01</t>
  </si>
  <si>
    <t>Elev P05</t>
  </si>
  <si>
    <t>Elev P10</t>
  </si>
  <si>
    <t>Elev P20</t>
  </si>
  <si>
    <t>Elev P25</t>
  </si>
  <si>
    <t>Elev P30</t>
  </si>
  <si>
    <t>Elev P40</t>
  </si>
  <si>
    <t>Elev P50</t>
  </si>
  <si>
    <t>Elev P60</t>
  </si>
  <si>
    <t>Elev P70</t>
  </si>
  <si>
    <t>Elev P75</t>
  </si>
  <si>
    <t>Elev P80</t>
  </si>
  <si>
    <t>Elev P90</t>
  </si>
  <si>
    <t>Elev P95</t>
  </si>
  <si>
    <t>Elev P99</t>
  </si>
  <si>
    <t>Canopy relief ratio</t>
  </si>
  <si>
    <t>Elev SQRT mean SQ</t>
  </si>
  <si>
    <t>Elev CURT mean CUBE</t>
  </si>
  <si>
    <t>Int minimum</t>
  </si>
  <si>
    <t>Int maximum</t>
  </si>
  <si>
    <t>Int mean</t>
  </si>
  <si>
    <t>Int mode</t>
  </si>
  <si>
    <t>Int stddev</t>
  </si>
  <si>
    <t>Int variance</t>
  </si>
  <si>
    <t>Int CV</t>
  </si>
  <si>
    <t>Int IQ</t>
  </si>
  <si>
    <t>Int skewness</t>
  </si>
  <si>
    <t>Int kurtosis</t>
  </si>
  <si>
    <t>Int AAD</t>
  </si>
  <si>
    <t>Int L1</t>
  </si>
  <si>
    <t>Int L2</t>
  </si>
  <si>
    <t>Int L3</t>
  </si>
  <si>
    <t>Int L4</t>
  </si>
  <si>
    <t>Int L CV</t>
  </si>
  <si>
    <t>Int L skewness</t>
  </si>
  <si>
    <t>Int L kurtosis</t>
  </si>
  <si>
    <t>Int P01</t>
  </si>
  <si>
    <t>Int P05</t>
  </si>
  <si>
    <t>Int P10</t>
  </si>
  <si>
    <t>Int P20</t>
  </si>
  <si>
    <t>Int P25</t>
  </si>
  <si>
    <t>Int P30</t>
  </si>
  <si>
    <t>Int P40</t>
  </si>
  <si>
    <t>Int P50</t>
  </si>
  <si>
    <t>Int P60</t>
  </si>
  <si>
    <t>Int P70</t>
  </si>
  <si>
    <t>Int P75</t>
  </si>
  <si>
    <t>Int P80</t>
  </si>
  <si>
    <t>Int P90</t>
  </si>
  <si>
    <t>Int P95</t>
  </si>
  <si>
    <t>Int P99</t>
  </si>
  <si>
    <t>Percentage first returns above 3.00</t>
  </si>
  <si>
    <t>Percentage all returns above 3.00</t>
  </si>
  <si>
    <t>(All returns above 3.00) / (Total first returns) * 100</t>
  </si>
  <si>
    <t>First returns above 3.00</t>
  </si>
  <si>
    <t>All returns above 3.00</t>
  </si>
  <si>
    <t>Percentage first returns above mean</t>
  </si>
  <si>
    <t>Percentage first returns above mode</t>
  </si>
  <si>
    <t>Percentage all returns above mean</t>
  </si>
  <si>
    <t>Percentage all returns above mode</t>
  </si>
  <si>
    <t>(All returns above mean) / (Total first returns) * 100</t>
  </si>
  <si>
    <t>(All returns above mode) / (Total first returns) * 100</t>
  </si>
  <si>
    <t>First returns above mean</t>
  </si>
  <si>
    <t>First returns above mode</t>
  </si>
  <si>
    <t>All returns above mean</t>
  </si>
  <si>
    <t>All returns above mode</t>
  </si>
  <si>
    <t>Total first returns</t>
  </si>
  <si>
    <t>Total all returns</t>
  </si>
  <si>
    <t>Profile area</t>
  </si>
  <si>
    <t>Matgen</t>
  </si>
  <si>
    <t>Regime</t>
  </si>
  <si>
    <t>Solo</t>
  </si>
  <si>
    <t>ESP_AB</t>
  </si>
  <si>
    <t>Fustes (%)</t>
  </si>
  <si>
    <t>NECOCE00366_16777</t>
  </si>
  <si>
    <t>Vale do Sabiá</t>
  </si>
  <si>
    <t>NECOCE00366P09-741</t>
  </si>
  <si>
    <t>Cocais das Estrelas</t>
  </si>
  <si>
    <t>3,00 x 3,33</t>
  </si>
  <si>
    <t>CNB004</t>
  </si>
  <si>
    <t>Cocais</t>
  </si>
  <si>
    <t>Própria</t>
  </si>
  <si>
    <t>NECOCE00366</t>
  </si>
  <si>
    <t>G:\GEOPROCESSAMENTO\IMAGENS\LiDAR\Dados_2022\PROPRIO\NECOCE00366_Vale_do_Sabia\Plot_las\Plots_16777_Norm.las</t>
  </si>
  <si>
    <t>Plots_16777_Norm</t>
  </si>
  <si>
    <t>REF</t>
  </si>
  <si>
    <t>LVd3</t>
  </si>
  <si>
    <t>NECOCE00366_16786</t>
  </si>
  <si>
    <t>NECOCE00366P09-753</t>
  </si>
  <si>
    <t>CNB001</t>
  </si>
  <si>
    <t>G:\GEOPROCESSAMENTO\IMAGENS\LiDAR\Dados_2022\PROPRIO\NECOCE00366_Vale_do_Sabia\Plot_las\Plots_16786_Norm.las</t>
  </si>
  <si>
    <t>Plots_16786_Norm</t>
  </si>
  <si>
    <t>CNB010</t>
  </si>
  <si>
    <t>CXbd5</t>
  </si>
  <si>
    <t>NEPIPC00220_16983</t>
  </si>
  <si>
    <t>Esmeralda</t>
  </si>
  <si>
    <t>NEPIPC00220P09-175</t>
  </si>
  <si>
    <t>Piçarrão</t>
  </si>
  <si>
    <t>3,00 x 3,00</t>
  </si>
  <si>
    <t>Piracicaba</t>
  </si>
  <si>
    <t>NEPIPC00220</t>
  </si>
  <si>
    <t>G:\GEOPROCESSAMENTO\IMAGENS\LiDAR\Dados_2022\PROPRIO\NEPIPC00220_Esmeralda\Plot_las\Plots_16983_Norm.las</t>
  </si>
  <si>
    <t>Plots_16983_Norm</t>
  </si>
  <si>
    <t>NEPIPC00220_16984</t>
  </si>
  <si>
    <t>G:\GEOPROCESSAMENTO\IMAGENS\LiDAR\Dados_2022\PROPRIO\NEPIPC00220_Esmeralda\Plot_las\Plots_16984_Norm.las</t>
  </si>
  <si>
    <t>Plots_16984_Norm</t>
  </si>
  <si>
    <t>NEPIPC00220_16985</t>
  </si>
  <si>
    <t>NEPIPC00220P09-176</t>
  </si>
  <si>
    <t>G:\GEOPROCESSAMENTO\IMAGENS\LiDAR\Dados_2022\PROPRIO\NEPIPC00220_Esmeralda\Plot_las\Plots_16985_Norm.las</t>
  </si>
  <si>
    <t>Plots_16985_Norm</t>
  </si>
  <si>
    <t>NEPIIT09161_18413</t>
  </si>
  <si>
    <t>Perobas</t>
  </si>
  <si>
    <t>NEPIIT09161R10-034</t>
  </si>
  <si>
    <t>Itabira</t>
  </si>
  <si>
    <t>212C99</t>
  </si>
  <si>
    <t>NEPIIT09161</t>
  </si>
  <si>
    <t>G:\GEOPROCESSAMENTO\IMAGENS\LiDAR\Dados_2022\PROPRIO\NEPIIT09161_Perobas\Plot_las\Plots_18413_Norm.las</t>
  </si>
  <si>
    <t>Plots_18413_Norm</t>
  </si>
  <si>
    <t>GNVIVI00518_18458</t>
  </si>
  <si>
    <t>Carona</t>
  </si>
  <si>
    <t>GNVIVI00518P10-002</t>
  </si>
  <si>
    <t>Virginópolis</t>
  </si>
  <si>
    <t>CNB011</t>
  </si>
  <si>
    <t>GNVIVI00518</t>
  </si>
  <si>
    <t>C:\LiDAR\Projetos\GNVIVI00518_CARONA\plots\plot_18458.las</t>
  </si>
  <si>
    <t>plot_18458</t>
  </si>
  <si>
    <t>GNVIVI00518_18459</t>
  </si>
  <si>
    <t>GNVIVI00518R10-006</t>
  </si>
  <si>
    <t>074C83</t>
  </si>
  <si>
    <t>C:\LiDAR\Projetos\GNVIVI00518_CARONA\plots\plot_18459.las</t>
  </si>
  <si>
    <t>plot_18459</t>
  </si>
  <si>
    <t>GNVIVI00518_18466</t>
  </si>
  <si>
    <t>GNVIVI00518R10-001</t>
  </si>
  <si>
    <t>211C99</t>
  </si>
  <si>
    <t>C:\LiDAR\Projetos\GNVIVI00518_CARONA\plots\plot_18466.las</t>
  </si>
  <si>
    <t>plot_18466</t>
  </si>
  <si>
    <t>RDIPPD00477_19227</t>
  </si>
  <si>
    <t>Lagoa do Brito</t>
  </si>
  <si>
    <t>RDIPPD00477R11-037</t>
  </si>
  <si>
    <t>Pingo D' Água</t>
  </si>
  <si>
    <t>215C99</t>
  </si>
  <si>
    <t>Ipaba</t>
  </si>
  <si>
    <t>RDIPPD00477</t>
  </si>
  <si>
    <t>G:\GEOPROCESSAMENTO\IMAGENS\LiDAR\Dados_2022\PROPRIO\RDIPPD00477_Lagoa_do_Brito\Plot_las\Plots_19227_Norm.las</t>
  </si>
  <si>
    <t>Plots_19227_Norm</t>
  </si>
  <si>
    <t>RDIPPD00477_19228</t>
  </si>
  <si>
    <t>G:\GEOPROCESSAMENTO\IMAGENS\LiDAR\Dados_2022\PROPRIO\RDIPPD00477_Lagoa_do_Brito\Plot_las\Plots_19228_Norm.las</t>
  </si>
  <si>
    <t>Plots_19228_Norm</t>
  </si>
  <si>
    <t>RDIPPD00477_19233</t>
  </si>
  <si>
    <t>RDIPPD00477R11-036</t>
  </si>
  <si>
    <t>G:\GEOPROCESSAMENTO\IMAGENS\LiDAR\Dados_2022\PROPRIO\RDIPPD00477_Lagoa_do_Brito\Plot_las\Plots_19233_Norm.las</t>
  </si>
  <si>
    <t>Plots_19233_Norm</t>
  </si>
  <si>
    <t>RDBOBA00466_19319</t>
  </si>
  <si>
    <t>Milagre</t>
  </si>
  <si>
    <t>RDBOBA00466P11-219</t>
  </si>
  <si>
    <t>Baixada</t>
  </si>
  <si>
    <t>3,00 x 2,50</t>
  </si>
  <si>
    <t>Belo Oriente</t>
  </si>
  <si>
    <t>RDBOBA00466</t>
  </si>
  <si>
    <t>G:\GEOPROCESSAMENTO\IMAGENS\LiDAR\Dados_2022\PROPRIO\RDBOBA00466_Milagre\Plot_las\Plots_19319_Norm.las</t>
  </si>
  <si>
    <t>Plots_19319_Norm</t>
  </si>
  <si>
    <t>RDBOBA00466_19320</t>
  </si>
  <si>
    <t>G:\GEOPROCESSAMENTO\IMAGENS\LiDAR\Dados_2022\PROPRIO\RDBOBA00466_Milagre\Plot_las\Plots_19320_Norm.las</t>
  </si>
  <si>
    <t>Plots_19320_Norm</t>
  </si>
  <si>
    <t>RDIPPD00474_20434</t>
  </si>
  <si>
    <t>Lagoa das Piabas</t>
  </si>
  <si>
    <t>RDIPPD00474P12-037</t>
  </si>
  <si>
    <t>CNB013</t>
  </si>
  <si>
    <t>RDIPPD00474</t>
  </si>
  <si>
    <t>G:\GEOPROCESSAMENTO\IMAGENS\LiDAR\Dados_2022\PROPRIO\RDIPPD00474_Lagoa_das_Piabas\Plot_las\Plots_20434_Norm.las</t>
  </si>
  <si>
    <t>Plots_20434_Norm</t>
  </si>
  <si>
    <t>LAd4</t>
  </si>
  <si>
    <t>RDIPPD00474_20435</t>
  </si>
  <si>
    <t>G:\GEOPROCESSAMENTO\IMAGENS\LiDAR\Dados_2022\PROPRIO\RDIPPD00474_Lagoa_das_Piabas\Plot_las\Plots_20435_Norm.las</t>
  </si>
  <si>
    <t>Plots_20435_Norm</t>
  </si>
  <si>
    <t>RDIPMA00487_20462</t>
  </si>
  <si>
    <t>Beira Rio</t>
  </si>
  <si>
    <t>RDIPMA00487R12-018</t>
  </si>
  <si>
    <t>Macedônia</t>
  </si>
  <si>
    <t>CNB012</t>
  </si>
  <si>
    <t>RDIPMA00487</t>
  </si>
  <si>
    <t>G:\GEOPROCESSAMENTO\IMAGENS\LiDAR\Dados_2022\PROPRIO\RDIPMA00487_Beira_Rio\Plot_las\Plots_20462_Norm.las</t>
  </si>
  <si>
    <t>Plots_20462_Norm</t>
  </si>
  <si>
    <t>REG</t>
  </si>
  <si>
    <t>RDIPMA00487_20463</t>
  </si>
  <si>
    <t>G:\GEOPROCESSAMENTO\IMAGENS\LiDAR\Dados_2022\PROPRIO\RDIPMA00487_Beira_Rio\Plot_las\Plots_20463_Norm.las</t>
  </si>
  <si>
    <t>Plots_20463_Norm</t>
  </si>
  <si>
    <t>RDIPMA00487_20464</t>
  </si>
  <si>
    <t>G:\GEOPROCESSAMENTO\IMAGENS\LiDAR\Dados_2022\PROPRIO\RDIPMA00487_Beira_Rio\Plot_las\Plots_20464_Norm.las</t>
  </si>
  <si>
    <t>Plots_20464_Norm</t>
  </si>
  <si>
    <t>GNSACR00627_20581</t>
  </si>
  <si>
    <t>Correntinho II</t>
  </si>
  <si>
    <t>GNSACR00627P12-085</t>
  </si>
  <si>
    <t>Correntinho</t>
  </si>
  <si>
    <t>CNB018</t>
  </si>
  <si>
    <t>Sabinópolis</t>
  </si>
  <si>
    <t>GNSACR00627</t>
  </si>
  <si>
    <t>G:\GEOPROCESSAMENTO\IMAGENS\LiDAR\Dados_2022\PROPRIO\GNSACR00627_Correntinho_II\Plot_las\Plots_20581_Norm.las</t>
  </si>
  <si>
    <t>Plots_20581_Norm</t>
  </si>
  <si>
    <t>LVw1</t>
  </si>
  <si>
    <t>GNSACR00627_20582</t>
  </si>
  <si>
    <t>GNSACR00627P12-086</t>
  </si>
  <si>
    <t>G:\GEOPROCESSAMENTO\IMAGENS\LiDAR\Dados_2022\PROPRIO\GNSACR00627_Correntinho_II\Plot_las\Plots_20582_Norm.las</t>
  </si>
  <si>
    <t>Plots_20582_Norm</t>
  </si>
  <si>
    <t>CXbd1</t>
  </si>
  <si>
    <t>RDIPPD00471_20766</t>
  </si>
  <si>
    <t>Lagoa Cristal</t>
  </si>
  <si>
    <t>RDIPPD00471P12-024</t>
  </si>
  <si>
    <t>RDIPPD00471</t>
  </si>
  <si>
    <t>G:\GEOPROCESSAMENTO\IMAGENS\LiDAR\Dados_2022\PROPRIO\RDIPPD00471_Lagoa_Cristal\Plot_las\Plots_20766_Norm.las</t>
  </si>
  <si>
    <t>Plots_20766_Norm</t>
  </si>
  <si>
    <t>LAd1</t>
  </si>
  <si>
    <t>NEPIAL00242_21196</t>
  </si>
  <si>
    <t>Riacho dos Portéis</t>
  </si>
  <si>
    <t>NEPIAL00242P13-069</t>
  </si>
  <si>
    <t>Alfié</t>
  </si>
  <si>
    <t>CNB020</t>
  </si>
  <si>
    <t>NEPIAL00242</t>
  </si>
  <si>
    <t>G:\GEOPROCESSAMENTO\IMAGENS\LiDAR\Dados_2022\PROPRIO\NEPIAL00242_Riacho_dos_Porteis\Plot_las\Plots_21196_Norm.las</t>
  </si>
  <si>
    <t>Plots_21196_Norm</t>
  </si>
  <si>
    <t>LVAd1</t>
  </si>
  <si>
    <t>NEPIAL00242_21197</t>
  </si>
  <si>
    <t>NEPIAL00242P13-070</t>
  </si>
  <si>
    <t>CNB022</t>
  </si>
  <si>
    <t>G:\GEOPROCESSAMENTO\IMAGENS\LiDAR\Dados_2022\PROPRIO\NEPIAL00242_Riacho_dos_Porteis\Plot_las\Plots_21197_Norm.las</t>
  </si>
  <si>
    <t>Plots_21197_Norm</t>
  </si>
  <si>
    <t>NEPIAL00242_21198</t>
  </si>
  <si>
    <t>NEPIAL00242P13-071</t>
  </si>
  <si>
    <t>CNB007</t>
  </si>
  <si>
    <t>G:\GEOPROCESSAMENTO\IMAGENS\LiDAR\Dados_2022\PROPRIO\NEPIAL00242_Riacho_dos_Porteis\Plot_las\Plots_21198_Norm.las</t>
  </si>
  <si>
    <t>Plots_21198_Norm</t>
  </si>
  <si>
    <t>CXbd10</t>
  </si>
  <si>
    <t>RDBOBA00458_21394</t>
  </si>
  <si>
    <t>Goiabal</t>
  </si>
  <si>
    <t>RDBOBA00458R13-262</t>
  </si>
  <si>
    <t>3,33 x 3,00</t>
  </si>
  <si>
    <t>CNB019</t>
  </si>
  <si>
    <t>RDBOBA00458</t>
  </si>
  <si>
    <t>G:\GEOPROCESSAMENTO\IMAGENS\LiDAR\Dados_2022\PROPRIO\RDBOBA00458_Goiabal\Plot_las\Plots_21394_Norm.las</t>
  </si>
  <si>
    <t>Plots_21394_Norm</t>
  </si>
  <si>
    <t>RDBOBA00458_21395</t>
  </si>
  <si>
    <t>G:\GEOPROCESSAMENTO\IMAGENS\LiDAR\Dados_2022\PROPRIO\RDBOBA00458_Goiabal\Plot_las\Plots_21395_Norm.las</t>
  </si>
  <si>
    <t>Plots_21395_Norm</t>
  </si>
  <si>
    <t>RDBOBA00458_21396</t>
  </si>
  <si>
    <t>G:\GEOPROCESSAMENTO\IMAGENS\LiDAR\Dados_2022\PROPRIO\RDBOBA00458_Goiabal\Plot_las\Plots_21396_Norm.las</t>
  </si>
  <si>
    <t>Plots_21396_Norm</t>
  </si>
  <si>
    <t>NEPIIT09174_21451</t>
  </si>
  <si>
    <t>Vargem Alegre</t>
  </si>
  <si>
    <t>NEPIIT09174R13-069</t>
  </si>
  <si>
    <t>NEPIIT09174</t>
  </si>
  <si>
    <t>G:\GEOPROCESSAMENTO\IMAGENS\LiDAR\Dados_2022\PROPRIO\NEPIIT09174_Vargem_Alegre\Plot_las\Plots_21451_Norm.las</t>
  </si>
  <si>
    <t>Plots_21451_Norm</t>
  </si>
  <si>
    <t>CXbd1+CXbd5</t>
  </si>
  <si>
    <t>NEPIIT09174_21452</t>
  </si>
  <si>
    <t>G:\GEOPROCESSAMENTO\IMAGENS\LiDAR\Dados_2022\PROPRIO\NEPIIT09174_Vargem_Alegre\Plot_las\Plots_21452_Norm.las</t>
  </si>
  <si>
    <t>Plots_21452_Norm</t>
  </si>
  <si>
    <t>NEPIIT09174_21453</t>
  </si>
  <si>
    <t>NEPIIT09174R13-108</t>
  </si>
  <si>
    <t>G:\GEOPROCESSAMENTO\IMAGENS\LiDAR\Dados_2022\PROPRIO\NEPIIT09174_Vargem_Alegre\Plot_las\Plots_21453_Norm.las</t>
  </si>
  <si>
    <t>Plots_21453_Norm</t>
  </si>
  <si>
    <t>LVAd2</t>
  </si>
  <si>
    <t>NECOCE00336_21586</t>
  </si>
  <si>
    <t>Jatobá II</t>
  </si>
  <si>
    <t>NECOCE00336R13-002</t>
  </si>
  <si>
    <t>NECOCE00336</t>
  </si>
  <si>
    <t>G:\GEOPROCESSAMENTO\IMAGENS\LiDAR\Dados_2022\PROPRIO\NECOCE00336_Jatoba_II\Plot_las\Plots_21586_Norm.las</t>
  </si>
  <si>
    <t>Plots_21586_Norm</t>
  </si>
  <si>
    <t>NECOCE00336_21587</t>
  </si>
  <si>
    <t>G:\GEOPROCESSAMENTO\IMAGENS\LiDAR\Dados_2022\PROPRIO\NECOCE00336_Jatoba_II\Plot_las\Plots_21587_Norm.las</t>
  </si>
  <si>
    <t>Plots_21587_Norm</t>
  </si>
  <si>
    <t>NECOCE00336_21588</t>
  </si>
  <si>
    <t>NECOCE00336R13-003</t>
  </si>
  <si>
    <t>G:\GEOPROCESSAMENTO\IMAGENS\LiDAR\Dados_2022\PROPRIO\NECOCE00336_Jatoba_II\Plot_las\Plots_21588_Norm.las</t>
  </si>
  <si>
    <t>Plots_21588_Norm</t>
  </si>
  <si>
    <t>RDBOBA00465_21774</t>
  </si>
  <si>
    <t>Caxambu</t>
  </si>
  <si>
    <t>RDBOBA00465P13-347</t>
  </si>
  <si>
    <t>CNB005</t>
  </si>
  <si>
    <t>RDBOBA00465</t>
  </si>
  <si>
    <t>G:\GEOPROCESSAMENTO\IMAGENS\LiDAR\Dados_2022\PROPRIO\RDBOBA00465_Caxambu\Plot_las\Plots_21774_Norm.las</t>
  </si>
  <si>
    <t>Plots_21774_Norm</t>
  </si>
  <si>
    <t>RDBOBA00465_21777</t>
  </si>
  <si>
    <t>RDBOBA00465P13-346</t>
  </si>
  <si>
    <t>G:\GEOPROCESSAMENTO\IMAGENS\LiDAR\Dados_2022\PROPRIO\RDBOBA00465_Caxambu\Plot_las\Plots_21777_Norm.las</t>
  </si>
  <si>
    <t>Plots_21777_Norm</t>
  </si>
  <si>
    <t>RDBOBA00465_21778</t>
  </si>
  <si>
    <t>G:\GEOPROCESSAMENTO\IMAGENS\LiDAR\Dados_2022\PROPRIO\RDBOBA00465_Caxambu\Plot_las\Plots_21778_Norm.las</t>
  </si>
  <si>
    <t>Plots_21778_Norm</t>
  </si>
  <si>
    <t>RDBOBA00465_21780</t>
  </si>
  <si>
    <t>RDBOBA00465R13-348</t>
  </si>
  <si>
    <t>G:\GEOPROCESSAMENTO\IMAGENS\LiDAR\Dados_2022\PROPRIO\RDBOBA00465_Caxambu\Plot_las\Plots_21780_Norm.las</t>
  </si>
  <si>
    <t>Plots_21780_Norm</t>
  </si>
  <si>
    <t>RDBOBA00465_21781</t>
  </si>
  <si>
    <t>G:\GEOPROCESSAMENTO\IMAGENS\LiDAR\Dados_2022\PROPRIO\RDBOBA00465_Caxambu\Plot_las\Plots_21781_Norm.las</t>
  </si>
  <si>
    <t>Plots_21781_Norm</t>
  </si>
  <si>
    <t>RDBOBA00465_21782</t>
  </si>
  <si>
    <t>G:\GEOPROCESSAMENTO\IMAGENS\LiDAR\Dados_2022\PROPRIO\RDBOBA00465_Caxambu\Plot_las\Plots_21782_Norm.las</t>
  </si>
  <si>
    <t>Plots_21782_Norm</t>
  </si>
  <si>
    <t>GNVIVI00587_22088</t>
  </si>
  <si>
    <t>Três Barras</t>
  </si>
  <si>
    <t>GNVIVI00587R14-007</t>
  </si>
  <si>
    <t>GNVIVI00587</t>
  </si>
  <si>
    <t>C:\LiDAR\Projetos\GNVIVI00587_TRES_BARRAS\plots\plot_22088.las</t>
  </si>
  <si>
    <t>plot_22088</t>
  </si>
  <si>
    <t>CXbd3</t>
  </si>
  <si>
    <t>GNVIVI00587_22089</t>
  </si>
  <si>
    <t>C:\LiDAR\Projetos\GNVIVI00587_TRES_BARRAS\plots\plot_22089.las</t>
  </si>
  <si>
    <t>plot_22089</t>
  </si>
  <si>
    <t>GNVIVI00587_22090</t>
  </si>
  <si>
    <t>C:\LiDAR\Projetos\GNVIVI00587_TRES_BARRAS\plots\plot_22090.las</t>
  </si>
  <si>
    <t>plot_22090</t>
  </si>
  <si>
    <t>GNVIVI00565_22169</t>
  </si>
  <si>
    <t>Sapucaia</t>
  </si>
  <si>
    <t>GNVIVI00565P14-108</t>
  </si>
  <si>
    <t>GNVIVI00565</t>
  </si>
  <si>
    <t>C:\Users\C0010943\Fusion\GNVIVI00565_SAPUCAIA\plots\plot_22169.las</t>
  </si>
  <si>
    <t>plot_22169</t>
  </si>
  <si>
    <t>LVd1</t>
  </si>
  <si>
    <t>GNSAPE00613_22425</t>
  </si>
  <si>
    <t>Cachoeira das Pombas</t>
  </si>
  <si>
    <t>GNSAPE00613R14-025</t>
  </si>
  <si>
    <t>Penhora</t>
  </si>
  <si>
    <t>GNSAPE00613</t>
  </si>
  <si>
    <t>C:\Users\C0010943\Fusion\GNSAPE00613_CACHOEIRA_DAS_POMBAS\plots\plot_22425.las</t>
  </si>
  <si>
    <t>plot_22425</t>
  </si>
  <si>
    <t>FFcd+RRd2</t>
  </si>
  <si>
    <t>GNSAPE00613_22426</t>
  </si>
  <si>
    <t>C:\Users\C0010943\Fusion\GNSAPE00613_CACHOEIRA_DAS_POMBAS\plots\plot_22426.las</t>
  </si>
  <si>
    <t>plot_22426</t>
  </si>
  <si>
    <t>NEPIPC00245_22450</t>
  </si>
  <si>
    <t>Santeiro</t>
  </si>
  <si>
    <t>NEPIPC00245R14-186</t>
  </si>
  <si>
    <t>CNB029</t>
  </si>
  <si>
    <t>NEPIPC00245</t>
  </si>
  <si>
    <t>G:\GEOPROCESSAMENTO\IMAGENS\LiDAR\Dados_2022\PROPRIO\NEPIPC00245_Santeiro\Plot_las\Plots_22450_Norm.las</t>
  </si>
  <si>
    <t>Plots_22450_Norm</t>
  </si>
  <si>
    <t>NEPIAL00242_22453</t>
  </si>
  <si>
    <t>NEPIAL00242P14-059</t>
  </si>
  <si>
    <t>G:\GEOPROCESSAMENTO\IMAGENS\LiDAR\Dados_2022\PROPRIO\NEPIAL00242_Riacho_dos_Porteis\Plot_las\Plots_22453_Norm.las</t>
  </si>
  <si>
    <t>Plots_22453_Norm</t>
  </si>
  <si>
    <t>NEPIAL00242_22454</t>
  </si>
  <si>
    <t>G:\GEOPROCESSAMENTO\IMAGENS\LiDAR\Dados_2022\PROPRIO\NEPIAL00242_Riacho_dos_Porteis\Plot_las\Plots_22454_Norm.las</t>
  </si>
  <si>
    <t>Plots_22454_Norm</t>
  </si>
  <si>
    <t>NEPIAL00242_22455</t>
  </si>
  <si>
    <t>NEPIAL00242P14-060</t>
  </si>
  <si>
    <t>G:\GEOPROCESSAMENTO\IMAGENS\LiDAR\Dados_2022\PROPRIO\NEPIAL00242_Riacho_dos_Porteis\Plot_las\Plots_22455_Norm.las</t>
  </si>
  <si>
    <t>Plots_22455_Norm</t>
  </si>
  <si>
    <t>NEPIPC00214_22474</t>
  </si>
  <si>
    <t>Cordobrês</t>
  </si>
  <si>
    <t>NEPIPC00214P14-167</t>
  </si>
  <si>
    <t>NEPIPC00214</t>
  </si>
  <si>
    <t>G:\GEOPROCESSAMENTO\IMAGENS\LiDAR\Dados_2022\PROPRIO\NEPIPC00214_Cordobres\Plot_las\Plots_22474_Norm.las</t>
  </si>
  <si>
    <t>Plots_22474_Norm</t>
  </si>
  <si>
    <t>NEPIPC00214_22475</t>
  </si>
  <si>
    <t>G:\GEOPROCESSAMENTO\IMAGENS\LiDAR\Dados_2022\PROPRIO\NEPIPC00214_Cordobres\Plot_las\Plots_22475_Norm.las</t>
  </si>
  <si>
    <t>Plots_22475_Norm</t>
  </si>
  <si>
    <t>NEPIPC00214_22476</t>
  </si>
  <si>
    <t>NEPIPC00214P14-169</t>
  </si>
  <si>
    <t>G:\GEOPROCESSAMENTO\IMAGENS\LiDAR\Dados_2022\PROPRIO\NEPIPC00214_Cordobres\Plot_las\Plots_22476_Norm.las</t>
  </si>
  <si>
    <t>Plots_22476_Norm</t>
  </si>
  <si>
    <t>NECOCA00351_22829</t>
  </si>
  <si>
    <t>Ribeirão Grande</t>
  </si>
  <si>
    <t>NECOCA00351R14-357</t>
  </si>
  <si>
    <t>Cocais das Arrudas</t>
  </si>
  <si>
    <t>NECOCA00351</t>
  </si>
  <si>
    <t>G:\GEOPROCESSAMENTO\IMAGENS\LiDAR\Dados_2022\PROPRIO\NECOCA00351_Ribeirao_Grande\Plot_las\Plots_22829_Norm.las</t>
  </si>
  <si>
    <t>Plots_22829_Norm</t>
  </si>
  <si>
    <t>CXbd7</t>
  </si>
  <si>
    <t>NECOCE00335_22877</t>
  </si>
  <si>
    <t>Jatobá I</t>
  </si>
  <si>
    <t>NECOCE00335P14-052</t>
  </si>
  <si>
    <t>CNB030</t>
  </si>
  <si>
    <t>NECOCE00335</t>
  </si>
  <si>
    <t>G:\GEOPROCESSAMENTO\IMAGENS\LiDAR\Dados_2022\PROPRIO\NECOCE00335_Jatoba_I\Plot_las\Plots_22877_Norm.las</t>
  </si>
  <si>
    <t>Plots_22877_Norm</t>
  </si>
  <si>
    <t>LAwf1</t>
  </si>
  <si>
    <t>NECOCE00335_22878</t>
  </si>
  <si>
    <t>G:\GEOPROCESSAMENTO\IMAGENS\LiDAR\Dados_2022\PROPRIO\NECOCE00335_Jatoba_I\Plot_las\Plots_22878_Norm.las</t>
  </si>
  <si>
    <t>Plots_22878_Norm</t>
  </si>
  <si>
    <t>NECOCE00335_22879</t>
  </si>
  <si>
    <t>NECOCE00335P14-395</t>
  </si>
  <si>
    <t>G:\GEOPROCESSAMENTO\IMAGENS\LiDAR\Dados_2022\PROPRIO\NECOCE00335_Jatoba_I\Plot_las\Plots_22879_Norm.las</t>
  </si>
  <si>
    <t>Plots_22879_Norm</t>
  </si>
  <si>
    <t>NECOCE00319_22886</t>
  </si>
  <si>
    <t>NECOCE00319R14-073</t>
  </si>
  <si>
    <t>NECOCE00319</t>
  </si>
  <si>
    <t>G:\GEOPROCESSAMENTO\IMAGENS\LiDAR\Dados_2022\PROPRIO\NECOCE00319_Cocais_das_Estrelas\Plot_las\Plots_22886_Norm.las</t>
  </si>
  <si>
    <t>Plots_22886_Norm</t>
  </si>
  <si>
    <t>CXbd14+FFcd</t>
  </si>
  <si>
    <t>NECOCE00319_22887</t>
  </si>
  <si>
    <t>G:\GEOPROCESSAMENTO\IMAGENS\LiDAR\Dados_2022\PROPRIO\NECOCE00319_Cocais_das_Estrelas\Plot_las\Plots_22887_Norm.las</t>
  </si>
  <si>
    <t>Plots_22887_Norm</t>
  </si>
  <si>
    <t>NECOCE00319_22888</t>
  </si>
  <si>
    <t>G:\GEOPROCESSAMENTO\IMAGENS\LiDAR\Dados_2022\PROPRIO\NECOCE00319_Cocais_das_Estrelas\Plot_las\Plots_22888_Norm.las</t>
  </si>
  <si>
    <t>Plots_22888_Norm</t>
  </si>
  <si>
    <t>RDIPMA00480_22945</t>
  </si>
  <si>
    <t>Rio Branco</t>
  </si>
  <si>
    <t>RDIPMA00480R14-007</t>
  </si>
  <si>
    <t>CNB002</t>
  </si>
  <si>
    <t>RDIPMA00480</t>
  </si>
  <si>
    <t>G:\GEOPROCESSAMENTO\IMAGENS\LiDAR\Dados_2022\PROPRIO\RDIPMA00480_Rio_Branco\Plot_las\Plots_22945_Norm.las</t>
  </si>
  <si>
    <t>Plots_22945_Norm</t>
  </si>
  <si>
    <t>RDIPMA00480_22946</t>
  </si>
  <si>
    <t>G:\GEOPROCESSAMENTO\IMAGENS\LiDAR\Dados_2022\PROPRIO\RDIPMA00480_Rio_Branco\Plot_las\Plots_22946_Norm.las</t>
  </si>
  <si>
    <t>Plots_22946_Norm</t>
  </si>
  <si>
    <t>RDIPMA00480_22947</t>
  </si>
  <si>
    <t>RDIPMA00480R14-020</t>
  </si>
  <si>
    <t>CNB009</t>
  </si>
  <si>
    <t>G:\GEOPROCESSAMENTO\IMAGENS\LiDAR\Dados_2022\PROPRIO\RDIPMA00480_Rio_Branco\Plot_las\Plots_22947_Norm.las</t>
  </si>
  <si>
    <t>Plots_22947_Norm</t>
  </si>
  <si>
    <t>RUbe1</t>
  </si>
  <si>
    <t>RDIPPD00474_22957</t>
  </si>
  <si>
    <t>RDIPPD00474P14-010</t>
  </si>
  <si>
    <t>CNB021</t>
  </si>
  <si>
    <t>G:\GEOPROCESSAMENTO\IMAGENS\LiDAR\Dados_2022\PROPRIO\RDIPPD00474_Lagoa_das_Piabas\Plot_las\Plots_22957_Norm.las</t>
  </si>
  <si>
    <t>Plots_22957_Norm</t>
  </si>
  <si>
    <t>FXd1</t>
  </si>
  <si>
    <t>RDIPPD00474_22958</t>
  </si>
  <si>
    <t>G:\GEOPROCESSAMENTO\IMAGENS\LiDAR\Dados_2022\PROPRIO\RDIPPD00474_Lagoa_das_Piabas\Plot_las\Plots_22958_Norm.las</t>
  </si>
  <si>
    <t>Plots_22958_Norm</t>
  </si>
  <si>
    <t>RDIPPD00474_22959</t>
  </si>
  <si>
    <t>G:\GEOPROCESSAMENTO\IMAGENS\LiDAR\Dados_2022\PROPRIO\RDIPPD00474_Lagoa_das_Piabas\Plot_las\Plots_22959_Norm.las</t>
  </si>
  <si>
    <t>Plots_22959_Norm</t>
  </si>
  <si>
    <t>RDPOPO00443_23061</t>
  </si>
  <si>
    <t>Pompéu</t>
  </si>
  <si>
    <t>RDPOPO00443P14-007</t>
  </si>
  <si>
    <t>RDPOPO00443</t>
  </si>
  <si>
    <t>G:\GEOPROCESSAMENTO\IMAGENS\LiDAR\Dados_2022\PROPRIO\RDPOPO00443_Pompeu\Plot_las\Plots_23061_Norm.las</t>
  </si>
  <si>
    <t>Plots_23061_Norm</t>
  </si>
  <si>
    <t>LVAw1</t>
  </si>
  <si>
    <t>RDPOPO00443_23062</t>
  </si>
  <si>
    <t>G:\GEOPROCESSAMENTO\IMAGENS\LiDAR\Dados_2022\PROPRIO\RDPOPO00443_Pompeu\Plot_las\Plots_23062_Norm.las</t>
  </si>
  <si>
    <t>Plots_23062_Norm</t>
  </si>
  <si>
    <t>RDPOPO00443_23065</t>
  </si>
  <si>
    <t>RDPOPO00443P14-009</t>
  </si>
  <si>
    <t>G:\GEOPROCESSAMENTO\IMAGENS\LiDAR\Dados_2022\PROPRIO\RDPOPO00443_Pompeu\Plot_las\Plots_23065_Norm.las</t>
  </si>
  <si>
    <t>Plots_23065_Norm</t>
  </si>
  <si>
    <t>RDPOPO00440_23066</t>
  </si>
  <si>
    <t>Nadir</t>
  </si>
  <si>
    <t>RDPOPO00440R14-022</t>
  </si>
  <si>
    <t>000VCL</t>
  </si>
  <si>
    <t>RDPOPO00440</t>
  </si>
  <si>
    <t>G:\GEOPROCESSAMENTO\IMAGENS\LiDAR\Dados_2022\PROPRIO\RDPOPO00440_Nadir\Plot_las\Plots_23066_Norm.las</t>
  </si>
  <si>
    <t>Plots_23066_Norm</t>
  </si>
  <si>
    <t>RDPOPO00440_23067</t>
  </si>
  <si>
    <t>RDPOPO00440R14-023</t>
  </si>
  <si>
    <t>G:\GEOPROCESSAMENTO\IMAGENS\LiDAR\Dados_2022\PROPRIO\RDPOPO00440_Nadir\Plot_las\Plots_23067_Norm.las</t>
  </si>
  <si>
    <t>Plots_23067_Norm</t>
  </si>
  <si>
    <t>RDBOBA00412_23187</t>
  </si>
  <si>
    <t>Cajá</t>
  </si>
  <si>
    <t>RDBOBA00412P14-178</t>
  </si>
  <si>
    <t>RDBOBA00412</t>
  </si>
  <si>
    <t>G:\GEOPROCESSAMENTO\IMAGENS\LiDAR\Dados_2022\PROPRIO\RDBOBA00412_Caja\Plot_las\Plots_23187_Norm.las</t>
  </si>
  <si>
    <t>Plots_23187_Norm</t>
  </si>
  <si>
    <t>RDBOBA00412_23188</t>
  </si>
  <si>
    <t>G:\GEOPROCESSAMENTO\IMAGENS\LiDAR\Dados_2022\PROPRIO\RDBOBA00412_Caja\Plot_las\Plots_23188_Norm.las</t>
  </si>
  <si>
    <t>Plots_23188_Norm</t>
  </si>
  <si>
    <t>NEPIIT09144_23211</t>
  </si>
  <si>
    <t>João de Deus</t>
  </si>
  <si>
    <t>NEPIIT09144P15-041</t>
  </si>
  <si>
    <t>NEPIIT09144</t>
  </si>
  <si>
    <t>G:\GEOPROCESSAMENTO\IMAGENS\LiDAR\Dados_2022\PROPRIO\NEPIIT09144_Joao_de_Deus\Plot_las\Plots_23211_Norm.las</t>
  </si>
  <si>
    <t>Plots_23211_Norm</t>
  </si>
  <si>
    <t>NEPIIT09144_23212</t>
  </si>
  <si>
    <t>G:\GEOPROCESSAMENTO\IMAGENS\LiDAR\Dados_2022\PROPRIO\NEPIIT09144_Joao_de_Deus\Plot_las\Plots_23212_Norm.las</t>
  </si>
  <si>
    <t>Plots_23212_Norm</t>
  </si>
  <si>
    <t>NEPIIT09144_23213</t>
  </si>
  <si>
    <t>G:\GEOPROCESSAMENTO\IMAGENS\LiDAR\Dados_2022\PROPRIO\NEPIIT09144_Joao_de_Deus\Plot_las\Plots_23213_Norm.las</t>
  </si>
  <si>
    <t>Plots_23213_Norm</t>
  </si>
  <si>
    <t>NEPIPC00238_23257</t>
  </si>
  <si>
    <t>Piçarrão I</t>
  </si>
  <si>
    <t>NEPIPC00238P15-011</t>
  </si>
  <si>
    <t>NEPIPC00238</t>
  </si>
  <si>
    <t>G:\GEOPROCESSAMENTO\IMAGENS\LiDAR\Dados_2022\PROPRIO\NEPIPC00238_Picarrao_I\Plot_las\Plots_23257_Norm.las</t>
  </si>
  <si>
    <t>Plots_23257_Norm</t>
  </si>
  <si>
    <t>NEPIPC00238_23260</t>
  </si>
  <si>
    <t>NEPIPC00238P15-006</t>
  </si>
  <si>
    <t>G:\GEOPROCESSAMENTO\IMAGENS\LiDAR\Dados_2022\PROPRIO\NEPIPC00238_Picarrao_I\Plot_las\Plots_23260_Norm.las</t>
  </si>
  <si>
    <t>Plots_23260_Norm</t>
  </si>
  <si>
    <t>NEPIIT00234_23263</t>
  </si>
  <si>
    <t>Mucuri</t>
  </si>
  <si>
    <t>NEPIIT00234P15-012</t>
  </si>
  <si>
    <t>NEPIIT00234</t>
  </si>
  <si>
    <t>G:\GEOPROCESSAMENTO\IMAGENS\LiDAR\Dados_2022\PROPRIO\NEPIIT00234_Mucuri\Plot_las\Plots_23263_Norm.las</t>
  </si>
  <si>
    <t>Plots_23263_Norm</t>
  </si>
  <si>
    <t>NEPIIT00234_23264</t>
  </si>
  <si>
    <t>NEPIIT00234P15-016</t>
  </si>
  <si>
    <t>G:\GEOPROCESSAMENTO\IMAGENS\LiDAR\Dados_2022\PROPRIO\NEPIIT00234_Mucuri\Plot_las\Plots_23264_Norm.las</t>
  </si>
  <si>
    <t>Plots_23264_Norm</t>
  </si>
  <si>
    <t>NEPIIT00234_23266</t>
  </si>
  <si>
    <t>NEPIIT00234P15-014</t>
  </si>
  <si>
    <t>G:\GEOPROCESSAMENTO\IMAGENS\LiDAR\Dados_2022\PROPRIO\NEPIIT00234_Mucuri\Plot_las\Plots_23266_Norm.las</t>
  </si>
  <si>
    <t>Plots_23266_Norm</t>
  </si>
  <si>
    <t>CXbd19</t>
  </si>
  <si>
    <t>NEPIPC00225_23274</t>
  </si>
  <si>
    <t>Liberdade</t>
  </si>
  <si>
    <t>NEPIPC00225R15-101</t>
  </si>
  <si>
    <t>NEPIPC00225</t>
  </si>
  <si>
    <t>G:\GEOPROCESSAMENTO\IMAGENS\LiDAR\Dados_2022\PROPRIO\NEPIPC00225_Liberdade\Plot_las\Plots_23274_Norm.las</t>
  </si>
  <si>
    <t>Plots_23274_Norm</t>
  </si>
  <si>
    <t>CXbd19+RRd2</t>
  </si>
  <si>
    <t>NEPIPC00225_23275</t>
  </si>
  <si>
    <t>G:\GEOPROCESSAMENTO\IMAGENS\LiDAR\Dados_2022\PROPRIO\NEPIPC00225_Liberdade\Plot_las\Plots_23275_Norm.las</t>
  </si>
  <si>
    <t>Plots_23275_Norm</t>
  </si>
  <si>
    <t>NEPIPC00225_23276</t>
  </si>
  <si>
    <t>G:\GEOPROCESSAMENTO\IMAGENS\LiDAR\Dados_2022\PROPRIO\NEPIPC00225_Liberdade\Plot_las\Plots_23276_Norm.las</t>
  </si>
  <si>
    <t>Plots_23276_Norm</t>
  </si>
  <si>
    <t>NEPIPC00225_23277</t>
  </si>
  <si>
    <t>NEPIPC00225P15-092</t>
  </si>
  <si>
    <t>G:\GEOPROCESSAMENTO\IMAGENS\LiDAR\Dados_2022\PROPRIO\NEPIPC00225_Liberdade\Plot_las\Plots_23277_Norm.las</t>
  </si>
  <si>
    <t>Plots_23277_Norm</t>
  </si>
  <si>
    <t>NEPIPC00225_23278</t>
  </si>
  <si>
    <t>G:\GEOPROCESSAMENTO\IMAGENS\LiDAR\Dados_2022\PROPRIO\NEPIPC00225_Liberdade\Plot_las\Plots_23278_Norm.las</t>
  </si>
  <si>
    <t>Plots_23278_Norm</t>
  </si>
  <si>
    <t>NEPIPC00225_23279</t>
  </si>
  <si>
    <t>NEPIPC00225P15-093</t>
  </si>
  <si>
    <t>G:\GEOPROCESSAMENTO\IMAGENS\LiDAR\Dados_2022\PROPRIO\NEPIPC00225_Liberdade\Plot_las\Plots_23279_Norm.las</t>
  </si>
  <si>
    <t>Plots_23279_Norm</t>
  </si>
  <si>
    <t>NECOCA00351_23557</t>
  </si>
  <si>
    <t>NECOCA00351P15-363</t>
  </si>
  <si>
    <t>G:\GEOPROCESSAMENTO\IMAGENS\LiDAR\Dados_2022\PROPRIO\NECOCA00351_Ribeirao_Grande\Plot_las\Plots_23557_Norm.las</t>
  </si>
  <si>
    <t>Plots_23557_Norm</t>
  </si>
  <si>
    <t>LAw2</t>
  </si>
  <si>
    <t>NECOCA00351_23558</t>
  </si>
  <si>
    <t>G:\GEOPROCESSAMENTO\IMAGENS\LiDAR\Dados_2022\PROPRIO\NECOCA00351_Ribeirao_Grande\Plot_las\Plots_23558_Norm.las</t>
  </si>
  <si>
    <t>Plots_23558_Norm</t>
  </si>
  <si>
    <t>NECOCA00351_23559</t>
  </si>
  <si>
    <t>NECOCA00351P15-358</t>
  </si>
  <si>
    <t>G:\GEOPROCESSAMENTO\IMAGENS\LiDAR\Dados_2022\PROPRIO\NECOCA00351_Ribeirao_Grande\Plot_las\Plots_23559_Norm.las</t>
  </si>
  <si>
    <t>Plots_23559_Norm</t>
  </si>
  <si>
    <t>NECOCA00351_23560</t>
  </si>
  <si>
    <t>G:\GEOPROCESSAMENTO\IMAGENS\LiDAR\Dados_2022\PROPRIO\NECOCA00351_Ribeirao_Grande\Plot_las\Plots_23560_Norm.las</t>
  </si>
  <si>
    <t>Plots_23560_Norm</t>
  </si>
  <si>
    <t>NECOCA00351_23561</t>
  </si>
  <si>
    <t>G:\GEOPROCESSAMENTO\IMAGENS\LiDAR\Dados_2022\PROPRIO\NECOCA00351_Ribeirao_Grande\Plot_las\Plots_23561_Norm.las</t>
  </si>
  <si>
    <t>Plots_23561_Norm</t>
  </si>
  <si>
    <t>NECOCA00351_23562</t>
  </si>
  <si>
    <t>NECOCA00351P15-375</t>
  </si>
  <si>
    <t>G:\GEOPROCESSAMENTO\IMAGENS\LiDAR\Dados_2022\PROPRIO\NECOCA00351_Ribeirao_Grande\Plot_las\Plots_23562_Norm.las</t>
  </si>
  <si>
    <t>Plots_23562_Norm</t>
  </si>
  <si>
    <t>CXbd10+CXbd7</t>
  </si>
  <si>
    <t>NECOCA00351_23564</t>
  </si>
  <si>
    <t>NECOCA00351R15-007</t>
  </si>
  <si>
    <t>128C99</t>
  </si>
  <si>
    <t>G:\GEOPROCESSAMENTO\IMAGENS\LiDAR\Dados_2022\PROPRIO\NECOCA00351_Ribeirao_Grande\Plot_las\Plots_23564_Norm.las</t>
  </si>
  <si>
    <t>Plots_23564_Norm</t>
  </si>
  <si>
    <t>NECOCA00351_23565</t>
  </si>
  <si>
    <t>NECOCA00351R15-012</t>
  </si>
  <si>
    <t>CNB006</t>
  </si>
  <si>
    <t>G:\GEOPROCESSAMENTO\IMAGENS\LiDAR\Dados_2022\PROPRIO\NECOCA00351_Ribeirao_Grande\Plot_las\Plots_23565_Norm.las</t>
  </si>
  <si>
    <t>Plots_23565_Norm</t>
  </si>
  <si>
    <t>NECOCA00351_23566</t>
  </si>
  <si>
    <t>G:\GEOPROCESSAMENTO\IMAGENS\LiDAR\Dados_2022\PROPRIO\NECOCA00351_Ribeirao_Grande\Plot_las\Plots_23566_Norm.las</t>
  </si>
  <si>
    <t>Plots_23566_Norm</t>
  </si>
  <si>
    <t>GNVIVI00505_23808</t>
  </si>
  <si>
    <t>Bem-Te-Vi</t>
  </si>
  <si>
    <t>GNVIVI00505P15-001</t>
  </si>
  <si>
    <t>GNVIVI00505</t>
  </si>
  <si>
    <t>G:\GEOPROCESSAMENTO\IMAGENS\LiDAR\Dados_2022\PROPRIO\GNVIVI00505_Bem_Te_Vi\Plot_las\Plots_23808_Norm.las</t>
  </si>
  <si>
    <t>Plots_23808_Norm</t>
  </si>
  <si>
    <t>LVAw1+LAw1</t>
  </si>
  <si>
    <t>GNVIVI00505_23809</t>
  </si>
  <si>
    <t>G:\GEOPROCESSAMENTO\IMAGENS\LiDAR\Dados_2022\PROPRIO\GNVIVI00505_Bem_Te_Vi\Plot_las\Plots_23809_Norm.las</t>
  </si>
  <si>
    <t>Plots_23809_Norm</t>
  </si>
  <si>
    <t>GNVIVI00505_23810</t>
  </si>
  <si>
    <t>G:\GEOPROCESSAMENTO\IMAGENS\LiDAR\Dados_2022\PROPRIO\GNVIVI00505_Bem_Te_Vi\Plot_las\Plots_23810_Norm.las</t>
  </si>
  <si>
    <t>Plots_23810_Norm</t>
  </si>
  <si>
    <t>GNVIVI00505_23818</t>
  </si>
  <si>
    <t>GNVIVI00505R15-003</t>
  </si>
  <si>
    <t>G:\GEOPROCESSAMENTO\IMAGENS\LiDAR\Dados_2022\PROPRIO\GNVIVI00505_Bem_Te_Vi\Plot_las\Plots_23818_Norm.las</t>
  </si>
  <si>
    <t>Plots_23818_Norm</t>
  </si>
  <si>
    <t>GNVIVI00505_23819</t>
  </si>
  <si>
    <t>G:\GEOPROCESSAMENTO\IMAGENS\LiDAR\Dados_2022\PROPRIO\GNVIVI00505_Bem_Te_Vi\Plot_las\Plots_23819_Norm.las</t>
  </si>
  <si>
    <t>Plots_23819_Norm</t>
  </si>
  <si>
    <t>GNVIVI00505_23820</t>
  </si>
  <si>
    <t>G:\GEOPROCESSAMENTO\IMAGENS\LiDAR\Dados_2022\PROPRIO\GNVIVI00505_Bem_Te_Vi\Plot_las\Plots_23820_Norm.las</t>
  </si>
  <si>
    <t>Plots_23820_Norm</t>
  </si>
  <si>
    <t>GNSACR00682_23849</t>
  </si>
  <si>
    <t>Córrego do Itimirim I</t>
  </si>
  <si>
    <t>GNSACR00682P15-002</t>
  </si>
  <si>
    <t>CNB031</t>
  </si>
  <si>
    <t>GNSACR00682</t>
  </si>
  <si>
    <t>G:\GEOPROCESSAMENTO\IMAGENS\LiDAR\Dados_2022\PROPRIO\GNSACR00682_Corrego_do_Itimirim_I\Plot_las\Plots_23849_Norm.las</t>
  </si>
  <si>
    <t>Plots_23849_Norm</t>
  </si>
  <si>
    <t>IMP</t>
  </si>
  <si>
    <t>GNSACR00682_23854</t>
  </si>
  <si>
    <t>GNSACR00682P15-001</t>
  </si>
  <si>
    <t>G:\GEOPROCESSAMENTO\IMAGENS\LiDAR\Dados_2022\PROPRIO\GNSACR00682_Corrego_do_Itimirim_I\Plot_las\Plots_23854_Norm.las</t>
  </si>
  <si>
    <t>Plots_23854_Norm</t>
  </si>
  <si>
    <t>GNSACR00681_23855</t>
  </si>
  <si>
    <t>Córrego do Itimirim II</t>
  </si>
  <si>
    <t>GNSACR00681P15-002</t>
  </si>
  <si>
    <t>GNSACR00681</t>
  </si>
  <si>
    <t>G:\GEOPROCESSAMENTO\IMAGENS\LiDAR\Dados_2022\PROPRIO\GNSACR00681_Corrego_do_Itimirim_II\Plot_las\Plots_23855_Norm.las</t>
  </si>
  <si>
    <t>Plots_23855_Norm</t>
  </si>
  <si>
    <t>GNSACR00681_23857</t>
  </si>
  <si>
    <t>GNSACR00681P15-001</t>
  </si>
  <si>
    <t>G:\GEOPROCESSAMENTO\IMAGENS\LiDAR\Dados_2022\PROPRIO\GNSACR00681_Corrego_do_Itimirim_II\Plot_las\Plots_23857_Norm.las</t>
  </si>
  <si>
    <t>Plots_23857_Norm</t>
  </si>
  <si>
    <t>GNSACR00681_23858</t>
  </si>
  <si>
    <t>GNSACR00681P15-003</t>
  </si>
  <si>
    <t>G:\GEOPROCESSAMENTO\IMAGENS\LiDAR\Dados_2022\PROPRIO\GNSACR00681_Corrego_do_Itimirim_II\Plot_las\Plots_23858_Norm.las</t>
  </si>
  <si>
    <t>Plots_23858_Norm</t>
  </si>
  <si>
    <t>GNSAPE00613_23938</t>
  </si>
  <si>
    <t>GNSAPE00613R15-054</t>
  </si>
  <si>
    <t>C:\Users\C0010943\Fusion\GNSAPE00613_CACHOEIRA_DAS_POMBAS\plots\plot_23938.las</t>
  </si>
  <si>
    <t>plot_23938</t>
  </si>
  <si>
    <t>RDPOPO00406_24029</t>
  </si>
  <si>
    <t>Barretinha</t>
  </si>
  <si>
    <t>RDPOPO00406P15-001</t>
  </si>
  <si>
    <t>RDPOPO00406</t>
  </si>
  <si>
    <t>G:\GEOPROCESSAMENTO\IMAGENS\LiDAR\Dados_2022\PROPRIO\RDPOPO00406_Barretinha\Plot_las\Plots_24029_Norm.las</t>
  </si>
  <si>
    <t>Plots_24029_Norm</t>
  </si>
  <si>
    <t>RDPOPO00406_24030</t>
  </si>
  <si>
    <t>RDPOPO00406P15-002</t>
  </si>
  <si>
    <t>G:\GEOPROCESSAMENTO\IMAGENS\LiDAR\Dados_2022\PROPRIO\RDPOPO00406_Barretinha\Plot_las\Plots_24030_Norm.las</t>
  </si>
  <si>
    <t>Plots_24030_Norm</t>
  </si>
  <si>
    <t>RDPOPO00406_24031</t>
  </si>
  <si>
    <t>RDPOPO00406P15-003</t>
  </si>
  <si>
    <t>G:\GEOPROCESSAMENTO\IMAGENS\LiDAR\Dados_2022\PROPRIO\RDPOPO00406_Barretinha\Plot_las\Plots_24031_Norm.las</t>
  </si>
  <si>
    <t>Plots_24031_Norm</t>
  </si>
  <si>
    <t>RDBOBA00405_24044</t>
  </si>
  <si>
    <t>Bagre</t>
  </si>
  <si>
    <t>RDBOBA00405P15-007</t>
  </si>
  <si>
    <t>RDBOBA00405</t>
  </si>
  <si>
    <t>G:\GEOPROCESSAMENTO\IMAGENS\LiDAR\Dados_2022\PROPRIO\RDBOBA00405_Bagre\Plot_las\Plots_24044_Norm.las</t>
  </si>
  <si>
    <t>Plots_24044_Norm</t>
  </si>
  <si>
    <t>RDBOBA00405_24045</t>
  </si>
  <si>
    <t>G:\GEOPROCESSAMENTO\IMAGENS\LiDAR\Dados_2022\PROPRIO\RDBOBA00405_Bagre\Plot_las\Plots_24045_Norm.las</t>
  </si>
  <si>
    <t>Plots_24045_Norm</t>
  </si>
  <si>
    <t>RDIPMA00480_24200</t>
  </si>
  <si>
    <t>RDIPMA00480P15-006</t>
  </si>
  <si>
    <t>G:\GEOPROCESSAMENTO\IMAGENS\LiDAR\Dados_2022\PROPRIO\RDIPMA00480_Rio_Branco\Plot_las\Plots_24200_Norm.las</t>
  </si>
  <si>
    <t>Plots_24200_Norm</t>
  </si>
  <si>
    <t>LAd2</t>
  </si>
  <si>
    <t>RDIPMA00480_24207</t>
  </si>
  <si>
    <t>RDIPMA00480P15-001</t>
  </si>
  <si>
    <t>G:\GEOPROCESSAMENTO\IMAGENS\LiDAR\Dados_2022\PROPRIO\RDIPMA00480_Rio_Branco\Plot_las\Plots_24207_Norm.las</t>
  </si>
  <si>
    <t>Plots_24207_Norm</t>
  </si>
  <si>
    <t>RDIPMA00480_24208</t>
  </si>
  <si>
    <t>G:\GEOPROCESSAMENTO\IMAGENS\LiDAR\Dados_2022\PROPRIO\RDIPMA00480_Rio_Branco\Plot_las\Plots_24208_Norm.las</t>
  </si>
  <si>
    <t>Plots_24208_Norm</t>
  </si>
  <si>
    <t>RDIPPD00477_24209</t>
  </si>
  <si>
    <t>RDIPPD00477R15-021</t>
  </si>
  <si>
    <t>G:\GEOPROCESSAMENTO\IMAGENS\LiDAR\Dados_2022\PROPRIO\RDIPPD00477_Lagoa_do_Brito\Plot_las\Plots_24209_Norm.las</t>
  </si>
  <si>
    <t>Plots_24209_Norm</t>
  </si>
  <si>
    <t>RDIPPD00477_24212</t>
  </si>
  <si>
    <t>RDIPPD00477R15-019</t>
  </si>
  <si>
    <t>CNB017</t>
  </si>
  <si>
    <t>G:\GEOPROCESSAMENTO\IMAGENS\LiDAR\Dados_2022\PROPRIO\RDIPPD00477_Lagoa_do_Brito\Plot_las\Plots_24212_Norm.las</t>
  </si>
  <si>
    <t>Plots_24212_Norm</t>
  </si>
  <si>
    <t>RUbd6</t>
  </si>
  <si>
    <t>RDIPPD00476_24215</t>
  </si>
  <si>
    <t>Lagoa Redonda</t>
  </si>
  <si>
    <t>RDIPPD00476P15-007</t>
  </si>
  <si>
    <t>RDIPPD00476</t>
  </si>
  <si>
    <t>G:\GEOPROCESSAMENTO\IMAGENS\LiDAR\Dados_2022\PROPRIO\RDIPPD00476_Lagoa_Redonda\Plot_las\Plots_24215_Norm.las</t>
  </si>
  <si>
    <t>Plots_24215_Norm</t>
  </si>
  <si>
    <t>RDIPPD00476_24218</t>
  </si>
  <si>
    <t>RDIPPD00476P15-001</t>
  </si>
  <si>
    <t>G:\GEOPROCESSAMENTO\IMAGENS\LiDAR\Dados_2022\PROPRIO\RDIPPD00476_Lagoa_Redonda\Plot_las\Plots_24218_Norm.las</t>
  </si>
  <si>
    <t>Plots_24218_Norm</t>
  </si>
  <si>
    <t>RDIPPD00476_24219</t>
  </si>
  <si>
    <t>RDIPPD00476P15-002</t>
  </si>
  <si>
    <t>G:\GEOPROCESSAMENTO\IMAGENS\LiDAR\Dados_2022\PROPRIO\RDIPPD00476_Lagoa_Redonda\Plot_las\Plots_24219_Norm.las</t>
  </si>
  <si>
    <t>Plots_24219_Norm</t>
  </si>
  <si>
    <t>RUbd1</t>
  </si>
  <si>
    <t>RDIPPD00477_24370</t>
  </si>
  <si>
    <t>RDIPPD00477R16-014</t>
  </si>
  <si>
    <t>CNB014</t>
  </si>
  <si>
    <t>G:\GEOPROCESSAMENTO\IMAGENS\LiDAR\Dados_2022\PROPRIO\RDIPPD00477_Lagoa_do_Brito\Plot_las\Plots_24370_Norm.las</t>
  </si>
  <si>
    <t>Plots_24370_Norm</t>
  </si>
  <si>
    <t>LVAd3</t>
  </si>
  <si>
    <t>RDIPPD00477_24393</t>
  </si>
  <si>
    <t>RDIPPD00477R16-005</t>
  </si>
  <si>
    <t>2,50 x 3,00</t>
  </si>
  <si>
    <t>G:\GEOPROCESSAMENTO\IMAGENS\LiDAR\Dados_2022\PROPRIO\RDIPPD00477_Lagoa_do_Brito\Plot_las\Plots_24393_Norm.las</t>
  </si>
  <si>
    <t>Plots_24393_Norm</t>
  </si>
  <si>
    <t>RDIPPD00474_24425</t>
  </si>
  <si>
    <t>RDIPPD00474P16-038</t>
  </si>
  <si>
    <t>G:\GEOPROCESSAMENTO\IMAGENS\LiDAR\Dados_2022\PROPRIO\RDIPPD00474_Lagoa_das_Piabas\Plot_las\Plots_24425_Norm.las</t>
  </si>
  <si>
    <t>Plots_24425_Norm</t>
  </si>
  <si>
    <t>RDIPPD00474_24432</t>
  </si>
  <si>
    <t>RDIPPD00474P16-033</t>
  </si>
  <si>
    <t>CNB032</t>
  </si>
  <si>
    <t>G:\GEOPROCESSAMENTO\IMAGENS\LiDAR\Dados_2022\PROPRIO\RDIPPD00474_Lagoa_das_Piabas\Plot_las\Plots_24432_Norm.las</t>
  </si>
  <si>
    <t>Plots_24432_Norm</t>
  </si>
  <si>
    <t>RDIPMA00492_24436</t>
  </si>
  <si>
    <t>Cordeiros</t>
  </si>
  <si>
    <t>RDIPMA00492P16-011</t>
  </si>
  <si>
    <t>CNB023</t>
  </si>
  <si>
    <t>RDIPMA00492</t>
  </si>
  <si>
    <t>C:\LiDAR\Projetos\RDIPMA00492_Cordeiros\plots\plot_24436.las</t>
  </si>
  <si>
    <t>plot_24436</t>
  </si>
  <si>
    <t>RDIPMA00492_24437</t>
  </si>
  <si>
    <t>RDIPMA00492P16-010</t>
  </si>
  <si>
    <t>CNB033</t>
  </si>
  <si>
    <t>C:\LiDAR\Projetos\RDIPMA00492_Cordeiros\plots\plot_24437.las</t>
  </si>
  <si>
    <t>plot_24437</t>
  </si>
  <si>
    <t>RDIPMA00492_24438</t>
  </si>
  <si>
    <t>C:\LiDAR\Projetos\RDIPMA00492_Cordeiros\plots\plot_24438.las</t>
  </si>
  <si>
    <t>plot_24438</t>
  </si>
  <si>
    <t>RDIPMA00493_24439</t>
  </si>
  <si>
    <t>Córrego Novo</t>
  </si>
  <si>
    <t>RDIPMA00493P16-008</t>
  </si>
  <si>
    <t>RDIPMA00493</t>
  </si>
  <si>
    <t>G:\GEOPROCESSAMENTO\IMAGENS\LiDAR\Dados_2022\PROPRIO\RDIPMA00493_Corrego_Novo\Plot_las\Plots_24439_Norm.las</t>
  </si>
  <si>
    <t>Plots_24439_Norm</t>
  </si>
  <si>
    <t>RDIPMA00493_24440</t>
  </si>
  <si>
    <t>G:\GEOPROCESSAMENTO\IMAGENS\LiDAR\Dados_2022\PROPRIO\RDIPMA00493_Corrego_Novo\Plot_las\Plots_24440_Norm.las</t>
  </si>
  <si>
    <t>Plots_24440_Norm</t>
  </si>
  <si>
    <t>RDPOPO00455_24459</t>
  </si>
  <si>
    <t>Vargem Grande</t>
  </si>
  <si>
    <t>RDPOPO00455P16-039</t>
  </si>
  <si>
    <t>RDPOPO00455</t>
  </si>
  <si>
    <t>G:\GEOPROCESSAMENTO\IMAGENS\LiDAR\Dados_2022\PROPRIO\RDPOPO00455_Vargem_Grande\Plot_las\Plots_24459_Norm.las</t>
  </si>
  <si>
    <t>Plots_24459_Norm</t>
  </si>
  <si>
    <t>RDPOPO00455_24460</t>
  </si>
  <si>
    <t>RDPOPO00455P16-049</t>
  </si>
  <si>
    <t>G:\GEOPROCESSAMENTO\IMAGENS\LiDAR\Dados_2022\PROPRIO\RDPOPO00455_Vargem_Grande\Plot_las\Plots_24460_Norm.las</t>
  </si>
  <si>
    <t>Plots_24460_Norm</t>
  </si>
  <si>
    <t>RDPOPO00455_24462</t>
  </si>
  <si>
    <t>RDPOPO00455P16-040</t>
  </si>
  <si>
    <t>G:\GEOPROCESSAMENTO\IMAGENS\LiDAR\Dados_2022\PROPRIO\RDPOPO00455_Vargem_Grande\Plot_las\Plots_24462_Norm.las</t>
  </si>
  <si>
    <t>Plots_24462_Norm</t>
  </si>
  <si>
    <t>LAw1</t>
  </si>
  <si>
    <t>RDPOPO00444_24467</t>
  </si>
  <si>
    <t>Renascença</t>
  </si>
  <si>
    <t>RDPOPO00444P16-022</t>
  </si>
  <si>
    <t>RDPOPO00444</t>
  </si>
  <si>
    <t>C:\LiDAR\Projetos\RDPOPO00444_RENASCENCA\plots\plot_24467.las</t>
  </si>
  <si>
    <t>plot_24467</t>
  </si>
  <si>
    <t>RDPOPO00444_24468</t>
  </si>
  <si>
    <t>C:\LiDAR\Projetos\RDPOPO00444_RENASCENCA\plots\plot_24468.las</t>
  </si>
  <si>
    <t>plot_24468</t>
  </si>
  <si>
    <t>RDPOPO00441_24470</t>
  </si>
  <si>
    <t>Pintassilgo</t>
  </si>
  <si>
    <t>RDPOPO00441R16-001</t>
  </si>
  <si>
    <t>RDPOPO00441</t>
  </si>
  <si>
    <t>C:\LiDAR\Projetos\RDPOPO00441_PINTASSILGO\plots\plot_24470.las</t>
  </si>
  <si>
    <t>plot_24470</t>
  </si>
  <si>
    <t>RDPOPO00441_24471</t>
  </si>
  <si>
    <t>C:\LiDAR\Projetos\RDPOPO00441_PINTASSILGO\plots\plot_24471.las</t>
  </si>
  <si>
    <t>plot_24471</t>
  </si>
  <si>
    <t>RDPOPO00441_24472</t>
  </si>
  <si>
    <t>RDPOPO00441R16-002</t>
  </si>
  <si>
    <t>C:\LiDAR\Projetos\RDPOPO00441_PINTASSILGO\plots\plot_24472.las</t>
  </si>
  <si>
    <t>plot_24472</t>
  </si>
  <si>
    <t>RDBOBA00469_24509</t>
  </si>
  <si>
    <t>Bião</t>
  </si>
  <si>
    <t>RDBOBA00469R16-444</t>
  </si>
  <si>
    <t>CNB016</t>
  </si>
  <si>
    <t>RDBOBA00469</t>
  </si>
  <si>
    <t>G:\GEOPROCESSAMENTO\IMAGENS\LiDAR\Dados_2022\PROPRIO\RDBOBA00469_Biao\Plot_las\Plots_24509_Norm.las</t>
  </si>
  <si>
    <t>Plots_24509_Norm</t>
  </si>
  <si>
    <t>RDBOBA00469_24511</t>
  </si>
  <si>
    <t>G:\GEOPROCESSAMENTO\IMAGENS\LiDAR\Dados_2022\PROPRIO\RDBOBA00469_Biao\Plot_las\Plots_24511_Norm.las</t>
  </si>
  <si>
    <t>Plots_24511_Norm</t>
  </si>
  <si>
    <t>RDBOBA00465_24541</t>
  </si>
  <si>
    <t>RDBOBA00465P16-230</t>
  </si>
  <si>
    <t>G:\GEOPROCESSAMENTO\IMAGENS\LiDAR\Dados_2022\PROPRIO\RDBOBA00465_Caxambu\Plot_las\Plots_24541_Norm.las</t>
  </si>
  <si>
    <t>Plots_24541_Norm</t>
  </si>
  <si>
    <t>RDBOBA00465_24542</t>
  </si>
  <si>
    <t>G:\GEOPROCESSAMENTO\IMAGENS\LiDAR\Dados_2022\PROPRIO\RDBOBA00465_Caxambu\Plot_las\Plots_24542_Norm.las</t>
  </si>
  <si>
    <t>Plots_24542_Norm</t>
  </si>
  <si>
    <t>GNVIVI00582_24648</t>
  </si>
  <si>
    <t>São Leonardo III</t>
  </si>
  <si>
    <t>GNVIVI00582P16-045</t>
  </si>
  <si>
    <t>GNVIVI00582</t>
  </si>
  <si>
    <t>C:\Users\C0010943\Fusion\GNVIVI00582_SAO_LEONARDO_III\plots\plot_24648.las</t>
  </si>
  <si>
    <t>plot_24648</t>
  </si>
  <si>
    <t>CXbd5+CXbd1</t>
  </si>
  <si>
    <t>GNVIVI00582_24649</t>
  </si>
  <si>
    <t>GNVIVI00582P16-046</t>
  </si>
  <si>
    <t>C:\Users\C0010943\Fusion\GNVIVI00582_SAO_LEONARDO_III\plots\plot_24649.las</t>
  </si>
  <si>
    <t>plot_24649</t>
  </si>
  <si>
    <t>GNVIVI00582_24650</t>
  </si>
  <si>
    <t>C:\Users\C0010943\Fusion\GNVIVI00582_SAO_LEONARDO_III\plots\plot_24650.las</t>
  </si>
  <si>
    <t>plot_24650</t>
  </si>
  <si>
    <t>GNVIVI00582_24662</t>
  </si>
  <si>
    <t>GNVIVI00582R16-044</t>
  </si>
  <si>
    <t>C:\Users\C0010943\Fusion\GNVIVI00582_SAO_LEONARDO_III\plots\plot_24662.las</t>
  </si>
  <si>
    <t>plot_24662</t>
  </si>
  <si>
    <t>GNVIVI00582_24663</t>
  </si>
  <si>
    <t>C:\Users\C0010943\Fusion\GNVIVI00582_SAO_LEONARDO_III\plots\plot_24663.las</t>
  </si>
  <si>
    <t>plot_24663</t>
  </si>
  <si>
    <t>GNVIVI00582_24664</t>
  </si>
  <si>
    <t>C:\Users\C0010943\Fusion\GNVIVI00582_SAO_LEONARDO_III\plots\plot_24664.las</t>
  </si>
  <si>
    <t>plot_24664</t>
  </si>
  <si>
    <t>GNSASA00655_24832</t>
  </si>
  <si>
    <t>Sabinópolis III</t>
  </si>
  <si>
    <t>GNSASA00655P16-161</t>
  </si>
  <si>
    <t>GNSASA00655</t>
  </si>
  <si>
    <t>C:\Users\C0010943\Fusion\GNSASA00655_SABINOPOLIS_III\plots\plot_24832.las</t>
  </si>
  <si>
    <t>plot_24832</t>
  </si>
  <si>
    <t>GNSASA00655_24843</t>
  </si>
  <si>
    <t>GNSASA00655P16-173</t>
  </si>
  <si>
    <t>C:\Users\C0010943\Fusion\GNSASA00655_SABINOPOLIS_III\plots\plot_24843.las</t>
  </si>
  <si>
    <t>plot_24843</t>
  </si>
  <si>
    <t>GNSASA00655_24844</t>
  </si>
  <si>
    <t>C:\Users\C0010943\Fusion\GNSASA00655_SABINOPOLIS_III\plots\plot_24844.las</t>
  </si>
  <si>
    <t>plot_24844</t>
  </si>
  <si>
    <t>GNSASA00655_24847</t>
  </si>
  <si>
    <t>GNSASA00655R16-172</t>
  </si>
  <si>
    <t>C:\Users\C0010943\Fusion\GNSASA00655_SABINOPOLIS_III\plots\plot_24847.las</t>
  </si>
  <si>
    <t>plot_24847</t>
  </si>
  <si>
    <t>GNSASA00655_24848</t>
  </si>
  <si>
    <t>C:\Users\C0010943\Fusion\GNSASA00655_SABINOPOLIS_III\plots\plot_24848.las</t>
  </si>
  <si>
    <t>plot_24848</t>
  </si>
  <si>
    <t>GNSASA00655_24849</t>
  </si>
  <si>
    <t>C:\Users\C0010943\Fusion\GNSASA00655_SABINOPOLIS_III\plots\plot_24849.las</t>
  </si>
  <si>
    <t>plot_24849</t>
  </si>
  <si>
    <t>GNSAPE00613_24882</t>
  </si>
  <si>
    <t>GNSAPE00613R16-022</t>
  </si>
  <si>
    <t>C:\Users\C0010943\Fusion\GNSAPE00613_CACHOEIRA_DAS_POMBAS\plots\plot_24882.las</t>
  </si>
  <si>
    <t>plot_24882</t>
  </si>
  <si>
    <t>GNSAPE00613_24883</t>
  </si>
  <si>
    <t>C:\Users\C0010943\Fusion\GNSAPE00613_CACHOEIRA_DAS_POMBAS\plots\plot_24883.las</t>
  </si>
  <si>
    <t>plot_24883</t>
  </si>
  <si>
    <t>GNSAPE00613_24887</t>
  </si>
  <si>
    <t>GNSAPE00613R16-024</t>
  </si>
  <si>
    <t>C:\Users\C0010943\Fusion\GNSAPE00613_CACHOEIRA_DAS_POMBAS\plots\plot_24887.las</t>
  </si>
  <si>
    <t>plot_24887</t>
  </si>
  <si>
    <t>GNSASA00609_24903</t>
  </si>
  <si>
    <t>Babilônia II</t>
  </si>
  <si>
    <t>GNSASA00609P16-244</t>
  </si>
  <si>
    <t>GNSASA00609</t>
  </si>
  <si>
    <t>C:\LiDAR\Projetos\GNSASA00609_BABILONIA_II\plots\plot_24903.las</t>
  </si>
  <si>
    <t>plot_24903</t>
  </si>
  <si>
    <t>GNSASA00609_24904</t>
  </si>
  <si>
    <t>GNSASA00609P16-247</t>
  </si>
  <si>
    <t>C:\LiDAR\Projetos\GNSASA00609_BABILONIA_II\plots\plot_24904.las</t>
  </si>
  <si>
    <t>plot_24904</t>
  </si>
  <si>
    <t>GNSASA00609_24905</t>
  </si>
  <si>
    <t>C:\LiDAR\Projetos\GNSASA00609_BABILONIA_II\plots\plot_24905.las</t>
  </si>
  <si>
    <t>plot_24905</t>
  </si>
  <si>
    <t>NECOCE00359_24931</t>
  </si>
  <si>
    <t>Tambu</t>
  </si>
  <si>
    <t>NECOCE00359P16-348</t>
  </si>
  <si>
    <t>NECOCE00359</t>
  </si>
  <si>
    <t>G:\GEOPROCESSAMENTO\IMAGENS\LiDAR\Dados_2022\PROPRIO\NECOCE00359_Tambu\Plot_las\Plots_24931_Norm.las</t>
  </si>
  <si>
    <t>Plots_24931_Norm</t>
  </si>
  <si>
    <t>NECOCE00359_24932</t>
  </si>
  <si>
    <t>G:\GEOPROCESSAMENTO\IMAGENS\LiDAR\Dados_2022\PROPRIO\NECOCE00359_Tambu\Plot_las\Plots_24932_Norm.las</t>
  </si>
  <si>
    <t>Plots_24932_Norm</t>
  </si>
  <si>
    <t>NECOCE00359_24933</t>
  </si>
  <si>
    <t>G:\GEOPROCESSAMENTO\IMAGENS\LiDAR\Dados_2022\PROPRIO\NECOCE00359_Tambu\Plot_las\Plots_24933_Norm.las</t>
  </si>
  <si>
    <t>Plots_24933_Norm</t>
  </si>
  <si>
    <t>NECOCA00356_24950</t>
  </si>
  <si>
    <t>São José</t>
  </si>
  <si>
    <t>NECOCA00356P16-064</t>
  </si>
  <si>
    <t>NECOCA00356</t>
  </si>
  <si>
    <t>G:\GEOPROCESSAMENTO\IMAGENS\LiDAR\Dados_2022\PROPRIO\NECOCA00356_Sao_Jose\Plot_las\Plots_24950_Norm.las</t>
  </si>
  <si>
    <t>Plots_24950_Norm</t>
  </si>
  <si>
    <t>CXbd9+CXbd14</t>
  </si>
  <si>
    <t>NECOCA00356_24959</t>
  </si>
  <si>
    <t>NECOCA00356R16-085</t>
  </si>
  <si>
    <t>G:\GEOPROCESSAMENTO\IMAGENS\LiDAR\Dados_2022\PROPRIO\NECOCA00356_Sao_Jose\Plot_las\Plots_24959_Norm.las</t>
  </si>
  <si>
    <t>Plots_24959_Norm</t>
  </si>
  <si>
    <t>NECOCA00356_24961</t>
  </si>
  <si>
    <t>NECOCA00356R16-089</t>
  </si>
  <si>
    <t>G:\GEOPROCESSAMENTO\IMAGENS\LiDAR\Dados_2022\PROPRIO\NECOCA00356_Sao_Jose\Plot_las\Plots_24961_Norm.las</t>
  </si>
  <si>
    <t>Plots_24961_Norm</t>
  </si>
  <si>
    <t>LAw2+LVAw2</t>
  </si>
  <si>
    <t>NECOCA00356_24967</t>
  </si>
  <si>
    <t>NECOCA00356R16-078</t>
  </si>
  <si>
    <t>G:\GEOPROCESSAMENTO\IMAGENS\LiDAR\Dados_2022\PROPRIO\NECOCA00356_Sao_Jose\Plot_las\Plots_24967_Norm.las</t>
  </si>
  <si>
    <t>Plots_24967_Norm</t>
  </si>
  <si>
    <t>CXbd9</t>
  </si>
  <si>
    <t>NECOCA00356_24968</t>
  </si>
  <si>
    <t>NECOCA00356P16-066</t>
  </si>
  <si>
    <t>G:\GEOPROCESSAMENTO\IMAGENS\LiDAR\Dados_2022\PROPRIO\NECOCA00356_Sao_Jose\Plot_las\Plots_24968_Norm.las</t>
  </si>
  <si>
    <t>Plots_24968_Norm</t>
  </si>
  <si>
    <t>NECOCA00356_24969</t>
  </si>
  <si>
    <t>NECOCA00356P16-062</t>
  </si>
  <si>
    <t>G:\GEOPROCESSAMENTO\IMAGENS\LiDAR\Dados_2022\PROPRIO\NECOCA00356_Sao_Jose\Plot_las\Plots_24969_Norm.las</t>
  </si>
  <si>
    <t>Plots_24969_Norm</t>
  </si>
  <si>
    <t>NECOCA00349_24983</t>
  </si>
  <si>
    <t>Córrego dos Machados</t>
  </si>
  <si>
    <t>NECOCA00349R16-022</t>
  </si>
  <si>
    <t>NECOCA00349</t>
  </si>
  <si>
    <t>G:\GEOPROCESSAMENTO\IMAGENS\LiDAR\Dados_2022\PROPRIO\NECOCA00349_Corrego_dos_Machados\Plot_las\Plots_24983_Norm.las</t>
  </si>
  <si>
    <t>Plots_24983_Norm</t>
  </si>
  <si>
    <t>NECOCA00349_24984</t>
  </si>
  <si>
    <t>G:\GEOPROCESSAMENTO\IMAGENS\LiDAR\Dados_2022\PROPRIO\NECOCA00349_Corrego_dos_Machados\Plot_las\Plots_24984_Norm.las</t>
  </si>
  <si>
    <t>Plots_24984_Norm</t>
  </si>
  <si>
    <t>NECOCA00349_24985</t>
  </si>
  <si>
    <t>G:\GEOPROCESSAMENTO\IMAGENS\LiDAR\Dados_2022\PROPRIO\NECOCA00349_Corrego_dos_Machados\Plot_las\Plots_24985_Norm.las</t>
  </si>
  <si>
    <t>Plots_24985_Norm</t>
  </si>
  <si>
    <t>NEPIAL00242_25061</t>
  </si>
  <si>
    <t>NEPIAL00242P16-068</t>
  </si>
  <si>
    <t>G:\GEOPROCESSAMENTO\IMAGENS\LiDAR\Dados_2022\PROPRIO\NEPIAL00242_Riacho_dos_Porteis\Plot_las\Plots_25061_Norm.las</t>
  </si>
  <si>
    <t>Plots_25061_Norm</t>
  </si>
  <si>
    <t>NEPIAL00242_25062</t>
  </si>
  <si>
    <t>G:\GEOPROCESSAMENTO\IMAGENS\LiDAR\Dados_2022\PROPRIO\NEPIAL00242_Riacho_dos_Porteis\Plot_las\Plots_25062_Norm.las</t>
  </si>
  <si>
    <t>Plots_25062_Norm</t>
  </si>
  <si>
    <t>NEPIAL00242_25065</t>
  </si>
  <si>
    <t>NEPIAL00242P16-066</t>
  </si>
  <si>
    <t>G:\GEOPROCESSAMENTO\IMAGENS\LiDAR\Dados_2022\PROPRIO\NEPIAL00242_Riacho_dos_Porteis\Plot_las\Plots_25065_Norm.las</t>
  </si>
  <si>
    <t>Plots_25065_Norm</t>
  </si>
  <si>
    <t>NEPIPC00238_25075</t>
  </si>
  <si>
    <t>NEPIPC00238P16-002</t>
  </si>
  <si>
    <t>G:\GEOPROCESSAMENTO\IMAGENS\LiDAR\Dados_2022\PROPRIO\NEPIPC00238_Picarrao_I\Plot_las\Plots_25075_Norm.las</t>
  </si>
  <si>
    <t>Plots_25075_Norm</t>
  </si>
  <si>
    <t>NEPIPC00238_25076</t>
  </si>
  <si>
    <t>NEPIPC00238R16-034</t>
  </si>
  <si>
    <t>G:\GEOPROCESSAMENTO\IMAGENS\LiDAR\Dados_2022\PROPRIO\NEPIPC00238_Picarrao_I\Plot_las\Plots_25076_Norm.las</t>
  </si>
  <si>
    <t>Plots_25076_Norm</t>
  </si>
  <si>
    <t>NEPIPC00238_25078</t>
  </si>
  <si>
    <t>NEPIPC00238R16-023</t>
  </si>
  <si>
    <t>G:\GEOPROCESSAMENTO\IMAGENS\LiDAR\Dados_2022\PROPRIO\NEPIPC00238_Picarrao_I\Plot_las\Plots_25078_Norm.las</t>
  </si>
  <si>
    <t>Plots_25078_Norm</t>
  </si>
  <si>
    <t>NEPIPC00238_25079</t>
  </si>
  <si>
    <t>G:\GEOPROCESSAMENTO\IMAGENS\LiDAR\Dados_2022\PROPRIO\NEPIPC00238_Picarrao_I\Plot_las\Plots_25079_Norm.las</t>
  </si>
  <si>
    <t>Plots_25079_Norm</t>
  </si>
  <si>
    <t>NEPIPC00238_25080</t>
  </si>
  <si>
    <t>NEPIPC00238P16-018</t>
  </si>
  <si>
    <t>G:\GEOPROCESSAMENTO\IMAGENS\LiDAR\Dados_2022\PROPRIO\NEPIPC00238_Picarrao_I\Plot_las\Plots_25080_Norm.las</t>
  </si>
  <si>
    <t>Plots_25080_Norm</t>
  </si>
  <si>
    <t>NEPIPC00238_25081</t>
  </si>
  <si>
    <t>G:\GEOPROCESSAMENTO\IMAGENS\LiDAR\Dados_2022\PROPRIO\NEPIPC00238_Picarrao_I\Plot_las\Plots_25081_Norm.las</t>
  </si>
  <si>
    <t>Plots_25081_Norm</t>
  </si>
  <si>
    <t>NEPIAL00227_25082</t>
  </si>
  <si>
    <t>Alfié II</t>
  </si>
  <si>
    <t>NEPIAL00227P16-053</t>
  </si>
  <si>
    <t>NEPIAL00227</t>
  </si>
  <si>
    <t>G:\GEOPROCESSAMENTO\IMAGENS\LiDAR\Dados_2022\PROPRIO\NEPIAL00227_Alfie_II\Plot_las\Plots_25082_Norm.las</t>
  </si>
  <si>
    <t>Plots_25082_Norm</t>
  </si>
  <si>
    <t>NEPIAL00227_25083</t>
  </si>
  <si>
    <t>NEPIAL00227P16-051</t>
  </si>
  <si>
    <t>G:\GEOPROCESSAMENTO\IMAGENS\LiDAR\Dados_2022\PROPRIO\NEPIAL00227_Alfie_II\Plot_las\Plots_25083_Norm.las</t>
  </si>
  <si>
    <t>Plots_25083_Norm</t>
  </si>
  <si>
    <t>NEPIAL00227_25084</t>
  </si>
  <si>
    <t>NEPIAL00227P16-052</t>
  </si>
  <si>
    <t>G:\GEOPROCESSAMENTO\IMAGENS\LiDAR\Dados_2022\PROPRIO\NEPIAL00227_Alfie_II\Plot_las\Plots_25084_Norm.las</t>
  </si>
  <si>
    <t>Plots_25084_Norm</t>
  </si>
  <si>
    <t>NEPIAL00202_25111</t>
  </si>
  <si>
    <t>NEPIAL00202P16-011</t>
  </si>
  <si>
    <t>NEPIAL00202</t>
  </si>
  <si>
    <t>G:\GEOPROCESSAMENTO\IMAGENS\LiDAR\Dados_2022\PROPRIO\NEPIAL00202_Alfie\Plot_las\Plots_25111_Norm.las</t>
  </si>
  <si>
    <t>Plots_25111_Norm</t>
  </si>
  <si>
    <t>NEPIAL00202_25121</t>
  </si>
  <si>
    <t>NEPIAL00202P16-010</t>
  </si>
  <si>
    <t>G:\GEOPROCESSAMENTO\IMAGENS\LiDAR\Dados_2022\PROPRIO\NEPIAL00202_Alfie\Plot_las\Plots_25121_Norm.las</t>
  </si>
  <si>
    <t>Plots_25121_Norm</t>
  </si>
  <si>
    <t>NEPIAL00202_25122</t>
  </si>
  <si>
    <t>G:\GEOPROCESSAMENTO\IMAGENS\LiDAR\Dados_2022\PROPRIO\NEPIAL00202_Alfie\Plot_las\Plots_25122_Norm.las</t>
  </si>
  <si>
    <t>Plots_25122_Norm</t>
  </si>
  <si>
    <t>NESBSB00122_25285</t>
  </si>
  <si>
    <t>Cascapau</t>
  </si>
  <si>
    <t>NESBSB00122P17-088</t>
  </si>
  <si>
    <t>Santa Bárbara</t>
  </si>
  <si>
    <t>NESBSB00122</t>
  </si>
  <si>
    <t>G:\GEOPROCESSAMENTO\IMAGENS\LiDAR\Dados_2022\PROPRIO\NESBSB00122_Cascapau\Plot_las\Plots_25285_Norm.las</t>
  </si>
  <si>
    <t>Plots_25285_Norm</t>
  </si>
  <si>
    <t>CXbd5+CXbd11</t>
  </si>
  <si>
    <t>NESBSB00122_25286</t>
  </si>
  <si>
    <t>G:\GEOPROCESSAMENTO\IMAGENS\LiDAR\Dados_2022\PROPRIO\NESBSB00122_Cascapau\Plot_las\Plots_25286_Norm.las</t>
  </si>
  <si>
    <t>Plots_25286_Norm</t>
  </si>
  <si>
    <t>NESBSB00122_25287</t>
  </si>
  <si>
    <t>NESBSB00122P17-091</t>
  </si>
  <si>
    <t>G:\GEOPROCESSAMENTO\IMAGENS\LiDAR\Dados_2022\PROPRIO\NESBSB00122_Cascapau\Plot_las\Plots_25287_Norm.las</t>
  </si>
  <si>
    <t>Plots_25287_Norm</t>
  </si>
  <si>
    <t>NESBSB00172_25308</t>
  </si>
  <si>
    <t>Valéria I</t>
  </si>
  <si>
    <t>NESBSB00172R17-022</t>
  </si>
  <si>
    <t>NESBSB00172</t>
  </si>
  <si>
    <t>G:\GEOPROCESSAMENTO\IMAGENS\LiDAR\Dados_2022\PROPRIO\NESBSB00172_Valeria_I\Plot_las\Plots_25308_Norm.las</t>
  </si>
  <si>
    <t>Plots_25308_Norm</t>
  </si>
  <si>
    <t>CXbd16+FFcd</t>
  </si>
  <si>
    <t>NESBSB00172_25312</t>
  </si>
  <si>
    <t>NESBSB00172P17-021</t>
  </si>
  <si>
    <t>G:\GEOPROCESSAMENTO\IMAGENS\LiDAR\Dados_2022\PROPRIO\NESBSB00172_Valeria_I\Plot_las\Plots_25312_Norm.las</t>
  </si>
  <si>
    <t>Plots_25312_Norm</t>
  </si>
  <si>
    <t>CXbd16+RLd2</t>
  </si>
  <si>
    <t>NESBSB00172_25317</t>
  </si>
  <si>
    <t>NESBSB00172P17-018</t>
  </si>
  <si>
    <t>G:\GEOPROCESSAMENTO\IMAGENS\LiDAR\Dados_2022\PROPRIO\NESBSB00172_Valeria_I\Plot_las\Plots_25317_Norm.las</t>
  </si>
  <si>
    <t>Plots_25317_Norm</t>
  </si>
  <si>
    <t>CXbd17</t>
  </si>
  <si>
    <t>NESBSB00172_25318</t>
  </si>
  <si>
    <t>G:\GEOPROCESSAMENTO\IMAGENS\LiDAR\Dados_2022\PROPRIO\NESBSB00172_Valeria_I\Plot_las\Plots_25318_Norm.las</t>
  </si>
  <si>
    <t>Plots_25318_Norm</t>
  </si>
  <si>
    <t>NESBSB00172_25319</t>
  </si>
  <si>
    <t>NESBSB00172R17-019</t>
  </si>
  <si>
    <t>G:\GEOPROCESSAMENTO\IMAGENS\LiDAR\Dados_2022\PROPRIO\NESBSB00172_Valeria_I\Plot_las\Plots_25319_Norm.las</t>
  </si>
  <si>
    <t>Plots_25319_Norm</t>
  </si>
  <si>
    <t>NESBSB00172_25321</t>
  </si>
  <si>
    <t>G:\GEOPROCESSAMENTO\IMAGENS\LiDAR\Dados_2022\PROPRIO\NESBSB00172_Valeria_I\Plot_las\Plots_25321_Norm.las</t>
  </si>
  <si>
    <t>Plots_25321_Norm</t>
  </si>
  <si>
    <t>RDIPPD00474_25368</t>
  </si>
  <si>
    <t>RDIPPD00474P17-007</t>
  </si>
  <si>
    <t>G:\GEOPROCESSAMENTO\IMAGENS\LiDAR\Dados_2022\PROPRIO\RDIPPD00474_Lagoa_das_Piabas\Plot_las\Plots_25368_Norm.las</t>
  </si>
  <si>
    <t>Plots_25368_Norm</t>
  </si>
  <si>
    <t>RDIPPD00474_25372</t>
  </si>
  <si>
    <t>RDIPPD00474P17-002</t>
  </si>
  <si>
    <t>G:\GEOPROCESSAMENTO\IMAGENS\LiDAR\Dados_2022\PROPRIO\RDIPPD00474_Lagoa_das_Piabas\Plot_las\Plots_25372_Norm.las</t>
  </si>
  <si>
    <t>Plots_25372_Norm</t>
  </si>
  <si>
    <t>RDIPPD00474_25378</t>
  </si>
  <si>
    <t>G:\GEOPROCESSAMENTO\IMAGENS\LiDAR\Dados_2022\PROPRIO\RDIPPD00474_Lagoa_das_Piabas\Plot_las\Plots_25378_Norm.las</t>
  </si>
  <si>
    <t>Plots_25378_Norm</t>
  </si>
  <si>
    <t>RDIPPD00474_25403</t>
  </si>
  <si>
    <t>RDIPPD00474R17-014</t>
  </si>
  <si>
    <t>G:\GEOPROCESSAMENTO\IMAGENS\LiDAR\Dados_2022\PROPRIO\RDIPPD00474_Lagoa_das_Piabas\Plot_las\Plots_25403_Norm.las</t>
  </si>
  <si>
    <t>Plots_25403_Norm</t>
  </si>
  <si>
    <t>NEPIIT09174_25431</t>
  </si>
  <si>
    <t>NEPIIT09174R17-077</t>
  </si>
  <si>
    <t>G:\GEOPROCESSAMENTO\IMAGENS\LiDAR\Dados_2022\PROPRIO\NEPIIT09174_Vargem_Alegre\Plot_las\Plots_25431_Norm.las</t>
  </si>
  <si>
    <t>Plots_25431_Norm</t>
  </si>
  <si>
    <t>NEPIIT09174_25432</t>
  </si>
  <si>
    <t>G:\GEOPROCESSAMENTO\IMAGENS\LiDAR\Dados_2022\PROPRIO\NEPIIT09174_Vargem_Alegre\Plot_las\Plots_25432_Norm.las</t>
  </si>
  <si>
    <t>Plots_25432_Norm</t>
  </si>
  <si>
    <t>NEPIIT09174_25437</t>
  </si>
  <si>
    <t>G:\GEOPROCESSAMENTO\IMAGENS\LiDAR\Dados_2022\PROPRIO\NEPIIT09174_Vargem_Alegre\Plot_las\Plots_25437_Norm.las</t>
  </si>
  <si>
    <t>Plots_25437_Norm</t>
  </si>
  <si>
    <t>NEPIIT09174_25439</t>
  </si>
  <si>
    <t>NEPIIT09174P17-068</t>
  </si>
  <si>
    <t>G:\GEOPROCESSAMENTO\IMAGENS\LiDAR\Dados_2022\PROPRIO\NEPIIT09174_Vargem_Alegre\Plot_las\Plots_25439_Norm.las</t>
  </si>
  <si>
    <t>Plots_25439_Norm</t>
  </si>
  <si>
    <t>NEPIIT09174_25444</t>
  </si>
  <si>
    <t>NEPIIT09174P17-071</t>
  </si>
  <si>
    <t>G:\GEOPROCESSAMENTO\IMAGENS\LiDAR\Dados_2022\PROPRIO\NEPIIT09174_Vargem_Alegre\Plot_las\Plots_25444_Norm.las</t>
  </si>
  <si>
    <t>Plots_25444_Norm</t>
  </si>
  <si>
    <t>CXbd1+CXbd7</t>
  </si>
  <si>
    <t>NEPIIT09174_25445</t>
  </si>
  <si>
    <t>G:\GEOPROCESSAMENTO\IMAGENS\LiDAR\Dados_2022\PROPRIO\NEPIIT09174_Vargem_Alegre\Plot_las\Plots_25445_Norm.las</t>
  </si>
  <si>
    <t>Plots_25445_Norm</t>
  </si>
  <si>
    <t>NEPIIT00234_25454</t>
  </si>
  <si>
    <t>NEPIIT00234P17-015</t>
  </si>
  <si>
    <t>G:\GEOPROCESSAMENTO\IMAGENS\LiDAR\Dados_2022\PROPRIO\NEPIIT00234_Mucuri\Plot_las\Plots_25454_Norm.las</t>
  </si>
  <si>
    <t>Plots_25454_Norm</t>
  </si>
  <si>
    <t>RDIPMA00492_25455</t>
  </si>
  <si>
    <t>RDIPMA00492R17-004</t>
  </si>
  <si>
    <t>C:\LiDAR\Projetos\RDIPMA00492_Cordeiros\plots\plot_25455.las</t>
  </si>
  <si>
    <t>plot_25455</t>
  </si>
  <si>
    <t>NEPIIT00234_25456</t>
  </si>
  <si>
    <t>G:\GEOPROCESSAMENTO\IMAGENS\LiDAR\Dados_2022\PROPRIO\NEPIIT00234_Mucuri\Plot_las\Plots_25456_Norm.las</t>
  </si>
  <si>
    <t>Plots_25456_Norm</t>
  </si>
  <si>
    <t>RDIPMA00492_25457</t>
  </si>
  <si>
    <t>C:\LiDAR\Projetos\RDIPMA00492_Cordeiros\plots\plot_25457.las</t>
  </si>
  <si>
    <t>plot_25457</t>
  </si>
  <si>
    <t>NEPIIT00234_25458</t>
  </si>
  <si>
    <t>NEPIIT00234P17-020</t>
  </si>
  <si>
    <t>G:\GEOPROCESSAMENTO\IMAGENS\LiDAR\Dados_2022\PROPRIO\NEPIIT00234_Mucuri\Plot_las\Plots_25458_Norm.las</t>
  </si>
  <si>
    <t>Plots_25458_Norm</t>
  </si>
  <si>
    <t>RDIPMA00492_25464</t>
  </si>
  <si>
    <t>RDIPMA00492R17-008</t>
  </si>
  <si>
    <t>C:\LiDAR\Projetos\RDIPMA00492_Cordeiros\plots\plot_25464.las</t>
  </si>
  <si>
    <t>plot_25464</t>
  </si>
  <si>
    <t>NECOCE00335_25475</t>
  </si>
  <si>
    <t>NECOCE00335P17-037</t>
  </si>
  <si>
    <t>G:\GEOPROCESSAMENTO\IMAGENS\LiDAR\Dados_2022\PROPRIO\NECOCE00335_Jatoba_I\Plot_las\Plots_25475_Norm.las</t>
  </si>
  <si>
    <t>Plots_25475_Norm</t>
  </si>
  <si>
    <t>NECOCE00335_25477</t>
  </si>
  <si>
    <t>G:\GEOPROCESSAMENTO\IMAGENS\LiDAR\Dados_2022\PROPRIO\NECOCE00335_Jatoba_I\Plot_las\Plots_25477_Norm.las</t>
  </si>
  <si>
    <t>Plots_25477_Norm</t>
  </si>
  <si>
    <t>NECOCE00319_25555</t>
  </si>
  <si>
    <t>NECOCE00319R17-069</t>
  </si>
  <si>
    <t>G:\GEOPROCESSAMENTO\IMAGENS\LiDAR\Dados_2022\PROPRIO\NECOCE00319_Cocais_das_Estrelas\Plot_las\Plots_25555_Norm.las</t>
  </si>
  <si>
    <t>Plots_25555_Norm</t>
  </si>
  <si>
    <t>NECOCE00319_25564</t>
  </si>
  <si>
    <t>NECOCE00319R17-004</t>
  </si>
  <si>
    <t>G:\GEOPROCESSAMENTO\IMAGENS\LiDAR\Dados_2022\PROPRIO\NECOCE00319_Cocais_das_Estrelas\Plot_las\Plots_25564_Norm.las</t>
  </si>
  <si>
    <t>Plots_25564_Norm</t>
  </si>
  <si>
    <t>RDPOPO00426_25767</t>
  </si>
  <si>
    <t>Coió</t>
  </si>
  <si>
    <t>RDPOPO00426P17-006</t>
  </si>
  <si>
    <t>RDPOPO00426</t>
  </si>
  <si>
    <t>G:\GEOPROCESSAMENTO\IMAGENS\LiDAR\Dados_2022\PROPRIO\RDPOPO00426_Coio\Plot_las\Plots_25767_Norm.las</t>
  </si>
  <si>
    <t>Plots_25767_Norm</t>
  </si>
  <si>
    <t>LVAw1+CXbd5</t>
  </si>
  <si>
    <t>RDPOPO00426_25768</t>
  </si>
  <si>
    <t>RDPOPO00426P17-018</t>
  </si>
  <si>
    <t>G:\GEOPROCESSAMENTO\IMAGENS\LiDAR\Dados_2022\PROPRIO\RDPOPO00426_Coio\Plot_las\Plots_25768_Norm.las</t>
  </si>
  <si>
    <t>Plots_25768_Norm</t>
  </si>
  <si>
    <t>RDPOPO00443_25770</t>
  </si>
  <si>
    <t>RDPOPO00443R17-051</t>
  </si>
  <si>
    <t>G:\GEOPROCESSAMENTO\IMAGENS\LiDAR\Dados_2022\PROPRIO\RDPOPO00443_Pompeu\Plot_las\Plots_25770_Norm.las</t>
  </si>
  <si>
    <t>Plots_25770_Norm</t>
  </si>
  <si>
    <t>RDPOPO00426_25771</t>
  </si>
  <si>
    <t>G:\GEOPROCESSAMENTO\IMAGENS\LiDAR\Dados_2022\PROPRIO\RDPOPO00426_Coio\Plot_las\Plots_25771_Norm.las</t>
  </si>
  <si>
    <t>Plots_25771_Norm</t>
  </si>
  <si>
    <t>RDPOPO00443_25773</t>
  </si>
  <si>
    <t>G:\GEOPROCESSAMENTO\IMAGENS\LiDAR\Dados_2022\PROPRIO\RDPOPO00443_Pompeu\Plot_las\Plots_25773_Norm.las</t>
  </si>
  <si>
    <t>Plots_25773_Norm</t>
  </si>
  <si>
    <t>GNSASA00655_25873</t>
  </si>
  <si>
    <t>GNSASA00655P17-170</t>
  </si>
  <si>
    <t>C:\Users\C0010943\Fusion\GNSASA00655_SABINOPOLIS_III\plots\plot_25873.las</t>
  </si>
  <si>
    <t>plot_25873</t>
  </si>
  <si>
    <t>LVw1+CXbd5</t>
  </si>
  <si>
    <t>GNSASA00655_25875</t>
  </si>
  <si>
    <t>GNSASA00655P17-168</t>
  </si>
  <si>
    <t>C:\Users\C0010943\Fusion\GNSASA00655_SABINOPOLIS_III\plots\plot_25875.las</t>
  </si>
  <si>
    <t>plot_25875</t>
  </si>
  <si>
    <t>GNSASA00655_25877</t>
  </si>
  <si>
    <t>C:\Users\C0010943\Fusion\GNSASA00655_SABINOPOLIS_III\plots\plot_25877.las</t>
  </si>
  <si>
    <t>plot_25877</t>
  </si>
  <si>
    <t>GNVIVI00586_25880</t>
  </si>
  <si>
    <t>Carapina</t>
  </si>
  <si>
    <t>GNVIVI00586R17-004</t>
  </si>
  <si>
    <t>GNVIVI00586</t>
  </si>
  <si>
    <t>G:\GEOPROCESSAMENTO\IMAGENS\LiDAR\Dados_2022\PROPRIO\GNVIVI00586_Carapina\Plot_las\Plots_25880_Norm.las</t>
  </si>
  <si>
    <t>Plots_25880_Norm</t>
  </si>
  <si>
    <t>GNVIVI00586_25882</t>
  </si>
  <si>
    <t>G:\GEOPROCESSAMENTO\IMAGENS\LiDAR\Dados_2022\PROPRIO\GNVIVI00586_Carapina\Plot_las\Plots_25882_Norm.las</t>
  </si>
  <si>
    <t>Plots_25882_Norm</t>
  </si>
  <si>
    <t>GNSASA00653_25895</t>
  </si>
  <si>
    <t>Sabinópolis I</t>
  </si>
  <si>
    <t>GNSASA00653R17-148</t>
  </si>
  <si>
    <t>GNSASA00653</t>
  </si>
  <si>
    <t>G:\GEOPROCESSAMENTO\IMAGENS\LiDAR\Dados_2022\PROPRIO\GNSASA00653_Sabinopolis_I\Plot_las\Plots_25895_Norm.las</t>
  </si>
  <si>
    <t>Plots_25895_Norm</t>
  </si>
  <si>
    <t>GNSASA00653_25899</t>
  </si>
  <si>
    <t>G:\GEOPROCESSAMENTO\IMAGENS\LiDAR\Dados_2022\PROPRIO\GNSASA00653_Sabinopolis_I\Plot_las\Plots_25899_Norm.las</t>
  </si>
  <si>
    <t>Plots_25899_Norm</t>
  </si>
  <si>
    <t>GNSASA00653_25902</t>
  </si>
  <si>
    <t>G:\GEOPROCESSAMENTO\IMAGENS\LiDAR\Dados_2022\PROPRIO\GNSASA00653_Sabinopolis_I\Plot_las\Plots_25902_Norm.las</t>
  </si>
  <si>
    <t>Plots_25902_Norm</t>
  </si>
  <si>
    <t>NECOCA00353_25967</t>
  </si>
  <si>
    <t>Ribeirão Grande II</t>
  </si>
  <si>
    <t>NECOCA00353P18-407</t>
  </si>
  <si>
    <t>NECOCA00353</t>
  </si>
  <si>
    <t>G:\GEOPROCESSAMENTO\IMAGENS\LiDAR\Dados_2022\PROPRIO\NECOCA00353_Ribeirao_Grande_II\Plot_las\Plots_25967_Norm.las</t>
  </si>
  <si>
    <t>Plots_25967_Norm</t>
  </si>
  <si>
    <t>CXbd1+CXbd12</t>
  </si>
  <si>
    <t>NECOCA00353_25968</t>
  </si>
  <si>
    <t>G:\GEOPROCESSAMENTO\IMAGENS\LiDAR\Dados_2022\PROPRIO\NECOCA00353_Ribeirao_Grande_II\Plot_las\Plots_25968_Norm.las</t>
  </si>
  <si>
    <t>Plots_25968_Norm</t>
  </si>
  <si>
    <t>NECOCE00365_26073</t>
  </si>
  <si>
    <t>Vai e Volta</t>
  </si>
  <si>
    <t>NECOCE00365P18-372</t>
  </si>
  <si>
    <t>NECOCE00365</t>
  </si>
  <si>
    <t>G:\GEOPROCESSAMENTO\IMAGENS\LiDAR\Dados_2022\PROPRIO\NECOCE00365_Vai_e_Volta\Plot_las\Plots_26073_Norm.las</t>
  </si>
  <si>
    <t>Plots_26073_Norm</t>
  </si>
  <si>
    <t>NECOCE00365_26074</t>
  </si>
  <si>
    <t>G:\GEOPROCESSAMENTO\IMAGENS\LiDAR\Dados_2022\PROPRIO\NECOCE00365_Vai_e_Volta\Plot_las\Plots_26074_Norm.las</t>
  </si>
  <si>
    <t>Plots_26074_Norm</t>
  </si>
  <si>
    <t>NECOCE00365_26075</t>
  </si>
  <si>
    <t>G:\GEOPROCESSAMENTO\IMAGENS\LiDAR\Dados_2022\PROPRIO\NECOCE00365_Vai_e_Volta\Plot_las\Plots_26075_Norm.las</t>
  </si>
  <si>
    <t>Plots_26075_Norm</t>
  </si>
  <si>
    <t>NECOCE00336_26140</t>
  </si>
  <si>
    <t>NECOCE00336R18-020</t>
  </si>
  <si>
    <t>G:\GEOPROCESSAMENTO\IMAGENS\LiDAR\Dados_2022\PROPRIO\NECOCE00336_Jatoba_II\Plot_las\Plots_26140_Norm.las</t>
  </si>
  <si>
    <t>Plots_26140_Norm</t>
  </si>
  <si>
    <t>RDBOBA00402_26147</t>
  </si>
  <si>
    <t>Água Suja</t>
  </si>
  <si>
    <t>RDBOBA00402P18-013</t>
  </si>
  <si>
    <t>RDBOBA00402</t>
  </si>
  <si>
    <t>G:\GEOPROCESSAMENTO\IMAGENS\LiDAR\Dados_2022\PROPRIO\RDBOBA00402_Agua_Suja\Plot_las\Plots_26147_Norm.las</t>
  </si>
  <si>
    <t>Plots_26147_Norm</t>
  </si>
  <si>
    <t>RDBOBA00402_26148</t>
  </si>
  <si>
    <t>G:\GEOPROCESSAMENTO\IMAGENS\LiDAR\Dados_2022\PROPRIO\RDBOBA00402_Agua_Suja\Plot_las\Plots_26148_Norm.las</t>
  </si>
  <si>
    <t>Plots_26148_Norm</t>
  </si>
  <si>
    <t>RDBOBA00402_26149</t>
  </si>
  <si>
    <t>G:\GEOPROCESSAMENTO\IMAGENS\LiDAR\Dados_2022\PROPRIO\RDBOBA00402_Agua_Suja\Plot_las\Plots_26149_Norm.las</t>
  </si>
  <si>
    <t>Plots_26149_Norm</t>
  </si>
  <si>
    <t>RDIPMA00490_26283</t>
  </si>
  <si>
    <t>Ribeirão do Boi</t>
  </si>
  <si>
    <t>RDIPMA00490P18-018</t>
  </si>
  <si>
    <t>RDIPMA00490</t>
  </si>
  <si>
    <t>G:\GEOPROCESSAMENTO\IMAGENS\LiDAR\Dados_2022\PROPRIO\RDIPMA00490_Ribeirao_do_Boi\Plot_las\Plots_26283_Norm.las</t>
  </si>
  <si>
    <t>Plots_26283_Norm</t>
  </si>
  <si>
    <t>GNVIVI00526_26292</t>
  </si>
  <si>
    <t>Donatos</t>
  </si>
  <si>
    <t>GNVIVI00526P18-010</t>
  </si>
  <si>
    <t>GNVIVI00526</t>
  </si>
  <si>
    <t>C:\Users\C0010943\Fusion\GNVIVI00526_DONATOS\plots\plot_26292.las</t>
  </si>
  <si>
    <t>plot_26292</t>
  </si>
  <si>
    <t>RDIPMA00490_26296</t>
  </si>
  <si>
    <t>RDIPMA00490P18-017</t>
  </si>
  <si>
    <t>G:\GEOPROCESSAMENTO\IMAGENS\LiDAR\Dados_2022\PROPRIO\RDIPMA00490_Ribeirao_do_Boi\Plot_las\Plots_26296_Norm.las</t>
  </si>
  <si>
    <t>Plots_26296_Norm</t>
  </si>
  <si>
    <t>RDIPMA00490_26297</t>
  </si>
  <si>
    <t>G:\GEOPROCESSAMENTO\IMAGENS\LiDAR\Dados_2022\PROPRIO\RDIPMA00490_Ribeirao_do_Boi\Plot_las\Plots_26297_Norm.las</t>
  </si>
  <si>
    <t>Plots_26297_Norm</t>
  </si>
  <si>
    <t>RDIPMA00492_26328</t>
  </si>
  <si>
    <t>RDIPMA00492P18-012</t>
  </si>
  <si>
    <t>C:\LiDAR\Projetos\RDIPMA00492_Cordeiros\plots\plot_26328.las</t>
  </si>
  <si>
    <t>plot_26328</t>
  </si>
  <si>
    <t>GNVIVI00565_26352</t>
  </si>
  <si>
    <t>GNVIVI00565P18-109</t>
  </si>
  <si>
    <t>C:\Users\C0010943\Fusion\GNVIVI00565_SAPUCAIA\plots\plot_26352.las</t>
  </si>
  <si>
    <t>plot_26352</t>
  </si>
  <si>
    <t>GNVIVI00565_26353</t>
  </si>
  <si>
    <t>C:\Users\C0010943\Fusion\GNVIVI00565_SAPUCAIA\plots\plot_26353.las</t>
  </si>
  <si>
    <t>plot_26353</t>
  </si>
  <si>
    <t>GNVIVI00565_26354</t>
  </si>
  <si>
    <t>C:\Users\C0010943\Fusion\GNVIVI00565_SAPUCAIA\plots\plot_26354.las</t>
  </si>
  <si>
    <t>plot_26354</t>
  </si>
  <si>
    <t>GNVIVI00526_26362</t>
  </si>
  <si>
    <t>GNVIVI00526P18-011</t>
  </si>
  <si>
    <t>C:\Users\C0010943\Fusion\GNVIVI00526_DONATOS\plots\plot_26362.las</t>
  </si>
  <si>
    <t>plot_26362</t>
  </si>
  <si>
    <t>GNVIVI00526_26363</t>
  </si>
  <si>
    <t>C:\Users\C0010943\Fusion\GNVIVI00526_DONATOS\plots\plot_26363.las</t>
  </si>
  <si>
    <t>plot_26363</t>
  </si>
  <si>
    <t>RDIPPD00471_26366</t>
  </si>
  <si>
    <t>RDIPPD00471R18-006</t>
  </si>
  <si>
    <t>G:\GEOPROCESSAMENTO\IMAGENS\LiDAR\Dados_2022\PROPRIO\RDIPPD00471_Lagoa_Cristal\Plot_las\Plots_26366_Norm.las</t>
  </si>
  <si>
    <t>Plots_26366_Norm</t>
  </si>
  <si>
    <t>RUbd3+Rube</t>
  </si>
  <si>
    <t>RDIPMA00492_26369</t>
  </si>
  <si>
    <t>RDIPMA00492P18-013</t>
  </si>
  <si>
    <t>C:\LiDAR\Projetos\RDIPMA00492_Cordeiros\plots\plot_26369.las</t>
  </si>
  <si>
    <t>plot_26369</t>
  </si>
  <si>
    <t>RDIPMA00492_26370</t>
  </si>
  <si>
    <t>C:\LiDAR\Projetos\RDIPMA00492_Cordeiros\plots\plot_26370.las</t>
  </si>
  <si>
    <t>plot_26370</t>
  </si>
  <si>
    <t>GNVIVI00561_26401</t>
  </si>
  <si>
    <t>São Leonardo I</t>
  </si>
  <si>
    <t>GNVIVI00561R18-087</t>
  </si>
  <si>
    <t>GNVIVI00561</t>
  </si>
  <si>
    <t>C:\LiDAR\Projetos\GNVIVI00561_SAO_LEONARDO_I\plots\plot_26401.las</t>
  </si>
  <si>
    <t>plot_26401</t>
  </si>
  <si>
    <t>NECOCE00327_26420</t>
  </si>
  <si>
    <t>Fundão II</t>
  </si>
  <si>
    <t>NECOCE00327P18-291</t>
  </si>
  <si>
    <t>NECOCE00327</t>
  </si>
  <si>
    <t>G:\GEOPROCESSAMENTO\IMAGENS\LiDAR\Dados_2022\PROPRIO\NECOCE00327_Fundao_II\Plot_las\Plots_26420_Norm.las</t>
  </si>
  <si>
    <t>Plots_26420_Norm</t>
  </si>
  <si>
    <t>NECOCA00353_26432</t>
  </si>
  <si>
    <t>NECOCA00353P18-408</t>
  </si>
  <si>
    <t>G:\GEOPROCESSAMENTO\IMAGENS\LiDAR\Dados_2022\PROPRIO\NECOCA00353_Ribeirao_Grande_II\Plot_las\Plots_26432_Norm.las</t>
  </si>
  <si>
    <t>Plots_26432_Norm</t>
  </si>
  <si>
    <t>RDIPPD00476_26439</t>
  </si>
  <si>
    <t>RDIPPD00476P18-005</t>
  </si>
  <si>
    <t>G:\GEOPROCESSAMENTO\IMAGENS\LiDAR\Dados_2022\PROPRIO\RDIPPD00476_Lagoa_Redonda\Plot_las\Plots_26439_Norm.las</t>
  </si>
  <si>
    <t>Plots_26439_Norm</t>
  </si>
  <si>
    <t>RDIPPD00476_26440</t>
  </si>
  <si>
    <t>G:\GEOPROCESSAMENTO\IMAGENS\LiDAR\Dados_2022\PROPRIO\RDIPPD00476_Lagoa_Redonda\Plot_las\Plots_26440_Norm.las</t>
  </si>
  <si>
    <t>Plots_26440_Norm</t>
  </si>
  <si>
    <t>RDIPPD00476_26441</t>
  </si>
  <si>
    <t>G:\GEOPROCESSAMENTO\IMAGENS\LiDAR\Dados_2022\PROPRIO\RDIPPD00476_Lagoa_Redonda\Plot_las\Plots_26441_Norm.las</t>
  </si>
  <si>
    <t>Plots_26441_Norm</t>
  </si>
  <si>
    <t>NECOCE00327_26452</t>
  </si>
  <si>
    <t>NECOCE00327P18-285</t>
  </si>
  <si>
    <t>G:\GEOPROCESSAMENTO\IMAGENS\LiDAR\Dados_2022\PROPRIO\NECOCE00327_Fundao_II\Plot_las\Plots_26452_Norm.las</t>
  </si>
  <si>
    <t>Plots_26452_Norm</t>
  </si>
  <si>
    <t>NECOCE00327_26453</t>
  </si>
  <si>
    <t>G:\GEOPROCESSAMENTO\IMAGENS\LiDAR\Dados_2022\PROPRIO\NECOCE00327_Fundao_II\Plot_las\Plots_26453_Norm.las</t>
  </si>
  <si>
    <t>Plots_26453_Norm</t>
  </si>
  <si>
    <t>NECOCA00353_26456</t>
  </si>
  <si>
    <t>NECOCA00353R18-423</t>
  </si>
  <si>
    <t>G:\GEOPROCESSAMENTO\IMAGENS\LiDAR\Dados_2022\PROPRIO\NECOCA00353_Ribeirao_Grande_II\Plot_las\Plots_26456_Norm.las</t>
  </si>
  <si>
    <t>Plots_26456_Norm</t>
  </si>
  <si>
    <t>CXbd1+CXbd10</t>
  </si>
  <si>
    <t>RDIPMA00492_26493</t>
  </si>
  <si>
    <t>RDIPMA00492P18-003</t>
  </si>
  <si>
    <t>C:\LiDAR\Projetos\RDIPMA00492_Cordeiros\plots\plot_26493.las</t>
  </si>
  <si>
    <t>plot_26493</t>
  </si>
  <si>
    <t>GNVIVI00561_26501</t>
  </si>
  <si>
    <t>GNVIVI00561R18-088</t>
  </si>
  <si>
    <t>C:\LiDAR\Projetos\GNVIVI00561_SAO_LEONARDO_I\plots\plot_26501.las</t>
  </si>
  <si>
    <t>plot_26501</t>
  </si>
  <si>
    <t>NESBSB00172_26506</t>
  </si>
  <si>
    <t>NESBSB00172R18-027</t>
  </si>
  <si>
    <t>G:\GEOPROCESSAMENTO\IMAGENS\LiDAR\Dados_2022\PROPRIO\NESBSB00172_Valeria_I\Plot_las\Plots_26506_Norm.las</t>
  </si>
  <si>
    <t>Plots_26506_Norm</t>
  </si>
  <si>
    <t>NESBSB00172_26507</t>
  </si>
  <si>
    <t>G:\GEOPROCESSAMENTO\IMAGENS\LiDAR\Dados_2022\PROPRIO\NESBSB00172_Valeria_I\Plot_las\Plots_26507_Norm.las</t>
  </si>
  <si>
    <t>Plots_26507_Norm</t>
  </si>
  <si>
    <t>NESBSB00172_26508</t>
  </si>
  <si>
    <t>G:\GEOPROCESSAMENTO\IMAGENS\LiDAR\Dados_2022\PROPRIO\NESBSB00172_Valeria_I\Plot_las\Plots_26508_Norm.las</t>
  </si>
  <si>
    <t>Plots_26508_Norm</t>
  </si>
  <si>
    <t>NEPIIT00221_26520</t>
  </si>
  <si>
    <t>Estiva</t>
  </si>
  <si>
    <t>NEPIIT00221R18-002</t>
  </si>
  <si>
    <t>NEPIIT00221</t>
  </si>
  <si>
    <t>G:\GEOPROCESSAMENTO\IMAGENS\LiDAR\Dados_2022\PROPRIO\NEPIIT00221_Estiva\Plot_las\Plots_26520_Norm.las</t>
  </si>
  <si>
    <t>Plots_26520_Norm</t>
  </si>
  <si>
    <t>NESBSB00172_26524</t>
  </si>
  <si>
    <t>NESBSB00172P18-026</t>
  </si>
  <si>
    <t>G:\GEOPROCESSAMENTO\IMAGENS\LiDAR\Dados_2022\PROPRIO\NESBSB00172_Valeria_I\Plot_las\Plots_26524_Norm.las</t>
  </si>
  <si>
    <t>Plots_26524_Norm</t>
  </si>
  <si>
    <t>NESBSB00172_26525</t>
  </si>
  <si>
    <t>G:\GEOPROCESSAMENTO\IMAGENS\LiDAR\Dados_2022\PROPRIO\NESBSB00172_Valeria_I\Plot_las\Plots_26525_Norm.las</t>
  </si>
  <si>
    <t>Plots_26525_Norm</t>
  </si>
  <si>
    <t>GNVIVI00561_26532</t>
  </si>
  <si>
    <t>GNVIVI00561R18-076</t>
  </si>
  <si>
    <t>C:\LiDAR\Projetos\GNVIVI00561_SAO_LEONARDO_I\plots\plot_26532.las</t>
  </si>
  <si>
    <t>plot_26532</t>
  </si>
  <si>
    <t>GNVIVI00561_26533</t>
  </si>
  <si>
    <t>C:\LiDAR\Projetos\GNVIVI00561_SAO_LEONARDO_I\plots\plot_26533.las</t>
  </si>
  <si>
    <t>plot_26533</t>
  </si>
  <si>
    <t>GNVIVI00561_26534</t>
  </si>
  <si>
    <t>C:\LiDAR\Projetos\GNVIVI00561_SAO_LEONARDO_I\plots\plot_26534.las</t>
  </si>
  <si>
    <t>plot_26534</t>
  </si>
  <si>
    <t>GNVIVI00561_26535</t>
  </si>
  <si>
    <t>GNVIVI00561R18-089</t>
  </si>
  <si>
    <t>C:\LiDAR\Projetos\GNVIVI00561_SAO_LEONARDO_I\plots\plot_26535.las</t>
  </si>
  <si>
    <t>plot_26535</t>
  </si>
  <si>
    <t>NECOCE00336_26537</t>
  </si>
  <si>
    <t>NECOCE00336R18-019</t>
  </si>
  <si>
    <t>G:\GEOPROCESSAMENTO\IMAGENS\LiDAR\Dados_2022\PROPRIO\NECOCE00336_Jatoba_II\Plot_las\Plots_26537_Norm.las</t>
  </si>
  <si>
    <t>Plots_26537_Norm</t>
  </si>
  <si>
    <t>RDIPPD00471_26540</t>
  </si>
  <si>
    <t>RDIPPD00471R18-004</t>
  </si>
  <si>
    <t>G:\GEOPROCESSAMENTO\IMAGENS\LiDAR\Dados_2022\PROPRIO\RDIPPD00471_Lagoa_Cristal\Plot_las\Plots_26540_Norm.las</t>
  </si>
  <si>
    <t>Plots_26540_Norm</t>
  </si>
  <si>
    <t>RUbd2</t>
  </si>
  <si>
    <t>RDIPPD00471_26541</t>
  </si>
  <si>
    <t>G:\GEOPROCESSAMENTO\IMAGENS\LiDAR\Dados_2022\PROPRIO\RDIPPD00471_Lagoa_Cristal\Plot_las\Plots_26541_Norm.las</t>
  </si>
  <si>
    <t>Plots_26541_Norm</t>
  </si>
  <si>
    <t>NEPIPC00222_26547</t>
  </si>
  <si>
    <t>Fagundes</t>
  </si>
  <si>
    <t>NEPIPC00222P18-066</t>
  </si>
  <si>
    <t>NEPIPC00222</t>
  </si>
  <si>
    <t>G:\GEOPROCESSAMENTO\IMAGENS\LiDAR\Dados_2022\PROPRIO\NEPIPC00222_Fagundes\Plot_las\Plots_26547_Norm.las</t>
  </si>
  <si>
    <t>Plots_26547_Norm</t>
  </si>
  <si>
    <t>NEPIPC00222_26549</t>
  </si>
  <si>
    <t>G:\GEOPROCESSAMENTO\IMAGENS\LiDAR\Dados_2022\PROPRIO\NEPIPC00222_Fagundes\Plot_las\Plots_26549_Norm.las</t>
  </si>
  <si>
    <t>Plots_26549_Norm</t>
  </si>
  <si>
    <t>NEPIPC00222_26551</t>
  </si>
  <si>
    <t>NEPIPC00222R18-057</t>
  </si>
  <si>
    <t>G:\GEOPROCESSAMENTO\IMAGENS\LiDAR\Dados_2022\PROPRIO\NEPIPC00222_Fagundes\Plot_las\Plots_26551_Norm.las</t>
  </si>
  <si>
    <t>Plots_26551_Norm</t>
  </si>
  <si>
    <t>NEPIIT00221_26557</t>
  </si>
  <si>
    <t>NEPIIT00221R18-001</t>
  </si>
  <si>
    <t>G:\GEOPROCESSAMENTO\IMAGENS\LiDAR\Dados_2022\PROPRIO\NEPIIT00221_Estiva\Plot_las\Plots_26557_Norm.las</t>
  </si>
  <si>
    <t>Plots_26557_Norm</t>
  </si>
  <si>
    <t>NESBSB00173_26561</t>
  </si>
  <si>
    <t>Valéria II</t>
  </si>
  <si>
    <t>NESBSB00173R18-048</t>
  </si>
  <si>
    <t>NESBSB00173</t>
  </si>
  <si>
    <t>C:\LiDAR\Projetos\NESBSB00173_Valeria_II\plots\plot_26561.las</t>
  </si>
  <si>
    <t>plot_26561</t>
  </si>
  <si>
    <t>CXbd15</t>
  </si>
  <si>
    <t>NESBSB00173_26562</t>
  </si>
  <si>
    <t>C:\LiDAR\Projetos\NESBSB00173_Valeria_II\plots\plot_26562.las</t>
  </si>
  <si>
    <t>plot_26562</t>
  </si>
  <si>
    <t>NESBSB00173_26563</t>
  </si>
  <si>
    <t>C:\LiDAR\Projetos\NESBSB00173_Valeria_II\plots\plot_26563.las</t>
  </si>
  <si>
    <t>plot_26563</t>
  </si>
  <si>
    <t>RDIPMA00492_26599</t>
  </si>
  <si>
    <t>RDIPMA00492P18-002</t>
  </si>
  <si>
    <t>C:\LiDAR\Projetos\RDIPMA00492_Cordeiros\plots\plot_26599.las</t>
  </si>
  <si>
    <t>plot_26599</t>
  </si>
  <si>
    <t>RDIPMA00492_26600</t>
  </si>
  <si>
    <t>C:\LiDAR\Projetos\RDIPMA00492_Cordeiros\plots\plot_26600.las</t>
  </si>
  <si>
    <t>plot_26600</t>
  </si>
  <si>
    <t>NEPIPC00222_26640</t>
  </si>
  <si>
    <t>NEPIPC00222R18-059</t>
  </si>
  <si>
    <t>G:\GEOPROCESSAMENTO\IMAGENS\LiDAR\Dados_2022\PROPRIO\NEPIPC00222_Fagundes\Plot_las\Plots_26640_Norm.las</t>
  </si>
  <si>
    <t>Plots_26640_Norm</t>
  </si>
  <si>
    <t>NEPIPC00222_26641</t>
  </si>
  <si>
    <t>NEPIPC00222P18-054</t>
  </si>
  <si>
    <t>G:\GEOPROCESSAMENTO\IMAGENS\LiDAR\Dados_2022\PROPRIO\NEPIPC00222_Fagundes\Plot_las\Plots_26641_Norm.las</t>
  </si>
  <si>
    <t>Plots_26641_Norm</t>
  </si>
  <si>
    <t>NECOCA00353_26664</t>
  </si>
  <si>
    <t>NECOCA00353R18-411</t>
  </si>
  <si>
    <t>G:\GEOPROCESSAMENTO\IMAGENS\LiDAR\Dados_2022\PROPRIO\NECOCA00353_Ribeirao_Grande_II\Plot_las\Plots_26664_Norm.las</t>
  </si>
  <si>
    <t>Plots_26664_Norm</t>
  </si>
  <si>
    <t>GNSASA00635_26678</t>
  </si>
  <si>
    <t>Lagoa Grande I</t>
  </si>
  <si>
    <t>GNSASA00635R18-130</t>
  </si>
  <si>
    <t>GNSASA00635</t>
  </si>
  <si>
    <t>C:\LiDAR\Projetos\GNSASA00635_LAGOA_GRANDE_I\plots\plot_26678.las</t>
  </si>
  <si>
    <t>plot_26678</t>
  </si>
  <si>
    <t>GNSASA00635_26679</t>
  </si>
  <si>
    <t>C:\LiDAR\Projetos\GNSASA00635_LAGOA_GRANDE_I\plots\plot_26679.las</t>
  </si>
  <si>
    <t>plot_26679</t>
  </si>
  <si>
    <t>GNSASA00635_26680</t>
  </si>
  <si>
    <t>C:\LiDAR\Projetos\GNSASA00635_LAGOA_GRANDE_I\plots\plot_26680.las</t>
  </si>
  <si>
    <t>plot_26680</t>
  </si>
  <si>
    <t>NESBSB00172_26686</t>
  </si>
  <si>
    <t>NESBSB00172P18-012</t>
  </si>
  <si>
    <t>G:\GEOPROCESSAMENTO\IMAGENS\LiDAR\Dados_2022\PROPRIO\NESBSB00172_Valeria_I\Plot_las\Plots_26686_Norm.las</t>
  </si>
  <si>
    <t>Plots_26686_Norm</t>
  </si>
  <si>
    <t>NESBSB00104_26831</t>
  </si>
  <si>
    <t>Agregado</t>
  </si>
  <si>
    <t>NESBSB00104R19-136</t>
  </si>
  <si>
    <t>NESBSB00104</t>
  </si>
  <si>
    <t>G:\GEOPROCESSAMENTO\IMAGENS\LiDAR\Dados_2022\PROPRIO\NESBSB00104_Agregado\Plot_las\Plots_26831_Norm.las</t>
  </si>
  <si>
    <t>Plots_26831_Norm</t>
  </si>
  <si>
    <t>NESBSB00104_26845</t>
  </si>
  <si>
    <t>NESBSB00104R19-127</t>
  </si>
  <si>
    <t>G:\GEOPROCESSAMENTO\IMAGENS\LiDAR\Dados_2022\PROPRIO\NESBSB00104_Agregado\Plot_las\Plots_26845_Norm.las</t>
  </si>
  <si>
    <t>Plots_26845_Norm</t>
  </si>
  <si>
    <t>NESBSB00104_26846</t>
  </si>
  <si>
    <t>G:\GEOPROCESSAMENTO\IMAGENS\LiDAR\Dados_2022\PROPRIO\NESBSB00104_Agregado\Plot_las\Plots_26846_Norm.las</t>
  </si>
  <si>
    <t>Plots_26846_Norm</t>
  </si>
  <si>
    <t>RDIPPD00476_26887</t>
  </si>
  <si>
    <t>RDIPPD00476P19-008</t>
  </si>
  <si>
    <t>G:\GEOPROCESSAMENTO\IMAGENS\LiDAR\Dados_2022\PROPRIO\RDIPPD00476_Lagoa_Redonda\Plot_las\Plots_26887_Norm.las</t>
  </si>
  <si>
    <t>Plots_26887_Norm</t>
  </si>
  <si>
    <t>RDIPPD00476_26888</t>
  </si>
  <si>
    <t>G:\GEOPROCESSAMENTO\IMAGENS\LiDAR\Dados_2022\PROPRIO\RDIPPD00476_Lagoa_Redonda\Plot_las\Plots_26888_Norm.las</t>
  </si>
  <si>
    <t>Plots_26888_Norm</t>
  </si>
  <si>
    <t>RDIPPD00476_26889</t>
  </si>
  <si>
    <t>G:\GEOPROCESSAMENTO\IMAGENS\LiDAR\Dados_2022\PROPRIO\RDIPPD00476_Lagoa_Redonda\Plot_las\Plots_26889_Norm.las</t>
  </si>
  <si>
    <t>Plots_26889_Norm</t>
  </si>
  <si>
    <t>RDIPPD00473_27130</t>
  </si>
  <si>
    <t>Lagoa Tiririca</t>
  </si>
  <si>
    <t>RDIPPD00473R19-017</t>
  </si>
  <si>
    <t>RDIPPD00473</t>
  </si>
  <si>
    <t>G:\GEOPROCESSAMENTO\IMAGENS\LiDAR\Dados_2022\PROPRIO\RDIPPD00473_Lagoa_Tiririca\Plot_las\Plots_27130_Norm.las</t>
  </si>
  <si>
    <t>Plots_27130_Norm</t>
  </si>
  <si>
    <t>RDIPPD00473_27135</t>
  </si>
  <si>
    <t>RDIPPD00473R19-032</t>
  </si>
  <si>
    <t>G:\GEOPROCESSAMENTO\IMAGENS\LiDAR\Dados_2022\PROPRIO\RDIPPD00473_Lagoa_Tiririca\Plot_las\Plots_27135_Norm.las</t>
  </si>
  <si>
    <t>Plots_27135_Norm</t>
  </si>
  <si>
    <t>NECOCE00305_27150</t>
  </si>
  <si>
    <t>Barbosão I</t>
  </si>
  <si>
    <t>NECOCE00305P19-051</t>
  </si>
  <si>
    <t>NECOCE00305</t>
  </si>
  <si>
    <t>G:\GEOPROCESSAMENTO\IMAGENS\LiDAR\Dados_2022\PROPRIO\NECOCE00305_Barbosao_I\Plot_las\Plots_27150_Norm.las</t>
  </si>
  <si>
    <t>Plots_27150_Norm</t>
  </si>
  <si>
    <t>CXbd7+RRd2</t>
  </si>
  <si>
    <t>GNSASA00625_27153</t>
  </si>
  <si>
    <t>Corrente Canoa II</t>
  </si>
  <si>
    <t>GNSASA00625P19-013</t>
  </si>
  <si>
    <t>GNSASA00625</t>
  </si>
  <si>
    <t>C:\LiDAR\Projetos\GNSASA00625_CORRENTE_CANOA_II\plots\plot_27153.las</t>
  </si>
  <si>
    <t>plot_27153</t>
  </si>
  <si>
    <t>GNSASA00625_27154</t>
  </si>
  <si>
    <t>C:\LiDAR\Projetos\GNSASA00625_CORRENTE_CANOA_II\plots\plot_27154.las</t>
  </si>
  <si>
    <t>plot_27154</t>
  </si>
  <si>
    <t>NECOCE00305_27155</t>
  </si>
  <si>
    <t>NECOCE00305R19-033</t>
  </si>
  <si>
    <t>G:\GEOPROCESSAMENTO\IMAGENS\LiDAR\Dados_2022\PROPRIO\NECOCE00305_Barbosao_I\Plot_las\Plots_27155_Norm.las</t>
  </si>
  <si>
    <t>Plots_27155_Norm</t>
  </si>
  <si>
    <t>LAd6</t>
  </si>
  <si>
    <t>GNSACR00626_27221</t>
  </si>
  <si>
    <t>Correntinho I</t>
  </si>
  <si>
    <t>GNSACR00626P19-004</t>
  </si>
  <si>
    <t>GNSACR00626</t>
  </si>
  <si>
    <t>G:\GEOPROCESSAMENTO\IMAGENS\LiDAR\Dados_2022\PROPRIO\GNSACR00626_Correntinho_I\Plot_las\Plots_27221_Norm.las</t>
  </si>
  <si>
    <t>Plots_27221_Norm</t>
  </si>
  <si>
    <t>NESBSB00172_27270</t>
  </si>
  <si>
    <t>NESBSB00172P19-002</t>
  </si>
  <si>
    <t>G:\GEOPROCESSAMENTO\IMAGENS\LiDAR\Dados_2022\PROPRIO\NESBSB00172_Valeria_I\Plot_las\Plots_27270_Norm.las</t>
  </si>
  <si>
    <t>Plots_27270_Norm</t>
  </si>
  <si>
    <t>NESBSB00172_27495</t>
  </si>
  <si>
    <t>NESBSB00172P19-001</t>
  </si>
  <si>
    <t>G:\GEOPROCESSAMENTO\IMAGENS\LiDAR\Dados_2022\PROPRIO\NESBSB00172_Valeria_I\Plot_las\Plots_27495_Norm.las</t>
  </si>
  <si>
    <t>Plots_27495_Norm</t>
  </si>
  <si>
    <t>NESBSB00172_27496</t>
  </si>
  <si>
    <t>G:\GEOPROCESSAMENTO\IMAGENS\LiDAR\Dados_2022\PROPRIO\NESBSB00172_Valeria_I\Plot_las\Plots_27496_Norm.las</t>
  </si>
  <si>
    <t>Plots_27496_Norm</t>
  </si>
  <si>
    <t>RDIPMA00487_27498</t>
  </si>
  <si>
    <t>RDIPMA00487R19-001</t>
  </si>
  <si>
    <t>G:\GEOPROCESSAMENTO\IMAGENS\LiDAR\Dados_2022\PROPRIO\RDIPMA00487_Beira_Rio\Plot_las\Plots_27498_Norm.las</t>
  </si>
  <si>
    <t>Plots_27498_Norm</t>
  </si>
  <si>
    <t>GNSASA00625_27509</t>
  </si>
  <si>
    <t>GNSASA00625P19-014</t>
  </si>
  <si>
    <t>C:\LiDAR\Projetos\GNSASA00625_CORRENTE_CANOA_II\plots\plot_27509.las</t>
  </si>
  <si>
    <t>plot_27509</t>
  </si>
  <si>
    <t>REGIONAL</t>
  </si>
  <si>
    <t>G:\GEOPROCESSAMENTO\IMAGENS\LiDAR\Dados_2025\GNSACR00615_CANDEIAS\10plots\GNSACR00615R21-002_28366,laz</t>
  </si>
  <si>
    <t>GNSACR00615R21-002_28366</t>
  </si>
  <si>
    <t>G:\GEOPROCESSAMENTO\IMAGENS\LiDAR\Dados_2025\GNSACR00615_CANDEIAS\10plots\GNSACR00615R21-002_28367,laz</t>
  </si>
  <si>
    <t>GNSACR00615R21-002_28367</t>
  </si>
  <si>
    <t>G:\GEOPROCESSAMENTO\IMAGENS\LiDAR\Dados_2025\GNSACR00626_CORRENTINHO_I\10plots\GNSACR00626R19-011_27433,laz</t>
  </si>
  <si>
    <t>GNSACR00626R19-011_27433</t>
  </si>
  <si>
    <t>G:\GEOPROCESSAMENTO\IMAGENS\LiDAR\Dados_2025\GNSACR00626_CORRENTINHO_I\10plots\GNSACR00626R19-011_31076,laz</t>
  </si>
  <si>
    <t>GNSACR00626R19-011_31076</t>
  </si>
  <si>
    <t>G:\GEOPROCESSAMENTO\IMAGENS\LiDAR\Dados_2025\GNSACR00626_CORRENTINHO_I\10plots\GNSACR00626R19-011_33342,laz</t>
  </si>
  <si>
    <t>GNSACR00626R19-011_33342</t>
  </si>
  <si>
    <t>G:\GEOPROCESSAMENTO\IMAGENS\LiDAR\Dados_2025\GNSACR00626_CORRENTINHO_I\10plots\GNSACR00626R19-011_33348,laz</t>
  </si>
  <si>
    <t>GNSACR00626R19-011_33348</t>
  </si>
  <si>
    <t>G:\GEOPROCESSAMENTO\IMAGENS\LiDAR\Dados_2025\GNSACR00650_RIO_GUANHAES\10plots\GNSACR00650R20-092_27709,laz</t>
  </si>
  <si>
    <t>GNSACR00650R20-092_27709</t>
  </si>
  <si>
    <t>G:\GEOPROCESSAMENTO\IMAGENS\LiDAR\Dados_2025\GNSACR00650_RIO_GUANHAES\10plots\GNSACR00650R20-092_27710,laz</t>
  </si>
  <si>
    <t>GNSACR00650R20-092_27710</t>
  </si>
  <si>
    <t>G:\GEOPROCESSAMENTO\IMAGENS\LiDAR\Dados_2025\GNSACR00650_RIO_GUANHAES\10plots\GNSACR00650R20-092_27711,laz</t>
  </si>
  <si>
    <t>GNSACR00650R20-092_27711</t>
  </si>
  <si>
    <t>G:\GEOPROCESSAMENTO\IMAGENS\LiDAR\Dados_2025\GNSACR00650_RIO_GUANHAES\10plots\GNSACR00650R20-092_33370,laz</t>
  </si>
  <si>
    <t>GNSACR00650R20-092_33370</t>
  </si>
  <si>
    <t>G:\GEOPROCESSAMENTO\IMAGENS\LiDAR\Dados_2025\GNSACR00650_RIO_GUANHAES\10plots\GNSACR00650R20-092_33371,laz</t>
  </si>
  <si>
    <t>GNSACR00650R20-092_33371</t>
  </si>
  <si>
    <t>G:\GEOPROCESSAMENTO\IMAGENS\LiDAR\Dados_2025\GNSAPE00583_CORREGO_DANTAS\10plots\GNSAPE00583R20-001_27542,laz</t>
  </si>
  <si>
    <t>GNSAPE00583R20-001_27542</t>
  </si>
  <si>
    <t>G:\GEOPROCESSAMENTO\IMAGENS\LiDAR\Dados_2025\GNSAPE00583_CORREGO_DANTAS\10plots\GNSAPE00583R20-001_27543,laz</t>
  </si>
  <si>
    <t>GNSAPE00583R20-001_27543</t>
  </si>
  <si>
    <t>G:\GEOPROCESSAMENTO\IMAGENS\LiDAR\Dados_2025\GNSAPE00583_CORREGO_DANTAS\10plots\GNSAPE00583R20-001_27544,laz</t>
  </si>
  <si>
    <t>GNSAPE00583R20-001_27544</t>
  </si>
  <si>
    <t>G:\GEOPROCESSAMENTO\IMAGENS\LiDAR\Dados_2025\GNSAPE00583_CORREGO_DANTAS\10plots\GNSAPE00583R20-001_27545,laz</t>
  </si>
  <si>
    <t>GNSAPE00583R20-001_27545</t>
  </si>
  <si>
    <t>G:\GEOPROCESSAMENTO\IMAGENS\LiDAR\Dados_2025\GNSAPE00583_CORREGO_DANTAS\10plots\GNSAPE00583R20-001_27546,laz</t>
  </si>
  <si>
    <t>GNSAPE00583R20-001_27546</t>
  </si>
  <si>
    <t>G:\GEOPROCESSAMENTO\IMAGENS\LiDAR\Dados_2025\GNSAPE00611_BARREIRAS\10plots\GNSAPE00611P20-008_27676,laz</t>
  </si>
  <si>
    <t>GNSAPE00611P20-008_27676</t>
  </si>
  <si>
    <t>G:\GEOPROCESSAMENTO\IMAGENS\LiDAR\Dados_2025\GNSAPE00611_BARREIRAS\10plots\GNSAPE00611P20-008_27677,laz</t>
  </si>
  <si>
    <t>GNSAPE00611P20-008_27677</t>
  </si>
  <si>
    <t>G:\GEOPROCESSAMENTO\IMAGENS\LiDAR\Dados_2025\GNSAPE00647_QUARTEL\10plots\GNSAPE00647R21-046_28911,laz</t>
  </si>
  <si>
    <t>GNSAPE00647R21-046_28911</t>
  </si>
  <si>
    <t>G:\GEOPROCESSAMENTO\IMAGENS\LiDAR\Dados_2025\GNSAPE00647_QUARTEL\10plots\GNSAPE00647R21-046_28912,laz</t>
  </si>
  <si>
    <t>GNSAPE00647R21-046_28912</t>
  </si>
  <si>
    <t>G:\GEOPROCESSAMENTO\IMAGENS\LiDAR\Dados_2025\GNSAPE00647_QUARTEL\10plots\GNSAPE00647R21-046_28913,laz</t>
  </si>
  <si>
    <t>GNSAPE00647R21-046_28913</t>
  </si>
  <si>
    <t>G:\GEOPROCESSAMENTO\IMAGENS\LiDAR\Dados_2025\GNSAPE00647_QUARTEL\10plots\GNSAPE00647R22-049_29807,laz</t>
  </si>
  <si>
    <t>GNSAPE00647R22-049_29807</t>
  </si>
  <si>
    <t>G:\GEOPROCESSAMENTO\IMAGENS\LiDAR\Dados_2025\GNSAPE00647_QUARTEL\10plots\GNSAPE00647R22-049_29808,laz</t>
  </si>
  <si>
    <t>GNSAPE00647R22-049_29808</t>
  </si>
  <si>
    <t>G:\GEOPROCESSAMENTO\IMAGENS\LiDAR\Dados_2025\GNSAPE00671_FAZENDA_TAQUARAL\10plots\GNSAPE00671P20-004_27831,laz</t>
  </si>
  <si>
    <t>GNSAPE00671P20-004_27831</t>
  </si>
  <si>
    <t>G:\GEOPROCESSAMENTO\IMAGENS\LiDAR\Dados_2025\GNSAPE00671_FAZENDA_TAQUARAL\10plots\GNSAPE00671P20-004_27832,laz</t>
  </si>
  <si>
    <t>GNSAPE00671P20-004_27832</t>
  </si>
  <si>
    <t>G:\GEOPROCESSAMENTO\IMAGENS\LiDAR\Dados_2025\GNSAPE00671_FAZENDA_TAQUARAL\10plots\GNSAPE00671P20-004_27833,laz</t>
  </si>
  <si>
    <t>GNSAPE00671P20-004_27833</t>
  </si>
  <si>
    <t>G:\GEOPROCESSAMENTO\IMAGENS\LiDAR\Dados_2025\GNVIVI00514_CORREGO_DAS_PEDRAS\10plots\GNVIVI00514P20-031_27517,laz</t>
  </si>
  <si>
    <t>GNVIVI00514P20-031_27517</t>
  </si>
  <si>
    <t>G:\GEOPROCESSAMENTO\IMAGENS\LiDAR\Dados_2025\GNVIVI00514_CORREGO_DAS_PEDRAS\10plots\GNVIVI00514P20-031_27518,laz</t>
  </si>
  <si>
    <t>GNVIVI00514P20-031_27518</t>
  </si>
  <si>
    <t>G:\GEOPROCESSAMENTO\IMAGENS\LiDAR\Dados_2025\GNVIVI00514_CORREGO_DAS_PEDRAS\10plots\GNVIVI00514P20-031_27519,laz</t>
  </si>
  <si>
    <t>GNVIVI00514P20-031_27519</t>
  </si>
  <si>
    <t>G:\GEOPROCESSAMENTO\IMAGENS\LiDAR\Dados_2025\GNVIVI00514_CORREGO_DAS_PEDRAS\10plots\GNVIVI00514P20-031_27520,laz</t>
  </si>
  <si>
    <t>GNVIVI00514P20-031_27520</t>
  </si>
  <si>
    <t>G:\GEOPROCESSAMENTO\IMAGENS\LiDAR\Dados_2025\GNVIVI00516_CARAUNA\10plots\GNVIVI00516P22-001_29681,laz</t>
  </si>
  <si>
    <t>GNVIVI00516P22-001_29681</t>
  </si>
  <si>
    <t>G:\GEOPROCESSAMENTO\IMAGENS\LiDAR\Dados_2025\GNVIVI00516_CARAUNA\10plots\GNVIVI00516P22-001_29682,laz</t>
  </si>
  <si>
    <t>GNVIVI00516P22-001_29682</t>
  </si>
  <si>
    <t>G:\GEOPROCESSAMENTO\IMAGENS\LiDAR\Dados_2025\GNVIVI00534_GODINHO\10plots\GNVIVI00534P19-029_27329,laz</t>
  </si>
  <si>
    <t>GNVIVI00534P19-029_27329</t>
  </si>
  <si>
    <t>G:\GEOPROCESSAMENTO\IMAGENS\LiDAR\Dados_2025\GNVIVI00538_HORACIO\10plots\GNVIVI00538P20-008_27861,laz</t>
  </si>
  <si>
    <t>GNVIVI00538P20-008_27861</t>
  </si>
  <si>
    <t>G:\GEOPROCESSAMENTO\IMAGENS\LiDAR\Dados_2025\GNVIVI00538_HORACIO\10plots\GNVIVI00538P20-008_27862,laz</t>
  </si>
  <si>
    <t>GNVIVI00538P20-008_27862</t>
  </si>
  <si>
    <t>G:\GEOPROCESSAMENTO\IMAGENS\LiDAR\Dados_2025\GNVIVI00542_JACUTINGA_II\10plots\GNVIVI00542P21-008_28974,laz</t>
  </si>
  <si>
    <t>GNVIVI00542P21-008_28974</t>
  </si>
  <si>
    <t>G:\GEOPROCESSAMENTO\IMAGENS\LiDAR\Dados_2025\GNVIVI00542_JACUTINGA_II\10plots\GNVIVI00542P21-008_28975,laz</t>
  </si>
  <si>
    <t>GNVIVI00542P21-008_28975</t>
  </si>
  <si>
    <t>G:\GEOPROCESSAMENTO\IMAGENS\LiDAR\Dados_2025\GNVIVI00542_JACUTINGA_II\10plots\GNVIVI00542P21-008_28976,laz</t>
  </si>
  <si>
    <t>GNVIVI00542P21-008_28976</t>
  </si>
  <si>
    <t>G:\GEOPROCESSAMENTO\IMAGENS\LiDAR\Dados_2025\GNVIVI00542_JACUTINGA_II\10plots\GNVIVI00542P21-022_28987,laz</t>
  </si>
  <si>
    <t>GNVIVI00542P21-022_28987</t>
  </si>
  <si>
    <t>G:\GEOPROCESSAMENTO\IMAGENS\LiDAR\Dados_2025\GNVIVI00542_JACUTINGA_II\10plots\GNVIVI00542P21-022_28989,laz</t>
  </si>
  <si>
    <t>GNVIVI00542P21-022_28989</t>
  </si>
  <si>
    <t>G:\GEOPROCESSAMENTO\IMAGENS\LiDAR\Dados_2025\GNVIVI00542_JACUTINGA_II\10plots\GNVIVI00542P21-031_28982,laz</t>
  </si>
  <si>
    <t>GNVIVI00542P21-031_28982</t>
  </si>
  <si>
    <t>G:\GEOPROCESSAMENTO\IMAGENS\LiDAR\Dados_2025\GNVIVI00542_JACUTINGA_II\10plots\GNVIVI00542P21-031_28983,laz</t>
  </si>
  <si>
    <t>GNVIVI00542P21-031_28983</t>
  </si>
  <si>
    <t>G:\GEOPROCESSAMENTO\IMAGENS\LiDAR\Dados_2025\GNVIVI00542_JACUTINGA_II\10plots\GNVIVI00542P21-031_28984,laz</t>
  </si>
  <si>
    <t>GNVIVI00542P21-031_28984</t>
  </si>
  <si>
    <t>G:\GEOPROCESSAMENTO\IMAGENS\LiDAR\Dados_2025\GNVIVI00545_MACUCO_QUEIXADA\10plots\GNVIVI00545P22-030_29794,laz</t>
  </si>
  <si>
    <t>GNVIVI00545P22-030_29794</t>
  </si>
  <si>
    <t>G:\GEOPROCESSAMENTO\IMAGENS\LiDAR\Dados_2025\GNVIVI00545_MACUCO_QUEIXADA\10plots\GNVIVI00545P22-030_29795,laz</t>
  </si>
  <si>
    <t>GNVIVI00545P22-030_29795</t>
  </si>
  <si>
    <t>G:\GEOPROCESSAMENTO\IMAGENS\LiDAR\Dados_2025\GNVIVI00545_MACUCO_QUEIXADA\10plots\GNVIVI00545P22-037_29782,laz</t>
  </si>
  <si>
    <t>GNVIVI00545P22-037_29782</t>
  </si>
  <si>
    <t>G:\GEOPROCESSAMENTO\IMAGENS\LiDAR\Dados_2025\GNVIVI00562_SAO_LEONARDO_II\10plots\GNVIVI00562P16-065_24685,laz</t>
  </si>
  <si>
    <t>GNVIVI00562P16-065_24685</t>
  </si>
  <si>
    <t>G:\GEOPROCESSAMENTO\IMAGENS\LiDAR\Dados_2025\NECOCA00310_BARRINHA\10plots\NECOCA00310P21-432_33497,laz</t>
  </si>
  <si>
    <t>NECOCA00310P21-432_33497</t>
  </si>
  <si>
    <t>G:\GEOPROCESSAMENTO\IMAGENS\LiDAR\Dados_2025\NECOCA00312_COCAIS_DOS_ARRUDAS_II\10plots\NECOCA00312R20-350_27786,laz</t>
  </si>
  <si>
    <t>NECOCA00312R20-350_27786</t>
  </si>
  <si>
    <t>G:\GEOPROCESSAMENTO\IMAGENS\LiDAR\Dados_2025\NECOCA00312_COCAIS_DOS_ARRUDAS_II\10plots\NECOCA00312R20-350_27787,laz</t>
  </si>
  <si>
    <t>NECOCA00312R20-350_27787</t>
  </si>
  <si>
    <t>G:\GEOPROCESSAMENTO\IMAGENS\LiDAR\Dados_2025\NECOCA00325_CUMEEIRA\10plots\NECOCA00325R16-104_25022,laz</t>
  </si>
  <si>
    <t>NECOCA00325R16-104_25022</t>
  </si>
  <si>
    <t>G:\GEOPROCESSAMENTO\IMAGENS\LiDAR\Dados_2025\NECOCA00325_CUMEEIRA\10plots\NECOCA00325R16-104_25024,laz</t>
  </si>
  <si>
    <t>NECOCA00325R16-104_25024</t>
  </si>
  <si>
    <t>G:\GEOPROCESSAMENTO\IMAGENS\LiDAR\Dados_2025\NECOCA00325_CUMEEIRA\10plots\NECOCA00325R16-104_25025,laz</t>
  </si>
  <si>
    <t>NECOCA00325R16-104_25025</t>
  </si>
  <si>
    <t>G:\GEOPROCESSAMENTO\IMAGENS\LiDAR\Dados_2025\NECOCA00325_CUMEEIRA\10plots\NECOCA00325R16-104_33504,laz</t>
  </si>
  <si>
    <t>NECOCA00325R16-104_33504</t>
  </si>
  <si>
    <t>G:\GEOPROCESSAMENTO\IMAGENS\LiDAR\Dados_2025\NECOCA00325_CUMEEIRA\10plots\NECOCA00325R16-115_33506,laz</t>
  </si>
  <si>
    <t>NECOCA00325R16-115_33506</t>
  </si>
  <si>
    <t>G:\GEOPROCESSAMENTO\IMAGENS\LiDAR\Dados_2025\NECOCA00328_GAMELA\10plots\NECOCA00328R20-002_27878,laz</t>
  </si>
  <si>
    <t>NECOCA00328R20-002_27878</t>
  </si>
  <si>
    <t>G:\GEOPROCESSAMENTO\IMAGENS\LiDAR\Dados_2025\NECOCA00328_GAMELA\10plots\NECOCA00328R20-002_27879,laz</t>
  </si>
  <si>
    <t>NECOCA00328R20-002_27879</t>
  </si>
  <si>
    <t>G:\GEOPROCESSAMENTO\IMAGENS\LiDAR\Dados_2025\NECOCA00328_GAMELA\10plots\NECOCA00328R20-002_28234,laz</t>
  </si>
  <si>
    <t>NECOCA00328R20-002_28234</t>
  </si>
  <si>
    <t>G:\GEOPROCESSAMENTO\IMAGENS\LiDAR\Dados_2025\NECOCA00369_PINHAO\10plots\NECOCA00369R22-475_29613,laz</t>
  </si>
  <si>
    <t>NECOCA00369R22-475_29613</t>
  </si>
  <si>
    <t>G:\GEOPROCESSAMENTO\IMAGENS\LiDAR\Dados_2025\NECOCA00372_TRINDADE\10plots\NECOCA00372P21-492_29073,laz</t>
  </si>
  <si>
    <t>NECOCA00372P21-492_29073</t>
  </si>
  <si>
    <t>G:\GEOPROCESSAMENTO\IMAGENS\LiDAR\Dados_2025\NECOCA00372_TRINDADE\10plots\NECOCA00372P21-492_29074,laz</t>
  </si>
  <si>
    <t>NECOCA00372P21-492_29074</t>
  </si>
  <si>
    <t>G:\GEOPROCESSAMENTO\IMAGENS\LiDAR\Dados_2025\NECOCA00372_TRINDADE\10plots\NECOCA00372P21-492_29075,laz</t>
  </si>
  <si>
    <t>NECOCA00372P21-492_29075</t>
  </si>
  <si>
    <t>G:\GEOPROCESSAMENTO\IMAGENS\LiDAR\Dados_2025\NECOCA00372_TRINDADE\10plots\NECOCA00372R21-487_29066,laz</t>
  </si>
  <si>
    <t>NECOCA00372R21-487_29066</t>
  </si>
  <si>
    <t>G:\GEOPROCESSAMENTO\IMAGENS\LiDAR\Dados_2025\NECOCA00372_TRINDADE\10plots\NECOCA00372R21-487_29067,laz</t>
  </si>
  <si>
    <t>NECOCA00372R21-487_29067</t>
  </si>
  <si>
    <t>G:\GEOPROCESSAMENTO\IMAGENS\LiDAR\Dados_2025\NECOCA00372_TRINDADE\10plots\NECOCA00372R21-487_29068,laz</t>
  </si>
  <si>
    <t>NECOCA00372R21-487_29068</t>
  </si>
  <si>
    <t>G:\GEOPROCESSAMENTO\IMAGENS\LiDAR\Dados_2025\NECOCA00372_TRINDADE\10plots\NECOCA00372R21-487_29069,laz</t>
  </si>
  <si>
    <t>NECOCA00372R21-487_29069</t>
  </si>
  <si>
    <t>G:\GEOPROCESSAMENTO\IMAGENS\LiDAR\Dados_2025\NECOCA00375_BARATINHA\10plots\NECOCA00375R18-003_26653,laz</t>
  </si>
  <si>
    <t>NECOCA00375R18-003_26653</t>
  </si>
  <si>
    <t>G:\GEOPROCESSAMENTO\IMAGENS\LiDAR\Dados_2025\NECOCA00375_BARATINHA\10plots\NECOCA00375R18-003_30897,laz</t>
  </si>
  <si>
    <t>NECOCA00375R18-003_30897</t>
  </si>
  <si>
    <t>G:\GEOPROCESSAMENTO\IMAGENS\LiDAR\Dados_2025\NECOCA00375_BARATINHA\10plots\NECOCA00375R18-004_26605,laz</t>
  </si>
  <si>
    <t>NECOCA00375R18-004_26605</t>
  </si>
  <si>
    <t>G:\GEOPROCESSAMENTO\IMAGENS\LiDAR\Dados_2025\NECOCA00375_BARATINHA\10plots\NECOCA00375R18-004_26606,laz</t>
  </si>
  <si>
    <t>NECOCA00375R18-004_26606</t>
  </si>
  <si>
    <t>G:\GEOPROCESSAMENTO\IMAGENS\LiDAR\Dados_2025\NECOCA00375_BARATINHA\10plots\NECOCA00375R18-004_30891,laz</t>
  </si>
  <si>
    <t>NECOCA00375R18-004_30891</t>
  </si>
  <si>
    <t>G:\GEOPROCESSAMENTO\IMAGENS\LiDAR\Dados_2025\NECOCE00302_ALTO_DA_PEDRA\10plots\NECOCE00302P17-062_25524,laz</t>
  </si>
  <si>
    <t>NECOCE00302P17-062_25524</t>
  </si>
  <si>
    <t>G:\GEOPROCESSAMENTO\IMAGENS\LiDAR\Dados_2025\NECOCE00302_ALTO_DA_PEDRA\10plots\NECOCE00302P17-062_31037,laz</t>
  </si>
  <si>
    <t>NECOCE00302P17-062_31037</t>
  </si>
  <si>
    <t>G:\GEOPROCESSAMENTO\IMAGENS\LiDAR\Dados_2025\NECOCE00302_ALTO_DA_PEDRA\10plots\NECOCE00302P17-063_25517,laz</t>
  </si>
  <si>
    <t>NECOCE00302P17-063_25517</t>
  </si>
  <si>
    <t>G:\GEOPROCESSAMENTO\IMAGENS\LiDAR\Dados_2025\NECOCE00302_ALTO_DA_PEDRA\10plots\NECOCE00302P17-063_31039,laz</t>
  </si>
  <si>
    <t>NECOCE00302P17-063_31039</t>
  </si>
  <si>
    <t>G:\GEOPROCESSAMENTO\IMAGENS\LiDAR\Dados_2025\NECOCE00302_ALTO_DA_PEDRA\10plots\NECOCE00302R17-012_25508,laz</t>
  </si>
  <si>
    <t>NECOCE00302R17-012_25508</t>
  </si>
  <si>
    <t>G:\GEOPROCESSAMENTO\IMAGENS\LiDAR\Dados_2025\NECOCE00302_ALTO_DA_PEDRA\10plots\NECOCE00302R17-060_25529,laz</t>
  </si>
  <si>
    <t>NECOCE00302R17-060_25529</t>
  </si>
  <si>
    <t>G:\GEOPROCESSAMENTO\IMAGENS\LiDAR\Dados_2025\NECOCE00302_ALTO_DA_PEDRA\10plots\NECOCE00302R17-060_25536,laz</t>
  </si>
  <si>
    <t>NECOCE00302R17-060_25536</t>
  </si>
  <si>
    <t>G:\GEOPROCESSAMENTO\IMAGENS\LiDAR\Dados_2025\NECOCE00302_ALTO_DA_PEDRA\10plots\NECOCE00302R17-060_31038,laz</t>
  </si>
  <si>
    <t>NECOCE00302R17-060_31038</t>
  </si>
  <si>
    <t>G:\GEOPROCESSAMENTO\IMAGENS\LiDAR\Dados_2025\NECOCE00317_CAPELINHA\10plots\NECOCE00317R19-302_27065,laz</t>
  </si>
  <si>
    <t>NECOCE00317R19-302_27065</t>
  </si>
  <si>
    <t>G:\GEOPROCESSAMENTO\IMAGENS\LiDAR\Dados_2025\NECOCE00347_PEDRA_BRANCA\10plots\NECOCE00347R21-331_28756,laz</t>
  </si>
  <si>
    <t>NECOCE00347R21-331_28756</t>
  </si>
  <si>
    <t>G:\GEOPROCESSAMENTO\IMAGENS\LiDAR\Dados_2025\NECOCE00347_PEDRA_BRANCA\10plots\NECOCE00347R21-331_28757,laz</t>
  </si>
  <si>
    <t>NECOCE00347R21-331_28757</t>
  </si>
  <si>
    <t>G:\GEOPROCESSAMENTO\IMAGENS\LiDAR\Dados_2025\NECOCE00347_PEDRA_BRANCA\10plots\NECOCE00347R21-331_28758,laz</t>
  </si>
  <si>
    <t>NECOCE00347R21-331_28758</t>
  </si>
  <si>
    <t>G:\GEOPROCESSAMENTO\IMAGENS\LiDAR\Dados_2025\NECOCE00347_PEDRA_BRANCA\10plots\NECOCE00347R21-331_28759,laz</t>
  </si>
  <si>
    <t>NECOCE00347R21-331_28759</t>
  </si>
  <si>
    <t>G:\GEOPROCESSAMENTO\IMAGENS\LiDAR\Dados_2025\NECOCE00354_SANTA_CLARA\10plots\NECOCE00354R18-270_26419,laz</t>
  </si>
  <si>
    <t>NECOCE00354R18-270_26419</t>
  </si>
  <si>
    <t>G:\GEOPROCESSAMENTO\IMAGENS\LiDAR\Dados_2025\NECOCE00355_SANTA_JULIANA\10plots\NECOCE00355R22-353_29909,laz</t>
  </si>
  <si>
    <t>NECOCE00355R22-353_29909</t>
  </si>
  <si>
    <t>G:\GEOPROCESSAMENTO\IMAGENS\LiDAR\Dados_2025\NECOCE00365_VAI_E_VOLTA\10plots\NECOCE00365R18-371_26169,laz</t>
  </si>
  <si>
    <t>NECOCE00365R18-371_26169</t>
  </si>
  <si>
    <t>G:\GEOPROCESSAMENTO\IMAGENS\LiDAR\Dados_2025\NECOCE00365_VAI_E_VOLTA\10plots\NECOCE00365R18-371_26170,laz</t>
  </si>
  <si>
    <t>NECOCE00365R18-371_26170</t>
  </si>
  <si>
    <t>G:\GEOPROCESSAMENTO\IMAGENS\LiDAR\Dados_2025\NECOCE00365_VAI_E_VOLTA\10plots\NECOCE00365R18-371_26171,laz</t>
  </si>
  <si>
    <t>NECOCE00365R18-371_26171</t>
  </si>
  <si>
    <t>G:\GEOPROCESSAMENTO\IMAGENS\LiDAR\Dados_2025\NECOCE00365_VAI_E_VOLTA\10plots\NECOCE00365R18-371_26172,laz</t>
  </si>
  <si>
    <t>NECOCE00365R18-371_26172</t>
  </si>
  <si>
    <t>G:\GEOPROCESSAMENTO\IMAGENS\LiDAR\Dados_2025\NEPIAL00201_AGUA_LIMPA\10plots\NEPIAL00201P17-003_25419,laz</t>
  </si>
  <si>
    <t>NEPIAL00201P17-003_25419</t>
  </si>
  <si>
    <t>G:\GEOPROCESSAMENTO\IMAGENS\LiDAR\Dados_2025\NEPIAL00202_ALFIE\10plots\NEPIAL00202P21-036_28326,laz</t>
  </si>
  <si>
    <t>NEPIAL00202P21-036_28326</t>
  </si>
  <si>
    <t>G:\GEOPROCESSAMENTO\IMAGENS\LiDAR\Dados_2025\NEPIAL00205_BICUDOS_II\10plots\NEPIAL00205R20-001_27719,laz</t>
  </si>
  <si>
    <t>NEPIAL00205R20-001_27719</t>
  </si>
  <si>
    <t>G:\GEOPROCESSAMENTO\IMAGENS\LiDAR\Dados_2025\NEPIAL00205_BICUDOS_II\10plots\NEPIAL00205R20-001_27720,laz</t>
  </si>
  <si>
    <t>NEPIAL00205R20-001_27720</t>
  </si>
  <si>
    <t>G:\GEOPROCESSAMENTO\IMAGENS\LiDAR\Dados_2025\NEPIAL00205_BICUDOS_II\10plots\NEPIAL00205R20-001_27721,laz</t>
  </si>
  <si>
    <t>NEPIAL00205R20-001_27721</t>
  </si>
  <si>
    <t>G:\GEOPROCESSAMENTO\IMAGENS\LiDAR\Dados_2025\NEPIAL00208_BOM_RETIRO\10plots\NEPIAL00208P16-101_25097,laz</t>
  </si>
  <si>
    <t>NEPIAL00208P16-101_25097</t>
  </si>
  <si>
    <t>G:\GEOPROCESSAMENTO\IMAGENS\LiDAR\Dados_2025\NEPIAL00208_BOM_RETIRO\10plots\NEPIAL00208P16-101_25098,laz</t>
  </si>
  <si>
    <t>NEPIAL00208P16-101_25098</t>
  </si>
  <si>
    <t>G:\GEOPROCESSAMENTO\IMAGENS\LiDAR\Dados_2025\NEPIAL00208_BOM_RETIRO\10plots\NEPIAL00208P16-101_25099,laz</t>
  </si>
  <si>
    <t>NEPIAL00208P16-101_25099</t>
  </si>
  <si>
    <t>G:\GEOPROCESSAMENTO\IMAGENS\LiDAR\Dados_2025\NEPIAL00208_BOM_RETIRO\10plots\NEPIAL00208P16-101_31025,laz</t>
  </si>
  <si>
    <t>NEPIAL00208P16-101_31025</t>
  </si>
  <si>
    <t>G:\GEOPROCESSAMENTO\IMAGENS\LiDAR\Dados_2025\NEPIAL00208_BOM_RETIRO\10plots\NEPIAL00208P16-142_25093,laz</t>
  </si>
  <si>
    <t>NEPIAL00208P16-142_25093</t>
  </si>
  <si>
    <t>G:\GEOPROCESSAMENTO\IMAGENS\LiDAR\Dados_2025\NEPIAL00208_BOM_RETIRO\10plots\NEPIAL00208P22-122_29140,laz</t>
  </si>
  <si>
    <t>NEPIAL00208P22-122_29140</t>
  </si>
  <si>
    <t>G:\GEOPROCESSAMENTO\IMAGENS\LiDAR\Dados_2025\NEPIAL00208_BOM_RETIRO\10plots\NEPIAL00208P22-122_29141,laz</t>
  </si>
  <si>
    <t>NEPIAL00208P22-122_29141</t>
  </si>
  <si>
    <t>G:\GEOPROCESSAMENTO\IMAGENS\LiDAR\Dados_2025\NEPIAL00208_BOM_RETIRO\10plots\NEPIAL00208P22-122_29142,laz</t>
  </si>
  <si>
    <t>NEPIAL00208P22-122_29142</t>
  </si>
  <si>
    <t>G:\GEOPROCESSAMENTO\IMAGENS\LiDAR\Dados_2025\NEPIAL00208_BOM_RETIRO\10plots\NEPIAL00208P22-122_29143,laz</t>
  </si>
  <si>
    <t>NEPIAL00208P22-122_29143</t>
  </si>
  <si>
    <t>G:\GEOPROCESSAMENTO\IMAGENS\LiDAR\Dados_2025\NEPIAL00208_BOM_RETIRO\10plots\NEPIAL00208R16-102_25101,laz</t>
  </si>
  <si>
    <t>NEPIAL00208R16-102_25101</t>
  </si>
  <si>
    <t>G:\GEOPROCESSAMENTO\IMAGENS\LiDAR\Dados_2025\NEPIAL00208_BOM_RETIRO\10plots\NEPIAL00208R16-102_25102,laz</t>
  </si>
  <si>
    <t>NEPIAL00208R16-102_25102</t>
  </si>
  <si>
    <t>G:\GEOPROCESSAMENTO\IMAGENS\LiDAR\Dados_2025\NEPIAL00208_BOM_RETIRO\10plots\NEPIAL00208R16-102_25103,laz</t>
  </si>
  <si>
    <t>NEPIAL00208R16-102_25103</t>
  </si>
  <si>
    <t>G:\GEOPROCESSAMENTO\IMAGENS\LiDAR\Dados_2025\NEPIAL00208_BOM_RETIRO\10plots\NEPIAL00208R16-102_25104,laz</t>
  </si>
  <si>
    <t>NEPIAL00208R16-102_25104</t>
  </si>
  <si>
    <t>G:\GEOPROCESSAMENTO\IMAGENS\LiDAR\Dados_2025\NEPIAL00208_BOM_RETIRO\10plots\NEPIAL00208R16-102_31024,laz</t>
  </si>
  <si>
    <t>NEPIAL00208R16-102_31024</t>
  </si>
  <si>
    <t>G:\GEOPROCESSAMENTO\IMAGENS\LiDAR\Dados_2025\NEPIAL00208_BOM_RETIRO\10plots\NEPIAL00208R21-114_28315,laz</t>
  </si>
  <si>
    <t>NEPIAL00208R21-114_28315</t>
  </si>
  <si>
    <t>G:\GEOPROCESSAMENTO\IMAGENS\LiDAR\Dados_2025\NEPIAL00208_BOM_RETIRO\10plots\NEPIAL00208R21-114_28316,laz</t>
  </si>
  <si>
    <t>NEPIAL00208R21-114_28316</t>
  </si>
  <si>
    <t>G:\GEOPROCESSAMENTO\IMAGENS\LiDAR\Dados_2025\NEPIAL00208_BOM_RETIRO\10plots\NEPIAL00208R21-114_28317,laz</t>
  </si>
  <si>
    <t>NEPIAL00208R21-114_28317</t>
  </si>
  <si>
    <t>G:\GEOPROCESSAMENTO\IMAGENS\LiDAR\Dados_2025\NEPIAL00208_BOM_RETIRO\10plots\NEPIAL00208R21-114_30351,laz</t>
  </si>
  <si>
    <t>NEPIAL00208R21-114_30351</t>
  </si>
  <si>
    <t>G:\GEOPROCESSAMENTO\IMAGENS\LiDAR\Dados_2025\NEPIAL00208_BOM_RETIRO\10plots\NEPIAL00208R21-114_30353,laz</t>
  </si>
  <si>
    <t>NEPIAL00208R21-114_30353</t>
  </si>
  <si>
    <t>G:\GEOPROCESSAMENTO\IMAGENS\LiDAR\Dados_2025\NEPIAL00211_MORRO_AGUDO\10plots\NEPIAL00211P20-097_28175,laz</t>
  </si>
  <si>
    <t>NEPIAL00211P20-097_28175</t>
  </si>
  <si>
    <t>G:\GEOPROCESSAMENTO\IMAGENS\LiDAR\Dados_2025\NEPIAL00211_MORRO_AGUDO\10plots\NEPIAL00211P20-097_28177,laz</t>
  </si>
  <si>
    <t>NEPIAL00211P20-097_28177</t>
  </si>
  <si>
    <t>G:\GEOPROCESSAMENTO\IMAGENS\LiDAR\Dados_2025\NEPIAL00211_MORRO_AGUDO\10plots\NEPIAL00211R20-124_28164,laz</t>
  </si>
  <si>
    <t>NEPIAL00211R20-124_28164</t>
  </si>
  <si>
    <t>G:\GEOPROCESSAMENTO\IMAGENS\LiDAR\Dados_2025\NEPIAL00211_MORRO_AGUDO\10plots\NEPIAL00211R20-124_28165,laz</t>
  </si>
  <si>
    <t>NEPIAL00211R20-124_28165</t>
  </si>
  <si>
    <t>G:\GEOPROCESSAMENTO\IMAGENS\LiDAR\Dados_2025\NEPIAL00211_MORRO_AGUDO\10plots\NEPIAL00211R20-124_28247,laz</t>
  </si>
  <si>
    <t>NEPIAL00211R20-124_28247</t>
  </si>
  <si>
    <t>G:\GEOPROCESSAMENTO\IMAGENS\LiDAR\Dados_2025\NEPIAL00211_MORRO_AGUDO\10plots\NEPIAL00211R20-124_30366,laz</t>
  </si>
  <si>
    <t>NEPIAL00211R20-124_30366</t>
  </si>
  <si>
    <t>G:\GEOPROCESSAMENTO\IMAGENS\LiDAR\Dados_2025\NEPIAL00211_MORRO_AGUDO\10plots\NEPIAL00211R20-124_31027,laz</t>
  </si>
  <si>
    <t>NEPIAL00211R20-124_31027</t>
  </si>
  <si>
    <t>G:\GEOPROCESSAMENTO\IMAGENS\LiDAR\Dados_2025\NEPIAL00215_CURIO\10plots\NEPIAL00215R20-018_27716,laz</t>
  </si>
  <si>
    <t>NEPIAL00215R20-018_27716</t>
  </si>
  <si>
    <t>G:\GEOPROCESSAMENTO\IMAGENS\LiDAR\Dados_2025\NEPIAL00215_CURIO\10plots\NEPIAL00215R20-018_27717,laz</t>
  </si>
  <si>
    <t>NEPIAL00215R20-018_27717</t>
  </si>
  <si>
    <t>G:\GEOPROCESSAMENTO\IMAGENS\LiDAR\Dados_2025\NEPIAL00231_MORRO_DA_CELA\10plots\NEPIAL00231P20-010_27555,laz</t>
  </si>
  <si>
    <t>NEPIAL00231P20-010_27555</t>
  </si>
  <si>
    <t>G:\GEOPROCESSAMENTO\IMAGENS\LiDAR\Dados_2025\NEPIAL00231_MORRO_DA_CELA\10plots\NEPIAL00231P20-010_27556,laz</t>
  </si>
  <si>
    <t>NEPIAL00231P20-010_27556</t>
  </si>
  <si>
    <t>G:\GEOPROCESSAMENTO\IMAGENS\LiDAR\Dados_2025\NEPIAL00231_MORRO_DA_CELA\10plots\NEPIAL00231P20-010_27557,laz</t>
  </si>
  <si>
    <t>NEPIAL00231P20-010_27557</t>
  </si>
  <si>
    <t>G:\GEOPROCESSAMENTO\IMAGENS\LiDAR\Dados_2025\NEPIAL00241_RETIRO\10plots\NEPIAL00241P17-001_25436,laz</t>
  </si>
  <si>
    <t>NEPIAL00241P17-001_25436</t>
  </si>
  <si>
    <t>G:\GEOPROCESSAMENTO\IMAGENS\LiDAR\Dados_2025\NEPIAL00241_RETIRO\10plots\NEPIAL00241P17-001_25438,laz</t>
  </si>
  <si>
    <t>NEPIAL00241P17-001_25438</t>
  </si>
  <si>
    <t>G:\GEOPROCESSAMENTO\IMAGENS\LiDAR\Dados_2025\NEPIAL00241_RETIRO\10plots\NEPIAL00241P17-001_25440,laz</t>
  </si>
  <si>
    <t>NEPIAL00241P17-001_25440</t>
  </si>
  <si>
    <t>G:\GEOPROCESSAMENTO\IMAGENS\LiDAR\Dados_2025\NEPIAL00241_RETIRO\10plots\NEPIAL00241P17-001_30899,laz</t>
  </si>
  <si>
    <t>NEPIAL00241P17-001_30899</t>
  </si>
  <si>
    <t>G:\GEOPROCESSAMENTO\IMAGENS\LiDAR\Dados_2025\NEPIIT00204_SERRINHA\10plots\NEPIIT00204P19-022_27260,laz</t>
  </si>
  <si>
    <t>NEPIIT00204P19-022_27260</t>
  </si>
  <si>
    <t>G:\GEOPROCESSAMENTO\IMAGENS\LiDAR\Dados_2025\NEPIIT00204_SERRINHA\10plots\NEPIIT00204P19-022_30914,laz</t>
  </si>
  <si>
    <t>NEPIIT00204P19-022_30914</t>
  </si>
  <si>
    <t>G:\GEOPROCESSAMENTO\IMAGENS\LiDAR\Dados_2025\NEPIIT00219_DUAS_BARRAS\10plots\NEPIIT00219P21-004_28605,laz</t>
  </si>
  <si>
    <t>NEPIIT00219P21-004_28605</t>
  </si>
  <si>
    <t>G:\GEOPROCESSAMENTO\IMAGENS\LiDAR\Dados_2025\NEPIIT00219_DUAS_BARRAS\10plots\NEPIIT00219P21-005_28609,laz</t>
  </si>
  <si>
    <t>NEPIIT00219P21-005_28609</t>
  </si>
  <si>
    <t>G:\GEOPROCESSAMENTO\IMAGENS\LiDAR\Dados_2025\NEPIIT00219_DUAS_BARRAS\10plots\NEPIIT00219P21-005_28610,laz</t>
  </si>
  <si>
    <t>NEPIIT00219P21-005_28610</t>
  </si>
  <si>
    <t>G:\GEOPROCESSAMENTO\IMAGENS\LiDAR\Dados_2025\NEPIIT00219_DUAS_BARRAS\10plots\NEPIIT00219P21-005_28611,laz</t>
  </si>
  <si>
    <t>NEPIIT00219P21-005_28611</t>
  </si>
  <si>
    <t>G:\GEOPROCESSAMENTO\IMAGENS\LiDAR\Dados_2025\NEPIIT00219_DUAS_BARRAS\10plots\NEPIIT00219P21-011_28602,laz</t>
  </si>
  <si>
    <t>NEPIIT00219P21-011_28602</t>
  </si>
  <si>
    <t>G:\GEOPROCESSAMENTO\IMAGENS\LiDAR\Dados_2025\NEPIIT00233_MORRO_DO_CHAPEU\10plots\NEPIIT00233P18-031_26064,laz</t>
  </si>
  <si>
    <t>NEPIIT00233P18-031_26064</t>
  </si>
  <si>
    <t>G:\GEOPROCESSAMENTO\IMAGENS\LiDAR\Dados_2025\NEPIIT00233_MORRO_DO_CHAPEU\10plots\NEPIIT00233P18-031_26065,laz</t>
  </si>
  <si>
    <t>NEPIIT00233P18-031_26065</t>
  </si>
  <si>
    <t>G:\GEOPROCESSAMENTO\IMAGENS\LiDAR\Dados_2025\NEPIIT00233_MORRO_DO_CHAPEU\10plots\NEPIIT00233P18-031_26066,laz</t>
  </si>
  <si>
    <t>NEPIIT00233P18-031_26066</t>
  </si>
  <si>
    <t>G:\GEOPROCESSAMENTO\IMAGENS\LiDAR\Dados_2025\NESBSB00101_ABERTURA\10plots\NESBSB00101P18-048_26318,laz</t>
  </si>
  <si>
    <t>NESBSB00101P18-048_26318</t>
  </si>
  <si>
    <t>G:\GEOPROCESSAMENTO\IMAGENS\LiDAR\Dados_2025\NESBSB00101_ABERTURA\10plots\NESBSB00101P18-048_26320,laz</t>
  </si>
  <si>
    <t>NESBSB00101P18-048_26320</t>
  </si>
  <si>
    <t>G:\GEOPROCESSAMENTO\IMAGENS\LiDAR\Dados_2025\NESBSB00172_VALERIA_I\10plots\NESBSB00172P17-029_25314,laz</t>
  </si>
  <si>
    <t>NESBSB00172P17-029_25314</t>
  </si>
  <si>
    <t>G:\GEOPROCESSAMENTO\IMAGENS\LiDAR\Dados_2025\NESBSB00172_VALERIA_I\10plots\NESBSB00172P17-029_31057,laz</t>
  </si>
  <si>
    <t>NESBSB00172P17-029_31057</t>
  </si>
  <si>
    <t>G:\GEOPROCESSAMENTO\IMAGENS\LiDAR\Dados_2025\NESBSB00172_VALERIA_I\10plots\NESBSB00172R18-027_26506,laz</t>
  </si>
  <si>
    <t>NESBSB00172R18-027_26506</t>
  </si>
  <si>
    <t>G:\GEOPROCESSAMENTO\IMAGENS\LiDAR\Dados_2025\NESBSB00172_VALERIA_I\10plots\NESBSB00172R18-027_26507,laz</t>
  </si>
  <si>
    <t>NESBSB00172R18-027_26507</t>
  </si>
  <si>
    <t>G:\GEOPROCESSAMENTO\IMAGENS\LiDAR\Dados_2025\NESBSB00172_VALERIA_I\10plots\NESBSB00172R18-027_26508,laz</t>
  </si>
  <si>
    <t>NESBSB00172R18-027_26508</t>
  </si>
  <si>
    <t>G:\GEOPROCESSAMENTO\IMAGENS\LiDAR\Dados_2025\NESBSB00172_VALERIA_I\10plots\NESBSB00172R18-027_31055,laz</t>
  </si>
  <si>
    <t>NESBSB00172R18-027_31055</t>
  </si>
  <si>
    <t>G:\GEOPROCESSAMENTO\IMAGENS\LiDAR\Dados_2025\NESBSB00172_VALERIA_I\10plots\NESBSB00172R18-033_26617,laz</t>
  </si>
  <si>
    <t>NESBSB00172R18-033_26617</t>
  </si>
  <si>
    <t>G:\GEOPROCESSAMENTO\IMAGENS\LiDAR\Dados_2025\NESBSB00173_VALERIA_II\10plots\NESBSB00173R20-040_27977,laz</t>
  </si>
  <si>
    <t>NESBSB00173R20-040_27977</t>
  </si>
  <si>
    <t>G:\GEOPROCESSAMENTO\IMAGENS\LiDAR\Dados_2025\NESBSB00184_GASPAR_I\10plots\NESBSB00184R21-036_28823,laz</t>
  </si>
  <si>
    <t>NESBSB00184R21-036_28823</t>
  </si>
  <si>
    <t>G:\GEOPROCESSAMENTO\IMAGENS\LiDAR\Dados_2025\NESBSB00185_GASPAR_III\10plots\NESBSB00185R21-015_28657,laz</t>
  </si>
  <si>
    <t>NESBSB00185R21-015_28657</t>
  </si>
  <si>
    <t>G:\GEOPROCESSAMENTO\IMAGENS\LiDAR\Dados_2025\NESBSB00185_GASPAR_III\10plots\NESBSB00185R21-015_28659,laz</t>
  </si>
  <si>
    <t>NESBSB00185R21-015_28659</t>
  </si>
  <si>
    <t>G:\GEOPROCESSAMENTO\IMAGENS\LiDAR\Dados_2025\NESBSB00185_GASPAR_III\10plots\NESBSB00185R21-015_28660,laz</t>
  </si>
  <si>
    <t>NESBSB00185R21-015_28660</t>
  </si>
  <si>
    <t>G:\GEOPROCESSAMENTO\IMAGENS\LiDAR\Dados_2025\RDBOBA00461_LAGOA_DA_PRATA\10plots\RDBOBA00461P16-319_24555,laz</t>
  </si>
  <si>
    <t>RDBOBA00461P16-319_24555</t>
  </si>
  <si>
    <t>G:\GEOPROCESSAMENTO\IMAGENS\LiDAR\Dados_2025\RDBOBA00461_LAGOA_DA_PRATA\10plots\RDBOBA00461P16-319_24556,laz</t>
  </si>
  <si>
    <t>RDBOBA00461P16-319_24556</t>
  </si>
  <si>
    <t>G:\GEOPROCESSAMENTO\IMAGENS\LiDAR\Dados_2025\RDBOBA00461_LAGOA_DA_PRATA\10plots\RDBOBA00461P16-319_24557,laz</t>
  </si>
  <si>
    <t>RDBOBA00461P16-319_24557</t>
  </si>
  <si>
    <t>G:\GEOPROCESSAMENTO\IMAGENS\LiDAR\Dados_2025\RDBOBA00461_LAGOA_DA_PRATA\10plots\RDBOBA00461P16-328_24558,laz</t>
  </si>
  <si>
    <t>RDBOBA00461P16-328_24558</t>
  </si>
  <si>
    <t>G:\GEOPROCESSAMENTO\IMAGENS\LiDAR\Dados_2025\RDIPMA00437_MACEDONIA\10plots\RDIPMA00437P20-068_28059,laz</t>
  </si>
  <si>
    <t>RDIPMA00437P20-068_28059</t>
  </si>
  <si>
    <t>G:\GEOPROCESSAMENTO\IMAGENS\LiDAR\Dados_2025\RDIPMA00437_MACEDONIA\10plots\RDIPMA00437P20-068_28060,laz</t>
  </si>
  <si>
    <t>RDIPMA00437P20-068_28060</t>
  </si>
  <si>
    <t>G:\GEOPROCESSAMENTO\IMAGENS\LiDAR\Dados_2025\RDIPMA00437_MACEDONIA\10plots\RDIPMA00437P20-068_28061,laz</t>
  </si>
  <si>
    <t>RDIPMA00437P20-068_28061</t>
  </si>
  <si>
    <t>G:\GEOPROCESSAMENTO\IMAGENS\LiDAR\Dados_2025\RDIPMA00437_MACEDONIA\10plots\RDIPMA00437P20-068_28062,laz</t>
  </si>
  <si>
    <t>RDIPMA00437P20-068_28062</t>
  </si>
  <si>
    <t>G:\GEOPROCESSAMENTO\IMAGENS\LiDAR\Dados_2025\RDIPMA00482_LAGOA_BONITA\10plots\RDIPMA00482P18-005_26620,laz</t>
  </si>
  <si>
    <t>RDIPMA00482P18-005_26620</t>
  </si>
  <si>
    <t>G:\GEOPROCESSAMENTO\IMAGENS\LiDAR\Dados_2025\RDIPMA00482_LAGOA_BONITA\10plots\RDIPMA00482P18-005_26621,laz</t>
  </si>
  <si>
    <t>RDIPMA00482P18-005_26621</t>
  </si>
  <si>
    <t>G:\GEOPROCESSAMENTO\IMAGENS\LiDAR\Dados_2025\RDIPMA00482_LAGOA_BONITA\10plots\RDIPMA00482P18-005_26622,laz</t>
  </si>
  <si>
    <t>RDIPMA00482P18-005_26622</t>
  </si>
  <si>
    <t>G:\GEOPROCESSAMENTO\IMAGENS\LiDAR\Dados_2025\RDIPMA00482_LAGOA_BONITA\10plots\RDIPMA00482P18-005_26623,laz</t>
  </si>
  <si>
    <t>RDIPMA00482P18-005_26623</t>
  </si>
  <si>
    <t>G:\GEOPROCESSAMENTO\IMAGENS\LiDAR\Dados_2025\RDIPMA00482_LAGOA_BONITA\10plots\RDIPMA00482R19-006_27371,laz</t>
  </si>
  <si>
    <t>RDIPMA00482R19-006_27371</t>
  </si>
  <si>
    <t>G:\GEOPROCESSAMENTO\IMAGENS\LiDAR\Dados_2025\RDIPMA00482_LAGOA_BONITA\10plots\RDIPMA00482R19-006_27372,laz</t>
  </si>
  <si>
    <t>RDIPMA00482R19-006_27372</t>
  </si>
  <si>
    <t>G:\GEOPROCESSAMENTO\IMAGENS\LiDAR\Dados_2025\RDIPMA00482_LAGOA_BONITA\10plots\RDIPMA00482R19-006_27373,laz</t>
  </si>
  <si>
    <t>RDIPMA00482R19-006_27373</t>
  </si>
  <si>
    <t>G:\GEOPROCESSAMENTO\IMAGENS\LiDAR\Dados_2025\RDIPMA00482_LAGOA_BONITA\10plots\RDIPMA00482R19-006_27374,laz</t>
  </si>
  <si>
    <t>RDIPMA00482R19-006_27374</t>
  </si>
  <si>
    <t>G:\GEOPROCESSAMENTO\IMAGENS\LiDAR\Dados_2025\RDIPMA00482_LAGOA_BONITA\10plots\RDIPMA00482R19-006_31049,laz</t>
  </si>
  <si>
    <t>RDIPMA00482R19-006_31049</t>
  </si>
  <si>
    <t>G:\GEOPROCESSAMENTO\IMAGENS\LiDAR\Dados_2025\RDIPMA00486_IPABA\10plots\RDIPMA00486P21-003_28534,laz</t>
  </si>
  <si>
    <t>RDIPMA00486P21-003_28534</t>
  </si>
  <si>
    <t>G:\GEOPROCESSAMENTO\IMAGENS\LiDAR\Dados_2025\RDIPMA00486_IPABA\10plots\RDIPMA00486P21-003_28535,laz</t>
  </si>
  <si>
    <t>RDIPMA00486P21-003_28535</t>
  </si>
  <si>
    <t>G:\GEOPROCESSAMENTO\IMAGENS\LiDAR\Dados_2025\RDIPMA00486_IPABA\10plots\RDIPMA00486P21-005_28551,laz</t>
  </si>
  <si>
    <t>RDIPMA00486P21-005_28551</t>
  </si>
  <si>
    <t>G:\GEOPROCESSAMENTO\IMAGENS\LiDAR\Dados_2025\RDIPMA00486_IPABA\10plots\RDIPMA00486P21-005_28552,laz</t>
  </si>
  <si>
    <t>RDIPMA00486P21-005_28552</t>
  </si>
  <si>
    <t>G:\GEOPROCESSAMENTO\IMAGENS\LiDAR\Dados_2025\RDIPMA00486_IPABA\10plots\RDIPMA00486P21-005_28553,laz</t>
  </si>
  <si>
    <t>RDIPMA00486P21-005_28553</t>
  </si>
  <si>
    <t>G:\GEOPROCESSAMENTO\IMAGENS\LiDAR\Dados_2025\RDIPMA00486_IPABA\10plots\RDIPMA00486P21-006_28549,laz</t>
  </si>
  <si>
    <t>RDIPMA00486P21-006_28549</t>
  </si>
  <si>
    <t>G:\GEOPROCESSAMENTO\IMAGENS\LiDAR\Dados_2025\RDIPMA00487_BEIRA_RIO\10plots\RDIPMA00487P16-060_24458,laz</t>
  </si>
  <si>
    <t>RDIPMA00487P16-060_24458</t>
  </si>
  <si>
    <t>G:\GEOPROCESSAMENTO\IMAGENS\LiDAR\Dados_2025\RDIPMA00488_VALE_VERDE\10plots\RDIPMA00488R20-002_27523,laz</t>
  </si>
  <si>
    <t>RDIPMA00488R20-002_27523</t>
  </si>
  <si>
    <t>G:\GEOPROCESSAMENTO\IMAGENS\LiDAR\Dados_2025\RDIPMA00488_VALE_VERDE\10plots\RDIPMA00488R20-002_27524,laz</t>
  </si>
  <si>
    <t>RDIPMA00488R20-002_27524</t>
  </si>
  <si>
    <t>G:\GEOPROCESSAMENTO\IMAGENS\LiDAR\Dados_2025\RDIPMA00488_VALE_VERDE\10plots\RDIPMA00488R20-002_27525,laz</t>
  </si>
  <si>
    <t>RDIPMA00488R20-002_27525</t>
  </si>
  <si>
    <t>G:\GEOPROCESSAMENTO\IMAGENS\LiDAR\Dados_2025\RDIPMA00488_VALE_VERDE\10plots\RDIPMA00488R20-002_27526,laz</t>
  </si>
  <si>
    <t>RDIPMA00488R20-002_27526</t>
  </si>
  <si>
    <t>G:\GEOPROCESSAMENTO\IMAGENS\LiDAR\Dados_2025\RDIPMA00490_RIBEIRAO_DO_BOI\10plots\RDIPMA00490P18-015_26591,laz</t>
  </si>
  <si>
    <t>RDIPMA00490P18-015_26591</t>
  </si>
  <si>
    <t>G:\GEOPROCESSAMENTO\IMAGENS\LiDAR\Dados_2025\RDIPMA00490_RIBEIRAO_DO_BOI\10plots\RDIPMA00490P18-017_26296,laz</t>
  </si>
  <si>
    <t>RDIPMA00490P18-017_26296</t>
  </si>
  <si>
    <t>G:\GEOPROCESSAMENTO\IMAGENS\LiDAR\Dados_2025\RDIPMA00490_RIBEIRAO_DO_BOI\10plots\RDIPMA00490P18-017_26297,laz</t>
  </si>
  <si>
    <t>RDIPMA00490P18-017_26297</t>
  </si>
  <si>
    <t>G:\GEOPROCESSAMENTO\IMAGENS\LiDAR\Dados_2025\RDIPMA00490_RIBEIRAO_DO_BOI\10plots\RDIPMA00490R18-007_26608,laz</t>
  </si>
  <si>
    <t>RDIPMA00490R18-007_26608</t>
  </si>
  <si>
    <t>G:\GEOPROCESSAMENTO\IMAGENS\LiDAR\Dados_2025\RDIPMA00490_RIBEIRAO_DO_BOI\10plots\RDIPMA00490R18-013_26285,laz</t>
  </si>
  <si>
    <t>RDIPMA00490R18-013_26285</t>
  </si>
  <si>
    <t>G:\GEOPROCESSAMENTO\IMAGENS\LiDAR\Dados_2025\RDIPMA00490_RIBEIRAO_DO_BOI\10plots\RDIPMA00490R18-013_26286,laz</t>
  </si>
  <si>
    <t>RDIPMA00490R18-013_26286</t>
  </si>
  <si>
    <t>G:\GEOPROCESSAMENTO\IMAGENS\LiDAR\Dados_2025\RDIPMA00490_RIBEIRAO_DO_BOI\10plots\RDIPMA00490R18-013_26287,laz</t>
  </si>
  <si>
    <t>RDIPMA00490R18-013_26287</t>
  </si>
  <si>
    <t>G:\GEOPROCESSAMENTO\IMAGENS\LiDAR\Dados_2025\RDIPMA00490_RIBEIRAO_DO_BOI\10plots\RDIPMA00490R18-013_31085,laz</t>
  </si>
  <si>
    <t>RDIPMA00490R18-013_31085</t>
  </si>
  <si>
    <t>G:\GEOPROCESSAMENTO\IMAGENS\LiDAR\Dados_2025\RDIPMA00493_CORREGO_NOVO\10plots\RDIPMA00493P16-008_24439,laz</t>
  </si>
  <si>
    <t>RDIPMA00493P16-008_24439</t>
  </si>
  <si>
    <t>G:\GEOPROCESSAMENTO\IMAGENS\LiDAR\Dados_2025\RDIPMA00493_CORREGO_NOVO\10plots\RDIPMA00493P16-008_24440,laz</t>
  </si>
  <si>
    <t>RDIPMA00493P16-008_24440</t>
  </si>
  <si>
    <t>G:\GEOPROCESSAMENTO\IMAGENS\LiDAR\Dados_2025\RDIPMA00493_CORREGO_NOVO\10plots\RDIPMA00493P16-008_24441,laz</t>
  </si>
  <si>
    <t>RDIPMA00493P16-008_24441</t>
  </si>
  <si>
    <t>G:\GEOPROCESSAMENTO\IMAGENS\LiDAR\Dados_2025\RDIPPD00473_LAGOA_TIRIRICA\10plots\RDIPPD00473R19-011_30976,laz</t>
  </si>
  <si>
    <t>RDIPPD00473R19-011_30976</t>
  </si>
  <si>
    <t>G:\GEOPROCESSAMENTO\IMAGENS\LiDAR\Dados_2025\RDIPPD00473_LAGOA_TIRIRICA\10plots\RDIPPD00473R20-020_27536,laz</t>
  </si>
  <si>
    <t>RDIPPD00473R20-020_27536</t>
  </si>
  <si>
    <t>G:\GEOPROCESSAMENTO\IMAGENS\LiDAR\Dados_2025\RDIPPD00473_LAGOA_TIRIRICA\10plots\RDIPPD00473R20-020_27537,laz</t>
  </si>
  <si>
    <t>RDIPPD00473R20-020_27537</t>
  </si>
  <si>
    <t>G:\GEOPROCESSAMENTO\IMAGENS\LiDAR\Dados_2025\RDIPPD00473_LAGOA_TIRIRICA\10plots\RDIPPD00473R20-020_27538,laz</t>
  </si>
  <si>
    <t>RDIPPD00473R20-020_27538</t>
  </si>
  <si>
    <t>G:\GEOPROCESSAMENTO\IMAGENS\LiDAR\Dados_2025\RDIPPD00473_LAGOA_TIRIRICA\10plots\RDIPPD00473R20-020_30974,laz</t>
  </si>
  <si>
    <t>RDIPPD00473R20-020_30974</t>
  </si>
  <si>
    <t>G:\GEOPROCESSAMENTO\IMAGENS\LiDAR\Dados_2025\RDPOPO00426_COIO\10plots\RDPOPO00426P17-006_25767,laz</t>
  </si>
  <si>
    <t>RDPOPO00426P17-006_25767</t>
  </si>
  <si>
    <t>G:\GEOPROCESSAMENTO\IMAGENS\LiDAR\Dados_2025\RDPOPO00426_COIO\10plots\RDPOPO00426P17-006_25771,laz</t>
  </si>
  <si>
    <t>RDPOPO00426P17-006_25771</t>
  </si>
  <si>
    <t>G:\GEOPROCESSAMENTO\IMAGENS\LiDAR\Dados_2025\RDPOPO00426_COIO\10plots\RDPOPO00426P17-006_30809,laz</t>
  </si>
  <si>
    <t>RDPOPO00426P17-006_30809</t>
  </si>
  <si>
    <t>G:\GEOPROCESSAMENTO\IMAGENS\LiDAR\Dados_2025\RDPOPO00426_COIO\10plots\RDPOPO00426P17-006_30810,laz</t>
  </si>
  <si>
    <t>RDPOPO00426P17-006_30810</t>
  </si>
  <si>
    <t>G:\GEOPROCESSAMENTO\IMAGENS\LiDAR\Dados_2025\RDPOPO00426_COIO\10plots\RDPOPO00426P17-006_30983,laz</t>
  </si>
  <si>
    <t>RDPOPO00426P17-006_30983</t>
  </si>
  <si>
    <t>Sobrevoo</t>
  </si>
  <si>
    <t>GNSACR00615R21-002</t>
  </si>
  <si>
    <t>GNSACR00626R19-011</t>
  </si>
  <si>
    <t>GNSACR00650R20-092</t>
  </si>
  <si>
    <t>GNSAPE00583R20-001</t>
  </si>
  <si>
    <t>GNSAPE00611P20-008</t>
  </si>
  <si>
    <t>GNSAPE00647R21-046</t>
  </si>
  <si>
    <t>GNSAPE00647R22-049</t>
  </si>
  <si>
    <t>GNSAPE00671P20-004</t>
  </si>
  <si>
    <t>GNVIVI00514P20-031</t>
  </si>
  <si>
    <t>GNVIVI00516P22-001</t>
  </si>
  <si>
    <t>GNVIVI00534P19-029</t>
  </si>
  <si>
    <t>GNVIVI00538P20-008</t>
  </si>
  <si>
    <t>GNVIVI00542P21-008</t>
  </si>
  <si>
    <t>GNVIVI00542P21-022</t>
  </si>
  <si>
    <t>GNVIVI00542P21-031</t>
  </si>
  <si>
    <t>GNVIVI00545P22-030</t>
  </si>
  <si>
    <t>GNVIVI00545P22-037</t>
  </si>
  <si>
    <t>GNVIVI00562P16-065</t>
  </si>
  <si>
    <t>NECOCA00310P21-432</t>
  </si>
  <si>
    <t>NECOCA00312R20-350</t>
  </si>
  <si>
    <t>NECOCA00325R16-104</t>
  </si>
  <si>
    <t>NECOCA00325R16-115</t>
  </si>
  <si>
    <t>NECOCA00328R20-002</t>
  </si>
  <si>
    <t>NECOCA00369R22-475</t>
  </si>
  <si>
    <t>NECOCA00372P21-492</t>
  </si>
  <si>
    <t>NECOCA00372R21-487</t>
  </si>
  <si>
    <t>NECOCA00375R18-003</t>
  </si>
  <si>
    <t>NECOCA00375R18-004</t>
  </si>
  <si>
    <t>NECOCE00302P17-062</t>
  </si>
  <si>
    <t>NECOCE00302P17-063</t>
  </si>
  <si>
    <t>NECOCE00302R17-012</t>
  </si>
  <si>
    <t>NECOCE00302R17-060</t>
  </si>
  <si>
    <t>NECOCE00317R19-302</t>
  </si>
  <si>
    <t>NECOCE00347R21-331</t>
  </si>
  <si>
    <t>NECOCE00354R18-270</t>
  </si>
  <si>
    <t>NECOCE00355R22-353</t>
  </si>
  <si>
    <t>NECOCE00365R18-371</t>
  </si>
  <si>
    <t>NEPIAL00201P17-003</t>
  </si>
  <si>
    <t>NEPIAL00202P21-036</t>
  </si>
  <si>
    <t>NEPIAL00205R20-001</t>
  </si>
  <si>
    <t>NEPIAL00208P16-101</t>
  </si>
  <si>
    <t>NEPIAL00208P16-142</t>
  </si>
  <si>
    <t>NEPIAL00208P22-122</t>
  </si>
  <si>
    <t>NEPIAL00208R16-102</t>
  </si>
  <si>
    <t>NEPIAL00208R21-114</t>
  </si>
  <si>
    <t>NEPIAL00211P20-097</t>
  </si>
  <si>
    <t>NEPIAL00211R20-124</t>
  </si>
  <si>
    <t>NEPIAL00215R20-018</t>
  </si>
  <si>
    <t>NEPIAL00231P20-010</t>
  </si>
  <si>
    <t>NEPIAL00241P17-001</t>
  </si>
  <si>
    <t>NEPIIT00204P19-022</t>
  </si>
  <si>
    <t>NEPIIT00219P21-004</t>
  </si>
  <si>
    <t>NEPIIT00219P21-005</t>
  </si>
  <si>
    <t>NEPIIT00219P21-011</t>
  </si>
  <si>
    <t>NEPIIT00233P18-031</t>
  </si>
  <si>
    <t>NESBSB00101P18-048</t>
  </si>
  <si>
    <t>NESBSB00172P17-029</t>
  </si>
  <si>
    <t>NESBSB00172R18-033</t>
  </si>
  <si>
    <t>NESBSB00173R20-040</t>
  </si>
  <si>
    <t>NESBSB00184R21-036</t>
  </si>
  <si>
    <t>NESBSB00185R21-015</t>
  </si>
  <si>
    <t>RDBOBA00461P16-319</t>
  </si>
  <si>
    <t>RDBOBA00461P16-328</t>
  </si>
  <si>
    <t>RDIPMA00437P20-068</t>
  </si>
  <si>
    <t>RDIPMA00482P18-005</t>
  </si>
  <si>
    <t>RDIPMA00482R19-006</t>
  </si>
  <si>
    <t>RDIPMA00486P21-003</t>
  </si>
  <si>
    <t>RDIPMA00486P21-005</t>
  </si>
  <si>
    <t>RDIPMA00486P21-006</t>
  </si>
  <si>
    <t>RDIPMA00487P16-060</t>
  </si>
  <si>
    <t>RDIPMA00488R20-002</t>
  </si>
  <si>
    <t>RDIPMA00490P18-015</t>
  </si>
  <si>
    <t>RDIPMA00490R18-007</t>
  </si>
  <si>
    <t>RDIPMA00490R18-013</t>
  </si>
  <si>
    <t>RDIPPD00473R19-011</t>
  </si>
  <si>
    <t>RDIPPD00473R20-020</t>
  </si>
  <si>
    <t>Candeias</t>
  </si>
  <si>
    <t>Rio Guanhães</t>
  </si>
  <si>
    <t>Córrego Dantas</t>
  </si>
  <si>
    <t>Barreiras</t>
  </si>
  <si>
    <t>Quartel</t>
  </si>
  <si>
    <t>Fazenda Taquaral</t>
  </si>
  <si>
    <t>Córrego das Pedras</t>
  </si>
  <si>
    <t>Caraúna</t>
  </si>
  <si>
    <t>Godinho</t>
  </si>
  <si>
    <t>Horácio</t>
  </si>
  <si>
    <t>Jacutinga II</t>
  </si>
  <si>
    <t>Macuco Queixada</t>
  </si>
  <si>
    <t>São Leonardo II</t>
  </si>
  <si>
    <t>Barrinha</t>
  </si>
  <si>
    <t>Cocais dos Arrudas II</t>
  </si>
  <si>
    <t>Cumeeira</t>
  </si>
  <si>
    <t>Gamela</t>
  </si>
  <si>
    <t>Pinhão</t>
  </si>
  <si>
    <t>Trindade</t>
  </si>
  <si>
    <t>Baratinha</t>
  </si>
  <si>
    <t>Alto da Pedra</t>
  </si>
  <si>
    <t>Capelinha</t>
  </si>
  <si>
    <t>Pedra Branca</t>
  </si>
  <si>
    <t>Santa Clara</t>
  </si>
  <si>
    <t>Santa Juliana</t>
  </si>
  <si>
    <t>Água Limpa</t>
  </si>
  <si>
    <t>Bicudos II</t>
  </si>
  <si>
    <t>Bom Retiro</t>
  </si>
  <si>
    <t>Morro Agudo</t>
  </si>
  <si>
    <t>Curió</t>
  </si>
  <si>
    <t>Morro da Cela</t>
  </si>
  <si>
    <t>Retiro</t>
  </si>
  <si>
    <t>Serrinha</t>
  </si>
  <si>
    <t>Duas Barras</t>
  </si>
  <si>
    <t>Morro do Chapéu</t>
  </si>
  <si>
    <t>Abertura</t>
  </si>
  <si>
    <t>Gaspar I</t>
  </si>
  <si>
    <t>Gaspar III</t>
  </si>
  <si>
    <t>Lagoa da Prata</t>
  </si>
  <si>
    <t>Lagoa Bonita</t>
  </si>
  <si>
    <t>Vale Verde</t>
  </si>
  <si>
    <t>NECOCE00366P09</t>
  </si>
  <si>
    <t>NEPIPC00220P09</t>
  </si>
  <si>
    <t>NEPIIT09161R10</t>
  </si>
  <si>
    <t>GNVIVI00518P10</t>
  </si>
  <si>
    <t>GNVIVI00518R10</t>
  </si>
  <si>
    <t>RDIPPD00477R11</t>
  </si>
  <si>
    <t>RDBOBA00466P11</t>
  </si>
  <si>
    <t>RDIPPD00474P12</t>
  </si>
  <si>
    <t>RDIPMA00487R12</t>
  </si>
  <si>
    <t>GNSACR00627P12</t>
  </si>
  <si>
    <t>RDIPPD00471P12</t>
  </si>
  <si>
    <t>NEPIAL00242P13</t>
  </si>
  <si>
    <t>RDBOBA00458R13</t>
  </si>
  <si>
    <t>NEPIIT09174R13</t>
  </si>
  <si>
    <t>NECOCE00336R13</t>
  </si>
  <si>
    <t>RDBOBA00465P13</t>
  </si>
  <si>
    <t>RDBOBA00465R13</t>
  </si>
  <si>
    <t>GNVIVI00587R14</t>
  </si>
  <si>
    <t>GNVIVI00565P14</t>
  </si>
  <si>
    <t>GNSAPE00613R14</t>
  </si>
  <si>
    <t>NEPIPC00245R14</t>
  </si>
  <si>
    <t>NEPIAL00242P14</t>
  </si>
  <si>
    <t>NEPIPC00214P14</t>
  </si>
  <si>
    <t>NECOCA00351R14</t>
  </si>
  <si>
    <t>NECOCE00335P14</t>
  </si>
  <si>
    <t>NECOCE00319R14</t>
  </si>
  <si>
    <t>RDIPMA00480R14</t>
  </si>
  <si>
    <t>RDIPPD00474P14</t>
  </si>
  <si>
    <t>RDPOPO00443P14</t>
  </si>
  <si>
    <t>RDPOPO00440R14</t>
  </si>
  <si>
    <t>RDBOBA00412P14</t>
  </si>
  <si>
    <t>NEPIIT09144P15</t>
  </si>
  <si>
    <t>NEPIPC00238P15</t>
  </si>
  <si>
    <t>NEPIIT00234P15</t>
  </si>
  <si>
    <t>NEPIPC00225R15</t>
  </si>
  <si>
    <t>NEPIPC00225P15</t>
  </si>
  <si>
    <t>NECOCA00351P15</t>
  </si>
  <si>
    <t>NECOCA00351R15</t>
  </si>
  <si>
    <t>GNVIVI00505P15</t>
  </si>
  <si>
    <t>GNVIVI00505R15</t>
  </si>
  <si>
    <t>GNSACR00682P15</t>
  </si>
  <si>
    <t>GNSACR00681P15</t>
  </si>
  <si>
    <t>GNSAPE00613R15</t>
  </si>
  <si>
    <t>RDPOPO00406P15</t>
  </si>
  <si>
    <t>RDBOBA00405P15</t>
  </si>
  <si>
    <t>RDIPMA00480P15</t>
  </si>
  <si>
    <t>RDIPPD00477R15</t>
  </si>
  <si>
    <t>RDIPPD00476P15</t>
  </si>
  <si>
    <t>RDIPPD00477R16</t>
  </si>
  <si>
    <t>RDIPPD00474P16</t>
  </si>
  <si>
    <t>RDIPMA00492P16</t>
  </si>
  <si>
    <t>RDIPMA00493P16</t>
  </si>
  <si>
    <t>RDPOPO00455P16</t>
  </si>
  <si>
    <t>RDPOPO00444P16</t>
  </si>
  <si>
    <t>RDPOPO00441R16</t>
  </si>
  <si>
    <t>RDBOBA00469R16</t>
  </si>
  <si>
    <t>RDBOBA00465P16</t>
  </si>
  <si>
    <t>GNVIVI00582P16</t>
  </si>
  <si>
    <t>GNVIVI00582R16</t>
  </si>
  <si>
    <t>GNSASA00655P16</t>
  </si>
  <si>
    <t>GNSASA00655R16</t>
  </si>
  <si>
    <t>GNSAPE00613R16</t>
  </si>
  <si>
    <t>GNSASA00609P16</t>
  </si>
  <si>
    <t>NECOCE00359P16</t>
  </si>
  <si>
    <t>NECOCA00356P16</t>
  </si>
  <si>
    <t>NECOCA00356R16</t>
  </si>
  <si>
    <t>NECOCA00349R16</t>
  </si>
  <si>
    <t>NEPIAL00242P16</t>
  </si>
  <si>
    <t>NEPIPC00238P16</t>
  </si>
  <si>
    <t>NEPIPC00238R16</t>
  </si>
  <si>
    <t>NEPIAL00227P16</t>
  </si>
  <si>
    <t>NEPIAL00202P16</t>
  </si>
  <si>
    <t>NESBSB00122P17</t>
  </si>
  <si>
    <t>NESBSB00172R17</t>
  </si>
  <si>
    <t>NESBSB00172P17</t>
  </si>
  <si>
    <t>RDIPPD00474P17</t>
  </si>
  <si>
    <t>RDIPPD00474R17</t>
  </si>
  <si>
    <t>NEPIIT09174R17</t>
  </si>
  <si>
    <t>NEPIIT09174P17</t>
  </si>
  <si>
    <t>NEPIIT00234P17</t>
  </si>
  <si>
    <t>RDIPMA00492R17</t>
  </si>
  <si>
    <t>NECOCE00335P17</t>
  </si>
  <si>
    <t>NECOCE00319R17</t>
  </si>
  <si>
    <t>RDPOPO00426P17</t>
  </si>
  <si>
    <t>RDPOPO00443R17</t>
  </si>
  <si>
    <t>GNSASA00655P17</t>
  </si>
  <si>
    <t>GNVIVI00586R17</t>
  </si>
  <si>
    <t>GNSASA00653R17</t>
  </si>
  <si>
    <t>NECOCA00353P18</t>
  </si>
  <si>
    <t>NECOCE00365P18</t>
  </si>
  <si>
    <t>NECOCE00336R18</t>
  </si>
  <si>
    <t>RDBOBA00402P18</t>
  </si>
  <si>
    <t>RDIPMA00490P18</t>
  </si>
  <si>
    <t>GNVIVI00526P18</t>
  </si>
  <si>
    <t>RDIPMA00492P18</t>
  </si>
  <si>
    <t>GNVIVI00565P18</t>
  </si>
  <si>
    <t>RDIPPD00471R18</t>
  </si>
  <si>
    <t>GNVIVI00561R18</t>
  </si>
  <si>
    <t>NECOCE00327P18</t>
  </si>
  <si>
    <t>RDIPPD00476P18</t>
  </si>
  <si>
    <t>NECOCA00353R18</t>
  </si>
  <si>
    <t>NESBSB00172R18</t>
  </si>
  <si>
    <t>NEPIIT00221R18</t>
  </si>
  <si>
    <t>NESBSB00172P18</t>
  </si>
  <si>
    <t>NEPIPC00222P18</t>
  </si>
  <si>
    <t>NEPIPC00222R18</t>
  </si>
  <si>
    <t>NESBSB00173R18</t>
  </si>
  <si>
    <t>GNSASA00635R18</t>
  </si>
  <si>
    <t>NESBSB00104R19</t>
  </si>
  <si>
    <t>RDIPPD00476P19</t>
  </si>
  <si>
    <t>RDIPPD00473R19</t>
  </si>
  <si>
    <t>NECOCE00305P19</t>
  </si>
  <si>
    <t>GNSASA00625P19</t>
  </si>
  <si>
    <t>NECOCE00305R19</t>
  </si>
  <si>
    <t>GNSACR00626P19</t>
  </si>
  <si>
    <t>NESBSB00172P19</t>
  </si>
  <si>
    <t>RDIPMA00487R19</t>
  </si>
  <si>
    <t>GNSACR00615R21</t>
  </si>
  <si>
    <t>GNSACR00615</t>
  </si>
  <si>
    <t>GNSACR00626R19</t>
  </si>
  <si>
    <t>GNSACR00650R20</t>
  </si>
  <si>
    <t>GNSACR00650</t>
  </si>
  <si>
    <t>GNSAPE00583R20</t>
  </si>
  <si>
    <t>GNSAPE00583</t>
  </si>
  <si>
    <t>GNSAPE00611P20</t>
  </si>
  <si>
    <t>GNSAPE00611</t>
  </si>
  <si>
    <t>GNSAPE00647R21</t>
  </si>
  <si>
    <t>GNSAPE00647</t>
  </si>
  <si>
    <t>GNSAPE00647R22</t>
  </si>
  <si>
    <t>GNSAPE00671P20</t>
  </si>
  <si>
    <t>GNSAPE00671</t>
  </si>
  <si>
    <t>GNVIVI00514P20</t>
  </si>
  <si>
    <t>GNVIVI00514</t>
  </si>
  <si>
    <t>GNVIVI00516P22</t>
  </si>
  <si>
    <t>GNVIVI00516</t>
  </si>
  <si>
    <t>GNVIVI00534P19</t>
  </si>
  <si>
    <t>GNVIVI00534</t>
  </si>
  <si>
    <t>GNVIVI00538P20</t>
  </si>
  <si>
    <t>GNVIVI00538</t>
  </si>
  <si>
    <t>GNVIVI00542P21</t>
  </si>
  <si>
    <t>GNVIVI00542</t>
  </si>
  <si>
    <t>GNVIVI00545P22</t>
  </si>
  <si>
    <t>GNVIVI00545</t>
  </si>
  <si>
    <t>GNVIVI00562P16</t>
  </si>
  <si>
    <t>GNVIVI00562</t>
  </si>
  <si>
    <t>NECOCA00310P21</t>
  </si>
  <si>
    <t>NECOCA00310</t>
  </si>
  <si>
    <t>NECOCA00312R20</t>
  </si>
  <si>
    <t>NECOCA00312</t>
  </si>
  <si>
    <t>NECOCA00325R16</t>
  </si>
  <si>
    <t>NECOCA00325</t>
  </si>
  <si>
    <t>NECOCA00328R20</t>
  </si>
  <si>
    <t>3,00 x 2,80</t>
  </si>
  <si>
    <t>NECOCA00328</t>
  </si>
  <si>
    <t>NECOCA00369R22</t>
  </si>
  <si>
    <t>NECOCA00369</t>
  </si>
  <si>
    <t>NECOCA00372P21</t>
  </si>
  <si>
    <t>NECOCA00372</t>
  </si>
  <si>
    <t>NECOCA00372R21</t>
  </si>
  <si>
    <t>NECOCA00375R18</t>
  </si>
  <si>
    <t>NECOCA00375</t>
  </si>
  <si>
    <t>NECOCE00302P17</t>
  </si>
  <si>
    <t>NECOCE00302</t>
  </si>
  <si>
    <t>NECOCE00302R17</t>
  </si>
  <si>
    <t>CNB008</t>
  </si>
  <si>
    <t>NECOCE00317R19</t>
  </si>
  <si>
    <t>NECOCE00317</t>
  </si>
  <si>
    <t>NECOCE00347R21</t>
  </si>
  <si>
    <t>NECOCE00347</t>
  </si>
  <si>
    <t>NECOCE00354R18</t>
  </si>
  <si>
    <t>NECOCE00354</t>
  </si>
  <si>
    <t>NECOCE00355R22</t>
  </si>
  <si>
    <t>NECOCE00355</t>
  </si>
  <si>
    <t>NECOCE00365R18</t>
  </si>
  <si>
    <t>NEPIAL00201P17</t>
  </si>
  <si>
    <t>NEPIAL00201</t>
  </si>
  <si>
    <t>NEPIAL00202P21</t>
  </si>
  <si>
    <t>NEPIAL00205R20</t>
  </si>
  <si>
    <t>NEPIAL00205</t>
  </si>
  <si>
    <t>NEPIAL00208P16</t>
  </si>
  <si>
    <t>NEPIAL00208</t>
  </si>
  <si>
    <t>NEPIAL00208P22</t>
  </si>
  <si>
    <t>NEPIAL00208R16</t>
  </si>
  <si>
    <t>NEPIAL00208R21</t>
  </si>
  <si>
    <t>NEPIAL00211P20</t>
  </si>
  <si>
    <t>NEPIAL00211</t>
  </si>
  <si>
    <t>NEPIAL00211R20</t>
  </si>
  <si>
    <t>NEPIAL00215R20</t>
  </si>
  <si>
    <t>NEPIAL00215</t>
  </si>
  <si>
    <t>NEPIAL00231P20</t>
  </si>
  <si>
    <t>NEPIAL00231</t>
  </si>
  <si>
    <t>NEPIAL00241P17</t>
  </si>
  <si>
    <t>NEPIAL00241</t>
  </si>
  <si>
    <t>NEPIIT00204P19</t>
  </si>
  <si>
    <t>NEPIIT00204</t>
  </si>
  <si>
    <t>NEPIIT00219P21</t>
  </si>
  <si>
    <t>CNB034</t>
  </si>
  <si>
    <t>NEPIIT00219</t>
  </si>
  <si>
    <t>NEPIIT00233P18</t>
  </si>
  <si>
    <t>NEPIIT00233</t>
  </si>
  <si>
    <t>NESBSB00101P18</t>
  </si>
  <si>
    <t>NESBSB00101</t>
  </si>
  <si>
    <t>NESBSB00173R20</t>
  </si>
  <si>
    <t>NESBSB00184R21</t>
  </si>
  <si>
    <t>NESBSB00184</t>
  </si>
  <si>
    <t>NESBSB00185R21</t>
  </si>
  <si>
    <t>NESBSB00185</t>
  </si>
  <si>
    <t>RDBOBA00461P16</t>
  </si>
  <si>
    <t>RDBOBA00461</t>
  </si>
  <si>
    <t>RDIPMA00437P20</t>
  </si>
  <si>
    <t>RDIPMA00437</t>
  </si>
  <si>
    <t>RDIPMA00482P18</t>
  </si>
  <si>
    <t>RDIPMA00482</t>
  </si>
  <si>
    <t>RDIPMA00482R19</t>
  </si>
  <si>
    <t>CNB003</t>
  </si>
  <si>
    <t>RDIPMA00486P21</t>
  </si>
  <si>
    <t>RDIPMA00486</t>
  </si>
  <si>
    <t>RDIPMA00487P16</t>
  </si>
  <si>
    <t>RDIPMA00488R20</t>
  </si>
  <si>
    <t>RDIPMA00488</t>
  </si>
  <si>
    <t>RDIPMA00490R18</t>
  </si>
  <si>
    <t>RDIPPD00473R20</t>
  </si>
  <si>
    <t>Arrendada</t>
  </si>
  <si>
    <t>CXbd1+FFef</t>
  </si>
  <si>
    <t>CXbd1+RRd2</t>
  </si>
  <si>
    <t>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</si>
</sst>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" fontId="1" fillId="0" borderId="0" xfId="0" applyNumberFormat="1" applyFont="1"/>
    <xf numFmtId="2" fontId="1" fillId="0" borderId="0" xfId="0" applyNumberFormat="1" applyFont="1"/>
    <xf numFmtId="3" fontId="1" fillId="0" borderId="0" xfId="0" applyNumberFormat="1" applyFont="1"/>
    <xf numFmtId="0" fontId="2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R513"/>
  <sheetViews>
    <sheetView tabSelected="1" topLeftCell="C1" workbookViewId="0">
      <pane ySplit="1" topLeftCell="A2" activePane="bottomLeft" state="frozen"/>
      <selection activeCell="CF1" sqref="CF1"/>
      <selection pane="bottomLeft" activeCell="P2" sqref="P2:P513"/>
    </sheetView>
  </sheetViews>
  <sheetFormatPr defaultRowHeight="12" x14ac:dyDescent="0.2"/>
  <cols>
    <col min="1" max="1" width="8.140625" style="1" bestFit="1" customWidth="1"/>
    <col min="2" max="2" width="13" style="1" bestFit="1" customWidth="1"/>
    <col min="3" max="4" width="22.85546875" style="1" bestFit="1" customWidth="1"/>
    <col min="5" max="5" width="10.7109375" style="1" bestFit="1" customWidth="1"/>
    <col min="6" max="6" width="15.85546875" style="1" bestFit="1" customWidth="1"/>
    <col min="7" max="7" width="18.85546875" style="1" bestFit="1" customWidth="1"/>
    <col min="8" max="8" width="18.28515625" style="1" bestFit="1" customWidth="1"/>
    <col min="9" max="9" width="16.85546875" style="1" bestFit="1" customWidth="1"/>
    <col min="10" max="10" width="16.140625" style="1" bestFit="1" customWidth="1"/>
    <col min="11" max="11" width="19.7109375" style="1" bestFit="1" customWidth="1"/>
    <col min="12" max="12" width="17" style="1" bestFit="1" customWidth="1"/>
    <col min="13" max="13" width="15.85546875" style="1" bestFit="1" customWidth="1"/>
    <col min="14" max="14" width="9.5703125" style="1" bestFit="1" customWidth="1"/>
    <col min="15" max="15" width="12.5703125" style="1" bestFit="1" customWidth="1"/>
    <col min="16" max="16" width="12.5703125" style="1" customWidth="1"/>
    <col min="17" max="17" width="18" style="1" bestFit="1" customWidth="1"/>
    <col min="18" max="18" width="16.42578125" style="1" bestFit="1" customWidth="1"/>
    <col min="19" max="19" width="13.5703125" style="1" bestFit="1" customWidth="1"/>
    <col min="20" max="20" width="12.28515625" style="1" bestFit="1" customWidth="1"/>
    <col min="21" max="21" width="16.5703125" style="1" bestFit="1" customWidth="1"/>
    <col min="22" max="22" width="23.140625" style="1" bestFit="1" customWidth="1"/>
    <col min="23" max="23" width="17.28515625" style="1" bestFit="1" customWidth="1"/>
    <col min="24" max="24" width="18.85546875" style="1" bestFit="1" customWidth="1"/>
    <col min="25" max="25" width="13.85546875" style="1" bestFit="1" customWidth="1"/>
    <col min="26" max="26" width="18.28515625" style="1" bestFit="1" customWidth="1"/>
    <col min="27" max="27" width="15.140625" style="1" bestFit="1" customWidth="1"/>
    <col min="28" max="28" width="13.85546875" style="1" bestFit="1" customWidth="1"/>
    <col min="29" max="29" width="14.140625" style="1" bestFit="1" customWidth="1"/>
    <col min="30" max="30" width="12.42578125" style="1" bestFit="1" customWidth="1"/>
    <col min="31" max="31" width="19.140625" style="1" bestFit="1" customWidth="1"/>
    <col min="32" max="33" width="15.5703125" style="1" bestFit="1" customWidth="1"/>
    <col min="34" max="34" width="14.28515625" style="1" bestFit="1" customWidth="1"/>
    <col min="35" max="35" width="15.42578125" style="1" bestFit="1" customWidth="1"/>
    <col min="36" max="36" width="17" style="1" bestFit="1" customWidth="1"/>
    <col min="37" max="37" width="16.5703125" style="1" bestFit="1" customWidth="1"/>
    <col min="38" max="38" width="12.5703125" style="1" bestFit="1" customWidth="1"/>
    <col min="39" max="39" width="15" style="1" bestFit="1" customWidth="1"/>
    <col min="40" max="40" width="14.7109375" style="1" bestFit="1" customWidth="1"/>
    <col min="41" max="41" width="16.85546875" style="1" bestFit="1" customWidth="1"/>
    <col min="42" max="43" width="11" style="1" bestFit="1" customWidth="1"/>
    <col min="44" max="44" width="11.85546875" style="1" bestFit="1" customWidth="1"/>
    <col min="45" max="45" width="11" style="1" bestFit="1" customWidth="1"/>
    <col min="46" max="46" width="13" style="1" bestFit="1" customWidth="1"/>
    <col min="47" max="47" width="107.42578125" style="1" bestFit="1" customWidth="1"/>
    <col min="48" max="48" width="22.85546875" style="1" bestFit="1" customWidth="1"/>
    <col min="49" max="49" width="18.28515625" style="1" bestFit="1" customWidth="1"/>
    <col min="50" max="58" width="15.85546875" style="1" bestFit="1" customWidth="1"/>
    <col min="59" max="59" width="18.7109375" style="1" bestFit="1" customWidth="1"/>
    <col min="60" max="60" width="15.85546875" style="1" bestFit="1" customWidth="1"/>
    <col min="61" max="61" width="16.28515625" style="1" bestFit="1" customWidth="1"/>
    <col min="62" max="63" width="13" style="1" bestFit="1" customWidth="1"/>
    <col min="64" max="64" width="13.7109375" style="1" bestFit="1" customWidth="1"/>
    <col min="65" max="65" width="15" style="1" bestFit="1" customWidth="1"/>
    <col min="66" max="66" width="10.85546875" style="1" bestFit="1" customWidth="1"/>
    <col min="67" max="67" width="10.5703125" style="1" bestFit="1" customWidth="1"/>
    <col min="68" max="68" width="15.85546875" style="1" bestFit="1" customWidth="1"/>
    <col min="69" max="69" width="14.5703125" style="1" bestFit="1" customWidth="1"/>
    <col min="70" max="70" width="12.140625" style="1" bestFit="1" customWidth="1"/>
    <col min="71" max="71" width="18.42578125" style="1" bestFit="1" customWidth="1"/>
    <col min="72" max="72" width="17" style="1" bestFit="1" customWidth="1"/>
    <col min="73" max="76" width="10.5703125" style="1" bestFit="1" customWidth="1"/>
    <col min="77" max="77" width="12" style="1" bestFit="1" customWidth="1"/>
    <col min="78" max="78" width="17" style="1" bestFit="1" customWidth="1"/>
    <col min="79" max="79" width="15.7109375" style="1" bestFit="1" customWidth="1"/>
    <col min="80" max="94" width="11.5703125" style="1" bestFit="1" customWidth="1"/>
    <col min="95" max="95" width="18.7109375" style="1" bestFit="1" customWidth="1"/>
    <col min="96" max="96" width="19.85546875" style="1" bestFit="1" customWidth="1"/>
    <col min="97" max="97" width="21.85546875" style="1" bestFit="1" customWidth="1"/>
    <col min="98" max="98" width="14.7109375" style="1" bestFit="1" customWidth="1"/>
    <col min="99" max="99" width="15.140625" style="1" bestFit="1" customWidth="1"/>
    <col min="100" max="101" width="11.85546875" style="1" bestFit="1" customWidth="1"/>
    <col min="102" max="102" width="12.5703125" style="1" bestFit="1" customWidth="1"/>
    <col min="103" max="103" width="13.85546875" style="1" bestFit="1" customWidth="1"/>
    <col min="104" max="104" width="9.7109375" style="1" bestFit="1" customWidth="1"/>
    <col min="105" max="105" width="9.42578125" style="1" bestFit="1" customWidth="1"/>
    <col min="106" max="106" width="14.7109375" style="1" bestFit="1" customWidth="1"/>
    <col min="107" max="107" width="13.42578125" style="1" bestFit="1" customWidth="1"/>
    <col min="108" max="108" width="11" style="1" bestFit="1" customWidth="1"/>
    <col min="109" max="112" width="9.42578125" style="1" bestFit="1" customWidth="1"/>
    <col min="113" max="113" width="10.85546875" style="1" bestFit="1" customWidth="1"/>
    <col min="114" max="114" width="15.85546875" style="1" bestFit="1" customWidth="1"/>
    <col min="115" max="115" width="14.5703125" style="1" bestFit="1" customWidth="1"/>
    <col min="116" max="130" width="10.42578125" style="1" bestFit="1" customWidth="1"/>
    <col min="131" max="131" width="30.85546875" style="1" bestFit="1" customWidth="1"/>
    <col min="132" max="132" width="29.5703125" style="1" bestFit="1" customWidth="1"/>
    <col min="133" max="133" width="42.28515625" style="1" bestFit="1" customWidth="1"/>
    <col min="134" max="134" width="22.5703125" style="1" bestFit="1" customWidth="1"/>
    <col min="135" max="135" width="21.140625" style="1" bestFit="1" customWidth="1"/>
    <col min="136" max="137" width="31.85546875" style="1" bestFit="1" customWidth="1"/>
    <col min="138" max="139" width="30.7109375" style="1" bestFit="1" customWidth="1"/>
    <col min="140" max="141" width="43.42578125" style="1" bestFit="1" customWidth="1"/>
    <col min="142" max="143" width="23.5703125" style="1" bestFit="1" customWidth="1"/>
    <col min="144" max="145" width="22.28515625" style="1" bestFit="1" customWidth="1"/>
    <col min="146" max="146" width="18" style="1" bestFit="1" customWidth="1"/>
    <col min="147" max="147" width="16.7109375" style="1" bestFit="1" customWidth="1"/>
    <col min="148" max="148" width="13.7109375" style="1" bestFit="1" customWidth="1"/>
    <col min="149" max="16384" width="9.140625" style="1"/>
  </cols>
  <sheetData>
    <row r="1" spans="1:148" x14ac:dyDescent="0.2">
      <c r="A1" s="6" t="s">
        <v>1925</v>
      </c>
      <c r="B1" s="6" t="s">
        <v>1518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11</v>
      </c>
      <c r="O1" s="6" t="s">
        <v>12</v>
      </c>
      <c r="P1" s="6" t="s">
        <v>141</v>
      </c>
      <c r="Q1" s="6" t="s">
        <v>13</v>
      </c>
      <c r="R1" s="6" t="s">
        <v>14</v>
      </c>
      <c r="S1" s="6" t="s">
        <v>15</v>
      </c>
      <c r="T1" s="6" t="s">
        <v>16</v>
      </c>
      <c r="U1" s="6" t="s">
        <v>17</v>
      </c>
      <c r="V1" s="6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6" t="s">
        <v>32</v>
      </c>
      <c r="AK1" s="6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140</v>
      </c>
      <c r="AQ1" s="6" t="s">
        <v>141</v>
      </c>
      <c r="AR1" s="6" t="s">
        <v>142</v>
      </c>
      <c r="AS1" s="6" t="s">
        <v>143</v>
      </c>
      <c r="AT1" s="6" t="s">
        <v>144</v>
      </c>
      <c r="AU1" s="6" t="s">
        <v>38</v>
      </c>
      <c r="AV1" s="6" t="s">
        <v>39</v>
      </c>
      <c r="AW1" s="6" t="s">
        <v>40</v>
      </c>
      <c r="AX1" s="6" t="s">
        <v>41</v>
      </c>
      <c r="AY1" s="6" t="s">
        <v>42</v>
      </c>
      <c r="AZ1" s="6" t="s">
        <v>43</v>
      </c>
      <c r="BA1" s="6" t="s">
        <v>44</v>
      </c>
      <c r="BB1" s="6" t="s">
        <v>45</v>
      </c>
      <c r="BC1" s="6" t="s">
        <v>46</v>
      </c>
      <c r="BD1" s="6" t="s">
        <v>47</v>
      </c>
      <c r="BE1" s="6" t="s">
        <v>48</v>
      </c>
      <c r="BF1" s="6" t="s">
        <v>49</v>
      </c>
      <c r="BG1" s="6" t="s">
        <v>50</v>
      </c>
      <c r="BH1" s="6" t="s">
        <v>51</v>
      </c>
      <c r="BI1" s="6" t="s">
        <v>52</v>
      </c>
      <c r="BJ1" s="6" t="s">
        <v>53</v>
      </c>
      <c r="BK1" s="6" t="s">
        <v>54</v>
      </c>
      <c r="BL1" s="6" t="s">
        <v>55</v>
      </c>
      <c r="BM1" s="6" t="s">
        <v>56</v>
      </c>
      <c r="BN1" s="6" t="s">
        <v>57</v>
      </c>
      <c r="BO1" s="6" t="s">
        <v>58</v>
      </c>
      <c r="BP1" s="6" t="s">
        <v>59</v>
      </c>
      <c r="BQ1" s="6" t="s">
        <v>60</v>
      </c>
      <c r="BR1" s="6" t="s">
        <v>61</v>
      </c>
      <c r="BS1" s="6" t="s">
        <v>62</v>
      </c>
      <c r="BT1" s="6" t="s">
        <v>63</v>
      </c>
      <c r="BU1" s="6" t="s">
        <v>64</v>
      </c>
      <c r="BV1" s="6" t="s">
        <v>65</v>
      </c>
      <c r="BW1" s="6" t="s">
        <v>66</v>
      </c>
      <c r="BX1" s="6" t="s">
        <v>67</v>
      </c>
      <c r="BY1" s="6" t="s">
        <v>68</v>
      </c>
      <c r="BZ1" s="6" t="s">
        <v>69</v>
      </c>
      <c r="CA1" s="6" t="s">
        <v>70</v>
      </c>
      <c r="CB1" s="6" t="s">
        <v>71</v>
      </c>
      <c r="CC1" s="6" t="s">
        <v>72</v>
      </c>
      <c r="CD1" s="6" t="s">
        <v>73</v>
      </c>
      <c r="CE1" s="6" t="s">
        <v>74</v>
      </c>
      <c r="CF1" s="6" t="s">
        <v>75</v>
      </c>
      <c r="CG1" s="6" t="s">
        <v>76</v>
      </c>
      <c r="CH1" s="6" t="s">
        <v>77</v>
      </c>
      <c r="CI1" s="6" t="s">
        <v>78</v>
      </c>
      <c r="CJ1" s="6" t="s">
        <v>79</v>
      </c>
      <c r="CK1" s="6" t="s">
        <v>80</v>
      </c>
      <c r="CL1" s="6" t="s">
        <v>81</v>
      </c>
      <c r="CM1" s="6" t="s">
        <v>82</v>
      </c>
      <c r="CN1" s="6" t="s">
        <v>83</v>
      </c>
      <c r="CO1" s="6" t="s">
        <v>84</v>
      </c>
      <c r="CP1" s="6" t="s">
        <v>85</v>
      </c>
      <c r="CQ1" s="6" t="s">
        <v>86</v>
      </c>
      <c r="CR1" s="6" t="s">
        <v>87</v>
      </c>
      <c r="CS1" s="6" t="s">
        <v>88</v>
      </c>
      <c r="CT1" s="6" t="s">
        <v>89</v>
      </c>
      <c r="CU1" s="6" t="s">
        <v>90</v>
      </c>
      <c r="CV1" s="6" t="s">
        <v>91</v>
      </c>
      <c r="CW1" s="6" t="s">
        <v>92</v>
      </c>
      <c r="CX1" s="6" t="s">
        <v>93</v>
      </c>
      <c r="CY1" s="6" t="s">
        <v>94</v>
      </c>
      <c r="CZ1" s="6" t="s">
        <v>95</v>
      </c>
      <c r="DA1" s="6" t="s">
        <v>96</v>
      </c>
      <c r="DB1" s="6" t="s">
        <v>97</v>
      </c>
      <c r="DC1" s="6" t="s">
        <v>98</v>
      </c>
      <c r="DD1" s="6" t="s">
        <v>99</v>
      </c>
      <c r="DE1" s="6" t="s">
        <v>100</v>
      </c>
      <c r="DF1" s="6" t="s">
        <v>101</v>
      </c>
      <c r="DG1" s="6" t="s">
        <v>102</v>
      </c>
      <c r="DH1" s="6" t="s">
        <v>103</v>
      </c>
      <c r="DI1" s="6" t="s">
        <v>104</v>
      </c>
      <c r="DJ1" s="6" t="s">
        <v>105</v>
      </c>
      <c r="DK1" s="6" t="s">
        <v>106</v>
      </c>
      <c r="DL1" s="6" t="s">
        <v>107</v>
      </c>
      <c r="DM1" s="6" t="s">
        <v>108</v>
      </c>
      <c r="DN1" s="6" t="s">
        <v>109</v>
      </c>
      <c r="DO1" s="6" t="s">
        <v>110</v>
      </c>
      <c r="DP1" s="6" t="s">
        <v>111</v>
      </c>
      <c r="DQ1" s="6" t="s">
        <v>112</v>
      </c>
      <c r="DR1" s="6" t="s">
        <v>113</v>
      </c>
      <c r="DS1" s="6" t="s">
        <v>114</v>
      </c>
      <c r="DT1" s="6" t="s">
        <v>115</v>
      </c>
      <c r="DU1" s="6" t="s">
        <v>116</v>
      </c>
      <c r="DV1" s="6" t="s">
        <v>117</v>
      </c>
      <c r="DW1" s="6" t="s">
        <v>118</v>
      </c>
      <c r="DX1" s="6" t="s">
        <v>119</v>
      </c>
      <c r="DY1" s="6" t="s">
        <v>120</v>
      </c>
      <c r="DZ1" s="6" t="s">
        <v>121</v>
      </c>
      <c r="EA1" s="6" t="s">
        <v>122</v>
      </c>
      <c r="EB1" s="6" t="s">
        <v>123</v>
      </c>
      <c r="EC1" s="6" t="s">
        <v>124</v>
      </c>
      <c r="ED1" s="6" t="s">
        <v>125</v>
      </c>
      <c r="EE1" s="6" t="s">
        <v>126</v>
      </c>
      <c r="EF1" s="6" t="s">
        <v>127</v>
      </c>
      <c r="EG1" s="6" t="s">
        <v>128</v>
      </c>
      <c r="EH1" s="6" t="s">
        <v>129</v>
      </c>
      <c r="EI1" s="6" t="s">
        <v>130</v>
      </c>
      <c r="EJ1" s="6" t="s">
        <v>131</v>
      </c>
      <c r="EK1" s="6" t="s">
        <v>132</v>
      </c>
      <c r="EL1" s="6" t="s">
        <v>133</v>
      </c>
      <c r="EM1" s="6" t="s">
        <v>134</v>
      </c>
      <c r="EN1" s="6" t="s">
        <v>135</v>
      </c>
      <c r="EO1" s="6" t="s">
        <v>136</v>
      </c>
      <c r="EP1" s="6" t="s">
        <v>137</v>
      </c>
      <c r="EQ1" s="6" t="s">
        <v>138</v>
      </c>
      <c r="ER1" s="6" t="s">
        <v>139</v>
      </c>
    </row>
    <row r="2" spans="1:148" x14ac:dyDescent="0.2">
      <c r="A2" s="1">
        <v>2022</v>
      </c>
      <c r="B2" s="1" t="str">
        <f>LEFT(C2,2)</f>
        <v>NE</v>
      </c>
      <c r="C2" s="1" t="s">
        <v>145</v>
      </c>
      <c r="D2" s="1" t="s">
        <v>145</v>
      </c>
      <c r="E2" s="1">
        <v>16777</v>
      </c>
      <c r="F2" s="1" t="s">
        <v>2043</v>
      </c>
      <c r="G2" s="1" t="s">
        <v>146</v>
      </c>
      <c r="H2" s="1" t="s">
        <v>147</v>
      </c>
      <c r="I2" s="1">
        <v>8.2100000000000009</v>
      </c>
      <c r="J2" s="1">
        <v>8.2100000000000009</v>
      </c>
      <c r="K2" s="1" t="s">
        <v>148</v>
      </c>
      <c r="L2" s="1">
        <v>1</v>
      </c>
      <c r="M2" s="1">
        <v>2009</v>
      </c>
      <c r="N2" s="1">
        <v>2</v>
      </c>
      <c r="O2" s="1">
        <v>1</v>
      </c>
      <c r="P2" s="1" t="str">
        <f>IF(MID(H2,12,1)="R","Talhadia","Alto fuste")</f>
        <v>Alto fuste</v>
      </c>
      <c r="Q2" s="2">
        <v>39993</v>
      </c>
      <c r="R2" s="1" t="s">
        <v>149</v>
      </c>
      <c r="S2" s="1" t="s">
        <v>150</v>
      </c>
      <c r="T2" s="1" t="s">
        <v>2268</v>
      </c>
      <c r="U2" s="1" t="s">
        <v>151</v>
      </c>
      <c r="V2" s="1" t="s">
        <v>152</v>
      </c>
      <c r="W2" s="2">
        <v>44810</v>
      </c>
      <c r="X2" s="1" t="s">
        <v>153</v>
      </c>
      <c r="Y2" s="1">
        <v>37.450000000000003</v>
      </c>
      <c r="Z2" s="1">
        <v>19.5</v>
      </c>
      <c r="AA2" s="1">
        <v>27</v>
      </c>
      <c r="AB2" s="1">
        <v>14.2</v>
      </c>
      <c r="AC2" s="1">
        <v>5</v>
      </c>
      <c r="AD2" s="3">
        <v>276.89999999999998</v>
      </c>
      <c r="AE2" s="3">
        <v>245.78086357762899</v>
      </c>
      <c r="AF2" s="2">
        <v>44810</v>
      </c>
      <c r="AG2" s="1">
        <v>159</v>
      </c>
      <c r="AH2" s="3">
        <v>13.1882272416153</v>
      </c>
      <c r="AI2" s="4">
        <v>29.023438129115299</v>
      </c>
      <c r="AJ2" s="4">
        <v>19.2269230769231</v>
      </c>
      <c r="AK2" s="4">
        <v>32.4395655486964</v>
      </c>
      <c r="AL2" s="1">
        <v>26</v>
      </c>
      <c r="AM2" s="5">
        <v>1057.8529028476601</v>
      </c>
      <c r="AN2" s="4">
        <v>425.66601526273598</v>
      </c>
      <c r="AO2" s="4">
        <v>0.40238677241124399</v>
      </c>
      <c r="AP2" s="1" t="s">
        <v>150</v>
      </c>
      <c r="AQ2" s="1" t="s">
        <v>156</v>
      </c>
      <c r="AR2" s="1" t="s">
        <v>157</v>
      </c>
      <c r="AS2" s="1">
        <v>9.99</v>
      </c>
      <c r="AT2" s="4">
        <v>1.0567950499448124</v>
      </c>
      <c r="AU2" s="1" t="s">
        <v>154</v>
      </c>
      <c r="AV2" s="1" t="s">
        <v>155</v>
      </c>
      <c r="AW2" s="1">
        <v>4442</v>
      </c>
      <c r="AX2" s="1">
        <v>2206</v>
      </c>
      <c r="AY2" s="1">
        <v>1553</v>
      </c>
      <c r="AZ2" s="1">
        <v>610</v>
      </c>
      <c r="BA2" s="1">
        <v>73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4">
        <v>-1.1779999999999999</v>
      </c>
      <c r="BI2" s="4">
        <v>39.872002000000002</v>
      </c>
      <c r="BJ2" s="4">
        <v>22.254767999999999</v>
      </c>
      <c r="BK2" s="4">
        <v>-0.52641300000000002</v>
      </c>
      <c r="BL2" s="4">
        <v>15.607322999999999</v>
      </c>
      <c r="BM2" s="4">
        <v>243.58853300000001</v>
      </c>
      <c r="BN2" s="4">
        <v>0.70130199999999998</v>
      </c>
      <c r="BO2" s="4">
        <v>35.072749000000002</v>
      </c>
      <c r="BP2" s="4">
        <v>-0.57244499999999998</v>
      </c>
      <c r="BQ2" s="4">
        <v>1.5704819999999999</v>
      </c>
      <c r="BR2" s="4">
        <v>14.103346999999999</v>
      </c>
      <c r="BS2" s="4">
        <v>7.8095020000000002</v>
      </c>
      <c r="BT2" s="4">
        <v>29.836411999999999</v>
      </c>
      <c r="BU2" s="4">
        <v>22.254767999999999</v>
      </c>
      <c r="BV2" s="4">
        <v>8.3722290000000008</v>
      </c>
      <c r="BW2" s="4">
        <v>-1.488918</v>
      </c>
      <c r="BX2" s="4">
        <v>-0.80693599999999999</v>
      </c>
      <c r="BY2" s="4">
        <v>0.37619900000000001</v>
      </c>
      <c r="BZ2" s="4">
        <v>-0.17784</v>
      </c>
      <c r="CA2" s="4">
        <v>-9.6382999999999996E-2</v>
      </c>
      <c r="CB2" s="4">
        <v>-0.4299</v>
      </c>
      <c r="CC2" s="4">
        <v>-0.17799999999999999</v>
      </c>
      <c r="CD2" s="4">
        <v>-5.8999999999999997E-2</v>
      </c>
      <c r="CE2" s="4">
        <v>0.106</v>
      </c>
      <c r="CF2" s="4">
        <v>0.20300000000000001</v>
      </c>
      <c r="CG2" s="4">
        <v>0.3765</v>
      </c>
      <c r="CH2" s="4">
        <v>26.057400000000001</v>
      </c>
      <c r="CI2" s="4">
        <v>29.309999000000001</v>
      </c>
      <c r="CJ2" s="4">
        <v>32.313000000000002</v>
      </c>
      <c r="CK2" s="4">
        <v>34.569000000000003</v>
      </c>
      <c r="CL2" s="4">
        <v>35.275748999999998</v>
      </c>
      <c r="CM2" s="4">
        <v>36.1768</v>
      </c>
      <c r="CN2" s="4">
        <v>37.987999000000002</v>
      </c>
      <c r="CO2" s="4">
        <v>38.666901000000003</v>
      </c>
      <c r="CP2" s="4">
        <v>39.383358000000001</v>
      </c>
      <c r="CQ2" s="4">
        <v>0.57083499999999998</v>
      </c>
      <c r="CR2" s="4">
        <v>27.18103</v>
      </c>
      <c r="CS2" s="4">
        <v>29.281345999999999</v>
      </c>
      <c r="CT2" s="1">
        <v>1</v>
      </c>
      <c r="CU2" s="1">
        <v>41</v>
      </c>
      <c r="CV2" s="4">
        <v>8.9988740000000007</v>
      </c>
      <c r="CW2" s="4">
        <v>1</v>
      </c>
      <c r="CX2" s="4">
        <v>6.6728319999999997</v>
      </c>
      <c r="CY2" s="4">
        <v>44.526682000000001</v>
      </c>
      <c r="CZ2" s="4">
        <v>0.74151800000000001</v>
      </c>
      <c r="DA2" s="4">
        <v>9</v>
      </c>
      <c r="DB2" s="4">
        <v>0.99007699999999998</v>
      </c>
      <c r="DC2" s="4">
        <v>3.714289</v>
      </c>
      <c r="DD2" s="4">
        <v>5.3589520000000004</v>
      </c>
      <c r="DE2" s="4">
        <v>8.9988740000000007</v>
      </c>
      <c r="DF2" s="4">
        <v>3.6533009999999999</v>
      </c>
      <c r="DG2" s="4">
        <v>0.76217800000000002</v>
      </c>
      <c r="DH2" s="4">
        <v>0.32775399999999999</v>
      </c>
      <c r="DI2" s="4">
        <v>0.40597299999999997</v>
      </c>
      <c r="DJ2" s="4">
        <v>0.20862700000000001</v>
      </c>
      <c r="DK2" s="4">
        <v>8.9715000000000003E-2</v>
      </c>
      <c r="DL2" s="4">
        <v>1</v>
      </c>
      <c r="DM2" s="4">
        <v>1</v>
      </c>
      <c r="DN2" s="4">
        <v>2</v>
      </c>
      <c r="DO2" s="4">
        <v>3</v>
      </c>
      <c r="DP2" s="4">
        <v>4</v>
      </c>
      <c r="DQ2" s="4">
        <v>4</v>
      </c>
      <c r="DR2" s="4">
        <v>6</v>
      </c>
      <c r="DS2" s="4">
        <v>8</v>
      </c>
      <c r="DT2" s="4">
        <v>9</v>
      </c>
      <c r="DU2" s="4">
        <v>12</v>
      </c>
      <c r="DV2" s="4">
        <v>13</v>
      </c>
      <c r="DW2" s="4">
        <v>14</v>
      </c>
      <c r="DX2" s="4">
        <v>19</v>
      </c>
      <c r="DY2" s="4">
        <v>22</v>
      </c>
      <c r="DZ2" s="4">
        <v>28</v>
      </c>
      <c r="EA2" s="4">
        <v>97.461468999999994</v>
      </c>
      <c r="EB2" s="4">
        <v>69.158036999999993</v>
      </c>
      <c r="EC2" s="4">
        <v>139.256573</v>
      </c>
      <c r="ED2" s="4">
        <v>2150</v>
      </c>
      <c r="EE2" s="4">
        <v>3072</v>
      </c>
      <c r="EF2" s="4">
        <v>95.738894000000002</v>
      </c>
      <c r="EG2" s="4">
        <v>100</v>
      </c>
      <c r="EH2" s="4">
        <v>63.912652000000001</v>
      </c>
      <c r="EI2" s="4">
        <v>99.459703000000005</v>
      </c>
      <c r="EJ2" s="4">
        <v>128.69447</v>
      </c>
      <c r="EK2" s="4">
        <v>200.271985</v>
      </c>
      <c r="EL2" s="4">
        <v>2112</v>
      </c>
      <c r="EM2" s="4">
        <v>2206</v>
      </c>
      <c r="EN2" s="4">
        <v>2839</v>
      </c>
      <c r="EO2" s="4">
        <v>4418</v>
      </c>
      <c r="EP2" s="4">
        <v>2206</v>
      </c>
      <c r="EQ2" s="4">
        <v>4442</v>
      </c>
      <c r="ER2" s="4">
        <v>55.660505000000001</v>
      </c>
    </row>
    <row r="3" spans="1:148" x14ac:dyDescent="0.2">
      <c r="A3" s="1">
        <v>2022</v>
      </c>
      <c r="B3" s="1" t="str">
        <f t="shared" ref="B3:B66" si="0">LEFT(C3,2)</f>
        <v>NE</v>
      </c>
      <c r="C3" s="1" t="s">
        <v>158</v>
      </c>
      <c r="D3" s="1" t="s">
        <v>158</v>
      </c>
      <c r="E3" s="1">
        <v>16786</v>
      </c>
      <c r="F3" s="1" t="s">
        <v>2043</v>
      </c>
      <c r="G3" s="1" t="s">
        <v>146</v>
      </c>
      <c r="H3" s="1" t="s">
        <v>159</v>
      </c>
      <c r="I3" s="1">
        <v>5.0199999999999996</v>
      </c>
      <c r="J3" s="1">
        <v>5.0199999999999996</v>
      </c>
      <c r="K3" s="1" t="s">
        <v>148</v>
      </c>
      <c r="L3" s="1">
        <v>1</v>
      </c>
      <c r="M3" s="1">
        <v>2009</v>
      </c>
      <c r="N3" s="1">
        <v>3</v>
      </c>
      <c r="O3" s="1">
        <v>1</v>
      </c>
      <c r="P3" s="1" t="str">
        <f t="shared" ref="P3:P66" si="1">IF(MID(H3,12,1)="R","Talhadia","Alto fuste")</f>
        <v>Alto fuste</v>
      </c>
      <c r="Q3" s="2">
        <v>39981</v>
      </c>
      <c r="R3" s="1" t="s">
        <v>149</v>
      </c>
      <c r="S3" s="1" t="s">
        <v>160</v>
      </c>
      <c r="T3" s="1" t="s">
        <v>2268</v>
      </c>
      <c r="U3" s="1" t="s">
        <v>151</v>
      </c>
      <c r="V3" s="1" t="s">
        <v>152</v>
      </c>
      <c r="W3" s="2">
        <v>44810</v>
      </c>
      <c r="X3" s="1" t="s">
        <v>153</v>
      </c>
      <c r="Y3" s="1">
        <v>37.450000000000003</v>
      </c>
      <c r="Z3" s="1">
        <v>20.3</v>
      </c>
      <c r="AA3" s="1">
        <v>20</v>
      </c>
      <c r="AB3" s="1">
        <v>13.5</v>
      </c>
      <c r="AC3" s="1">
        <v>0</v>
      </c>
      <c r="AD3" s="3">
        <v>274.05</v>
      </c>
      <c r="AE3" s="3">
        <v>257.52276272637801</v>
      </c>
      <c r="AF3" s="2">
        <v>44810</v>
      </c>
      <c r="AG3" s="1">
        <v>159</v>
      </c>
      <c r="AH3" s="3">
        <v>13.2210814510609</v>
      </c>
      <c r="AI3" s="4">
        <v>30.4186202263182</v>
      </c>
      <c r="AJ3" s="4">
        <v>19.988</v>
      </c>
      <c r="AK3" s="4">
        <v>31.5016249394337</v>
      </c>
      <c r="AL3" s="1">
        <v>25</v>
      </c>
      <c r="AM3" s="5">
        <v>970.78796978280604</v>
      </c>
      <c r="AN3" s="4">
        <v>419.149162489535</v>
      </c>
      <c r="AO3" s="4">
        <v>0.43176180127501002</v>
      </c>
      <c r="AP3" s="1" t="s">
        <v>163</v>
      </c>
      <c r="AQ3" s="1" t="s">
        <v>156</v>
      </c>
      <c r="AR3" s="1" t="s">
        <v>164</v>
      </c>
      <c r="AS3" s="1">
        <v>9.99</v>
      </c>
      <c r="AT3" s="4">
        <v>0.96981718181302323</v>
      </c>
      <c r="AU3" s="1" t="s">
        <v>161</v>
      </c>
      <c r="AV3" s="1" t="s">
        <v>162</v>
      </c>
      <c r="AW3" s="1">
        <v>4534</v>
      </c>
      <c r="AX3" s="1">
        <v>2615</v>
      </c>
      <c r="AY3" s="1">
        <v>1498</v>
      </c>
      <c r="AZ3" s="1">
        <v>385</v>
      </c>
      <c r="BA3" s="1">
        <v>36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4">
        <v>-0.91200000000000003</v>
      </c>
      <c r="BI3" s="4">
        <v>36.764000000000003</v>
      </c>
      <c r="BJ3" s="4">
        <v>20.098178000000001</v>
      </c>
      <c r="BK3" s="4">
        <v>-0.31396800000000002</v>
      </c>
      <c r="BL3" s="4">
        <v>13.409215</v>
      </c>
      <c r="BM3" s="4">
        <v>179.80705499999999</v>
      </c>
      <c r="BN3" s="4">
        <v>0.66718599999999995</v>
      </c>
      <c r="BO3" s="4">
        <v>30.202749000000001</v>
      </c>
      <c r="BP3" s="4">
        <v>-0.52654599999999996</v>
      </c>
      <c r="BQ3" s="4">
        <v>1.733428</v>
      </c>
      <c r="BR3" s="4">
        <v>11.666897000000001</v>
      </c>
      <c r="BS3" s="4">
        <v>9.0374999999999996</v>
      </c>
      <c r="BT3" s="4">
        <v>25.293468000000001</v>
      </c>
      <c r="BU3" s="4">
        <v>20.098178000000001</v>
      </c>
      <c r="BV3" s="4">
        <v>7.3959109999999999</v>
      </c>
      <c r="BW3" s="4">
        <v>-1.0844370000000001</v>
      </c>
      <c r="BX3" s="4">
        <v>-0.38566699999999998</v>
      </c>
      <c r="BY3" s="4">
        <v>0.36798900000000001</v>
      </c>
      <c r="BZ3" s="4">
        <v>-0.14662700000000001</v>
      </c>
      <c r="CA3" s="4">
        <v>-5.2145999999999998E-2</v>
      </c>
      <c r="CB3" s="4">
        <v>-0.40672999999999998</v>
      </c>
      <c r="CC3" s="4">
        <v>-0.13769999999999999</v>
      </c>
      <c r="CD3" s="4">
        <v>2.9999999999999997E-4</v>
      </c>
      <c r="CE3" s="4">
        <v>0.24260000000000001</v>
      </c>
      <c r="CF3" s="4">
        <v>0.53125</v>
      </c>
      <c r="CG3" s="4">
        <v>14.951401000000001</v>
      </c>
      <c r="CH3" s="4">
        <v>21.063998999999999</v>
      </c>
      <c r="CI3" s="4">
        <v>24.979500000000002</v>
      </c>
      <c r="CJ3" s="4">
        <v>26.919799999999999</v>
      </c>
      <c r="CK3" s="4">
        <v>29.157101000000001</v>
      </c>
      <c r="CL3" s="4">
        <v>30.733999000000001</v>
      </c>
      <c r="CM3" s="4">
        <v>33.861201999999999</v>
      </c>
      <c r="CN3" s="4">
        <v>35.139698000000003</v>
      </c>
      <c r="CO3" s="4">
        <v>35.771351000000003</v>
      </c>
      <c r="CP3" s="4">
        <v>36.304340000000003</v>
      </c>
      <c r="CQ3" s="4">
        <v>0.55765399999999998</v>
      </c>
      <c r="CR3" s="4">
        <v>24.159970000000001</v>
      </c>
      <c r="CS3" s="4">
        <v>26.055161999999999</v>
      </c>
      <c r="CT3" s="1">
        <v>1</v>
      </c>
      <c r="CU3" s="1">
        <v>47</v>
      </c>
      <c r="CV3" s="4">
        <v>10.859506</v>
      </c>
      <c r="CW3" s="4">
        <v>1</v>
      </c>
      <c r="CX3" s="4">
        <v>8.2327639999999995</v>
      </c>
      <c r="CY3" s="4">
        <v>67.778403999999995</v>
      </c>
      <c r="CZ3" s="4">
        <v>0.75811600000000001</v>
      </c>
      <c r="DA3" s="4">
        <v>12</v>
      </c>
      <c r="DB3" s="4">
        <v>0.94762000000000002</v>
      </c>
      <c r="DC3" s="4">
        <v>3.4975670000000001</v>
      </c>
      <c r="DD3" s="4">
        <v>6.7099260000000003</v>
      </c>
      <c r="DE3" s="4">
        <v>10.859506</v>
      </c>
      <c r="DF3" s="4">
        <v>4.5225140000000001</v>
      </c>
      <c r="DG3" s="4">
        <v>0.95158600000000004</v>
      </c>
      <c r="DH3" s="4">
        <v>0.34945999999999999</v>
      </c>
      <c r="DI3" s="4">
        <v>0.41645700000000002</v>
      </c>
      <c r="DJ3" s="4">
        <v>0.21041099999999999</v>
      </c>
      <c r="DK3" s="4">
        <v>7.7271000000000006E-2</v>
      </c>
      <c r="DL3" s="4">
        <v>1</v>
      </c>
      <c r="DM3" s="4">
        <v>1</v>
      </c>
      <c r="DN3" s="4">
        <v>2</v>
      </c>
      <c r="DO3" s="4">
        <v>3</v>
      </c>
      <c r="DP3" s="4">
        <v>4</v>
      </c>
      <c r="DQ3" s="4">
        <v>5</v>
      </c>
      <c r="DR3" s="4">
        <v>7</v>
      </c>
      <c r="DS3" s="4">
        <v>9</v>
      </c>
      <c r="DT3" s="4">
        <v>11</v>
      </c>
      <c r="DU3" s="4">
        <v>14</v>
      </c>
      <c r="DV3" s="4">
        <v>16</v>
      </c>
      <c r="DW3" s="4">
        <v>18</v>
      </c>
      <c r="DX3" s="4">
        <v>23</v>
      </c>
      <c r="DY3" s="4">
        <v>27</v>
      </c>
      <c r="DZ3" s="4">
        <v>34</v>
      </c>
      <c r="EA3" s="4">
        <v>95.411090000000002</v>
      </c>
      <c r="EB3" s="4">
        <v>73.158359000000004</v>
      </c>
      <c r="EC3" s="4">
        <v>126.845124</v>
      </c>
      <c r="ED3" s="4">
        <v>2495</v>
      </c>
      <c r="EE3" s="4">
        <v>3317</v>
      </c>
      <c r="EF3" s="4">
        <v>87.418738000000005</v>
      </c>
      <c r="EG3" s="4">
        <v>100</v>
      </c>
      <c r="EH3" s="4">
        <v>62.086458</v>
      </c>
      <c r="EI3" s="4">
        <v>98.235553999999993</v>
      </c>
      <c r="EJ3" s="4">
        <v>107.648184</v>
      </c>
      <c r="EK3" s="4">
        <v>170.32504800000001</v>
      </c>
      <c r="EL3" s="4">
        <v>2286</v>
      </c>
      <c r="EM3" s="4">
        <v>2615</v>
      </c>
      <c r="EN3" s="4">
        <v>2815</v>
      </c>
      <c r="EO3" s="4">
        <v>4454</v>
      </c>
      <c r="EP3" s="4">
        <v>2615</v>
      </c>
      <c r="EQ3" s="4">
        <v>4534</v>
      </c>
      <c r="ER3" s="4">
        <v>54.436889999999998</v>
      </c>
    </row>
    <row r="4" spans="1:148" x14ac:dyDescent="0.2">
      <c r="A4" s="1">
        <v>2022</v>
      </c>
      <c r="B4" s="1" t="str">
        <f t="shared" si="0"/>
        <v>NE</v>
      </c>
      <c r="C4" s="1" t="s">
        <v>165</v>
      </c>
      <c r="D4" s="1" t="s">
        <v>165</v>
      </c>
      <c r="E4" s="1">
        <v>16983</v>
      </c>
      <c r="F4" s="1" t="s">
        <v>2044</v>
      </c>
      <c r="G4" s="1" t="s">
        <v>166</v>
      </c>
      <c r="H4" s="1" t="s">
        <v>167</v>
      </c>
      <c r="I4" s="1">
        <v>43.27</v>
      </c>
      <c r="J4" s="1">
        <v>43.27</v>
      </c>
      <c r="K4" s="1" t="s">
        <v>168</v>
      </c>
      <c r="L4" s="1">
        <v>1</v>
      </c>
      <c r="M4" s="1">
        <v>2009</v>
      </c>
      <c r="N4" s="1">
        <v>2</v>
      </c>
      <c r="O4" s="1">
        <v>1</v>
      </c>
      <c r="P4" s="1" t="str">
        <f t="shared" si="1"/>
        <v>Alto fuste</v>
      </c>
      <c r="Q4" s="2">
        <v>40161</v>
      </c>
      <c r="R4" s="1" t="s">
        <v>169</v>
      </c>
      <c r="S4" s="1" t="s">
        <v>163</v>
      </c>
      <c r="T4" s="1" t="s">
        <v>2268</v>
      </c>
      <c r="U4" s="1" t="s">
        <v>170</v>
      </c>
      <c r="V4" s="1" t="s">
        <v>152</v>
      </c>
      <c r="W4" s="2">
        <v>44600</v>
      </c>
      <c r="X4" s="1" t="s">
        <v>171</v>
      </c>
      <c r="Y4" s="1">
        <v>124.12</v>
      </c>
      <c r="Z4" s="1">
        <v>20.9</v>
      </c>
      <c r="AA4" s="1">
        <v>34</v>
      </c>
      <c r="AB4" s="1">
        <v>14.9</v>
      </c>
      <c r="AC4" s="1">
        <v>4</v>
      </c>
      <c r="AD4" s="3">
        <v>311.41000000000003</v>
      </c>
      <c r="AE4" s="3">
        <v>257.541699886591</v>
      </c>
      <c r="AF4" s="2">
        <v>44600</v>
      </c>
      <c r="AG4" s="1">
        <v>146</v>
      </c>
      <c r="AH4" s="3">
        <v>12.153319644079399</v>
      </c>
      <c r="AI4" s="4">
        <v>25.096577230662099</v>
      </c>
      <c r="AJ4" s="4">
        <v>17.2344827586207</v>
      </c>
      <c r="AK4" s="4">
        <v>27.338958123216599</v>
      </c>
      <c r="AL4" s="1">
        <v>29</v>
      </c>
      <c r="AM4" s="5">
        <v>1126.0312412619101</v>
      </c>
      <c r="AN4" s="4">
        <v>303.02377083182</v>
      </c>
      <c r="AO4" s="4">
        <v>0.26910778291748799</v>
      </c>
      <c r="AP4" s="1" t="s">
        <v>163</v>
      </c>
      <c r="AQ4" s="1" t="s">
        <v>156</v>
      </c>
      <c r="AR4" s="1" t="s">
        <v>164</v>
      </c>
      <c r="AS4" s="1">
        <v>9</v>
      </c>
      <c r="AT4" s="4">
        <v>1.0134281171357191</v>
      </c>
      <c r="AU4" s="1" t="s">
        <v>172</v>
      </c>
      <c r="AV4" s="1" t="s">
        <v>173</v>
      </c>
      <c r="AW4" s="1">
        <v>3054</v>
      </c>
      <c r="AX4" s="1">
        <v>1695</v>
      </c>
      <c r="AY4" s="1">
        <v>1238</v>
      </c>
      <c r="AZ4" s="1">
        <v>118</v>
      </c>
      <c r="BA4" s="1">
        <v>3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4">
        <v>-0.82199999999999995</v>
      </c>
      <c r="BI4" s="4">
        <v>30.091000000000001</v>
      </c>
      <c r="BJ4" s="4">
        <v>15.312263</v>
      </c>
      <c r="BK4" s="4">
        <v>-0.33131699999999997</v>
      </c>
      <c r="BL4" s="4">
        <v>12.654092</v>
      </c>
      <c r="BM4" s="4">
        <v>160.126048</v>
      </c>
      <c r="BN4" s="4">
        <v>0.826403</v>
      </c>
      <c r="BO4" s="4">
        <v>26.338749</v>
      </c>
      <c r="BP4" s="4">
        <v>-0.27435199999999998</v>
      </c>
      <c r="BQ4" s="4">
        <v>1.166439</v>
      </c>
      <c r="BR4" s="4">
        <v>12.231920000000001</v>
      </c>
      <c r="BS4" s="4">
        <v>4.6544999999999996</v>
      </c>
      <c r="BT4" s="4">
        <v>24.773316999999999</v>
      </c>
      <c r="BU4" s="4">
        <v>15.312263</v>
      </c>
      <c r="BV4" s="4">
        <v>6.7012939999999999</v>
      </c>
      <c r="BW4" s="4">
        <v>-0.65076800000000001</v>
      </c>
      <c r="BX4" s="4">
        <v>-1.22028</v>
      </c>
      <c r="BY4" s="4">
        <v>0.43764199999999998</v>
      </c>
      <c r="BZ4" s="4">
        <v>-9.7111000000000003E-2</v>
      </c>
      <c r="CA4" s="4">
        <v>-0.18209600000000001</v>
      </c>
      <c r="CB4" s="4">
        <v>-0.31717000000000001</v>
      </c>
      <c r="CC4" s="4">
        <v>-0.156</v>
      </c>
      <c r="CD4" s="4">
        <v>-4.7E-2</v>
      </c>
      <c r="CE4" s="4">
        <v>8.9599999999999999E-2</v>
      </c>
      <c r="CF4" s="4">
        <v>0.183</v>
      </c>
      <c r="CG4" s="4">
        <v>0.3926</v>
      </c>
      <c r="CH4" s="4">
        <v>3.4105989999999999</v>
      </c>
      <c r="CI4" s="4">
        <v>24.441998999999999</v>
      </c>
      <c r="CJ4" s="4">
        <v>25.719000000000001</v>
      </c>
      <c r="CK4" s="4">
        <v>26.266100000000002</v>
      </c>
      <c r="CL4" s="4">
        <v>26.521749</v>
      </c>
      <c r="CM4" s="4">
        <v>26.823999000000001</v>
      </c>
      <c r="CN4" s="4">
        <v>27.934999000000001</v>
      </c>
      <c r="CO4" s="4">
        <v>28.803750999999998</v>
      </c>
      <c r="CP4" s="4">
        <v>29.636998999999999</v>
      </c>
      <c r="CQ4" s="4">
        <v>0.52192499999999997</v>
      </c>
      <c r="CR4" s="4">
        <v>19.863005999999999</v>
      </c>
      <c r="CS4" s="4">
        <v>21.819269999999999</v>
      </c>
      <c r="CT4" s="1">
        <v>1</v>
      </c>
      <c r="CU4" s="1">
        <v>45</v>
      </c>
      <c r="CV4" s="4">
        <v>15.941060999999999</v>
      </c>
      <c r="CW4" s="4">
        <v>2.3968250000000002</v>
      </c>
      <c r="CX4" s="4">
        <v>10.637206000000001</v>
      </c>
      <c r="CY4" s="4">
        <v>113.150144</v>
      </c>
      <c r="CZ4" s="4">
        <v>0.66728299999999996</v>
      </c>
      <c r="DA4" s="4">
        <v>19</v>
      </c>
      <c r="DB4" s="4">
        <v>0.24973899999999999</v>
      </c>
      <c r="DC4" s="4">
        <v>1.8715619999999999</v>
      </c>
      <c r="DD4" s="4">
        <v>9.3088329999999999</v>
      </c>
      <c r="DE4" s="4">
        <v>15.941060999999999</v>
      </c>
      <c r="DF4" s="4">
        <v>6.0975279999999996</v>
      </c>
      <c r="DG4" s="4">
        <v>0.44204599999999999</v>
      </c>
      <c r="DH4" s="4">
        <v>-8.8056999999999996E-2</v>
      </c>
      <c r="DI4" s="4">
        <v>0.38250499999999998</v>
      </c>
      <c r="DJ4" s="4">
        <v>7.2496000000000005E-2</v>
      </c>
      <c r="DK4" s="4">
        <v>-1.4441000000000001E-2</v>
      </c>
      <c r="DL4" s="4">
        <v>1</v>
      </c>
      <c r="DM4" s="4">
        <v>2</v>
      </c>
      <c r="DN4" s="4">
        <v>3</v>
      </c>
      <c r="DO4" s="4">
        <v>4.5999759999999998</v>
      </c>
      <c r="DP4" s="4">
        <v>6</v>
      </c>
      <c r="DQ4" s="4">
        <v>7</v>
      </c>
      <c r="DR4" s="4">
        <v>11</v>
      </c>
      <c r="DS4" s="4">
        <v>15</v>
      </c>
      <c r="DT4" s="4">
        <v>19</v>
      </c>
      <c r="DU4" s="4">
        <v>23</v>
      </c>
      <c r="DV4" s="4">
        <v>25</v>
      </c>
      <c r="DW4" s="4">
        <v>27</v>
      </c>
      <c r="DX4" s="4">
        <v>31</v>
      </c>
      <c r="DY4" s="4">
        <v>34</v>
      </c>
      <c r="DZ4" s="4">
        <v>38</v>
      </c>
      <c r="EA4" s="4">
        <v>95.162242000000006</v>
      </c>
      <c r="EB4" s="4">
        <v>60.674525000000003</v>
      </c>
      <c r="EC4" s="4">
        <v>109.321534</v>
      </c>
      <c r="ED4" s="4">
        <v>1613</v>
      </c>
      <c r="EE4" s="4">
        <v>1853</v>
      </c>
      <c r="EF4" s="4">
        <v>94.926254</v>
      </c>
      <c r="EG4" s="4">
        <v>100</v>
      </c>
      <c r="EH4" s="4">
        <v>58.218730000000001</v>
      </c>
      <c r="EI4" s="4">
        <v>99.083169999999996</v>
      </c>
      <c r="EJ4" s="4">
        <v>104.896755</v>
      </c>
      <c r="EK4" s="4">
        <v>178.52507399999999</v>
      </c>
      <c r="EL4" s="4">
        <v>1609</v>
      </c>
      <c r="EM4" s="4">
        <v>1695</v>
      </c>
      <c r="EN4" s="4">
        <v>1778</v>
      </c>
      <c r="EO4" s="4">
        <v>3026</v>
      </c>
      <c r="EP4" s="4">
        <v>1695</v>
      </c>
      <c r="EQ4" s="4">
        <v>3054</v>
      </c>
      <c r="ER4" s="4">
        <v>50.671287</v>
      </c>
    </row>
    <row r="5" spans="1:148" x14ac:dyDescent="0.2">
      <c r="A5" s="1">
        <v>2022</v>
      </c>
      <c r="B5" s="1" t="str">
        <f t="shared" si="0"/>
        <v>NE</v>
      </c>
      <c r="C5" s="1" t="s">
        <v>174</v>
      </c>
      <c r="D5" s="1" t="s">
        <v>174</v>
      </c>
      <c r="E5" s="1">
        <v>16984</v>
      </c>
      <c r="F5" s="1" t="s">
        <v>2044</v>
      </c>
      <c r="G5" s="1" t="s">
        <v>166</v>
      </c>
      <c r="H5" s="1" t="s">
        <v>167</v>
      </c>
      <c r="I5" s="1">
        <v>43.27</v>
      </c>
      <c r="J5" s="1">
        <v>43.27</v>
      </c>
      <c r="K5" s="1" t="s">
        <v>168</v>
      </c>
      <c r="L5" s="1">
        <v>1</v>
      </c>
      <c r="M5" s="1">
        <v>2009</v>
      </c>
      <c r="N5" s="1">
        <v>2</v>
      </c>
      <c r="O5" s="1">
        <v>1</v>
      </c>
      <c r="P5" s="1" t="str">
        <f t="shared" si="1"/>
        <v>Alto fuste</v>
      </c>
      <c r="Q5" s="2">
        <v>40161</v>
      </c>
      <c r="R5" s="1" t="s">
        <v>169</v>
      </c>
      <c r="S5" s="1" t="s">
        <v>163</v>
      </c>
      <c r="T5" s="1" t="s">
        <v>2268</v>
      </c>
      <c r="U5" s="1" t="s">
        <v>170</v>
      </c>
      <c r="V5" s="1" t="s">
        <v>152</v>
      </c>
      <c r="W5" s="2">
        <v>44600</v>
      </c>
      <c r="X5" s="1" t="s">
        <v>171</v>
      </c>
      <c r="Y5" s="1">
        <v>124.12</v>
      </c>
      <c r="Z5" s="1">
        <v>21</v>
      </c>
      <c r="AA5" s="1">
        <v>11</v>
      </c>
      <c r="AB5" s="1">
        <v>15</v>
      </c>
      <c r="AC5" s="1">
        <v>5</v>
      </c>
      <c r="AD5" s="3">
        <v>315</v>
      </c>
      <c r="AE5" s="3">
        <v>308.035915630788</v>
      </c>
      <c r="AF5" s="2">
        <v>44600</v>
      </c>
      <c r="AG5" s="1">
        <v>146</v>
      </c>
      <c r="AH5" s="3">
        <v>12.153319644079399</v>
      </c>
      <c r="AI5" s="4">
        <v>29.4320878897794</v>
      </c>
      <c r="AJ5" s="4">
        <v>17.962162162162201</v>
      </c>
      <c r="AK5" s="4">
        <v>32.235764627748999</v>
      </c>
      <c r="AL5" s="1">
        <v>37</v>
      </c>
      <c r="AM5" s="5">
        <v>1201.1586351621499</v>
      </c>
      <c r="AN5" s="4">
        <v>436.52257858385099</v>
      </c>
      <c r="AO5" s="4">
        <v>0.36341792483132201</v>
      </c>
      <c r="AP5" s="1" t="s">
        <v>163</v>
      </c>
      <c r="AQ5" s="1" t="s">
        <v>156</v>
      </c>
      <c r="AR5" s="1" t="s">
        <v>164</v>
      </c>
      <c r="AS5" s="1">
        <v>9</v>
      </c>
      <c r="AT5" s="4">
        <v>1.081042771645935</v>
      </c>
      <c r="AU5" s="1" t="s">
        <v>175</v>
      </c>
      <c r="AV5" s="1" t="s">
        <v>176</v>
      </c>
      <c r="AW5" s="1">
        <v>3529</v>
      </c>
      <c r="AX5" s="1">
        <v>1681</v>
      </c>
      <c r="AY5" s="1">
        <v>1430</v>
      </c>
      <c r="AZ5" s="1">
        <v>393</v>
      </c>
      <c r="BA5" s="1">
        <v>25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4">
        <v>-0.80500000000000005</v>
      </c>
      <c r="BI5" s="4">
        <v>32.879002</v>
      </c>
      <c r="BJ5" s="4">
        <v>15.289337</v>
      </c>
      <c r="BK5" s="4">
        <v>-0.27033299999999999</v>
      </c>
      <c r="BL5" s="4">
        <v>12.904521000000001</v>
      </c>
      <c r="BM5" s="4">
        <v>166.52665999999999</v>
      </c>
      <c r="BN5" s="4">
        <v>0.84402100000000002</v>
      </c>
      <c r="BO5" s="4">
        <v>27.241999</v>
      </c>
      <c r="BP5" s="4">
        <v>-0.24560599999999999</v>
      </c>
      <c r="BQ5" s="4">
        <v>1.1967829999999999</v>
      </c>
      <c r="BR5" s="4">
        <v>12.37706</v>
      </c>
      <c r="BS5" s="4">
        <v>6.7829990000000002</v>
      </c>
      <c r="BT5" s="4">
        <v>22.113334999999999</v>
      </c>
      <c r="BU5" s="4">
        <v>15.289337</v>
      </c>
      <c r="BV5" s="4">
        <v>6.9057170000000001</v>
      </c>
      <c r="BW5" s="4">
        <v>-0.46351599999999998</v>
      </c>
      <c r="BX5" s="4">
        <v>-1.2394419999999999</v>
      </c>
      <c r="BY5" s="4">
        <v>0.45166899999999999</v>
      </c>
      <c r="BZ5" s="4">
        <v>-6.7121E-2</v>
      </c>
      <c r="CA5" s="4">
        <v>-0.179481</v>
      </c>
      <c r="CB5" s="4">
        <v>-0.35143999999999997</v>
      </c>
      <c r="CC5" s="4">
        <v>-0.17799999999999999</v>
      </c>
      <c r="CD5" s="4">
        <v>-9.5000000000000001E-2</v>
      </c>
      <c r="CE5" s="4">
        <v>8.9999999999999993E-3</v>
      </c>
      <c r="CF5" s="4">
        <v>6.0999999999999999E-2</v>
      </c>
      <c r="CG5" s="4">
        <v>0.11840000000000001</v>
      </c>
      <c r="CH5" s="4">
        <v>5.5881999999999996</v>
      </c>
      <c r="CI5" s="4">
        <v>21.843</v>
      </c>
      <c r="CJ5" s="4">
        <v>25.676801999999999</v>
      </c>
      <c r="CK5" s="4">
        <v>27.059999000000001</v>
      </c>
      <c r="CL5" s="4">
        <v>27.302999</v>
      </c>
      <c r="CM5" s="4">
        <v>27.543399999999998</v>
      </c>
      <c r="CN5" s="4">
        <v>28.233601</v>
      </c>
      <c r="CO5" s="4">
        <v>29.545598999999999</v>
      </c>
      <c r="CP5" s="4">
        <v>31.477720000000001</v>
      </c>
      <c r="CQ5" s="4">
        <v>0.47780400000000001</v>
      </c>
      <c r="CR5" s="4">
        <v>20.006081999999999</v>
      </c>
      <c r="CS5" s="4">
        <v>22.02375</v>
      </c>
      <c r="CT5" s="1">
        <v>1</v>
      </c>
      <c r="CU5" s="1">
        <v>54</v>
      </c>
      <c r="CV5" s="4">
        <v>12.280249</v>
      </c>
      <c r="CW5" s="4">
        <v>3.5238100000000001</v>
      </c>
      <c r="CX5" s="4">
        <v>8.5924650000000007</v>
      </c>
      <c r="CY5" s="4">
        <v>73.830451999999994</v>
      </c>
      <c r="CZ5" s="4">
        <v>0.69969800000000004</v>
      </c>
      <c r="DA5" s="4">
        <v>12</v>
      </c>
      <c r="DB5" s="4">
        <v>1.0496369999999999</v>
      </c>
      <c r="DC5" s="4">
        <v>4.2944610000000001</v>
      </c>
      <c r="DD5" s="4">
        <v>6.8920560000000002</v>
      </c>
      <c r="DE5" s="4">
        <v>12.280249</v>
      </c>
      <c r="DF5" s="4">
        <v>4.6914879999999997</v>
      </c>
      <c r="DG5" s="4">
        <v>0.894401</v>
      </c>
      <c r="DH5" s="4">
        <v>0.44761499999999999</v>
      </c>
      <c r="DI5" s="4">
        <v>0.38203500000000001</v>
      </c>
      <c r="DJ5" s="4">
        <v>0.19064300000000001</v>
      </c>
      <c r="DK5" s="4">
        <v>9.5409999999999995E-2</v>
      </c>
      <c r="DL5" s="4">
        <v>1</v>
      </c>
      <c r="DM5" s="4">
        <v>2</v>
      </c>
      <c r="DN5" s="4">
        <v>3</v>
      </c>
      <c r="DO5" s="4">
        <v>5</v>
      </c>
      <c r="DP5" s="4">
        <v>6</v>
      </c>
      <c r="DQ5" s="4">
        <v>6</v>
      </c>
      <c r="DR5" s="4">
        <v>8</v>
      </c>
      <c r="DS5" s="4">
        <v>11</v>
      </c>
      <c r="DT5" s="4">
        <v>13</v>
      </c>
      <c r="DU5" s="4">
        <v>16</v>
      </c>
      <c r="DV5" s="4">
        <v>18</v>
      </c>
      <c r="DW5" s="4">
        <v>19</v>
      </c>
      <c r="DX5" s="4">
        <v>23</v>
      </c>
      <c r="DY5" s="4">
        <v>28</v>
      </c>
      <c r="DZ5" s="4">
        <v>40</v>
      </c>
      <c r="EA5" s="4">
        <v>96.609161</v>
      </c>
      <c r="EB5" s="4">
        <v>60.102012000000002</v>
      </c>
      <c r="EC5" s="4">
        <v>126.174896</v>
      </c>
      <c r="ED5" s="4">
        <v>1624</v>
      </c>
      <c r="EE5" s="4">
        <v>2121</v>
      </c>
      <c r="EF5" s="4">
        <v>96.014277000000007</v>
      </c>
      <c r="EG5" s="4">
        <v>100</v>
      </c>
      <c r="EH5" s="4">
        <v>57.665061000000001</v>
      </c>
      <c r="EI5" s="4">
        <v>97.676395999999997</v>
      </c>
      <c r="EJ5" s="4">
        <v>121.058894</v>
      </c>
      <c r="EK5" s="4">
        <v>205.05651399999999</v>
      </c>
      <c r="EL5" s="4">
        <v>1614</v>
      </c>
      <c r="EM5" s="4">
        <v>1681</v>
      </c>
      <c r="EN5" s="4">
        <v>2035</v>
      </c>
      <c r="EO5" s="4">
        <v>3447</v>
      </c>
      <c r="EP5" s="4">
        <v>1681</v>
      </c>
      <c r="EQ5" s="4">
        <v>3529</v>
      </c>
      <c r="ER5" s="4">
        <v>47.648409000000001</v>
      </c>
    </row>
    <row r="6" spans="1:148" x14ac:dyDescent="0.2">
      <c r="A6" s="1">
        <v>2022</v>
      </c>
      <c r="B6" s="1" t="str">
        <f t="shared" si="0"/>
        <v>NE</v>
      </c>
      <c r="C6" s="1" t="s">
        <v>177</v>
      </c>
      <c r="D6" s="1" t="s">
        <v>177</v>
      </c>
      <c r="E6" s="1">
        <v>16985</v>
      </c>
      <c r="F6" s="1" t="s">
        <v>2044</v>
      </c>
      <c r="G6" s="1" t="s">
        <v>166</v>
      </c>
      <c r="H6" s="1" t="s">
        <v>178</v>
      </c>
      <c r="I6" s="1">
        <v>24.2</v>
      </c>
      <c r="J6" s="1">
        <v>24.2</v>
      </c>
      <c r="K6" s="1" t="s">
        <v>168</v>
      </c>
      <c r="L6" s="1">
        <v>1</v>
      </c>
      <c r="M6" s="1">
        <v>2009</v>
      </c>
      <c r="N6" s="1">
        <v>2</v>
      </c>
      <c r="O6" s="1">
        <v>1</v>
      </c>
      <c r="P6" s="1" t="str">
        <f t="shared" si="1"/>
        <v>Alto fuste</v>
      </c>
      <c r="Q6" s="2">
        <v>40115</v>
      </c>
      <c r="R6" s="1" t="s">
        <v>169</v>
      </c>
      <c r="S6" s="1" t="s">
        <v>150</v>
      </c>
      <c r="T6" s="1" t="s">
        <v>2268</v>
      </c>
      <c r="U6" s="1" t="s">
        <v>170</v>
      </c>
      <c r="V6" s="1" t="s">
        <v>152</v>
      </c>
      <c r="W6" s="2">
        <v>44600</v>
      </c>
      <c r="X6" s="1" t="s">
        <v>171</v>
      </c>
      <c r="Y6" s="1">
        <v>124.12</v>
      </c>
      <c r="Z6" s="1">
        <v>20.7</v>
      </c>
      <c r="AA6" s="1">
        <v>19</v>
      </c>
      <c r="AB6" s="1">
        <v>15.3</v>
      </c>
      <c r="AC6" s="1">
        <v>2</v>
      </c>
      <c r="AD6" s="3">
        <v>316.70999999999998</v>
      </c>
      <c r="AE6" s="3">
        <v>299.27276806849102</v>
      </c>
      <c r="AF6" s="2">
        <v>44600</v>
      </c>
      <c r="AG6" s="1">
        <v>148</v>
      </c>
      <c r="AH6" s="3">
        <v>12.279260780287499</v>
      </c>
      <c r="AI6" s="4">
        <v>23.6390100399496</v>
      </c>
      <c r="AJ6" s="4">
        <v>16.942424242424199</v>
      </c>
      <c r="AK6" s="4">
        <v>25.2445949988163</v>
      </c>
      <c r="AL6" s="1">
        <v>33</v>
      </c>
      <c r="AM6" s="5">
        <v>1102.6729967107401</v>
      </c>
      <c r="AN6" s="4">
        <v>254.96233793759299</v>
      </c>
      <c r="AO6" s="4">
        <v>0.231222074629689</v>
      </c>
      <c r="AP6" s="1" t="s">
        <v>163</v>
      </c>
      <c r="AQ6" s="1" t="s">
        <v>156</v>
      </c>
      <c r="AR6" s="1" t="s">
        <v>164</v>
      </c>
      <c r="AS6" s="1">
        <v>9</v>
      </c>
      <c r="AT6" s="4">
        <v>0.99240569703966608</v>
      </c>
      <c r="AU6" s="1" t="s">
        <v>179</v>
      </c>
      <c r="AV6" s="1" t="s">
        <v>180</v>
      </c>
      <c r="AW6" s="1">
        <v>12228</v>
      </c>
      <c r="AX6" s="1">
        <v>6370</v>
      </c>
      <c r="AY6" s="1">
        <v>5657</v>
      </c>
      <c r="AZ6" s="1">
        <v>198</v>
      </c>
      <c r="BA6" s="1">
        <v>3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4">
        <v>-0.89700000000000002</v>
      </c>
      <c r="BI6" s="4">
        <v>24.462999</v>
      </c>
      <c r="BJ6" s="4">
        <v>11.059348999999999</v>
      </c>
      <c r="BK6" s="4">
        <v>-9.1921000000000003E-2</v>
      </c>
      <c r="BL6" s="4">
        <v>10.783110000000001</v>
      </c>
      <c r="BM6" s="4">
        <v>116.275452</v>
      </c>
      <c r="BN6" s="4">
        <v>0.97502200000000006</v>
      </c>
      <c r="BO6" s="4">
        <v>21.652000000000001</v>
      </c>
      <c r="BP6" s="4">
        <v>-2.4235E-2</v>
      </c>
      <c r="BQ6" s="4">
        <v>1.0323960000000001</v>
      </c>
      <c r="BR6" s="4">
        <v>10.721939000000001</v>
      </c>
      <c r="BS6" s="4">
        <v>6.0039999999999996</v>
      </c>
      <c r="BT6" s="4">
        <v>18.125919</v>
      </c>
      <c r="BU6" s="4">
        <v>11.059348999999999</v>
      </c>
      <c r="BV6" s="4">
        <v>5.5880429999999999</v>
      </c>
      <c r="BW6" s="4">
        <v>9.3265000000000001E-2</v>
      </c>
      <c r="BX6" s="4">
        <v>-1.205803</v>
      </c>
      <c r="BY6" s="4">
        <v>0.505278</v>
      </c>
      <c r="BZ6" s="4">
        <v>1.669E-2</v>
      </c>
      <c r="CA6" s="4">
        <v>-0.215783</v>
      </c>
      <c r="CB6" s="4">
        <v>-0.33800000000000002</v>
      </c>
      <c r="CC6" s="4">
        <v>-0.17599999999999999</v>
      </c>
      <c r="CD6" s="4">
        <v>-0.105</v>
      </c>
      <c r="CE6" s="4">
        <v>-1.7600000000000001E-2</v>
      </c>
      <c r="CF6" s="4">
        <v>2.1000000000000001E-2</v>
      </c>
      <c r="CG6" s="4">
        <v>6.5000000000000002E-2</v>
      </c>
      <c r="CH6" s="4">
        <v>0.18</v>
      </c>
      <c r="CI6" s="4">
        <v>18.033999999999999</v>
      </c>
      <c r="CJ6" s="4">
        <v>20.815000999999999</v>
      </c>
      <c r="CK6" s="4">
        <v>21.464001</v>
      </c>
      <c r="CL6" s="4">
        <v>21.672999999999998</v>
      </c>
      <c r="CM6" s="4">
        <v>21.896999000000001</v>
      </c>
      <c r="CN6" s="4">
        <v>22.485001</v>
      </c>
      <c r="CO6" s="4">
        <v>23.247</v>
      </c>
      <c r="CP6" s="4">
        <v>24.040731000000001</v>
      </c>
      <c r="CQ6" s="4">
        <v>0.47146500000000002</v>
      </c>
      <c r="CR6" s="4">
        <v>15.445878</v>
      </c>
      <c r="CS6" s="4">
        <v>17.302261999999999</v>
      </c>
      <c r="CT6" s="1">
        <v>1</v>
      </c>
      <c r="CU6" s="1">
        <v>56</v>
      </c>
      <c r="CV6" s="4">
        <v>17.570903000000001</v>
      </c>
      <c r="CW6" s="4">
        <v>13.222222</v>
      </c>
      <c r="CX6" s="4">
        <v>9.9571810000000003</v>
      </c>
      <c r="CY6" s="4">
        <v>99.145459000000002</v>
      </c>
      <c r="CZ6" s="4">
        <v>0.56668600000000002</v>
      </c>
      <c r="DA6" s="4">
        <v>14</v>
      </c>
      <c r="DB6" s="4">
        <v>0.49422100000000002</v>
      </c>
      <c r="DC6" s="4">
        <v>2.8083089999999999</v>
      </c>
      <c r="DD6" s="4">
        <v>8.1427949999999996</v>
      </c>
      <c r="DE6" s="4">
        <v>17.570903000000001</v>
      </c>
      <c r="DF6" s="4">
        <v>5.6284299999999998</v>
      </c>
      <c r="DG6" s="4">
        <v>0.52674299999999996</v>
      </c>
      <c r="DH6" s="4">
        <v>0.48239300000000002</v>
      </c>
      <c r="DI6" s="4">
        <v>0.32032699999999997</v>
      </c>
      <c r="DJ6" s="4">
        <v>9.3586000000000003E-2</v>
      </c>
      <c r="DK6" s="4">
        <v>8.5706000000000004E-2</v>
      </c>
      <c r="DL6" s="4">
        <v>1</v>
      </c>
      <c r="DM6" s="4">
        <v>3</v>
      </c>
      <c r="DN6" s="4">
        <v>5</v>
      </c>
      <c r="DO6" s="4">
        <v>8</v>
      </c>
      <c r="DP6" s="4">
        <v>10</v>
      </c>
      <c r="DQ6" s="4">
        <v>11</v>
      </c>
      <c r="DR6" s="4">
        <v>14</v>
      </c>
      <c r="DS6" s="4">
        <v>17</v>
      </c>
      <c r="DT6" s="4">
        <v>20</v>
      </c>
      <c r="DU6" s="4">
        <v>23</v>
      </c>
      <c r="DV6" s="4">
        <v>24</v>
      </c>
      <c r="DW6" s="4">
        <v>26</v>
      </c>
      <c r="DX6" s="4">
        <v>31</v>
      </c>
      <c r="DY6" s="4">
        <v>36</v>
      </c>
      <c r="DZ6" s="4">
        <v>44</v>
      </c>
      <c r="EA6" s="4">
        <v>96.012558999999996</v>
      </c>
      <c r="EB6" s="4">
        <v>51.586523</v>
      </c>
      <c r="EC6" s="4">
        <v>99.026687999999993</v>
      </c>
      <c r="ED6" s="4">
        <v>6116</v>
      </c>
      <c r="EE6" s="4">
        <v>6308</v>
      </c>
      <c r="EF6" s="4">
        <v>95.839873999999995</v>
      </c>
      <c r="EG6" s="4">
        <v>100</v>
      </c>
      <c r="EH6" s="4">
        <v>51.054955999999997</v>
      </c>
      <c r="EI6" s="4">
        <v>88.608113000000003</v>
      </c>
      <c r="EJ6" s="4">
        <v>98.006279000000006</v>
      </c>
      <c r="EK6" s="4">
        <v>170.09419199999999</v>
      </c>
      <c r="EL6" s="4">
        <v>6105</v>
      </c>
      <c r="EM6" s="4">
        <v>6370</v>
      </c>
      <c r="EN6" s="4">
        <v>6243</v>
      </c>
      <c r="EO6" s="4">
        <v>10835</v>
      </c>
      <c r="EP6" s="4">
        <v>6370</v>
      </c>
      <c r="EQ6" s="4">
        <v>12228</v>
      </c>
      <c r="ER6" s="4">
        <v>45.150077000000003</v>
      </c>
    </row>
    <row r="7" spans="1:148" x14ac:dyDescent="0.2">
      <c r="A7" s="1">
        <v>2022</v>
      </c>
      <c r="B7" s="1" t="str">
        <f t="shared" si="0"/>
        <v>NE</v>
      </c>
      <c r="C7" s="1" t="s">
        <v>181</v>
      </c>
      <c r="D7" s="1" t="s">
        <v>181</v>
      </c>
      <c r="E7" s="1">
        <v>18413</v>
      </c>
      <c r="F7" s="1" t="s">
        <v>2045</v>
      </c>
      <c r="G7" s="1" t="s">
        <v>182</v>
      </c>
      <c r="H7" s="1" t="s">
        <v>183</v>
      </c>
      <c r="I7" s="1">
        <v>14.41</v>
      </c>
      <c r="J7" s="1">
        <v>14.41</v>
      </c>
      <c r="K7" s="1" t="s">
        <v>184</v>
      </c>
      <c r="L7" s="1">
        <v>1</v>
      </c>
      <c r="M7" s="1">
        <v>2010</v>
      </c>
      <c r="N7" s="1">
        <v>2</v>
      </c>
      <c r="O7" s="1">
        <v>2</v>
      </c>
      <c r="P7" s="1" t="str">
        <f t="shared" si="1"/>
        <v>Talhadia</v>
      </c>
      <c r="Q7" s="2">
        <v>40497</v>
      </c>
      <c r="R7" s="1" t="s">
        <v>149</v>
      </c>
      <c r="S7" s="1" t="s">
        <v>185</v>
      </c>
      <c r="T7" s="1" t="s">
        <v>2268</v>
      </c>
      <c r="U7" s="1" t="s">
        <v>170</v>
      </c>
      <c r="V7" s="1" t="s">
        <v>152</v>
      </c>
      <c r="W7" s="2">
        <v>44790</v>
      </c>
      <c r="X7" s="1" t="s">
        <v>186</v>
      </c>
      <c r="Y7" s="1">
        <v>48.61</v>
      </c>
      <c r="Z7" s="1">
        <v>21</v>
      </c>
      <c r="AA7" s="1">
        <v>36</v>
      </c>
      <c r="AB7" s="1">
        <v>13.7</v>
      </c>
      <c r="AC7" s="1">
        <v>7</v>
      </c>
      <c r="AD7" s="3">
        <v>287.7</v>
      </c>
      <c r="AE7" s="3">
        <v>231.01927484992001</v>
      </c>
      <c r="AF7" s="2">
        <v>44790</v>
      </c>
      <c r="AG7" s="1">
        <v>141</v>
      </c>
      <c r="AH7" s="3">
        <v>11.7535934291581</v>
      </c>
      <c r="AI7" s="4">
        <v>27.2932925242654</v>
      </c>
      <c r="AJ7" s="4">
        <v>16.827586206896601</v>
      </c>
      <c r="AK7" s="4">
        <v>29.691965040808199</v>
      </c>
      <c r="AL7" s="1">
        <v>29</v>
      </c>
      <c r="AM7" s="5">
        <v>1255.3065114951801</v>
      </c>
      <c r="AN7" s="4">
        <v>372.206302405408</v>
      </c>
      <c r="AO7" s="4">
        <v>0.29650631060781801</v>
      </c>
      <c r="AP7" s="1" t="s">
        <v>163</v>
      </c>
      <c r="AQ7" s="1" t="s">
        <v>156</v>
      </c>
      <c r="AR7" s="1" t="s">
        <v>164</v>
      </c>
      <c r="AS7" s="1">
        <v>9.99</v>
      </c>
      <c r="AT7" s="4">
        <v>1.2540512049836849</v>
      </c>
      <c r="AU7" s="1" t="s">
        <v>187</v>
      </c>
      <c r="AV7" s="1" t="s">
        <v>188</v>
      </c>
      <c r="AW7" s="1">
        <v>3954</v>
      </c>
      <c r="AX7" s="1">
        <v>1838</v>
      </c>
      <c r="AY7" s="1">
        <v>1402</v>
      </c>
      <c r="AZ7" s="1">
        <v>627</v>
      </c>
      <c r="BA7" s="1">
        <v>87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4">
        <v>-1.151</v>
      </c>
      <c r="BI7" s="4">
        <v>36.106997999999997</v>
      </c>
      <c r="BJ7" s="4">
        <v>18.326546</v>
      </c>
      <c r="BK7" s="4">
        <v>3.1794000000000003E-2</v>
      </c>
      <c r="BL7" s="4">
        <v>13.357965999999999</v>
      </c>
      <c r="BM7" s="4">
        <v>178.435261</v>
      </c>
      <c r="BN7" s="4">
        <v>0.72888600000000003</v>
      </c>
      <c r="BO7" s="4">
        <v>29.107751</v>
      </c>
      <c r="BP7" s="4">
        <v>-0.32982699999999998</v>
      </c>
      <c r="BQ7" s="4">
        <v>1.4136550000000001</v>
      </c>
      <c r="BR7" s="4">
        <v>12.271341</v>
      </c>
      <c r="BS7" s="4">
        <v>8.9010010000000008</v>
      </c>
      <c r="BT7" s="4">
        <v>23.981705000000002</v>
      </c>
      <c r="BU7" s="4">
        <v>18.326546</v>
      </c>
      <c r="BV7" s="4">
        <v>7.4154350000000004</v>
      </c>
      <c r="BW7" s="4">
        <v>-0.75883</v>
      </c>
      <c r="BX7" s="4">
        <v>-0.87282899999999997</v>
      </c>
      <c r="BY7" s="4">
        <v>0.40462799999999999</v>
      </c>
      <c r="BZ7" s="4">
        <v>-0.10233100000000001</v>
      </c>
      <c r="CA7" s="4">
        <v>-0.117704</v>
      </c>
      <c r="CB7" s="4">
        <v>-0.38323000000000002</v>
      </c>
      <c r="CC7" s="4">
        <v>-3.0349999999999999E-2</v>
      </c>
      <c r="CD7" s="4">
        <v>0.2016</v>
      </c>
      <c r="CE7" s="4">
        <v>0.7056</v>
      </c>
      <c r="CF7" s="4">
        <v>1.0602499999999999</v>
      </c>
      <c r="CG7" s="4">
        <v>2.8988999999999998</v>
      </c>
      <c r="CH7" s="4">
        <v>16.304600000000001</v>
      </c>
      <c r="CI7" s="4">
        <v>24.013500000000001</v>
      </c>
      <c r="CJ7" s="4">
        <v>27.005800000000001</v>
      </c>
      <c r="CK7" s="4">
        <v>29.521000000000001</v>
      </c>
      <c r="CL7" s="4">
        <v>30.168001</v>
      </c>
      <c r="CM7" s="4">
        <v>31.507798999999999</v>
      </c>
      <c r="CN7" s="4">
        <v>33.095001000000003</v>
      </c>
      <c r="CO7" s="4">
        <v>33.810397999999999</v>
      </c>
      <c r="CP7" s="4">
        <v>35.135471000000003</v>
      </c>
      <c r="CQ7" s="4">
        <v>0.52277499999999999</v>
      </c>
      <c r="CR7" s="4">
        <v>22.677133999999999</v>
      </c>
      <c r="CS7" s="4">
        <v>24.758773000000001</v>
      </c>
      <c r="CT7" s="1">
        <v>1</v>
      </c>
      <c r="CU7" s="1">
        <v>48</v>
      </c>
      <c r="CV7" s="4">
        <v>9.4754679999999993</v>
      </c>
      <c r="CW7" s="4">
        <v>1</v>
      </c>
      <c r="CX7" s="4">
        <v>6.941046</v>
      </c>
      <c r="CY7" s="4">
        <v>48.178122999999999</v>
      </c>
      <c r="CZ7" s="4">
        <v>0.73252799999999996</v>
      </c>
      <c r="DA7" s="4">
        <v>9</v>
      </c>
      <c r="DB7" s="4">
        <v>1.3279540000000001</v>
      </c>
      <c r="DC7" s="4">
        <v>5.4806290000000004</v>
      </c>
      <c r="DD7" s="4">
        <v>5.3553579999999998</v>
      </c>
      <c r="DE7" s="4">
        <v>9.4754679999999993</v>
      </c>
      <c r="DF7" s="4">
        <v>3.7023459999999999</v>
      </c>
      <c r="DG7" s="4">
        <v>0.80979400000000001</v>
      </c>
      <c r="DH7" s="4">
        <v>0.48295700000000003</v>
      </c>
      <c r="DI7" s="4">
        <v>0.39073000000000002</v>
      </c>
      <c r="DJ7" s="4">
        <v>0.218724</v>
      </c>
      <c r="DK7" s="4">
        <v>0.13044600000000001</v>
      </c>
      <c r="DL7" s="4">
        <v>1</v>
      </c>
      <c r="DM7" s="4">
        <v>1</v>
      </c>
      <c r="DN7" s="4">
        <v>2</v>
      </c>
      <c r="DO7" s="4">
        <v>4</v>
      </c>
      <c r="DP7" s="4">
        <v>4</v>
      </c>
      <c r="DQ7" s="4">
        <v>5</v>
      </c>
      <c r="DR7" s="4">
        <v>6</v>
      </c>
      <c r="DS7" s="4">
        <v>8</v>
      </c>
      <c r="DT7" s="4">
        <v>10</v>
      </c>
      <c r="DU7" s="4">
        <v>12</v>
      </c>
      <c r="DV7" s="4">
        <v>13</v>
      </c>
      <c r="DW7" s="4">
        <v>14</v>
      </c>
      <c r="DX7" s="4">
        <v>18</v>
      </c>
      <c r="DY7" s="4">
        <v>22.350097999999999</v>
      </c>
      <c r="DZ7" s="4">
        <v>33</v>
      </c>
      <c r="EA7" s="4">
        <v>96.245919000000001</v>
      </c>
      <c r="EB7" s="4">
        <v>69.903895000000006</v>
      </c>
      <c r="EC7" s="4">
        <v>150.38084900000001</v>
      </c>
      <c r="ED7" s="4">
        <v>1769</v>
      </c>
      <c r="EE7" s="4">
        <v>2764</v>
      </c>
      <c r="EF7" s="4">
        <v>91.730141000000003</v>
      </c>
      <c r="EG7" s="4">
        <v>99.782371999999995</v>
      </c>
      <c r="EH7" s="4">
        <v>56.626201000000002</v>
      </c>
      <c r="EI7" s="4">
        <v>93.829033999999993</v>
      </c>
      <c r="EJ7" s="4">
        <v>121.817193</v>
      </c>
      <c r="EK7" s="4">
        <v>201.84983700000001</v>
      </c>
      <c r="EL7" s="4">
        <v>1686</v>
      </c>
      <c r="EM7" s="4">
        <v>1834</v>
      </c>
      <c r="EN7" s="4">
        <v>2239</v>
      </c>
      <c r="EO7" s="4">
        <v>3710</v>
      </c>
      <c r="EP7" s="4">
        <v>1838</v>
      </c>
      <c r="EQ7" s="4">
        <v>3954</v>
      </c>
      <c r="ER7" s="4">
        <v>51.175064999999996</v>
      </c>
    </row>
    <row r="8" spans="1:148" x14ac:dyDescent="0.2">
      <c r="A8" s="1">
        <v>2022</v>
      </c>
      <c r="B8" s="1" t="str">
        <f t="shared" si="0"/>
        <v>GN</v>
      </c>
      <c r="C8" s="1" t="s">
        <v>189</v>
      </c>
      <c r="D8" s="1" t="s">
        <v>189</v>
      </c>
      <c r="E8" s="1">
        <v>18458</v>
      </c>
      <c r="F8" s="1" t="s">
        <v>2046</v>
      </c>
      <c r="G8" s="1" t="s">
        <v>190</v>
      </c>
      <c r="H8" s="1" t="s">
        <v>191</v>
      </c>
      <c r="I8" s="1">
        <v>14.89</v>
      </c>
      <c r="J8" s="1">
        <v>14.89</v>
      </c>
      <c r="K8" s="1" t="s">
        <v>192</v>
      </c>
      <c r="L8" s="1">
        <v>1</v>
      </c>
      <c r="M8" s="1">
        <v>2010</v>
      </c>
      <c r="N8" s="1">
        <v>3</v>
      </c>
      <c r="O8" s="1">
        <v>1</v>
      </c>
      <c r="P8" s="1" t="str">
        <f t="shared" si="1"/>
        <v>Alto fuste</v>
      </c>
      <c r="Q8" s="2">
        <v>40342</v>
      </c>
      <c r="R8" s="1" t="s">
        <v>169</v>
      </c>
      <c r="S8" s="1" t="s">
        <v>193</v>
      </c>
      <c r="T8" s="1" t="s">
        <v>2268</v>
      </c>
      <c r="U8" s="1" t="s">
        <v>192</v>
      </c>
      <c r="V8" s="1" t="s">
        <v>152</v>
      </c>
      <c r="W8" s="2">
        <v>44712</v>
      </c>
      <c r="X8" s="1" t="s">
        <v>194</v>
      </c>
      <c r="Y8" s="1">
        <v>117.3</v>
      </c>
      <c r="Z8" s="1">
        <v>20.2</v>
      </c>
      <c r="AA8" s="1">
        <v>13</v>
      </c>
      <c r="AB8" s="1">
        <v>15.3</v>
      </c>
      <c r="AC8" s="1">
        <v>1</v>
      </c>
      <c r="AD8" s="3">
        <v>309.06</v>
      </c>
      <c r="AE8" s="3">
        <v>301.09294732282501</v>
      </c>
      <c r="AF8" s="2">
        <v>44712</v>
      </c>
      <c r="AG8" s="1">
        <v>143</v>
      </c>
      <c r="AH8" s="3">
        <v>11.9644079397673</v>
      </c>
      <c r="AI8" s="4">
        <v>30.406234652092099</v>
      </c>
      <c r="AJ8" s="4">
        <v>22.513043478260901</v>
      </c>
      <c r="AK8" s="4">
        <v>31.118720601958</v>
      </c>
      <c r="AL8" s="1">
        <v>23</v>
      </c>
      <c r="AM8" s="5">
        <v>763.88371778565602</v>
      </c>
      <c r="AN8" s="4">
        <v>413.02204433443097</v>
      </c>
      <c r="AO8" s="4">
        <v>0.54068706364327002</v>
      </c>
      <c r="AP8" s="1" t="s">
        <v>163</v>
      </c>
      <c r="AQ8" s="1" t="s">
        <v>156</v>
      </c>
      <c r="AR8" s="1" t="s">
        <v>164</v>
      </c>
      <c r="AS8" s="1">
        <v>9</v>
      </c>
      <c r="AT8" s="4">
        <v>0.68749534600709039</v>
      </c>
      <c r="AU8" s="1" t="s">
        <v>195</v>
      </c>
      <c r="AV8" s="1" t="s">
        <v>196</v>
      </c>
      <c r="AW8" s="1">
        <v>3149</v>
      </c>
      <c r="AX8" s="1">
        <v>1872</v>
      </c>
      <c r="AY8" s="1">
        <v>1020</v>
      </c>
      <c r="AZ8" s="1">
        <v>237</v>
      </c>
      <c r="BA8" s="1">
        <v>20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4">
        <v>-0.92700000000000005</v>
      </c>
      <c r="BI8" s="4">
        <v>31.004000000000001</v>
      </c>
      <c r="BJ8" s="4">
        <v>18.599108999999999</v>
      </c>
      <c r="BK8" s="4">
        <v>-0.420159</v>
      </c>
      <c r="BL8" s="4">
        <v>11.346897</v>
      </c>
      <c r="BM8" s="4">
        <v>128.752071</v>
      </c>
      <c r="BN8" s="4">
        <v>0.61007699999999998</v>
      </c>
      <c r="BO8" s="4">
        <v>20.361999999999998</v>
      </c>
      <c r="BP8" s="4">
        <v>-0.68761300000000003</v>
      </c>
      <c r="BQ8" s="4">
        <v>1.7910269999999999</v>
      </c>
      <c r="BR8" s="4">
        <v>10.204705000000001</v>
      </c>
      <c r="BS8" s="4">
        <v>4.7100010000000001</v>
      </c>
      <c r="BT8" s="4">
        <v>24.830158000000001</v>
      </c>
      <c r="BU8" s="4">
        <v>18.599108999999999</v>
      </c>
      <c r="BV8" s="4">
        <v>6.1065250000000004</v>
      </c>
      <c r="BW8" s="4">
        <v>-1.4996419999999999</v>
      </c>
      <c r="BX8" s="4">
        <v>-0.317189</v>
      </c>
      <c r="BY8" s="4">
        <v>0.328324</v>
      </c>
      <c r="BZ8" s="4">
        <v>-0.24557999999999999</v>
      </c>
      <c r="CA8" s="4">
        <v>-5.1943000000000003E-2</v>
      </c>
      <c r="CB8" s="4">
        <v>-0.34952</v>
      </c>
      <c r="CC8" s="4">
        <v>-7.5600000000000001E-2</v>
      </c>
      <c r="CD8" s="4">
        <v>7.1999999999999995E-2</v>
      </c>
      <c r="CE8" s="4">
        <v>1.628199</v>
      </c>
      <c r="CF8" s="4">
        <v>7.6689999999999996</v>
      </c>
      <c r="CG8" s="4">
        <v>10.609401</v>
      </c>
      <c r="CH8" s="4">
        <v>21.788601</v>
      </c>
      <c r="CI8" s="4">
        <v>24.41</v>
      </c>
      <c r="CJ8" s="4">
        <v>26.004200000000001</v>
      </c>
      <c r="CK8" s="4">
        <v>27.3766</v>
      </c>
      <c r="CL8" s="4">
        <v>28.030999999999999</v>
      </c>
      <c r="CM8" s="4">
        <v>28.562401000000001</v>
      </c>
      <c r="CN8" s="4">
        <v>29.294599999999999</v>
      </c>
      <c r="CO8" s="4">
        <v>29.703399999999998</v>
      </c>
      <c r="CP8" s="4">
        <v>30.296040000000001</v>
      </c>
      <c r="CQ8" s="4">
        <v>0.61150899999999997</v>
      </c>
      <c r="CR8" s="4">
        <v>21.786189</v>
      </c>
      <c r="CS8" s="4">
        <v>23.276696000000001</v>
      </c>
      <c r="CT8" s="1">
        <v>1</v>
      </c>
      <c r="CU8" s="1">
        <v>37</v>
      </c>
      <c r="CV8" s="4">
        <v>8.3988569999999996</v>
      </c>
      <c r="CW8" s="4">
        <v>1</v>
      </c>
      <c r="CX8" s="4">
        <v>5.5126350000000004</v>
      </c>
      <c r="CY8" s="4">
        <v>30.389147000000001</v>
      </c>
      <c r="CZ8" s="4">
        <v>0.65635500000000002</v>
      </c>
      <c r="DA8" s="4">
        <v>8</v>
      </c>
      <c r="DB8" s="4">
        <v>0.78979699999999997</v>
      </c>
      <c r="DC8" s="4">
        <v>3.5594440000000001</v>
      </c>
      <c r="DD8" s="4">
        <v>4.4735659999999999</v>
      </c>
      <c r="DE8" s="4">
        <v>8.3988569999999996</v>
      </c>
      <c r="DF8" s="4">
        <v>3.0651869999999999</v>
      </c>
      <c r="DG8" s="4">
        <v>0.447855</v>
      </c>
      <c r="DH8" s="4">
        <v>0.252249</v>
      </c>
      <c r="DI8" s="4">
        <v>0.36495300000000003</v>
      </c>
      <c r="DJ8" s="4">
        <v>0.14610999999999999</v>
      </c>
      <c r="DK8" s="4">
        <v>8.2294999999999993E-2</v>
      </c>
      <c r="DL8" s="4">
        <v>1</v>
      </c>
      <c r="DM8" s="4">
        <v>1</v>
      </c>
      <c r="DN8" s="4">
        <v>2</v>
      </c>
      <c r="DO8" s="4">
        <v>3</v>
      </c>
      <c r="DP8" s="4">
        <v>4</v>
      </c>
      <c r="DQ8" s="4">
        <v>5</v>
      </c>
      <c r="DR8" s="4">
        <v>6</v>
      </c>
      <c r="DS8" s="4">
        <v>8</v>
      </c>
      <c r="DT8" s="4">
        <v>9</v>
      </c>
      <c r="DU8" s="4">
        <v>11</v>
      </c>
      <c r="DV8" s="4">
        <v>12</v>
      </c>
      <c r="DW8" s="4">
        <v>13</v>
      </c>
      <c r="DX8" s="4">
        <v>16</v>
      </c>
      <c r="DY8" s="4">
        <v>18</v>
      </c>
      <c r="DZ8" s="4">
        <v>24</v>
      </c>
      <c r="EA8" s="4">
        <v>98.344016999999994</v>
      </c>
      <c r="EB8" s="4">
        <v>79.739599999999996</v>
      </c>
      <c r="EC8" s="4">
        <v>134.134615</v>
      </c>
      <c r="ED8" s="4">
        <v>1841</v>
      </c>
      <c r="EE8" s="4">
        <v>2511</v>
      </c>
      <c r="EF8" s="4">
        <v>90.170940000000002</v>
      </c>
      <c r="EG8" s="4">
        <v>100</v>
      </c>
      <c r="EH8" s="4">
        <v>63.671007000000003</v>
      </c>
      <c r="EI8" s="4">
        <v>99.396634000000006</v>
      </c>
      <c r="EJ8" s="4">
        <v>107.10470100000001</v>
      </c>
      <c r="EK8" s="4">
        <v>167.20085499999999</v>
      </c>
      <c r="EL8" s="4">
        <v>1688</v>
      </c>
      <c r="EM8" s="4">
        <v>1872</v>
      </c>
      <c r="EN8" s="4">
        <v>2005</v>
      </c>
      <c r="EO8" s="4">
        <v>3130</v>
      </c>
      <c r="EP8" s="4">
        <v>1872</v>
      </c>
      <c r="EQ8" s="4">
        <v>3149</v>
      </c>
      <c r="ER8" s="4">
        <v>60.421996999999998</v>
      </c>
    </row>
    <row r="9" spans="1:148" x14ac:dyDescent="0.2">
      <c r="A9" s="1">
        <v>2022</v>
      </c>
      <c r="B9" s="1" t="str">
        <f t="shared" si="0"/>
        <v>GN</v>
      </c>
      <c r="C9" s="1" t="s">
        <v>197</v>
      </c>
      <c r="D9" s="1" t="s">
        <v>197</v>
      </c>
      <c r="E9" s="1">
        <v>18459</v>
      </c>
      <c r="F9" s="1" t="s">
        <v>2047</v>
      </c>
      <c r="G9" s="1" t="s">
        <v>190</v>
      </c>
      <c r="H9" s="1" t="s">
        <v>198</v>
      </c>
      <c r="I9" s="1">
        <v>41.18</v>
      </c>
      <c r="J9" s="1">
        <v>41.18</v>
      </c>
      <c r="K9" s="1" t="s">
        <v>192</v>
      </c>
      <c r="L9" s="1">
        <v>1</v>
      </c>
      <c r="M9" s="1">
        <v>2010</v>
      </c>
      <c r="N9" s="1">
        <v>2</v>
      </c>
      <c r="O9" s="1">
        <v>2</v>
      </c>
      <c r="P9" s="1" t="str">
        <f t="shared" si="1"/>
        <v>Talhadia</v>
      </c>
      <c r="Q9" s="2">
        <v>40224</v>
      </c>
      <c r="R9" s="1" t="s">
        <v>149</v>
      </c>
      <c r="S9" s="1" t="s">
        <v>199</v>
      </c>
      <c r="T9" s="1" t="s">
        <v>2268</v>
      </c>
      <c r="U9" s="1" t="s">
        <v>192</v>
      </c>
      <c r="V9" s="1" t="s">
        <v>152</v>
      </c>
      <c r="W9" s="2">
        <v>44712</v>
      </c>
      <c r="X9" s="1" t="s">
        <v>194</v>
      </c>
      <c r="Y9" s="1">
        <v>77.55</v>
      </c>
      <c r="Z9" s="1">
        <v>21</v>
      </c>
      <c r="AA9" s="1">
        <v>13</v>
      </c>
      <c r="AB9" s="1">
        <v>15.3</v>
      </c>
      <c r="AC9" s="1">
        <v>1</v>
      </c>
      <c r="AD9" s="3">
        <v>321.3</v>
      </c>
      <c r="AE9" s="3">
        <v>313.01742048412501</v>
      </c>
      <c r="AF9" s="2">
        <v>44711</v>
      </c>
      <c r="AG9" s="1">
        <v>147</v>
      </c>
      <c r="AH9" s="3">
        <v>12.2847364818617</v>
      </c>
      <c r="AI9" s="4">
        <v>32.328411342582697</v>
      </c>
      <c r="AJ9" s="4">
        <v>22.3681818181818</v>
      </c>
      <c r="AK9" s="4">
        <v>29.245420559150801</v>
      </c>
      <c r="AL9" s="1">
        <v>22</v>
      </c>
      <c r="AM9" s="5">
        <v>702.83628195433801</v>
      </c>
      <c r="AN9" s="4">
        <v>434.40546504678503</v>
      </c>
      <c r="AO9" s="4">
        <v>0.61807490051432401</v>
      </c>
      <c r="AP9" s="1" t="s">
        <v>163</v>
      </c>
      <c r="AQ9" s="1" t="s">
        <v>156</v>
      </c>
      <c r="AR9" s="1" t="s">
        <v>164</v>
      </c>
      <c r="AS9" s="1">
        <v>9.99</v>
      </c>
      <c r="AT9" s="4">
        <v>0.70213344567238367</v>
      </c>
      <c r="AU9" s="1" t="s">
        <v>200</v>
      </c>
      <c r="AV9" s="1" t="s">
        <v>201</v>
      </c>
      <c r="AW9" s="1">
        <v>3948</v>
      </c>
      <c r="AX9" s="1">
        <v>2392</v>
      </c>
      <c r="AY9" s="1">
        <v>1321</v>
      </c>
      <c r="AZ9" s="1">
        <v>218</v>
      </c>
      <c r="BA9" s="1">
        <v>17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4">
        <v>-1.0409999999999999</v>
      </c>
      <c r="BI9" s="4">
        <v>38.838000999999998</v>
      </c>
      <c r="BJ9" s="4">
        <v>21.113333000000001</v>
      </c>
      <c r="BK9" s="4">
        <v>-0.40799999999999997</v>
      </c>
      <c r="BL9" s="4">
        <v>16.511448999999999</v>
      </c>
      <c r="BM9" s="4">
        <v>272.62793299999998</v>
      </c>
      <c r="BN9" s="4">
        <v>0.78203900000000004</v>
      </c>
      <c r="BO9" s="4">
        <v>35.843502000000001</v>
      </c>
      <c r="BP9" s="4">
        <v>-0.40250599999999997</v>
      </c>
      <c r="BQ9" s="4">
        <v>1.284257</v>
      </c>
      <c r="BR9" s="4">
        <v>15.633884</v>
      </c>
      <c r="BS9" s="4">
        <v>5.0085009999999999</v>
      </c>
      <c r="BT9" s="4">
        <v>33.009003</v>
      </c>
      <c r="BU9" s="4">
        <v>21.113333000000001</v>
      </c>
      <c r="BV9" s="4">
        <v>8.7327519999999996</v>
      </c>
      <c r="BW9" s="4">
        <v>-1.3216220000000001</v>
      </c>
      <c r="BX9" s="4">
        <v>-1.489914</v>
      </c>
      <c r="BY9" s="4">
        <v>0.41361300000000001</v>
      </c>
      <c r="BZ9" s="4">
        <v>-0.151341</v>
      </c>
      <c r="CA9" s="4">
        <v>-0.17061200000000001</v>
      </c>
      <c r="CB9" s="4">
        <v>-0.62553000000000003</v>
      </c>
      <c r="CC9" s="4">
        <v>-0.35065000000000002</v>
      </c>
      <c r="CD9" s="4">
        <v>-0.22700000000000001</v>
      </c>
      <c r="CE9" s="4">
        <v>-7.3599999999999999E-2</v>
      </c>
      <c r="CF9" s="4">
        <v>3.7499999999999999E-3</v>
      </c>
      <c r="CG9" s="4">
        <v>0.1391</v>
      </c>
      <c r="CH9" s="4">
        <v>22.124200999999999</v>
      </c>
      <c r="CI9" s="4">
        <v>32.600997999999997</v>
      </c>
      <c r="CJ9" s="4">
        <v>34.355998999999997</v>
      </c>
      <c r="CK9" s="4">
        <v>35.404598</v>
      </c>
      <c r="CL9" s="4">
        <v>35.847251999999997</v>
      </c>
      <c r="CM9" s="4">
        <v>36.169403000000003</v>
      </c>
      <c r="CN9" s="4">
        <v>36.830002</v>
      </c>
      <c r="CO9" s="4">
        <v>37.337001999999998</v>
      </c>
      <c r="CP9" s="4">
        <v>37.954712000000001</v>
      </c>
      <c r="CQ9" s="4">
        <v>0.55553900000000001</v>
      </c>
      <c r="CR9" s="4">
        <v>26.801711000000001</v>
      </c>
      <c r="CS9" s="4">
        <v>29.187132999999999</v>
      </c>
      <c r="CT9" s="1">
        <v>1</v>
      </c>
      <c r="CU9" s="1">
        <v>53</v>
      </c>
      <c r="CV9" s="4">
        <v>15.386272</v>
      </c>
      <c r="CW9" s="4">
        <v>1</v>
      </c>
      <c r="CX9" s="4">
        <v>10.743573</v>
      </c>
      <c r="CY9" s="4">
        <v>115.424357</v>
      </c>
      <c r="CZ9" s="4">
        <v>0.69825700000000002</v>
      </c>
      <c r="DA9" s="4">
        <v>18</v>
      </c>
      <c r="DB9" s="4">
        <v>0.52569699999999997</v>
      </c>
      <c r="DC9" s="4">
        <v>2.8266840000000002</v>
      </c>
      <c r="DD9" s="4">
        <v>8.9681080000000009</v>
      </c>
      <c r="DE9" s="4">
        <v>15.386272</v>
      </c>
      <c r="DF9" s="4">
        <v>6.0435549999999996</v>
      </c>
      <c r="DG9" s="4">
        <v>0.58057099999999995</v>
      </c>
      <c r="DH9" s="4">
        <v>0.28126099999999998</v>
      </c>
      <c r="DI9" s="4">
        <v>0.392789</v>
      </c>
      <c r="DJ9" s="4">
        <v>9.6063999999999997E-2</v>
      </c>
      <c r="DK9" s="4">
        <v>4.6538999999999997E-2</v>
      </c>
      <c r="DL9" s="4">
        <v>1</v>
      </c>
      <c r="DM9" s="4">
        <v>1</v>
      </c>
      <c r="DN9" s="4">
        <v>2</v>
      </c>
      <c r="DO9" s="4">
        <v>4</v>
      </c>
      <c r="DP9" s="4">
        <v>5</v>
      </c>
      <c r="DQ9" s="4">
        <v>7</v>
      </c>
      <c r="DR9" s="4">
        <v>11</v>
      </c>
      <c r="DS9" s="4">
        <v>15</v>
      </c>
      <c r="DT9" s="4">
        <v>19</v>
      </c>
      <c r="DU9" s="4">
        <v>21</v>
      </c>
      <c r="DV9" s="4">
        <v>23</v>
      </c>
      <c r="DW9" s="4">
        <v>24</v>
      </c>
      <c r="DX9" s="4">
        <v>28</v>
      </c>
      <c r="DY9" s="4">
        <v>35</v>
      </c>
      <c r="DZ9" s="4">
        <v>44</v>
      </c>
      <c r="EA9" s="4">
        <v>92.015050000000002</v>
      </c>
      <c r="EB9" s="4">
        <v>65.070921999999996</v>
      </c>
      <c r="EC9" s="4">
        <v>107.399666</v>
      </c>
      <c r="ED9" s="4">
        <v>2201</v>
      </c>
      <c r="EE9" s="4">
        <v>2569</v>
      </c>
      <c r="EF9" s="4">
        <v>90.133779000000004</v>
      </c>
      <c r="EG9" s="4">
        <v>100</v>
      </c>
      <c r="EH9" s="4">
        <v>60.866261000000002</v>
      </c>
      <c r="EI9" s="4">
        <v>96.580546999999996</v>
      </c>
      <c r="EJ9" s="4">
        <v>100.45986600000001</v>
      </c>
      <c r="EK9" s="4">
        <v>159.40635499999999</v>
      </c>
      <c r="EL9" s="4">
        <v>2156</v>
      </c>
      <c r="EM9" s="4">
        <v>2392</v>
      </c>
      <c r="EN9" s="4">
        <v>2403</v>
      </c>
      <c r="EO9" s="4">
        <v>3813</v>
      </c>
      <c r="EP9" s="4">
        <v>2392</v>
      </c>
      <c r="EQ9" s="4">
        <v>3948</v>
      </c>
      <c r="ER9" s="4">
        <v>54.764059000000003</v>
      </c>
    </row>
    <row r="10" spans="1:148" x14ac:dyDescent="0.2">
      <c r="A10" s="1">
        <v>2022</v>
      </c>
      <c r="B10" s="1" t="str">
        <f t="shared" si="0"/>
        <v>GN</v>
      </c>
      <c r="C10" s="1" t="s">
        <v>202</v>
      </c>
      <c r="D10" s="1" t="s">
        <v>202</v>
      </c>
      <c r="E10" s="1">
        <v>18466</v>
      </c>
      <c r="F10" s="1" t="s">
        <v>2047</v>
      </c>
      <c r="G10" s="1" t="s">
        <v>190</v>
      </c>
      <c r="H10" s="1" t="s">
        <v>203</v>
      </c>
      <c r="I10" s="1">
        <v>36.369999999999997</v>
      </c>
      <c r="J10" s="1">
        <v>36.369999999999997</v>
      </c>
      <c r="K10" s="1" t="s">
        <v>192</v>
      </c>
      <c r="L10" s="1">
        <v>1</v>
      </c>
      <c r="M10" s="1">
        <v>2010</v>
      </c>
      <c r="N10" s="1">
        <v>2</v>
      </c>
      <c r="O10" s="1">
        <v>2</v>
      </c>
      <c r="P10" s="1" t="str">
        <f t="shared" si="1"/>
        <v>Talhadia</v>
      </c>
      <c r="Q10" s="2">
        <v>40224</v>
      </c>
      <c r="R10" s="1" t="s">
        <v>149</v>
      </c>
      <c r="S10" s="1" t="s">
        <v>204</v>
      </c>
      <c r="T10" s="1" t="s">
        <v>2268</v>
      </c>
      <c r="U10" s="1" t="s">
        <v>192</v>
      </c>
      <c r="V10" s="1" t="s">
        <v>152</v>
      </c>
      <c r="W10" s="2">
        <v>44712</v>
      </c>
      <c r="X10" s="1" t="s">
        <v>194</v>
      </c>
      <c r="Y10" s="1">
        <v>77.55</v>
      </c>
      <c r="Z10" s="1">
        <v>19.8</v>
      </c>
      <c r="AA10" s="1">
        <v>26</v>
      </c>
      <c r="AB10" s="1">
        <v>16.3</v>
      </c>
      <c r="AC10" s="1">
        <v>3</v>
      </c>
      <c r="AD10" s="3">
        <v>322.74</v>
      </c>
      <c r="AE10" s="3">
        <v>289.67925034270502</v>
      </c>
      <c r="AF10" s="2">
        <v>44712</v>
      </c>
      <c r="AG10" s="1">
        <v>147</v>
      </c>
      <c r="AH10" s="3">
        <v>12.2874743326489</v>
      </c>
      <c r="AI10" s="4">
        <v>29.181731201614401</v>
      </c>
      <c r="AJ10" s="4">
        <v>17.893333333333299</v>
      </c>
      <c r="AK10" s="4">
        <v>28.527476838265301</v>
      </c>
      <c r="AL10" s="1">
        <v>30</v>
      </c>
      <c r="AM10" s="5">
        <v>1035.6281978950401</v>
      </c>
      <c r="AN10" s="4">
        <v>410.13127918057302</v>
      </c>
      <c r="AO10" s="4">
        <v>0.39602173831707599</v>
      </c>
      <c r="AP10" s="1" t="s">
        <v>163</v>
      </c>
      <c r="AQ10" s="1" t="s">
        <v>156</v>
      </c>
      <c r="AR10" s="1" t="s">
        <v>164</v>
      </c>
      <c r="AS10" s="1">
        <v>9.99</v>
      </c>
      <c r="AT10" s="4">
        <v>1.034592569697145</v>
      </c>
      <c r="AU10" s="1" t="s">
        <v>205</v>
      </c>
      <c r="AV10" s="1" t="s">
        <v>206</v>
      </c>
      <c r="AW10" s="1">
        <v>2804</v>
      </c>
      <c r="AX10" s="1">
        <v>1598</v>
      </c>
      <c r="AY10" s="1">
        <v>1077</v>
      </c>
      <c r="AZ10" s="1">
        <v>123</v>
      </c>
      <c r="BA10" s="1">
        <v>6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4">
        <v>-0.67100000000000004</v>
      </c>
      <c r="BI10" s="4">
        <v>37.827998999999998</v>
      </c>
      <c r="BJ10" s="4">
        <v>19.396108000000002</v>
      </c>
      <c r="BK10" s="4">
        <v>-5.9905E-2</v>
      </c>
      <c r="BL10" s="4">
        <v>16.392182999999999</v>
      </c>
      <c r="BM10" s="4">
        <v>268.703666</v>
      </c>
      <c r="BN10" s="4">
        <v>0.84512699999999996</v>
      </c>
      <c r="BO10" s="4">
        <v>34.224747999999998</v>
      </c>
      <c r="BP10" s="4">
        <v>-0.219583</v>
      </c>
      <c r="BQ10" s="4">
        <v>1.1313390000000001</v>
      </c>
      <c r="BR10" s="4">
        <v>15.912179</v>
      </c>
      <c r="BS10" s="4">
        <v>5.0385</v>
      </c>
      <c r="BT10" s="4">
        <v>31.974402999999999</v>
      </c>
      <c r="BU10" s="4">
        <v>19.396108000000002</v>
      </c>
      <c r="BV10" s="4">
        <v>8.6365920000000003</v>
      </c>
      <c r="BW10" s="4">
        <v>-0.72085699999999997</v>
      </c>
      <c r="BX10" s="4">
        <v>-1.744556</v>
      </c>
      <c r="BY10" s="4">
        <v>0.445274</v>
      </c>
      <c r="BZ10" s="4">
        <v>-8.3464999999999998E-2</v>
      </c>
      <c r="CA10" s="4">
        <v>-0.20199600000000001</v>
      </c>
      <c r="CB10" s="4">
        <v>-0.28172999999999998</v>
      </c>
      <c r="CC10" s="4">
        <v>-6.8500000000000002E-3</v>
      </c>
      <c r="CD10" s="4">
        <v>0.108</v>
      </c>
      <c r="CE10" s="4">
        <v>0.26919999999999999</v>
      </c>
      <c r="CF10" s="4">
        <v>0.34399999999999997</v>
      </c>
      <c r="CG10" s="4">
        <v>0.432</v>
      </c>
      <c r="CH10" s="4">
        <v>4.1463939999999999</v>
      </c>
      <c r="CI10" s="4">
        <v>31.914501000000001</v>
      </c>
      <c r="CJ10" s="4">
        <v>33.465800999999999</v>
      </c>
      <c r="CK10" s="4">
        <v>34.211497999999999</v>
      </c>
      <c r="CL10" s="4">
        <v>34.568747999999999</v>
      </c>
      <c r="CM10" s="4">
        <v>34.8964</v>
      </c>
      <c r="CN10" s="4">
        <v>35.670399000000003</v>
      </c>
      <c r="CO10" s="4">
        <v>36.343699999999998</v>
      </c>
      <c r="CP10" s="4">
        <v>37.301788000000002</v>
      </c>
      <c r="CQ10" s="4">
        <v>0.52123699999999995</v>
      </c>
      <c r="CR10" s="4">
        <v>25.393243999999999</v>
      </c>
      <c r="CS10" s="4">
        <v>28.003388000000001</v>
      </c>
      <c r="CT10" s="1">
        <v>1</v>
      </c>
      <c r="CU10" s="1">
        <v>29</v>
      </c>
      <c r="CV10" s="4">
        <v>8.6433669999999996</v>
      </c>
      <c r="CW10" s="4">
        <v>1</v>
      </c>
      <c r="CX10" s="4">
        <v>5.5303579999999997</v>
      </c>
      <c r="CY10" s="4">
        <v>30.584861</v>
      </c>
      <c r="CZ10" s="4">
        <v>0.63983800000000002</v>
      </c>
      <c r="DA10" s="4">
        <v>9</v>
      </c>
      <c r="DB10" s="4">
        <v>0.42491699999999999</v>
      </c>
      <c r="DC10" s="4">
        <v>2.6112850000000001</v>
      </c>
      <c r="DD10" s="4">
        <v>4.6905919999999997</v>
      </c>
      <c r="DE10" s="4">
        <v>8.6433669999999996</v>
      </c>
      <c r="DF10" s="4">
        <v>3.1324800000000002</v>
      </c>
      <c r="DG10" s="4">
        <v>0.25018299999999999</v>
      </c>
      <c r="DH10" s="4">
        <v>0.101058</v>
      </c>
      <c r="DI10" s="4">
        <v>0.36241400000000001</v>
      </c>
      <c r="DJ10" s="4">
        <v>7.9866999999999994E-2</v>
      </c>
      <c r="DK10" s="4">
        <v>3.2260999999999998E-2</v>
      </c>
      <c r="DL10" s="4">
        <v>1</v>
      </c>
      <c r="DM10" s="4">
        <v>1</v>
      </c>
      <c r="DN10" s="4">
        <v>2</v>
      </c>
      <c r="DO10" s="4">
        <v>3</v>
      </c>
      <c r="DP10" s="4">
        <v>4</v>
      </c>
      <c r="DQ10" s="4">
        <v>5</v>
      </c>
      <c r="DR10" s="4">
        <v>6</v>
      </c>
      <c r="DS10" s="4">
        <v>9</v>
      </c>
      <c r="DT10" s="4">
        <v>10</v>
      </c>
      <c r="DU10" s="4">
        <v>12</v>
      </c>
      <c r="DV10" s="4">
        <v>13</v>
      </c>
      <c r="DW10" s="4">
        <v>14</v>
      </c>
      <c r="DX10" s="4">
        <v>16</v>
      </c>
      <c r="DY10" s="4">
        <v>18</v>
      </c>
      <c r="DZ10" s="4">
        <v>23</v>
      </c>
      <c r="EA10" s="4">
        <v>95.682102999999998</v>
      </c>
      <c r="EB10" s="4">
        <v>60.485021000000003</v>
      </c>
      <c r="EC10" s="4">
        <v>106.132666</v>
      </c>
      <c r="ED10" s="4">
        <v>1529</v>
      </c>
      <c r="EE10" s="4">
        <v>1696</v>
      </c>
      <c r="EF10" s="4">
        <v>93.554443000000006</v>
      </c>
      <c r="EG10" s="4">
        <v>100</v>
      </c>
      <c r="EH10" s="4">
        <v>55.527816999999999</v>
      </c>
      <c r="EI10" s="4">
        <v>96.540655999999998</v>
      </c>
      <c r="EJ10" s="4">
        <v>97.434292999999997</v>
      </c>
      <c r="EK10" s="4">
        <v>169.399249</v>
      </c>
      <c r="EL10" s="4">
        <v>1495</v>
      </c>
      <c r="EM10" s="4">
        <v>1598</v>
      </c>
      <c r="EN10" s="4">
        <v>1557</v>
      </c>
      <c r="EO10" s="4">
        <v>2707</v>
      </c>
      <c r="EP10" s="4">
        <v>1598</v>
      </c>
      <c r="EQ10" s="4">
        <v>2804</v>
      </c>
      <c r="ER10" s="4">
        <v>50.985433999999998</v>
      </c>
    </row>
    <row r="11" spans="1:148" x14ac:dyDescent="0.2">
      <c r="A11" s="1">
        <v>2022</v>
      </c>
      <c r="B11" s="1" t="str">
        <f t="shared" si="0"/>
        <v>RD</v>
      </c>
      <c r="C11" s="1" t="s">
        <v>207</v>
      </c>
      <c r="D11" s="1" t="s">
        <v>207</v>
      </c>
      <c r="E11" s="1">
        <v>19227</v>
      </c>
      <c r="F11" s="1" t="s">
        <v>2048</v>
      </c>
      <c r="G11" s="1" t="s">
        <v>208</v>
      </c>
      <c r="H11" s="1" t="s">
        <v>209</v>
      </c>
      <c r="I11" s="1">
        <v>34.32</v>
      </c>
      <c r="J11" s="1">
        <v>34.32</v>
      </c>
      <c r="K11" s="1" t="s">
        <v>210</v>
      </c>
      <c r="L11" s="1">
        <v>1</v>
      </c>
      <c r="M11" s="1">
        <v>2011</v>
      </c>
      <c r="N11" s="1">
        <v>1</v>
      </c>
      <c r="O11" s="1">
        <v>2</v>
      </c>
      <c r="P11" s="1" t="str">
        <f t="shared" si="1"/>
        <v>Talhadia</v>
      </c>
      <c r="Q11" s="2">
        <v>40648</v>
      </c>
      <c r="R11" s="1" t="s">
        <v>149</v>
      </c>
      <c r="S11" s="1" t="s">
        <v>211</v>
      </c>
      <c r="T11" s="1" t="s">
        <v>2268</v>
      </c>
      <c r="U11" s="1" t="s">
        <v>212</v>
      </c>
      <c r="V11" s="1" t="s">
        <v>152</v>
      </c>
      <c r="W11" s="2">
        <v>44692</v>
      </c>
      <c r="X11" s="1" t="s">
        <v>213</v>
      </c>
      <c r="Y11" s="1">
        <v>66.97</v>
      </c>
      <c r="Z11" s="1">
        <v>18.899999999999999</v>
      </c>
      <c r="AA11" s="1">
        <v>6</v>
      </c>
      <c r="AB11" s="1">
        <v>13.5</v>
      </c>
      <c r="AC11" s="1">
        <v>1</v>
      </c>
      <c r="AD11" s="3">
        <v>255.15</v>
      </c>
      <c r="AE11" s="3">
        <v>253.71361390469599</v>
      </c>
      <c r="AF11" s="2">
        <v>44692</v>
      </c>
      <c r="AG11" s="1">
        <v>133</v>
      </c>
      <c r="AH11" s="3">
        <v>11.0718685831622</v>
      </c>
      <c r="AI11" s="4">
        <v>26.9021904014444</v>
      </c>
      <c r="AJ11" s="4">
        <v>17.995238095238101</v>
      </c>
      <c r="AK11" s="4">
        <v>21.8434533877315</v>
      </c>
      <c r="AL11" s="1">
        <v>21</v>
      </c>
      <c r="AM11" s="5">
        <v>827.70489438096695</v>
      </c>
      <c r="AN11" s="4">
        <v>264.19181301119198</v>
      </c>
      <c r="AO11" s="4">
        <v>0.31918599830049199</v>
      </c>
      <c r="AP11" s="1" t="s">
        <v>163</v>
      </c>
      <c r="AQ11" s="1" t="s">
        <v>156</v>
      </c>
      <c r="AR11" s="1" t="s">
        <v>164</v>
      </c>
      <c r="AS11" s="1">
        <v>9.99</v>
      </c>
      <c r="AT11" s="4">
        <v>0.82687718948658595</v>
      </c>
      <c r="AU11" s="1" t="s">
        <v>214</v>
      </c>
      <c r="AV11" s="1" t="s">
        <v>215</v>
      </c>
      <c r="AW11" s="1">
        <v>4103</v>
      </c>
      <c r="AX11" s="1">
        <v>2137</v>
      </c>
      <c r="AY11" s="1">
        <v>1683</v>
      </c>
      <c r="AZ11" s="1">
        <v>266</v>
      </c>
      <c r="BA11" s="1">
        <v>17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4">
        <v>-0.79500000000000004</v>
      </c>
      <c r="BI11" s="4">
        <v>27.975000000000001</v>
      </c>
      <c r="BJ11" s="4">
        <v>12.333309</v>
      </c>
      <c r="BK11" s="4">
        <v>-0.33833299999999999</v>
      </c>
      <c r="BL11" s="4">
        <v>12.169689999999999</v>
      </c>
      <c r="BM11" s="4">
        <v>148.10134500000001</v>
      </c>
      <c r="BN11" s="4">
        <v>0.986734</v>
      </c>
      <c r="BO11" s="4">
        <v>25.488499999999998</v>
      </c>
      <c r="BP11" s="4">
        <v>7.5051999999999994E-2</v>
      </c>
      <c r="BQ11" s="4">
        <v>1.1148750000000001</v>
      </c>
      <c r="BR11" s="4">
        <v>11.780379999999999</v>
      </c>
      <c r="BS11" s="4">
        <v>11.3</v>
      </c>
      <c r="BT11" s="4">
        <v>11.532333</v>
      </c>
      <c r="BU11" s="4">
        <v>12.333309</v>
      </c>
      <c r="BV11" s="4">
        <v>6.463012</v>
      </c>
      <c r="BW11" s="4">
        <v>0.36646099999999998</v>
      </c>
      <c r="BX11" s="4">
        <v>-1.385351</v>
      </c>
      <c r="BY11" s="4">
        <v>0.52402899999999997</v>
      </c>
      <c r="BZ11" s="4">
        <v>5.6701000000000001E-2</v>
      </c>
      <c r="CA11" s="4">
        <v>-0.21435100000000001</v>
      </c>
      <c r="CB11" s="4">
        <v>-0.38094</v>
      </c>
      <c r="CC11" s="4">
        <v>-0.17399999999999999</v>
      </c>
      <c r="CD11" s="4">
        <v>-9.9000000000000005E-2</v>
      </c>
      <c r="CE11" s="4">
        <v>-4.0000000000000001E-3</v>
      </c>
      <c r="CF11" s="4">
        <v>3.5499999999999997E-2</v>
      </c>
      <c r="CG11" s="4">
        <v>7.4999999999999997E-2</v>
      </c>
      <c r="CH11" s="4">
        <v>0.17480000000000001</v>
      </c>
      <c r="CI11" s="4">
        <v>11.194000000000001</v>
      </c>
      <c r="CJ11" s="4">
        <v>23.449998999999998</v>
      </c>
      <c r="CK11" s="4">
        <v>25.266999999999999</v>
      </c>
      <c r="CL11" s="4">
        <v>25.524000000000001</v>
      </c>
      <c r="CM11" s="4">
        <v>25.757999000000002</v>
      </c>
      <c r="CN11" s="4">
        <v>26.341999000000001</v>
      </c>
      <c r="CO11" s="4">
        <v>26.73</v>
      </c>
      <c r="CP11" s="4">
        <v>27.196960000000001</v>
      </c>
      <c r="CQ11" s="4">
        <v>0.45631899999999997</v>
      </c>
      <c r="CR11" s="4">
        <v>17.325581</v>
      </c>
      <c r="CS11" s="4">
        <v>19.565338000000001</v>
      </c>
      <c r="CT11" s="1">
        <v>1</v>
      </c>
      <c r="CU11" s="1">
        <v>55</v>
      </c>
      <c r="CV11" s="4">
        <v>15.87107</v>
      </c>
      <c r="CW11" s="4">
        <v>1</v>
      </c>
      <c r="CX11" s="4">
        <v>11.817633000000001</v>
      </c>
      <c r="CY11" s="4">
        <v>139.65645900000001</v>
      </c>
      <c r="CZ11" s="4">
        <v>0.74460199999999999</v>
      </c>
      <c r="DA11" s="4">
        <v>18</v>
      </c>
      <c r="DB11" s="4">
        <v>0.747502</v>
      </c>
      <c r="DC11" s="4">
        <v>2.7268159999999999</v>
      </c>
      <c r="DD11" s="4">
        <v>9.7707940000000004</v>
      </c>
      <c r="DE11" s="4">
        <v>15.87107</v>
      </c>
      <c r="DF11" s="4">
        <v>6.5935629999999996</v>
      </c>
      <c r="DG11" s="4">
        <v>1.2180629999999999</v>
      </c>
      <c r="DH11" s="4">
        <v>0.41202800000000001</v>
      </c>
      <c r="DI11" s="4">
        <v>0.41544500000000001</v>
      </c>
      <c r="DJ11" s="4">
        <v>0.18473500000000001</v>
      </c>
      <c r="DK11" s="4">
        <v>6.2489000000000003E-2</v>
      </c>
      <c r="DL11" s="4">
        <v>1</v>
      </c>
      <c r="DM11" s="4">
        <v>1</v>
      </c>
      <c r="DN11" s="4">
        <v>2</v>
      </c>
      <c r="DO11" s="4">
        <v>5</v>
      </c>
      <c r="DP11" s="4">
        <v>6</v>
      </c>
      <c r="DQ11" s="4">
        <v>7</v>
      </c>
      <c r="DR11" s="4">
        <v>10</v>
      </c>
      <c r="DS11" s="4">
        <v>13</v>
      </c>
      <c r="DT11" s="4">
        <v>17</v>
      </c>
      <c r="DU11" s="4">
        <v>21</v>
      </c>
      <c r="DV11" s="4">
        <v>24</v>
      </c>
      <c r="DW11" s="4">
        <v>26</v>
      </c>
      <c r="DX11" s="4">
        <v>34</v>
      </c>
      <c r="DY11" s="4">
        <v>40</v>
      </c>
      <c r="DZ11" s="4">
        <v>46</v>
      </c>
      <c r="EA11" s="4">
        <v>87.225082</v>
      </c>
      <c r="EB11" s="4">
        <v>53.058737999999998</v>
      </c>
      <c r="EC11" s="4">
        <v>101.87178299999999</v>
      </c>
      <c r="ED11" s="4">
        <v>1864</v>
      </c>
      <c r="EE11" s="4">
        <v>2177</v>
      </c>
      <c r="EF11" s="4">
        <v>85.540476999999996</v>
      </c>
      <c r="EG11" s="4">
        <v>99.953204999999997</v>
      </c>
      <c r="EH11" s="4">
        <v>49.110407000000002</v>
      </c>
      <c r="EI11" s="4">
        <v>98.683890000000005</v>
      </c>
      <c r="EJ11" s="4">
        <v>94.291061999999997</v>
      </c>
      <c r="EK11" s="4">
        <v>189.47122100000001</v>
      </c>
      <c r="EL11" s="4">
        <v>1828</v>
      </c>
      <c r="EM11" s="4">
        <v>2136</v>
      </c>
      <c r="EN11" s="4">
        <v>2015</v>
      </c>
      <c r="EO11" s="4">
        <v>4049</v>
      </c>
      <c r="EP11" s="4">
        <v>2137</v>
      </c>
      <c r="EQ11" s="4">
        <v>4103</v>
      </c>
      <c r="ER11" s="4">
        <v>44.476664</v>
      </c>
    </row>
    <row r="12" spans="1:148" x14ac:dyDescent="0.2">
      <c r="A12" s="1">
        <v>2022</v>
      </c>
      <c r="B12" s="1" t="str">
        <f t="shared" si="0"/>
        <v>RD</v>
      </c>
      <c r="C12" s="1" t="s">
        <v>216</v>
      </c>
      <c r="D12" s="1" t="s">
        <v>216</v>
      </c>
      <c r="E12" s="1">
        <v>19228</v>
      </c>
      <c r="F12" s="1" t="s">
        <v>2048</v>
      </c>
      <c r="G12" s="1" t="s">
        <v>208</v>
      </c>
      <c r="H12" s="1" t="s">
        <v>209</v>
      </c>
      <c r="I12" s="1">
        <v>34.32</v>
      </c>
      <c r="J12" s="1">
        <v>34.32</v>
      </c>
      <c r="K12" s="1" t="s">
        <v>210</v>
      </c>
      <c r="L12" s="1">
        <v>1</v>
      </c>
      <c r="M12" s="1">
        <v>2011</v>
      </c>
      <c r="N12" s="1">
        <v>1</v>
      </c>
      <c r="O12" s="1">
        <v>2</v>
      </c>
      <c r="P12" s="1" t="str">
        <f t="shared" si="1"/>
        <v>Talhadia</v>
      </c>
      <c r="Q12" s="2">
        <v>40648</v>
      </c>
      <c r="R12" s="1" t="s">
        <v>149</v>
      </c>
      <c r="S12" s="1" t="s">
        <v>211</v>
      </c>
      <c r="T12" s="1" t="s">
        <v>2268</v>
      </c>
      <c r="U12" s="1" t="s">
        <v>212</v>
      </c>
      <c r="V12" s="1" t="s">
        <v>152</v>
      </c>
      <c r="W12" s="2">
        <v>44692</v>
      </c>
      <c r="X12" s="1" t="s">
        <v>213</v>
      </c>
      <c r="Y12" s="1">
        <v>66.97</v>
      </c>
      <c r="Z12" s="1">
        <v>18.8</v>
      </c>
      <c r="AA12" s="1">
        <v>7</v>
      </c>
      <c r="AB12" s="1">
        <v>13.6</v>
      </c>
      <c r="AC12" s="1">
        <v>2</v>
      </c>
      <c r="AD12" s="3">
        <v>255.68</v>
      </c>
      <c r="AE12" s="3">
        <v>253.619607665731</v>
      </c>
      <c r="AF12" s="2">
        <v>44692</v>
      </c>
      <c r="AG12" s="1">
        <v>133</v>
      </c>
      <c r="AH12" s="3">
        <v>11.0718685831622</v>
      </c>
      <c r="AI12" s="4">
        <v>26.530584711732999</v>
      </c>
      <c r="AJ12" s="4">
        <v>19.29</v>
      </c>
      <c r="AK12" s="4">
        <v>24.662444736651999</v>
      </c>
      <c r="AL12" s="1">
        <v>20</v>
      </c>
      <c r="AM12" s="5">
        <v>788.58256205331998</v>
      </c>
      <c r="AN12" s="4">
        <v>297.82092570732601</v>
      </c>
      <c r="AO12" s="4">
        <v>0.37766613166268498</v>
      </c>
      <c r="AP12" s="1" t="s">
        <v>163</v>
      </c>
      <c r="AQ12" s="1" t="s">
        <v>156</v>
      </c>
      <c r="AR12" s="1" t="s">
        <v>164</v>
      </c>
      <c r="AS12" s="1">
        <v>9.99</v>
      </c>
      <c r="AT12" s="4">
        <v>0.78779397949126662</v>
      </c>
      <c r="AU12" s="1" t="s">
        <v>217</v>
      </c>
      <c r="AV12" s="1" t="s">
        <v>218</v>
      </c>
      <c r="AW12" s="1">
        <v>1779</v>
      </c>
      <c r="AX12" s="1">
        <v>1017</v>
      </c>
      <c r="AY12" s="1">
        <v>671</v>
      </c>
      <c r="AZ12" s="1">
        <v>83</v>
      </c>
      <c r="BA12" s="1">
        <v>8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4">
        <v>-0.70099999999999996</v>
      </c>
      <c r="BI12" s="4">
        <v>30.402999999999999</v>
      </c>
      <c r="BJ12" s="4">
        <v>14.127699</v>
      </c>
      <c r="BK12" s="4">
        <v>-0.207286</v>
      </c>
      <c r="BL12" s="4">
        <v>13.138507000000001</v>
      </c>
      <c r="BM12" s="4">
        <v>172.62037100000001</v>
      </c>
      <c r="BN12" s="4">
        <v>0.92998199999999998</v>
      </c>
      <c r="BO12" s="4">
        <v>27.669999000000001</v>
      </c>
      <c r="BP12" s="4">
        <v>-2.6061999999999998E-2</v>
      </c>
      <c r="BQ12" s="4">
        <v>1.1371089999999999</v>
      </c>
      <c r="BR12" s="4">
        <v>12.622939000000001</v>
      </c>
      <c r="BS12" s="4">
        <v>12.948</v>
      </c>
      <c r="BT12" s="4">
        <v>16.620284999999999</v>
      </c>
      <c r="BU12" s="4">
        <v>14.127699</v>
      </c>
      <c r="BV12" s="4">
        <v>7.0536599999999998</v>
      </c>
      <c r="BW12" s="4">
        <v>0.11170099999999999</v>
      </c>
      <c r="BX12" s="4">
        <v>-1.4630989999999999</v>
      </c>
      <c r="BY12" s="4">
        <v>0.49927899999999997</v>
      </c>
      <c r="BZ12" s="4">
        <v>1.5835999999999999E-2</v>
      </c>
      <c r="CA12" s="4">
        <v>-0.207424</v>
      </c>
      <c r="CB12" s="4">
        <v>-0.36621999999999999</v>
      </c>
      <c r="CC12" s="4">
        <v>-0.17100000000000001</v>
      </c>
      <c r="CD12" s="4">
        <v>-0.104</v>
      </c>
      <c r="CE12" s="4">
        <v>2.5999999999999999E-3</v>
      </c>
      <c r="CF12" s="4">
        <v>4.7E-2</v>
      </c>
      <c r="CG12" s="4">
        <v>9.3399999999999997E-2</v>
      </c>
      <c r="CH12" s="4">
        <v>0.25440000000000002</v>
      </c>
      <c r="CI12" s="4">
        <v>16.413</v>
      </c>
      <c r="CJ12" s="4">
        <v>25.944799</v>
      </c>
      <c r="CK12" s="4">
        <v>27.3934</v>
      </c>
      <c r="CL12" s="4">
        <v>27.716999000000001</v>
      </c>
      <c r="CM12" s="4">
        <v>28.080399</v>
      </c>
      <c r="CN12" s="4">
        <v>28.992598000000001</v>
      </c>
      <c r="CO12" s="4">
        <v>29.473199999999999</v>
      </c>
      <c r="CP12" s="4">
        <v>29.95232</v>
      </c>
      <c r="CQ12" s="4">
        <v>0.476746</v>
      </c>
      <c r="CR12" s="4">
        <v>19.290288</v>
      </c>
      <c r="CS12" s="4">
        <v>21.596475000000002</v>
      </c>
      <c r="CT12" s="1">
        <v>1</v>
      </c>
      <c r="CU12" s="1">
        <v>47</v>
      </c>
      <c r="CV12" s="4">
        <v>15.209106</v>
      </c>
      <c r="CW12" s="4">
        <v>1</v>
      </c>
      <c r="CX12" s="4">
        <v>11.063986999999999</v>
      </c>
      <c r="CY12" s="4">
        <v>122.411818</v>
      </c>
      <c r="CZ12" s="4">
        <v>0.72745800000000005</v>
      </c>
      <c r="DA12" s="4">
        <v>18</v>
      </c>
      <c r="DB12" s="4">
        <v>0.61989799999999995</v>
      </c>
      <c r="DC12" s="4">
        <v>2.5472350000000001</v>
      </c>
      <c r="DD12" s="4">
        <v>9.2496360000000006</v>
      </c>
      <c r="DE12" s="4">
        <v>15.209106</v>
      </c>
      <c r="DF12" s="4">
        <v>6.2296209999999999</v>
      </c>
      <c r="DG12" s="4">
        <v>0.95026299999999997</v>
      </c>
      <c r="DH12" s="4">
        <v>0.282997</v>
      </c>
      <c r="DI12" s="4">
        <v>0.40959800000000002</v>
      </c>
      <c r="DJ12" s="4">
        <v>0.15254000000000001</v>
      </c>
      <c r="DK12" s="4">
        <v>4.5428000000000003E-2</v>
      </c>
      <c r="DL12" s="4">
        <v>1</v>
      </c>
      <c r="DM12" s="4">
        <v>1</v>
      </c>
      <c r="DN12" s="4">
        <v>2</v>
      </c>
      <c r="DO12" s="4">
        <v>4</v>
      </c>
      <c r="DP12" s="4">
        <v>5</v>
      </c>
      <c r="DQ12" s="4">
        <v>7</v>
      </c>
      <c r="DR12" s="4">
        <v>10</v>
      </c>
      <c r="DS12" s="4">
        <v>14</v>
      </c>
      <c r="DT12" s="4">
        <v>17</v>
      </c>
      <c r="DU12" s="4">
        <v>21</v>
      </c>
      <c r="DV12" s="4">
        <v>23</v>
      </c>
      <c r="DW12" s="4">
        <v>25</v>
      </c>
      <c r="DX12" s="4">
        <v>31</v>
      </c>
      <c r="DY12" s="4">
        <v>37</v>
      </c>
      <c r="DZ12" s="4">
        <v>42</v>
      </c>
      <c r="EA12" s="4">
        <v>86.627335000000002</v>
      </c>
      <c r="EB12" s="4">
        <v>56.267566000000002</v>
      </c>
      <c r="EC12" s="4">
        <v>98.426744999999997</v>
      </c>
      <c r="ED12" s="4">
        <v>881</v>
      </c>
      <c r="EE12" s="4">
        <v>1001</v>
      </c>
      <c r="EF12" s="4">
        <v>83.972468000000006</v>
      </c>
      <c r="EG12" s="4">
        <v>100</v>
      </c>
      <c r="EH12" s="4">
        <v>51.545811999999998</v>
      </c>
      <c r="EI12" s="4">
        <v>96.458685000000003</v>
      </c>
      <c r="EJ12" s="4">
        <v>90.167158000000001</v>
      </c>
      <c r="EK12" s="4">
        <v>168.73156299999999</v>
      </c>
      <c r="EL12" s="4">
        <v>854</v>
      </c>
      <c r="EM12" s="4">
        <v>1017</v>
      </c>
      <c r="EN12" s="4">
        <v>917</v>
      </c>
      <c r="EO12" s="4">
        <v>1716</v>
      </c>
      <c r="EP12" s="4">
        <v>1017</v>
      </c>
      <c r="EQ12" s="4">
        <v>1779</v>
      </c>
      <c r="ER12" s="4">
        <v>46.311275000000002</v>
      </c>
    </row>
    <row r="13" spans="1:148" x14ac:dyDescent="0.2">
      <c r="A13" s="1">
        <v>2022</v>
      </c>
      <c r="B13" s="1" t="str">
        <f t="shared" si="0"/>
        <v>RD</v>
      </c>
      <c r="C13" s="1" t="s">
        <v>219</v>
      </c>
      <c r="D13" s="1" t="s">
        <v>219</v>
      </c>
      <c r="E13" s="1">
        <v>19233</v>
      </c>
      <c r="F13" s="1" t="s">
        <v>2048</v>
      </c>
      <c r="G13" s="1" t="s">
        <v>208</v>
      </c>
      <c r="H13" s="1" t="s">
        <v>220</v>
      </c>
      <c r="I13" s="1">
        <v>30.25</v>
      </c>
      <c r="J13" s="1">
        <v>30.25</v>
      </c>
      <c r="K13" s="1" t="s">
        <v>210</v>
      </c>
      <c r="L13" s="1">
        <v>1</v>
      </c>
      <c r="M13" s="1">
        <v>2011</v>
      </c>
      <c r="N13" s="1">
        <v>1</v>
      </c>
      <c r="O13" s="1">
        <v>2</v>
      </c>
      <c r="P13" s="1" t="str">
        <f t="shared" si="1"/>
        <v>Talhadia</v>
      </c>
      <c r="Q13" s="2">
        <v>40648</v>
      </c>
      <c r="R13" s="1" t="s">
        <v>149</v>
      </c>
      <c r="S13" s="1" t="s">
        <v>211</v>
      </c>
      <c r="T13" s="1" t="s">
        <v>2268</v>
      </c>
      <c r="U13" s="1" t="s">
        <v>212</v>
      </c>
      <c r="V13" s="1" t="s">
        <v>152</v>
      </c>
      <c r="W13" s="2">
        <v>44692</v>
      </c>
      <c r="X13" s="1" t="s">
        <v>213</v>
      </c>
      <c r="Y13" s="1">
        <v>66.97</v>
      </c>
      <c r="Z13" s="1">
        <v>20.6</v>
      </c>
      <c r="AA13" s="1">
        <v>22</v>
      </c>
      <c r="AB13" s="1">
        <v>13.9</v>
      </c>
      <c r="AC13" s="1">
        <v>1</v>
      </c>
      <c r="AD13" s="3">
        <v>286.33999999999997</v>
      </c>
      <c r="AE13" s="3">
        <v>265.44938953039002</v>
      </c>
      <c r="AF13" s="2">
        <v>44692</v>
      </c>
      <c r="AG13" s="1">
        <v>133</v>
      </c>
      <c r="AH13" s="3">
        <v>11.0718685831622</v>
      </c>
      <c r="AI13" s="4">
        <v>27.314927556619299</v>
      </c>
      <c r="AJ13" s="4">
        <v>17.6458333333333</v>
      </c>
      <c r="AK13" s="4">
        <v>23.065313867013199</v>
      </c>
      <c r="AL13" s="1">
        <v>24</v>
      </c>
      <c r="AM13" s="5">
        <v>904.12714990449501</v>
      </c>
      <c r="AN13" s="4">
        <v>286.14177119268101</v>
      </c>
      <c r="AO13" s="4">
        <v>0.31648399367600799</v>
      </c>
      <c r="AP13" s="1" t="s">
        <v>163</v>
      </c>
      <c r="AQ13" s="1" t="s">
        <v>156</v>
      </c>
      <c r="AR13" s="1" t="s">
        <v>164</v>
      </c>
      <c r="AS13" s="1">
        <v>9.99</v>
      </c>
      <c r="AT13" s="4">
        <v>0.90322302275459054</v>
      </c>
      <c r="AU13" s="1" t="s">
        <v>221</v>
      </c>
      <c r="AV13" s="1" t="s">
        <v>222</v>
      </c>
      <c r="AW13" s="1">
        <v>9538</v>
      </c>
      <c r="AX13" s="1">
        <v>5183</v>
      </c>
      <c r="AY13" s="1">
        <v>3454</v>
      </c>
      <c r="AZ13" s="1">
        <v>826</v>
      </c>
      <c r="BA13" s="1">
        <v>75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4">
        <v>-1.4339999999999999</v>
      </c>
      <c r="BI13" s="4">
        <v>30.552</v>
      </c>
      <c r="BJ13" s="4">
        <v>13.837242</v>
      </c>
      <c r="BK13" s="4">
        <v>-0.41857100000000003</v>
      </c>
      <c r="BL13" s="4">
        <v>11.884299</v>
      </c>
      <c r="BM13" s="4">
        <v>141.23656700000001</v>
      </c>
      <c r="BN13" s="4">
        <v>0.85886300000000004</v>
      </c>
      <c r="BO13" s="4">
        <v>25.426998999999999</v>
      </c>
      <c r="BP13" s="4">
        <v>-0.17318700000000001</v>
      </c>
      <c r="BQ13" s="4">
        <v>1.185557</v>
      </c>
      <c r="BR13" s="4">
        <v>11.386929</v>
      </c>
      <c r="BS13" s="4">
        <v>7.9719980000000001</v>
      </c>
      <c r="BT13" s="4">
        <v>19.201571999999999</v>
      </c>
      <c r="BU13" s="4">
        <v>13.837242</v>
      </c>
      <c r="BV13" s="4">
        <v>6.423241</v>
      </c>
      <c r="BW13" s="4">
        <v>-0.27877600000000002</v>
      </c>
      <c r="BX13" s="4">
        <v>-1.204642</v>
      </c>
      <c r="BY13" s="4">
        <v>0.4642</v>
      </c>
      <c r="BZ13" s="4">
        <v>-4.3401000000000002E-2</v>
      </c>
      <c r="CA13" s="4">
        <v>-0.18754399999999999</v>
      </c>
      <c r="CB13" s="4">
        <v>-0.438</v>
      </c>
      <c r="CC13" s="4">
        <v>-0.18815000000000001</v>
      </c>
      <c r="CD13" s="4">
        <v>-8.3000000000000004E-2</v>
      </c>
      <c r="CE13" s="4">
        <v>4.4999999999999998E-2</v>
      </c>
      <c r="CF13" s="4">
        <v>0.10199999999999999</v>
      </c>
      <c r="CG13" s="4">
        <v>0.16400000000000001</v>
      </c>
      <c r="CH13" s="4">
        <v>5.2498040000000001</v>
      </c>
      <c r="CI13" s="4">
        <v>18.783000999999999</v>
      </c>
      <c r="CJ13" s="4">
        <v>23.524999999999999</v>
      </c>
      <c r="CK13" s="4">
        <v>25.122999</v>
      </c>
      <c r="CL13" s="4">
        <v>25.528998999999999</v>
      </c>
      <c r="CM13" s="4">
        <v>25.879000000000001</v>
      </c>
      <c r="CN13" s="4">
        <v>26.518000000000001</v>
      </c>
      <c r="CO13" s="4">
        <v>26.958151000000001</v>
      </c>
      <c r="CP13" s="4">
        <v>28.655999999999999</v>
      </c>
      <c r="CQ13" s="4">
        <v>0.477435</v>
      </c>
      <c r="CR13" s="4">
        <v>18.239820000000002</v>
      </c>
      <c r="CS13" s="4">
        <v>20.182573999999999</v>
      </c>
      <c r="CT13" s="1">
        <v>1</v>
      </c>
      <c r="CU13" s="1">
        <v>44</v>
      </c>
      <c r="CV13" s="4">
        <v>11.498218</v>
      </c>
      <c r="CW13" s="4">
        <v>1</v>
      </c>
      <c r="CX13" s="4">
        <v>8.5100119999999997</v>
      </c>
      <c r="CY13" s="4">
        <v>72.420306999999994</v>
      </c>
      <c r="CZ13" s="4">
        <v>0.740116</v>
      </c>
      <c r="DA13" s="4">
        <v>12</v>
      </c>
      <c r="DB13" s="4">
        <v>0.90647100000000003</v>
      </c>
      <c r="DC13" s="4">
        <v>3.42666</v>
      </c>
      <c r="DD13" s="4">
        <v>6.8951539999999998</v>
      </c>
      <c r="DE13" s="4">
        <v>11.498218</v>
      </c>
      <c r="DF13" s="4">
        <v>4.6896380000000004</v>
      </c>
      <c r="DG13" s="4">
        <v>0.89511300000000005</v>
      </c>
      <c r="DH13" s="4">
        <v>0.391204</v>
      </c>
      <c r="DI13" s="4">
        <v>0.407858</v>
      </c>
      <c r="DJ13" s="4">
        <v>0.19087000000000001</v>
      </c>
      <c r="DK13" s="4">
        <v>8.3418999999999993E-2</v>
      </c>
      <c r="DL13" s="4">
        <v>1</v>
      </c>
      <c r="DM13" s="4">
        <v>1</v>
      </c>
      <c r="DN13" s="4">
        <v>2</v>
      </c>
      <c r="DO13" s="4">
        <v>4</v>
      </c>
      <c r="DP13" s="4">
        <v>5</v>
      </c>
      <c r="DQ13" s="4">
        <v>5</v>
      </c>
      <c r="DR13" s="4">
        <v>8</v>
      </c>
      <c r="DS13" s="4">
        <v>10</v>
      </c>
      <c r="DT13" s="4">
        <v>12</v>
      </c>
      <c r="DU13" s="4">
        <v>15</v>
      </c>
      <c r="DV13" s="4">
        <v>17</v>
      </c>
      <c r="DW13" s="4">
        <v>18</v>
      </c>
      <c r="DX13" s="4">
        <v>23</v>
      </c>
      <c r="DY13" s="4">
        <v>28</v>
      </c>
      <c r="DZ13" s="4">
        <v>36</v>
      </c>
      <c r="EA13" s="4">
        <v>90.179433000000003</v>
      </c>
      <c r="EB13" s="4">
        <v>60.505347</v>
      </c>
      <c r="EC13" s="4">
        <v>111.344781</v>
      </c>
      <c r="ED13" s="4">
        <v>4674</v>
      </c>
      <c r="EE13" s="4">
        <v>5771</v>
      </c>
      <c r="EF13" s="4">
        <v>87.497587999999993</v>
      </c>
      <c r="EG13" s="4">
        <v>100</v>
      </c>
      <c r="EH13" s="4">
        <v>55.451877000000003</v>
      </c>
      <c r="EI13" s="4">
        <v>98.783811999999998</v>
      </c>
      <c r="EJ13" s="4">
        <v>102.045148</v>
      </c>
      <c r="EK13" s="4">
        <v>181.78661</v>
      </c>
      <c r="EL13" s="4">
        <v>4535</v>
      </c>
      <c r="EM13" s="4">
        <v>5183</v>
      </c>
      <c r="EN13" s="4">
        <v>5289</v>
      </c>
      <c r="EO13" s="4">
        <v>9422</v>
      </c>
      <c r="EP13" s="4">
        <v>5183</v>
      </c>
      <c r="EQ13" s="4">
        <v>9538</v>
      </c>
      <c r="ER13" s="4">
        <v>47.348072000000002</v>
      </c>
    </row>
    <row r="14" spans="1:148" x14ac:dyDescent="0.2">
      <c r="A14" s="1">
        <v>2022</v>
      </c>
      <c r="B14" s="1" t="str">
        <f t="shared" si="0"/>
        <v>RD</v>
      </c>
      <c r="C14" s="1" t="s">
        <v>223</v>
      </c>
      <c r="D14" s="1" t="s">
        <v>223</v>
      </c>
      <c r="E14" s="1">
        <v>19319</v>
      </c>
      <c r="F14" s="1" t="s">
        <v>2049</v>
      </c>
      <c r="G14" s="1" t="s">
        <v>224</v>
      </c>
      <c r="H14" s="1" t="s">
        <v>225</v>
      </c>
      <c r="I14" s="1">
        <v>49.23</v>
      </c>
      <c r="J14" s="1">
        <v>49.23</v>
      </c>
      <c r="K14" s="1" t="s">
        <v>226</v>
      </c>
      <c r="L14" s="1">
        <v>1</v>
      </c>
      <c r="M14" s="1">
        <v>2011</v>
      </c>
      <c r="N14" s="1">
        <v>3</v>
      </c>
      <c r="O14" s="1">
        <v>1</v>
      </c>
      <c r="P14" s="1" t="str">
        <f t="shared" si="1"/>
        <v>Alto fuste</v>
      </c>
      <c r="Q14" s="2">
        <v>40873</v>
      </c>
      <c r="R14" s="1" t="s">
        <v>227</v>
      </c>
      <c r="S14" s="1" t="s">
        <v>163</v>
      </c>
      <c r="T14" s="1" t="s">
        <v>2268</v>
      </c>
      <c r="U14" s="1" t="s">
        <v>228</v>
      </c>
      <c r="V14" s="1" t="s">
        <v>152</v>
      </c>
      <c r="W14" s="2">
        <v>44678</v>
      </c>
      <c r="X14" s="1" t="s">
        <v>229</v>
      </c>
      <c r="Y14" s="1">
        <v>58.5</v>
      </c>
      <c r="Z14" s="1">
        <v>20.399999999999999</v>
      </c>
      <c r="AA14" s="1">
        <v>24</v>
      </c>
      <c r="AB14" s="1">
        <v>14.8</v>
      </c>
      <c r="AC14" s="1">
        <v>3</v>
      </c>
      <c r="AD14" s="3">
        <v>301.92</v>
      </c>
      <c r="AE14" s="3">
        <v>275.43964607549401</v>
      </c>
      <c r="AF14" s="2">
        <v>44678</v>
      </c>
      <c r="AG14" s="1">
        <v>125</v>
      </c>
      <c r="AH14" s="3">
        <v>10.417522245037601</v>
      </c>
      <c r="AI14" s="4">
        <v>22.7192833570179</v>
      </c>
      <c r="AJ14" s="4">
        <v>16.0558823529412</v>
      </c>
      <c r="AK14" s="4">
        <v>25.906681417031098</v>
      </c>
      <c r="AL14" s="1">
        <v>34</v>
      </c>
      <c r="AM14" s="5">
        <v>1234.3902007004899</v>
      </c>
      <c r="AN14" s="4">
        <v>268.51754448761102</v>
      </c>
      <c r="AO14" s="4">
        <v>0.21753052181978799</v>
      </c>
      <c r="AP14" s="1" t="s">
        <v>163</v>
      </c>
      <c r="AQ14" s="1" t="s">
        <v>156</v>
      </c>
      <c r="AR14" s="1" t="s">
        <v>164</v>
      </c>
      <c r="AS14" s="1">
        <v>7.5</v>
      </c>
      <c r="AT14" s="4">
        <v>0.92579265052536752</v>
      </c>
      <c r="AU14" s="1" t="s">
        <v>230</v>
      </c>
      <c r="AV14" s="1" t="s">
        <v>231</v>
      </c>
      <c r="AW14" s="1">
        <v>4097</v>
      </c>
      <c r="AX14" s="1">
        <v>2297</v>
      </c>
      <c r="AY14" s="1">
        <v>1478</v>
      </c>
      <c r="AZ14" s="1">
        <v>300</v>
      </c>
      <c r="BA14" s="1">
        <v>22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4">
        <v>-1.22</v>
      </c>
      <c r="BI14" s="4">
        <v>26.42</v>
      </c>
      <c r="BJ14" s="4">
        <v>9.2064319999999995</v>
      </c>
      <c r="BK14" s="4">
        <v>-0.34254000000000001</v>
      </c>
      <c r="BL14" s="4">
        <v>9.0718189999999996</v>
      </c>
      <c r="BM14" s="4">
        <v>82.297908000000007</v>
      </c>
      <c r="BN14" s="4">
        <v>0.98537799999999998</v>
      </c>
      <c r="BO14" s="4">
        <v>18.46</v>
      </c>
      <c r="BP14" s="4">
        <v>0.27776099999999998</v>
      </c>
      <c r="BQ14" s="4">
        <v>1.404785</v>
      </c>
      <c r="BR14" s="4">
        <v>8.4660600000000006</v>
      </c>
      <c r="BS14" s="4">
        <v>6.78</v>
      </c>
      <c r="BT14" s="4">
        <v>7.07254</v>
      </c>
      <c r="BU14" s="4">
        <v>9.2064319999999995</v>
      </c>
      <c r="BV14" s="4">
        <v>5.0177440000000004</v>
      </c>
      <c r="BW14" s="4">
        <v>0.70727700000000004</v>
      </c>
      <c r="BX14" s="4">
        <v>-0.64053899999999997</v>
      </c>
      <c r="BY14" s="4">
        <v>0.54502600000000001</v>
      </c>
      <c r="BZ14" s="4">
        <v>0.140955</v>
      </c>
      <c r="CA14" s="4">
        <v>-0.12765499999999999</v>
      </c>
      <c r="CB14" s="4">
        <v>-0.38</v>
      </c>
      <c r="CC14" s="4">
        <v>-0.16</v>
      </c>
      <c r="CD14" s="4">
        <v>-0.05</v>
      </c>
      <c r="CE14" s="4">
        <v>7.0000000000000007E-2</v>
      </c>
      <c r="CF14" s="4">
        <v>0.13</v>
      </c>
      <c r="CG14" s="4">
        <v>0.21</v>
      </c>
      <c r="CH14" s="4">
        <v>0.77</v>
      </c>
      <c r="CI14" s="4">
        <v>6.73</v>
      </c>
      <c r="CJ14" s="4">
        <v>13.536001000000001</v>
      </c>
      <c r="CK14" s="4">
        <v>17.239999999999998</v>
      </c>
      <c r="CL14" s="4">
        <v>18.59</v>
      </c>
      <c r="CM14" s="4">
        <v>19.658000999999999</v>
      </c>
      <c r="CN14" s="4">
        <v>21.540001</v>
      </c>
      <c r="CO14" s="4">
        <v>22.83</v>
      </c>
      <c r="CP14" s="4">
        <v>25.222002</v>
      </c>
      <c r="CQ14" s="4">
        <v>0.37722299999999997</v>
      </c>
      <c r="CR14" s="4">
        <v>12.924249</v>
      </c>
      <c r="CS14" s="4">
        <v>14.827807</v>
      </c>
      <c r="CT14" s="1">
        <v>1</v>
      </c>
      <c r="CU14" s="1">
        <v>60</v>
      </c>
      <c r="CV14" s="4">
        <v>16.001953</v>
      </c>
      <c r="CW14" s="4">
        <v>1</v>
      </c>
      <c r="CX14" s="4">
        <v>12.662556</v>
      </c>
      <c r="CY14" s="4">
        <v>160.340328</v>
      </c>
      <c r="CZ14" s="4">
        <v>0.79131300000000004</v>
      </c>
      <c r="DA14" s="4">
        <v>16</v>
      </c>
      <c r="DB14" s="4">
        <v>1.0557179999999999</v>
      </c>
      <c r="DC14" s="4">
        <v>3.3771640000000001</v>
      </c>
      <c r="DD14" s="4">
        <v>9.946313</v>
      </c>
      <c r="DE14" s="4">
        <v>16.001953</v>
      </c>
      <c r="DF14" s="4">
        <v>6.8481439999999996</v>
      </c>
      <c r="DG14" s="4">
        <v>1.6883680000000001</v>
      </c>
      <c r="DH14" s="4">
        <v>0.79867999999999995</v>
      </c>
      <c r="DI14" s="4">
        <v>0.42795699999999998</v>
      </c>
      <c r="DJ14" s="4">
        <v>0.24654400000000001</v>
      </c>
      <c r="DK14" s="4">
        <v>0.11662699999999999</v>
      </c>
      <c r="DL14" s="4">
        <v>1</v>
      </c>
      <c r="DM14" s="4">
        <v>1</v>
      </c>
      <c r="DN14" s="4">
        <v>3</v>
      </c>
      <c r="DO14" s="4">
        <v>5</v>
      </c>
      <c r="DP14" s="4">
        <v>6</v>
      </c>
      <c r="DQ14" s="4">
        <v>7</v>
      </c>
      <c r="DR14" s="4">
        <v>10</v>
      </c>
      <c r="DS14" s="4">
        <v>13</v>
      </c>
      <c r="DT14" s="4">
        <v>16</v>
      </c>
      <c r="DU14" s="4">
        <v>19</v>
      </c>
      <c r="DV14" s="4">
        <v>22</v>
      </c>
      <c r="DW14" s="4">
        <v>25</v>
      </c>
      <c r="DX14" s="4">
        <v>37</v>
      </c>
      <c r="DY14" s="4">
        <v>43</v>
      </c>
      <c r="DZ14" s="4">
        <v>50.040039</v>
      </c>
      <c r="EA14" s="4">
        <v>76.752285999999998</v>
      </c>
      <c r="EB14" s="4">
        <v>56.211862000000004</v>
      </c>
      <c r="EC14" s="4">
        <v>100.26121000000001</v>
      </c>
      <c r="ED14" s="4">
        <v>1763</v>
      </c>
      <c r="EE14" s="4">
        <v>2303</v>
      </c>
      <c r="EF14" s="4">
        <v>68.741837000000004</v>
      </c>
      <c r="EG14" s="4">
        <v>100</v>
      </c>
      <c r="EH14" s="4">
        <v>45.789602000000002</v>
      </c>
      <c r="EI14" s="4">
        <v>98.779595</v>
      </c>
      <c r="EJ14" s="4">
        <v>81.671745999999999</v>
      </c>
      <c r="EK14" s="4">
        <v>176.18633</v>
      </c>
      <c r="EL14" s="4">
        <v>1579</v>
      </c>
      <c r="EM14" s="4">
        <v>2297</v>
      </c>
      <c r="EN14" s="4">
        <v>1876</v>
      </c>
      <c r="EO14" s="4">
        <v>4047</v>
      </c>
      <c r="EP14" s="4">
        <v>2297</v>
      </c>
      <c r="EQ14" s="4">
        <v>4097</v>
      </c>
      <c r="ER14" s="4">
        <v>35.565337</v>
      </c>
    </row>
    <row r="15" spans="1:148" x14ac:dyDescent="0.2">
      <c r="A15" s="1">
        <v>2022</v>
      </c>
      <c r="B15" s="1" t="str">
        <f t="shared" si="0"/>
        <v>RD</v>
      </c>
      <c r="C15" s="1" t="s">
        <v>232</v>
      </c>
      <c r="D15" s="1" t="s">
        <v>232</v>
      </c>
      <c r="E15" s="1">
        <v>19320</v>
      </c>
      <c r="F15" s="1" t="s">
        <v>2049</v>
      </c>
      <c r="G15" s="1" t="s">
        <v>224</v>
      </c>
      <c r="H15" s="1" t="s">
        <v>225</v>
      </c>
      <c r="I15" s="1">
        <v>49.23</v>
      </c>
      <c r="J15" s="1">
        <v>49.23</v>
      </c>
      <c r="K15" s="1" t="s">
        <v>226</v>
      </c>
      <c r="L15" s="1">
        <v>1</v>
      </c>
      <c r="M15" s="1">
        <v>2011</v>
      </c>
      <c r="N15" s="1">
        <v>3</v>
      </c>
      <c r="O15" s="1">
        <v>1</v>
      </c>
      <c r="P15" s="1" t="str">
        <f t="shared" si="1"/>
        <v>Alto fuste</v>
      </c>
      <c r="Q15" s="2">
        <v>40873</v>
      </c>
      <c r="R15" s="1" t="s">
        <v>227</v>
      </c>
      <c r="S15" s="1" t="s">
        <v>163</v>
      </c>
      <c r="T15" s="1" t="s">
        <v>2268</v>
      </c>
      <c r="U15" s="1" t="s">
        <v>228</v>
      </c>
      <c r="V15" s="1" t="s">
        <v>152</v>
      </c>
      <c r="W15" s="2">
        <v>44678</v>
      </c>
      <c r="X15" s="1" t="s">
        <v>229</v>
      </c>
      <c r="Y15" s="1">
        <v>58.5</v>
      </c>
      <c r="Z15" s="1">
        <v>19.100000000000001</v>
      </c>
      <c r="AA15" s="1">
        <v>12</v>
      </c>
      <c r="AB15" s="1">
        <v>14.5</v>
      </c>
      <c r="AC15" s="1">
        <v>3</v>
      </c>
      <c r="AD15" s="3">
        <v>276.95</v>
      </c>
      <c r="AE15" s="3">
        <v>270.52672175929098</v>
      </c>
      <c r="AF15" s="2">
        <v>44678</v>
      </c>
      <c r="AG15" s="1">
        <v>125</v>
      </c>
      <c r="AH15" s="3">
        <v>10.417522245037601</v>
      </c>
      <c r="AI15" s="4">
        <v>26.279402019650899</v>
      </c>
      <c r="AJ15" s="4">
        <v>18.681818181818201</v>
      </c>
      <c r="AK15" s="4">
        <v>22.915219169912401</v>
      </c>
      <c r="AL15" s="1">
        <v>22</v>
      </c>
      <c r="AM15" s="5">
        <v>813.22835159977899</v>
      </c>
      <c r="AN15" s="4">
        <v>271.02763249853501</v>
      </c>
      <c r="AO15" s="4">
        <v>0.33327371330004701</v>
      </c>
      <c r="AP15" s="1" t="s">
        <v>163</v>
      </c>
      <c r="AQ15" s="1" t="s">
        <v>156</v>
      </c>
      <c r="AR15" s="1" t="s">
        <v>164</v>
      </c>
      <c r="AS15" s="1">
        <v>7.5</v>
      </c>
      <c r="AT15" s="4">
        <v>0.60992126369983424</v>
      </c>
      <c r="AU15" s="1" t="s">
        <v>233</v>
      </c>
      <c r="AV15" s="1" t="s">
        <v>234</v>
      </c>
      <c r="AW15" s="1">
        <v>5453</v>
      </c>
      <c r="AX15" s="1">
        <v>2893</v>
      </c>
      <c r="AY15" s="1">
        <v>2127</v>
      </c>
      <c r="AZ15" s="1">
        <v>404</v>
      </c>
      <c r="BA15" s="1">
        <v>29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4">
        <v>-1.1499999999999999</v>
      </c>
      <c r="BI15" s="4">
        <v>27.030000999999999</v>
      </c>
      <c r="BJ15" s="4">
        <v>9.9142329999999994</v>
      </c>
      <c r="BK15" s="4">
        <v>-0.25539699999999999</v>
      </c>
      <c r="BL15" s="4">
        <v>10.332822</v>
      </c>
      <c r="BM15" s="4">
        <v>106.767211</v>
      </c>
      <c r="BN15" s="4">
        <v>1.0422210000000001</v>
      </c>
      <c r="BO15" s="4">
        <v>20.910001000000001</v>
      </c>
      <c r="BP15" s="4">
        <v>0.28733599999999998</v>
      </c>
      <c r="BQ15" s="4">
        <v>1.3362149999999999</v>
      </c>
      <c r="BR15" s="4">
        <v>9.7416180000000008</v>
      </c>
      <c r="BS15" s="4">
        <v>7.26</v>
      </c>
      <c r="BT15" s="4">
        <v>7.395397</v>
      </c>
      <c r="BU15" s="4">
        <v>9.9142329999999994</v>
      </c>
      <c r="BV15" s="4">
        <v>5.6220039999999996</v>
      </c>
      <c r="BW15" s="4">
        <v>0.90530900000000003</v>
      </c>
      <c r="BX15" s="4">
        <v>-0.82053500000000001</v>
      </c>
      <c r="BY15" s="4">
        <v>0.56706400000000001</v>
      </c>
      <c r="BZ15" s="4">
        <v>0.16103000000000001</v>
      </c>
      <c r="CA15" s="4">
        <v>-0.145951</v>
      </c>
      <c r="CB15" s="4">
        <v>-0.40479999999999999</v>
      </c>
      <c r="CC15" s="4">
        <v>-0.2</v>
      </c>
      <c r="CD15" s="4">
        <v>-0.11</v>
      </c>
      <c r="CE15" s="4">
        <v>-0.01</v>
      </c>
      <c r="CF15" s="4">
        <v>0.03</v>
      </c>
      <c r="CG15" s="4">
        <v>7.0000000000000007E-2</v>
      </c>
      <c r="CH15" s="4">
        <v>0.18</v>
      </c>
      <c r="CI15" s="4">
        <v>7.14</v>
      </c>
      <c r="CJ15" s="4">
        <v>14.872</v>
      </c>
      <c r="CK15" s="4">
        <v>19.290001</v>
      </c>
      <c r="CL15" s="4">
        <v>20.940000999999999</v>
      </c>
      <c r="CM15" s="4">
        <v>22.135999999999999</v>
      </c>
      <c r="CN15" s="4">
        <v>24.237997</v>
      </c>
      <c r="CO15" s="4">
        <v>25.219999000000001</v>
      </c>
      <c r="CP15" s="4">
        <v>26.1448</v>
      </c>
      <c r="CQ15" s="4">
        <v>0.392627</v>
      </c>
      <c r="CR15" s="4">
        <v>14.319205</v>
      </c>
      <c r="CS15" s="4">
        <v>16.468419999999998</v>
      </c>
      <c r="CT15" s="1">
        <v>1</v>
      </c>
      <c r="CU15" s="1">
        <v>69</v>
      </c>
      <c r="CV15" s="4">
        <v>15.246653</v>
      </c>
      <c r="CW15" s="4">
        <v>1</v>
      </c>
      <c r="CX15" s="4">
        <v>12.786519999999999</v>
      </c>
      <c r="CY15" s="4">
        <v>163.49509399999999</v>
      </c>
      <c r="CZ15" s="4">
        <v>0.83864399999999995</v>
      </c>
      <c r="DA15" s="4">
        <v>14</v>
      </c>
      <c r="DB15" s="4">
        <v>1.1880280000000001</v>
      </c>
      <c r="DC15" s="4">
        <v>3.6548699999999998</v>
      </c>
      <c r="DD15" s="4">
        <v>9.9997679999999995</v>
      </c>
      <c r="DE15" s="4">
        <v>15.246653</v>
      </c>
      <c r="DF15" s="4">
        <v>6.8048029999999997</v>
      </c>
      <c r="DG15" s="4">
        <v>1.924776</v>
      </c>
      <c r="DH15" s="4">
        <v>0.85808200000000001</v>
      </c>
      <c r="DI15" s="4">
        <v>0.44631500000000002</v>
      </c>
      <c r="DJ15" s="4">
        <v>0.282856</v>
      </c>
      <c r="DK15" s="4">
        <v>0.12609899999999999</v>
      </c>
      <c r="DL15" s="4">
        <v>1</v>
      </c>
      <c r="DM15" s="4">
        <v>1</v>
      </c>
      <c r="DN15" s="4">
        <v>2</v>
      </c>
      <c r="DO15" s="4">
        <v>5</v>
      </c>
      <c r="DP15" s="4">
        <v>6</v>
      </c>
      <c r="DQ15" s="4">
        <v>7</v>
      </c>
      <c r="DR15" s="4">
        <v>9</v>
      </c>
      <c r="DS15" s="4">
        <v>11</v>
      </c>
      <c r="DT15" s="4">
        <v>14</v>
      </c>
      <c r="DU15" s="4">
        <v>18</v>
      </c>
      <c r="DV15" s="4">
        <v>20</v>
      </c>
      <c r="DW15" s="4">
        <v>24</v>
      </c>
      <c r="DX15" s="4">
        <v>37</v>
      </c>
      <c r="DY15" s="4">
        <v>43</v>
      </c>
      <c r="DZ15" s="4">
        <v>51</v>
      </c>
      <c r="EA15" s="4">
        <v>80.470100000000002</v>
      </c>
      <c r="EB15" s="4">
        <v>52.466532000000001</v>
      </c>
      <c r="EC15" s="4">
        <v>98.893882000000005</v>
      </c>
      <c r="ED15" s="4">
        <v>2328</v>
      </c>
      <c r="EE15" s="4">
        <v>2861</v>
      </c>
      <c r="EF15" s="4">
        <v>73.625994000000006</v>
      </c>
      <c r="EG15" s="4">
        <v>100</v>
      </c>
      <c r="EH15" s="4">
        <v>46.176417000000001</v>
      </c>
      <c r="EI15" s="4">
        <v>97.029157999999995</v>
      </c>
      <c r="EJ15" s="4">
        <v>87.037677000000002</v>
      </c>
      <c r="EK15" s="4">
        <v>182.889734</v>
      </c>
      <c r="EL15" s="4">
        <v>2130</v>
      </c>
      <c r="EM15" s="4">
        <v>2893</v>
      </c>
      <c r="EN15" s="4">
        <v>2518</v>
      </c>
      <c r="EO15" s="4">
        <v>5291</v>
      </c>
      <c r="EP15" s="4">
        <v>2893</v>
      </c>
      <c r="EQ15" s="4">
        <v>5453</v>
      </c>
      <c r="ER15" s="4">
        <v>37.011535000000002</v>
      </c>
    </row>
    <row r="16" spans="1:148" x14ac:dyDescent="0.2">
      <c r="A16" s="1">
        <v>2022</v>
      </c>
      <c r="B16" s="1" t="str">
        <f t="shared" si="0"/>
        <v>RD</v>
      </c>
      <c r="C16" s="1" t="s">
        <v>235</v>
      </c>
      <c r="D16" s="1" t="s">
        <v>235</v>
      </c>
      <c r="E16" s="1">
        <v>20434</v>
      </c>
      <c r="F16" s="1" t="s">
        <v>2050</v>
      </c>
      <c r="G16" s="1" t="s">
        <v>236</v>
      </c>
      <c r="H16" s="1" t="s">
        <v>237</v>
      </c>
      <c r="I16" s="1">
        <v>65.37</v>
      </c>
      <c r="J16" s="1">
        <v>65.37</v>
      </c>
      <c r="K16" s="1" t="s">
        <v>210</v>
      </c>
      <c r="L16" s="1">
        <v>1</v>
      </c>
      <c r="M16" s="1">
        <v>2012</v>
      </c>
      <c r="N16" s="1">
        <v>2</v>
      </c>
      <c r="O16" s="1">
        <v>1</v>
      </c>
      <c r="P16" s="1" t="str">
        <f t="shared" si="1"/>
        <v>Alto fuste</v>
      </c>
      <c r="Q16" s="2">
        <v>41157</v>
      </c>
      <c r="R16" s="1" t="s">
        <v>227</v>
      </c>
      <c r="S16" s="1" t="s">
        <v>238</v>
      </c>
      <c r="T16" s="1" t="s">
        <v>2268</v>
      </c>
      <c r="U16" s="1" t="s">
        <v>212</v>
      </c>
      <c r="V16" s="1" t="s">
        <v>152</v>
      </c>
      <c r="W16" s="2">
        <v>44823</v>
      </c>
      <c r="X16" s="1" t="s">
        <v>239</v>
      </c>
      <c r="Y16" s="1">
        <v>122.91</v>
      </c>
      <c r="Z16" s="1">
        <v>19.3</v>
      </c>
      <c r="AA16" s="1">
        <v>12</v>
      </c>
      <c r="AB16" s="1">
        <v>15.1</v>
      </c>
      <c r="AC16" s="1">
        <v>1</v>
      </c>
      <c r="AD16" s="3">
        <v>291.43</v>
      </c>
      <c r="AE16" s="3">
        <v>285.01813902625702</v>
      </c>
      <c r="AF16" s="2">
        <v>44823</v>
      </c>
      <c r="AG16" s="1">
        <v>120</v>
      </c>
      <c r="AH16" s="3">
        <v>10.036960985626299</v>
      </c>
      <c r="AI16" s="4">
        <v>24.072956856219999</v>
      </c>
      <c r="AJ16" s="4">
        <v>14.6513513513514</v>
      </c>
      <c r="AK16" s="4">
        <v>23.5873125583765</v>
      </c>
      <c r="AL16" s="1">
        <v>37</v>
      </c>
      <c r="AM16" s="5">
        <v>1298.1629915347701</v>
      </c>
      <c r="AN16" s="4">
        <v>281.84868745893198</v>
      </c>
      <c r="AO16" s="4">
        <v>0.217113482125778</v>
      </c>
      <c r="AP16" s="1" t="s">
        <v>238</v>
      </c>
      <c r="AQ16" s="1" t="s">
        <v>156</v>
      </c>
      <c r="AR16" s="1" t="s">
        <v>242</v>
      </c>
      <c r="AS16" s="1">
        <v>7.5</v>
      </c>
      <c r="AT16" s="4">
        <v>0.97362224365107763</v>
      </c>
      <c r="AU16" s="1" t="s">
        <v>240</v>
      </c>
      <c r="AV16" s="1" t="s">
        <v>241</v>
      </c>
      <c r="AW16" s="1">
        <v>4234</v>
      </c>
      <c r="AX16" s="1">
        <v>2323</v>
      </c>
      <c r="AY16" s="1">
        <v>1544</v>
      </c>
      <c r="AZ16" s="1">
        <v>343</v>
      </c>
      <c r="BA16" s="1">
        <v>24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4">
        <v>-0.83899999999999997</v>
      </c>
      <c r="BI16" s="4">
        <v>26.341000000000001</v>
      </c>
      <c r="BJ16" s="4">
        <v>11.902804</v>
      </c>
      <c r="BK16" s="4">
        <v>2.3857E-2</v>
      </c>
      <c r="BL16" s="4">
        <v>10.705707</v>
      </c>
      <c r="BM16" s="4">
        <v>114.61215900000001</v>
      </c>
      <c r="BN16" s="4">
        <v>0.89942699999999998</v>
      </c>
      <c r="BO16" s="4">
        <v>23.245000000000001</v>
      </c>
      <c r="BP16" s="4">
        <v>-9.9030000000000003E-3</v>
      </c>
      <c r="BQ16" s="4">
        <v>1.2093320000000001</v>
      </c>
      <c r="BR16" s="4">
        <v>10.121218000000001</v>
      </c>
      <c r="BS16" s="4">
        <v>11.564</v>
      </c>
      <c r="BT16" s="4">
        <v>12.706142</v>
      </c>
      <c r="BU16" s="4">
        <v>11.902804</v>
      </c>
      <c r="BV16" s="4">
        <v>5.8744199999999998</v>
      </c>
      <c r="BW16" s="4">
        <v>0.123941</v>
      </c>
      <c r="BX16" s="4">
        <v>-1.07711</v>
      </c>
      <c r="BY16" s="4">
        <v>0.49353200000000003</v>
      </c>
      <c r="BZ16" s="4">
        <v>2.1097999999999999E-2</v>
      </c>
      <c r="CA16" s="4">
        <v>-0.18335599999999999</v>
      </c>
      <c r="CB16" s="4">
        <v>-0.43767</v>
      </c>
      <c r="CC16" s="4">
        <v>-0.159</v>
      </c>
      <c r="CD16" s="4">
        <v>-6.2700000000000006E-2</v>
      </c>
      <c r="CE16" s="4">
        <v>4.2999999999999997E-2</v>
      </c>
      <c r="CF16" s="4">
        <v>8.4000000000000005E-2</v>
      </c>
      <c r="CG16" s="4">
        <v>0.14399999999999999</v>
      </c>
      <c r="CH16" s="4">
        <v>2.7240000000000002</v>
      </c>
      <c r="CI16" s="4">
        <v>12.73</v>
      </c>
      <c r="CJ16" s="4">
        <v>19.384201000000001</v>
      </c>
      <c r="CK16" s="4">
        <v>22.885999999999999</v>
      </c>
      <c r="CL16" s="4">
        <v>23.329000000000001</v>
      </c>
      <c r="CM16" s="4">
        <v>23.67</v>
      </c>
      <c r="CN16" s="4">
        <v>24.405398999999999</v>
      </c>
      <c r="CO16" s="4">
        <v>25.068999999999999</v>
      </c>
      <c r="CP16" s="4">
        <v>25.852350000000001</v>
      </c>
      <c r="CQ16" s="4">
        <v>0.46879300000000002</v>
      </c>
      <c r="CR16" s="4">
        <v>16.008181</v>
      </c>
      <c r="CS16" s="4">
        <v>17.931685000000002</v>
      </c>
      <c r="CT16" s="1">
        <v>1</v>
      </c>
      <c r="CU16" s="1">
        <v>59</v>
      </c>
      <c r="CV16" s="4">
        <v>16.202881000000001</v>
      </c>
      <c r="CW16" s="4">
        <v>1</v>
      </c>
      <c r="CX16" s="4">
        <v>12.766107</v>
      </c>
      <c r="CY16" s="4">
        <v>162.97347600000001</v>
      </c>
      <c r="CZ16" s="4">
        <v>0.78789100000000001</v>
      </c>
      <c r="DA16" s="4">
        <v>18</v>
      </c>
      <c r="DB16" s="4">
        <v>0.86876200000000003</v>
      </c>
      <c r="DC16" s="4">
        <v>2.9557600000000002</v>
      </c>
      <c r="DD16" s="4">
        <v>10.508889</v>
      </c>
      <c r="DE16" s="4">
        <v>16.202881000000001</v>
      </c>
      <c r="DF16" s="4">
        <v>7.04542</v>
      </c>
      <c r="DG16" s="4">
        <v>1.522696</v>
      </c>
      <c r="DH16" s="4">
        <v>0.47964099999999998</v>
      </c>
      <c r="DI16" s="4">
        <v>0.43482500000000002</v>
      </c>
      <c r="DJ16" s="4">
        <v>0.21612600000000001</v>
      </c>
      <c r="DK16" s="4">
        <v>6.8078E-2</v>
      </c>
      <c r="DL16" s="4">
        <v>1</v>
      </c>
      <c r="DM16" s="4">
        <v>1</v>
      </c>
      <c r="DN16" s="4">
        <v>2</v>
      </c>
      <c r="DO16" s="4">
        <v>5</v>
      </c>
      <c r="DP16" s="4">
        <v>6</v>
      </c>
      <c r="DQ16" s="4">
        <v>7</v>
      </c>
      <c r="DR16" s="4">
        <v>10</v>
      </c>
      <c r="DS16" s="4">
        <v>13</v>
      </c>
      <c r="DT16" s="4">
        <v>16.800049000000001</v>
      </c>
      <c r="DU16" s="4">
        <v>22</v>
      </c>
      <c r="DV16" s="4">
        <v>24</v>
      </c>
      <c r="DW16" s="4">
        <v>28</v>
      </c>
      <c r="DX16" s="4">
        <v>35</v>
      </c>
      <c r="DY16" s="4">
        <v>42</v>
      </c>
      <c r="DZ16" s="4">
        <v>50</v>
      </c>
      <c r="EA16" s="4">
        <v>87.042617000000007</v>
      </c>
      <c r="EB16" s="4">
        <v>59.848843000000002</v>
      </c>
      <c r="EC16" s="4">
        <v>109.083082</v>
      </c>
      <c r="ED16" s="4">
        <v>2022</v>
      </c>
      <c r="EE16" s="4">
        <v>2534</v>
      </c>
      <c r="EF16" s="4">
        <v>81.790788000000006</v>
      </c>
      <c r="EG16" s="4">
        <v>97.460181000000006</v>
      </c>
      <c r="EH16" s="4">
        <v>51.275390000000002</v>
      </c>
      <c r="EI16" s="4">
        <v>81.813888000000006</v>
      </c>
      <c r="EJ16" s="4">
        <v>93.456737000000004</v>
      </c>
      <c r="EK16" s="4">
        <v>149.11752000000001</v>
      </c>
      <c r="EL16" s="4">
        <v>1900</v>
      </c>
      <c r="EM16" s="4">
        <v>2264</v>
      </c>
      <c r="EN16" s="4">
        <v>2171</v>
      </c>
      <c r="EO16" s="4">
        <v>3464</v>
      </c>
      <c r="EP16" s="4">
        <v>2323</v>
      </c>
      <c r="EQ16" s="4">
        <v>4234</v>
      </c>
      <c r="ER16" s="4">
        <v>45.111995</v>
      </c>
    </row>
    <row r="17" spans="1:148" x14ac:dyDescent="0.2">
      <c r="A17" s="1">
        <v>2022</v>
      </c>
      <c r="B17" s="1" t="str">
        <f t="shared" si="0"/>
        <v>RD</v>
      </c>
      <c r="C17" s="1" t="s">
        <v>243</v>
      </c>
      <c r="D17" s="1" t="s">
        <v>243</v>
      </c>
      <c r="E17" s="1">
        <v>20435</v>
      </c>
      <c r="F17" s="1" t="s">
        <v>2050</v>
      </c>
      <c r="G17" s="1" t="s">
        <v>236</v>
      </c>
      <c r="H17" s="1" t="s">
        <v>237</v>
      </c>
      <c r="I17" s="1">
        <v>65.37</v>
      </c>
      <c r="J17" s="1">
        <v>65.37</v>
      </c>
      <c r="K17" s="1" t="s">
        <v>210</v>
      </c>
      <c r="L17" s="1">
        <v>1</v>
      </c>
      <c r="M17" s="1">
        <v>2012</v>
      </c>
      <c r="N17" s="1">
        <v>2</v>
      </c>
      <c r="O17" s="1">
        <v>1</v>
      </c>
      <c r="P17" s="1" t="str">
        <f t="shared" si="1"/>
        <v>Alto fuste</v>
      </c>
      <c r="Q17" s="2">
        <v>41157</v>
      </c>
      <c r="R17" s="1" t="s">
        <v>227</v>
      </c>
      <c r="S17" s="1" t="s">
        <v>238</v>
      </c>
      <c r="T17" s="1" t="s">
        <v>2268</v>
      </c>
      <c r="U17" s="1" t="s">
        <v>212</v>
      </c>
      <c r="V17" s="1" t="s">
        <v>152</v>
      </c>
      <c r="W17" s="2">
        <v>44823</v>
      </c>
      <c r="X17" s="1" t="s">
        <v>239</v>
      </c>
      <c r="Y17" s="1">
        <v>122.91</v>
      </c>
      <c r="Z17" s="1">
        <v>19.899999999999999</v>
      </c>
      <c r="AA17" s="1">
        <v>7</v>
      </c>
      <c r="AB17" s="1">
        <v>14.8</v>
      </c>
      <c r="AC17" s="1">
        <v>2</v>
      </c>
      <c r="AD17" s="3">
        <v>294.52</v>
      </c>
      <c r="AE17" s="3">
        <v>292.14661627702998</v>
      </c>
      <c r="AF17" s="2">
        <v>44823</v>
      </c>
      <c r="AG17" s="1">
        <v>120</v>
      </c>
      <c r="AH17" s="3">
        <v>10.036960985626299</v>
      </c>
      <c r="AI17" s="4">
        <v>23.834393772519999</v>
      </c>
      <c r="AJ17" s="4">
        <v>14.423913043478301</v>
      </c>
      <c r="AK17" s="4">
        <v>27.745294454253798</v>
      </c>
      <c r="AL17" s="1">
        <v>46</v>
      </c>
      <c r="AM17" s="5">
        <v>1574.5518666688999</v>
      </c>
      <c r="AN17" s="4">
        <v>328.24508084411201</v>
      </c>
      <c r="AO17" s="4">
        <v>0.20846889060475601</v>
      </c>
      <c r="AP17" s="1" t="s">
        <v>238</v>
      </c>
      <c r="AQ17" s="1" t="s">
        <v>156</v>
      </c>
      <c r="AR17" s="1" t="s">
        <v>242</v>
      </c>
      <c r="AS17" s="1">
        <v>7.5</v>
      </c>
      <c r="AT17" s="4">
        <v>1.1809139000016751</v>
      </c>
      <c r="AU17" s="1" t="s">
        <v>244</v>
      </c>
      <c r="AV17" s="1" t="s">
        <v>245</v>
      </c>
      <c r="AW17" s="1">
        <v>16549</v>
      </c>
      <c r="AX17" s="1">
        <v>8483</v>
      </c>
      <c r="AY17" s="1">
        <v>6274</v>
      </c>
      <c r="AZ17" s="1">
        <v>1630</v>
      </c>
      <c r="BA17" s="1">
        <v>162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4">
        <v>-0.92800000000000005</v>
      </c>
      <c r="BI17" s="4">
        <v>28.789000000000001</v>
      </c>
      <c r="BJ17" s="4">
        <v>12.893770999999999</v>
      </c>
      <c r="BK17" s="4">
        <v>1.5396999999999999E-2</v>
      </c>
      <c r="BL17" s="4">
        <v>11.037592</v>
      </c>
      <c r="BM17" s="4">
        <v>121.828444</v>
      </c>
      <c r="BN17" s="4">
        <v>0.85604100000000005</v>
      </c>
      <c r="BO17" s="4">
        <v>23.882999000000002</v>
      </c>
      <c r="BP17" s="4">
        <v>-0.12926599999999999</v>
      </c>
      <c r="BQ17" s="4">
        <v>1.2282</v>
      </c>
      <c r="BR17" s="4">
        <v>10.415763</v>
      </c>
      <c r="BS17" s="4">
        <v>9.6100010000000005</v>
      </c>
      <c r="BT17" s="4">
        <v>15.359603</v>
      </c>
      <c r="BU17" s="4">
        <v>12.893770999999999</v>
      </c>
      <c r="BV17" s="4">
        <v>6.0422840000000004</v>
      </c>
      <c r="BW17" s="4">
        <v>-0.15829799999999999</v>
      </c>
      <c r="BX17" s="4">
        <v>-1.0743419999999999</v>
      </c>
      <c r="BY17" s="4">
        <v>0.46861999999999998</v>
      </c>
      <c r="BZ17" s="4">
        <v>-2.6197999999999999E-2</v>
      </c>
      <c r="CA17" s="4">
        <v>-0.17780399999999999</v>
      </c>
      <c r="CB17" s="4">
        <v>-0.38600000000000001</v>
      </c>
      <c r="CC17" s="4">
        <v>-0.18</v>
      </c>
      <c r="CD17" s="4">
        <v>-8.7999999999999995E-2</v>
      </c>
      <c r="CE17" s="4">
        <v>2.5000000000000001E-2</v>
      </c>
      <c r="CF17" s="4">
        <v>7.6999999999999999E-2</v>
      </c>
      <c r="CG17" s="4">
        <v>0.14799999999999999</v>
      </c>
      <c r="CH17" s="4">
        <v>7.45</v>
      </c>
      <c r="CI17" s="4">
        <v>15.375</v>
      </c>
      <c r="CJ17" s="4">
        <v>21.118998999999999</v>
      </c>
      <c r="CK17" s="4">
        <v>23.632000000000001</v>
      </c>
      <c r="CL17" s="4">
        <v>23.959999</v>
      </c>
      <c r="CM17" s="4">
        <v>24.280999999999999</v>
      </c>
      <c r="CN17" s="4">
        <v>25.084</v>
      </c>
      <c r="CO17" s="4">
        <v>25.756599000000001</v>
      </c>
      <c r="CP17" s="4">
        <v>27.163675000000001</v>
      </c>
      <c r="CQ17" s="4">
        <v>0.465113</v>
      </c>
      <c r="CR17" s="4">
        <v>16.972636999999999</v>
      </c>
      <c r="CS17" s="4">
        <v>18.835103</v>
      </c>
      <c r="CT17" s="1">
        <v>1</v>
      </c>
      <c r="CU17" s="1">
        <v>59</v>
      </c>
      <c r="CV17" s="4">
        <v>13.297420000000001</v>
      </c>
      <c r="CW17" s="4">
        <v>1</v>
      </c>
      <c r="CX17" s="4">
        <v>10.365691</v>
      </c>
      <c r="CY17" s="4">
        <v>107.447553</v>
      </c>
      <c r="CZ17" s="4">
        <v>0.77952699999999997</v>
      </c>
      <c r="DA17" s="4">
        <v>14</v>
      </c>
      <c r="DB17" s="4">
        <v>1.0571649999999999</v>
      </c>
      <c r="DC17" s="4">
        <v>3.8383419999999999</v>
      </c>
      <c r="DD17" s="4">
        <v>8.3250150000000005</v>
      </c>
      <c r="DE17" s="4">
        <v>13.297420000000001</v>
      </c>
      <c r="DF17" s="4">
        <v>5.6416380000000004</v>
      </c>
      <c r="DG17" s="4">
        <v>1.2744489999999999</v>
      </c>
      <c r="DH17" s="4">
        <v>0.51829899999999995</v>
      </c>
      <c r="DI17" s="4">
        <v>0.42426599999999998</v>
      </c>
      <c r="DJ17" s="4">
        <v>0.22589999999999999</v>
      </c>
      <c r="DK17" s="4">
        <v>9.1869999999999993E-2</v>
      </c>
      <c r="DL17" s="4">
        <v>1</v>
      </c>
      <c r="DM17" s="4">
        <v>1</v>
      </c>
      <c r="DN17" s="4">
        <v>2</v>
      </c>
      <c r="DO17" s="4">
        <v>4</v>
      </c>
      <c r="DP17" s="4">
        <v>5</v>
      </c>
      <c r="DQ17" s="4">
        <v>6</v>
      </c>
      <c r="DR17" s="4">
        <v>8</v>
      </c>
      <c r="DS17" s="4">
        <v>11</v>
      </c>
      <c r="DT17" s="4">
        <v>14</v>
      </c>
      <c r="DU17" s="4">
        <v>17</v>
      </c>
      <c r="DV17" s="4">
        <v>19</v>
      </c>
      <c r="DW17" s="4">
        <v>22</v>
      </c>
      <c r="DX17" s="4">
        <v>28</v>
      </c>
      <c r="DY17" s="4">
        <v>34</v>
      </c>
      <c r="DZ17" s="4">
        <v>44</v>
      </c>
      <c r="EA17" s="4">
        <v>94.259106000000003</v>
      </c>
      <c r="EB17" s="4">
        <v>61.840595</v>
      </c>
      <c r="EC17" s="4">
        <v>120.641283</v>
      </c>
      <c r="ED17" s="4">
        <v>7996</v>
      </c>
      <c r="EE17" s="4">
        <v>10234</v>
      </c>
      <c r="EF17" s="4">
        <v>89.602734999999996</v>
      </c>
      <c r="EG17" s="4">
        <v>99.563834</v>
      </c>
      <c r="EH17" s="4">
        <v>53.779685000000001</v>
      </c>
      <c r="EI17" s="4">
        <v>80.923319000000006</v>
      </c>
      <c r="EJ17" s="4">
        <v>104.91571399999999</v>
      </c>
      <c r="EK17" s="4">
        <v>157.86867899999999</v>
      </c>
      <c r="EL17" s="4">
        <v>7601</v>
      </c>
      <c r="EM17" s="4">
        <v>8446</v>
      </c>
      <c r="EN17" s="4">
        <v>8900</v>
      </c>
      <c r="EO17" s="4">
        <v>13392</v>
      </c>
      <c r="EP17" s="4">
        <v>8483</v>
      </c>
      <c r="EQ17" s="4">
        <v>16549</v>
      </c>
      <c r="ER17" s="4">
        <v>46.491084999999998</v>
      </c>
    </row>
    <row r="18" spans="1:148" x14ac:dyDescent="0.2">
      <c r="A18" s="1">
        <v>2022</v>
      </c>
      <c r="B18" s="1" t="str">
        <f t="shared" si="0"/>
        <v>RD</v>
      </c>
      <c r="C18" s="1" t="s">
        <v>246</v>
      </c>
      <c r="D18" s="1" t="s">
        <v>246</v>
      </c>
      <c r="E18" s="1">
        <v>20462</v>
      </c>
      <c r="F18" s="1" t="s">
        <v>2051</v>
      </c>
      <c r="G18" s="1" t="s">
        <v>247</v>
      </c>
      <c r="H18" s="1" t="s">
        <v>248</v>
      </c>
      <c r="I18" s="1">
        <v>25.35</v>
      </c>
      <c r="J18" s="1">
        <v>25.35</v>
      </c>
      <c r="K18" s="1" t="s">
        <v>249</v>
      </c>
      <c r="L18" s="1">
        <v>1</v>
      </c>
      <c r="M18" s="1">
        <v>2012</v>
      </c>
      <c r="N18" s="1">
        <v>1</v>
      </c>
      <c r="O18" s="1">
        <v>2</v>
      </c>
      <c r="P18" s="1" t="str">
        <f t="shared" si="1"/>
        <v>Talhadia</v>
      </c>
      <c r="Q18" s="2">
        <v>41258</v>
      </c>
      <c r="R18" s="1" t="s">
        <v>227</v>
      </c>
      <c r="S18" s="1" t="s">
        <v>250</v>
      </c>
      <c r="T18" s="1" t="s">
        <v>2268</v>
      </c>
      <c r="U18" s="1" t="s">
        <v>212</v>
      </c>
      <c r="V18" s="1" t="s">
        <v>152</v>
      </c>
      <c r="W18" s="2">
        <v>44798</v>
      </c>
      <c r="X18" s="1" t="s">
        <v>251</v>
      </c>
      <c r="Y18" s="1">
        <v>50.04</v>
      </c>
      <c r="Z18" s="1">
        <v>21.2</v>
      </c>
      <c r="AA18" s="1">
        <v>8</v>
      </c>
      <c r="AB18" s="1">
        <v>15.4</v>
      </c>
      <c r="AC18" s="1">
        <v>0</v>
      </c>
      <c r="AD18" s="3">
        <v>326.48</v>
      </c>
      <c r="AE18" s="3">
        <v>323.30271908274801</v>
      </c>
      <c r="AF18" s="2">
        <v>44798</v>
      </c>
      <c r="AG18" s="1">
        <v>116</v>
      </c>
      <c r="AH18" s="3">
        <v>9.6919917864476393</v>
      </c>
      <c r="AI18" s="4">
        <v>24.3077010872633</v>
      </c>
      <c r="AJ18" s="4">
        <v>14.6689655172414</v>
      </c>
      <c r="AK18" s="4">
        <v>15.719686127749901</v>
      </c>
      <c r="AL18" s="1">
        <v>29</v>
      </c>
      <c r="AM18" s="5">
        <v>896.99214662582494</v>
      </c>
      <c r="AN18" s="4">
        <v>175.13877633476599</v>
      </c>
      <c r="AO18" s="4">
        <v>0.19525118139950001</v>
      </c>
      <c r="AP18" s="1" t="s">
        <v>250</v>
      </c>
      <c r="AQ18" s="1" t="s">
        <v>254</v>
      </c>
      <c r="AR18" s="1" t="s">
        <v>164</v>
      </c>
      <c r="AS18" s="1">
        <v>7.5</v>
      </c>
      <c r="AT18" s="4">
        <v>0.67274410996936873</v>
      </c>
      <c r="AU18" s="1" t="s">
        <v>252</v>
      </c>
      <c r="AV18" s="1" t="s">
        <v>253</v>
      </c>
      <c r="AW18" s="1">
        <v>2838</v>
      </c>
      <c r="AX18" s="1">
        <v>1592</v>
      </c>
      <c r="AY18" s="1">
        <v>980</v>
      </c>
      <c r="AZ18" s="1">
        <v>248</v>
      </c>
      <c r="BA18" s="1">
        <v>18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4">
        <v>-1.04</v>
      </c>
      <c r="BI18" s="4">
        <v>24.959999</v>
      </c>
      <c r="BJ18" s="4">
        <v>10.596498</v>
      </c>
      <c r="BK18" s="4">
        <v>-0.21460299999999999</v>
      </c>
      <c r="BL18" s="4">
        <v>9.2201140000000006</v>
      </c>
      <c r="BM18" s="4">
        <v>85.010498999999996</v>
      </c>
      <c r="BN18" s="4">
        <v>0.87011000000000005</v>
      </c>
      <c r="BO18" s="4">
        <v>18.287499</v>
      </c>
      <c r="BP18" s="4">
        <v>0.16369</v>
      </c>
      <c r="BQ18" s="4">
        <v>1.283514</v>
      </c>
      <c r="BR18" s="4">
        <v>8.7463800000000003</v>
      </c>
      <c r="BS18" s="4">
        <v>6.97</v>
      </c>
      <c r="BT18" s="4">
        <v>7.1346030000000003</v>
      </c>
      <c r="BU18" s="4">
        <v>10.596498</v>
      </c>
      <c r="BV18" s="4">
        <v>5.1385709999999998</v>
      </c>
      <c r="BW18" s="4">
        <v>0.36491899999999999</v>
      </c>
      <c r="BX18" s="4">
        <v>-0.68484599999999995</v>
      </c>
      <c r="BY18" s="4">
        <v>0.484931</v>
      </c>
      <c r="BZ18" s="4">
        <v>7.1015999999999996E-2</v>
      </c>
      <c r="CA18" s="4">
        <v>-0.13327600000000001</v>
      </c>
      <c r="CB18" s="4">
        <v>-0.27</v>
      </c>
      <c r="CC18" s="4">
        <v>-0.09</v>
      </c>
      <c r="CD18" s="4">
        <v>0.01</v>
      </c>
      <c r="CE18" s="4">
        <v>0.4</v>
      </c>
      <c r="CF18" s="4">
        <v>1.95</v>
      </c>
      <c r="CG18" s="4">
        <v>2.84</v>
      </c>
      <c r="CH18" s="4">
        <v>3.87</v>
      </c>
      <c r="CI18" s="4">
        <v>6.92</v>
      </c>
      <c r="CJ18" s="4">
        <v>16.465997999999999</v>
      </c>
      <c r="CK18" s="4">
        <v>19.379000000000001</v>
      </c>
      <c r="CL18" s="4">
        <v>20.237499</v>
      </c>
      <c r="CM18" s="4">
        <v>21.116001000000001</v>
      </c>
      <c r="CN18" s="4">
        <v>22.76</v>
      </c>
      <c r="CO18" s="4">
        <v>23.309999000000001</v>
      </c>
      <c r="CP18" s="4">
        <v>24.076298000000001</v>
      </c>
      <c r="CQ18" s="4">
        <v>0.44755800000000001</v>
      </c>
      <c r="CR18" s="4">
        <v>14.045152</v>
      </c>
      <c r="CS18" s="4">
        <v>15.899865</v>
      </c>
      <c r="CT18" s="1">
        <v>1</v>
      </c>
      <c r="CU18" s="1">
        <v>61</v>
      </c>
      <c r="CV18" s="4">
        <v>15.902396</v>
      </c>
      <c r="CW18" s="4">
        <v>4.8095239999999997</v>
      </c>
      <c r="CX18" s="4">
        <v>12.616688</v>
      </c>
      <c r="CY18" s="4">
        <v>159.180812</v>
      </c>
      <c r="CZ18" s="4">
        <v>0.79338299999999995</v>
      </c>
      <c r="DA18" s="4">
        <v>16</v>
      </c>
      <c r="DB18" s="4">
        <v>1.1337429999999999</v>
      </c>
      <c r="DC18" s="4">
        <v>3.6563949999999998</v>
      </c>
      <c r="DD18" s="4">
        <v>9.9331200000000006</v>
      </c>
      <c r="DE18" s="4">
        <v>15.902396</v>
      </c>
      <c r="DF18" s="4">
        <v>6.7795719999999999</v>
      </c>
      <c r="DG18" s="4">
        <v>1.76779</v>
      </c>
      <c r="DH18" s="4">
        <v>0.82027600000000001</v>
      </c>
      <c r="DI18" s="4">
        <v>0.42632399999999998</v>
      </c>
      <c r="DJ18" s="4">
        <v>0.26075199999999998</v>
      </c>
      <c r="DK18" s="4">
        <v>0.120992</v>
      </c>
      <c r="DL18" s="4">
        <v>1</v>
      </c>
      <c r="DM18" s="4">
        <v>2</v>
      </c>
      <c r="DN18" s="4">
        <v>3</v>
      </c>
      <c r="DO18" s="4">
        <v>5</v>
      </c>
      <c r="DP18" s="4">
        <v>6</v>
      </c>
      <c r="DQ18" s="4">
        <v>8</v>
      </c>
      <c r="DR18" s="4">
        <v>10</v>
      </c>
      <c r="DS18" s="4">
        <v>12</v>
      </c>
      <c r="DT18" s="4">
        <v>15</v>
      </c>
      <c r="DU18" s="4">
        <v>19</v>
      </c>
      <c r="DV18" s="4">
        <v>22</v>
      </c>
      <c r="DW18" s="4">
        <v>25</v>
      </c>
      <c r="DX18" s="4">
        <v>36</v>
      </c>
      <c r="DY18" s="4">
        <v>44</v>
      </c>
      <c r="DZ18" s="4">
        <v>51.629883</v>
      </c>
      <c r="EA18" s="4">
        <v>87.185929999999999</v>
      </c>
      <c r="EB18" s="4">
        <v>68.146581999999995</v>
      </c>
      <c r="EC18" s="4">
        <v>121.482412</v>
      </c>
      <c r="ED18" s="4">
        <v>1388</v>
      </c>
      <c r="EE18" s="4">
        <v>1934</v>
      </c>
      <c r="EF18" s="4">
        <v>73.241206000000005</v>
      </c>
      <c r="EG18" s="4">
        <v>100</v>
      </c>
      <c r="EH18" s="4">
        <v>47.815362999999998</v>
      </c>
      <c r="EI18" s="4">
        <v>98.414376000000004</v>
      </c>
      <c r="EJ18" s="4">
        <v>85.238692999999998</v>
      </c>
      <c r="EK18" s="4">
        <v>175.43969799999999</v>
      </c>
      <c r="EL18" s="4">
        <v>1166</v>
      </c>
      <c r="EM18" s="4">
        <v>1592</v>
      </c>
      <c r="EN18" s="4">
        <v>1357</v>
      </c>
      <c r="EO18" s="4">
        <v>2793</v>
      </c>
      <c r="EP18" s="4">
        <v>1592</v>
      </c>
      <c r="EQ18" s="4">
        <v>2838</v>
      </c>
      <c r="ER18" s="4">
        <v>43.064027000000003</v>
      </c>
    </row>
    <row r="19" spans="1:148" x14ac:dyDescent="0.2">
      <c r="A19" s="1">
        <v>2022</v>
      </c>
      <c r="B19" s="1" t="str">
        <f t="shared" si="0"/>
        <v>RD</v>
      </c>
      <c r="C19" s="1" t="s">
        <v>255</v>
      </c>
      <c r="D19" s="1" t="s">
        <v>255</v>
      </c>
      <c r="E19" s="1">
        <v>20463</v>
      </c>
      <c r="F19" s="1" t="s">
        <v>2051</v>
      </c>
      <c r="G19" s="1" t="s">
        <v>247</v>
      </c>
      <c r="H19" s="1" t="s">
        <v>248</v>
      </c>
      <c r="I19" s="1">
        <v>25.35</v>
      </c>
      <c r="J19" s="1">
        <v>25.35</v>
      </c>
      <c r="K19" s="1" t="s">
        <v>249</v>
      </c>
      <c r="L19" s="1">
        <v>1</v>
      </c>
      <c r="M19" s="1">
        <v>2012</v>
      </c>
      <c r="N19" s="1">
        <v>1</v>
      </c>
      <c r="O19" s="1">
        <v>2</v>
      </c>
      <c r="P19" s="1" t="str">
        <f t="shared" si="1"/>
        <v>Talhadia</v>
      </c>
      <c r="Q19" s="2">
        <v>41258</v>
      </c>
      <c r="R19" s="1" t="s">
        <v>227</v>
      </c>
      <c r="S19" s="1" t="s">
        <v>250</v>
      </c>
      <c r="T19" s="1" t="s">
        <v>2268</v>
      </c>
      <c r="U19" s="1" t="s">
        <v>212</v>
      </c>
      <c r="V19" s="1" t="s">
        <v>152</v>
      </c>
      <c r="W19" s="2">
        <v>44798</v>
      </c>
      <c r="X19" s="1" t="s">
        <v>251</v>
      </c>
      <c r="Y19" s="1">
        <v>50.04</v>
      </c>
      <c r="Z19" s="1">
        <v>19.100000000000001</v>
      </c>
      <c r="AA19" s="1">
        <v>19</v>
      </c>
      <c r="AB19" s="1">
        <v>15.8</v>
      </c>
      <c r="AC19" s="1">
        <v>4</v>
      </c>
      <c r="AD19" s="3">
        <v>301.77999999999997</v>
      </c>
      <c r="AE19" s="3">
        <v>284.64352526619598</v>
      </c>
      <c r="AF19" s="2">
        <v>44798</v>
      </c>
      <c r="AG19" s="1">
        <v>116</v>
      </c>
      <c r="AH19" s="3">
        <v>9.6919917864476393</v>
      </c>
      <c r="AI19" s="4">
        <v>27.629556853636299</v>
      </c>
      <c r="AJ19" s="4">
        <v>17.1111111111111</v>
      </c>
      <c r="AK19" s="4">
        <v>22.5695980122733</v>
      </c>
      <c r="AL19" s="1">
        <v>27</v>
      </c>
      <c r="AM19" s="5">
        <v>948.55486260401801</v>
      </c>
      <c r="AN19" s="4">
        <v>282.81851626233299</v>
      </c>
      <c r="AO19" s="4">
        <v>0.29815725733135401</v>
      </c>
      <c r="AP19" s="1" t="s">
        <v>250</v>
      </c>
      <c r="AQ19" s="1" t="s">
        <v>254</v>
      </c>
      <c r="AR19" s="1" t="s">
        <v>164</v>
      </c>
      <c r="AS19" s="1">
        <v>7.5</v>
      </c>
      <c r="AT19" s="4">
        <v>0.71141614695301358</v>
      </c>
      <c r="AU19" s="1" t="s">
        <v>256</v>
      </c>
      <c r="AV19" s="1" t="s">
        <v>257</v>
      </c>
      <c r="AW19" s="1">
        <v>4600</v>
      </c>
      <c r="AX19" s="1">
        <v>2568</v>
      </c>
      <c r="AY19" s="1">
        <v>1671</v>
      </c>
      <c r="AZ19" s="1">
        <v>345</v>
      </c>
      <c r="BA19" s="1">
        <v>16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4">
        <v>-0.83</v>
      </c>
      <c r="BI19" s="4">
        <v>35.029998999999997</v>
      </c>
      <c r="BJ19" s="4">
        <v>13.363287</v>
      </c>
      <c r="BK19" s="4">
        <v>-0.26079400000000003</v>
      </c>
      <c r="BL19" s="4">
        <v>14.093540000000001</v>
      </c>
      <c r="BM19" s="4">
        <v>198.627861</v>
      </c>
      <c r="BN19" s="4">
        <v>1.054646</v>
      </c>
      <c r="BO19" s="4">
        <v>29.632501000000001</v>
      </c>
      <c r="BP19" s="4">
        <v>0.299039</v>
      </c>
      <c r="BQ19" s="4">
        <v>1.29891</v>
      </c>
      <c r="BR19" s="4">
        <v>13.341808</v>
      </c>
      <c r="BS19" s="4">
        <v>6.2249999999999996</v>
      </c>
      <c r="BT19" s="4">
        <v>6.2357940000000003</v>
      </c>
      <c r="BU19" s="4">
        <v>13.363287</v>
      </c>
      <c r="BV19" s="4">
        <v>7.6071140000000002</v>
      </c>
      <c r="BW19" s="4">
        <v>1.2416609999999999</v>
      </c>
      <c r="BX19" s="4">
        <v>-1.2255149999999999</v>
      </c>
      <c r="BY19" s="4">
        <v>0.56925499999999996</v>
      </c>
      <c r="BZ19" s="4">
        <v>0.16322400000000001</v>
      </c>
      <c r="CA19" s="4">
        <v>-0.16110099999999999</v>
      </c>
      <c r="CB19" s="4">
        <v>-0.35</v>
      </c>
      <c r="CC19" s="4">
        <v>-0.18</v>
      </c>
      <c r="CD19" s="4">
        <v>-0.1</v>
      </c>
      <c r="CE19" s="4">
        <v>0.01</v>
      </c>
      <c r="CF19" s="4">
        <v>0.06</v>
      </c>
      <c r="CG19" s="4">
        <v>0.12</v>
      </c>
      <c r="CH19" s="4">
        <v>0.31</v>
      </c>
      <c r="CI19" s="4">
        <v>5.9749999999999996</v>
      </c>
      <c r="CJ19" s="4">
        <v>19.700001</v>
      </c>
      <c r="CK19" s="4">
        <v>26.655003000000001</v>
      </c>
      <c r="CL19" s="4">
        <v>29.692501</v>
      </c>
      <c r="CM19" s="4">
        <v>31.17</v>
      </c>
      <c r="CN19" s="4">
        <v>32.580002</v>
      </c>
      <c r="CO19" s="4">
        <v>33.270499999999998</v>
      </c>
      <c r="CP19" s="4">
        <v>34.189999</v>
      </c>
      <c r="CQ19" s="4">
        <v>0.39579700000000001</v>
      </c>
      <c r="CR19" s="4">
        <v>19.420662</v>
      </c>
      <c r="CS19" s="4">
        <v>22.363481</v>
      </c>
      <c r="CT19" s="1">
        <v>1</v>
      </c>
      <c r="CU19" s="1">
        <v>51</v>
      </c>
      <c r="CV19" s="4">
        <v>11.329783000000001</v>
      </c>
      <c r="CW19" s="4">
        <v>1</v>
      </c>
      <c r="CX19" s="4">
        <v>10.472037</v>
      </c>
      <c r="CY19" s="4">
        <v>109.663562</v>
      </c>
      <c r="CZ19" s="4">
        <v>0.92429300000000003</v>
      </c>
      <c r="DA19" s="4">
        <v>13</v>
      </c>
      <c r="DB19" s="4">
        <v>1.178458</v>
      </c>
      <c r="DC19" s="4">
        <v>3.465144</v>
      </c>
      <c r="DD19" s="4">
        <v>8.4064460000000008</v>
      </c>
      <c r="DE19" s="4">
        <v>11.329783000000001</v>
      </c>
      <c r="DF19" s="4">
        <v>5.544384</v>
      </c>
      <c r="DG19" s="4">
        <v>1.730974</v>
      </c>
      <c r="DH19" s="4">
        <v>0.55067500000000003</v>
      </c>
      <c r="DI19" s="4">
        <v>0.48936400000000002</v>
      </c>
      <c r="DJ19" s="4">
        <v>0.31220300000000001</v>
      </c>
      <c r="DK19" s="4">
        <v>9.9321000000000007E-2</v>
      </c>
      <c r="DL19" s="4">
        <v>1</v>
      </c>
      <c r="DM19" s="4">
        <v>1</v>
      </c>
      <c r="DN19" s="4">
        <v>1</v>
      </c>
      <c r="DO19" s="4">
        <v>3</v>
      </c>
      <c r="DP19" s="4">
        <v>3</v>
      </c>
      <c r="DQ19" s="4">
        <v>4</v>
      </c>
      <c r="DR19" s="4">
        <v>6</v>
      </c>
      <c r="DS19" s="4">
        <v>7</v>
      </c>
      <c r="DT19" s="4">
        <v>10</v>
      </c>
      <c r="DU19" s="4">
        <v>14</v>
      </c>
      <c r="DV19" s="4">
        <v>16</v>
      </c>
      <c r="DW19" s="4">
        <v>20</v>
      </c>
      <c r="DX19" s="4">
        <v>29</v>
      </c>
      <c r="DY19" s="4">
        <v>34</v>
      </c>
      <c r="DZ19" s="4">
        <v>40</v>
      </c>
      <c r="EA19" s="4">
        <v>75.194704000000002</v>
      </c>
      <c r="EB19" s="4">
        <v>51.239130000000003</v>
      </c>
      <c r="EC19" s="4">
        <v>91.783489000000003</v>
      </c>
      <c r="ED19" s="4">
        <v>1931</v>
      </c>
      <c r="EE19" s="4">
        <v>2357</v>
      </c>
      <c r="EF19" s="4">
        <v>70.132399000000007</v>
      </c>
      <c r="EG19" s="4">
        <v>100</v>
      </c>
      <c r="EH19" s="4">
        <v>46.043478</v>
      </c>
      <c r="EI19" s="4">
        <v>97.826087000000001</v>
      </c>
      <c r="EJ19" s="4">
        <v>82.476635999999999</v>
      </c>
      <c r="EK19" s="4">
        <v>175.233645</v>
      </c>
      <c r="EL19" s="4">
        <v>1801</v>
      </c>
      <c r="EM19" s="4">
        <v>2568</v>
      </c>
      <c r="EN19" s="4">
        <v>2118</v>
      </c>
      <c r="EO19" s="4">
        <v>4500</v>
      </c>
      <c r="EP19" s="4">
        <v>2568</v>
      </c>
      <c r="EQ19" s="4">
        <v>4600</v>
      </c>
      <c r="ER19" s="4">
        <v>38.137816999999998</v>
      </c>
    </row>
    <row r="20" spans="1:148" x14ac:dyDescent="0.2">
      <c r="A20" s="1">
        <v>2022</v>
      </c>
      <c r="B20" s="1" t="str">
        <f t="shared" si="0"/>
        <v>RD</v>
      </c>
      <c r="C20" s="1" t="s">
        <v>258</v>
      </c>
      <c r="D20" s="1" t="s">
        <v>258</v>
      </c>
      <c r="E20" s="1">
        <v>20464</v>
      </c>
      <c r="F20" s="1" t="s">
        <v>2051</v>
      </c>
      <c r="G20" s="1" t="s">
        <v>247</v>
      </c>
      <c r="H20" s="1" t="s">
        <v>248</v>
      </c>
      <c r="I20" s="1">
        <v>25.35</v>
      </c>
      <c r="J20" s="1">
        <v>25.35</v>
      </c>
      <c r="K20" s="1" t="s">
        <v>249</v>
      </c>
      <c r="L20" s="1">
        <v>1</v>
      </c>
      <c r="M20" s="1">
        <v>2012</v>
      </c>
      <c r="N20" s="1">
        <v>1</v>
      </c>
      <c r="O20" s="1">
        <v>2</v>
      </c>
      <c r="P20" s="1" t="str">
        <f t="shared" si="1"/>
        <v>Talhadia</v>
      </c>
      <c r="Q20" s="2">
        <v>41258</v>
      </c>
      <c r="R20" s="1" t="s">
        <v>227</v>
      </c>
      <c r="S20" s="1" t="s">
        <v>250</v>
      </c>
      <c r="T20" s="1" t="s">
        <v>2268</v>
      </c>
      <c r="U20" s="1" t="s">
        <v>212</v>
      </c>
      <c r="V20" s="1" t="s">
        <v>152</v>
      </c>
      <c r="W20" s="2">
        <v>44798</v>
      </c>
      <c r="X20" s="1" t="s">
        <v>251</v>
      </c>
      <c r="Y20" s="1">
        <v>50.04</v>
      </c>
      <c r="Z20" s="1">
        <v>19.8</v>
      </c>
      <c r="AA20" s="1">
        <v>22</v>
      </c>
      <c r="AB20" s="1">
        <v>13.5</v>
      </c>
      <c r="AC20" s="1">
        <v>6</v>
      </c>
      <c r="AD20" s="3">
        <v>267.3</v>
      </c>
      <c r="AE20" s="3">
        <v>246.47857144775199</v>
      </c>
      <c r="AF20" s="2">
        <v>44798</v>
      </c>
      <c r="AG20" s="1">
        <v>116</v>
      </c>
      <c r="AH20" s="3">
        <v>9.6919917864476393</v>
      </c>
      <c r="AI20" s="4">
        <v>27.7485609877271</v>
      </c>
      <c r="AJ20" s="4">
        <v>16.973684210526301</v>
      </c>
      <c r="AK20" s="4">
        <v>18.050273825988</v>
      </c>
      <c r="AL20" s="1">
        <v>19</v>
      </c>
      <c r="AM20" s="5">
        <v>770.85808670501797</v>
      </c>
      <c r="AN20" s="4">
        <v>227.384626664189</v>
      </c>
      <c r="AO20" s="4">
        <v>0.29497598920720802</v>
      </c>
      <c r="AP20" s="1" t="s">
        <v>250</v>
      </c>
      <c r="AQ20" s="1" t="s">
        <v>254</v>
      </c>
      <c r="AR20" s="1" t="s">
        <v>164</v>
      </c>
      <c r="AS20" s="1">
        <v>7.5</v>
      </c>
      <c r="AT20" s="4">
        <v>0.57814356502876352</v>
      </c>
      <c r="AU20" s="1" t="s">
        <v>259</v>
      </c>
      <c r="AV20" s="1" t="s">
        <v>260</v>
      </c>
      <c r="AW20" s="1">
        <v>1760</v>
      </c>
      <c r="AX20" s="1">
        <v>956</v>
      </c>
      <c r="AY20" s="1">
        <v>704</v>
      </c>
      <c r="AZ20" s="1">
        <v>99</v>
      </c>
      <c r="BA20" s="1">
        <v>1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4">
        <v>-0.54</v>
      </c>
      <c r="BI20" s="4">
        <v>28.719999000000001</v>
      </c>
      <c r="BJ20" s="4">
        <v>12.249364</v>
      </c>
      <c r="BK20" s="4">
        <v>-7.5555999999999998E-2</v>
      </c>
      <c r="BL20" s="4">
        <v>11.536039000000001</v>
      </c>
      <c r="BM20" s="4">
        <v>133.08020500000001</v>
      </c>
      <c r="BN20" s="4">
        <v>0.94176599999999999</v>
      </c>
      <c r="BO20" s="4">
        <v>24.02</v>
      </c>
      <c r="BP20" s="4">
        <v>2.955E-2</v>
      </c>
      <c r="BQ20" s="4">
        <v>1.151221</v>
      </c>
      <c r="BR20" s="4">
        <v>11.128949</v>
      </c>
      <c r="BS20" s="4">
        <v>12.549999</v>
      </c>
      <c r="BT20" s="4">
        <v>13.840555999999999</v>
      </c>
      <c r="BU20" s="4">
        <v>12.249364</v>
      </c>
      <c r="BV20" s="4">
        <v>6.2483560000000002</v>
      </c>
      <c r="BW20" s="4">
        <v>0.30165900000000001</v>
      </c>
      <c r="BX20" s="4">
        <v>-1.1751780000000001</v>
      </c>
      <c r="BY20" s="4">
        <v>0.51009599999999999</v>
      </c>
      <c r="BZ20" s="4">
        <v>4.8278000000000001E-2</v>
      </c>
      <c r="CA20" s="4">
        <v>-0.188078</v>
      </c>
      <c r="CB20" s="4">
        <v>-0.33</v>
      </c>
      <c r="CC20" s="4">
        <v>-0.17</v>
      </c>
      <c r="CD20" s="4">
        <v>-0.09</v>
      </c>
      <c r="CE20" s="4">
        <v>7.0000000000000007E-2</v>
      </c>
      <c r="CF20" s="4">
        <v>0.13</v>
      </c>
      <c r="CG20" s="4">
        <v>0.23</v>
      </c>
      <c r="CH20" s="4">
        <v>0.72599999999999998</v>
      </c>
      <c r="CI20" s="4">
        <v>13.765000000000001</v>
      </c>
      <c r="CJ20" s="4">
        <v>20.988001000000001</v>
      </c>
      <c r="CK20" s="4">
        <v>23.552999</v>
      </c>
      <c r="CL20" s="4">
        <v>24.15</v>
      </c>
      <c r="CM20" s="4">
        <v>24.731998000000001</v>
      </c>
      <c r="CN20" s="4">
        <v>25.959999</v>
      </c>
      <c r="CO20" s="4">
        <v>26.701001999999999</v>
      </c>
      <c r="CP20" s="4">
        <v>27.73</v>
      </c>
      <c r="CQ20" s="4">
        <v>0.43709399999999998</v>
      </c>
      <c r="CR20" s="4">
        <v>16.824134000000001</v>
      </c>
      <c r="CS20" s="4">
        <v>18.918374</v>
      </c>
      <c r="CT20" s="1">
        <v>1</v>
      </c>
      <c r="CU20" s="1">
        <v>60</v>
      </c>
      <c r="CV20" s="4">
        <v>13.521591000000001</v>
      </c>
      <c r="CW20" s="4">
        <v>3.8095240000000001</v>
      </c>
      <c r="CX20" s="4">
        <v>11.787032999999999</v>
      </c>
      <c r="CY20" s="4">
        <v>138.934156</v>
      </c>
      <c r="CZ20" s="4">
        <v>0.87171900000000002</v>
      </c>
      <c r="DA20" s="4">
        <v>13</v>
      </c>
      <c r="DB20" s="4">
        <v>1.4257850000000001</v>
      </c>
      <c r="DC20" s="4">
        <v>4.540597</v>
      </c>
      <c r="DD20" s="4">
        <v>8.9953140000000005</v>
      </c>
      <c r="DE20" s="4">
        <v>13.521591000000001</v>
      </c>
      <c r="DF20" s="4">
        <v>6.1129379999999998</v>
      </c>
      <c r="DG20" s="4">
        <v>1.9438439999999999</v>
      </c>
      <c r="DH20" s="4">
        <v>0.95912600000000003</v>
      </c>
      <c r="DI20" s="4">
        <v>0.45208700000000002</v>
      </c>
      <c r="DJ20" s="4">
        <v>0.31798799999999999</v>
      </c>
      <c r="DK20" s="4">
        <v>0.15690100000000001</v>
      </c>
      <c r="DL20" s="4">
        <v>1</v>
      </c>
      <c r="DM20" s="4">
        <v>1</v>
      </c>
      <c r="DN20" s="4">
        <v>2</v>
      </c>
      <c r="DO20" s="4">
        <v>4</v>
      </c>
      <c r="DP20" s="4">
        <v>5</v>
      </c>
      <c r="DQ20" s="4">
        <v>6</v>
      </c>
      <c r="DR20" s="4">
        <v>8</v>
      </c>
      <c r="DS20" s="4">
        <v>10</v>
      </c>
      <c r="DT20" s="4">
        <v>12</v>
      </c>
      <c r="DU20" s="4">
        <v>16</v>
      </c>
      <c r="DV20" s="4">
        <v>18</v>
      </c>
      <c r="DW20" s="4">
        <v>21</v>
      </c>
      <c r="DX20" s="4">
        <v>32</v>
      </c>
      <c r="DY20" s="4">
        <v>40</v>
      </c>
      <c r="DZ20" s="4">
        <v>51</v>
      </c>
      <c r="EA20" s="4">
        <v>85.251046000000002</v>
      </c>
      <c r="EB20" s="4">
        <v>54.772727000000003</v>
      </c>
      <c r="EC20" s="4">
        <v>100.83682</v>
      </c>
      <c r="ED20" s="4">
        <v>815</v>
      </c>
      <c r="EE20" s="4">
        <v>964</v>
      </c>
      <c r="EF20" s="4">
        <v>84.100418000000005</v>
      </c>
      <c r="EG20" s="4">
        <v>99.267781999999997</v>
      </c>
      <c r="EH20" s="4">
        <v>51.363636</v>
      </c>
      <c r="EI20" s="4">
        <v>89.261364</v>
      </c>
      <c r="EJ20" s="4">
        <v>94.560669000000004</v>
      </c>
      <c r="EK20" s="4">
        <v>164.330544</v>
      </c>
      <c r="EL20" s="4">
        <v>804</v>
      </c>
      <c r="EM20" s="4">
        <v>949</v>
      </c>
      <c r="EN20" s="4">
        <v>904</v>
      </c>
      <c r="EO20" s="4">
        <v>1571</v>
      </c>
      <c r="EP20" s="4">
        <v>956</v>
      </c>
      <c r="EQ20" s="4">
        <v>1760</v>
      </c>
      <c r="ER20" s="4">
        <v>43.254823000000002</v>
      </c>
    </row>
    <row r="21" spans="1:148" x14ac:dyDescent="0.2">
      <c r="A21" s="1">
        <v>2022</v>
      </c>
      <c r="B21" s="1" t="str">
        <f t="shared" si="0"/>
        <v>GN</v>
      </c>
      <c r="C21" s="1" t="s">
        <v>261</v>
      </c>
      <c r="D21" s="1" t="s">
        <v>261</v>
      </c>
      <c r="E21" s="1">
        <v>20581</v>
      </c>
      <c r="F21" s="1" t="s">
        <v>2052</v>
      </c>
      <c r="G21" s="1" t="s">
        <v>262</v>
      </c>
      <c r="H21" s="1" t="s">
        <v>263</v>
      </c>
      <c r="I21" s="1">
        <v>17.5</v>
      </c>
      <c r="J21" s="1">
        <v>17.5</v>
      </c>
      <c r="K21" s="1" t="s">
        <v>264</v>
      </c>
      <c r="L21" s="1">
        <v>1</v>
      </c>
      <c r="M21" s="1">
        <v>2012</v>
      </c>
      <c r="N21" s="1">
        <v>3</v>
      </c>
      <c r="O21" s="1">
        <v>1</v>
      </c>
      <c r="P21" s="1" t="str">
        <f t="shared" si="1"/>
        <v>Alto fuste</v>
      </c>
      <c r="Q21" s="2">
        <v>40939</v>
      </c>
      <c r="R21" s="1" t="s">
        <v>169</v>
      </c>
      <c r="S21" s="1" t="s">
        <v>265</v>
      </c>
      <c r="T21" s="1" t="s">
        <v>2268</v>
      </c>
      <c r="U21" s="1" t="s">
        <v>266</v>
      </c>
      <c r="V21" s="1" t="s">
        <v>152</v>
      </c>
      <c r="W21" s="2">
        <v>44728</v>
      </c>
      <c r="X21" s="1" t="s">
        <v>267</v>
      </c>
      <c r="Y21" s="1">
        <v>57.58</v>
      </c>
      <c r="Z21" s="1">
        <v>20.9</v>
      </c>
      <c r="AA21" s="1">
        <v>14</v>
      </c>
      <c r="AB21" s="1">
        <v>15.5</v>
      </c>
      <c r="AC21" s="1">
        <v>0</v>
      </c>
      <c r="AD21" s="3">
        <v>323.95</v>
      </c>
      <c r="AE21" s="3">
        <v>314.327300527109</v>
      </c>
      <c r="AF21" s="2">
        <v>44728</v>
      </c>
      <c r="AG21" s="1">
        <v>125</v>
      </c>
      <c r="AH21" s="3">
        <v>10.3737166324435</v>
      </c>
      <c r="AI21" s="4">
        <v>33.5923274477543</v>
      </c>
      <c r="AJ21" s="4">
        <v>18.877777777777801</v>
      </c>
      <c r="AK21" s="4">
        <v>32.462386764574497</v>
      </c>
      <c r="AL21" s="1">
        <v>36</v>
      </c>
      <c r="AM21" s="5">
        <v>1145.3029991232099</v>
      </c>
      <c r="AN21" s="4">
        <v>493.27795749212697</v>
      </c>
      <c r="AO21" s="4">
        <v>0.43069646885562801</v>
      </c>
      <c r="AP21" s="1" t="s">
        <v>265</v>
      </c>
      <c r="AQ21" s="1" t="s">
        <v>156</v>
      </c>
      <c r="AR21" s="1" t="s">
        <v>270</v>
      </c>
      <c r="AS21" s="1">
        <v>9</v>
      </c>
      <c r="AT21" s="4">
        <v>1.030772699210889</v>
      </c>
      <c r="AU21" s="1" t="s">
        <v>268</v>
      </c>
      <c r="AV21" s="1" t="s">
        <v>269</v>
      </c>
      <c r="AW21" s="1">
        <v>5534</v>
      </c>
      <c r="AX21" s="1">
        <v>3095</v>
      </c>
      <c r="AY21" s="1">
        <v>2252</v>
      </c>
      <c r="AZ21" s="1">
        <v>176</v>
      </c>
      <c r="BA21" s="1">
        <v>11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4">
        <v>-1.2290000000000001</v>
      </c>
      <c r="BI21" s="4">
        <v>33.195</v>
      </c>
      <c r="BJ21" s="4">
        <v>17.961919999999999</v>
      </c>
      <c r="BK21" s="4">
        <v>-0.13617499999999999</v>
      </c>
      <c r="BL21" s="4">
        <v>14.855717</v>
      </c>
      <c r="BM21" s="4">
        <v>220.69232</v>
      </c>
      <c r="BN21" s="4">
        <v>0.827067</v>
      </c>
      <c r="BO21" s="4">
        <v>30.850999999999999</v>
      </c>
      <c r="BP21" s="4">
        <v>-0.33899800000000002</v>
      </c>
      <c r="BQ21" s="4">
        <v>1.1664699999999999</v>
      </c>
      <c r="BR21" s="4">
        <v>14.425466</v>
      </c>
      <c r="BS21" s="4">
        <v>2.4885009999999999</v>
      </c>
      <c r="BT21" s="4">
        <v>29.731173999999999</v>
      </c>
      <c r="BU21" s="4">
        <v>17.961919999999999</v>
      </c>
      <c r="BV21" s="4">
        <v>7.6564300000000003</v>
      </c>
      <c r="BW21" s="4">
        <v>-1.0483990000000001</v>
      </c>
      <c r="BX21" s="4">
        <v>-1.494283</v>
      </c>
      <c r="BY21" s="4">
        <v>0.426259</v>
      </c>
      <c r="BZ21" s="4">
        <v>-0.136931</v>
      </c>
      <c r="CA21" s="4">
        <v>-0.19516700000000001</v>
      </c>
      <c r="CB21" s="4">
        <v>-0.44634000000000001</v>
      </c>
      <c r="CC21" s="4">
        <v>-0.20399999999999999</v>
      </c>
      <c r="CD21" s="4">
        <v>-0.09</v>
      </c>
      <c r="CE21" s="4">
        <v>2.9000000000000001E-2</v>
      </c>
      <c r="CF21" s="4">
        <v>7.1999999999999995E-2</v>
      </c>
      <c r="CG21" s="4">
        <v>0.126</v>
      </c>
      <c r="CH21" s="4">
        <v>8.032394</v>
      </c>
      <c r="CI21" s="4">
        <v>29.594999000000001</v>
      </c>
      <c r="CJ21" s="4">
        <v>30.226799</v>
      </c>
      <c r="CK21" s="4">
        <v>30.639199999999999</v>
      </c>
      <c r="CL21" s="4">
        <v>30.922999999999998</v>
      </c>
      <c r="CM21" s="4">
        <v>31.174999</v>
      </c>
      <c r="CN21" s="4">
        <v>31.728999999999999</v>
      </c>
      <c r="CO21" s="4">
        <v>32.073700000000002</v>
      </c>
      <c r="CP21" s="4">
        <v>32.63335</v>
      </c>
      <c r="CQ21" s="4">
        <v>0.55748699999999995</v>
      </c>
      <c r="CR21" s="4">
        <v>23.308432</v>
      </c>
      <c r="CS21" s="4">
        <v>25.496144000000001</v>
      </c>
      <c r="CT21" s="1">
        <v>1</v>
      </c>
      <c r="CU21" s="1">
        <v>75</v>
      </c>
      <c r="CV21" s="4">
        <v>20.732924000000001</v>
      </c>
      <c r="CW21" s="4">
        <v>1</v>
      </c>
      <c r="CX21" s="4">
        <v>13.649609</v>
      </c>
      <c r="CY21" s="4">
        <v>186.311813</v>
      </c>
      <c r="CZ21" s="4">
        <v>0.65835399999999999</v>
      </c>
      <c r="DA21" s="4">
        <v>24</v>
      </c>
      <c r="DB21" s="4">
        <v>0.243255</v>
      </c>
      <c r="DC21" s="4">
        <v>2.3710249999999999</v>
      </c>
      <c r="DD21" s="4">
        <v>11.858696</v>
      </c>
      <c r="DE21" s="4">
        <v>20.732924000000001</v>
      </c>
      <c r="DF21" s="4">
        <v>7.7497290000000003</v>
      </c>
      <c r="DG21" s="4">
        <v>0.26629999999999998</v>
      </c>
      <c r="DH21" s="4">
        <v>1.1603E-2</v>
      </c>
      <c r="DI21" s="4">
        <v>0.37378899999999998</v>
      </c>
      <c r="DJ21" s="4">
        <v>3.4362999999999998E-2</v>
      </c>
      <c r="DK21" s="4">
        <v>1.4970000000000001E-3</v>
      </c>
      <c r="DL21" s="4">
        <v>1</v>
      </c>
      <c r="DM21" s="4">
        <v>2</v>
      </c>
      <c r="DN21" s="4">
        <v>3</v>
      </c>
      <c r="DO21" s="4">
        <v>6</v>
      </c>
      <c r="DP21" s="4">
        <v>7</v>
      </c>
      <c r="DQ21" s="4">
        <v>9</v>
      </c>
      <c r="DR21" s="4">
        <v>15</v>
      </c>
      <c r="DS21" s="4">
        <v>22</v>
      </c>
      <c r="DT21" s="4">
        <v>27</v>
      </c>
      <c r="DU21" s="4">
        <v>30</v>
      </c>
      <c r="DV21" s="4">
        <v>31</v>
      </c>
      <c r="DW21" s="4">
        <v>33</v>
      </c>
      <c r="DX21" s="4">
        <v>37</v>
      </c>
      <c r="DY21" s="4">
        <v>41</v>
      </c>
      <c r="DZ21" s="4">
        <v>53</v>
      </c>
      <c r="EA21" s="4">
        <v>99.224556000000007</v>
      </c>
      <c r="EB21" s="4">
        <v>60.462595</v>
      </c>
      <c r="EC21" s="4">
        <v>108.109855</v>
      </c>
      <c r="ED21" s="4">
        <v>3071</v>
      </c>
      <c r="EE21" s="4">
        <v>3346</v>
      </c>
      <c r="EF21" s="4">
        <v>99.095314999999999</v>
      </c>
      <c r="EG21" s="4">
        <v>100</v>
      </c>
      <c r="EH21" s="4">
        <v>58.836284999999997</v>
      </c>
      <c r="EI21" s="4">
        <v>92.573183999999998</v>
      </c>
      <c r="EJ21" s="4">
        <v>105.201939</v>
      </c>
      <c r="EK21" s="4">
        <v>165.52503999999999</v>
      </c>
      <c r="EL21" s="4">
        <v>3067</v>
      </c>
      <c r="EM21" s="4">
        <v>3095</v>
      </c>
      <c r="EN21" s="4">
        <v>3256</v>
      </c>
      <c r="EO21" s="4">
        <v>5123</v>
      </c>
      <c r="EP21" s="4">
        <v>3095</v>
      </c>
      <c r="EQ21" s="4">
        <v>5534</v>
      </c>
      <c r="ER21" s="4">
        <v>54.13456</v>
      </c>
    </row>
    <row r="22" spans="1:148" x14ac:dyDescent="0.2">
      <c r="A22" s="1">
        <v>2022</v>
      </c>
      <c r="B22" s="1" t="str">
        <f t="shared" si="0"/>
        <v>GN</v>
      </c>
      <c r="C22" s="1" t="s">
        <v>271</v>
      </c>
      <c r="D22" s="1" t="s">
        <v>271</v>
      </c>
      <c r="E22" s="1">
        <v>20582</v>
      </c>
      <c r="F22" s="1" t="s">
        <v>2052</v>
      </c>
      <c r="G22" s="1" t="s">
        <v>262</v>
      </c>
      <c r="H22" s="1" t="s">
        <v>272</v>
      </c>
      <c r="I22" s="1">
        <v>19.760000000000002</v>
      </c>
      <c r="J22" s="1">
        <v>19.760000000000002</v>
      </c>
      <c r="K22" s="1" t="s">
        <v>264</v>
      </c>
      <c r="L22" s="1">
        <v>1</v>
      </c>
      <c r="M22" s="1">
        <v>2012</v>
      </c>
      <c r="N22" s="1">
        <v>3</v>
      </c>
      <c r="O22" s="1">
        <v>1</v>
      </c>
      <c r="P22" s="1" t="str">
        <f t="shared" si="1"/>
        <v>Alto fuste</v>
      </c>
      <c r="Q22" s="2">
        <v>40941</v>
      </c>
      <c r="R22" s="1" t="s">
        <v>169</v>
      </c>
      <c r="S22" s="1" t="s">
        <v>160</v>
      </c>
      <c r="T22" s="1" t="s">
        <v>2268</v>
      </c>
      <c r="U22" s="1" t="s">
        <v>266</v>
      </c>
      <c r="V22" s="1" t="s">
        <v>152</v>
      </c>
      <c r="W22" s="2">
        <v>44728</v>
      </c>
      <c r="X22" s="1" t="s">
        <v>267</v>
      </c>
      <c r="Y22" s="1">
        <v>57.58</v>
      </c>
      <c r="Z22" s="1">
        <v>20.2</v>
      </c>
      <c r="AA22" s="1">
        <v>30</v>
      </c>
      <c r="AB22" s="1">
        <v>14</v>
      </c>
      <c r="AC22" s="1">
        <v>2</v>
      </c>
      <c r="AD22" s="3">
        <v>282.8</v>
      </c>
      <c r="AE22" s="3">
        <v>244.76279042677101</v>
      </c>
      <c r="AF22" s="2">
        <v>44728</v>
      </c>
      <c r="AG22" s="1">
        <v>124</v>
      </c>
      <c r="AH22" s="3">
        <v>10.3682409308693</v>
      </c>
      <c r="AI22" s="4">
        <v>27.584083532776301</v>
      </c>
      <c r="AJ22" s="4">
        <v>15.559259259259299</v>
      </c>
      <c r="AK22" s="4">
        <v>21.904997927854801</v>
      </c>
      <c r="AL22" s="1">
        <v>27</v>
      </c>
      <c r="AM22" s="5">
        <v>1103.1088488949899</v>
      </c>
      <c r="AN22" s="4">
        <v>281.96830755260601</v>
      </c>
      <c r="AO22" s="4">
        <v>0.25561240654996198</v>
      </c>
      <c r="AP22" s="1" t="s">
        <v>160</v>
      </c>
      <c r="AQ22" s="1" t="s">
        <v>156</v>
      </c>
      <c r="AR22" s="1" t="s">
        <v>275</v>
      </c>
      <c r="AS22" s="1">
        <v>9</v>
      </c>
      <c r="AT22" s="4">
        <v>0.99279796400549092</v>
      </c>
      <c r="AU22" s="1" t="s">
        <v>273</v>
      </c>
      <c r="AV22" s="1" t="s">
        <v>274</v>
      </c>
      <c r="AW22" s="1">
        <v>8272</v>
      </c>
      <c r="AX22" s="1">
        <v>4624</v>
      </c>
      <c r="AY22" s="1">
        <v>3142</v>
      </c>
      <c r="AZ22" s="1">
        <v>465</v>
      </c>
      <c r="BA22" s="1">
        <v>41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4">
        <v>-0.876</v>
      </c>
      <c r="BI22" s="4">
        <v>33.162998000000002</v>
      </c>
      <c r="BJ22" s="4">
        <v>13.432815</v>
      </c>
      <c r="BK22" s="4">
        <v>-0.335698</v>
      </c>
      <c r="BL22" s="4">
        <v>12.620233000000001</v>
      </c>
      <c r="BM22" s="4">
        <v>159.270276</v>
      </c>
      <c r="BN22" s="4">
        <v>0.93950800000000001</v>
      </c>
      <c r="BO22" s="4">
        <v>25.803000000000001</v>
      </c>
      <c r="BP22" s="4">
        <v>0.287968</v>
      </c>
      <c r="BQ22" s="4">
        <v>1.233382</v>
      </c>
      <c r="BR22" s="4">
        <v>12.151123999999999</v>
      </c>
      <c r="BS22" s="4">
        <v>4.806</v>
      </c>
      <c r="BT22" s="4">
        <v>5.0961990000000004</v>
      </c>
      <c r="BU22" s="4">
        <v>13.432815</v>
      </c>
      <c r="BV22" s="4">
        <v>6.8287690000000003</v>
      </c>
      <c r="BW22" s="4">
        <v>0.79549700000000001</v>
      </c>
      <c r="BX22" s="4">
        <v>-1.022659</v>
      </c>
      <c r="BY22" s="4">
        <v>0.50836499999999996</v>
      </c>
      <c r="BZ22" s="4">
        <v>0.116492</v>
      </c>
      <c r="CA22" s="4">
        <v>-0.149757</v>
      </c>
      <c r="CB22" s="4">
        <v>-0.24099999999999999</v>
      </c>
      <c r="CC22" s="4">
        <v>-4.4999999999999998E-2</v>
      </c>
      <c r="CD22" s="4">
        <v>0.123</v>
      </c>
      <c r="CE22" s="4">
        <v>0.92</v>
      </c>
      <c r="CF22" s="4">
        <v>2.4609999999999999</v>
      </c>
      <c r="CG22" s="4">
        <v>3.1676000000000002</v>
      </c>
      <c r="CH22" s="4">
        <v>3.8843999999999999</v>
      </c>
      <c r="CI22" s="4">
        <v>4.7605000000000004</v>
      </c>
      <c r="CJ22" s="4">
        <v>19.738001000000001</v>
      </c>
      <c r="CK22" s="4">
        <v>27.412201</v>
      </c>
      <c r="CL22" s="4">
        <v>28.263999999999999</v>
      </c>
      <c r="CM22" s="4">
        <v>28.799599000000001</v>
      </c>
      <c r="CN22" s="4">
        <v>29.587198000000001</v>
      </c>
      <c r="CO22" s="4">
        <v>30.058001000000001</v>
      </c>
      <c r="CP22" s="4">
        <v>31.798999999999999</v>
      </c>
      <c r="CQ22" s="4">
        <v>0.42036499999999999</v>
      </c>
      <c r="CR22" s="4">
        <v>18.430723</v>
      </c>
      <c r="CS22" s="4">
        <v>21.119603000000001</v>
      </c>
      <c r="CT22" s="1">
        <v>1</v>
      </c>
      <c r="CU22" s="1">
        <v>63</v>
      </c>
      <c r="CV22" s="4">
        <v>21.834502000000001</v>
      </c>
      <c r="CW22" s="4">
        <v>1</v>
      </c>
      <c r="CX22" s="4">
        <v>14.706291</v>
      </c>
      <c r="CY22" s="4">
        <v>216.27498900000001</v>
      </c>
      <c r="CZ22" s="4">
        <v>0.67353499999999999</v>
      </c>
      <c r="DA22" s="4">
        <v>26</v>
      </c>
      <c r="DB22" s="4">
        <v>0.32571899999999998</v>
      </c>
      <c r="DC22" s="4">
        <v>2.0666470000000001</v>
      </c>
      <c r="DD22" s="4">
        <v>12.64377</v>
      </c>
      <c r="DE22" s="4">
        <v>21.834502000000001</v>
      </c>
      <c r="DF22" s="4">
        <v>8.4147909999999992</v>
      </c>
      <c r="DG22" s="4">
        <v>0.71586700000000003</v>
      </c>
      <c r="DH22" s="4">
        <v>8.5389999999999994E-2</v>
      </c>
      <c r="DI22" s="4">
        <v>0.38539000000000001</v>
      </c>
      <c r="DJ22" s="4">
        <v>8.5071999999999995E-2</v>
      </c>
      <c r="DK22" s="4">
        <v>1.0148000000000001E-2</v>
      </c>
      <c r="DL22" s="4">
        <v>1</v>
      </c>
      <c r="DM22" s="4">
        <v>2</v>
      </c>
      <c r="DN22" s="4">
        <v>3</v>
      </c>
      <c r="DO22" s="4">
        <v>6</v>
      </c>
      <c r="DP22" s="4">
        <v>8</v>
      </c>
      <c r="DQ22" s="4">
        <v>11</v>
      </c>
      <c r="DR22" s="4">
        <v>15</v>
      </c>
      <c r="DS22" s="4">
        <v>21</v>
      </c>
      <c r="DT22" s="4">
        <v>26</v>
      </c>
      <c r="DU22" s="4">
        <v>31</v>
      </c>
      <c r="DV22" s="4">
        <v>34</v>
      </c>
      <c r="DW22" s="4">
        <v>36</v>
      </c>
      <c r="DX22" s="4">
        <v>42</v>
      </c>
      <c r="DY22" s="4">
        <v>47</v>
      </c>
      <c r="DZ22" s="4">
        <v>55</v>
      </c>
      <c r="EA22" s="4">
        <v>86.959343000000004</v>
      </c>
      <c r="EB22" s="4">
        <v>71.264506999999995</v>
      </c>
      <c r="EC22" s="4">
        <v>127.48702400000001</v>
      </c>
      <c r="ED22" s="4">
        <v>4021</v>
      </c>
      <c r="EE22" s="4">
        <v>5895</v>
      </c>
      <c r="EF22" s="4">
        <v>71.907438999999997</v>
      </c>
      <c r="EG22" s="4">
        <v>100</v>
      </c>
      <c r="EH22" s="4">
        <v>44.185203000000001</v>
      </c>
      <c r="EI22" s="4">
        <v>99.504351999999997</v>
      </c>
      <c r="EJ22" s="4">
        <v>79.044117999999997</v>
      </c>
      <c r="EK22" s="4">
        <v>178.006055</v>
      </c>
      <c r="EL22" s="4">
        <v>3325</v>
      </c>
      <c r="EM22" s="4">
        <v>4624</v>
      </c>
      <c r="EN22" s="4">
        <v>3655</v>
      </c>
      <c r="EO22" s="4">
        <v>8231</v>
      </c>
      <c r="EP22" s="4">
        <v>4624</v>
      </c>
      <c r="EQ22" s="4">
        <v>8272</v>
      </c>
      <c r="ER22" s="4">
        <v>41.275562000000001</v>
      </c>
    </row>
    <row r="23" spans="1:148" x14ac:dyDescent="0.2">
      <c r="A23" s="1">
        <v>2022</v>
      </c>
      <c r="B23" s="1" t="str">
        <f t="shared" si="0"/>
        <v>RD</v>
      </c>
      <c r="C23" s="1" t="s">
        <v>276</v>
      </c>
      <c r="D23" s="1" t="s">
        <v>276</v>
      </c>
      <c r="E23" s="1">
        <v>20766</v>
      </c>
      <c r="F23" s="1" t="s">
        <v>2053</v>
      </c>
      <c r="G23" s="1" t="s">
        <v>277</v>
      </c>
      <c r="H23" s="1" t="s">
        <v>278</v>
      </c>
      <c r="I23" s="1">
        <v>45.11</v>
      </c>
      <c r="J23" s="1">
        <v>45.11</v>
      </c>
      <c r="K23" s="1" t="s">
        <v>210</v>
      </c>
      <c r="L23" s="1">
        <v>1</v>
      </c>
      <c r="M23" s="1">
        <v>2012</v>
      </c>
      <c r="N23" s="1">
        <v>3</v>
      </c>
      <c r="O23" s="1">
        <v>1</v>
      </c>
      <c r="P23" s="1" t="str">
        <f t="shared" si="1"/>
        <v>Alto fuste</v>
      </c>
      <c r="Q23" s="2">
        <v>40915</v>
      </c>
      <c r="R23" s="1" t="s">
        <v>227</v>
      </c>
      <c r="S23" s="1" t="s">
        <v>163</v>
      </c>
      <c r="T23" s="1" t="s">
        <v>2268</v>
      </c>
      <c r="U23" s="1" t="s">
        <v>212</v>
      </c>
      <c r="V23" s="1" t="s">
        <v>152</v>
      </c>
      <c r="W23" s="2">
        <v>44683</v>
      </c>
      <c r="X23" s="1" t="s">
        <v>279</v>
      </c>
      <c r="Y23" s="1">
        <v>74.459999999999994</v>
      </c>
      <c r="Z23" s="1">
        <v>19.3</v>
      </c>
      <c r="AA23" s="1">
        <v>12</v>
      </c>
      <c r="AB23" s="1">
        <v>14.8</v>
      </c>
      <c r="AC23" s="1">
        <v>3</v>
      </c>
      <c r="AD23" s="3">
        <v>285.64</v>
      </c>
      <c r="AE23" s="3">
        <v>279.01517531440197</v>
      </c>
      <c r="AF23" s="2">
        <v>44683</v>
      </c>
      <c r="AG23" s="1">
        <v>124</v>
      </c>
      <c r="AH23" s="3">
        <v>10.3162217659138</v>
      </c>
      <c r="AI23" s="4">
        <v>25.378241551296099</v>
      </c>
      <c r="AJ23" s="4">
        <v>16.727272727272702</v>
      </c>
      <c r="AK23" s="4">
        <v>17.8407986399084</v>
      </c>
      <c r="AL23" s="1">
        <v>22</v>
      </c>
      <c r="AM23" s="5">
        <v>788.48757868491498</v>
      </c>
      <c r="AN23" s="4">
        <v>208.443587603238</v>
      </c>
      <c r="AO23" s="4">
        <v>0.26435874608309301</v>
      </c>
      <c r="AP23" s="1" t="s">
        <v>163</v>
      </c>
      <c r="AQ23" s="1" t="s">
        <v>156</v>
      </c>
      <c r="AR23" s="1" t="s">
        <v>282</v>
      </c>
      <c r="AS23" s="1">
        <v>7.5</v>
      </c>
      <c r="AT23" s="4">
        <v>0.59136568401368628</v>
      </c>
      <c r="AU23" s="1" t="s">
        <v>280</v>
      </c>
      <c r="AV23" s="1" t="s">
        <v>281</v>
      </c>
      <c r="AW23" s="1">
        <v>4255</v>
      </c>
      <c r="AX23" s="1">
        <v>2503</v>
      </c>
      <c r="AY23" s="1">
        <v>1465</v>
      </c>
      <c r="AZ23" s="1">
        <v>274</v>
      </c>
      <c r="BA23" s="1">
        <v>13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4">
        <v>-1.17</v>
      </c>
      <c r="BI23" s="4">
        <v>29.93</v>
      </c>
      <c r="BJ23" s="4">
        <v>10.639576999999999</v>
      </c>
      <c r="BK23" s="4">
        <v>-0.182698</v>
      </c>
      <c r="BL23" s="4">
        <v>10.246169</v>
      </c>
      <c r="BM23" s="4">
        <v>104.98398299999999</v>
      </c>
      <c r="BN23" s="4">
        <v>0.96302399999999999</v>
      </c>
      <c r="BO23" s="4">
        <v>20.335000999999998</v>
      </c>
      <c r="BP23" s="4">
        <v>0.21770200000000001</v>
      </c>
      <c r="BQ23" s="4">
        <v>1.421457</v>
      </c>
      <c r="BR23" s="4">
        <v>9.5135149999999999</v>
      </c>
      <c r="BS23" s="4">
        <v>10.549999</v>
      </c>
      <c r="BT23" s="4">
        <v>10.912698000000001</v>
      </c>
      <c r="BU23" s="4">
        <v>10.639576999999999</v>
      </c>
      <c r="BV23" s="4">
        <v>5.6835459999999998</v>
      </c>
      <c r="BW23" s="4">
        <v>0.70779999999999998</v>
      </c>
      <c r="BX23" s="4">
        <v>-0.69083899999999998</v>
      </c>
      <c r="BY23" s="4">
        <v>0.53418900000000002</v>
      </c>
      <c r="BZ23" s="4">
        <v>0.12453500000000001</v>
      </c>
      <c r="CA23" s="4">
        <v>-0.12155100000000001</v>
      </c>
      <c r="CB23" s="4">
        <v>-0.39460000000000001</v>
      </c>
      <c r="CC23" s="4">
        <v>-0.17</v>
      </c>
      <c r="CD23" s="4">
        <v>-0.06</v>
      </c>
      <c r="CE23" s="4">
        <v>7.0000000000000007E-2</v>
      </c>
      <c r="CF23" s="4">
        <v>0.15</v>
      </c>
      <c r="CG23" s="4">
        <v>0.23</v>
      </c>
      <c r="CH23" s="4">
        <v>0.64600000000000002</v>
      </c>
      <c r="CI23" s="4">
        <v>10.73</v>
      </c>
      <c r="CJ23" s="4">
        <v>15.72</v>
      </c>
      <c r="CK23" s="4">
        <v>18.766000999999999</v>
      </c>
      <c r="CL23" s="4">
        <v>20.485001</v>
      </c>
      <c r="CM23" s="4">
        <v>21.911999000000002</v>
      </c>
      <c r="CN23" s="4">
        <v>24.52</v>
      </c>
      <c r="CO23" s="4">
        <v>26.073</v>
      </c>
      <c r="CP23" s="4">
        <v>28.794599999999999</v>
      </c>
      <c r="CQ23" s="4">
        <v>0.37972899999999998</v>
      </c>
      <c r="CR23" s="4">
        <v>14.770237</v>
      </c>
      <c r="CS23" s="4">
        <v>16.855398000000001</v>
      </c>
      <c r="CT23" s="1">
        <v>1</v>
      </c>
      <c r="CU23" s="1">
        <v>54</v>
      </c>
      <c r="CV23" s="4">
        <v>14.090952</v>
      </c>
      <c r="CW23" s="4">
        <v>1</v>
      </c>
      <c r="CX23" s="4">
        <v>11.070550000000001</v>
      </c>
      <c r="CY23" s="4">
        <v>122.557076</v>
      </c>
      <c r="CZ23" s="4">
        <v>0.78564999999999996</v>
      </c>
      <c r="DA23" s="4">
        <v>13</v>
      </c>
      <c r="DB23" s="4">
        <v>1.086751</v>
      </c>
      <c r="DC23" s="4">
        <v>3.4924179999999998</v>
      </c>
      <c r="DD23" s="4">
        <v>8.6555389999999992</v>
      </c>
      <c r="DE23" s="4">
        <v>14.090952</v>
      </c>
      <c r="DF23" s="4">
        <v>5.9704050000000004</v>
      </c>
      <c r="DG23" s="4">
        <v>1.486132</v>
      </c>
      <c r="DH23" s="4">
        <v>0.72670500000000005</v>
      </c>
      <c r="DI23" s="4">
        <v>0.423705</v>
      </c>
      <c r="DJ23" s="4">
        <v>0.248917</v>
      </c>
      <c r="DK23" s="4">
        <v>0.12171800000000001</v>
      </c>
      <c r="DL23" s="4">
        <v>1</v>
      </c>
      <c r="DM23" s="4">
        <v>1</v>
      </c>
      <c r="DN23" s="4">
        <v>2</v>
      </c>
      <c r="DO23" s="4">
        <v>5</v>
      </c>
      <c r="DP23" s="4">
        <v>6</v>
      </c>
      <c r="DQ23" s="4">
        <v>7</v>
      </c>
      <c r="DR23" s="4">
        <v>9</v>
      </c>
      <c r="DS23" s="4">
        <v>11</v>
      </c>
      <c r="DT23" s="4">
        <v>14</v>
      </c>
      <c r="DU23" s="4">
        <v>17</v>
      </c>
      <c r="DV23" s="4">
        <v>19</v>
      </c>
      <c r="DW23" s="4">
        <v>22</v>
      </c>
      <c r="DX23" s="4">
        <v>33</v>
      </c>
      <c r="DY23" s="4">
        <v>38</v>
      </c>
      <c r="DZ23" s="4">
        <v>45</v>
      </c>
      <c r="EA23" s="4">
        <v>79.025170000000003</v>
      </c>
      <c r="EB23" s="4">
        <v>56.686250999999999</v>
      </c>
      <c r="EC23" s="4">
        <v>96.364362999999997</v>
      </c>
      <c r="ED23" s="4">
        <v>1978</v>
      </c>
      <c r="EE23" s="4">
        <v>2412</v>
      </c>
      <c r="EF23" s="4">
        <v>73.951257999999996</v>
      </c>
      <c r="EG23" s="4">
        <v>99.960048</v>
      </c>
      <c r="EH23" s="4">
        <v>50.129260000000002</v>
      </c>
      <c r="EI23" s="4">
        <v>95.511162999999996</v>
      </c>
      <c r="EJ23" s="4">
        <v>85.217738999999995</v>
      </c>
      <c r="EK23" s="4">
        <v>162.365162</v>
      </c>
      <c r="EL23" s="4">
        <v>1851</v>
      </c>
      <c r="EM23" s="4">
        <v>2502</v>
      </c>
      <c r="EN23" s="4">
        <v>2133</v>
      </c>
      <c r="EO23" s="4">
        <v>4064</v>
      </c>
      <c r="EP23" s="4">
        <v>2503</v>
      </c>
      <c r="EQ23" s="4">
        <v>4255</v>
      </c>
      <c r="ER23" s="4">
        <v>36.016764000000002</v>
      </c>
    </row>
    <row r="24" spans="1:148" x14ac:dyDescent="0.2">
      <c r="A24" s="1">
        <v>2022</v>
      </c>
      <c r="B24" s="1" t="str">
        <f t="shared" si="0"/>
        <v>NE</v>
      </c>
      <c r="C24" s="1" t="s">
        <v>283</v>
      </c>
      <c r="D24" s="1" t="s">
        <v>283</v>
      </c>
      <c r="E24" s="1">
        <v>21196</v>
      </c>
      <c r="F24" s="1" t="s">
        <v>2054</v>
      </c>
      <c r="G24" s="1" t="s">
        <v>284</v>
      </c>
      <c r="H24" s="1" t="s">
        <v>285</v>
      </c>
      <c r="I24" s="1">
        <v>5.48</v>
      </c>
      <c r="J24" s="1">
        <v>5.48</v>
      </c>
      <c r="K24" s="1" t="s">
        <v>286</v>
      </c>
      <c r="L24" s="1">
        <v>1</v>
      </c>
      <c r="M24" s="1">
        <v>2013</v>
      </c>
      <c r="N24" s="1">
        <v>2</v>
      </c>
      <c r="O24" s="1">
        <v>1</v>
      </c>
      <c r="P24" s="1" t="str">
        <f t="shared" si="1"/>
        <v>Alto fuste</v>
      </c>
      <c r="Q24" s="2">
        <v>41481</v>
      </c>
      <c r="R24" s="1" t="s">
        <v>169</v>
      </c>
      <c r="S24" s="1" t="s">
        <v>287</v>
      </c>
      <c r="T24" s="1" t="s">
        <v>2268</v>
      </c>
      <c r="U24" s="1" t="s">
        <v>170</v>
      </c>
      <c r="V24" s="1" t="s">
        <v>152</v>
      </c>
      <c r="W24" s="2">
        <v>44715</v>
      </c>
      <c r="X24" s="1" t="s">
        <v>288</v>
      </c>
      <c r="Y24" s="1">
        <v>92.67</v>
      </c>
      <c r="Z24" s="1">
        <v>19.3</v>
      </c>
      <c r="AA24" s="1">
        <v>6</v>
      </c>
      <c r="AB24" s="1">
        <v>15.3</v>
      </c>
      <c r="AC24" s="1">
        <v>3</v>
      </c>
      <c r="AD24" s="3">
        <v>295.29000000000002</v>
      </c>
      <c r="AE24" s="3">
        <v>293.269902706008</v>
      </c>
      <c r="AF24" s="2">
        <v>44715</v>
      </c>
      <c r="AG24" s="1">
        <v>107</v>
      </c>
      <c r="AH24" s="3">
        <v>8.8542094455852194</v>
      </c>
      <c r="AI24" s="4">
        <v>30.028026884797601</v>
      </c>
      <c r="AJ24" s="4">
        <v>17.9838709677419</v>
      </c>
      <c r="AK24" s="4">
        <v>27.414976470058999</v>
      </c>
      <c r="AL24" s="1">
        <v>31</v>
      </c>
      <c r="AM24" s="5">
        <v>1057.0467584284099</v>
      </c>
      <c r="AN24" s="4">
        <v>361.94277782950002</v>
      </c>
      <c r="AO24" s="4">
        <v>0.34240942980387001</v>
      </c>
      <c r="AP24" s="1" t="s">
        <v>287</v>
      </c>
      <c r="AQ24" s="1" t="s">
        <v>156</v>
      </c>
      <c r="AR24" s="1" t="s">
        <v>291</v>
      </c>
      <c r="AS24" s="1">
        <v>9</v>
      </c>
      <c r="AT24" s="4">
        <v>0.95134208258556896</v>
      </c>
      <c r="AU24" s="1" t="s">
        <v>289</v>
      </c>
      <c r="AV24" s="1" t="s">
        <v>290</v>
      </c>
      <c r="AW24" s="1">
        <v>2153</v>
      </c>
      <c r="AX24" s="1">
        <v>1356</v>
      </c>
      <c r="AY24" s="1">
        <v>743</v>
      </c>
      <c r="AZ24" s="1">
        <v>53</v>
      </c>
      <c r="BA24" s="1">
        <v>1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4">
        <v>-0.91</v>
      </c>
      <c r="BI24" s="4">
        <v>33.860000999999997</v>
      </c>
      <c r="BJ24" s="4">
        <v>19.416353999999998</v>
      </c>
      <c r="BK24" s="4">
        <v>-0.358095</v>
      </c>
      <c r="BL24" s="4">
        <v>15.135146000000001</v>
      </c>
      <c r="BM24" s="4">
        <v>229.07263900000001</v>
      </c>
      <c r="BN24" s="4">
        <v>0.779505</v>
      </c>
      <c r="BO24" s="4">
        <v>31.86</v>
      </c>
      <c r="BP24" s="4">
        <v>-0.45869199999999999</v>
      </c>
      <c r="BQ24" s="4">
        <v>1.257477</v>
      </c>
      <c r="BR24" s="4">
        <v>14.583354</v>
      </c>
      <c r="BS24" s="4">
        <v>2.0399989999999999</v>
      </c>
      <c r="BT24" s="4">
        <v>31.238094</v>
      </c>
      <c r="BU24" s="4">
        <v>19.416353999999998</v>
      </c>
      <c r="BV24" s="4">
        <v>7.726661</v>
      </c>
      <c r="BW24" s="4">
        <v>-1.4868729999999999</v>
      </c>
      <c r="BX24" s="4">
        <v>-1.3370200000000001</v>
      </c>
      <c r="BY24" s="4">
        <v>0.39794600000000002</v>
      </c>
      <c r="BZ24" s="4">
        <v>-0.19243399999999999</v>
      </c>
      <c r="CA24" s="4">
        <v>-0.17304</v>
      </c>
      <c r="CB24" s="4">
        <v>-0.46</v>
      </c>
      <c r="CC24" s="4">
        <v>-0.19</v>
      </c>
      <c r="CD24" s="4">
        <v>-0.08</v>
      </c>
      <c r="CE24" s="4">
        <v>7.0000000000000007E-2</v>
      </c>
      <c r="CF24" s="4">
        <v>0.14000000000000001</v>
      </c>
      <c r="CG24" s="4">
        <v>0.21</v>
      </c>
      <c r="CH24" s="4">
        <v>24.117999999999999</v>
      </c>
      <c r="CI24" s="4">
        <v>30.879999000000002</v>
      </c>
      <c r="CJ24" s="4">
        <v>31.42</v>
      </c>
      <c r="CK24" s="4">
        <v>31.809999000000001</v>
      </c>
      <c r="CL24" s="4">
        <v>32</v>
      </c>
      <c r="CM24" s="4">
        <v>32.189999</v>
      </c>
      <c r="CN24" s="4">
        <v>32.648003000000003</v>
      </c>
      <c r="CO24" s="4">
        <v>32.959999000000003</v>
      </c>
      <c r="CP24" s="4">
        <v>33.394801999999999</v>
      </c>
      <c r="CQ24" s="4">
        <v>0.58459499999999998</v>
      </c>
      <c r="CR24" s="4">
        <v>24.616275999999999</v>
      </c>
      <c r="CS24" s="4">
        <v>26.715506999999999</v>
      </c>
      <c r="CT24" s="1">
        <v>1</v>
      </c>
      <c r="CU24" s="1">
        <v>54</v>
      </c>
      <c r="CV24" s="4">
        <v>22.733395000000002</v>
      </c>
      <c r="CW24" s="4">
        <v>1</v>
      </c>
      <c r="CX24" s="4">
        <v>14.431207000000001</v>
      </c>
      <c r="CY24" s="4">
        <v>208.25974400000001</v>
      </c>
      <c r="CZ24" s="4">
        <v>0.63480199999999998</v>
      </c>
      <c r="DA24" s="4">
        <v>28</v>
      </c>
      <c r="DB24" s="4">
        <v>-0.18063100000000001</v>
      </c>
      <c r="DC24" s="4">
        <v>1.6804060000000001</v>
      </c>
      <c r="DD24" s="4">
        <v>12.814049000000001</v>
      </c>
      <c r="DE24" s="4">
        <v>22.733395000000002</v>
      </c>
      <c r="DF24" s="4">
        <v>8.2213189999999994</v>
      </c>
      <c r="DG24" s="4">
        <v>-0.43867600000000001</v>
      </c>
      <c r="DH24" s="4">
        <v>-0.26398700000000003</v>
      </c>
      <c r="DI24" s="4">
        <v>0.36164099999999999</v>
      </c>
      <c r="DJ24" s="4">
        <v>-5.3358000000000003E-2</v>
      </c>
      <c r="DK24" s="4">
        <v>-3.211E-2</v>
      </c>
      <c r="DL24" s="4">
        <v>1</v>
      </c>
      <c r="DM24" s="4">
        <v>1</v>
      </c>
      <c r="DN24" s="4">
        <v>2</v>
      </c>
      <c r="DO24" s="4">
        <v>5</v>
      </c>
      <c r="DP24" s="4">
        <v>7</v>
      </c>
      <c r="DQ24" s="4">
        <v>11</v>
      </c>
      <c r="DR24" s="4">
        <v>21</v>
      </c>
      <c r="DS24" s="4">
        <v>27</v>
      </c>
      <c r="DT24" s="4">
        <v>30</v>
      </c>
      <c r="DU24" s="4">
        <v>33</v>
      </c>
      <c r="DV24" s="4">
        <v>35</v>
      </c>
      <c r="DW24" s="4">
        <v>36</v>
      </c>
      <c r="DX24" s="4">
        <v>40</v>
      </c>
      <c r="DY24" s="4">
        <v>43</v>
      </c>
      <c r="DZ24" s="4">
        <v>49</v>
      </c>
      <c r="EA24" s="4">
        <v>95.648967999999996</v>
      </c>
      <c r="EB24" s="4">
        <v>63.353459999999998</v>
      </c>
      <c r="EC24" s="4">
        <v>100.58997100000001</v>
      </c>
      <c r="ED24" s="4">
        <v>1297</v>
      </c>
      <c r="EE24" s="4">
        <v>1364</v>
      </c>
      <c r="EF24" s="4">
        <v>94.026549000000003</v>
      </c>
      <c r="EG24" s="4">
        <v>100</v>
      </c>
      <c r="EH24" s="4">
        <v>61.402693999999997</v>
      </c>
      <c r="EI24" s="4">
        <v>97.863445999999996</v>
      </c>
      <c r="EJ24" s="4">
        <v>97.492625000000004</v>
      </c>
      <c r="EK24" s="4">
        <v>155.38348099999999</v>
      </c>
      <c r="EL24" s="4">
        <v>1275</v>
      </c>
      <c r="EM24" s="4">
        <v>1356</v>
      </c>
      <c r="EN24" s="4">
        <v>1322</v>
      </c>
      <c r="EO24" s="4">
        <v>2107</v>
      </c>
      <c r="EP24" s="4">
        <v>1356</v>
      </c>
      <c r="EQ24" s="4">
        <v>2153</v>
      </c>
      <c r="ER24" s="4">
        <v>57.196452999999998</v>
      </c>
    </row>
    <row r="25" spans="1:148" x14ac:dyDescent="0.2">
      <c r="A25" s="1">
        <v>2022</v>
      </c>
      <c r="B25" s="1" t="str">
        <f t="shared" si="0"/>
        <v>NE</v>
      </c>
      <c r="C25" s="1" t="s">
        <v>292</v>
      </c>
      <c r="D25" s="1" t="s">
        <v>292</v>
      </c>
      <c r="E25" s="1">
        <v>21197</v>
      </c>
      <c r="F25" s="1" t="s">
        <v>2054</v>
      </c>
      <c r="G25" s="1" t="s">
        <v>284</v>
      </c>
      <c r="H25" s="1" t="s">
        <v>293</v>
      </c>
      <c r="I25" s="1">
        <v>16.760000000000002</v>
      </c>
      <c r="J25" s="1">
        <v>16.760000000000002</v>
      </c>
      <c r="K25" s="1" t="s">
        <v>286</v>
      </c>
      <c r="L25" s="1">
        <v>1</v>
      </c>
      <c r="M25" s="1">
        <v>2013</v>
      </c>
      <c r="N25" s="1">
        <v>2</v>
      </c>
      <c r="O25" s="1">
        <v>1</v>
      </c>
      <c r="P25" s="1" t="str">
        <f t="shared" si="1"/>
        <v>Alto fuste</v>
      </c>
      <c r="Q25" s="2">
        <v>41481</v>
      </c>
      <c r="R25" s="1" t="s">
        <v>169</v>
      </c>
      <c r="S25" s="1" t="s">
        <v>294</v>
      </c>
      <c r="T25" s="1" t="s">
        <v>2268</v>
      </c>
      <c r="U25" s="1" t="s">
        <v>170</v>
      </c>
      <c r="V25" s="1" t="s">
        <v>152</v>
      </c>
      <c r="W25" s="2">
        <v>44715</v>
      </c>
      <c r="X25" s="1" t="s">
        <v>288</v>
      </c>
      <c r="Y25" s="1">
        <v>92.67</v>
      </c>
      <c r="Z25" s="1">
        <v>20</v>
      </c>
      <c r="AA25" s="1">
        <v>12</v>
      </c>
      <c r="AB25" s="1">
        <v>15.7</v>
      </c>
      <c r="AC25" s="1">
        <v>2</v>
      </c>
      <c r="AD25" s="3">
        <v>314</v>
      </c>
      <c r="AE25" s="3">
        <v>306.95124624824803</v>
      </c>
      <c r="AF25" s="2">
        <v>44715</v>
      </c>
      <c r="AG25" s="1">
        <v>107</v>
      </c>
      <c r="AH25" s="3">
        <v>8.8542094455852194</v>
      </c>
      <c r="AI25" s="4">
        <v>35.836169553544202</v>
      </c>
      <c r="AJ25" s="4">
        <v>19.690000000000001</v>
      </c>
      <c r="AK25" s="4">
        <v>30.257856340643801</v>
      </c>
      <c r="AL25" s="1">
        <v>30</v>
      </c>
      <c r="AM25" s="5">
        <v>977.35390771918799</v>
      </c>
      <c r="AN25" s="4">
        <v>468.73472457767201</v>
      </c>
      <c r="AO25" s="4">
        <v>0.47959569289648601</v>
      </c>
      <c r="AP25" s="1" t="s">
        <v>294</v>
      </c>
      <c r="AQ25" s="1" t="s">
        <v>156</v>
      </c>
      <c r="AR25" s="1" t="s">
        <v>291</v>
      </c>
      <c r="AS25" s="1">
        <v>9</v>
      </c>
      <c r="AT25" s="4">
        <v>0.87961851694726922</v>
      </c>
      <c r="AU25" s="1" t="s">
        <v>295</v>
      </c>
      <c r="AV25" s="1" t="s">
        <v>296</v>
      </c>
      <c r="AW25" s="1">
        <v>9095</v>
      </c>
      <c r="AX25" s="1">
        <v>6101</v>
      </c>
      <c r="AY25" s="1">
        <v>2743</v>
      </c>
      <c r="AZ25" s="1">
        <v>238</v>
      </c>
      <c r="BA25" s="1">
        <v>13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4">
        <v>-1.33</v>
      </c>
      <c r="BI25" s="4">
        <v>37.619999</v>
      </c>
      <c r="BJ25" s="4">
        <v>20.138355000000001</v>
      </c>
      <c r="BK25" s="4">
        <v>-9.3492000000000006E-2</v>
      </c>
      <c r="BL25" s="4">
        <v>16.153493999999998</v>
      </c>
      <c r="BM25" s="4">
        <v>260.93536399999999</v>
      </c>
      <c r="BN25" s="4">
        <v>0.80212600000000001</v>
      </c>
      <c r="BO25" s="4">
        <v>33.85</v>
      </c>
      <c r="BP25" s="4">
        <v>-0.39151399999999997</v>
      </c>
      <c r="BQ25" s="4">
        <v>1.228073</v>
      </c>
      <c r="BR25" s="4">
        <v>15.558236000000001</v>
      </c>
      <c r="BS25" s="4">
        <v>4.619999</v>
      </c>
      <c r="BT25" s="4">
        <v>31.293493000000002</v>
      </c>
      <c r="BU25" s="4">
        <v>20.138355000000001</v>
      </c>
      <c r="BV25" s="4">
        <v>8.4205629999999996</v>
      </c>
      <c r="BW25" s="4">
        <v>-1.173103</v>
      </c>
      <c r="BX25" s="4">
        <v>-1.4533229999999999</v>
      </c>
      <c r="BY25" s="4">
        <v>0.41813600000000001</v>
      </c>
      <c r="BZ25" s="4">
        <v>-0.13931399999999999</v>
      </c>
      <c r="CA25" s="4">
        <v>-0.172592</v>
      </c>
      <c r="CB25" s="4">
        <v>-0.4</v>
      </c>
      <c r="CC25" s="4">
        <v>-0.16</v>
      </c>
      <c r="CD25" s="4">
        <v>-0.08</v>
      </c>
      <c r="CE25" s="4">
        <v>0.04</v>
      </c>
      <c r="CF25" s="4">
        <v>0.08</v>
      </c>
      <c r="CG25" s="4">
        <v>0.14000000000000001</v>
      </c>
      <c r="CH25" s="4">
        <v>20.536000999999999</v>
      </c>
      <c r="CI25" s="4">
        <v>31.200001</v>
      </c>
      <c r="CJ25" s="4">
        <v>32.700001</v>
      </c>
      <c r="CK25" s="4">
        <v>33.509998000000003</v>
      </c>
      <c r="CL25" s="4">
        <v>33.93</v>
      </c>
      <c r="CM25" s="4">
        <v>34.380001</v>
      </c>
      <c r="CN25" s="4">
        <v>35.520000000000003</v>
      </c>
      <c r="CO25" s="4">
        <v>36.252997999999998</v>
      </c>
      <c r="CP25" s="4">
        <v>37.150596999999998</v>
      </c>
      <c r="CQ25" s="4">
        <v>0.55117700000000003</v>
      </c>
      <c r="CR25" s="4">
        <v>25.815887</v>
      </c>
      <c r="CS25" s="4">
        <v>28.138680000000001</v>
      </c>
      <c r="CT25" s="1">
        <v>1</v>
      </c>
      <c r="CU25" s="1">
        <v>66</v>
      </c>
      <c r="CV25" s="4">
        <v>22.981638</v>
      </c>
      <c r="CW25" s="4">
        <v>1</v>
      </c>
      <c r="CX25" s="4">
        <v>14.51132</v>
      </c>
      <c r="CY25" s="4">
        <v>210.578396</v>
      </c>
      <c r="CZ25" s="4">
        <v>0.63143099999999996</v>
      </c>
      <c r="DA25" s="4">
        <v>25</v>
      </c>
      <c r="DB25" s="4">
        <v>0.10126</v>
      </c>
      <c r="DC25" s="4">
        <v>2.040651</v>
      </c>
      <c r="DD25" s="4">
        <v>12.369991000000001</v>
      </c>
      <c r="DE25" s="4">
        <v>22.981638</v>
      </c>
      <c r="DF25" s="4">
        <v>8.3250150000000005</v>
      </c>
      <c r="DG25" s="4">
        <v>0.14841199999999999</v>
      </c>
      <c r="DH25" s="4">
        <v>0.16630900000000001</v>
      </c>
      <c r="DI25" s="4">
        <v>0.36224600000000001</v>
      </c>
      <c r="DJ25" s="4">
        <v>1.7826999999999999E-2</v>
      </c>
      <c r="DK25" s="4">
        <v>1.9977000000000002E-2</v>
      </c>
      <c r="DL25" s="4">
        <v>1</v>
      </c>
      <c r="DM25" s="4">
        <v>1</v>
      </c>
      <c r="DN25" s="4">
        <v>3</v>
      </c>
      <c r="DO25" s="4">
        <v>7</v>
      </c>
      <c r="DP25" s="4">
        <v>9</v>
      </c>
      <c r="DQ25" s="4">
        <v>13</v>
      </c>
      <c r="DR25" s="4">
        <v>19</v>
      </c>
      <c r="DS25" s="4">
        <v>24</v>
      </c>
      <c r="DT25" s="4">
        <v>28</v>
      </c>
      <c r="DU25" s="4">
        <v>32</v>
      </c>
      <c r="DV25" s="4">
        <v>34</v>
      </c>
      <c r="DW25" s="4">
        <v>36</v>
      </c>
      <c r="DX25" s="4">
        <v>42</v>
      </c>
      <c r="DY25" s="4">
        <v>46</v>
      </c>
      <c r="DZ25" s="4">
        <v>54</v>
      </c>
      <c r="EA25" s="4">
        <v>86.871004999999997</v>
      </c>
      <c r="EB25" s="4">
        <v>61.902144</v>
      </c>
      <c r="EC25" s="4">
        <v>92.279954000000004</v>
      </c>
      <c r="ED25" s="4">
        <v>5300</v>
      </c>
      <c r="EE25" s="4">
        <v>5630</v>
      </c>
      <c r="EF25" s="4">
        <v>86.149811999999997</v>
      </c>
      <c r="EG25" s="4">
        <v>99.967218000000003</v>
      </c>
      <c r="EH25" s="4">
        <v>60.076965000000001</v>
      </c>
      <c r="EI25" s="4">
        <v>91.434854000000001</v>
      </c>
      <c r="EJ25" s="4">
        <v>89.559089</v>
      </c>
      <c r="EK25" s="4">
        <v>136.30552399999999</v>
      </c>
      <c r="EL25" s="4">
        <v>5256</v>
      </c>
      <c r="EM25" s="4">
        <v>6099</v>
      </c>
      <c r="EN25" s="4">
        <v>5464</v>
      </c>
      <c r="EO25" s="4">
        <v>8316</v>
      </c>
      <c r="EP25" s="4">
        <v>6101</v>
      </c>
      <c r="EQ25" s="4">
        <v>9095</v>
      </c>
      <c r="ER25" s="4">
        <v>53.207439000000001</v>
      </c>
    </row>
    <row r="26" spans="1:148" x14ac:dyDescent="0.2">
      <c r="A26" s="1">
        <v>2022</v>
      </c>
      <c r="B26" s="1" t="str">
        <f t="shared" si="0"/>
        <v>NE</v>
      </c>
      <c r="C26" s="1" t="s">
        <v>297</v>
      </c>
      <c r="D26" s="1" t="s">
        <v>297</v>
      </c>
      <c r="E26" s="1">
        <v>21198</v>
      </c>
      <c r="F26" s="1" t="s">
        <v>2054</v>
      </c>
      <c r="G26" s="1" t="s">
        <v>284</v>
      </c>
      <c r="H26" s="1" t="s">
        <v>298</v>
      </c>
      <c r="I26" s="1">
        <v>23.77</v>
      </c>
      <c r="J26" s="1">
        <v>23.77</v>
      </c>
      <c r="K26" s="1" t="s">
        <v>286</v>
      </c>
      <c r="L26" s="1">
        <v>1</v>
      </c>
      <c r="M26" s="1">
        <v>2013</v>
      </c>
      <c r="N26" s="1">
        <v>2</v>
      </c>
      <c r="O26" s="1">
        <v>1</v>
      </c>
      <c r="P26" s="1" t="str">
        <f t="shared" si="1"/>
        <v>Alto fuste</v>
      </c>
      <c r="Q26" s="2">
        <v>41449</v>
      </c>
      <c r="R26" s="1" t="s">
        <v>169</v>
      </c>
      <c r="S26" s="1" t="s">
        <v>299</v>
      </c>
      <c r="T26" s="1" t="s">
        <v>2268</v>
      </c>
      <c r="U26" s="1" t="s">
        <v>170</v>
      </c>
      <c r="V26" s="1" t="s">
        <v>152</v>
      </c>
      <c r="W26" s="2">
        <v>44715</v>
      </c>
      <c r="X26" s="1" t="s">
        <v>288</v>
      </c>
      <c r="Y26" s="1">
        <v>92.67</v>
      </c>
      <c r="Z26" s="1">
        <v>21.2</v>
      </c>
      <c r="AA26" s="1">
        <v>22</v>
      </c>
      <c r="AB26" s="1">
        <v>15</v>
      </c>
      <c r="AC26" s="1">
        <v>3</v>
      </c>
      <c r="AD26" s="3">
        <v>318</v>
      </c>
      <c r="AE26" s="3">
        <v>294.44039165911897</v>
      </c>
      <c r="AF26" s="2">
        <v>44715</v>
      </c>
      <c r="AG26" s="1">
        <v>108</v>
      </c>
      <c r="AH26" s="3">
        <v>8.9418206707734402</v>
      </c>
      <c r="AI26" s="4">
        <v>32.383914519216198</v>
      </c>
      <c r="AJ26" s="4">
        <v>17.9096774193548</v>
      </c>
      <c r="AK26" s="4">
        <v>26.889154937063001</v>
      </c>
      <c r="AL26" s="1">
        <v>31</v>
      </c>
      <c r="AM26" s="5">
        <v>1052.84468021933</v>
      </c>
      <c r="AN26" s="4">
        <v>380.22476446584699</v>
      </c>
      <c r="AO26" s="4">
        <v>0.36114041473490399</v>
      </c>
      <c r="AP26" s="1" t="s">
        <v>299</v>
      </c>
      <c r="AQ26" s="1" t="s">
        <v>156</v>
      </c>
      <c r="AR26" s="1" t="s">
        <v>302</v>
      </c>
      <c r="AS26" s="1">
        <v>9</v>
      </c>
      <c r="AT26" s="4">
        <v>0.94756021219739706</v>
      </c>
      <c r="AU26" s="1" t="s">
        <v>300</v>
      </c>
      <c r="AV26" s="1" t="s">
        <v>301</v>
      </c>
      <c r="AW26" s="1">
        <v>5292</v>
      </c>
      <c r="AX26" s="1">
        <v>2726</v>
      </c>
      <c r="AY26" s="1">
        <v>1922</v>
      </c>
      <c r="AZ26" s="1">
        <v>578</v>
      </c>
      <c r="BA26" s="1">
        <v>66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4">
        <v>-1.49</v>
      </c>
      <c r="BI26" s="4">
        <v>33.959999000000003</v>
      </c>
      <c r="BJ26" s="4">
        <v>16.540742999999999</v>
      </c>
      <c r="BK26" s="4">
        <v>-0.36460300000000001</v>
      </c>
      <c r="BL26" s="4">
        <v>13.606526000000001</v>
      </c>
      <c r="BM26" s="4">
        <v>185.137553</v>
      </c>
      <c r="BN26" s="4">
        <v>0.82260699999999998</v>
      </c>
      <c r="BO26" s="4">
        <v>28.645</v>
      </c>
      <c r="BP26" s="4">
        <v>-0.21557599999999999</v>
      </c>
      <c r="BQ26" s="4">
        <v>1.297615</v>
      </c>
      <c r="BR26" s="4">
        <v>12.703697</v>
      </c>
      <c r="BS26" s="4">
        <v>10.869999</v>
      </c>
      <c r="BT26" s="4">
        <v>21.884604</v>
      </c>
      <c r="BU26" s="4">
        <v>16.540742999999999</v>
      </c>
      <c r="BV26" s="4">
        <v>7.4726559999999997</v>
      </c>
      <c r="BW26" s="4">
        <v>-0.307448</v>
      </c>
      <c r="BX26" s="4">
        <v>-1.123864</v>
      </c>
      <c r="BY26" s="4">
        <v>0.45177299999999998</v>
      </c>
      <c r="BZ26" s="4">
        <v>-4.1142999999999999E-2</v>
      </c>
      <c r="CA26" s="4">
        <v>-0.150397</v>
      </c>
      <c r="CB26" s="4">
        <v>-0.41</v>
      </c>
      <c r="CC26" s="4">
        <v>-0.16</v>
      </c>
      <c r="CD26" s="4">
        <v>-0.06</v>
      </c>
      <c r="CE26" s="4">
        <v>0.08</v>
      </c>
      <c r="CF26" s="4">
        <v>0.16</v>
      </c>
      <c r="CG26" s="4">
        <v>0.27</v>
      </c>
      <c r="CH26" s="4">
        <v>14.615996000000001</v>
      </c>
      <c r="CI26" s="4">
        <v>21.52</v>
      </c>
      <c r="CJ26" s="4">
        <v>25.306000000000001</v>
      </c>
      <c r="CK26" s="4">
        <v>27.540001</v>
      </c>
      <c r="CL26" s="4">
        <v>28.805</v>
      </c>
      <c r="CM26" s="4">
        <v>30.959999</v>
      </c>
      <c r="CN26" s="4">
        <v>32.529998999999997</v>
      </c>
      <c r="CO26" s="4">
        <v>32.909999999999997</v>
      </c>
      <c r="CP26" s="4">
        <v>33.390900000000002</v>
      </c>
      <c r="CQ26" s="4">
        <v>0.50862499999999999</v>
      </c>
      <c r="CR26" s="4">
        <v>21.417252999999999</v>
      </c>
      <c r="CS26" s="4">
        <v>23.614035999999999</v>
      </c>
      <c r="CT26" s="1">
        <v>1</v>
      </c>
      <c r="CU26" s="1">
        <v>56</v>
      </c>
      <c r="CV26" s="4">
        <v>13.474679</v>
      </c>
      <c r="CW26" s="4">
        <v>1</v>
      </c>
      <c r="CX26" s="4">
        <v>10.370108</v>
      </c>
      <c r="CY26" s="4">
        <v>107.539143</v>
      </c>
      <c r="CZ26" s="4">
        <v>0.76959999999999995</v>
      </c>
      <c r="DA26" s="4">
        <v>13</v>
      </c>
      <c r="DB26" s="4">
        <v>1.138585</v>
      </c>
      <c r="DC26" s="4">
        <v>3.9966889999999999</v>
      </c>
      <c r="DD26" s="4">
        <v>8.1723870000000005</v>
      </c>
      <c r="DE26" s="4">
        <v>13.474679</v>
      </c>
      <c r="DF26" s="4">
        <v>5.5950899999999999</v>
      </c>
      <c r="DG26" s="4">
        <v>1.332265</v>
      </c>
      <c r="DH26" s="4">
        <v>0.66039599999999998</v>
      </c>
      <c r="DI26" s="4">
        <v>0.41522999999999999</v>
      </c>
      <c r="DJ26" s="4">
        <v>0.23811299999999999</v>
      </c>
      <c r="DK26" s="4">
        <v>0.118031</v>
      </c>
      <c r="DL26" s="4">
        <v>1</v>
      </c>
      <c r="DM26" s="4">
        <v>1</v>
      </c>
      <c r="DN26" s="4">
        <v>2</v>
      </c>
      <c r="DO26" s="4">
        <v>4</v>
      </c>
      <c r="DP26" s="4">
        <v>6</v>
      </c>
      <c r="DQ26" s="4">
        <v>7</v>
      </c>
      <c r="DR26" s="4">
        <v>9</v>
      </c>
      <c r="DS26" s="4">
        <v>11</v>
      </c>
      <c r="DT26" s="4">
        <v>14</v>
      </c>
      <c r="DU26" s="4">
        <v>17</v>
      </c>
      <c r="DV26" s="4">
        <v>19</v>
      </c>
      <c r="DW26" s="4">
        <v>21</v>
      </c>
      <c r="DX26" s="4">
        <v>28</v>
      </c>
      <c r="DY26" s="4">
        <v>35</v>
      </c>
      <c r="DZ26" s="4">
        <v>46</v>
      </c>
      <c r="EA26" s="4">
        <v>91.892882999999998</v>
      </c>
      <c r="EB26" s="4">
        <v>62.244897999999999</v>
      </c>
      <c r="EC26" s="4">
        <v>120.83638999999999</v>
      </c>
      <c r="ED26" s="4">
        <v>2505</v>
      </c>
      <c r="EE26" s="4">
        <v>3294</v>
      </c>
      <c r="EF26" s="4">
        <v>89.361701999999994</v>
      </c>
      <c r="EG26" s="4">
        <v>100</v>
      </c>
      <c r="EH26" s="4">
        <v>57.671957999999997</v>
      </c>
      <c r="EI26" s="4">
        <v>98.790627000000001</v>
      </c>
      <c r="EJ26" s="4">
        <v>111.95891399999999</v>
      </c>
      <c r="EK26" s="4">
        <v>191.78283200000001</v>
      </c>
      <c r="EL26" s="4">
        <v>2436</v>
      </c>
      <c r="EM26" s="4">
        <v>2726</v>
      </c>
      <c r="EN26" s="4">
        <v>3052</v>
      </c>
      <c r="EO26" s="4">
        <v>5228</v>
      </c>
      <c r="EP26" s="4">
        <v>2726</v>
      </c>
      <c r="EQ26" s="4">
        <v>5292</v>
      </c>
      <c r="ER26" s="4">
        <v>48.659672</v>
      </c>
    </row>
    <row r="27" spans="1:148" x14ac:dyDescent="0.2">
      <c r="A27" s="1">
        <v>2022</v>
      </c>
      <c r="B27" s="1" t="str">
        <f t="shared" si="0"/>
        <v>RD</v>
      </c>
      <c r="C27" s="1" t="s">
        <v>303</v>
      </c>
      <c r="D27" s="1" t="s">
        <v>303</v>
      </c>
      <c r="E27" s="1">
        <v>21394</v>
      </c>
      <c r="F27" s="1" t="s">
        <v>2055</v>
      </c>
      <c r="G27" s="1" t="s">
        <v>304</v>
      </c>
      <c r="H27" s="1" t="s">
        <v>305</v>
      </c>
      <c r="I27" s="1">
        <v>34.07</v>
      </c>
      <c r="J27" s="1">
        <v>34.07</v>
      </c>
      <c r="K27" s="1" t="s">
        <v>226</v>
      </c>
      <c r="L27" s="1">
        <v>1</v>
      </c>
      <c r="M27" s="1">
        <v>2013</v>
      </c>
      <c r="N27" s="1">
        <v>2</v>
      </c>
      <c r="O27" s="1">
        <v>2</v>
      </c>
      <c r="P27" s="1" t="str">
        <f t="shared" si="1"/>
        <v>Talhadia</v>
      </c>
      <c r="Q27" s="2">
        <v>41316</v>
      </c>
      <c r="R27" s="1" t="s">
        <v>306</v>
      </c>
      <c r="S27" s="1" t="s">
        <v>307</v>
      </c>
      <c r="T27" s="1" t="s">
        <v>2268</v>
      </c>
      <c r="U27" s="1" t="s">
        <v>228</v>
      </c>
      <c r="V27" s="1" t="s">
        <v>152</v>
      </c>
      <c r="W27" s="2">
        <v>44672</v>
      </c>
      <c r="X27" s="1" t="s">
        <v>308</v>
      </c>
      <c r="Y27" s="1">
        <v>34.07</v>
      </c>
      <c r="Z27" s="1">
        <v>20.5</v>
      </c>
      <c r="AA27" s="1">
        <v>13</v>
      </c>
      <c r="AB27" s="1">
        <v>15.3</v>
      </c>
      <c r="AC27" s="1">
        <v>3</v>
      </c>
      <c r="AD27" s="3">
        <v>313.64999999999998</v>
      </c>
      <c r="AE27" s="3">
        <v>305.192341331666</v>
      </c>
      <c r="AF27" s="2">
        <v>44672</v>
      </c>
      <c r="AG27" s="1">
        <v>110</v>
      </c>
      <c r="AH27" s="3">
        <v>9.1882272416153299</v>
      </c>
      <c r="AI27" s="4">
        <v>26.0686987701107</v>
      </c>
      <c r="AJ27" s="4">
        <v>14.8958333333333</v>
      </c>
      <c r="AK27" s="4">
        <v>28.686744437959199</v>
      </c>
      <c r="AL27" s="1">
        <v>48</v>
      </c>
      <c r="AM27" s="5">
        <v>1572.7786546201801</v>
      </c>
      <c r="AN27" s="4">
        <v>351.80740231135701</v>
      </c>
      <c r="AO27" s="4">
        <v>0.223685260019197</v>
      </c>
      <c r="AP27" s="1" t="s">
        <v>307</v>
      </c>
      <c r="AQ27" s="1" t="s">
        <v>254</v>
      </c>
      <c r="AR27" s="1" t="s">
        <v>164</v>
      </c>
      <c r="AS27" s="1">
        <v>9.99</v>
      </c>
      <c r="AT27" s="4">
        <v>1.5712058759655598</v>
      </c>
      <c r="AU27" s="1" t="s">
        <v>309</v>
      </c>
      <c r="AV27" s="1" t="s">
        <v>310</v>
      </c>
      <c r="AW27" s="1">
        <v>6544</v>
      </c>
      <c r="AX27" s="1">
        <v>3332</v>
      </c>
      <c r="AY27" s="1">
        <v>2446</v>
      </c>
      <c r="AZ27" s="1">
        <v>718</v>
      </c>
      <c r="BA27" s="1">
        <v>48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4">
        <v>-0.87</v>
      </c>
      <c r="BI27" s="4">
        <v>35.470001000000003</v>
      </c>
      <c r="BJ27" s="4">
        <v>10.371866000000001</v>
      </c>
      <c r="BK27" s="4">
        <v>-0.29317500000000002</v>
      </c>
      <c r="BL27" s="4">
        <v>11.435772</v>
      </c>
      <c r="BM27" s="4">
        <v>130.77687700000001</v>
      </c>
      <c r="BN27" s="4">
        <v>1.102576</v>
      </c>
      <c r="BO27" s="4">
        <v>20.425000000000001</v>
      </c>
      <c r="BP27" s="4">
        <v>0.52170499999999997</v>
      </c>
      <c r="BQ27" s="4">
        <v>1.7371570000000001</v>
      </c>
      <c r="BR27" s="4">
        <v>10.402255</v>
      </c>
      <c r="BS27" s="4">
        <v>6.14</v>
      </c>
      <c r="BT27" s="4">
        <v>6.283175</v>
      </c>
      <c r="BU27" s="4">
        <v>10.371866000000001</v>
      </c>
      <c r="BV27" s="4">
        <v>6.2057029999999997</v>
      </c>
      <c r="BW27" s="4">
        <v>1.48123</v>
      </c>
      <c r="BX27" s="4">
        <v>-0.49055700000000002</v>
      </c>
      <c r="BY27" s="4">
        <v>0.59832099999999999</v>
      </c>
      <c r="BZ27" s="4">
        <v>0.23868800000000001</v>
      </c>
      <c r="CA27" s="4">
        <v>-7.9048999999999994E-2</v>
      </c>
      <c r="CB27" s="4">
        <v>-0.42</v>
      </c>
      <c r="CC27" s="4">
        <v>-0.2</v>
      </c>
      <c r="CD27" s="4">
        <v>-0.11</v>
      </c>
      <c r="CE27" s="4">
        <v>-0.01</v>
      </c>
      <c r="CF27" s="4">
        <v>0.03</v>
      </c>
      <c r="CG27" s="4">
        <v>7.0000000000000007E-2</v>
      </c>
      <c r="CH27" s="4">
        <v>0.17</v>
      </c>
      <c r="CI27" s="4">
        <v>5.99</v>
      </c>
      <c r="CJ27" s="4">
        <v>13.62</v>
      </c>
      <c r="CK27" s="4">
        <v>18.601002000000001</v>
      </c>
      <c r="CL27" s="4">
        <v>20.454999999999998</v>
      </c>
      <c r="CM27" s="4">
        <v>22.51</v>
      </c>
      <c r="CN27" s="4">
        <v>27.481005</v>
      </c>
      <c r="CO27" s="4">
        <v>30.578500999999999</v>
      </c>
      <c r="CP27" s="4">
        <v>33.400002000000001</v>
      </c>
      <c r="CQ27" s="4">
        <v>0.30935200000000002</v>
      </c>
      <c r="CR27" s="4">
        <v>15.438021000000001</v>
      </c>
      <c r="CS27" s="4">
        <v>18.135238999999999</v>
      </c>
      <c r="CT27" s="1">
        <v>1</v>
      </c>
      <c r="CU27" s="1">
        <v>53</v>
      </c>
      <c r="CV27" s="4">
        <v>10.539578000000001</v>
      </c>
      <c r="CW27" s="4">
        <v>1</v>
      </c>
      <c r="CX27" s="4">
        <v>10.768483</v>
      </c>
      <c r="CY27" s="4">
        <v>115.96022499999999</v>
      </c>
      <c r="CZ27" s="4">
        <v>1.021719</v>
      </c>
      <c r="DA27" s="4">
        <v>11</v>
      </c>
      <c r="DB27" s="4">
        <v>1.491417</v>
      </c>
      <c r="DC27" s="4">
        <v>4.413926</v>
      </c>
      <c r="DD27" s="4">
        <v>8.2947380000000006</v>
      </c>
      <c r="DE27" s="4">
        <v>10.539578000000001</v>
      </c>
      <c r="DF27" s="4">
        <v>5.4525680000000003</v>
      </c>
      <c r="DG27" s="4">
        <v>2.055847</v>
      </c>
      <c r="DH27" s="4">
        <v>0.82991499999999996</v>
      </c>
      <c r="DI27" s="4">
        <v>0.51734199999999997</v>
      </c>
      <c r="DJ27" s="4">
        <v>0.37704199999999999</v>
      </c>
      <c r="DK27" s="4">
        <v>0.15220600000000001</v>
      </c>
      <c r="DL27" s="4">
        <v>1</v>
      </c>
      <c r="DM27" s="4">
        <v>1</v>
      </c>
      <c r="DN27" s="4">
        <v>1</v>
      </c>
      <c r="DO27" s="4">
        <v>2</v>
      </c>
      <c r="DP27" s="4">
        <v>3</v>
      </c>
      <c r="DQ27" s="4">
        <v>4</v>
      </c>
      <c r="DR27" s="4">
        <v>5</v>
      </c>
      <c r="DS27" s="4">
        <v>6</v>
      </c>
      <c r="DT27" s="4">
        <v>8</v>
      </c>
      <c r="DU27" s="4">
        <v>12</v>
      </c>
      <c r="DV27" s="4">
        <v>14</v>
      </c>
      <c r="DW27" s="4">
        <v>18</v>
      </c>
      <c r="DX27" s="4">
        <v>29</v>
      </c>
      <c r="DY27" s="4">
        <v>35</v>
      </c>
      <c r="DZ27" s="4">
        <v>43</v>
      </c>
      <c r="EA27" s="4">
        <v>78.211285000000004</v>
      </c>
      <c r="EB27" s="4">
        <v>51.466993000000002</v>
      </c>
      <c r="EC27" s="4">
        <v>101.080432</v>
      </c>
      <c r="ED27" s="4">
        <v>2606</v>
      </c>
      <c r="EE27" s="4">
        <v>3368</v>
      </c>
      <c r="EF27" s="4">
        <v>71.518607000000003</v>
      </c>
      <c r="EG27" s="4">
        <v>99.969988000000001</v>
      </c>
      <c r="EH27" s="4">
        <v>44.651589000000001</v>
      </c>
      <c r="EI27" s="4">
        <v>97.677261999999999</v>
      </c>
      <c r="EJ27" s="4">
        <v>87.695077999999995</v>
      </c>
      <c r="EK27" s="4">
        <v>191.836735</v>
      </c>
      <c r="EL27" s="4">
        <v>2383</v>
      </c>
      <c r="EM27" s="4">
        <v>3331</v>
      </c>
      <c r="EN27" s="4">
        <v>2922</v>
      </c>
      <c r="EO27" s="4">
        <v>6392</v>
      </c>
      <c r="EP27" s="4">
        <v>3332</v>
      </c>
      <c r="EQ27" s="4">
        <v>6544</v>
      </c>
      <c r="ER27" s="4">
        <v>30.128855000000001</v>
      </c>
    </row>
    <row r="28" spans="1:148" x14ac:dyDescent="0.2">
      <c r="A28" s="1">
        <v>2022</v>
      </c>
      <c r="B28" s="1" t="str">
        <f t="shared" si="0"/>
        <v>RD</v>
      </c>
      <c r="C28" s="1" t="s">
        <v>311</v>
      </c>
      <c r="D28" s="1" t="s">
        <v>311</v>
      </c>
      <c r="E28" s="1">
        <v>21395</v>
      </c>
      <c r="F28" s="1" t="s">
        <v>2055</v>
      </c>
      <c r="G28" s="1" t="s">
        <v>304</v>
      </c>
      <c r="H28" s="1" t="s">
        <v>305</v>
      </c>
      <c r="I28" s="1">
        <v>34.07</v>
      </c>
      <c r="J28" s="1">
        <v>34.07</v>
      </c>
      <c r="K28" s="1" t="s">
        <v>226</v>
      </c>
      <c r="L28" s="1">
        <v>1</v>
      </c>
      <c r="M28" s="1">
        <v>2013</v>
      </c>
      <c r="N28" s="1">
        <v>2</v>
      </c>
      <c r="O28" s="1">
        <v>2</v>
      </c>
      <c r="P28" s="1" t="str">
        <f t="shared" si="1"/>
        <v>Talhadia</v>
      </c>
      <c r="Q28" s="2">
        <v>41316</v>
      </c>
      <c r="R28" s="1" t="s">
        <v>306</v>
      </c>
      <c r="S28" s="1" t="s">
        <v>307</v>
      </c>
      <c r="T28" s="1" t="s">
        <v>2268</v>
      </c>
      <c r="U28" s="1" t="s">
        <v>228</v>
      </c>
      <c r="V28" s="1" t="s">
        <v>152</v>
      </c>
      <c r="W28" s="2">
        <v>44672</v>
      </c>
      <c r="X28" s="1" t="s">
        <v>308</v>
      </c>
      <c r="Y28" s="1">
        <v>34.07</v>
      </c>
      <c r="Z28" s="1">
        <v>21.4</v>
      </c>
      <c r="AA28" s="1">
        <v>20</v>
      </c>
      <c r="AB28" s="1">
        <v>16.3</v>
      </c>
      <c r="AC28" s="1">
        <v>4</v>
      </c>
      <c r="AD28" s="3">
        <v>348.82</v>
      </c>
      <c r="AE28" s="3">
        <v>326.98511565604798</v>
      </c>
      <c r="AF28" s="2">
        <v>44672</v>
      </c>
      <c r="AG28" s="1">
        <v>110</v>
      </c>
      <c r="AH28" s="3">
        <v>9.1882272416153299</v>
      </c>
      <c r="AI28" s="4">
        <v>27.981873741344401</v>
      </c>
      <c r="AJ28" s="4">
        <v>18.519230769230798</v>
      </c>
      <c r="AK28" s="4">
        <v>22.147675136718899</v>
      </c>
      <c r="AL28" s="1">
        <v>26</v>
      </c>
      <c r="AM28" s="5">
        <v>795.14322686629896</v>
      </c>
      <c r="AN28" s="4">
        <v>278.46897507223201</v>
      </c>
      <c r="AO28" s="4">
        <v>0.35021234623313402</v>
      </c>
      <c r="AP28" s="1" t="s">
        <v>307</v>
      </c>
      <c r="AQ28" s="1" t="s">
        <v>254</v>
      </c>
      <c r="AR28" s="1" t="s">
        <v>164</v>
      </c>
      <c r="AS28" s="1">
        <v>9.99</v>
      </c>
      <c r="AT28" s="4">
        <v>0.79434808363943266</v>
      </c>
      <c r="AU28" s="1" t="s">
        <v>312</v>
      </c>
      <c r="AV28" s="1" t="s">
        <v>313</v>
      </c>
      <c r="AW28" s="1">
        <v>5111</v>
      </c>
      <c r="AX28" s="1">
        <v>2925</v>
      </c>
      <c r="AY28" s="1">
        <v>1776</v>
      </c>
      <c r="AZ28" s="1">
        <v>382</v>
      </c>
      <c r="BA28" s="1">
        <v>28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4">
        <v>-0.93</v>
      </c>
      <c r="BI28" s="4">
        <v>37.009998000000003</v>
      </c>
      <c r="BJ28" s="4">
        <v>12.461608</v>
      </c>
      <c r="BK28" s="4">
        <v>-0.32777800000000001</v>
      </c>
      <c r="BL28" s="4">
        <v>13.463391</v>
      </c>
      <c r="BM28" s="4">
        <v>181.2629</v>
      </c>
      <c r="BN28" s="4">
        <v>1.08039</v>
      </c>
      <c r="BO28" s="4">
        <v>26.45</v>
      </c>
      <c r="BP28" s="4">
        <v>0.389737</v>
      </c>
      <c r="BQ28" s="4">
        <v>1.4471039999999999</v>
      </c>
      <c r="BR28" s="4">
        <v>12.576527</v>
      </c>
      <c r="BS28" s="4">
        <v>6.42</v>
      </c>
      <c r="BT28" s="4">
        <v>6.5577779999999999</v>
      </c>
      <c r="BU28" s="4">
        <v>12.461608</v>
      </c>
      <c r="BV28" s="4">
        <v>7.2926349999999998</v>
      </c>
      <c r="BW28" s="4">
        <v>1.476721</v>
      </c>
      <c r="BX28" s="4">
        <v>-0.90637500000000004</v>
      </c>
      <c r="BY28" s="4">
        <v>0.58520799999999995</v>
      </c>
      <c r="BZ28" s="4">
        <v>0.20249500000000001</v>
      </c>
      <c r="CA28" s="4">
        <v>-0.12428599999999999</v>
      </c>
      <c r="CB28" s="4">
        <v>-0.38</v>
      </c>
      <c r="CC28" s="4">
        <v>-0.19</v>
      </c>
      <c r="CD28" s="4">
        <v>-0.1</v>
      </c>
      <c r="CE28" s="4">
        <v>0</v>
      </c>
      <c r="CF28" s="4">
        <v>0.04</v>
      </c>
      <c r="CG28" s="4">
        <v>0.09</v>
      </c>
      <c r="CH28" s="4">
        <v>0.2</v>
      </c>
      <c r="CI28" s="4">
        <v>6.23</v>
      </c>
      <c r="CJ28" s="4">
        <v>17.690000999999999</v>
      </c>
      <c r="CK28" s="4">
        <v>23.940000999999999</v>
      </c>
      <c r="CL28" s="4">
        <v>26.49</v>
      </c>
      <c r="CM28" s="4">
        <v>28.610001</v>
      </c>
      <c r="CN28" s="4">
        <v>31.76</v>
      </c>
      <c r="CO28" s="4">
        <v>33.520000000000003</v>
      </c>
      <c r="CP28" s="4">
        <v>35.909999999999997</v>
      </c>
      <c r="CQ28" s="4">
        <v>0.352968</v>
      </c>
      <c r="CR28" s="4">
        <v>18.344456999999998</v>
      </c>
      <c r="CS28" s="4">
        <v>21.298286999999998</v>
      </c>
      <c r="CT28" s="1">
        <v>1</v>
      </c>
      <c r="CU28" s="1">
        <v>50</v>
      </c>
      <c r="CV28" s="4">
        <v>13.023479</v>
      </c>
      <c r="CW28" s="4">
        <v>1</v>
      </c>
      <c r="CX28" s="4">
        <v>11.925561999999999</v>
      </c>
      <c r="CY28" s="4">
        <v>142.21901800000001</v>
      </c>
      <c r="CZ28" s="4">
        <v>0.91569699999999998</v>
      </c>
      <c r="DA28" s="4">
        <v>16</v>
      </c>
      <c r="DB28" s="4">
        <v>1.049158</v>
      </c>
      <c r="DC28" s="4">
        <v>2.9383140000000001</v>
      </c>
      <c r="DD28" s="4">
        <v>9.7691549999999996</v>
      </c>
      <c r="DE28" s="4">
        <v>13.023479</v>
      </c>
      <c r="DF28" s="4">
        <v>6.3755810000000004</v>
      </c>
      <c r="DG28" s="4">
        <v>1.908228</v>
      </c>
      <c r="DH28" s="4">
        <v>0.50266900000000003</v>
      </c>
      <c r="DI28" s="4">
        <v>0.48954500000000001</v>
      </c>
      <c r="DJ28" s="4">
        <v>0.29930299999999999</v>
      </c>
      <c r="DK28" s="4">
        <v>7.8842999999999996E-2</v>
      </c>
      <c r="DL28" s="4">
        <v>1</v>
      </c>
      <c r="DM28" s="4">
        <v>1</v>
      </c>
      <c r="DN28" s="4">
        <v>1</v>
      </c>
      <c r="DO28" s="4">
        <v>3</v>
      </c>
      <c r="DP28" s="4">
        <v>4</v>
      </c>
      <c r="DQ28" s="4">
        <v>5</v>
      </c>
      <c r="DR28" s="4">
        <v>6</v>
      </c>
      <c r="DS28" s="4">
        <v>8</v>
      </c>
      <c r="DT28" s="4">
        <v>11</v>
      </c>
      <c r="DU28" s="4">
        <v>16</v>
      </c>
      <c r="DV28" s="4">
        <v>20</v>
      </c>
      <c r="DW28" s="4">
        <v>24</v>
      </c>
      <c r="DX28" s="4">
        <v>33</v>
      </c>
      <c r="DY28" s="4">
        <v>38</v>
      </c>
      <c r="DZ28" s="4">
        <v>43</v>
      </c>
      <c r="EA28" s="4">
        <v>73.128204999999994</v>
      </c>
      <c r="EB28" s="4">
        <v>51.261983999999998</v>
      </c>
      <c r="EC28" s="4">
        <v>89.572649999999996</v>
      </c>
      <c r="ED28" s="4">
        <v>2139</v>
      </c>
      <c r="EE28" s="4">
        <v>2620</v>
      </c>
      <c r="EF28" s="4">
        <v>67.692307999999997</v>
      </c>
      <c r="EG28" s="4">
        <v>99.931623999999999</v>
      </c>
      <c r="EH28" s="4">
        <v>45.431421999999998</v>
      </c>
      <c r="EI28" s="4">
        <v>98.571708000000001</v>
      </c>
      <c r="EJ28" s="4">
        <v>79.384614999999997</v>
      </c>
      <c r="EK28" s="4">
        <v>172.239316</v>
      </c>
      <c r="EL28" s="4">
        <v>1980</v>
      </c>
      <c r="EM28" s="4">
        <v>2923</v>
      </c>
      <c r="EN28" s="4">
        <v>2322</v>
      </c>
      <c r="EO28" s="4">
        <v>5038</v>
      </c>
      <c r="EP28" s="4">
        <v>2925</v>
      </c>
      <c r="EQ28" s="4">
        <v>5111</v>
      </c>
      <c r="ER28" s="4">
        <v>33.789864000000001</v>
      </c>
    </row>
    <row r="29" spans="1:148" x14ac:dyDescent="0.2">
      <c r="A29" s="1">
        <v>2022</v>
      </c>
      <c r="B29" s="1" t="str">
        <f t="shared" si="0"/>
        <v>RD</v>
      </c>
      <c r="C29" s="1" t="s">
        <v>314</v>
      </c>
      <c r="D29" s="1" t="s">
        <v>314</v>
      </c>
      <c r="E29" s="1">
        <v>21396</v>
      </c>
      <c r="F29" s="1" t="s">
        <v>2055</v>
      </c>
      <c r="G29" s="1" t="s">
        <v>304</v>
      </c>
      <c r="H29" s="1" t="s">
        <v>305</v>
      </c>
      <c r="I29" s="1">
        <v>34.07</v>
      </c>
      <c r="J29" s="1">
        <v>34.07</v>
      </c>
      <c r="K29" s="1" t="s">
        <v>226</v>
      </c>
      <c r="L29" s="1">
        <v>1</v>
      </c>
      <c r="M29" s="1">
        <v>2013</v>
      </c>
      <c r="N29" s="1">
        <v>2</v>
      </c>
      <c r="O29" s="1">
        <v>2</v>
      </c>
      <c r="P29" s="1" t="str">
        <f t="shared" si="1"/>
        <v>Talhadia</v>
      </c>
      <c r="Q29" s="2">
        <v>41316</v>
      </c>
      <c r="R29" s="1" t="s">
        <v>306</v>
      </c>
      <c r="S29" s="1" t="s">
        <v>307</v>
      </c>
      <c r="T29" s="1" t="s">
        <v>2268</v>
      </c>
      <c r="U29" s="1" t="s">
        <v>228</v>
      </c>
      <c r="V29" s="1" t="s">
        <v>152</v>
      </c>
      <c r="W29" s="2">
        <v>44672</v>
      </c>
      <c r="X29" s="1" t="s">
        <v>308</v>
      </c>
      <c r="Y29" s="1">
        <v>34.07</v>
      </c>
      <c r="Z29" s="1">
        <v>18.7</v>
      </c>
      <c r="AA29" s="1">
        <v>17</v>
      </c>
      <c r="AB29" s="1">
        <v>14.9</v>
      </c>
      <c r="AC29" s="1">
        <v>4</v>
      </c>
      <c r="AD29" s="3">
        <v>278.63</v>
      </c>
      <c r="AE29" s="3">
        <v>265.80612269301298</v>
      </c>
      <c r="AF29" s="2">
        <v>44672</v>
      </c>
      <c r="AG29" s="1">
        <v>110</v>
      </c>
      <c r="AH29" s="3">
        <v>9.1882272416153299</v>
      </c>
      <c r="AI29" s="4">
        <v>29.618522188851401</v>
      </c>
      <c r="AJ29" s="4">
        <v>17.977419354838698</v>
      </c>
      <c r="AK29" s="4">
        <v>30.832786541150501</v>
      </c>
      <c r="AL29" s="1">
        <v>31</v>
      </c>
      <c r="AM29" s="5">
        <v>1166.26357910509</v>
      </c>
      <c r="AN29" s="4">
        <v>419.911707369174</v>
      </c>
      <c r="AO29" s="4">
        <v>0.360048718739365</v>
      </c>
      <c r="AP29" s="1" t="s">
        <v>307</v>
      </c>
      <c r="AQ29" s="1" t="s">
        <v>254</v>
      </c>
      <c r="AR29" s="1" t="s">
        <v>164</v>
      </c>
      <c r="AS29" s="1">
        <v>9.99</v>
      </c>
      <c r="AT29" s="4">
        <v>1.1650973155259849</v>
      </c>
      <c r="AU29" s="1" t="s">
        <v>315</v>
      </c>
      <c r="AV29" s="1" t="s">
        <v>316</v>
      </c>
      <c r="AW29" s="1">
        <v>11045</v>
      </c>
      <c r="AX29" s="1">
        <v>5345</v>
      </c>
      <c r="AY29" s="1">
        <v>4063</v>
      </c>
      <c r="AZ29" s="1">
        <v>1464</v>
      </c>
      <c r="BA29" s="1">
        <v>173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4">
        <v>-1</v>
      </c>
      <c r="BI29" s="4">
        <v>38.560001</v>
      </c>
      <c r="BJ29" s="4">
        <v>16.773223000000002</v>
      </c>
      <c r="BK29" s="4">
        <v>-0.37206299999999998</v>
      </c>
      <c r="BL29" s="4">
        <v>14.275675</v>
      </c>
      <c r="BM29" s="4">
        <v>203.79490699999999</v>
      </c>
      <c r="BN29" s="4">
        <v>0.85109900000000005</v>
      </c>
      <c r="BO29" s="4">
        <v>29.949998999999998</v>
      </c>
      <c r="BP29" s="4">
        <v>-9.5861000000000002E-2</v>
      </c>
      <c r="BQ29" s="4">
        <v>1.3288599999999999</v>
      </c>
      <c r="BR29" s="4">
        <v>13.260138</v>
      </c>
      <c r="BS29" s="4">
        <v>13.540001</v>
      </c>
      <c r="BT29" s="4">
        <v>20.892063</v>
      </c>
      <c r="BU29" s="4">
        <v>16.773223000000002</v>
      </c>
      <c r="BV29" s="4">
        <v>7.9301089999999999</v>
      </c>
      <c r="BW29" s="4">
        <v>6.4644999999999994E-2</v>
      </c>
      <c r="BX29" s="4">
        <v>-1.0787359999999999</v>
      </c>
      <c r="BY29" s="4">
        <v>0.47278399999999998</v>
      </c>
      <c r="BZ29" s="4">
        <v>8.1519999999999995E-3</v>
      </c>
      <c r="CA29" s="4">
        <v>-0.13603000000000001</v>
      </c>
      <c r="CB29" s="4">
        <v>-0.41</v>
      </c>
      <c r="CC29" s="4">
        <v>-0.19</v>
      </c>
      <c r="CD29" s="4">
        <v>-0.09</v>
      </c>
      <c r="CE29" s="4">
        <v>0.05</v>
      </c>
      <c r="CF29" s="4">
        <v>0.11</v>
      </c>
      <c r="CG29" s="4">
        <v>0.19</v>
      </c>
      <c r="CH29" s="4">
        <v>10.42</v>
      </c>
      <c r="CI29" s="4">
        <v>20.52</v>
      </c>
      <c r="CJ29" s="4">
        <v>25.209999</v>
      </c>
      <c r="CK29" s="4">
        <v>28.637996999999999</v>
      </c>
      <c r="CL29" s="4">
        <v>30.059999000000001</v>
      </c>
      <c r="CM29" s="4">
        <v>31.462001999999998</v>
      </c>
      <c r="CN29" s="4">
        <v>34.5</v>
      </c>
      <c r="CO29" s="4">
        <v>35.990001999999997</v>
      </c>
      <c r="CP29" s="4">
        <v>37.349997999999999</v>
      </c>
      <c r="CQ29" s="4">
        <v>0.44927299999999998</v>
      </c>
      <c r="CR29" s="4">
        <v>22.025382</v>
      </c>
      <c r="CS29" s="4">
        <v>24.493310000000001</v>
      </c>
      <c r="CT29" s="1">
        <v>1</v>
      </c>
      <c r="CU29" s="1">
        <v>51</v>
      </c>
      <c r="CV29" s="4">
        <v>8.6852870000000006</v>
      </c>
      <c r="CW29" s="4">
        <v>1</v>
      </c>
      <c r="CX29" s="4">
        <v>7.9784550000000003</v>
      </c>
      <c r="CY29" s="4">
        <v>63.655746000000001</v>
      </c>
      <c r="CZ29" s="4">
        <v>0.91861700000000002</v>
      </c>
      <c r="DA29" s="4">
        <v>8</v>
      </c>
      <c r="DB29" s="4">
        <v>1.7934049999999999</v>
      </c>
      <c r="DC29" s="4">
        <v>6.5913719999999998</v>
      </c>
      <c r="DD29" s="4">
        <v>5.8311349999999997</v>
      </c>
      <c r="DE29" s="4">
        <v>8.6852870000000006</v>
      </c>
      <c r="DF29" s="4">
        <v>4.009118</v>
      </c>
      <c r="DG29" s="4">
        <v>1.3280190000000001</v>
      </c>
      <c r="DH29" s="4">
        <v>0.71918899999999997</v>
      </c>
      <c r="DI29" s="4">
        <v>0.46159899999999998</v>
      </c>
      <c r="DJ29" s="4">
        <v>0.33124999999999999</v>
      </c>
      <c r="DK29" s="4">
        <v>0.17938799999999999</v>
      </c>
      <c r="DL29" s="4">
        <v>1</v>
      </c>
      <c r="DM29" s="4">
        <v>1</v>
      </c>
      <c r="DN29" s="4">
        <v>1</v>
      </c>
      <c r="DO29" s="4">
        <v>2</v>
      </c>
      <c r="DP29" s="4">
        <v>3</v>
      </c>
      <c r="DQ29" s="4">
        <v>4</v>
      </c>
      <c r="DR29" s="4">
        <v>5</v>
      </c>
      <c r="DS29" s="4">
        <v>6</v>
      </c>
      <c r="DT29" s="4">
        <v>8</v>
      </c>
      <c r="DU29" s="4">
        <v>10</v>
      </c>
      <c r="DV29" s="4">
        <v>11</v>
      </c>
      <c r="DW29" s="4">
        <v>13</v>
      </c>
      <c r="DX29" s="4">
        <v>19</v>
      </c>
      <c r="DY29" s="4">
        <v>26</v>
      </c>
      <c r="DZ29" s="4">
        <v>37</v>
      </c>
      <c r="EA29" s="4">
        <v>91.861553000000001</v>
      </c>
      <c r="EB29" s="4">
        <v>62.308737000000001</v>
      </c>
      <c r="EC29" s="4">
        <v>128.75584699999999</v>
      </c>
      <c r="ED29" s="4">
        <v>4910</v>
      </c>
      <c r="EE29" s="4">
        <v>6882</v>
      </c>
      <c r="EF29" s="4">
        <v>87.539756999999994</v>
      </c>
      <c r="EG29" s="4">
        <v>99.962581999999998</v>
      </c>
      <c r="EH29" s="4">
        <v>56.061565999999999</v>
      </c>
      <c r="EI29" s="4">
        <v>98.705297000000002</v>
      </c>
      <c r="EJ29" s="4">
        <v>115.846586</v>
      </c>
      <c r="EK29" s="4">
        <v>203.96632399999999</v>
      </c>
      <c r="EL29" s="4">
        <v>4679</v>
      </c>
      <c r="EM29" s="4">
        <v>5343</v>
      </c>
      <c r="EN29" s="4">
        <v>6192</v>
      </c>
      <c r="EO29" s="4">
        <v>10902</v>
      </c>
      <c r="EP29" s="4">
        <v>5345</v>
      </c>
      <c r="EQ29" s="4">
        <v>11045</v>
      </c>
      <c r="ER29" s="4">
        <v>43.996580000000002</v>
      </c>
    </row>
    <row r="30" spans="1:148" x14ac:dyDescent="0.2">
      <c r="A30" s="1">
        <v>2022</v>
      </c>
      <c r="B30" s="1" t="str">
        <f t="shared" si="0"/>
        <v>NE</v>
      </c>
      <c r="C30" s="1" t="s">
        <v>317</v>
      </c>
      <c r="D30" s="1" t="s">
        <v>317</v>
      </c>
      <c r="E30" s="1">
        <v>21451</v>
      </c>
      <c r="F30" s="1" t="s">
        <v>2056</v>
      </c>
      <c r="G30" s="1" t="s">
        <v>318</v>
      </c>
      <c r="H30" s="1" t="s">
        <v>319</v>
      </c>
      <c r="I30" s="1">
        <v>21.16</v>
      </c>
      <c r="J30" s="1">
        <v>21.16</v>
      </c>
      <c r="K30" s="1" t="s">
        <v>184</v>
      </c>
      <c r="L30" s="1">
        <v>1</v>
      </c>
      <c r="M30" s="1">
        <v>2013</v>
      </c>
      <c r="N30" s="1">
        <v>2</v>
      </c>
      <c r="O30" s="1">
        <v>2</v>
      </c>
      <c r="P30" s="1" t="str">
        <f t="shared" si="1"/>
        <v>Talhadia</v>
      </c>
      <c r="Q30" s="2">
        <v>41609</v>
      </c>
      <c r="R30" s="1" t="s">
        <v>306</v>
      </c>
      <c r="S30" s="1" t="s">
        <v>160</v>
      </c>
      <c r="T30" s="1" t="s">
        <v>2268</v>
      </c>
      <c r="U30" s="1" t="s">
        <v>170</v>
      </c>
      <c r="V30" s="1" t="s">
        <v>152</v>
      </c>
      <c r="W30" s="2">
        <v>44796</v>
      </c>
      <c r="X30" s="1" t="s">
        <v>320</v>
      </c>
      <c r="Y30" s="1">
        <v>43.44</v>
      </c>
      <c r="Z30" s="1">
        <v>20.6</v>
      </c>
      <c r="AA30" s="1">
        <v>12</v>
      </c>
      <c r="AB30" s="1">
        <v>13.6</v>
      </c>
      <c r="AC30" s="1">
        <v>1</v>
      </c>
      <c r="AD30" s="3">
        <v>280.16000000000003</v>
      </c>
      <c r="AE30" s="3">
        <v>273.99609453246501</v>
      </c>
      <c r="AF30" s="2">
        <v>44796</v>
      </c>
      <c r="AG30" s="1">
        <v>104</v>
      </c>
      <c r="AH30" s="3">
        <v>8.7255304585900095</v>
      </c>
      <c r="AI30" s="4">
        <v>32.780300843955096</v>
      </c>
      <c r="AJ30" s="4">
        <v>19.9086956521739</v>
      </c>
      <c r="AK30" s="4">
        <v>27.336000730156201</v>
      </c>
      <c r="AL30" s="1">
        <v>23</v>
      </c>
      <c r="AM30" s="5">
        <v>839.42802320763894</v>
      </c>
      <c r="AN30" s="4">
        <v>404.768249042099</v>
      </c>
      <c r="AO30" s="4">
        <v>0.48219530186208298</v>
      </c>
      <c r="AP30" s="1" t="s">
        <v>160</v>
      </c>
      <c r="AQ30" s="1" t="s">
        <v>254</v>
      </c>
      <c r="AR30" s="1" t="s">
        <v>323</v>
      </c>
      <c r="AS30" s="1">
        <v>9.99</v>
      </c>
      <c r="AT30" s="4">
        <v>0.8385885951844313</v>
      </c>
      <c r="AU30" s="1" t="s">
        <v>321</v>
      </c>
      <c r="AV30" s="1" t="s">
        <v>322</v>
      </c>
      <c r="AW30" s="1">
        <v>2537</v>
      </c>
      <c r="AX30" s="1">
        <v>1257</v>
      </c>
      <c r="AY30" s="1">
        <v>952</v>
      </c>
      <c r="AZ30" s="1">
        <v>283</v>
      </c>
      <c r="BA30" s="1">
        <v>45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4">
        <v>-0.878</v>
      </c>
      <c r="BI30" s="4">
        <v>37.573002000000002</v>
      </c>
      <c r="BJ30" s="4">
        <v>17.665851</v>
      </c>
      <c r="BK30" s="4">
        <v>-0.26766699999999999</v>
      </c>
      <c r="BL30" s="4">
        <v>15.218484999999999</v>
      </c>
      <c r="BM30" s="4">
        <v>231.60230000000001</v>
      </c>
      <c r="BN30" s="4">
        <v>0.86146299999999998</v>
      </c>
      <c r="BO30" s="4">
        <v>33.274000999999998</v>
      </c>
      <c r="BP30" s="4">
        <v>-0.11798</v>
      </c>
      <c r="BQ30" s="4">
        <v>1.2283390000000001</v>
      </c>
      <c r="BR30" s="4">
        <v>14.339309999999999</v>
      </c>
      <c r="BS30" s="4">
        <v>14.095001</v>
      </c>
      <c r="BT30" s="4">
        <v>21.162666000000002</v>
      </c>
      <c r="BU30" s="4">
        <v>17.665851</v>
      </c>
      <c r="BV30" s="4">
        <v>8.3414439999999992</v>
      </c>
      <c r="BW30" s="4">
        <v>-0.14093900000000001</v>
      </c>
      <c r="BX30" s="4">
        <v>-1.504848</v>
      </c>
      <c r="BY30" s="4">
        <v>0.47217900000000002</v>
      </c>
      <c r="BZ30" s="4">
        <v>-1.6896000000000001E-2</v>
      </c>
      <c r="CA30" s="4">
        <v>-0.18040600000000001</v>
      </c>
      <c r="CB30" s="4">
        <v>-0.34544000000000002</v>
      </c>
      <c r="CC30" s="4">
        <v>-0.16300000000000001</v>
      </c>
      <c r="CD30" s="4">
        <v>-9.1999999999999998E-2</v>
      </c>
      <c r="CE30" s="4">
        <v>1.6199999999999999E-2</v>
      </c>
      <c r="CF30" s="4">
        <v>6.5000000000000002E-2</v>
      </c>
      <c r="CG30" s="4">
        <v>0.115</v>
      </c>
      <c r="CH30" s="4">
        <v>8.8658020000000004</v>
      </c>
      <c r="CI30" s="4">
        <v>20.895</v>
      </c>
      <c r="CJ30" s="4">
        <v>28.0242</v>
      </c>
      <c r="CK30" s="4">
        <v>32.659199000000001</v>
      </c>
      <c r="CL30" s="4">
        <v>33.339001000000003</v>
      </c>
      <c r="CM30" s="4">
        <v>33.813400000000001</v>
      </c>
      <c r="CN30" s="4">
        <v>35.1008</v>
      </c>
      <c r="CO30" s="4">
        <v>35.688800999999998</v>
      </c>
      <c r="CP30" s="4">
        <v>36.464438999999999</v>
      </c>
      <c r="CQ30" s="4">
        <v>0.48227199999999998</v>
      </c>
      <c r="CR30" s="4">
        <v>23.315086999999998</v>
      </c>
      <c r="CS30" s="4">
        <v>25.896545</v>
      </c>
      <c r="CT30" s="1">
        <v>1</v>
      </c>
      <c r="CU30" s="1">
        <v>61</v>
      </c>
      <c r="CV30" s="4">
        <v>16.156483999999999</v>
      </c>
      <c r="CW30" s="4">
        <v>1</v>
      </c>
      <c r="CX30" s="4">
        <v>12.658037</v>
      </c>
      <c r="CY30" s="4">
        <v>160.225897</v>
      </c>
      <c r="CZ30" s="4">
        <v>0.78346499999999997</v>
      </c>
      <c r="DA30" s="4">
        <v>20</v>
      </c>
      <c r="DB30" s="4">
        <v>0.84603600000000001</v>
      </c>
      <c r="DC30" s="4">
        <v>3.0410620000000002</v>
      </c>
      <c r="DD30" s="4">
        <v>10.548971999999999</v>
      </c>
      <c r="DE30" s="4">
        <v>16.156483999999999</v>
      </c>
      <c r="DF30" s="4">
        <v>6.9990769999999998</v>
      </c>
      <c r="DG30" s="4">
        <v>1.419257</v>
      </c>
      <c r="DH30" s="4">
        <v>0.38375999999999999</v>
      </c>
      <c r="DI30" s="4">
        <v>0.43320500000000001</v>
      </c>
      <c r="DJ30" s="4">
        <v>0.20277800000000001</v>
      </c>
      <c r="DK30" s="4">
        <v>5.4829999999999997E-2</v>
      </c>
      <c r="DL30" s="4">
        <v>1</v>
      </c>
      <c r="DM30" s="4">
        <v>1</v>
      </c>
      <c r="DN30" s="4">
        <v>2</v>
      </c>
      <c r="DO30" s="4">
        <v>4</v>
      </c>
      <c r="DP30" s="4">
        <v>5</v>
      </c>
      <c r="DQ30" s="4">
        <v>7</v>
      </c>
      <c r="DR30" s="4">
        <v>9</v>
      </c>
      <c r="DS30" s="4">
        <v>13</v>
      </c>
      <c r="DT30" s="4">
        <v>18</v>
      </c>
      <c r="DU30" s="4">
        <v>22</v>
      </c>
      <c r="DV30" s="4">
        <v>25</v>
      </c>
      <c r="DW30" s="4">
        <v>27</v>
      </c>
      <c r="DX30" s="4">
        <v>33</v>
      </c>
      <c r="DY30" s="4">
        <v>41</v>
      </c>
      <c r="DZ30" s="4">
        <v>51</v>
      </c>
      <c r="EA30" s="4">
        <v>93.953857999999997</v>
      </c>
      <c r="EB30" s="4">
        <v>61.647615000000002</v>
      </c>
      <c r="EC30" s="4">
        <v>124.42323</v>
      </c>
      <c r="ED30" s="4">
        <v>1181</v>
      </c>
      <c r="EE30" s="4">
        <v>1564</v>
      </c>
      <c r="EF30" s="4">
        <v>88.623706999999996</v>
      </c>
      <c r="EG30" s="4">
        <v>100</v>
      </c>
      <c r="EH30" s="4">
        <v>53.448954999999998</v>
      </c>
      <c r="EI30" s="4">
        <v>98.265668000000005</v>
      </c>
      <c r="EJ30" s="4">
        <v>107.875895</v>
      </c>
      <c r="EK30" s="4">
        <v>198.32935599999999</v>
      </c>
      <c r="EL30" s="4">
        <v>1114</v>
      </c>
      <c r="EM30" s="4">
        <v>1257</v>
      </c>
      <c r="EN30" s="4">
        <v>1356</v>
      </c>
      <c r="EO30" s="4">
        <v>2493</v>
      </c>
      <c r="EP30" s="4">
        <v>1257</v>
      </c>
      <c r="EQ30" s="4">
        <v>2537</v>
      </c>
      <c r="ER30" s="4">
        <v>47.510075999999998</v>
      </c>
    </row>
    <row r="31" spans="1:148" x14ac:dyDescent="0.2">
      <c r="A31" s="1">
        <v>2022</v>
      </c>
      <c r="B31" s="1" t="str">
        <f t="shared" si="0"/>
        <v>NE</v>
      </c>
      <c r="C31" s="1" t="s">
        <v>324</v>
      </c>
      <c r="D31" s="1" t="s">
        <v>324</v>
      </c>
      <c r="E31" s="1">
        <v>21452</v>
      </c>
      <c r="F31" s="1" t="s">
        <v>2056</v>
      </c>
      <c r="G31" s="1" t="s">
        <v>318</v>
      </c>
      <c r="H31" s="1" t="s">
        <v>319</v>
      </c>
      <c r="I31" s="1">
        <v>21.16</v>
      </c>
      <c r="J31" s="1">
        <v>21.16</v>
      </c>
      <c r="K31" s="1" t="s">
        <v>184</v>
      </c>
      <c r="L31" s="1">
        <v>1</v>
      </c>
      <c r="M31" s="1">
        <v>2013</v>
      </c>
      <c r="N31" s="1">
        <v>2</v>
      </c>
      <c r="O31" s="1">
        <v>2</v>
      </c>
      <c r="P31" s="1" t="str">
        <f t="shared" si="1"/>
        <v>Talhadia</v>
      </c>
      <c r="Q31" s="2">
        <v>41609</v>
      </c>
      <c r="R31" s="1" t="s">
        <v>306</v>
      </c>
      <c r="S31" s="1" t="s">
        <v>160</v>
      </c>
      <c r="T31" s="1" t="s">
        <v>2268</v>
      </c>
      <c r="U31" s="1" t="s">
        <v>170</v>
      </c>
      <c r="V31" s="1" t="s">
        <v>152</v>
      </c>
      <c r="W31" s="2">
        <v>44796</v>
      </c>
      <c r="X31" s="1" t="s">
        <v>320</v>
      </c>
      <c r="Y31" s="1">
        <v>43.44</v>
      </c>
      <c r="Z31" s="1">
        <v>20.9</v>
      </c>
      <c r="AA31" s="1">
        <v>15</v>
      </c>
      <c r="AB31" s="1">
        <v>14</v>
      </c>
      <c r="AC31" s="1">
        <v>2</v>
      </c>
      <c r="AD31" s="3">
        <v>292.60000000000002</v>
      </c>
      <c r="AE31" s="3">
        <v>282.457726275472</v>
      </c>
      <c r="AF31" s="2">
        <v>44796</v>
      </c>
      <c r="AG31" s="1">
        <v>104</v>
      </c>
      <c r="AH31" s="3">
        <v>8.7255304585900095</v>
      </c>
      <c r="AI31" s="4">
        <v>30.6443922255113</v>
      </c>
      <c r="AJ31" s="4">
        <v>20.278260869565202</v>
      </c>
      <c r="AK31" s="4">
        <v>28.542721258276998</v>
      </c>
      <c r="AL31" s="1">
        <v>23</v>
      </c>
      <c r="AM31" s="5">
        <v>814.28114228919503</v>
      </c>
      <c r="AN31" s="4">
        <v>409.49556213408499</v>
      </c>
      <c r="AO31" s="4">
        <v>0.50289211043604398</v>
      </c>
      <c r="AP31" s="1" t="s">
        <v>160</v>
      </c>
      <c r="AQ31" s="1" t="s">
        <v>254</v>
      </c>
      <c r="AR31" s="1" t="s">
        <v>323</v>
      </c>
      <c r="AS31" s="1">
        <v>9.99</v>
      </c>
      <c r="AT31" s="4">
        <v>0.81346686114690581</v>
      </c>
      <c r="AU31" s="1" t="s">
        <v>325</v>
      </c>
      <c r="AV31" s="1" t="s">
        <v>326</v>
      </c>
      <c r="AW31" s="1">
        <v>11889</v>
      </c>
      <c r="AX31" s="1">
        <v>5486</v>
      </c>
      <c r="AY31" s="1">
        <v>4152</v>
      </c>
      <c r="AZ31" s="1">
        <v>1863</v>
      </c>
      <c r="BA31" s="1">
        <v>388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4">
        <v>-0.92100000000000004</v>
      </c>
      <c r="BI31" s="4">
        <v>40.233001999999999</v>
      </c>
      <c r="BJ31" s="4">
        <v>20.437474999999999</v>
      </c>
      <c r="BK31" s="4">
        <v>-0.267762</v>
      </c>
      <c r="BL31" s="4">
        <v>15.499686000000001</v>
      </c>
      <c r="BM31" s="4">
        <v>240.24025700000001</v>
      </c>
      <c r="BN31" s="4">
        <v>0.75839500000000004</v>
      </c>
      <c r="BO31" s="4">
        <v>35.520999000000003</v>
      </c>
      <c r="BP31" s="4">
        <v>-0.27173399999999998</v>
      </c>
      <c r="BQ31" s="4">
        <v>1.3921239999999999</v>
      </c>
      <c r="BR31" s="4">
        <v>14.272307</v>
      </c>
      <c r="BS31" s="4">
        <v>11.938000000000001</v>
      </c>
      <c r="BT31" s="4">
        <v>25.447762000000001</v>
      </c>
      <c r="BU31" s="4">
        <v>20.437474999999999</v>
      </c>
      <c r="BV31" s="4">
        <v>8.6231960000000001</v>
      </c>
      <c r="BW31" s="4">
        <v>-0.70498000000000005</v>
      </c>
      <c r="BX31" s="4">
        <v>-1.166377</v>
      </c>
      <c r="BY31" s="4">
        <v>0.421931</v>
      </c>
      <c r="BZ31" s="4">
        <v>-8.1753999999999993E-2</v>
      </c>
      <c r="CA31" s="4">
        <v>-0.13525999999999999</v>
      </c>
      <c r="CB31" s="4">
        <v>-0.34936</v>
      </c>
      <c r="CC31" s="4">
        <v>-0.1236</v>
      </c>
      <c r="CD31" s="4">
        <v>-2.5000000000000001E-2</v>
      </c>
      <c r="CE31" s="4">
        <v>0.12759999999999999</v>
      </c>
      <c r="CF31" s="4">
        <v>0.23699999999999999</v>
      </c>
      <c r="CG31" s="4">
        <v>0.83340000000000003</v>
      </c>
      <c r="CH31" s="4">
        <v>15.845000000000001</v>
      </c>
      <c r="CI31" s="4">
        <v>25.18</v>
      </c>
      <c r="CJ31" s="4">
        <v>30.716797</v>
      </c>
      <c r="CK31" s="4">
        <v>34.546196000000002</v>
      </c>
      <c r="CL31" s="4">
        <v>35.757998999999998</v>
      </c>
      <c r="CM31" s="4">
        <v>36.399399000000003</v>
      </c>
      <c r="CN31" s="4">
        <v>37.682602000000003</v>
      </c>
      <c r="CO31" s="4">
        <v>38.5396</v>
      </c>
      <c r="CP31" s="4">
        <v>39.455359999999999</v>
      </c>
      <c r="CQ31" s="4">
        <v>0.51898900000000003</v>
      </c>
      <c r="CR31" s="4">
        <v>25.649764999999999</v>
      </c>
      <c r="CS31" s="4">
        <v>28.127493999999999</v>
      </c>
      <c r="CT31" s="1">
        <v>1</v>
      </c>
      <c r="CU31" s="1">
        <v>55</v>
      </c>
      <c r="CV31" s="4">
        <v>12.491042</v>
      </c>
      <c r="CW31" s="4">
        <v>1</v>
      </c>
      <c r="CX31" s="4">
        <v>9.9034250000000004</v>
      </c>
      <c r="CY31" s="4">
        <v>98.077833999999996</v>
      </c>
      <c r="CZ31" s="4">
        <v>0.79284200000000005</v>
      </c>
      <c r="DA31" s="4">
        <v>15</v>
      </c>
      <c r="DB31" s="4">
        <v>0.97816800000000004</v>
      </c>
      <c r="DC31" s="4">
        <v>3.4385249999999998</v>
      </c>
      <c r="DD31" s="4">
        <v>8.1112300000000008</v>
      </c>
      <c r="DE31" s="4">
        <v>12.491042</v>
      </c>
      <c r="DF31" s="4">
        <v>5.4173850000000003</v>
      </c>
      <c r="DG31" s="4">
        <v>1.2355290000000001</v>
      </c>
      <c r="DH31" s="4">
        <v>0.39399499999999998</v>
      </c>
      <c r="DI31" s="4">
        <v>0.43370199999999998</v>
      </c>
      <c r="DJ31" s="4">
        <v>0.22806699999999999</v>
      </c>
      <c r="DK31" s="4">
        <v>7.2728000000000001E-2</v>
      </c>
      <c r="DL31" s="4">
        <v>1</v>
      </c>
      <c r="DM31" s="4">
        <v>1</v>
      </c>
      <c r="DN31" s="4">
        <v>2</v>
      </c>
      <c r="DO31" s="4">
        <v>4</v>
      </c>
      <c r="DP31" s="4">
        <v>4</v>
      </c>
      <c r="DQ31" s="4">
        <v>5</v>
      </c>
      <c r="DR31" s="4">
        <v>7</v>
      </c>
      <c r="DS31" s="4">
        <v>10</v>
      </c>
      <c r="DT31" s="4">
        <v>13</v>
      </c>
      <c r="DU31" s="4">
        <v>17</v>
      </c>
      <c r="DV31" s="4">
        <v>19</v>
      </c>
      <c r="DW31" s="4">
        <v>21</v>
      </c>
      <c r="DX31" s="4">
        <v>27</v>
      </c>
      <c r="DY31" s="4">
        <v>32</v>
      </c>
      <c r="DZ31" s="4">
        <v>41</v>
      </c>
      <c r="EA31" s="4">
        <v>96.099162000000007</v>
      </c>
      <c r="EB31" s="4">
        <v>69.332997000000006</v>
      </c>
      <c r="EC31" s="4">
        <v>150.25519499999999</v>
      </c>
      <c r="ED31" s="4">
        <v>5272</v>
      </c>
      <c r="EE31" s="4">
        <v>8243</v>
      </c>
      <c r="EF31" s="4">
        <v>89.063069999999996</v>
      </c>
      <c r="EG31" s="4">
        <v>100</v>
      </c>
      <c r="EH31" s="4">
        <v>55.80789</v>
      </c>
      <c r="EI31" s="4">
        <v>98.208427999999998</v>
      </c>
      <c r="EJ31" s="4">
        <v>120.944222</v>
      </c>
      <c r="EK31" s="4">
        <v>212.83266499999999</v>
      </c>
      <c r="EL31" s="4">
        <v>4886</v>
      </c>
      <c r="EM31" s="4">
        <v>5486</v>
      </c>
      <c r="EN31" s="4">
        <v>6635</v>
      </c>
      <c r="EO31" s="4">
        <v>11676</v>
      </c>
      <c r="EP31" s="4">
        <v>5486</v>
      </c>
      <c r="EQ31" s="4">
        <v>11889</v>
      </c>
      <c r="ER31" s="4">
        <v>50.838701999999998</v>
      </c>
    </row>
    <row r="32" spans="1:148" x14ac:dyDescent="0.2">
      <c r="A32" s="1">
        <v>2022</v>
      </c>
      <c r="B32" s="1" t="str">
        <f t="shared" si="0"/>
        <v>NE</v>
      </c>
      <c r="C32" s="1" t="s">
        <v>327</v>
      </c>
      <c r="D32" s="1" t="s">
        <v>327</v>
      </c>
      <c r="E32" s="1">
        <v>21453</v>
      </c>
      <c r="F32" s="1" t="s">
        <v>2056</v>
      </c>
      <c r="G32" s="1" t="s">
        <v>318</v>
      </c>
      <c r="H32" s="1" t="s">
        <v>328</v>
      </c>
      <c r="I32" s="1">
        <v>22.28</v>
      </c>
      <c r="J32" s="1">
        <v>22.28</v>
      </c>
      <c r="K32" s="1" t="s">
        <v>184</v>
      </c>
      <c r="L32" s="1">
        <v>1</v>
      </c>
      <c r="M32" s="1">
        <v>2013</v>
      </c>
      <c r="N32" s="1">
        <v>2</v>
      </c>
      <c r="O32" s="1">
        <v>2</v>
      </c>
      <c r="P32" s="1" t="str">
        <f t="shared" si="1"/>
        <v>Talhadia</v>
      </c>
      <c r="Q32" s="2">
        <v>41548</v>
      </c>
      <c r="R32" s="1" t="s">
        <v>169</v>
      </c>
      <c r="S32" s="1" t="s">
        <v>160</v>
      </c>
      <c r="T32" s="1" t="s">
        <v>2268</v>
      </c>
      <c r="U32" s="1" t="s">
        <v>170</v>
      </c>
      <c r="V32" s="1" t="s">
        <v>152</v>
      </c>
      <c r="W32" s="2">
        <v>44796</v>
      </c>
      <c r="X32" s="1" t="s">
        <v>320</v>
      </c>
      <c r="Y32" s="1">
        <v>43.44</v>
      </c>
      <c r="Z32" s="1">
        <v>19.2</v>
      </c>
      <c r="AA32" s="1">
        <v>34</v>
      </c>
      <c r="AB32" s="1">
        <v>13.7</v>
      </c>
      <c r="AC32" s="1">
        <v>2</v>
      </c>
      <c r="AD32" s="3">
        <v>263.04000000000002</v>
      </c>
      <c r="AE32" s="3">
        <v>217.93720070668601</v>
      </c>
      <c r="AF32" s="2">
        <v>44796</v>
      </c>
      <c r="AG32" s="1">
        <v>106</v>
      </c>
      <c r="AH32" s="3">
        <v>8.8925393566050595</v>
      </c>
      <c r="AI32" s="4">
        <v>30.4805689975619</v>
      </c>
      <c r="AJ32" s="4">
        <v>18.676190476190499</v>
      </c>
      <c r="AK32" s="4">
        <v>26.640021535218001</v>
      </c>
      <c r="AL32" s="1">
        <v>21</v>
      </c>
      <c r="AM32" s="5">
        <v>963.58033102678701</v>
      </c>
      <c r="AN32" s="4">
        <v>351.401147122135</v>
      </c>
      <c r="AO32" s="4">
        <v>0.36468277299483998</v>
      </c>
      <c r="AP32" s="1" t="s">
        <v>160</v>
      </c>
      <c r="AQ32" s="1" t="s">
        <v>254</v>
      </c>
      <c r="AR32" s="1" t="s">
        <v>331</v>
      </c>
      <c r="AS32" s="1">
        <v>9</v>
      </c>
      <c r="AT32" s="4">
        <v>0.86722229792410832</v>
      </c>
      <c r="AU32" s="1" t="s">
        <v>329</v>
      </c>
      <c r="AV32" s="1" t="s">
        <v>330</v>
      </c>
      <c r="AW32" s="1">
        <v>3850</v>
      </c>
      <c r="AX32" s="1">
        <v>1903</v>
      </c>
      <c r="AY32" s="1">
        <v>1503</v>
      </c>
      <c r="AZ32" s="1">
        <v>413</v>
      </c>
      <c r="BA32" s="1">
        <v>31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4">
        <v>-0.84</v>
      </c>
      <c r="BI32" s="4">
        <v>31.114000000000001</v>
      </c>
      <c r="BJ32" s="4">
        <v>14.858796</v>
      </c>
      <c r="BK32" s="4">
        <v>-0.33279399999999998</v>
      </c>
      <c r="BL32" s="4">
        <v>12.986875</v>
      </c>
      <c r="BM32" s="4">
        <v>168.658929</v>
      </c>
      <c r="BN32" s="4">
        <v>0.87401899999999999</v>
      </c>
      <c r="BO32" s="4">
        <v>28.289249999999999</v>
      </c>
      <c r="BP32" s="4">
        <v>-0.122617</v>
      </c>
      <c r="BQ32" s="4">
        <v>1.202814</v>
      </c>
      <c r="BR32" s="4">
        <v>12.304746</v>
      </c>
      <c r="BS32" s="4">
        <v>10.977501</v>
      </c>
      <c r="BT32" s="4">
        <v>19.105293</v>
      </c>
      <c r="BU32" s="4">
        <v>14.858796</v>
      </c>
      <c r="BV32" s="4">
        <v>7.0608680000000001</v>
      </c>
      <c r="BW32" s="4">
        <v>-0.10739700000000001</v>
      </c>
      <c r="BX32" s="4">
        <v>-1.3144119999999999</v>
      </c>
      <c r="BY32" s="4">
        <v>0.47519800000000001</v>
      </c>
      <c r="BZ32" s="4">
        <v>-1.521E-2</v>
      </c>
      <c r="CA32" s="4">
        <v>-0.18615399999999999</v>
      </c>
      <c r="CB32" s="4">
        <v>-0.34055000000000002</v>
      </c>
      <c r="CC32" s="4">
        <v>-0.18</v>
      </c>
      <c r="CD32" s="4">
        <v>-8.8999999999999996E-2</v>
      </c>
      <c r="CE32" s="4">
        <v>5.8000000000000003E-2</v>
      </c>
      <c r="CF32" s="4">
        <v>0.14549999999999999</v>
      </c>
      <c r="CG32" s="4">
        <v>0.24299999999999999</v>
      </c>
      <c r="CH32" s="4">
        <v>0.92259999999999998</v>
      </c>
      <c r="CI32" s="4">
        <v>18.772499</v>
      </c>
      <c r="CJ32" s="4">
        <v>22.945999</v>
      </c>
      <c r="CK32" s="4">
        <v>27.984400000000001</v>
      </c>
      <c r="CL32" s="4">
        <v>28.434750000000001</v>
      </c>
      <c r="CM32" s="4">
        <v>28.7164</v>
      </c>
      <c r="CN32" s="4">
        <v>29.543099999999999</v>
      </c>
      <c r="CO32" s="4">
        <v>30.0152</v>
      </c>
      <c r="CP32" s="4">
        <v>30.449100000000001</v>
      </c>
      <c r="CQ32" s="4">
        <v>0.49129400000000001</v>
      </c>
      <c r="CR32" s="4">
        <v>19.733194000000001</v>
      </c>
      <c r="CS32" s="4">
        <v>21.917266000000001</v>
      </c>
      <c r="CT32" s="1">
        <v>1</v>
      </c>
      <c r="CU32" s="1">
        <v>67</v>
      </c>
      <c r="CV32" s="4">
        <v>17.838961000000001</v>
      </c>
      <c r="CW32" s="4">
        <v>1</v>
      </c>
      <c r="CX32" s="4">
        <v>13.438969999999999</v>
      </c>
      <c r="CY32" s="4">
        <v>180.60591199999999</v>
      </c>
      <c r="CZ32" s="4">
        <v>0.75334900000000005</v>
      </c>
      <c r="DA32" s="4">
        <v>20.5</v>
      </c>
      <c r="DB32" s="4">
        <v>0.83902699999999997</v>
      </c>
      <c r="DC32" s="4">
        <v>3.0807310000000001</v>
      </c>
      <c r="DD32" s="4">
        <v>11.065182999999999</v>
      </c>
      <c r="DE32" s="4">
        <v>17.838961000000001</v>
      </c>
      <c r="DF32" s="4">
        <v>7.4466359999999998</v>
      </c>
      <c r="DG32" s="4">
        <v>1.442118</v>
      </c>
      <c r="DH32" s="4">
        <v>0.51296699999999995</v>
      </c>
      <c r="DI32" s="4">
        <v>0.417437</v>
      </c>
      <c r="DJ32" s="4">
        <v>0.19366</v>
      </c>
      <c r="DK32" s="4">
        <v>6.8886000000000003E-2</v>
      </c>
      <c r="DL32" s="4">
        <v>1</v>
      </c>
      <c r="DM32" s="4">
        <v>2</v>
      </c>
      <c r="DN32" s="4">
        <v>3</v>
      </c>
      <c r="DO32" s="4">
        <v>5</v>
      </c>
      <c r="DP32" s="4">
        <v>6.25</v>
      </c>
      <c r="DQ32" s="4">
        <v>8</v>
      </c>
      <c r="DR32" s="4">
        <v>11</v>
      </c>
      <c r="DS32" s="4">
        <v>15</v>
      </c>
      <c r="DT32" s="4">
        <v>19</v>
      </c>
      <c r="DU32" s="4">
        <v>24</v>
      </c>
      <c r="DV32" s="4">
        <v>26.75</v>
      </c>
      <c r="DW32" s="4">
        <v>29</v>
      </c>
      <c r="DX32" s="4">
        <v>36.100098000000003</v>
      </c>
      <c r="DY32" s="4">
        <v>45</v>
      </c>
      <c r="DZ32" s="4">
        <v>55</v>
      </c>
      <c r="EA32" s="4">
        <v>89.858119000000002</v>
      </c>
      <c r="EB32" s="4">
        <v>58.623376999999998</v>
      </c>
      <c r="EC32" s="4">
        <v>118.60220700000001</v>
      </c>
      <c r="ED32" s="4">
        <v>1710</v>
      </c>
      <c r="EE32" s="4">
        <v>2257</v>
      </c>
      <c r="EF32" s="4">
        <v>88.649501000000001</v>
      </c>
      <c r="EG32" s="4">
        <v>100</v>
      </c>
      <c r="EH32" s="4">
        <v>56.675325000000001</v>
      </c>
      <c r="EI32" s="4">
        <v>98.857142999999994</v>
      </c>
      <c r="EJ32" s="4">
        <v>114.661061</v>
      </c>
      <c r="EK32" s="4">
        <v>200</v>
      </c>
      <c r="EL32" s="4">
        <v>1687</v>
      </c>
      <c r="EM32" s="4">
        <v>1903</v>
      </c>
      <c r="EN32" s="4">
        <v>2182</v>
      </c>
      <c r="EO32" s="4">
        <v>3806</v>
      </c>
      <c r="EP32" s="4">
        <v>1903</v>
      </c>
      <c r="EQ32" s="4">
        <v>3850</v>
      </c>
      <c r="ER32" s="4">
        <v>47.901409000000001</v>
      </c>
    </row>
    <row r="33" spans="1:148" x14ac:dyDescent="0.2">
      <c r="A33" s="1">
        <v>2022</v>
      </c>
      <c r="B33" s="1" t="str">
        <f t="shared" si="0"/>
        <v>NE</v>
      </c>
      <c r="C33" s="1" t="s">
        <v>332</v>
      </c>
      <c r="D33" s="1" t="s">
        <v>332</v>
      </c>
      <c r="E33" s="1">
        <v>21586</v>
      </c>
      <c r="F33" s="1" t="s">
        <v>2057</v>
      </c>
      <c r="G33" s="1" t="s">
        <v>333</v>
      </c>
      <c r="H33" s="1" t="s">
        <v>334</v>
      </c>
      <c r="I33" s="1">
        <v>21.56</v>
      </c>
      <c r="J33" s="1">
        <v>21.56</v>
      </c>
      <c r="K33" s="1" t="s">
        <v>148</v>
      </c>
      <c r="L33" s="1">
        <v>1</v>
      </c>
      <c r="M33" s="1">
        <v>2013</v>
      </c>
      <c r="N33" s="1">
        <v>1</v>
      </c>
      <c r="O33" s="1">
        <v>2</v>
      </c>
      <c r="P33" s="1" t="str">
        <f t="shared" si="1"/>
        <v>Talhadia</v>
      </c>
      <c r="Q33" s="2">
        <v>41585</v>
      </c>
      <c r="R33" s="1" t="s">
        <v>306</v>
      </c>
      <c r="S33" s="1" t="s">
        <v>199</v>
      </c>
      <c r="T33" s="1" t="s">
        <v>2268</v>
      </c>
      <c r="U33" s="1" t="s">
        <v>151</v>
      </c>
      <c r="V33" s="1" t="s">
        <v>152</v>
      </c>
      <c r="W33" s="2">
        <v>44769</v>
      </c>
      <c r="X33" s="1" t="s">
        <v>335</v>
      </c>
      <c r="Y33" s="1">
        <v>56.93</v>
      </c>
      <c r="Z33" s="1">
        <v>19</v>
      </c>
      <c r="AA33" s="1">
        <v>15</v>
      </c>
      <c r="AB33" s="1">
        <v>13.5</v>
      </c>
      <c r="AC33" s="1">
        <v>5</v>
      </c>
      <c r="AD33" s="3">
        <v>256.5</v>
      </c>
      <c r="AE33" s="3">
        <v>246.81717293960801</v>
      </c>
      <c r="AF33" s="2">
        <v>44769</v>
      </c>
      <c r="AG33" s="1">
        <v>104</v>
      </c>
      <c r="AH33" s="3">
        <v>8.7173169062286107</v>
      </c>
      <c r="AI33" s="4">
        <v>30.070290030946602</v>
      </c>
      <c r="AJ33" s="4">
        <v>21.2090909090909</v>
      </c>
      <c r="AK33" s="4">
        <v>33.653306204814498</v>
      </c>
      <c r="AL33" s="1">
        <v>22</v>
      </c>
      <c r="AM33" s="5">
        <v>891.34802647557206</v>
      </c>
      <c r="AN33" s="4">
        <v>475.07780014352198</v>
      </c>
      <c r="AO33" s="4">
        <v>0.53298799798996499</v>
      </c>
      <c r="AP33" s="1" t="s">
        <v>199</v>
      </c>
      <c r="AQ33" s="1" t="s">
        <v>254</v>
      </c>
      <c r="AR33" s="1" t="s">
        <v>302</v>
      </c>
      <c r="AS33" s="1">
        <v>9.99</v>
      </c>
      <c r="AT33" s="4">
        <v>0.89045667844909648</v>
      </c>
      <c r="AU33" s="1" t="s">
        <v>336</v>
      </c>
      <c r="AV33" s="1" t="s">
        <v>337</v>
      </c>
      <c r="AW33" s="1">
        <v>5548</v>
      </c>
      <c r="AX33" s="1">
        <v>3470</v>
      </c>
      <c r="AY33" s="1">
        <v>1732</v>
      </c>
      <c r="AZ33" s="1">
        <v>322</v>
      </c>
      <c r="BA33" s="1">
        <v>24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4">
        <v>-0.879</v>
      </c>
      <c r="BI33" s="4">
        <v>34.897998999999999</v>
      </c>
      <c r="BJ33" s="4">
        <v>19.295756000000001</v>
      </c>
      <c r="BK33" s="4">
        <v>-0.31111100000000003</v>
      </c>
      <c r="BL33" s="4">
        <v>14.339439</v>
      </c>
      <c r="BM33" s="4">
        <v>205.619518</v>
      </c>
      <c r="BN33" s="4">
        <v>0.74314000000000002</v>
      </c>
      <c r="BO33" s="4">
        <v>31.09225</v>
      </c>
      <c r="BP33" s="4">
        <v>-0.50453099999999995</v>
      </c>
      <c r="BQ33" s="4">
        <v>1.3655299999999999</v>
      </c>
      <c r="BR33" s="4">
        <v>13.533913999999999</v>
      </c>
      <c r="BS33" s="4">
        <v>3.5405000000000002</v>
      </c>
      <c r="BT33" s="4">
        <v>29.164111999999999</v>
      </c>
      <c r="BU33" s="4">
        <v>19.295756000000001</v>
      </c>
      <c r="BV33" s="4">
        <v>7.488518</v>
      </c>
      <c r="BW33" s="4">
        <v>-1.4422759999999999</v>
      </c>
      <c r="BX33" s="4">
        <v>-1.0707789999999999</v>
      </c>
      <c r="BY33" s="4">
        <v>0.38809100000000002</v>
      </c>
      <c r="BZ33" s="4">
        <v>-0.19259799999999999</v>
      </c>
      <c r="CA33" s="4">
        <v>-0.142989</v>
      </c>
      <c r="CB33" s="4">
        <v>-0.42299999999999999</v>
      </c>
      <c r="CC33" s="4">
        <v>-0.16600000000000001</v>
      </c>
      <c r="CD33" s="4">
        <v>-5.2999999999999999E-2</v>
      </c>
      <c r="CE33" s="4">
        <v>7.8399999999999997E-2</v>
      </c>
      <c r="CF33" s="4">
        <v>0.151</v>
      </c>
      <c r="CG33" s="4">
        <v>0.27010000000000001</v>
      </c>
      <c r="CH33" s="4">
        <v>21.143599999999999</v>
      </c>
      <c r="CI33" s="4">
        <v>28.853000999999999</v>
      </c>
      <c r="CJ33" s="4">
        <v>30.055401</v>
      </c>
      <c r="CK33" s="4">
        <v>30.901599999999998</v>
      </c>
      <c r="CL33" s="4">
        <v>31.24325</v>
      </c>
      <c r="CM33" s="4">
        <v>31.5016</v>
      </c>
      <c r="CN33" s="4">
        <v>32.300899999999999</v>
      </c>
      <c r="CO33" s="4">
        <v>32.810248999999999</v>
      </c>
      <c r="CP33" s="4">
        <v>34.222178999999997</v>
      </c>
      <c r="CQ33" s="4">
        <v>0.56390300000000004</v>
      </c>
      <c r="CR33" s="4">
        <v>24.039731</v>
      </c>
      <c r="CS33" s="4">
        <v>26.010636999999999</v>
      </c>
      <c r="CT33" s="1">
        <v>1</v>
      </c>
      <c r="CU33" s="1">
        <v>70</v>
      </c>
      <c r="CV33" s="4">
        <v>21.245674000000001</v>
      </c>
      <c r="CW33" s="4">
        <v>1</v>
      </c>
      <c r="CX33" s="4">
        <v>13.468978999999999</v>
      </c>
      <c r="CY33" s="4">
        <v>181.41340299999999</v>
      </c>
      <c r="CZ33" s="4">
        <v>0.63396300000000005</v>
      </c>
      <c r="DA33" s="4">
        <v>23</v>
      </c>
      <c r="DB33" s="4">
        <v>8.2909999999999998E-2</v>
      </c>
      <c r="DC33" s="4">
        <v>2.1362230000000002</v>
      </c>
      <c r="DD33" s="4">
        <v>11.51951</v>
      </c>
      <c r="DE33" s="4">
        <v>21.245674000000001</v>
      </c>
      <c r="DF33" s="4">
        <v>7.6931159999999998</v>
      </c>
      <c r="DG33" s="4">
        <v>4.0384000000000003E-2</v>
      </c>
      <c r="DH33" s="4">
        <v>0.151923</v>
      </c>
      <c r="DI33" s="4">
        <v>0.36210300000000001</v>
      </c>
      <c r="DJ33" s="4">
        <v>5.2490000000000002E-3</v>
      </c>
      <c r="DK33" s="4">
        <v>1.9748000000000002E-2</v>
      </c>
      <c r="DL33" s="4">
        <v>1</v>
      </c>
      <c r="DM33" s="4">
        <v>1</v>
      </c>
      <c r="DN33" s="4">
        <v>2</v>
      </c>
      <c r="DO33" s="4">
        <v>5</v>
      </c>
      <c r="DP33" s="4">
        <v>8</v>
      </c>
      <c r="DQ33" s="4">
        <v>12</v>
      </c>
      <c r="DR33" s="4">
        <v>18</v>
      </c>
      <c r="DS33" s="4">
        <v>23</v>
      </c>
      <c r="DT33" s="4">
        <v>27</v>
      </c>
      <c r="DU33" s="4">
        <v>30</v>
      </c>
      <c r="DV33" s="4">
        <v>31</v>
      </c>
      <c r="DW33" s="4">
        <v>33</v>
      </c>
      <c r="DX33" s="4">
        <v>38</v>
      </c>
      <c r="DY33" s="4">
        <v>42</v>
      </c>
      <c r="DZ33" s="4">
        <v>52</v>
      </c>
      <c r="EA33" s="4">
        <v>95.619596999999999</v>
      </c>
      <c r="EB33" s="4">
        <v>66.456380999999993</v>
      </c>
      <c r="EC33" s="4">
        <v>106.253602</v>
      </c>
      <c r="ED33" s="4">
        <v>3318</v>
      </c>
      <c r="EE33" s="4">
        <v>3687</v>
      </c>
      <c r="EF33" s="4">
        <v>93.861671000000001</v>
      </c>
      <c r="EG33" s="4">
        <v>100</v>
      </c>
      <c r="EH33" s="4">
        <v>60.472242000000001</v>
      </c>
      <c r="EI33" s="4">
        <v>98.071376999999998</v>
      </c>
      <c r="EJ33" s="4">
        <v>96.685879</v>
      </c>
      <c r="EK33" s="4">
        <v>156.801153</v>
      </c>
      <c r="EL33" s="4">
        <v>3257</v>
      </c>
      <c r="EM33" s="4">
        <v>3470</v>
      </c>
      <c r="EN33" s="4">
        <v>3355</v>
      </c>
      <c r="EO33" s="4">
        <v>5441</v>
      </c>
      <c r="EP33" s="4">
        <v>3470</v>
      </c>
      <c r="EQ33" s="4">
        <v>5548</v>
      </c>
      <c r="ER33" s="4">
        <v>55.454870999999997</v>
      </c>
    </row>
    <row r="34" spans="1:148" x14ac:dyDescent="0.2">
      <c r="A34" s="1">
        <v>2022</v>
      </c>
      <c r="B34" s="1" t="str">
        <f t="shared" si="0"/>
        <v>NE</v>
      </c>
      <c r="C34" s="1" t="s">
        <v>338</v>
      </c>
      <c r="D34" s="1" t="s">
        <v>338</v>
      </c>
      <c r="E34" s="1">
        <v>21587</v>
      </c>
      <c r="F34" s="1" t="s">
        <v>2057</v>
      </c>
      <c r="G34" s="1" t="s">
        <v>333</v>
      </c>
      <c r="H34" s="1" t="s">
        <v>334</v>
      </c>
      <c r="I34" s="1">
        <v>21.56</v>
      </c>
      <c r="J34" s="1">
        <v>21.56</v>
      </c>
      <c r="K34" s="1" t="s">
        <v>148</v>
      </c>
      <c r="L34" s="1">
        <v>1</v>
      </c>
      <c r="M34" s="1">
        <v>2013</v>
      </c>
      <c r="N34" s="1">
        <v>1</v>
      </c>
      <c r="O34" s="1">
        <v>2</v>
      </c>
      <c r="P34" s="1" t="str">
        <f t="shared" si="1"/>
        <v>Talhadia</v>
      </c>
      <c r="Q34" s="2">
        <v>41585</v>
      </c>
      <c r="R34" s="1" t="s">
        <v>306</v>
      </c>
      <c r="S34" s="1" t="s">
        <v>199</v>
      </c>
      <c r="T34" s="1" t="s">
        <v>2268</v>
      </c>
      <c r="U34" s="1" t="s">
        <v>151</v>
      </c>
      <c r="V34" s="1" t="s">
        <v>152</v>
      </c>
      <c r="W34" s="2">
        <v>44769</v>
      </c>
      <c r="X34" s="1" t="s">
        <v>335</v>
      </c>
      <c r="Y34" s="1">
        <v>56.93</v>
      </c>
      <c r="Z34" s="1">
        <v>21.4</v>
      </c>
      <c r="AA34" s="1">
        <v>15</v>
      </c>
      <c r="AB34" s="1">
        <v>13.4</v>
      </c>
      <c r="AC34" s="1">
        <v>1</v>
      </c>
      <c r="AD34" s="3">
        <v>286.76</v>
      </c>
      <c r="AE34" s="3">
        <v>276.94670319708899</v>
      </c>
      <c r="AF34" s="2">
        <v>44769</v>
      </c>
      <c r="AG34" s="1">
        <v>104</v>
      </c>
      <c r="AH34" s="3">
        <v>8.7173169062286107</v>
      </c>
      <c r="AI34" s="4">
        <v>30.354073315003301</v>
      </c>
      <c r="AJ34" s="4">
        <v>20.9190476190476</v>
      </c>
      <c r="AK34" s="4">
        <v>27.529362835392</v>
      </c>
      <c r="AL34" s="1">
        <v>21</v>
      </c>
      <c r="AM34" s="5">
        <v>758.26864005149002</v>
      </c>
      <c r="AN34" s="4">
        <v>386.77832548724803</v>
      </c>
      <c r="AO34" s="4">
        <v>0.51008086719896994</v>
      </c>
      <c r="AP34" s="1" t="s">
        <v>199</v>
      </c>
      <c r="AQ34" s="1" t="s">
        <v>254</v>
      </c>
      <c r="AR34" s="1" t="s">
        <v>302</v>
      </c>
      <c r="AS34" s="1">
        <v>9.99</v>
      </c>
      <c r="AT34" s="4">
        <v>0.75751037141143851</v>
      </c>
      <c r="AU34" s="1" t="s">
        <v>339</v>
      </c>
      <c r="AV34" s="1" t="s">
        <v>340</v>
      </c>
      <c r="AW34" s="1">
        <v>4317</v>
      </c>
      <c r="AX34" s="1">
        <v>2505</v>
      </c>
      <c r="AY34" s="1">
        <v>1700</v>
      </c>
      <c r="AZ34" s="1">
        <v>110</v>
      </c>
      <c r="BA34" s="1">
        <v>2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4">
        <v>-0.94899999999999995</v>
      </c>
      <c r="BI34" s="4">
        <v>33.105998999999997</v>
      </c>
      <c r="BJ34" s="4">
        <v>16.118587000000002</v>
      </c>
      <c r="BK34" s="4">
        <v>-0.40844399999999997</v>
      </c>
      <c r="BL34" s="4">
        <v>14.142355999999999</v>
      </c>
      <c r="BM34" s="4">
        <v>200.00623899999999</v>
      </c>
      <c r="BN34" s="4">
        <v>0.87739400000000001</v>
      </c>
      <c r="BO34" s="4">
        <v>29.045999999999999</v>
      </c>
      <c r="BP34" s="4">
        <v>-0.22666700000000001</v>
      </c>
      <c r="BQ34" s="4">
        <v>1.1005259999999999</v>
      </c>
      <c r="BR34" s="4">
        <v>13.904401999999999</v>
      </c>
      <c r="BS34" s="4">
        <v>4.3440000000000003</v>
      </c>
      <c r="BT34" s="4">
        <v>26.765446000000001</v>
      </c>
      <c r="BU34" s="4">
        <v>16.118587000000002</v>
      </c>
      <c r="BV34" s="4">
        <v>7.3695269999999997</v>
      </c>
      <c r="BW34" s="4">
        <v>-0.53123799999999999</v>
      </c>
      <c r="BX34" s="4">
        <v>-1.4969410000000001</v>
      </c>
      <c r="BY34" s="4">
        <v>0.45720699999999997</v>
      </c>
      <c r="BZ34" s="4">
        <v>-7.2085999999999997E-2</v>
      </c>
      <c r="CA34" s="4">
        <v>-0.203126</v>
      </c>
      <c r="CB34" s="4">
        <v>-0.44084000000000001</v>
      </c>
      <c r="CC34" s="4">
        <v>-0.2142</v>
      </c>
      <c r="CD34" s="4">
        <v>-0.10299999999999999</v>
      </c>
      <c r="CE34" s="4">
        <v>1.2E-2</v>
      </c>
      <c r="CF34" s="4">
        <v>6.6000000000000003E-2</v>
      </c>
      <c r="CG34" s="4">
        <v>0.121</v>
      </c>
      <c r="CH34" s="4">
        <v>0.29099999999999998</v>
      </c>
      <c r="CI34" s="4">
        <v>26.356999999999999</v>
      </c>
      <c r="CJ34" s="4">
        <v>27.760999999999999</v>
      </c>
      <c r="CK34" s="4">
        <v>28.784200999999999</v>
      </c>
      <c r="CL34" s="4">
        <v>29.111999999999998</v>
      </c>
      <c r="CM34" s="4">
        <v>29.486000000000001</v>
      </c>
      <c r="CN34" s="4">
        <v>30.212399999999999</v>
      </c>
      <c r="CO34" s="4">
        <v>30.672602000000001</v>
      </c>
      <c r="CP34" s="4">
        <v>31.784839999999999</v>
      </c>
      <c r="CQ34" s="4">
        <v>0.50117699999999998</v>
      </c>
      <c r="CR34" s="4">
        <v>21.442219000000001</v>
      </c>
      <c r="CS34" s="4">
        <v>23.642835000000002</v>
      </c>
      <c r="CT34" s="1">
        <v>1</v>
      </c>
      <c r="CU34" s="1">
        <v>58</v>
      </c>
      <c r="CV34" s="4">
        <v>17.924948000000001</v>
      </c>
      <c r="CW34" s="4">
        <v>1</v>
      </c>
      <c r="CX34" s="4">
        <v>11.791808</v>
      </c>
      <c r="CY34" s="4">
        <v>139.046729</v>
      </c>
      <c r="CZ34" s="4">
        <v>0.65784299999999996</v>
      </c>
      <c r="DA34" s="4">
        <v>19</v>
      </c>
      <c r="DB34" s="4">
        <v>0.38353500000000001</v>
      </c>
      <c r="DC34" s="4">
        <v>2.6659310000000001</v>
      </c>
      <c r="DD34" s="4">
        <v>9.8715170000000008</v>
      </c>
      <c r="DE34" s="4">
        <v>17.924948000000001</v>
      </c>
      <c r="DF34" s="4">
        <v>6.6735470000000001</v>
      </c>
      <c r="DG34" s="4">
        <v>0.40444000000000002</v>
      </c>
      <c r="DH34" s="4">
        <v>0.28457399999999999</v>
      </c>
      <c r="DI34" s="4">
        <v>0.372305</v>
      </c>
      <c r="DJ34" s="4">
        <v>6.0602999999999997E-2</v>
      </c>
      <c r="DK34" s="4">
        <v>4.2641999999999999E-2</v>
      </c>
      <c r="DL34" s="4">
        <v>1</v>
      </c>
      <c r="DM34" s="4">
        <v>1</v>
      </c>
      <c r="DN34" s="4">
        <v>2</v>
      </c>
      <c r="DO34" s="4">
        <v>5</v>
      </c>
      <c r="DP34" s="4">
        <v>7</v>
      </c>
      <c r="DQ34" s="4">
        <v>9</v>
      </c>
      <c r="DR34" s="4">
        <v>14</v>
      </c>
      <c r="DS34" s="4">
        <v>18</v>
      </c>
      <c r="DT34" s="4">
        <v>22</v>
      </c>
      <c r="DU34" s="4">
        <v>25</v>
      </c>
      <c r="DV34" s="4">
        <v>26</v>
      </c>
      <c r="DW34" s="4">
        <v>28</v>
      </c>
      <c r="DX34" s="4">
        <v>32</v>
      </c>
      <c r="DY34" s="4">
        <v>37</v>
      </c>
      <c r="DZ34" s="4">
        <v>49.839843999999999</v>
      </c>
      <c r="EA34" s="4">
        <v>95.449101999999996</v>
      </c>
      <c r="EB34" s="4">
        <v>57.192495000000001</v>
      </c>
      <c r="EC34" s="4">
        <v>98.562873999999994</v>
      </c>
      <c r="ED34" s="4">
        <v>2391</v>
      </c>
      <c r="EE34" s="4">
        <v>2469</v>
      </c>
      <c r="EF34" s="4">
        <v>95.129740999999996</v>
      </c>
      <c r="EG34" s="4">
        <v>100</v>
      </c>
      <c r="EH34" s="4">
        <v>56.451239000000001</v>
      </c>
      <c r="EI34" s="4">
        <v>98.633309999999994</v>
      </c>
      <c r="EJ34" s="4">
        <v>97.285428999999993</v>
      </c>
      <c r="EK34" s="4">
        <v>169.98004</v>
      </c>
      <c r="EL34" s="4">
        <v>2383</v>
      </c>
      <c r="EM34" s="4">
        <v>2505</v>
      </c>
      <c r="EN34" s="4">
        <v>2437</v>
      </c>
      <c r="EO34" s="4">
        <v>4258</v>
      </c>
      <c r="EP34" s="4">
        <v>2505</v>
      </c>
      <c r="EQ34" s="4">
        <v>4317</v>
      </c>
      <c r="ER34" s="4">
        <v>49.809589000000003</v>
      </c>
    </row>
    <row r="35" spans="1:148" x14ac:dyDescent="0.2">
      <c r="A35" s="1">
        <v>2022</v>
      </c>
      <c r="B35" s="1" t="str">
        <f t="shared" si="0"/>
        <v>NE</v>
      </c>
      <c r="C35" s="1" t="s">
        <v>341</v>
      </c>
      <c r="D35" s="1" t="s">
        <v>341</v>
      </c>
      <c r="E35" s="1">
        <v>21588</v>
      </c>
      <c r="F35" s="1" t="s">
        <v>2057</v>
      </c>
      <c r="G35" s="1" t="s">
        <v>333</v>
      </c>
      <c r="H35" s="1" t="s">
        <v>342</v>
      </c>
      <c r="I35" s="1">
        <v>10.43</v>
      </c>
      <c r="J35" s="1">
        <v>10.43</v>
      </c>
      <c r="K35" s="1" t="s">
        <v>148</v>
      </c>
      <c r="L35" s="1">
        <v>1</v>
      </c>
      <c r="M35" s="1">
        <v>2013</v>
      </c>
      <c r="N35" s="1">
        <v>1</v>
      </c>
      <c r="O35" s="1">
        <v>2</v>
      </c>
      <c r="P35" s="1" t="str">
        <f t="shared" si="1"/>
        <v>Talhadia</v>
      </c>
      <c r="Q35" s="2">
        <v>41572</v>
      </c>
      <c r="R35" s="1" t="s">
        <v>306</v>
      </c>
      <c r="S35" s="1" t="s">
        <v>199</v>
      </c>
      <c r="T35" s="1" t="s">
        <v>2268</v>
      </c>
      <c r="U35" s="1" t="s">
        <v>151</v>
      </c>
      <c r="V35" s="1" t="s">
        <v>152</v>
      </c>
      <c r="W35" s="2">
        <v>44767</v>
      </c>
      <c r="X35" s="1" t="s">
        <v>335</v>
      </c>
      <c r="Y35" s="1">
        <v>56.93</v>
      </c>
      <c r="Z35" s="1">
        <v>20.5</v>
      </c>
      <c r="AA35" s="1">
        <v>16</v>
      </c>
      <c r="AB35" s="1">
        <v>13.2</v>
      </c>
      <c r="AC35" s="1">
        <v>3</v>
      </c>
      <c r="AD35" s="3">
        <v>270.60000000000002</v>
      </c>
      <c r="AE35" s="3">
        <v>259.76093304403003</v>
      </c>
      <c r="AF35" s="2">
        <v>44767</v>
      </c>
      <c r="AG35" s="1">
        <v>105</v>
      </c>
      <c r="AH35" s="3">
        <v>8.7474332648870607</v>
      </c>
      <c r="AI35" s="4">
        <v>27.348471572546298</v>
      </c>
      <c r="AJ35" s="4">
        <v>19.527999999999999</v>
      </c>
      <c r="AK35" s="4">
        <v>30.898183257906499</v>
      </c>
      <c r="AL35" s="1">
        <v>25</v>
      </c>
      <c r="AM35" s="5">
        <v>962.42339858559296</v>
      </c>
      <c r="AN35" s="4">
        <v>400.43962958714502</v>
      </c>
      <c r="AO35" s="4">
        <v>0.41607428723744999</v>
      </c>
      <c r="AP35" s="1" t="s">
        <v>199</v>
      </c>
      <c r="AQ35" s="1" t="s">
        <v>254</v>
      </c>
      <c r="AR35" s="1" t="s">
        <v>302</v>
      </c>
      <c r="AS35" s="1">
        <v>9.99</v>
      </c>
      <c r="AT35" s="4">
        <v>0.96146097518700735</v>
      </c>
      <c r="AU35" s="1" t="s">
        <v>343</v>
      </c>
      <c r="AV35" s="1" t="s">
        <v>344</v>
      </c>
      <c r="AW35" s="1">
        <v>4382</v>
      </c>
      <c r="AX35" s="1">
        <v>2503</v>
      </c>
      <c r="AY35" s="1">
        <v>1664</v>
      </c>
      <c r="AZ35" s="1">
        <v>209</v>
      </c>
      <c r="BA35" s="1">
        <v>6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4">
        <v>-1.024</v>
      </c>
      <c r="BI35" s="4">
        <v>35.046000999999997</v>
      </c>
      <c r="BJ35" s="4">
        <v>17.331918000000002</v>
      </c>
      <c r="BK35" s="4">
        <v>-0.45145999999999997</v>
      </c>
      <c r="BL35" s="4">
        <v>14.465289</v>
      </c>
      <c r="BM35" s="4">
        <v>209.244596</v>
      </c>
      <c r="BN35" s="4">
        <v>0.83460400000000001</v>
      </c>
      <c r="BO35" s="4">
        <v>31.140250000000002</v>
      </c>
      <c r="BP35" s="4">
        <v>-0.214671</v>
      </c>
      <c r="BQ35" s="4">
        <v>1.192766</v>
      </c>
      <c r="BR35" s="4">
        <v>13.859734</v>
      </c>
      <c r="BS35" s="4">
        <v>8.012499</v>
      </c>
      <c r="BT35" s="4">
        <v>25.336960000000001</v>
      </c>
      <c r="BU35" s="4">
        <v>17.331918000000002</v>
      </c>
      <c r="BV35" s="4">
        <v>7.7862169999999997</v>
      </c>
      <c r="BW35" s="4">
        <v>-0.57294900000000004</v>
      </c>
      <c r="BX35" s="4">
        <v>-1.49082</v>
      </c>
      <c r="BY35" s="4">
        <v>0.44924199999999997</v>
      </c>
      <c r="BZ35" s="4">
        <v>-7.3584999999999998E-2</v>
      </c>
      <c r="CA35" s="4">
        <v>-0.191469</v>
      </c>
      <c r="CB35" s="4">
        <v>-0.42899999999999999</v>
      </c>
      <c r="CC35" s="4">
        <v>-0.1729</v>
      </c>
      <c r="CD35" s="4">
        <v>-6.4899999999999999E-2</v>
      </c>
      <c r="CE35" s="4">
        <v>7.0999999999999994E-2</v>
      </c>
      <c r="CF35" s="4">
        <v>0.152</v>
      </c>
      <c r="CG35" s="4">
        <v>0.25600000000000001</v>
      </c>
      <c r="CH35" s="4">
        <v>11.262600000000001</v>
      </c>
      <c r="CI35" s="4">
        <v>24.8855</v>
      </c>
      <c r="CJ35" s="4">
        <v>29.555599000000001</v>
      </c>
      <c r="CK35" s="4">
        <v>30.700800000000001</v>
      </c>
      <c r="CL35" s="4">
        <v>31.292249999999999</v>
      </c>
      <c r="CM35" s="4">
        <v>31.6738</v>
      </c>
      <c r="CN35" s="4">
        <v>32.381900999999999</v>
      </c>
      <c r="CO35" s="4">
        <v>32.782803000000001</v>
      </c>
      <c r="CP35" s="4">
        <v>33.495800000000003</v>
      </c>
      <c r="CQ35" s="4">
        <v>0.50889700000000004</v>
      </c>
      <c r="CR35" s="4">
        <v>22.574149999999999</v>
      </c>
      <c r="CS35" s="4">
        <v>24.897794999999999</v>
      </c>
      <c r="CT35" s="1">
        <v>1</v>
      </c>
      <c r="CU35" s="1">
        <v>59</v>
      </c>
      <c r="CV35" s="4">
        <v>13.214513999999999</v>
      </c>
      <c r="CW35" s="4">
        <v>1</v>
      </c>
      <c r="CX35" s="4">
        <v>9.7611790000000003</v>
      </c>
      <c r="CY35" s="4">
        <v>95.280610999999993</v>
      </c>
      <c r="CZ35" s="4">
        <v>0.73867099999999997</v>
      </c>
      <c r="DA35" s="4">
        <v>15</v>
      </c>
      <c r="DB35" s="4">
        <v>0.78130999999999995</v>
      </c>
      <c r="DC35" s="4">
        <v>3.208027</v>
      </c>
      <c r="DD35" s="4">
        <v>8.0784950000000002</v>
      </c>
      <c r="DE35" s="4">
        <v>13.214513999999999</v>
      </c>
      <c r="DF35" s="4">
        <v>5.4343310000000002</v>
      </c>
      <c r="DG35" s="4">
        <v>0.90615100000000004</v>
      </c>
      <c r="DH35" s="4">
        <v>0.31535200000000002</v>
      </c>
      <c r="DI35" s="4">
        <v>0.41123999999999999</v>
      </c>
      <c r="DJ35" s="4">
        <v>0.16674600000000001</v>
      </c>
      <c r="DK35" s="4">
        <v>5.8029999999999998E-2</v>
      </c>
      <c r="DL35" s="4">
        <v>1</v>
      </c>
      <c r="DM35" s="4">
        <v>1</v>
      </c>
      <c r="DN35" s="4">
        <v>2</v>
      </c>
      <c r="DO35" s="4">
        <v>4</v>
      </c>
      <c r="DP35" s="4">
        <v>5</v>
      </c>
      <c r="DQ35" s="4">
        <v>6</v>
      </c>
      <c r="DR35" s="4">
        <v>9</v>
      </c>
      <c r="DS35" s="4">
        <v>12</v>
      </c>
      <c r="DT35" s="4">
        <v>15</v>
      </c>
      <c r="DU35" s="4">
        <v>18</v>
      </c>
      <c r="DV35" s="4">
        <v>20</v>
      </c>
      <c r="DW35" s="4">
        <v>21</v>
      </c>
      <c r="DX35" s="4">
        <v>27</v>
      </c>
      <c r="DY35" s="4">
        <v>31.950195000000001</v>
      </c>
      <c r="DZ35" s="4">
        <v>40</v>
      </c>
      <c r="EA35" s="4">
        <v>94.007191000000006</v>
      </c>
      <c r="EB35" s="4">
        <v>62.072113000000002</v>
      </c>
      <c r="EC35" s="4">
        <v>108.669596</v>
      </c>
      <c r="ED35" s="4">
        <v>2353</v>
      </c>
      <c r="EE35" s="4">
        <v>2720</v>
      </c>
      <c r="EF35" s="4">
        <v>89.093087999999995</v>
      </c>
      <c r="EG35" s="4">
        <v>100</v>
      </c>
      <c r="EH35" s="4">
        <v>53.947969000000001</v>
      </c>
      <c r="EI35" s="4">
        <v>99.178456999999995</v>
      </c>
      <c r="EJ35" s="4">
        <v>94.446663999999998</v>
      </c>
      <c r="EK35" s="4">
        <v>173.631642</v>
      </c>
      <c r="EL35" s="4">
        <v>2230</v>
      </c>
      <c r="EM35" s="4">
        <v>2503</v>
      </c>
      <c r="EN35" s="4">
        <v>2364</v>
      </c>
      <c r="EO35" s="4">
        <v>4346</v>
      </c>
      <c r="EP35" s="4">
        <v>2503</v>
      </c>
      <c r="EQ35" s="4">
        <v>4382</v>
      </c>
      <c r="ER35" s="4">
        <v>50.775731</v>
      </c>
    </row>
    <row r="36" spans="1:148" x14ac:dyDescent="0.2">
      <c r="A36" s="1">
        <v>2022</v>
      </c>
      <c r="B36" s="1" t="str">
        <f t="shared" si="0"/>
        <v>RD</v>
      </c>
      <c r="C36" s="1" t="s">
        <v>345</v>
      </c>
      <c r="D36" s="1" t="s">
        <v>345</v>
      </c>
      <c r="E36" s="1">
        <v>21774</v>
      </c>
      <c r="F36" s="1" t="s">
        <v>2058</v>
      </c>
      <c r="G36" s="1" t="s">
        <v>346</v>
      </c>
      <c r="H36" s="1" t="s">
        <v>347</v>
      </c>
      <c r="I36" s="1">
        <v>11.08</v>
      </c>
      <c r="J36" s="1">
        <v>11.08</v>
      </c>
      <c r="K36" s="1" t="s">
        <v>226</v>
      </c>
      <c r="L36" s="1">
        <v>1</v>
      </c>
      <c r="M36" s="1">
        <v>2013</v>
      </c>
      <c r="N36" s="1">
        <v>2</v>
      </c>
      <c r="O36" s="1">
        <v>1</v>
      </c>
      <c r="P36" s="1" t="str">
        <f t="shared" si="1"/>
        <v>Alto fuste</v>
      </c>
      <c r="Q36" s="2">
        <v>41457</v>
      </c>
      <c r="R36" s="1" t="s">
        <v>227</v>
      </c>
      <c r="S36" s="1" t="s">
        <v>348</v>
      </c>
      <c r="T36" s="1" t="s">
        <v>2268</v>
      </c>
      <c r="U36" s="1" t="s">
        <v>228</v>
      </c>
      <c r="V36" s="1" t="s">
        <v>152</v>
      </c>
      <c r="W36" s="2">
        <v>44680</v>
      </c>
      <c r="X36" s="1" t="s">
        <v>349</v>
      </c>
      <c r="Y36" s="1">
        <v>96.19</v>
      </c>
      <c r="Z36" s="1">
        <v>20.399999999999999</v>
      </c>
      <c r="AA36" s="1">
        <v>26</v>
      </c>
      <c r="AB36" s="1">
        <v>15.6</v>
      </c>
      <c r="AC36" s="1">
        <v>3</v>
      </c>
      <c r="AD36" s="3">
        <v>318.24</v>
      </c>
      <c r="AE36" s="3">
        <v>285.640220081373</v>
      </c>
      <c r="AF36" s="2">
        <v>44680</v>
      </c>
      <c r="AG36" s="1">
        <v>105</v>
      </c>
      <c r="AH36" s="3">
        <v>8.8240930869267604</v>
      </c>
      <c r="AI36" s="4">
        <v>24.566951998246001</v>
      </c>
      <c r="AJ36" s="4">
        <v>16.03125</v>
      </c>
      <c r="AK36" s="4">
        <v>24.009232712216399</v>
      </c>
      <c r="AL36" s="1">
        <v>32</v>
      </c>
      <c r="AM36" s="5">
        <v>1120.29041256458</v>
      </c>
      <c r="AN36" s="4">
        <v>282.06322156344402</v>
      </c>
      <c r="AO36" s="4">
        <v>0.25177687713826002</v>
      </c>
      <c r="AP36" s="1" t="s">
        <v>348</v>
      </c>
      <c r="AQ36" s="1" t="s">
        <v>156</v>
      </c>
      <c r="AR36" s="1" t="s">
        <v>282</v>
      </c>
      <c r="AS36" s="1">
        <v>7.5</v>
      </c>
      <c r="AT36" s="4">
        <v>0.84021780942343505</v>
      </c>
      <c r="AU36" s="1" t="s">
        <v>350</v>
      </c>
      <c r="AV36" s="1" t="s">
        <v>351</v>
      </c>
      <c r="AW36" s="1">
        <v>5247</v>
      </c>
      <c r="AX36" s="1">
        <v>2080</v>
      </c>
      <c r="AY36" s="1">
        <v>2092</v>
      </c>
      <c r="AZ36" s="1">
        <v>927</v>
      </c>
      <c r="BA36" s="1">
        <v>148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4">
        <v>-0.85</v>
      </c>
      <c r="BI36" s="4">
        <v>31.700001</v>
      </c>
      <c r="BJ36" s="4">
        <v>12.172439000000001</v>
      </c>
      <c r="BK36" s="4">
        <v>-0.33333299999999999</v>
      </c>
      <c r="BL36" s="4">
        <v>11.820693</v>
      </c>
      <c r="BM36" s="4">
        <v>139.72878700000001</v>
      </c>
      <c r="BN36" s="4">
        <v>0.97110300000000005</v>
      </c>
      <c r="BO36" s="4">
        <v>24.479998999999999</v>
      </c>
      <c r="BP36" s="4">
        <v>0.23114699999999999</v>
      </c>
      <c r="BQ36" s="4">
        <v>1.4114530000000001</v>
      </c>
      <c r="BR36" s="4">
        <v>10.838373000000001</v>
      </c>
      <c r="BS36" s="4">
        <v>11.639999</v>
      </c>
      <c r="BT36" s="4">
        <v>12.033333000000001</v>
      </c>
      <c r="BU36" s="4">
        <v>12.172439000000001</v>
      </c>
      <c r="BV36" s="4">
        <v>6.5518900000000002</v>
      </c>
      <c r="BW36" s="4">
        <v>0.83802399999999999</v>
      </c>
      <c r="BX36" s="4">
        <v>-0.86346199999999995</v>
      </c>
      <c r="BY36" s="4">
        <v>0.53825599999999996</v>
      </c>
      <c r="BZ36" s="4">
        <v>0.12790599999999999</v>
      </c>
      <c r="CA36" s="4">
        <v>-0.13178799999999999</v>
      </c>
      <c r="CB36" s="4">
        <v>-0.4</v>
      </c>
      <c r="CC36" s="4">
        <v>-0.18</v>
      </c>
      <c r="CD36" s="4">
        <v>-0.09</v>
      </c>
      <c r="CE36" s="4">
        <v>0.03</v>
      </c>
      <c r="CF36" s="4">
        <v>0.08</v>
      </c>
      <c r="CG36" s="4">
        <v>0.14000000000000001</v>
      </c>
      <c r="CH36" s="4">
        <v>0.38</v>
      </c>
      <c r="CI36" s="4">
        <v>11.7</v>
      </c>
      <c r="CJ36" s="4">
        <v>16.652002</v>
      </c>
      <c r="CK36" s="4">
        <v>21.74</v>
      </c>
      <c r="CL36" s="4">
        <v>24.559999000000001</v>
      </c>
      <c r="CM36" s="4">
        <v>26.4</v>
      </c>
      <c r="CN36" s="4">
        <v>28.82</v>
      </c>
      <c r="CO36" s="4">
        <v>29.767002000000002</v>
      </c>
      <c r="CP36" s="4">
        <v>30.57</v>
      </c>
      <c r="CQ36" s="4">
        <v>0.40007500000000001</v>
      </c>
      <c r="CR36" s="4">
        <v>16.966745</v>
      </c>
      <c r="CS36" s="4">
        <v>19.387094000000001</v>
      </c>
      <c r="CT36" s="1">
        <v>1</v>
      </c>
      <c r="CU36" s="1">
        <v>58</v>
      </c>
      <c r="CV36" s="4">
        <v>12.081379999999999</v>
      </c>
      <c r="CW36" s="4">
        <v>1</v>
      </c>
      <c r="CX36" s="4">
        <v>10.104376</v>
      </c>
      <c r="CY36" s="4">
        <v>102.09840800000001</v>
      </c>
      <c r="CZ36" s="4">
        <v>0.83635899999999996</v>
      </c>
      <c r="DA36" s="4">
        <v>13</v>
      </c>
      <c r="DB36" s="4">
        <v>1.435959</v>
      </c>
      <c r="DC36" s="4">
        <v>5.1847890000000003</v>
      </c>
      <c r="DD36" s="4">
        <v>7.6956959999999999</v>
      </c>
      <c r="DE36" s="4">
        <v>12.081379999999999</v>
      </c>
      <c r="DF36" s="4">
        <v>5.2983630000000002</v>
      </c>
      <c r="DG36" s="4">
        <v>1.4437</v>
      </c>
      <c r="DH36" s="4">
        <v>0.75051400000000001</v>
      </c>
      <c r="DI36" s="4">
        <v>0.438556</v>
      </c>
      <c r="DJ36" s="4">
        <v>0.27248</v>
      </c>
      <c r="DK36" s="4">
        <v>0.14165</v>
      </c>
      <c r="DL36" s="4">
        <v>1</v>
      </c>
      <c r="DM36" s="4">
        <v>1</v>
      </c>
      <c r="DN36" s="4">
        <v>2</v>
      </c>
      <c r="DO36" s="4">
        <v>4</v>
      </c>
      <c r="DP36" s="4">
        <v>4</v>
      </c>
      <c r="DQ36" s="4">
        <v>5</v>
      </c>
      <c r="DR36" s="4">
        <v>7</v>
      </c>
      <c r="DS36" s="4">
        <v>10</v>
      </c>
      <c r="DT36" s="4">
        <v>12</v>
      </c>
      <c r="DU36" s="4">
        <v>15</v>
      </c>
      <c r="DV36" s="4">
        <v>17</v>
      </c>
      <c r="DW36" s="4">
        <v>18</v>
      </c>
      <c r="DX36" s="4">
        <v>25</v>
      </c>
      <c r="DY36" s="4">
        <v>34</v>
      </c>
      <c r="DZ36" s="4">
        <v>47</v>
      </c>
      <c r="EA36" s="4">
        <v>89.567307999999997</v>
      </c>
      <c r="EB36" s="4">
        <v>57.023060999999998</v>
      </c>
      <c r="EC36" s="4">
        <v>143.84615400000001</v>
      </c>
      <c r="ED36" s="4">
        <v>1863</v>
      </c>
      <c r="EE36" s="4">
        <v>2992</v>
      </c>
      <c r="EF36" s="4">
        <v>83.942307999999997</v>
      </c>
      <c r="EG36" s="4">
        <v>100</v>
      </c>
      <c r="EH36" s="4">
        <v>49.209071999999999</v>
      </c>
      <c r="EI36" s="4">
        <v>98.322851</v>
      </c>
      <c r="EJ36" s="4">
        <v>124.134615</v>
      </c>
      <c r="EK36" s="4">
        <v>248.02884599999999</v>
      </c>
      <c r="EL36" s="4">
        <v>1746</v>
      </c>
      <c r="EM36" s="4">
        <v>2080</v>
      </c>
      <c r="EN36" s="4">
        <v>2582</v>
      </c>
      <c r="EO36" s="4">
        <v>5159</v>
      </c>
      <c r="EP36" s="4">
        <v>2080</v>
      </c>
      <c r="EQ36" s="4">
        <v>5247</v>
      </c>
      <c r="ER36" s="4">
        <v>38.909036</v>
      </c>
    </row>
    <row r="37" spans="1:148" x14ac:dyDescent="0.2">
      <c r="A37" s="1">
        <v>2022</v>
      </c>
      <c r="B37" s="1" t="str">
        <f t="shared" si="0"/>
        <v>RD</v>
      </c>
      <c r="C37" s="1" t="s">
        <v>352</v>
      </c>
      <c r="D37" s="1" t="s">
        <v>352</v>
      </c>
      <c r="E37" s="1">
        <v>21777</v>
      </c>
      <c r="F37" s="1" t="s">
        <v>2058</v>
      </c>
      <c r="G37" s="1" t="s">
        <v>346</v>
      </c>
      <c r="H37" s="1" t="s">
        <v>353</v>
      </c>
      <c r="I37" s="1">
        <v>31.09</v>
      </c>
      <c r="J37" s="1">
        <v>31.09</v>
      </c>
      <c r="K37" s="1" t="s">
        <v>226</v>
      </c>
      <c r="L37" s="1">
        <v>1</v>
      </c>
      <c r="M37" s="1">
        <v>2013</v>
      </c>
      <c r="N37" s="1">
        <v>2</v>
      </c>
      <c r="O37" s="1">
        <v>1</v>
      </c>
      <c r="P37" s="1" t="str">
        <f t="shared" si="1"/>
        <v>Alto fuste</v>
      </c>
      <c r="Q37" s="2">
        <v>41459</v>
      </c>
      <c r="R37" s="1" t="s">
        <v>227</v>
      </c>
      <c r="S37" s="1" t="s">
        <v>238</v>
      </c>
      <c r="T37" s="1" t="s">
        <v>2268</v>
      </c>
      <c r="U37" s="1" t="s">
        <v>228</v>
      </c>
      <c r="V37" s="1" t="s">
        <v>152</v>
      </c>
      <c r="W37" s="2">
        <v>44680</v>
      </c>
      <c r="X37" s="1" t="s">
        <v>349</v>
      </c>
      <c r="Y37" s="1">
        <v>96.19</v>
      </c>
      <c r="Z37" s="1">
        <v>21.4</v>
      </c>
      <c r="AA37" s="1">
        <v>14</v>
      </c>
      <c r="AB37" s="1">
        <v>15.8</v>
      </c>
      <c r="AC37" s="1">
        <v>3</v>
      </c>
      <c r="AD37" s="3">
        <v>338.12</v>
      </c>
      <c r="AE37" s="3">
        <v>327.62677367677298</v>
      </c>
      <c r="AF37" s="2">
        <v>44680</v>
      </c>
      <c r="AG37" s="1">
        <v>105</v>
      </c>
      <c r="AH37" s="3">
        <v>8.8186173853524998</v>
      </c>
      <c r="AI37" s="4">
        <v>21.831477932302299</v>
      </c>
      <c r="AJ37" s="4">
        <v>14.824999999999999</v>
      </c>
      <c r="AK37" s="4">
        <v>21.405864613726202</v>
      </c>
      <c r="AL37" s="1">
        <v>40</v>
      </c>
      <c r="AM37" s="5">
        <v>1220.9014407187301</v>
      </c>
      <c r="AN37" s="4">
        <v>211.257651516561</v>
      </c>
      <c r="AO37" s="4">
        <v>0.17303415695225699</v>
      </c>
      <c r="AP37" s="1" t="s">
        <v>238</v>
      </c>
      <c r="AQ37" s="1" t="s">
        <v>156</v>
      </c>
      <c r="AR37" s="1" t="s">
        <v>164</v>
      </c>
      <c r="AS37" s="1">
        <v>7.5</v>
      </c>
      <c r="AT37" s="4">
        <v>0.91567608053904759</v>
      </c>
      <c r="AU37" s="1" t="s">
        <v>354</v>
      </c>
      <c r="AV37" s="1" t="s">
        <v>355</v>
      </c>
      <c r="AW37" s="1">
        <v>7324</v>
      </c>
      <c r="AX37" s="1">
        <v>3632</v>
      </c>
      <c r="AY37" s="1">
        <v>2852</v>
      </c>
      <c r="AZ37" s="1">
        <v>773</v>
      </c>
      <c r="BA37" s="1">
        <v>67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4">
        <v>-1.65</v>
      </c>
      <c r="BI37" s="4">
        <v>26.030000999999999</v>
      </c>
      <c r="BJ37" s="4">
        <v>11.705759</v>
      </c>
      <c r="BK37" s="4">
        <v>-0.33190500000000001</v>
      </c>
      <c r="BL37" s="4">
        <v>10.438088</v>
      </c>
      <c r="BM37" s="4">
        <v>108.953688</v>
      </c>
      <c r="BN37" s="4">
        <v>0.89170499999999997</v>
      </c>
      <c r="BO37" s="4">
        <v>22.489999000000001</v>
      </c>
      <c r="BP37" s="4">
        <v>-6.5457000000000001E-2</v>
      </c>
      <c r="BQ37" s="4">
        <v>1.220242</v>
      </c>
      <c r="BR37" s="4">
        <v>9.8833559999999991</v>
      </c>
      <c r="BS37" s="4">
        <v>9.6899990000000003</v>
      </c>
      <c r="BT37" s="4">
        <v>14.771903999999999</v>
      </c>
      <c r="BU37" s="4">
        <v>11.705759</v>
      </c>
      <c r="BV37" s="4">
        <v>5.7178449999999996</v>
      </c>
      <c r="BW37" s="4">
        <v>7.8658000000000006E-2</v>
      </c>
      <c r="BX37" s="4">
        <v>-1.003862</v>
      </c>
      <c r="BY37" s="4">
        <v>0.48846400000000001</v>
      </c>
      <c r="BZ37" s="4">
        <v>1.3757E-2</v>
      </c>
      <c r="CA37" s="4">
        <v>-0.175567</v>
      </c>
      <c r="CB37" s="4">
        <v>-0.37</v>
      </c>
      <c r="CC37" s="4">
        <v>-0.16</v>
      </c>
      <c r="CD37" s="4">
        <v>-0.08</v>
      </c>
      <c r="CE37" s="4">
        <v>0.01</v>
      </c>
      <c r="CF37" s="4">
        <v>0.06</v>
      </c>
      <c r="CG37" s="4">
        <v>0.12</v>
      </c>
      <c r="CH37" s="4">
        <v>0.41</v>
      </c>
      <c r="CI37" s="4">
        <v>14.440001000000001</v>
      </c>
      <c r="CJ37" s="4">
        <v>18.459999</v>
      </c>
      <c r="CK37" s="4">
        <v>21.389999</v>
      </c>
      <c r="CL37" s="4">
        <v>22.549999</v>
      </c>
      <c r="CM37" s="4">
        <v>23.24</v>
      </c>
      <c r="CN37" s="4">
        <v>24.01</v>
      </c>
      <c r="CO37" s="4">
        <v>24.588501000000001</v>
      </c>
      <c r="CP37" s="4">
        <v>25.317699000000001</v>
      </c>
      <c r="CQ37" s="4">
        <v>0.48250599999999999</v>
      </c>
      <c r="CR37" s="4">
        <v>15.683227</v>
      </c>
      <c r="CS37" s="4">
        <v>17.495429999999999</v>
      </c>
      <c r="CT37" s="1">
        <v>1</v>
      </c>
      <c r="CU37" s="1">
        <v>71</v>
      </c>
      <c r="CV37" s="4">
        <v>15.592572000000001</v>
      </c>
      <c r="CW37" s="4">
        <v>1</v>
      </c>
      <c r="CX37" s="4">
        <v>12.949372</v>
      </c>
      <c r="CY37" s="4">
        <v>167.686226</v>
      </c>
      <c r="CZ37" s="4">
        <v>0.83048299999999997</v>
      </c>
      <c r="DA37" s="4">
        <v>14</v>
      </c>
      <c r="DB37" s="4">
        <v>1.4791650000000001</v>
      </c>
      <c r="DC37" s="4">
        <v>5.0266250000000001</v>
      </c>
      <c r="DD37" s="4">
        <v>9.6521589999999993</v>
      </c>
      <c r="DE37" s="4">
        <v>15.592572000000001</v>
      </c>
      <c r="DF37" s="4">
        <v>6.7185389999999998</v>
      </c>
      <c r="DG37" s="4">
        <v>1.9349499999999999</v>
      </c>
      <c r="DH37" s="4">
        <v>1.1417900000000001</v>
      </c>
      <c r="DI37" s="4">
        <v>0.43088100000000001</v>
      </c>
      <c r="DJ37" s="4">
        <v>0.28800199999999998</v>
      </c>
      <c r="DK37" s="4">
        <v>0.16994600000000001</v>
      </c>
      <c r="DL37" s="4">
        <v>1</v>
      </c>
      <c r="DM37" s="4">
        <v>2</v>
      </c>
      <c r="DN37" s="4">
        <v>3</v>
      </c>
      <c r="DO37" s="4">
        <v>5</v>
      </c>
      <c r="DP37" s="4">
        <v>6</v>
      </c>
      <c r="DQ37" s="4">
        <v>7</v>
      </c>
      <c r="DR37" s="4">
        <v>10</v>
      </c>
      <c r="DS37" s="4">
        <v>12</v>
      </c>
      <c r="DT37" s="4">
        <v>15</v>
      </c>
      <c r="DU37" s="4">
        <v>18</v>
      </c>
      <c r="DV37" s="4">
        <v>20</v>
      </c>
      <c r="DW37" s="4">
        <v>23</v>
      </c>
      <c r="DX37" s="4">
        <v>33</v>
      </c>
      <c r="DY37" s="4">
        <v>46</v>
      </c>
      <c r="DZ37" s="4">
        <v>58</v>
      </c>
      <c r="EA37" s="4">
        <v>89.289648</v>
      </c>
      <c r="EB37" s="4">
        <v>58.724741000000002</v>
      </c>
      <c r="EC37" s="4">
        <v>118.41960400000001</v>
      </c>
      <c r="ED37" s="4">
        <v>3243</v>
      </c>
      <c r="EE37" s="4">
        <v>4301</v>
      </c>
      <c r="EF37" s="4">
        <v>86.866739999999993</v>
      </c>
      <c r="EG37" s="4">
        <v>99.944934000000003</v>
      </c>
      <c r="EH37" s="4">
        <v>54.055160999999998</v>
      </c>
      <c r="EI37" s="4">
        <v>98.825778</v>
      </c>
      <c r="EJ37" s="4">
        <v>109.003304</v>
      </c>
      <c r="EK37" s="4">
        <v>199.28414100000001</v>
      </c>
      <c r="EL37" s="4">
        <v>3155</v>
      </c>
      <c r="EM37" s="4">
        <v>3630</v>
      </c>
      <c r="EN37" s="4">
        <v>3959</v>
      </c>
      <c r="EO37" s="4">
        <v>7238</v>
      </c>
      <c r="EP37" s="4">
        <v>3632</v>
      </c>
      <c r="EQ37" s="4">
        <v>7324</v>
      </c>
      <c r="ER37" s="4">
        <v>45.279851000000001</v>
      </c>
    </row>
    <row r="38" spans="1:148" x14ac:dyDescent="0.2">
      <c r="A38" s="1">
        <v>2022</v>
      </c>
      <c r="B38" s="1" t="str">
        <f t="shared" si="0"/>
        <v>RD</v>
      </c>
      <c r="C38" s="1" t="s">
        <v>356</v>
      </c>
      <c r="D38" s="1" t="s">
        <v>356</v>
      </c>
      <c r="E38" s="1">
        <v>21778</v>
      </c>
      <c r="F38" s="1" t="s">
        <v>2058</v>
      </c>
      <c r="G38" s="1" t="s">
        <v>346</v>
      </c>
      <c r="H38" s="1" t="s">
        <v>353</v>
      </c>
      <c r="I38" s="1">
        <v>31.09</v>
      </c>
      <c r="J38" s="1">
        <v>31.09</v>
      </c>
      <c r="K38" s="1" t="s">
        <v>226</v>
      </c>
      <c r="L38" s="1">
        <v>1</v>
      </c>
      <c r="M38" s="1">
        <v>2013</v>
      </c>
      <c r="N38" s="1">
        <v>2</v>
      </c>
      <c r="O38" s="1">
        <v>1</v>
      </c>
      <c r="P38" s="1" t="str">
        <f t="shared" si="1"/>
        <v>Alto fuste</v>
      </c>
      <c r="Q38" s="2">
        <v>41459</v>
      </c>
      <c r="R38" s="1" t="s">
        <v>227</v>
      </c>
      <c r="S38" s="1" t="s">
        <v>238</v>
      </c>
      <c r="T38" s="1" t="s">
        <v>2268</v>
      </c>
      <c r="U38" s="1" t="s">
        <v>228</v>
      </c>
      <c r="V38" s="1" t="s">
        <v>152</v>
      </c>
      <c r="W38" s="2">
        <v>44680</v>
      </c>
      <c r="X38" s="1" t="s">
        <v>349</v>
      </c>
      <c r="Y38" s="1">
        <v>96.19</v>
      </c>
      <c r="Z38" s="1">
        <v>21</v>
      </c>
      <c r="AA38" s="1">
        <v>14</v>
      </c>
      <c r="AB38" s="1">
        <v>15.9</v>
      </c>
      <c r="AC38" s="1">
        <v>5</v>
      </c>
      <c r="AD38" s="3">
        <v>333.9</v>
      </c>
      <c r="AE38" s="3">
        <v>322.74889465866403</v>
      </c>
      <c r="AF38" s="2">
        <v>44680</v>
      </c>
      <c r="AG38" s="1">
        <v>105</v>
      </c>
      <c r="AH38" s="3">
        <v>8.8186173853524998</v>
      </c>
      <c r="AI38" s="4">
        <v>21.070983110057799</v>
      </c>
      <c r="AJ38" s="4">
        <v>15.3789473684211</v>
      </c>
      <c r="AK38" s="4">
        <v>22.440928238729299</v>
      </c>
      <c r="AL38" s="1">
        <v>38</v>
      </c>
      <c r="AM38" s="5">
        <v>1177.3859067802</v>
      </c>
      <c r="AN38" s="4">
        <v>211.11592683187101</v>
      </c>
      <c r="AO38" s="4">
        <v>0.179309031657437</v>
      </c>
      <c r="AP38" s="1" t="s">
        <v>238</v>
      </c>
      <c r="AQ38" s="1" t="s">
        <v>156</v>
      </c>
      <c r="AR38" s="1" t="s">
        <v>164</v>
      </c>
      <c r="AS38" s="1">
        <v>7.5</v>
      </c>
      <c r="AT38" s="4">
        <v>0.88303943008515007</v>
      </c>
      <c r="AU38" s="1" t="s">
        <v>357</v>
      </c>
      <c r="AV38" s="1" t="s">
        <v>358</v>
      </c>
      <c r="AW38" s="1">
        <v>12025</v>
      </c>
      <c r="AX38" s="1">
        <v>6146</v>
      </c>
      <c r="AY38" s="1">
        <v>4604</v>
      </c>
      <c r="AZ38" s="1">
        <v>1160</v>
      </c>
      <c r="BA38" s="1">
        <v>115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4">
        <v>-0.96</v>
      </c>
      <c r="BI38" s="4">
        <v>28.33</v>
      </c>
      <c r="BJ38" s="4">
        <v>11.661706000000001</v>
      </c>
      <c r="BK38" s="4">
        <v>-3.0158999999999998E-2</v>
      </c>
      <c r="BL38" s="4">
        <v>11.354099</v>
      </c>
      <c r="BM38" s="4">
        <v>128.91557</v>
      </c>
      <c r="BN38" s="4">
        <v>0.97362300000000002</v>
      </c>
      <c r="BO38" s="4">
        <v>24.249998999999999</v>
      </c>
      <c r="BP38" s="4">
        <v>0.121896</v>
      </c>
      <c r="BQ38" s="4">
        <v>1.2382759999999999</v>
      </c>
      <c r="BR38" s="4">
        <v>10.766052</v>
      </c>
      <c r="BS38" s="4">
        <v>12.21</v>
      </c>
      <c r="BT38" s="4">
        <v>12.290158999999999</v>
      </c>
      <c r="BU38" s="4">
        <v>11.661706000000001</v>
      </c>
      <c r="BV38" s="4">
        <v>6.1968550000000002</v>
      </c>
      <c r="BW38" s="4">
        <v>0.578461</v>
      </c>
      <c r="BX38" s="4">
        <v>-1.0665910000000001</v>
      </c>
      <c r="BY38" s="4">
        <v>0.531385</v>
      </c>
      <c r="BZ38" s="4">
        <v>9.3346999999999999E-2</v>
      </c>
      <c r="CA38" s="4">
        <v>-0.17211799999999999</v>
      </c>
      <c r="CB38" s="4">
        <v>-0.36</v>
      </c>
      <c r="CC38" s="4">
        <v>-0.16</v>
      </c>
      <c r="CD38" s="4">
        <v>-0.09</v>
      </c>
      <c r="CE38" s="4">
        <v>0</v>
      </c>
      <c r="CF38" s="4">
        <v>0.05</v>
      </c>
      <c r="CG38" s="4">
        <v>0.09</v>
      </c>
      <c r="CH38" s="4">
        <v>0.23</v>
      </c>
      <c r="CI38" s="4">
        <v>12.26</v>
      </c>
      <c r="CJ38" s="4">
        <v>18.25</v>
      </c>
      <c r="CK38" s="4">
        <v>22.017997999999999</v>
      </c>
      <c r="CL38" s="4">
        <v>24.299999</v>
      </c>
      <c r="CM38" s="4">
        <v>24.950001</v>
      </c>
      <c r="CN38" s="4">
        <v>26.26</v>
      </c>
      <c r="CO38" s="4">
        <v>26.92</v>
      </c>
      <c r="CP38" s="4">
        <v>27.57</v>
      </c>
      <c r="CQ38" s="4">
        <v>0.43092200000000003</v>
      </c>
      <c r="CR38" s="4">
        <v>16.275756000000001</v>
      </c>
      <c r="CS38" s="4">
        <v>18.443795000000001</v>
      </c>
      <c r="CT38" s="1">
        <v>1</v>
      </c>
      <c r="CU38" s="1">
        <v>64</v>
      </c>
      <c r="CV38" s="4">
        <v>14.7121</v>
      </c>
      <c r="CW38" s="4">
        <v>1</v>
      </c>
      <c r="CX38" s="4">
        <v>12.929819999999999</v>
      </c>
      <c r="CY38" s="4">
        <v>167.18024700000001</v>
      </c>
      <c r="CZ38" s="4">
        <v>0.87885599999999997</v>
      </c>
      <c r="DA38" s="4">
        <v>14</v>
      </c>
      <c r="DB38" s="4">
        <v>1.278219</v>
      </c>
      <c r="DC38" s="4">
        <v>3.8420320000000001</v>
      </c>
      <c r="DD38" s="4">
        <v>9.9953430000000001</v>
      </c>
      <c r="DE38" s="4">
        <v>14.7121</v>
      </c>
      <c r="DF38" s="4">
        <v>6.7891050000000002</v>
      </c>
      <c r="DG38" s="4">
        <v>2.0797340000000002</v>
      </c>
      <c r="DH38" s="4">
        <v>0.94123500000000004</v>
      </c>
      <c r="DI38" s="4">
        <v>0.46146399999999999</v>
      </c>
      <c r="DJ38" s="4">
        <v>0.306334</v>
      </c>
      <c r="DK38" s="4">
        <v>0.13863900000000001</v>
      </c>
      <c r="DL38" s="4">
        <v>1</v>
      </c>
      <c r="DM38" s="4">
        <v>1</v>
      </c>
      <c r="DN38" s="4">
        <v>2</v>
      </c>
      <c r="DO38" s="4">
        <v>4</v>
      </c>
      <c r="DP38" s="4">
        <v>5</v>
      </c>
      <c r="DQ38" s="4">
        <v>6</v>
      </c>
      <c r="DR38" s="4">
        <v>8</v>
      </c>
      <c r="DS38" s="4">
        <v>11</v>
      </c>
      <c r="DT38" s="4">
        <v>13</v>
      </c>
      <c r="DU38" s="4">
        <v>17</v>
      </c>
      <c r="DV38" s="4">
        <v>19</v>
      </c>
      <c r="DW38" s="4">
        <v>23</v>
      </c>
      <c r="DX38" s="4">
        <v>37</v>
      </c>
      <c r="DY38" s="4">
        <v>44</v>
      </c>
      <c r="DZ38" s="4">
        <v>52</v>
      </c>
      <c r="EA38" s="4">
        <v>82.557760999999999</v>
      </c>
      <c r="EB38" s="4">
        <v>54.644491000000002</v>
      </c>
      <c r="EC38" s="4">
        <v>106.91506699999999</v>
      </c>
      <c r="ED38" s="4">
        <v>5074</v>
      </c>
      <c r="EE38" s="4">
        <v>6571</v>
      </c>
      <c r="EF38" s="4">
        <v>80.312398000000002</v>
      </c>
      <c r="EG38" s="4">
        <v>98.519362000000001</v>
      </c>
      <c r="EH38" s="4">
        <v>50.378377999999998</v>
      </c>
      <c r="EI38" s="4">
        <v>84.548856999999998</v>
      </c>
      <c r="EJ38" s="4">
        <v>98.568173999999999</v>
      </c>
      <c r="EK38" s="4">
        <v>165.424666</v>
      </c>
      <c r="EL38" s="4">
        <v>4936</v>
      </c>
      <c r="EM38" s="4">
        <v>6055</v>
      </c>
      <c r="EN38" s="4">
        <v>6058</v>
      </c>
      <c r="EO38" s="4">
        <v>10167</v>
      </c>
      <c r="EP38" s="4">
        <v>6146</v>
      </c>
      <c r="EQ38" s="4">
        <v>12025</v>
      </c>
      <c r="ER38" s="4">
        <v>41.380029999999998</v>
      </c>
    </row>
    <row r="39" spans="1:148" x14ac:dyDescent="0.2">
      <c r="A39" s="1">
        <v>2022</v>
      </c>
      <c r="B39" s="1" t="str">
        <f t="shared" si="0"/>
        <v>RD</v>
      </c>
      <c r="C39" s="1" t="s">
        <v>359</v>
      </c>
      <c r="D39" s="1" t="s">
        <v>359</v>
      </c>
      <c r="E39" s="1">
        <v>21780</v>
      </c>
      <c r="F39" s="1" t="s">
        <v>2059</v>
      </c>
      <c r="G39" s="1" t="s">
        <v>346</v>
      </c>
      <c r="H39" s="1" t="s">
        <v>360</v>
      </c>
      <c r="I39" s="1">
        <v>33.81</v>
      </c>
      <c r="J39" s="1">
        <v>33.81</v>
      </c>
      <c r="K39" s="1" t="s">
        <v>226</v>
      </c>
      <c r="L39" s="1">
        <v>1</v>
      </c>
      <c r="M39" s="1">
        <v>2013</v>
      </c>
      <c r="N39" s="1">
        <v>1</v>
      </c>
      <c r="O39" s="1">
        <v>2</v>
      </c>
      <c r="P39" s="1" t="str">
        <f t="shared" si="1"/>
        <v>Talhadia</v>
      </c>
      <c r="Q39" s="2">
        <v>41519</v>
      </c>
      <c r="R39" s="1" t="s">
        <v>306</v>
      </c>
      <c r="S39" s="1" t="s">
        <v>250</v>
      </c>
      <c r="T39" s="1" t="s">
        <v>2268</v>
      </c>
      <c r="U39" s="1" t="s">
        <v>228</v>
      </c>
      <c r="V39" s="1" t="s">
        <v>152</v>
      </c>
      <c r="W39" s="2">
        <v>44680</v>
      </c>
      <c r="X39" s="1" t="s">
        <v>349</v>
      </c>
      <c r="Y39" s="1">
        <v>33.81</v>
      </c>
      <c r="Z39" s="1">
        <v>19</v>
      </c>
      <c r="AA39" s="1">
        <v>10</v>
      </c>
      <c r="AB39" s="1">
        <v>16.5</v>
      </c>
      <c r="AC39" s="1">
        <v>3</v>
      </c>
      <c r="AD39" s="3">
        <v>313.5</v>
      </c>
      <c r="AE39" s="3">
        <v>308.31411692486301</v>
      </c>
      <c r="AF39" s="2">
        <v>44680</v>
      </c>
      <c r="AG39" s="1">
        <v>103</v>
      </c>
      <c r="AH39" s="3">
        <v>8.6543463381245704</v>
      </c>
      <c r="AI39" s="4">
        <v>27.913034980925499</v>
      </c>
      <c r="AJ39" s="4">
        <v>16.696428571428601</v>
      </c>
      <c r="AK39" s="4">
        <v>20.8827121741821</v>
      </c>
      <c r="AL39" s="1">
        <v>28</v>
      </c>
      <c r="AM39" s="5">
        <v>908.16470809942496</v>
      </c>
      <c r="AN39" s="4">
        <v>272.10126895997701</v>
      </c>
      <c r="AO39" s="4">
        <v>0.29961665161974999</v>
      </c>
      <c r="AP39" s="1" t="s">
        <v>250</v>
      </c>
      <c r="AQ39" s="1" t="s">
        <v>254</v>
      </c>
      <c r="AR39" s="1" t="s">
        <v>282</v>
      </c>
      <c r="AS39" s="1">
        <v>9.99</v>
      </c>
      <c r="AT39" s="4">
        <v>0.90725654339132555</v>
      </c>
      <c r="AU39" s="1" t="s">
        <v>361</v>
      </c>
      <c r="AV39" s="1" t="s">
        <v>362</v>
      </c>
      <c r="AW39" s="1">
        <v>1650</v>
      </c>
      <c r="AX39" s="1">
        <v>866</v>
      </c>
      <c r="AY39" s="1">
        <v>650</v>
      </c>
      <c r="AZ39" s="1">
        <v>133</v>
      </c>
      <c r="BA39" s="1">
        <v>1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4">
        <v>-0.6</v>
      </c>
      <c r="BI39" s="4">
        <v>34.25</v>
      </c>
      <c r="BJ39" s="4">
        <v>14.097079000000001</v>
      </c>
      <c r="BK39" s="4">
        <v>-4.6824999999999999E-2</v>
      </c>
      <c r="BL39" s="4">
        <v>14.162259000000001</v>
      </c>
      <c r="BM39" s="4">
        <v>200.56958399999999</v>
      </c>
      <c r="BN39" s="4">
        <v>1.004624</v>
      </c>
      <c r="BO39" s="4">
        <v>30.632498999999999</v>
      </c>
      <c r="BP39" s="4">
        <v>0.17592099999999999</v>
      </c>
      <c r="BQ39" s="4">
        <v>1.2450159999999999</v>
      </c>
      <c r="BR39" s="4">
        <v>13.412039</v>
      </c>
      <c r="BS39" s="4">
        <v>13.384999000000001</v>
      </c>
      <c r="BT39" s="4">
        <v>13.401825000000001</v>
      </c>
      <c r="BU39" s="4">
        <v>14.097079000000001</v>
      </c>
      <c r="BV39" s="4">
        <v>7.6770339999999999</v>
      </c>
      <c r="BW39" s="4">
        <v>0.87937600000000005</v>
      </c>
      <c r="BX39" s="4">
        <v>-1.373094</v>
      </c>
      <c r="BY39" s="4">
        <v>0.54458300000000004</v>
      </c>
      <c r="BZ39" s="4">
        <v>0.114546</v>
      </c>
      <c r="CA39" s="4">
        <v>-0.17885699999999999</v>
      </c>
      <c r="CB39" s="4">
        <v>-0.28999999999999998</v>
      </c>
      <c r="CC39" s="4">
        <v>-0.17</v>
      </c>
      <c r="CD39" s="4">
        <v>-9.0999999999999998E-2</v>
      </c>
      <c r="CE39" s="4">
        <v>-0.01</v>
      </c>
      <c r="CF39" s="4">
        <v>2.2499999999999999E-2</v>
      </c>
      <c r="CG39" s="4">
        <v>0.06</v>
      </c>
      <c r="CH39" s="4">
        <v>0.14000000000000001</v>
      </c>
      <c r="CI39" s="4">
        <v>13.355</v>
      </c>
      <c r="CJ39" s="4">
        <v>20.844000000000001</v>
      </c>
      <c r="CK39" s="4">
        <v>27.693000999999999</v>
      </c>
      <c r="CL39" s="4">
        <v>30.654999</v>
      </c>
      <c r="CM39" s="4">
        <v>31.441998999999999</v>
      </c>
      <c r="CN39" s="4">
        <v>32.451000000000001</v>
      </c>
      <c r="CO39" s="4">
        <v>32.869999</v>
      </c>
      <c r="CP39" s="4">
        <v>33.585101999999999</v>
      </c>
      <c r="CQ39" s="4">
        <v>0.42172399999999999</v>
      </c>
      <c r="CR39" s="4">
        <v>19.979381</v>
      </c>
      <c r="CS39" s="4">
        <v>22.752267</v>
      </c>
      <c r="CT39" s="1">
        <v>1</v>
      </c>
      <c r="CU39" s="1">
        <v>51</v>
      </c>
      <c r="CV39" s="4">
        <v>12.866667</v>
      </c>
      <c r="CW39" s="4">
        <v>1</v>
      </c>
      <c r="CX39" s="4">
        <v>11.150839</v>
      </c>
      <c r="CY39" s="4">
        <v>124.341217</v>
      </c>
      <c r="CZ39" s="4">
        <v>0.86664600000000003</v>
      </c>
      <c r="DA39" s="4">
        <v>12</v>
      </c>
      <c r="DB39" s="4">
        <v>1.2444930000000001</v>
      </c>
      <c r="DC39" s="4">
        <v>3.804897</v>
      </c>
      <c r="DD39" s="4">
        <v>8.6772530000000003</v>
      </c>
      <c r="DE39" s="4">
        <v>12.866667</v>
      </c>
      <c r="DF39" s="4">
        <v>5.8938100000000002</v>
      </c>
      <c r="DG39" s="4">
        <v>1.7485280000000001</v>
      </c>
      <c r="DH39" s="4">
        <v>0.76278900000000005</v>
      </c>
      <c r="DI39" s="4">
        <v>0.45806799999999998</v>
      </c>
      <c r="DJ39" s="4">
        <v>0.29667199999999999</v>
      </c>
      <c r="DK39" s="4">
        <v>0.12942200000000001</v>
      </c>
      <c r="DL39" s="4">
        <v>1</v>
      </c>
      <c r="DM39" s="4">
        <v>1</v>
      </c>
      <c r="DN39" s="4">
        <v>2</v>
      </c>
      <c r="DO39" s="4">
        <v>4</v>
      </c>
      <c r="DP39" s="4">
        <v>5</v>
      </c>
      <c r="DQ39" s="4">
        <v>5</v>
      </c>
      <c r="DR39" s="4">
        <v>7</v>
      </c>
      <c r="DS39" s="4">
        <v>10</v>
      </c>
      <c r="DT39" s="4">
        <v>12</v>
      </c>
      <c r="DU39" s="4">
        <v>15</v>
      </c>
      <c r="DV39" s="4">
        <v>17</v>
      </c>
      <c r="DW39" s="4">
        <v>20</v>
      </c>
      <c r="DX39" s="4">
        <v>31</v>
      </c>
      <c r="DY39" s="4">
        <v>38</v>
      </c>
      <c r="DZ39" s="4">
        <v>44.510010000000001</v>
      </c>
      <c r="EA39" s="4">
        <v>83.140878000000001</v>
      </c>
      <c r="EB39" s="4">
        <v>53.151515000000003</v>
      </c>
      <c r="EC39" s="4">
        <v>101.270208</v>
      </c>
      <c r="ED39" s="4">
        <v>720</v>
      </c>
      <c r="EE39" s="4">
        <v>877</v>
      </c>
      <c r="EF39" s="4">
        <v>80.369515000000007</v>
      </c>
      <c r="EG39" s="4">
        <v>99.191686000000004</v>
      </c>
      <c r="EH39" s="4">
        <v>49.636364</v>
      </c>
      <c r="EI39" s="4">
        <v>83.696969999999993</v>
      </c>
      <c r="EJ39" s="4">
        <v>94.572748000000004</v>
      </c>
      <c r="EK39" s="4">
        <v>159.46882199999999</v>
      </c>
      <c r="EL39" s="4">
        <v>696</v>
      </c>
      <c r="EM39" s="4">
        <v>859</v>
      </c>
      <c r="EN39" s="4">
        <v>819</v>
      </c>
      <c r="EO39" s="4">
        <v>1381</v>
      </c>
      <c r="EP39" s="4">
        <v>866</v>
      </c>
      <c r="EQ39" s="4">
        <v>1650</v>
      </c>
      <c r="ER39" s="4">
        <v>41.122689999999999</v>
      </c>
    </row>
    <row r="40" spans="1:148" x14ac:dyDescent="0.2">
      <c r="A40" s="1">
        <v>2022</v>
      </c>
      <c r="B40" s="1" t="str">
        <f t="shared" si="0"/>
        <v>RD</v>
      </c>
      <c r="C40" s="1" t="s">
        <v>363</v>
      </c>
      <c r="D40" s="1" t="s">
        <v>363</v>
      </c>
      <c r="E40" s="1">
        <v>21781</v>
      </c>
      <c r="F40" s="1" t="s">
        <v>2059</v>
      </c>
      <c r="G40" s="1" t="s">
        <v>346</v>
      </c>
      <c r="H40" s="1" t="s">
        <v>360</v>
      </c>
      <c r="I40" s="1">
        <v>33.81</v>
      </c>
      <c r="J40" s="1">
        <v>33.81</v>
      </c>
      <c r="K40" s="1" t="s">
        <v>226</v>
      </c>
      <c r="L40" s="1">
        <v>1</v>
      </c>
      <c r="M40" s="1">
        <v>2013</v>
      </c>
      <c r="N40" s="1">
        <v>1</v>
      </c>
      <c r="O40" s="1">
        <v>2</v>
      </c>
      <c r="P40" s="1" t="str">
        <f t="shared" si="1"/>
        <v>Talhadia</v>
      </c>
      <c r="Q40" s="2">
        <v>41519</v>
      </c>
      <c r="R40" s="1" t="s">
        <v>306</v>
      </c>
      <c r="S40" s="1" t="s">
        <v>250</v>
      </c>
      <c r="T40" s="1" t="s">
        <v>2268</v>
      </c>
      <c r="U40" s="1" t="s">
        <v>228</v>
      </c>
      <c r="V40" s="1" t="s">
        <v>152</v>
      </c>
      <c r="W40" s="2">
        <v>44680</v>
      </c>
      <c r="X40" s="1" t="s">
        <v>349</v>
      </c>
      <c r="Y40" s="1">
        <v>33.81</v>
      </c>
      <c r="Z40" s="1">
        <v>18.8</v>
      </c>
      <c r="AA40" s="1">
        <v>13</v>
      </c>
      <c r="AB40" s="1">
        <v>14.2</v>
      </c>
      <c r="AC40" s="1">
        <v>0</v>
      </c>
      <c r="AD40" s="3">
        <v>266.95999999999998</v>
      </c>
      <c r="AE40" s="3">
        <v>260.11783249506601</v>
      </c>
      <c r="AF40" s="2">
        <v>44680</v>
      </c>
      <c r="AG40" s="1">
        <v>103</v>
      </c>
      <c r="AH40" s="3">
        <v>8.6543463381245704</v>
      </c>
      <c r="AI40" s="4">
        <v>29.1432402436233</v>
      </c>
      <c r="AJ40" s="4">
        <v>16.6636363636364</v>
      </c>
      <c r="AK40" s="4">
        <v>19.248816462044299</v>
      </c>
      <c r="AL40" s="1">
        <v>22</v>
      </c>
      <c r="AM40" s="5">
        <v>845.77054133408103</v>
      </c>
      <c r="AN40" s="4">
        <v>260.99436812004598</v>
      </c>
      <c r="AO40" s="4">
        <v>0.30858767876729898</v>
      </c>
      <c r="AP40" s="1" t="s">
        <v>250</v>
      </c>
      <c r="AQ40" s="1" t="s">
        <v>254</v>
      </c>
      <c r="AR40" s="1" t="s">
        <v>282</v>
      </c>
      <c r="AS40" s="1">
        <v>9.99</v>
      </c>
      <c r="AT40" s="4">
        <v>0.84492477079274697</v>
      </c>
      <c r="AU40" s="1" t="s">
        <v>364</v>
      </c>
      <c r="AV40" s="1" t="s">
        <v>365</v>
      </c>
      <c r="AW40" s="1">
        <v>1735</v>
      </c>
      <c r="AX40" s="1">
        <v>992</v>
      </c>
      <c r="AY40" s="1">
        <v>626</v>
      </c>
      <c r="AZ40" s="1">
        <v>113</v>
      </c>
      <c r="BA40" s="1">
        <v>4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4">
        <v>-0.9</v>
      </c>
      <c r="BI40" s="4">
        <v>32.75</v>
      </c>
      <c r="BJ40" s="4">
        <v>12.032408999999999</v>
      </c>
      <c r="BK40" s="4">
        <v>-0.365873</v>
      </c>
      <c r="BL40" s="4">
        <v>13.637494999999999</v>
      </c>
      <c r="BM40" s="4">
        <v>185.98127400000001</v>
      </c>
      <c r="BN40" s="4">
        <v>1.133397</v>
      </c>
      <c r="BO40" s="4">
        <v>27.704999999999998</v>
      </c>
      <c r="BP40" s="4">
        <v>0.38145000000000001</v>
      </c>
      <c r="BQ40" s="4">
        <v>1.301031</v>
      </c>
      <c r="BR40" s="4">
        <v>13.033554000000001</v>
      </c>
      <c r="BS40" s="4">
        <v>0.45</v>
      </c>
      <c r="BT40" s="4">
        <v>0.58587299999999998</v>
      </c>
      <c r="BU40" s="4">
        <v>12.032408999999999</v>
      </c>
      <c r="BV40" s="4">
        <v>7.1982749999999998</v>
      </c>
      <c r="BW40" s="4">
        <v>1.4881409999999999</v>
      </c>
      <c r="BX40" s="4">
        <v>-1.1304000000000001</v>
      </c>
      <c r="BY40" s="4">
        <v>0.59824100000000002</v>
      </c>
      <c r="BZ40" s="4">
        <v>0.206736</v>
      </c>
      <c r="CA40" s="4">
        <v>-0.15703800000000001</v>
      </c>
      <c r="CB40" s="4">
        <v>-0.35</v>
      </c>
      <c r="CC40" s="4">
        <v>-0.17299999999999999</v>
      </c>
      <c r="CD40" s="4">
        <v>-0.11</v>
      </c>
      <c r="CE40" s="4">
        <v>-0.03</v>
      </c>
      <c r="CF40" s="4">
        <v>0</v>
      </c>
      <c r="CG40" s="4">
        <v>0.03</v>
      </c>
      <c r="CH40" s="4">
        <v>0.1</v>
      </c>
      <c r="CI40" s="4">
        <v>0.22</v>
      </c>
      <c r="CJ40" s="4">
        <v>18.049999</v>
      </c>
      <c r="CK40" s="4">
        <v>25.820004999999998</v>
      </c>
      <c r="CL40" s="4">
        <v>27.704999999999998</v>
      </c>
      <c r="CM40" s="4">
        <v>29.685998999999999</v>
      </c>
      <c r="CN40" s="4">
        <v>30.901999</v>
      </c>
      <c r="CO40" s="4">
        <v>31.533000999999999</v>
      </c>
      <c r="CP40" s="4">
        <v>32.360000999999997</v>
      </c>
      <c r="CQ40" s="4">
        <v>0.38432100000000002</v>
      </c>
      <c r="CR40" s="4">
        <v>18.183865000000001</v>
      </c>
      <c r="CS40" s="4">
        <v>21.118372000000001</v>
      </c>
      <c r="CT40" s="1">
        <v>1</v>
      </c>
      <c r="CU40" s="1">
        <v>53</v>
      </c>
      <c r="CV40" s="4">
        <v>15.858790000000001</v>
      </c>
      <c r="CW40" s="4">
        <v>1</v>
      </c>
      <c r="CX40" s="4">
        <v>14.128598999999999</v>
      </c>
      <c r="CY40" s="4">
        <v>199.61730299999999</v>
      </c>
      <c r="CZ40" s="4">
        <v>0.89090000000000003</v>
      </c>
      <c r="DA40" s="4">
        <v>20</v>
      </c>
      <c r="DB40" s="4">
        <v>0.90671400000000002</v>
      </c>
      <c r="DC40" s="4">
        <v>2.4726020000000002</v>
      </c>
      <c r="DD40" s="4">
        <v>11.829514</v>
      </c>
      <c r="DE40" s="4">
        <v>15.858790000000001</v>
      </c>
      <c r="DF40" s="4">
        <v>7.6386149999999997</v>
      </c>
      <c r="DG40" s="4">
        <v>2.1160420000000002</v>
      </c>
      <c r="DH40" s="4">
        <v>0.34966900000000001</v>
      </c>
      <c r="DI40" s="4">
        <v>0.48166399999999998</v>
      </c>
      <c r="DJ40" s="4">
        <v>0.27701900000000002</v>
      </c>
      <c r="DK40" s="4">
        <v>4.5775999999999997E-2</v>
      </c>
      <c r="DL40" s="4">
        <v>1</v>
      </c>
      <c r="DM40" s="4">
        <v>1</v>
      </c>
      <c r="DN40" s="4">
        <v>2</v>
      </c>
      <c r="DO40" s="4">
        <v>4</v>
      </c>
      <c r="DP40" s="4">
        <v>5</v>
      </c>
      <c r="DQ40" s="4">
        <v>6</v>
      </c>
      <c r="DR40" s="4">
        <v>8</v>
      </c>
      <c r="DS40" s="4">
        <v>10</v>
      </c>
      <c r="DT40" s="4">
        <v>14</v>
      </c>
      <c r="DU40" s="4">
        <v>20</v>
      </c>
      <c r="DV40" s="4">
        <v>25</v>
      </c>
      <c r="DW40" s="4">
        <v>31</v>
      </c>
      <c r="DX40" s="4">
        <v>40</v>
      </c>
      <c r="DY40" s="4">
        <v>44</v>
      </c>
      <c r="DZ40" s="4">
        <v>48</v>
      </c>
      <c r="EA40" s="4">
        <v>68.145161000000002</v>
      </c>
      <c r="EB40" s="4">
        <v>47.146974</v>
      </c>
      <c r="EC40" s="4">
        <v>82.459676999999999</v>
      </c>
      <c r="ED40" s="4">
        <v>676</v>
      </c>
      <c r="EE40" s="4">
        <v>818</v>
      </c>
      <c r="EF40" s="4">
        <v>64.012096999999997</v>
      </c>
      <c r="EG40" s="4">
        <v>100</v>
      </c>
      <c r="EH40" s="4">
        <v>43.112392</v>
      </c>
      <c r="EI40" s="4">
        <v>99.193083999999999</v>
      </c>
      <c r="EJ40" s="4">
        <v>75.403226000000004</v>
      </c>
      <c r="EK40" s="4">
        <v>173.48790299999999</v>
      </c>
      <c r="EL40" s="4">
        <v>635</v>
      </c>
      <c r="EM40" s="4">
        <v>992</v>
      </c>
      <c r="EN40" s="4">
        <v>748</v>
      </c>
      <c r="EO40" s="4">
        <v>1721</v>
      </c>
      <c r="EP40" s="4">
        <v>992</v>
      </c>
      <c r="EQ40" s="4">
        <v>1735</v>
      </c>
      <c r="ER40" s="4">
        <v>36.27901</v>
      </c>
    </row>
    <row r="41" spans="1:148" x14ac:dyDescent="0.2">
      <c r="A41" s="1">
        <v>2022</v>
      </c>
      <c r="B41" s="1" t="str">
        <f t="shared" si="0"/>
        <v>RD</v>
      </c>
      <c r="C41" s="1" t="s">
        <v>366</v>
      </c>
      <c r="D41" s="1" t="s">
        <v>366</v>
      </c>
      <c r="E41" s="1">
        <v>21782</v>
      </c>
      <c r="F41" s="1" t="s">
        <v>2059</v>
      </c>
      <c r="G41" s="1" t="s">
        <v>346</v>
      </c>
      <c r="H41" s="1" t="s">
        <v>360</v>
      </c>
      <c r="I41" s="1">
        <v>33.81</v>
      </c>
      <c r="J41" s="1">
        <v>33.81</v>
      </c>
      <c r="K41" s="1" t="s">
        <v>226</v>
      </c>
      <c r="L41" s="1">
        <v>1</v>
      </c>
      <c r="M41" s="1">
        <v>2013</v>
      </c>
      <c r="N41" s="1">
        <v>1</v>
      </c>
      <c r="O41" s="1">
        <v>2</v>
      </c>
      <c r="P41" s="1" t="str">
        <f t="shared" si="1"/>
        <v>Talhadia</v>
      </c>
      <c r="Q41" s="2">
        <v>41519</v>
      </c>
      <c r="R41" s="1" t="s">
        <v>306</v>
      </c>
      <c r="S41" s="1" t="s">
        <v>250</v>
      </c>
      <c r="T41" s="1" t="s">
        <v>2268</v>
      </c>
      <c r="U41" s="1" t="s">
        <v>228</v>
      </c>
      <c r="V41" s="1" t="s">
        <v>152</v>
      </c>
      <c r="W41" s="2">
        <v>44680</v>
      </c>
      <c r="X41" s="1" t="s">
        <v>349</v>
      </c>
      <c r="Y41" s="1">
        <v>33.81</v>
      </c>
      <c r="Z41" s="1">
        <v>20.100000000000001</v>
      </c>
      <c r="AA41" s="1">
        <v>11</v>
      </c>
      <c r="AB41" s="1">
        <v>16.5</v>
      </c>
      <c r="AC41" s="1">
        <v>0</v>
      </c>
      <c r="AD41" s="3">
        <v>331.65</v>
      </c>
      <c r="AE41" s="3">
        <v>325.55665539041797</v>
      </c>
      <c r="AF41" s="2">
        <v>44680</v>
      </c>
      <c r="AG41" s="1">
        <v>103</v>
      </c>
      <c r="AH41" s="3">
        <v>8.6543463381245704</v>
      </c>
      <c r="AI41" s="4">
        <v>24.170345703196698</v>
      </c>
      <c r="AJ41" s="4">
        <v>15.3193548387097</v>
      </c>
      <c r="AK41" s="4">
        <v>18.510000343949699</v>
      </c>
      <c r="AL41" s="1">
        <v>31</v>
      </c>
      <c r="AM41" s="5">
        <v>952.21521313467895</v>
      </c>
      <c r="AN41" s="4">
        <v>206.32024967123101</v>
      </c>
      <c r="AO41" s="4">
        <v>0.216673969104135</v>
      </c>
      <c r="AP41" s="1" t="s">
        <v>250</v>
      </c>
      <c r="AQ41" s="1" t="s">
        <v>254</v>
      </c>
      <c r="AR41" s="1" t="s">
        <v>282</v>
      </c>
      <c r="AS41" s="1">
        <v>9.99</v>
      </c>
      <c r="AT41" s="4">
        <v>0.95126299792154423</v>
      </c>
      <c r="AU41" s="1" t="s">
        <v>367</v>
      </c>
      <c r="AV41" s="1" t="s">
        <v>368</v>
      </c>
      <c r="AW41" s="1">
        <v>1616</v>
      </c>
      <c r="AX41" s="1">
        <v>874</v>
      </c>
      <c r="AY41" s="1">
        <v>649</v>
      </c>
      <c r="AZ41" s="1">
        <v>90</v>
      </c>
      <c r="BA41" s="1">
        <v>3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4">
        <v>-0.68</v>
      </c>
      <c r="BI41" s="4">
        <v>31.77</v>
      </c>
      <c r="BJ41" s="4">
        <v>11.659219999999999</v>
      </c>
      <c r="BK41" s="4">
        <v>-0.16492100000000001</v>
      </c>
      <c r="BL41" s="4">
        <v>11.864630999999999</v>
      </c>
      <c r="BM41" s="4">
        <v>140.769473</v>
      </c>
      <c r="BN41" s="4">
        <v>1.0176179999999999</v>
      </c>
      <c r="BO41" s="4">
        <v>24.259999000000001</v>
      </c>
      <c r="BP41" s="4">
        <v>0.14132800000000001</v>
      </c>
      <c r="BQ41" s="4">
        <v>1.139224</v>
      </c>
      <c r="BR41" s="4">
        <v>11.562462999999999</v>
      </c>
      <c r="BS41" s="4">
        <v>5.415</v>
      </c>
      <c r="BT41" s="4">
        <v>5.2349209999999999</v>
      </c>
      <c r="BU41" s="4">
        <v>11.659219999999999</v>
      </c>
      <c r="BV41" s="4">
        <v>6.3111730000000001</v>
      </c>
      <c r="BW41" s="4">
        <v>0.61555700000000002</v>
      </c>
      <c r="BX41" s="4">
        <v>-1.2049840000000001</v>
      </c>
      <c r="BY41" s="4">
        <v>0.54130299999999998</v>
      </c>
      <c r="BZ41" s="4">
        <v>9.7533999999999996E-2</v>
      </c>
      <c r="CA41" s="4">
        <v>-0.19092899999999999</v>
      </c>
      <c r="CB41" s="4">
        <v>-0.40849999999999997</v>
      </c>
      <c r="CC41" s="4">
        <v>-0.18</v>
      </c>
      <c r="CD41" s="4">
        <v>-0.09</v>
      </c>
      <c r="CE41" s="4">
        <v>0.01</v>
      </c>
      <c r="CF41" s="4">
        <v>0.05</v>
      </c>
      <c r="CG41" s="4">
        <v>0.1</v>
      </c>
      <c r="CH41" s="4">
        <v>0.23</v>
      </c>
      <c r="CI41" s="4">
        <v>5.07</v>
      </c>
      <c r="CJ41" s="4">
        <v>21.1</v>
      </c>
      <c r="CK41" s="4">
        <v>23.865002</v>
      </c>
      <c r="CL41" s="4">
        <v>24.309999000000001</v>
      </c>
      <c r="CM41" s="4">
        <v>24.65</v>
      </c>
      <c r="CN41" s="4">
        <v>25.715</v>
      </c>
      <c r="CO41" s="4">
        <v>26.345001</v>
      </c>
      <c r="CP41" s="4">
        <v>29.912497999999999</v>
      </c>
      <c r="CQ41" s="4">
        <v>0.38025300000000001</v>
      </c>
      <c r="CR41" s="4">
        <v>16.631891</v>
      </c>
      <c r="CS41" s="4">
        <v>18.890930999999998</v>
      </c>
      <c r="CT41" s="1">
        <v>1</v>
      </c>
      <c r="CU41" s="1">
        <v>50</v>
      </c>
      <c r="CV41" s="4">
        <v>12.781559</v>
      </c>
      <c r="CW41" s="4">
        <v>1</v>
      </c>
      <c r="CX41" s="4">
        <v>10.661522</v>
      </c>
      <c r="CY41" s="4">
        <v>113.66804399999999</v>
      </c>
      <c r="CZ41" s="4">
        <v>0.83413300000000001</v>
      </c>
      <c r="DA41" s="4">
        <v>11</v>
      </c>
      <c r="DB41" s="4">
        <v>1.2479880000000001</v>
      </c>
      <c r="DC41" s="4">
        <v>3.963527</v>
      </c>
      <c r="DD41" s="4">
        <v>8.1499760000000006</v>
      </c>
      <c r="DE41" s="4">
        <v>12.781559</v>
      </c>
      <c r="DF41" s="4">
        <v>5.6453790000000001</v>
      </c>
      <c r="DG41" s="4">
        <v>1.5706770000000001</v>
      </c>
      <c r="DH41" s="4">
        <v>0.80196999999999996</v>
      </c>
      <c r="DI41" s="4">
        <v>0.44168200000000002</v>
      </c>
      <c r="DJ41" s="4">
        <v>0.278223</v>
      </c>
      <c r="DK41" s="4">
        <v>0.14205799999999999</v>
      </c>
      <c r="DL41" s="4">
        <v>1</v>
      </c>
      <c r="DM41" s="4">
        <v>1</v>
      </c>
      <c r="DN41" s="4">
        <v>2</v>
      </c>
      <c r="DO41" s="4">
        <v>4</v>
      </c>
      <c r="DP41" s="4">
        <v>5</v>
      </c>
      <c r="DQ41" s="4">
        <v>6</v>
      </c>
      <c r="DR41" s="4">
        <v>8</v>
      </c>
      <c r="DS41" s="4">
        <v>10</v>
      </c>
      <c r="DT41" s="4">
        <v>12</v>
      </c>
      <c r="DU41" s="4">
        <v>15</v>
      </c>
      <c r="DV41" s="4">
        <v>16</v>
      </c>
      <c r="DW41" s="4">
        <v>19</v>
      </c>
      <c r="DX41" s="4">
        <v>30</v>
      </c>
      <c r="DY41" s="4">
        <v>36</v>
      </c>
      <c r="DZ41" s="4">
        <v>44.849975999999998</v>
      </c>
      <c r="EA41" s="4">
        <v>82.494279000000006</v>
      </c>
      <c r="EB41" s="4">
        <v>50.618811999999998</v>
      </c>
      <c r="EC41" s="4">
        <v>93.592676999999995</v>
      </c>
      <c r="ED41" s="4">
        <v>721</v>
      </c>
      <c r="EE41" s="4">
        <v>818</v>
      </c>
      <c r="EF41" s="4">
        <v>81.121280999999996</v>
      </c>
      <c r="EG41" s="4">
        <v>100</v>
      </c>
      <c r="EH41" s="4">
        <v>48.391089000000001</v>
      </c>
      <c r="EI41" s="4">
        <v>94.368812000000005</v>
      </c>
      <c r="EJ41" s="4">
        <v>89.473684000000006</v>
      </c>
      <c r="EK41" s="4">
        <v>174.48512600000001</v>
      </c>
      <c r="EL41" s="4">
        <v>709</v>
      </c>
      <c r="EM41" s="4">
        <v>874</v>
      </c>
      <c r="EN41" s="4">
        <v>782</v>
      </c>
      <c r="EO41" s="4">
        <v>1525</v>
      </c>
      <c r="EP41" s="4">
        <v>874</v>
      </c>
      <c r="EQ41" s="4">
        <v>1616</v>
      </c>
      <c r="ER41" s="4">
        <v>38.002232999999997</v>
      </c>
    </row>
    <row r="42" spans="1:148" x14ac:dyDescent="0.2">
      <c r="A42" s="1">
        <v>2022</v>
      </c>
      <c r="B42" s="1" t="str">
        <f t="shared" si="0"/>
        <v>GN</v>
      </c>
      <c r="C42" s="1" t="s">
        <v>369</v>
      </c>
      <c r="D42" s="1" t="s">
        <v>369</v>
      </c>
      <c r="E42" s="1">
        <v>22088</v>
      </c>
      <c r="F42" s="1" t="s">
        <v>2060</v>
      </c>
      <c r="G42" s="1" t="s">
        <v>370</v>
      </c>
      <c r="H42" s="1" t="s">
        <v>371</v>
      </c>
      <c r="I42" s="1">
        <v>86.69</v>
      </c>
      <c r="J42" s="1">
        <v>86.69</v>
      </c>
      <c r="K42" s="1" t="s">
        <v>192</v>
      </c>
      <c r="L42" s="1">
        <v>1</v>
      </c>
      <c r="M42" s="1">
        <v>2014</v>
      </c>
      <c r="N42" s="1">
        <v>1</v>
      </c>
      <c r="O42" s="1">
        <v>2</v>
      </c>
      <c r="P42" s="1" t="str">
        <f t="shared" si="1"/>
        <v>Talhadia</v>
      </c>
      <c r="Q42" s="2">
        <v>41961</v>
      </c>
      <c r="R42" s="1" t="s">
        <v>306</v>
      </c>
      <c r="S42" s="1" t="s">
        <v>150</v>
      </c>
      <c r="T42" s="1" t="s">
        <v>2268</v>
      </c>
      <c r="U42" s="1" t="s">
        <v>192</v>
      </c>
      <c r="V42" s="1" t="s">
        <v>152</v>
      </c>
      <c r="W42" s="2">
        <v>44705</v>
      </c>
      <c r="X42" s="1" t="s">
        <v>372</v>
      </c>
      <c r="Y42" s="1">
        <v>511.69</v>
      </c>
      <c r="Z42" s="1">
        <v>18.899999999999999</v>
      </c>
      <c r="AA42" s="1">
        <v>5</v>
      </c>
      <c r="AB42" s="1">
        <v>13.7</v>
      </c>
      <c r="AC42" s="1">
        <v>4</v>
      </c>
      <c r="AD42" s="3">
        <v>258.93</v>
      </c>
      <c r="AE42" s="3">
        <v>257.31635286857198</v>
      </c>
      <c r="AF42" s="2">
        <v>44705</v>
      </c>
      <c r="AG42" s="1">
        <v>90</v>
      </c>
      <c r="AH42" s="3">
        <v>7.5126625598904901</v>
      </c>
      <c r="AI42" s="4">
        <v>24.913753027405001</v>
      </c>
      <c r="AJ42" s="4">
        <v>18.100000000000001</v>
      </c>
      <c r="AK42" s="4">
        <v>24.5164174703146</v>
      </c>
      <c r="AL42" s="1">
        <v>22</v>
      </c>
      <c r="AM42" s="5">
        <v>854.97869664104996</v>
      </c>
      <c r="AN42" s="4">
        <v>296.275139595312</v>
      </c>
      <c r="AO42" s="4">
        <v>0.34652926530132999</v>
      </c>
      <c r="AP42" s="1" t="s">
        <v>150</v>
      </c>
      <c r="AQ42" s="1" t="s">
        <v>254</v>
      </c>
      <c r="AR42" s="1" t="s">
        <v>375</v>
      </c>
      <c r="AS42" s="1">
        <v>9.99</v>
      </c>
      <c r="AT42" s="4">
        <v>0.85412371794440889</v>
      </c>
      <c r="AU42" s="1" t="s">
        <v>373</v>
      </c>
      <c r="AV42" s="1" t="s">
        <v>374</v>
      </c>
      <c r="AW42" s="1">
        <v>1616</v>
      </c>
      <c r="AX42" s="1">
        <v>1616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4">
        <v>-0.314</v>
      </c>
      <c r="BI42" s="4">
        <v>34.993000000000002</v>
      </c>
      <c r="BJ42" s="4">
        <v>28.018782999999999</v>
      </c>
      <c r="BK42" s="4">
        <v>33.311714000000002</v>
      </c>
      <c r="BL42" s="4">
        <v>5.71854</v>
      </c>
      <c r="BM42" s="4">
        <v>32.701695999999998</v>
      </c>
      <c r="BN42" s="4">
        <v>0.204097</v>
      </c>
      <c r="BO42" s="4">
        <v>6.3137470000000002</v>
      </c>
      <c r="BP42" s="4">
        <v>-2.0565869999999999</v>
      </c>
      <c r="BQ42" s="4">
        <v>9.584149</v>
      </c>
      <c r="BR42" s="4">
        <v>4.0843489999999996</v>
      </c>
      <c r="BS42" s="4">
        <v>3.1419999999999999</v>
      </c>
      <c r="BT42" s="4">
        <v>4.2557140000000002</v>
      </c>
      <c r="BU42" s="4">
        <v>28.018782999999999</v>
      </c>
      <c r="BV42" s="4">
        <v>2.8741110000000001</v>
      </c>
      <c r="BW42" s="4">
        <v>-0.77604799999999996</v>
      </c>
      <c r="BX42" s="4">
        <v>0.48837000000000003</v>
      </c>
      <c r="BY42" s="4">
        <v>0.102578</v>
      </c>
      <c r="BZ42" s="4">
        <v>-0.270013</v>
      </c>
      <c r="CA42" s="4">
        <v>0.16991999999999999</v>
      </c>
      <c r="CB42" s="4">
        <v>4.3549999999999998E-2</v>
      </c>
      <c r="CC42" s="4">
        <v>17.745999999999999</v>
      </c>
      <c r="CD42" s="4">
        <v>21.7575</v>
      </c>
      <c r="CE42" s="4">
        <v>23.947001</v>
      </c>
      <c r="CF42" s="4">
        <v>25.82225</v>
      </c>
      <c r="CG42" s="4">
        <v>26.829498000000001</v>
      </c>
      <c r="CH42" s="4">
        <v>28.082999999999998</v>
      </c>
      <c r="CI42" s="4">
        <v>29.056000000000001</v>
      </c>
      <c r="CJ42" s="4">
        <v>30.207999999999998</v>
      </c>
      <c r="CK42" s="4">
        <v>31.672001000000002</v>
      </c>
      <c r="CL42" s="4">
        <v>32.135998000000001</v>
      </c>
      <c r="CM42" s="4">
        <v>32.651001000000001</v>
      </c>
      <c r="CN42" s="4">
        <v>33.561000999999997</v>
      </c>
      <c r="CO42" s="4">
        <v>33.989750000000001</v>
      </c>
      <c r="CP42" s="4">
        <v>34.499099999999999</v>
      </c>
      <c r="CQ42" s="4">
        <v>0.80246899999999999</v>
      </c>
      <c r="CR42" s="4">
        <v>28.596043000000002</v>
      </c>
      <c r="CS42" s="4">
        <v>28.98807</v>
      </c>
      <c r="CT42" s="1">
        <v>1</v>
      </c>
      <c r="CU42" s="1">
        <v>44</v>
      </c>
      <c r="CV42" s="4">
        <v>14.470297</v>
      </c>
      <c r="CW42" s="4">
        <v>12.603175</v>
      </c>
      <c r="CX42" s="4">
        <v>8.0547880000000003</v>
      </c>
      <c r="CY42" s="4">
        <v>64.879613000000006</v>
      </c>
      <c r="CZ42" s="4">
        <v>0.556643</v>
      </c>
      <c r="DA42" s="4">
        <v>10</v>
      </c>
      <c r="DB42" s="4">
        <v>0.70067999999999997</v>
      </c>
      <c r="DC42" s="4">
        <v>3.4241329999999999</v>
      </c>
      <c r="DD42" s="4">
        <v>6.2922630000000002</v>
      </c>
      <c r="DE42" s="4">
        <v>14.470297</v>
      </c>
      <c r="DF42" s="4">
        <v>4.4684429999999997</v>
      </c>
      <c r="DG42" s="4">
        <v>0.55139700000000003</v>
      </c>
      <c r="DH42" s="4">
        <v>0.62585199999999996</v>
      </c>
      <c r="DI42" s="4">
        <v>0.30880099999999999</v>
      </c>
      <c r="DJ42" s="4">
        <v>0.12339799999999999</v>
      </c>
      <c r="DK42" s="4">
        <v>0.14005999999999999</v>
      </c>
      <c r="DL42" s="4">
        <v>1</v>
      </c>
      <c r="DM42" s="4">
        <v>3</v>
      </c>
      <c r="DN42" s="4">
        <v>5</v>
      </c>
      <c r="DO42" s="4">
        <v>8</v>
      </c>
      <c r="DP42" s="4">
        <v>9</v>
      </c>
      <c r="DQ42" s="4">
        <v>10</v>
      </c>
      <c r="DR42" s="4">
        <v>12</v>
      </c>
      <c r="DS42" s="4">
        <v>13</v>
      </c>
      <c r="DT42" s="4">
        <v>15</v>
      </c>
      <c r="DU42" s="4">
        <v>18</v>
      </c>
      <c r="DV42" s="4">
        <v>19</v>
      </c>
      <c r="DW42" s="4">
        <v>20</v>
      </c>
      <c r="DX42" s="4">
        <v>26</v>
      </c>
      <c r="DY42" s="4">
        <v>30</v>
      </c>
      <c r="DZ42" s="4">
        <v>37</v>
      </c>
      <c r="EA42" s="4">
        <v>98.638614000000004</v>
      </c>
      <c r="EB42" s="4">
        <v>98.638614000000004</v>
      </c>
      <c r="EC42" s="4">
        <v>98.638614000000004</v>
      </c>
      <c r="ED42" s="4">
        <v>1594</v>
      </c>
      <c r="EE42" s="4">
        <v>1594</v>
      </c>
      <c r="EF42" s="4">
        <v>60.643563999999998</v>
      </c>
      <c r="EG42" s="4">
        <v>12.933168</v>
      </c>
      <c r="EH42" s="4">
        <v>60.643563999999998</v>
      </c>
      <c r="EI42" s="4">
        <v>12.933168</v>
      </c>
      <c r="EJ42" s="4">
        <v>60.643563999999998</v>
      </c>
      <c r="EK42" s="4">
        <v>12.933168</v>
      </c>
      <c r="EL42" s="4">
        <v>980</v>
      </c>
      <c r="EM42" s="4">
        <v>209</v>
      </c>
      <c r="EN42" s="4">
        <v>980</v>
      </c>
      <c r="EO42" s="4">
        <v>209</v>
      </c>
      <c r="EP42" s="4">
        <v>1616</v>
      </c>
      <c r="EQ42" s="4">
        <v>1616</v>
      </c>
      <c r="ER42" s="4">
        <v>80.180195999999995</v>
      </c>
    </row>
    <row r="43" spans="1:148" x14ac:dyDescent="0.2">
      <c r="A43" s="1">
        <v>2022</v>
      </c>
      <c r="B43" s="1" t="str">
        <f t="shared" si="0"/>
        <v>GN</v>
      </c>
      <c r="C43" s="1" t="s">
        <v>376</v>
      </c>
      <c r="D43" s="1" t="s">
        <v>376</v>
      </c>
      <c r="E43" s="1">
        <v>22089</v>
      </c>
      <c r="F43" s="1" t="s">
        <v>2060</v>
      </c>
      <c r="G43" s="1" t="s">
        <v>370</v>
      </c>
      <c r="H43" s="1" t="s">
        <v>371</v>
      </c>
      <c r="I43" s="1">
        <v>86.69</v>
      </c>
      <c r="J43" s="1">
        <v>86.69</v>
      </c>
      <c r="K43" s="1" t="s">
        <v>192</v>
      </c>
      <c r="L43" s="1">
        <v>1</v>
      </c>
      <c r="M43" s="1">
        <v>2014</v>
      </c>
      <c r="N43" s="1">
        <v>1</v>
      </c>
      <c r="O43" s="1">
        <v>2</v>
      </c>
      <c r="P43" s="1" t="str">
        <f t="shared" si="1"/>
        <v>Talhadia</v>
      </c>
      <c r="Q43" s="2">
        <v>41961</v>
      </c>
      <c r="R43" s="1" t="s">
        <v>306</v>
      </c>
      <c r="S43" s="1" t="s">
        <v>150</v>
      </c>
      <c r="T43" s="1" t="s">
        <v>2268</v>
      </c>
      <c r="U43" s="1" t="s">
        <v>192</v>
      </c>
      <c r="V43" s="1" t="s">
        <v>152</v>
      </c>
      <c r="W43" s="2">
        <v>44705</v>
      </c>
      <c r="X43" s="1" t="s">
        <v>372</v>
      </c>
      <c r="Y43" s="1">
        <v>511.69</v>
      </c>
      <c r="Z43" s="1">
        <v>20</v>
      </c>
      <c r="AA43" s="1">
        <v>37</v>
      </c>
      <c r="AB43" s="1">
        <v>16</v>
      </c>
      <c r="AC43" s="1">
        <v>4</v>
      </c>
      <c r="AD43" s="3">
        <v>320</v>
      </c>
      <c r="AE43" s="3">
        <v>254.940823706911</v>
      </c>
      <c r="AF43" s="2">
        <v>44705</v>
      </c>
      <c r="AG43" s="1">
        <v>90</v>
      </c>
      <c r="AH43" s="3">
        <v>7.5126625598904901</v>
      </c>
      <c r="AI43" s="4">
        <v>20.404841093330301</v>
      </c>
      <c r="AJ43" s="4">
        <v>11.5945945945946</v>
      </c>
      <c r="AK43" s="4">
        <v>16.445988473330001</v>
      </c>
      <c r="AL43" s="1">
        <v>37</v>
      </c>
      <c r="AM43" s="5">
        <v>1451.31719047619</v>
      </c>
      <c r="AN43" s="4">
        <v>162.840086021367</v>
      </c>
      <c r="AO43" s="4">
        <v>0.11220158287241</v>
      </c>
      <c r="AP43" s="1" t="s">
        <v>150</v>
      </c>
      <c r="AQ43" s="1" t="s">
        <v>254</v>
      </c>
      <c r="AR43" s="1" t="s">
        <v>375</v>
      </c>
      <c r="AS43" s="1">
        <v>9.99</v>
      </c>
      <c r="AT43" s="4">
        <v>1.4498658732857139</v>
      </c>
      <c r="AU43" s="1" t="s">
        <v>377</v>
      </c>
      <c r="AV43" s="1" t="s">
        <v>378</v>
      </c>
      <c r="AW43" s="1">
        <v>1611</v>
      </c>
      <c r="AX43" s="1">
        <v>1611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4">
        <v>-1.02</v>
      </c>
      <c r="BI43" s="4">
        <v>22.365998999999999</v>
      </c>
      <c r="BJ43" s="4">
        <v>16.843945999999999</v>
      </c>
      <c r="BK43" s="4">
        <v>17.169111000000001</v>
      </c>
      <c r="BL43" s="4">
        <v>3.6200709999999998</v>
      </c>
      <c r="BM43" s="4">
        <v>13.104913</v>
      </c>
      <c r="BN43" s="4">
        <v>0.214918</v>
      </c>
      <c r="BO43" s="4">
        <v>2.8064990000000001</v>
      </c>
      <c r="BP43" s="4">
        <v>-2.5631300000000001</v>
      </c>
      <c r="BQ43" s="4">
        <v>12.338443</v>
      </c>
      <c r="BR43" s="4">
        <v>2.2652890000000001</v>
      </c>
      <c r="BS43" s="4">
        <v>1.4140010000000001</v>
      </c>
      <c r="BT43" s="4">
        <v>1.4438899999999999</v>
      </c>
      <c r="BU43" s="4">
        <v>16.843945999999999</v>
      </c>
      <c r="BV43" s="4">
        <v>1.689611</v>
      </c>
      <c r="BW43" s="4">
        <v>-0.43674499999999999</v>
      </c>
      <c r="BX43" s="4">
        <v>0.49903399999999998</v>
      </c>
      <c r="BY43" s="4">
        <v>0.10031</v>
      </c>
      <c r="BZ43" s="4">
        <v>-0.25848900000000002</v>
      </c>
      <c r="CA43" s="4">
        <v>0.29535499999999998</v>
      </c>
      <c r="CB43" s="4">
        <v>-0.21260000000000001</v>
      </c>
      <c r="CC43" s="4">
        <v>11.6195</v>
      </c>
      <c r="CD43" s="4">
        <v>13.589</v>
      </c>
      <c r="CE43" s="4">
        <v>15.497999999999999</v>
      </c>
      <c r="CF43" s="4">
        <v>15.981501</v>
      </c>
      <c r="CG43" s="4">
        <v>16.407</v>
      </c>
      <c r="CH43" s="4">
        <v>16.955998999999998</v>
      </c>
      <c r="CI43" s="4">
        <v>17.351998999999999</v>
      </c>
      <c r="CJ43" s="4">
        <v>17.839001</v>
      </c>
      <c r="CK43" s="4">
        <v>18.452000000000002</v>
      </c>
      <c r="CL43" s="4">
        <v>18.788</v>
      </c>
      <c r="CM43" s="4">
        <v>19.146000000000001</v>
      </c>
      <c r="CN43" s="4">
        <v>20.153998999999999</v>
      </c>
      <c r="CO43" s="4">
        <v>21.026001000000001</v>
      </c>
      <c r="CP43" s="4">
        <v>21.931301000000001</v>
      </c>
      <c r="CQ43" s="4">
        <v>0.76387400000000005</v>
      </c>
      <c r="CR43" s="4">
        <v>17.228328000000001</v>
      </c>
      <c r="CS43" s="4">
        <v>17.456181999999998</v>
      </c>
      <c r="CT43" s="1">
        <v>1</v>
      </c>
      <c r="CU43" s="1">
        <v>51</v>
      </c>
      <c r="CV43" s="4">
        <v>17.143388999999999</v>
      </c>
      <c r="CW43" s="4">
        <v>16.873016</v>
      </c>
      <c r="CX43" s="4">
        <v>8.2593019999999999</v>
      </c>
      <c r="CY43" s="4">
        <v>68.216072999999994</v>
      </c>
      <c r="CZ43" s="4">
        <v>0.48177799999999998</v>
      </c>
      <c r="DA43" s="4">
        <v>12</v>
      </c>
      <c r="DB43" s="4">
        <v>0.33998200000000001</v>
      </c>
      <c r="DC43" s="4">
        <v>3.2623090000000001</v>
      </c>
      <c r="DD43" s="4">
        <v>6.5962940000000003</v>
      </c>
      <c r="DE43" s="4">
        <v>17.143388999999999</v>
      </c>
      <c r="DF43" s="4">
        <v>4.6479559999999998</v>
      </c>
      <c r="DG43" s="4">
        <v>0.18460599999999999</v>
      </c>
      <c r="DH43" s="4">
        <v>0.53689399999999998</v>
      </c>
      <c r="DI43" s="4">
        <v>0.27112199999999997</v>
      </c>
      <c r="DJ43" s="4">
        <v>3.9718000000000003E-2</v>
      </c>
      <c r="DK43" s="4">
        <v>0.115512</v>
      </c>
      <c r="DL43" s="4">
        <v>1</v>
      </c>
      <c r="DM43" s="4">
        <v>4</v>
      </c>
      <c r="DN43" s="4">
        <v>6</v>
      </c>
      <c r="DO43" s="4">
        <v>10</v>
      </c>
      <c r="DP43" s="4">
        <v>11</v>
      </c>
      <c r="DQ43" s="4">
        <v>13</v>
      </c>
      <c r="DR43" s="4">
        <v>15</v>
      </c>
      <c r="DS43" s="4">
        <v>17</v>
      </c>
      <c r="DT43" s="4">
        <v>19</v>
      </c>
      <c r="DU43" s="4">
        <v>21</v>
      </c>
      <c r="DV43" s="4">
        <v>23</v>
      </c>
      <c r="DW43" s="4">
        <v>24</v>
      </c>
      <c r="DX43" s="4">
        <v>28</v>
      </c>
      <c r="DY43" s="4">
        <v>31</v>
      </c>
      <c r="DZ43" s="4">
        <v>38</v>
      </c>
      <c r="EA43" s="4">
        <v>97.703289999999996</v>
      </c>
      <c r="EB43" s="4">
        <v>97.703289999999996</v>
      </c>
      <c r="EC43" s="4">
        <v>97.703289999999996</v>
      </c>
      <c r="ED43" s="4">
        <v>1574</v>
      </c>
      <c r="EE43" s="4">
        <v>1574</v>
      </c>
      <c r="EF43" s="4">
        <v>62.507759</v>
      </c>
      <c r="EG43" s="4">
        <v>54.748603000000003</v>
      </c>
      <c r="EH43" s="4">
        <v>62.507759</v>
      </c>
      <c r="EI43" s="4">
        <v>54.748603000000003</v>
      </c>
      <c r="EJ43" s="4">
        <v>62.507759</v>
      </c>
      <c r="EK43" s="4">
        <v>54.748603000000003</v>
      </c>
      <c r="EL43" s="4">
        <v>1007</v>
      </c>
      <c r="EM43" s="4">
        <v>882</v>
      </c>
      <c r="EN43" s="4">
        <v>1007</v>
      </c>
      <c r="EO43" s="4">
        <v>882</v>
      </c>
      <c r="EP43" s="4">
        <v>1611</v>
      </c>
      <c r="EQ43" s="4">
        <v>1611</v>
      </c>
      <c r="ER43" s="4">
        <v>75.791113999999993</v>
      </c>
    </row>
    <row r="44" spans="1:148" x14ac:dyDescent="0.2">
      <c r="A44" s="1">
        <v>2022</v>
      </c>
      <c r="B44" s="1" t="str">
        <f t="shared" si="0"/>
        <v>GN</v>
      </c>
      <c r="C44" s="1" t="s">
        <v>379</v>
      </c>
      <c r="D44" s="1" t="s">
        <v>379</v>
      </c>
      <c r="E44" s="1">
        <v>22090</v>
      </c>
      <c r="F44" s="1" t="s">
        <v>2060</v>
      </c>
      <c r="G44" s="1" t="s">
        <v>370</v>
      </c>
      <c r="H44" s="1" t="s">
        <v>371</v>
      </c>
      <c r="I44" s="1">
        <v>86.69</v>
      </c>
      <c r="J44" s="1">
        <v>86.69</v>
      </c>
      <c r="K44" s="1" t="s">
        <v>192</v>
      </c>
      <c r="L44" s="1">
        <v>1</v>
      </c>
      <c r="M44" s="1">
        <v>2014</v>
      </c>
      <c r="N44" s="1">
        <v>1</v>
      </c>
      <c r="O44" s="1">
        <v>2</v>
      </c>
      <c r="P44" s="1" t="str">
        <f t="shared" si="1"/>
        <v>Talhadia</v>
      </c>
      <c r="Q44" s="2">
        <v>41961</v>
      </c>
      <c r="R44" s="1" t="s">
        <v>306</v>
      </c>
      <c r="S44" s="1" t="s">
        <v>150</v>
      </c>
      <c r="T44" s="1" t="s">
        <v>2268</v>
      </c>
      <c r="U44" s="1" t="s">
        <v>192</v>
      </c>
      <c r="V44" s="1" t="s">
        <v>152</v>
      </c>
      <c r="W44" s="2">
        <v>44705</v>
      </c>
      <c r="X44" s="1" t="s">
        <v>372</v>
      </c>
      <c r="Y44" s="1">
        <v>511.69</v>
      </c>
      <c r="Z44" s="1">
        <v>20.9</v>
      </c>
      <c r="AA44" s="1">
        <v>25</v>
      </c>
      <c r="AB44" s="1">
        <v>14.1</v>
      </c>
      <c r="AC44" s="1">
        <v>1</v>
      </c>
      <c r="AD44" s="3">
        <v>294.69</v>
      </c>
      <c r="AE44" s="3">
        <v>267.03916420830001</v>
      </c>
      <c r="AF44" s="2">
        <v>44705</v>
      </c>
      <c r="AG44" s="1">
        <v>90</v>
      </c>
      <c r="AH44" s="3">
        <v>7.5126625598904901</v>
      </c>
      <c r="AI44" s="4">
        <v>27.2737066368406</v>
      </c>
      <c r="AJ44" s="4">
        <v>17.320689655172401</v>
      </c>
      <c r="AK44" s="4">
        <v>28.1204539765588</v>
      </c>
      <c r="AL44" s="1">
        <v>29</v>
      </c>
      <c r="AM44" s="5">
        <v>1085.98302747005</v>
      </c>
      <c r="AN44" s="4">
        <v>374.104215656419</v>
      </c>
      <c r="AO44" s="4">
        <v>0.34448440370928202</v>
      </c>
      <c r="AP44" s="1" t="s">
        <v>150</v>
      </c>
      <c r="AQ44" s="1" t="s">
        <v>254</v>
      </c>
      <c r="AR44" s="1" t="s">
        <v>375</v>
      </c>
      <c r="AS44" s="1">
        <v>9.99</v>
      </c>
      <c r="AT44" s="4">
        <v>1.0848970444425801</v>
      </c>
      <c r="AU44" s="1" t="s">
        <v>380</v>
      </c>
      <c r="AV44" s="1" t="s">
        <v>381</v>
      </c>
      <c r="AW44" s="1">
        <v>1750</v>
      </c>
      <c r="AX44" s="1">
        <v>1750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4">
        <v>-0.68400000000000005</v>
      </c>
      <c r="BI44" s="4">
        <v>33.131000999999998</v>
      </c>
      <c r="BJ44" s="4">
        <v>27.840354999999999</v>
      </c>
      <c r="BK44" s="4">
        <v>28.837032000000001</v>
      </c>
      <c r="BL44" s="4">
        <v>5.6202180000000004</v>
      </c>
      <c r="BM44" s="4">
        <v>31.586846999999999</v>
      </c>
      <c r="BN44" s="4">
        <v>0.201873</v>
      </c>
      <c r="BO44" s="4">
        <v>2.6582509999999999</v>
      </c>
      <c r="BP44" s="4">
        <v>-3.2484169999999999</v>
      </c>
      <c r="BQ44" s="4">
        <v>14.755829</v>
      </c>
      <c r="BR44" s="4">
        <v>3.1616710000000001</v>
      </c>
      <c r="BS44" s="4">
        <v>1.3314999999999999</v>
      </c>
      <c r="BT44" s="4">
        <v>1.392468</v>
      </c>
      <c r="BU44" s="4">
        <v>27.840354999999999</v>
      </c>
      <c r="BV44" s="4">
        <v>2.2599260000000001</v>
      </c>
      <c r="BW44" s="4">
        <v>-1.0421819999999999</v>
      </c>
      <c r="BX44" s="4">
        <v>0.88207800000000003</v>
      </c>
      <c r="BY44" s="4">
        <v>8.1173999999999996E-2</v>
      </c>
      <c r="BZ44" s="4">
        <v>-0.46115800000000001</v>
      </c>
      <c r="CA44" s="4">
        <v>0.39031300000000002</v>
      </c>
      <c r="CB44" s="4">
        <v>-0.24299999999999999</v>
      </c>
      <c r="CC44" s="4">
        <v>16.460999999999999</v>
      </c>
      <c r="CD44" s="4">
        <v>24.471498</v>
      </c>
      <c r="CE44" s="4">
        <v>27.403600999999998</v>
      </c>
      <c r="CF44" s="4">
        <v>27.852499000000002</v>
      </c>
      <c r="CG44" s="4">
        <v>28.120100000000001</v>
      </c>
      <c r="CH44" s="4">
        <v>28.680599000000001</v>
      </c>
      <c r="CI44" s="4">
        <v>29.163499999999999</v>
      </c>
      <c r="CJ44" s="4">
        <v>29.672201000000001</v>
      </c>
      <c r="CK44" s="4">
        <v>30.200500000000002</v>
      </c>
      <c r="CL44" s="4">
        <v>30.510750000000002</v>
      </c>
      <c r="CM44" s="4">
        <v>30.815401000000001</v>
      </c>
      <c r="CN44" s="4">
        <v>31.7134</v>
      </c>
      <c r="CO44" s="4">
        <v>32.127997999999998</v>
      </c>
      <c r="CP44" s="4">
        <v>32.670527999999997</v>
      </c>
      <c r="CQ44" s="4">
        <v>0.84354099999999999</v>
      </c>
      <c r="CR44" s="4">
        <v>28.401658000000001</v>
      </c>
      <c r="CS44" s="4">
        <v>28.699611999999998</v>
      </c>
      <c r="CT44" s="1">
        <v>1</v>
      </c>
      <c r="CU44" s="1">
        <v>50</v>
      </c>
      <c r="CV44" s="4">
        <v>17.079999999999998</v>
      </c>
      <c r="CW44" s="4">
        <v>15.777778</v>
      </c>
      <c r="CX44" s="4">
        <v>7.7798030000000002</v>
      </c>
      <c r="CY44" s="4">
        <v>60.525328999999999</v>
      </c>
      <c r="CZ44" s="4">
        <v>0.45549200000000001</v>
      </c>
      <c r="DA44" s="4">
        <v>10</v>
      </c>
      <c r="DB44" s="4">
        <v>0.110125</v>
      </c>
      <c r="DC44" s="4">
        <v>3.2328540000000001</v>
      </c>
      <c r="DD44" s="4">
        <v>6.0673830000000004</v>
      </c>
      <c r="DE44" s="4">
        <v>17.079999999999998</v>
      </c>
      <c r="DF44" s="4">
        <v>4.3603800000000001</v>
      </c>
      <c r="DG44" s="4">
        <v>-3.4797000000000002E-2</v>
      </c>
      <c r="DH44" s="4">
        <v>0.60935099999999998</v>
      </c>
      <c r="DI44" s="4">
        <v>0.25529200000000002</v>
      </c>
      <c r="DJ44" s="4">
        <v>-7.9799999999999992E-3</v>
      </c>
      <c r="DK44" s="4">
        <v>0.13974700000000001</v>
      </c>
      <c r="DL44" s="4">
        <v>1</v>
      </c>
      <c r="DM44" s="4">
        <v>3</v>
      </c>
      <c r="DN44" s="4">
        <v>6</v>
      </c>
      <c r="DO44" s="4">
        <v>11</v>
      </c>
      <c r="DP44" s="4">
        <v>12</v>
      </c>
      <c r="DQ44" s="4">
        <v>14</v>
      </c>
      <c r="DR44" s="4">
        <v>16</v>
      </c>
      <c r="DS44" s="4">
        <v>17</v>
      </c>
      <c r="DT44" s="4">
        <v>19</v>
      </c>
      <c r="DU44" s="4">
        <v>21</v>
      </c>
      <c r="DV44" s="4">
        <v>22</v>
      </c>
      <c r="DW44" s="4">
        <v>23</v>
      </c>
      <c r="DX44" s="4">
        <v>27</v>
      </c>
      <c r="DY44" s="4">
        <v>30</v>
      </c>
      <c r="DZ44" s="4">
        <v>36</v>
      </c>
      <c r="EA44" s="4">
        <v>97.942857000000004</v>
      </c>
      <c r="EB44" s="4">
        <v>97.942857000000004</v>
      </c>
      <c r="EC44" s="4">
        <v>97.942857000000004</v>
      </c>
      <c r="ED44" s="4">
        <v>1714</v>
      </c>
      <c r="EE44" s="4">
        <v>1714</v>
      </c>
      <c r="EF44" s="4">
        <v>75.314285999999996</v>
      </c>
      <c r="EG44" s="4">
        <v>56.742857000000001</v>
      </c>
      <c r="EH44" s="4">
        <v>75.314285999999996</v>
      </c>
      <c r="EI44" s="4">
        <v>56.742857000000001</v>
      </c>
      <c r="EJ44" s="4">
        <v>75.314285999999996</v>
      </c>
      <c r="EK44" s="4">
        <v>56.742857000000001</v>
      </c>
      <c r="EL44" s="4">
        <v>1318</v>
      </c>
      <c r="EM44" s="4">
        <v>993</v>
      </c>
      <c r="EN44" s="4">
        <v>1318</v>
      </c>
      <c r="EO44" s="4">
        <v>993</v>
      </c>
      <c r="EP44" s="4">
        <v>1750</v>
      </c>
      <c r="EQ44" s="4">
        <v>1750</v>
      </c>
      <c r="ER44" s="4">
        <v>84.133011999999994</v>
      </c>
    </row>
    <row r="45" spans="1:148" x14ac:dyDescent="0.2">
      <c r="A45" s="1">
        <v>2022</v>
      </c>
      <c r="B45" s="1" t="str">
        <f t="shared" si="0"/>
        <v>GN</v>
      </c>
      <c r="C45" s="1" t="s">
        <v>382</v>
      </c>
      <c r="D45" s="1" t="s">
        <v>382</v>
      </c>
      <c r="E45" s="1">
        <v>22169</v>
      </c>
      <c r="F45" s="1" t="s">
        <v>2061</v>
      </c>
      <c r="G45" s="1" t="s">
        <v>383</v>
      </c>
      <c r="H45" s="1" t="s">
        <v>384</v>
      </c>
      <c r="I45" s="1">
        <v>40.58</v>
      </c>
      <c r="J45" s="1">
        <v>40.58</v>
      </c>
      <c r="K45" s="1" t="s">
        <v>192</v>
      </c>
      <c r="L45" s="1">
        <v>1</v>
      </c>
      <c r="M45" s="1">
        <v>2014</v>
      </c>
      <c r="N45" s="1">
        <v>3</v>
      </c>
      <c r="O45" s="1">
        <v>1</v>
      </c>
      <c r="P45" s="1" t="str">
        <f t="shared" si="1"/>
        <v>Alto fuste</v>
      </c>
      <c r="Q45" s="2">
        <v>41947</v>
      </c>
      <c r="R45" s="1" t="s">
        <v>169</v>
      </c>
      <c r="S45" s="1" t="s">
        <v>299</v>
      </c>
      <c r="T45" s="1" t="s">
        <v>2268</v>
      </c>
      <c r="U45" s="1" t="s">
        <v>192</v>
      </c>
      <c r="V45" s="1" t="s">
        <v>152</v>
      </c>
      <c r="W45" s="2">
        <v>44714</v>
      </c>
      <c r="X45" s="1" t="s">
        <v>385</v>
      </c>
      <c r="Y45" s="1">
        <v>74.77</v>
      </c>
      <c r="Z45" s="1">
        <v>19.5</v>
      </c>
      <c r="AA45" s="1">
        <v>27</v>
      </c>
      <c r="AB45" s="1">
        <v>16.2</v>
      </c>
      <c r="AC45" s="1">
        <v>1</v>
      </c>
      <c r="AD45" s="3">
        <v>315.89999999999998</v>
      </c>
      <c r="AE45" s="3">
        <v>281.426091905021</v>
      </c>
      <c r="AF45" s="2">
        <v>44714</v>
      </c>
      <c r="AG45" s="1">
        <v>91</v>
      </c>
      <c r="AH45" s="3">
        <v>7.5756331279945304</v>
      </c>
      <c r="AI45" s="4">
        <v>30.494901638348001</v>
      </c>
      <c r="AJ45" s="4">
        <v>19.2222222222222</v>
      </c>
      <c r="AK45" s="4">
        <v>20.373248387778201</v>
      </c>
      <c r="AL45" s="1">
        <v>18</v>
      </c>
      <c r="AM45" s="5">
        <v>639.59954381468106</v>
      </c>
      <c r="AN45" s="4">
        <v>294.98084766454099</v>
      </c>
      <c r="AO45" s="4">
        <v>0.46119615080590098</v>
      </c>
      <c r="AP45" s="1" t="s">
        <v>299</v>
      </c>
      <c r="AQ45" s="1" t="s">
        <v>156</v>
      </c>
      <c r="AR45" s="1" t="s">
        <v>388</v>
      </c>
      <c r="AS45" s="1">
        <v>9</v>
      </c>
      <c r="AT45" s="4">
        <v>0.57563958943321292</v>
      </c>
      <c r="AU45" s="1" t="s">
        <v>386</v>
      </c>
      <c r="AV45" s="1" t="s">
        <v>387</v>
      </c>
      <c r="AW45" s="1">
        <v>1359</v>
      </c>
      <c r="AX45" s="1">
        <v>1359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4">
        <v>-0.11799999999999999</v>
      </c>
      <c r="BI45" s="4">
        <v>38.707999999999998</v>
      </c>
      <c r="BJ45" s="4">
        <v>29.297291000000001</v>
      </c>
      <c r="BK45" s="4">
        <v>35.010286000000001</v>
      </c>
      <c r="BL45" s="4">
        <v>11.191665</v>
      </c>
      <c r="BM45" s="4">
        <v>125.253366</v>
      </c>
      <c r="BN45" s="4">
        <v>0.38200299999999998</v>
      </c>
      <c r="BO45" s="4">
        <v>7.3419990000000004</v>
      </c>
      <c r="BP45" s="4">
        <v>-1.5625260000000001</v>
      </c>
      <c r="BQ45" s="4">
        <v>4.0352560000000004</v>
      </c>
      <c r="BR45" s="4">
        <v>8.7625130000000002</v>
      </c>
      <c r="BS45" s="4">
        <v>2.0240019999999999</v>
      </c>
      <c r="BT45" s="4">
        <v>1.878714</v>
      </c>
      <c r="BU45" s="4">
        <v>29.297291000000001</v>
      </c>
      <c r="BV45" s="4">
        <v>5.2915270000000003</v>
      </c>
      <c r="BW45" s="4">
        <v>-2.5401609999999999</v>
      </c>
      <c r="BX45" s="4">
        <v>1.0136449999999999</v>
      </c>
      <c r="BY45" s="4">
        <v>0.180615</v>
      </c>
      <c r="BZ45" s="4">
        <v>-0.480043</v>
      </c>
      <c r="CA45" s="4">
        <v>0.19156000000000001</v>
      </c>
      <c r="CB45" s="4">
        <v>1.0500000000000001E-2</v>
      </c>
      <c r="CC45" s="4">
        <v>0.25</v>
      </c>
      <c r="CD45" s="4">
        <v>10.0128</v>
      </c>
      <c r="CE45" s="4">
        <v>22.170601000000001</v>
      </c>
      <c r="CF45" s="4">
        <v>28.7775</v>
      </c>
      <c r="CG45" s="4">
        <v>31.666799999999999</v>
      </c>
      <c r="CH45" s="4">
        <v>33.755600000000001</v>
      </c>
      <c r="CI45" s="4">
        <v>34.709999000000003</v>
      </c>
      <c r="CJ45" s="4">
        <v>35.269401999999999</v>
      </c>
      <c r="CK45" s="4">
        <v>35.767398999999997</v>
      </c>
      <c r="CL45" s="4">
        <v>36.119498999999998</v>
      </c>
      <c r="CM45" s="4">
        <v>36.428798999999998</v>
      </c>
      <c r="CN45" s="4">
        <v>37.178199999999997</v>
      </c>
      <c r="CO45" s="4">
        <v>37.558498</v>
      </c>
      <c r="CP45" s="4">
        <v>38.087940000000003</v>
      </c>
      <c r="CQ45" s="4">
        <v>0.75761800000000001</v>
      </c>
      <c r="CR45" s="4">
        <v>31.360683999999999</v>
      </c>
      <c r="CS45" s="4">
        <v>32.382986000000002</v>
      </c>
      <c r="CT45" s="1">
        <v>1</v>
      </c>
      <c r="CU45" s="1">
        <v>48</v>
      </c>
      <c r="CV45" s="4">
        <v>13.308315</v>
      </c>
      <c r="CW45" s="4">
        <v>12.936508</v>
      </c>
      <c r="CX45" s="4">
        <v>9.0195260000000008</v>
      </c>
      <c r="CY45" s="4">
        <v>81.351853000000006</v>
      </c>
      <c r="CZ45" s="4">
        <v>0.67773600000000001</v>
      </c>
      <c r="DA45" s="4">
        <v>10</v>
      </c>
      <c r="DB45" s="4">
        <v>1.272351</v>
      </c>
      <c r="DC45" s="4">
        <v>5.2133289999999999</v>
      </c>
      <c r="DD45" s="4">
        <v>6.6446199999999997</v>
      </c>
      <c r="DE45" s="4">
        <v>13.308315</v>
      </c>
      <c r="DF45" s="4">
        <v>4.7767999999999997</v>
      </c>
      <c r="DG45" s="4">
        <v>0.84370000000000001</v>
      </c>
      <c r="DH45" s="4">
        <v>0.83389400000000002</v>
      </c>
      <c r="DI45" s="4">
        <v>0.35893399999999998</v>
      </c>
      <c r="DJ45" s="4">
        <v>0.176625</v>
      </c>
      <c r="DK45" s="4">
        <v>0.174572</v>
      </c>
      <c r="DL45" s="4">
        <v>1</v>
      </c>
      <c r="DM45" s="4">
        <v>1</v>
      </c>
      <c r="DN45" s="4">
        <v>3</v>
      </c>
      <c r="DO45" s="4">
        <v>6</v>
      </c>
      <c r="DP45" s="4">
        <v>7</v>
      </c>
      <c r="DQ45" s="4">
        <v>8</v>
      </c>
      <c r="DR45" s="4">
        <v>10</v>
      </c>
      <c r="DS45" s="4">
        <v>12</v>
      </c>
      <c r="DT45" s="4">
        <v>14</v>
      </c>
      <c r="DU45" s="4">
        <v>16</v>
      </c>
      <c r="DV45" s="4">
        <v>17</v>
      </c>
      <c r="DW45" s="4">
        <v>19</v>
      </c>
      <c r="DX45" s="4">
        <v>23</v>
      </c>
      <c r="DY45" s="4">
        <v>35</v>
      </c>
      <c r="DZ45" s="4">
        <v>43</v>
      </c>
      <c r="EA45" s="4">
        <v>93.745401000000001</v>
      </c>
      <c r="EB45" s="4">
        <v>93.745401000000001</v>
      </c>
      <c r="EC45" s="4">
        <v>93.745401000000001</v>
      </c>
      <c r="ED45" s="4">
        <v>1274</v>
      </c>
      <c r="EE45" s="4">
        <v>1274</v>
      </c>
      <c r="EF45" s="4">
        <v>74.834436999999994</v>
      </c>
      <c r="EG45" s="4">
        <v>44.885945999999997</v>
      </c>
      <c r="EH45" s="4">
        <v>74.834436999999994</v>
      </c>
      <c r="EI45" s="4">
        <v>44.885945999999997</v>
      </c>
      <c r="EJ45" s="4">
        <v>74.834436999999994</v>
      </c>
      <c r="EK45" s="4">
        <v>44.885945999999997</v>
      </c>
      <c r="EL45" s="4">
        <v>1017</v>
      </c>
      <c r="EM45" s="4">
        <v>610</v>
      </c>
      <c r="EN45" s="4">
        <v>1017</v>
      </c>
      <c r="EO45" s="4">
        <v>610</v>
      </c>
      <c r="EP45" s="4">
        <v>1359</v>
      </c>
      <c r="EQ45" s="4">
        <v>1359</v>
      </c>
      <c r="ER45" s="4">
        <v>75.901725999999996</v>
      </c>
    </row>
    <row r="46" spans="1:148" x14ac:dyDescent="0.2">
      <c r="A46" s="1">
        <v>2022</v>
      </c>
      <c r="B46" s="1" t="str">
        <f t="shared" si="0"/>
        <v>GN</v>
      </c>
      <c r="C46" s="1" t="s">
        <v>389</v>
      </c>
      <c r="D46" s="1" t="s">
        <v>389</v>
      </c>
      <c r="E46" s="1">
        <v>22425</v>
      </c>
      <c r="F46" s="1" t="s">
        <v>2062</v>
      </c>
      <c r="G46" s="1" t="s">
        <v>390</v>
      </c>
      <c r="H46" s="1" t="s">
        <v>391</v>
      </c>
      <c r="I46" s="1">
        <v>48.06</v>
      </c>
      <c r="J46" s="1">
        <v>48.06</v>
      </c>
      <c r="K46" s="1" t="s">
        <v>392</v>
      </c>
      <c r="L46" s="1">
        <v>1</v>
      </c>
      <c r="M46" s="1">
        <v>2014</v>
      </c>
      <c r="N46" s="1">
        <v>2</v>
      </c>
      <c r="O46" s="1">
        <v>2</v>
      </c>
      <c r="P46" s="1" t="str">
        <f t="shared" si="1"/>
        <v>Talhadia</v>
      </c>
      <c r="Q46" s="2">
        <v>41708</v>
      </c>
      <c r="R46" s="1" t="s">
        <v>306</v>
      </c>
      <c r="S46" s="1" t="s">
        <v>150</v>
      </c>
      <c r="T46" s="1" t="s">
        <v>2268</v>
      </c>
      <c r="U46" s="1" t="s">
        <v>266</v>
      </c>
      <c r="V46" s="1" t="s">
        <v>152</v>
      </c>
      <c r="W46" s="2">
        <v>44686</v>
      </c>
      <c r="X46" s="1" t="s">
        <v>393</v>
      </c>
      <c r="Y46" s="1">
        <v>74.41</v>
      </c>
      <c r="Z46" s="1">
        <v>21.5</v>
      </c>
      <c r="AA46" s="1">
        <v>12</v>
      </c>
      <c r="AB46" s="1">
        <v>13.5</v>
      </c>
      <c r="AC46" s="1">
        <v>1</v>
      </c>
      <c r="AD46" s="3">
        <v>290.25</v>
      </c>
      <c r="AE46" s="3">
        <v>283.86410064979998</v>
      </c>
      <c r="AF46" s="2">
        <v>44686</v>
      </c>
      <c r="AG46" s="1">
        <v>98</v>
      </c>
      <c r="AH46" s="3">
        <v>8.1533196440793994</v>
      </c>
      <c r="AI46" s="4">
        <v>31.8266044982587</v>
      </c>
      <c r="AJ46" s="4">
        <v>20.02</v>
      </c>
      <c r="AK46" s="4">
        <v>28.798374363148501</v>
      </c>
      <c r="AL46" s="1">
        <v>25</v>
      </c>
      <c r="AM46" s="5">
        <v>880.70312317661705</v>
      </c>
      <c r="AN46" s="4">
        <v>436.47515351237001</v>
      </c>
      <c r="AO46" s="4">
        <v>0.49559850763108898</v>
      </c>
      <c r="AP46" s="1" t="s">
        <v>150</v>
      </c>
      <c r="AQ46" s="1" t="s">
        <v>254</v>
      </c>
      <c r="AR46" s="1" t="s">
        <v>396</v>
      </c>
      <c r="AS46" s="1">
        <v>9.99</v>
      </c>
      <c r="AT46" s="4">
        <v>0.87982242005344047</v>
      </c>
      <c r="AU46" s="1" t="s">
        <v>394</v>
      </c>
      <c r="AV46" s="1" t="s">
        <v>395</v>
      </c>
      <c r="AW46" s="1">
        <v>3617</v>
      </c>
      <c r="AX46" s="1">
        <v>1830</v>
      </c>
      <c r="AY46" s="1">
        <v>1555</v>
      </c>
      <c r="AZ46" s="1">
        <v>228</v>
      </c>
      <c r="BA46" s="1">
        <v>4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4">
        <v>-0.97199999999999998</v>
      </c>
      <c r="BI46" s="4">
        <v>31.532</v>
      </c>
      <c r="BJ46" s="4">
        <v>14.603408999999999</v>
      </c>
      <c r="BK46" s="4">
        <v>-0.45606400000000002</v>
      </c>
      <c r="BL46" s="4">
        <v>13.775788</v>
      </c>
      <c r="BM46" s="4">
        <v>189.772346</v>
      </c>
      <c r="BN46" s="4">
        <v>0.94332700000000003</v>
      </c>
      <c r="BO46" s="4">
        <v>28.568000000000001</v>
      </c>
      <c r="BP46" s="4">
        <v>-2.8379999999999999E-2</v>
      </c>
      <c r="BQ46" s="4">
        <v>1.093761</v>
      </c>
      <c r="BR46" s="4">
        <v>13.409625</v>
      </c>
      <c r="BS46" s="4">
        <v>13.730999000000001</v>
      </c>
      <c r="BT46" s="4">
        <v>16.948065</v>
      </c>
      <c r="BU46" s="4">
        <v>14.603408999999999</v>
      </c>
      <c r="BV46" s="4">
        <v>7.3072330000000001</v>
      </c>
      <c r="BW46" s="4">
        <v>9.1430999999999998E-2</v>
      </c>
      <c r="BX46" s="4">
        <v>-1.5621670000000001</v>
      </c>
      <c r="BY46" s="4">
        <v>0.50037900000000002</v>
      </c>
      <c r="BZ46" s="4">
        <v>1.2512000000000001E-2</v>
      </c>
      <c r="CA46" s="4">
        <v>-0.213784</v>
      </c>
      <c r="CB46" s="4">
        <v>-0.42668</v>
      </c>
      <c r="CC46" s="4">
        <v>-0.1832</v>
      </c>
      <c r="CD46" s="4">
        <v>-9.5399999999999999E-2</v>
      </c>
      <c r="CE46" s="4">
        <v>8.0000000000000002E-3</v>
      </c>
      <c r="CF46" s="4">
        <v>5.7000000000000002E-2</v>
      </c>
      <c r="CG46" s="4">
        <v>0.106</v>
      </c>
      <c r="CH46" s="4">
        <v>0.24299999999999999</v>
      </c>
      <c r="CI46" s="4">
        <v>16.492000999999998</v>
      </c>
      <c r="CJ46" s="4">
        <v>27.120999999999999</v>
      </c>
      <c r="CK46" s="4">
        <v>28.265999000000001</v>
      </c>
      <c r="CL46" s="4">
        <v>28.625</v>
      </c>
      <c r="CM46" s="4">
        <v>28.955998999999998</v>
      </c>
      <c r="CN46" s="4">
        <v>29.753201000000001</v>
      </c>
      <c r="CO46" s="4">
        <v>30.239401000000001</v>
      </c>
      <c r="CP46" s="4">
        <v>31.12088</v>
      </c>
      <c r="CQ46" s="4">
        <v>0.479184</v>
      </c>
      <c r="CR46" s="4">
        <v>20.074348000000001</v>
      </c>
      <c r="CS46" s="4">
        <v>22.474411</v>
      </c>
      <c r="CT46" s="1">
        <v>1</v>
      </c>
      <c r="CU46" s="1">
        <v>91</v>
      </c>
      <c r="CV46" s="4">
        <v>19.169477000000001</v>
      </c>
      <c r="CW46" s="4">
        <v>1</v>
      </c>
      <c r="CX46" s="4">
        <v>14.737894000000001</v>
      </c>
      <c r="CY46" s="4">
        <v>217.20550600000001</v>
      </c>
      <c r="CZ46" s="4">
        <v>0.76882099999999998</v>
      </c>
      <c r="DA46" s="4">
        <v>20</v>
      </c>
      <c r="DB46" s="4">
        <v>1.333558</v>
      </c>
      <c r="DC46" s="4">
        <v>5.6300350000000003</v>
      </c>
      <c r="DD46" s="4">
        <v>11.329703</v>
      </c>
      <c r="DE46" s="4">
        <v>19.169477000000001</v>
      </c>
      <c r="DF46" s="4">
        <v>7.8518600000000003</v>
      </c>
      <c r="DG46" s="4">
        <v>1.5800129999999999</v>
      </c>
      <c r="DH46" s="4">
        <v>0.97721800000000003</v>
      </c>
      <c r="DI46" s="4">
        <v>0.40960200000000002</v>
      </c>
      <c r="DJ46" s="4">
        <v>0.20122799999999999</v>
      </c>
      <c r="DK46" s="4">
        <v>0.124457</v>
      </c>
      <c r="DL46" s="4">
        <v>1</v>
      </c>
      <c r="DM46" s="4">
        <v>2</v>
      </c>
      <c r="DN46" s="4">
        <v>3</v>
      </c>
      <c r="DO46" s="4">
        <v>6</v>
      </c>
      <c r="DP46" s="4">
        <v>7</v>
      </c>
      <c r="DQ46" s="4">
        <v>9</v>
      </c>
      <c r="DR46" s="4">
        <v>13</v>
      </c>
      <c r="DS46" s="4">
        <v>17</v>
      </c>
      <c r="DT46" s="4">
        <v>22</v>
      </c>
      <c r="DU46" s="4">
        <v>25</v>
      </c>
      <c r="DV46" s="4">
        <v>27</v>
      </c>
      <c r="DW46" s="4">
        <v>29</v>
      </c>
      <c r="DX46" s="4">
        <v>36</v>
      </c>
      <c r="DY46" s="4">
        <v>48</v>
      </c>
      <c r="DZ46" s="4">
        <v>71</v>
      </c>
      <c r="EA46" s="4">
        <v>96.229507999999996</v>
      </c>
      <c r="EB46" s="4">
        <v>55.183853999999997</v>
      </c>
      <c r="EC46" s="4">
        <v>109.071038</v>
      </c>
      <c r="ED46" s="4">
        <v>1761</v>
      </c>
      <c r="EE46" s="4">
        <v>1996</v>
      </c>
      <c r="EF46" s="4">
        <v>93.989070999999996</v>
      </c>
      <c r="EG46" s="4">
        <v>100</v>
      </c>
      <c r="EH46" s="4">
        <v>50.870887000000003</v>
      </c>
      <c r="EI46" s="4">
        <v>99.336466999999999</v>
      </c>
      <c r="EJ46" s="4">
        <v>100.546448</v>
      </c>
      <c r="EK46" s="4">
        <v>196.338798</v>
      </c>
      <c r="EL46" s="4">
        <v>1720</v>
      </c>
      <c r="EM46" s="4">
        <v>1830</v>
      </c>
      <c r="EN46" s="4">
        <v>1840</v>
      </c>
      <c r="EO46" s="4">
        <v>3593</v>
      </c>
      <c r="EP46" s="4">
        <v>1830</v>
      </c>
      <c r="EQ46" s="4">
        <v>3617</v>
      </c>
      <c r="ER46" s="4">
        <v>46.042419000000002</v>
      </c>
    </row>
    <row r="47" spans="1:148" x14ac:dyDescent="0.2">
      <c r="A47" s="1">
        <v>2022</v>
      </c>
      <c r="B47" s="1" t="str">
        <f t="shared" si="0"/>
        <v>GN</v>
      </c>
      <c r="C47" s="1" t="s">
        <v>397</v>
      </c>
      <c r="D47" s="1" t="s">
        <v>397</v>
      </c>
      <c r="E47" s="1">
        <v>22426</v>
      </c>
      <c r="F47" s="1" t="s">
        <v>2062</v>
      </c>
      <c r="G47" s="1" t="s">
        <v>390</v>
      </c>
      <c r="H47" s="1" t="s">
        <v>391</v>
      </c>
      <c r="I47" s="1">
        <v>48.06</v>
      </c>
      <c r="J47" s="1">
        <v>48.06</v>
      </c>
      <c r="K47" s="1" t="s">
        <v>392</v>
      </c>
      <c r="L47" s="1">
        <v>1</v>
      </c>
      <c r="M47" s="1">
        <v>2014</v>
      </c>
      <c r="N47" s="1">
        <v>2</v>
      </c>
      <c r="O47" s="1">
        <v>2</v>
      </c>
      <c r="P47" s="1" t="str">
        <f t="shared" si="1"/>
        <v>Talhadia</v>
      </c>
      <c r="Q47" s="2">
        <v>41708</v>
      </c>
      <c r="R47" s="1" t="s">
        <v>306</v>
      </c>
      <c r="S47" s="1" t="s">
        <v>150</v>
      </c>
      <c r="T47" s="1" t="s">
        <v>2268</v>
      </c>
      <c r="U47" s="1" t="s">
        <v>266</v>
      </c>
      <c r="V47" s="1" t="s">
        <v>152</v>
      </c>
      <c r="W47" s="2">
        <v>44686</v>
      </c>
      <c r="X47" s="1" t="s">
        <v>393</v>
      </c>
      <c r="Y47" s="1">
        <v>74.41</v>
      </c>
      <c r="Z47" s="1">
        <v>18.8</v>
      </c>
      <c r="AA47" s="1">
        <v>13</v>
      </c>
      <c r="AB47" s="1">
        <v>16.399999999999999</v>
      </c>
      <c r="AC47" s="1">
        <v>5</v>
      </c>
      <c r="AD47" s="3">
        <v>308.32</v>
      </c>
      <c r="AE47" s="3">
        <v>299.27459802926103</v>
      </c>
      <c r="AF47" s="2">
        <v>44686</v>
      </c>
      <c r="AG47" s="1">
        <v>98</v>
      </c>
      <c r="AH47" s="3">
        <v>8.1533196440793994</v>
      </c>
      <c r="AI47" s="4">
        <v>30.305833822811501</v>
      </c>
      <c r="AJ47" s="4">
        <v>19.899999999999999</v>
      </c>
      <c r="AK47" s="4">
        <v>28.963812105490501</v>
      </c>
      <c r="AL47" s="1">
        <v>27</v>
      </c>
      <c r="AM47" s="5">
        <v>902.18148074699297</v>
      </c>
      <c r="AN47" s="4">
        <v>419.28059974617997</v>
      </c>
      <c r="AO47" s="4">
        <v>0.46474086277965099</v>
      </c>
      <c r="AP47" s="1" t="s">
        <v>150</v>
      </c>
      <c r="AQ47" s="1" t="s">
        <v>254</v>
      </c>
      <c r="AR47" s="1" t="s">
        <v>396</v>
      </c>
      <c r="AS47" s="1">
        <v>9.99</v>
      </c>
      <c r="AT47" s="4">
        <v>0.90127929926624595</v>
      </c>
      <c r="AU47" s="1" t="s">
        <v>398</v>
      </c>
      <c r="AV47" s="1" t="s">
        <v>399</v>
      </c>
      <c r="AW47" s="1">
        <v>2957</v>
      </c>
      <c r="AX47" s="1">
        <v>1585</v>
      </c>
      <c r="AY47" s="1">
        <v>1123</v>
      </c>
      <c r="AZ47" s="1">
        <v>237</v>
      </c>
      <c r="BA47" s="1">
        <v>12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4">
        <v>-0.91800000000000004</v>
      </c>
      <c r="BI47" s="4">
        <v>32.049999</v>
      </c>
      <c r="BJ47" s="4">
        <v>15.299613000000001</v>
      </c>
      <c r="BK47" s="4">
        <v>-0.39469799999999999</v>
      </c>
      <c r="BL47" s="4">
        <v>13.655184999999999</v>
      </c>
      <c r="BM47" s="4">
        <v>186.464066</v>
      </c>
      <c r="BN47" s="4">
        <v>0.89251800000000003</v>
      </c>
      <c r="BO47" s="4">
        <v>28.826000000000001</v>
      </c>
      <c r="BP47" s="4">
        <v>-0.120861</v>
      </c>
      <c r="BQ47" s="4">
        <v>1.1359269999999999</v>
      </c>
      <c r="BR47" s="4">
        <v>13.168763</v>
      </c>
      <c r="BS47" s="4">
        <v>10.851000000000001</v>
      </c>
      <c r="BT47" s="4">
        <v>19.823699999999999</v>
      </c>
      <c r="BU47" s="4">
        <v>15.299613000000001</v>
      </c>
      <c r="BV47" s="4">
        <v>7.3161120000000004</v>
      </c>
      <c r="BW47" s="4">
        <v>-0.20305000000000001</v>
      </c>
      <c r="BX47" s="4">
        <v>-1.4950220000000001</v>
      </c>
      <c r="BY47" s="4">
        <v>0.47818899999999998</v>
      </c>
      <c r="BZ47" s="4">
        <v>-2.7754000000000001E-2</v>
      </c>
      <c r="CA47" s="4">
        <v>-0.204347</v>
      </c>
      <c r="CB47" s="4">
        <v>-0.41195999999999999</v>
      </c>
      <c r="CC47" s="4">
        <v>-0.23019999999999999</v>
      </c>
      <c r="CD47" s="4">
        <v>-0.14899999999999999</v>
      </c>
      <c r="CE47" s="4">
        <v>-5.1999999999999998E-2</v>
      </c>
      <c r="CF47" s="4">
        <v>-6.0000000000000001E-3</v>
      </c>
      <c r="CG47" s="4">
        <v>4.6800000000000001E-2</v>
      </c>
      <c r="CH47" s="4">
        <v>0.32940000000000003</v>
      </c>
      <c r="CI47" s="4">
        <v>19.429001</v>
      </c>
      <c r="CJ47" s="4">
        <v>27.0366</v>
      </c>
      <c r="CK47" s="4">
        <v>28.321199</v>
      </c>
      <c r="CL47" s="4">
        <v>28.82</v>
      </c>
      <c r="CM47" s="4">
        <v>29.253</v>
      </c>
      <c r="CN47" s="4">
        <v>29.974198999999999</v>
      </c>
      <c r="CO47" s="4">
        <v>30.482400999999999</v>
      </c>
      <c r="CP47" s="4">
        <v>31.22344</v>
      </c>
      <c r="CQ47" s="4">
        <v>0.49192000000000002</v>
      </c>
      <c r="CR47" s="4">
        <v>20.505589000000001</v>
      </c>
      <c r="CS47" s="4">
        <v>22.785177999999998</v>
      </c>
      <c r="CT47" s="1">
        <v>1</v>
      </c>
      <c r="CU47" s="1">
        <v>93</v>
      </c>
      <c r="CV47" s="4">
        <v>25.445722</v>
      </c>
      <c r="CW47" s="4">
        <v>1</v>
      </c>
      <c r="CX47" s="4">
        <v>18.948602999999999</v>
      </c>
      <c r="CY47" s="4">
        <v>359.04957300000001</v>
      </c>
      <c r="CZ47" s="4">
        <v>0.744668</v>
      </c>
      <c r="DA47" s="4">
        <v>29</v>
      </c>
      <c r="DB47" s="4">
        <v>0.84200600000000003</v>
      </c>
      <c r="DC47" s="4">
        <v>3.3889930000000001</v>
      </c>
      <c r="DD47" s="4">
        <v>15.489615000000001</v>
      </c>
      <c r="DE47" s="4">
        <v>25.445722</v>
      </c>
      <c r="DF47" s="4">
        <v>10.493532999999999</v>
      </c>
      <c r="DG47" s="4">
        <v>1.7660530000000001</v>
      </c>
      <c r="DH47" s="4">
        <v>0.76099499999999998</v>
      </c>
      <c r="DI47" s="4">
        <v>0.41238900000000001</v>
      </c>
      <c r="DJ47" s="4">
        <v>0.168299</v>
      </c>
      <c r="DK47" s="4">
        <v>7.2520000000000001E-2</v>
      </c>
      <c r="DL47" s="4">
        <v>1</v>
      </c>
      <c r="DM47" s="4">
        <v>2</v>
      </c>
      <c r="DN47" s="4">
        <v>4</v>
      </c>
      <c r="DO47" s="4">
        <v>7</v>
      </c>
      <c r="DP47" s="4">
        <v>9</v>
      </c>
      <c r="DQ47" s="4">
        <v>11</v>
      </c>
      <c r="DR47" s="4">
        <v>17</v>
      </c>
      <c r="DS47" s="4">
        <v>23</v>
      </c>
      <c r="DT47" s="4">
        <v>29</v>
      </c>
      <c r="DU47" s="4">
        <v>35</v>
      </c>
      <c r="DV47" s="4">
        <v>38</v>
      </c>
      <c r="DW47" s="4">
        <v>40</v>
      </c>
      <c r="DX47" s="4">
        <v>49</v>
      </c>
      <c r="DY47" s="4">
        <v>61</v>
      </c>
      <c r="DZ47" s="4">
        <v>81.439941000000005</v>
      </c>
      <c r="EA47" s="4">
        <v>94.384857999999994</v>
      </c>
      <c r="EB47" s="4">
        <v>59.046331000000002</v>
      </c>
      <c r="EC47" s="4">
        <v>110.157729</v>
      </c>
      <c r="ED47" s="4">
        <v>1496</v>
      </c>
      <c r="EE47" s="4">
        <v>1746</v>
      </c>
      <c r="EF47" s="4">
        <v>91.608833000000004</v>
      </c>
      <c r="EG47" s="4">
        <v>100</v>
      </c>
      <c r="EH47" s="4">
        <v>53.533987000000003</v>
      </c>
      <c r="EI47" s="4">
        <v>98.816367999999997</v>
      </c>
      <c r="EJ47" s="4">
        <v>99.873817000000003</v>
      </c>
      <c r="EK47" s="4">
        <v>184.35331199999999</v>
      </c>
      <c r="EL47" s="4">
        <v>1452</v>
      </c>
      <c r="EM47" s="4">
        <v>1585</v>
      </c>
      <c r="EN47" s="4">
        <v>1583</v>
      </c>
      <c r="EO47" s="4">
        <v>2922</v>
      </c>
      <c r="EP47" s="4">
        <v>1585</v>
      </c>
      <c r="EQ47" s="4">
        <v>2957</v>
      </c>
      <c r="ER47" s="4">
        <v>48.153584000000002</v>
      </c>
    </row>
    <row r="48" spans="1:148" x14ac:dyDescent="0.2">
      <c r="A48" s="1">
        <v>2022</v>
      </c>
      <c r="B48" s="1" t="str">
        <f t="shared" si="0"/>
        <v>NE</v>
      </c>
      <c r="C48" s="1" t="s">
        <v>400</v>
      </c>
      <c r="D48" s="1" t="s">
        <v>400</v>
      </c>
      <c r="E48" s="1">
        <v>22450</v>
      </c>
      <c r="F48" s="1" t="s">
        <v>2063</v>
      </c>
      <c r="G48" s="1" t="s">
        <v>401</v>
      </c>
      <c r="H48" s="1" t="s">
        <v>402</v>
      </c>
      <c r="I48" s="1">
        <v>6.95</v>
      </c>
      <c r="J48" s="1">
        <v>6.95</v>
      </c>
      <c r="K48" s="1" t="s">
        <v>168</v>
      </c>
      <c r="L48" s="1">
        <v>1</v>
      </c>
      <c r="M48" s="1">
        <v>2014</v>
      </c>
      <c r="N48" s="1">
        <v>2</v>
      </c>
      <c r="O48" s="1">
        <v>2</v>
      </c>
      <c r="P48" s="1" t="str">
        <f t="shared" si="1"/>
        <v>Talhadia</v>
      </c>
      <c r="Q48" s="2">
        <v>41666</v>
      </c>
      <c r="R48" s="1" t="s">
        <v>149</v>
      </c>
      <c r="S48" s="1" t="s">
        <v>403</v>
      </c>
      <c r="T48" s="1" t="s">
        <v>2268</v>
      </c>
      <c r="U48" s="1" t="s">
        <v>170</v>
      </c>
      <c r="V48" s="1" t="s">
        <v>152</v>
      </c>
      <c r="W48" s="2">
        <v>44588</v>
      </c>
      <c r="X48" s="1" t="s">
        <v>404</v>
      </c>
      <c r="Y48" s="1">
        <v>30.59</v>
      </c>
      <c r="Z48" s="1">
        <v>19.399999999999999</v>
      </c>
      <c r="AA48" s="1">
        <v>22</v>
      </c>
      <c r="AB48" s="1">
        <v>14.1</v>
      </c>
      <c r="AC48" s="1">
        <v>2</v>
      </c>
      <c r="AD48" s="3">
        <v>273.54000000000002</v>
      </c>
      <c r="AE48" s="3">
        <v>253.46737198666699</v>
      </c>
      <c r="AF48" s="2">
        <v>44588</v>
      </c>
      <c r="AG48" s="1">
        <v>96</v>
      </c>
      <c r="AH48" s="3">
        <v>8</v>
      </c>
      <c r="AI48" s="4">
        <v>30.755408344864399</v>
      </c>
      <c r="AJ48" s="4">
        <v>20.322727272727299</v>
      </c>
      <c r="AK48" s="4">
        <v>29.461304175879601</v>
      </c>
      <c r="AL48" s="1">
        <v>22</v>
      </c>
      <c r="AM48" s="5">
        <v>867.961814081429</v>
      </c>
      <c r="AN48" s="4">
        <v>403.62017708030498</v>
      </c>
      <c r="AO48" s="4">
        <v>0.465020661660628</v>
      </c>
      <c r="AP48" s="1" t="s">
        <v>403</v>
      </c>
      <c r="AQ48" s="1" t="s">
        <v>254</v>
      </c>
      <c r="AR48" s="1" t="s">
        <v>282</v>
      </c>
      <c r="AS48" s="1">
        <v>9.99</v>
      </c>
      <c r="AT48" s="4">
        <v>0.86709385226734759</v>
      </c>
      <c r="AU48" s="1" t="s">
        <v>405</v>
      </c>
      <c r="AV48" s="1" t="s">
        <v>406</v>
      </c>
      <c r="AW48" s="1">
        <v>5351</v>
      </c>
      <c r="AX48" s="1">
        <v>3078</v>
      </c>
      <c r="AY48" s="1">
        <v>2073</v>
      </c>
      <c r="AZ48" s="1">
        <v>196</v>
      </c>
      <c r="BA48" s="1">
        <v>4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4">
        <v>-0.95099999999999996</v>
      </c>
      <c r="BI48" s="4">
        <v>35.650002000000001</v>
      </c>
      <c r="BJ48" s="4">
        <v>17.610385999999998</v>
      </c>
      <c r="BK48" s="4">
        <v>-0.37003200000000003</v>
      </c>
      <c r="BL48" s="4">
        <v>16.070309000000002</v>
      </c>
      <c r="BM48" s="4">
        <v>258.25483600000001</v>
      </c>
      <c r="BN48" s="4">
        <v>0.912547</v>
      </c>
      <c r="BO48" s="4">
        <v>33.478999000000002</v>
      </c>
      <c r="BP48" s="4">
        <v>-8.5267999999999997E-2</v>
      </c>
      <c r="BQ48" s="4">
        <v>1.0873539999999999</v>
      </c>
      <c r="BR48" s="4">
        <v>15.693834000000001</v>
      </c>
      <c r="BS48" s="4">
        <v>11.880998999999999</v>
      </c>
      <c r="BT48" s="4">
        <v>23.442032000000001</v>
      </c>
      <c r="BU48" s="4">
        <v>17.610385999999998</v>
      </c>
      <c r="BV48" s="4">
        <v>8.4816330000000004</v>
      </c>
      <c r="BW48" s="4">
        <v>-0.19547500000000001</v>
      </c>
      <c r="BX48" s="4">
        <v>-1.8634839999999999</v>
      </c>
      <c r="BY48" s="4">
        <v>0.48162700000000003</v>
      </c>
      <c r="BZ48" s="4">
        <v>-2.3047000000000002E-2</v>
      </c>
      <c r="CA48" s="4">
        <v>-0.21970799999999999</v>
      </c>
      <c r="CB48" s="4">
        <v>-0.40600000000000003</v>
      </c>
      <c r="CC48" s="4">
        <v>-0.155</v>
      </c>
      <c r="CD48" s="4">
        <v>-4.1000000000000002E-2</v>
      </c>
      <c r="CE48" s="4">
        <v>8.8999999999999996E-2</v>
      </c>
      <c r="CF48" s="4">
        <v>0.16200000000000001</v>
      </c>
      <c r="CG48" s="4">
        <v>0.249</v>
      </c>
      <c r="CH48" s="4">
        <v>0.72899999999999998</v>
      </c>
      <c r="CI48" s="4">
        <v>23.072001</v>
      </c>
      <c r="CJ48" s="4">
        <v>32.455002</v>
      </c>
      <c r="CK48" s="4">
        <v>33.259998000000003</v>
      </c>
      <c r="CL48" s="4">
        <v>33.640999000000001</v>
      </c>
      <c r="CM48" s="4">
        <v>33.979999999999997</v>
      </c>
      <c r="CN48" s="4">
        <v>34.623001000000002</v>
      </c>
      <c r="CO48" s="4">
        <v>34.951999999999998</v>
      </c>
      <c r="CP48" s="4">
        <v>35.318001000000002</v>
      </c>
      <c r="CQ48" s="4">
        <v>0.50712800000000002</v>
      </c>
      <c r="CR48" s="4">
        <v>23.83972</v>
      </c>
      <c r="CS48" s="4">
        <v>26.565968000000002</v>
      </c>
      <c r="CT48" s="1">
        <v>1</v>
      </c>
      <c r="CU48" s="1">
        <v>70</v>
      </c>
      <c r="CV48" s="4">
        <v>19.054756000000001</v>
      </c>
      <c r="CW48" s="4">
        <v>1</v>
      </c>
      <c r="CX48" s="4">
        <v>13.369619</v>
      </c>
      <c r="CY48" s="4">
        <v>178.74672100000001</v>
      </c>
      <c r="CZ48" s="4">
        <v>0.70164199999999999</v>
      </c>
      <c r="DA48" s="4">
        <v>21</v>
      </c>
      <c r="DB48" s="4">
        <v>0.64792799999999995</v>
      </c>
      <c r="DC48" s="4">
        <v>2.8451810000000002</v>
      </c>
      <c r="DD48" s="4">
        <v>11.061871999999999</v>
      </c>
      <c r="DE48" s="4">
        <v>19.054756000000001</v>
      </c>
      <c r="DF48" s="4">
        <v>7.5137489999999998</v>
      </c>
      <c r="DG48" s="4">
        <v>1.0576110000000001</v>
      </c>
      <c r="DH48" s="4">
        <v>0.42573699999999998</v>
      </c>
      <c r="DI48" s="4">
        <v>0.39432400000000001</v>
      </c>
      <c r="DJ48" s="4">
        <v>0.14075699999999999</v>
      </c>
      <c r="DK48" s="4">
        <v>5.6661000000000003E-2</v>
      </c>
      <c r="DL48" s="4">
        <v>1</v>
      </c>
      <c r="DM48" s="4">
        <v>2</v>
      </c>
      <c r="DN48" s="4">
        <v>3</v>
      </c>
      <c r="DO48" s="4">
        <v>6</v>
      </c>
      <c r="DP48" s="4">
        <v>7</v>
      </c>
      <c r="DQ48" s="4">
        <v>9</v>
      </c>
      <c r="DR48" s="4">
        <v>13</v>
      </c>
      <c r="DS48" s="4">
        <v>18</v>
      </c>
      <c r="DT48" s="4">
        <v>22</v>
      </c>
      <c r="DU48" s="4">
        <v>26</v>
      </c>
      <c r="DV48" s="4">
        <v>28</v>
      </c>
      <c r="DW48" s="4">
        <v>31</v>
      </c>
      <c r="DX48" s="4">
        <v>38</v>
      </c>
      <c r="DY48" s="4">
        <v>44</v>
      </c>
      <c r="DZ48" s="4">
        <v>55</v>
      </c>
      <c r="EA48" s="4">
        <v>87.784276000000006</v>
      </c>
      <c r="EB48" s="4">
        <v>56.064287</v>
      </c>
      <c r="EC48" s="4">
        <v>97.465886999999995</v>
      </c>
      <c r="ED48" s="4">
        <v>2702</v>
      </c>
      <c r="EE48" s="4">
        <v>3000</v>
      </c>
      <c r="EF48" s="4">
        <v>85.022741999999994</v>
      </c>
      <c r="EG48" s="4">
        <v>100</v>
      </c>
      <c r="EH48" s="4">
        <v>52.681742</v>
      </c>
      <c r="EI48" s="4">
        <v>98.729208999999997</v>
      </c>
      <c r="EJ48" s="4">
        <v>91.585445000000007</v>
      </c>
      <c r="EK48" s="4">
        <v>171.637427</v>
      </c>
      <c r="EL48" s="4">
        <v>2617</v>
      </c>
      <c r="EM48" s="4">
        <v>3078</v>
      </c>
      <c r="EN48" s="4">
        <v>2819</v>
      </c>
      <c r="EO48" s="4">
        <v>5283</v>
      </c>
      <c r="EP48" s="4">
        <v>3078</v>
      </c>
      <c r="EQ48" s="4">
        <v>5351</v>
      </c>
      <c r="ER48" s="4">
        <v>48.909832999999999</v>
      </c>
    </row>
    <row r="49" spans="1:148" x14ac:dyDescent="0.2">
      <c r="A49" s="1">
        <v>2022</v>
      </c>
      <c r="B49" s="1" t="str">
        <f t="shared" si="0"/>
        <v>NE</v>
      </c>
      <c r="C49" s="1" t="s">
        <v>407</v>
      </c>
      <c r="D49" s="1" t="s">
        <v>407</v>
      </c>
      <c r="E49" s="1">
        <v>22453</v>
      </c>
      <c r="F49" s="1" t="s">
        <v>2064</v>
      </c>
      <c r="G49" s="1" t="s">
        <v>284</v>
      </c>
      <c r="H49" s="1" t="s">
        <v>408</v>
      </c>
      <c r="I49" s="1">
        <v>23.99</v>
      </c>
      <c r="J49" s="1">
        <v>23.99</v>
      </c>
      <c r="K49" s="1" t="s">
        <v>286</v>
      </c>
      <c r="L49" s="1">
        <v>1</v>
      </c>
      <c r="M49" s="1">
        <v>2014</v>
      </c>
      <c r="N49" s="1">
        <v>2</v>
      </c>
      <c r="O49" s="1">
        <v>1</v>
      </c>
      <c r="P49" s="1" t="str">
        <f t="shared" si="1"/>
        <v>Alto fuste</v>
      </c>
      <c r="Q49" s="2">
        <v>41880</v>
      </c>
      <c r="R49" s="1" t="s">
        <v>169</v>
      </c>
      <c r="S49" s="1" t="s">
        <v>287</v>
      </c>
      <c r="T49" s="1" t="s">
        <v>2268</v>
      </c>
      <c r="U49" s="1" t="s">
        <v>170</v>
      </c>
      <c r="V49" s="1" t="s">
        <v>152</v>
      </c>
      <c r="W49" s="2">
        <v>44714</v>
      </c>
      <c r="X49" s="1" t="s">
        <v>288</v>
      </c>
      <c r="Y49" s="1">
        <v>44.38</v>
      </c>
      <c r="Z49" s="1">
        <v>20.7</v>
      </c>
      <c r="AA49" s="1">
        <v>22</v>
      </c>
      <c r="AB49" s="1">
        <v>15.7</v>
      </c>
      <c r="AC49" s="1">
        <v>1</v>
      </c>
      <c r="AD49" s="3">
        <v>324.99</v>
      </c>
      <c r="AE49" s="3">
        <v>301.27958756541699</v>
      </c>
      <c r="AF49" s="2">
        <v>44714</v>
      </c>
      <c r="AG49" s="1">
        <v>94</v>
      </c>
      <c r="AH49" s="3">
        <v>7.7590691307323798</v>
      </c>
      <c r="AI49" s="4">
        <v>30.1250909730737</v>
      </c>
      <c r="AJ49" s="4">
        <v>18.6076923076923</v>
      </c>
      <c r="AK49" s="4">
        <v>24.625790626882502</v>
      </c>
      <c r="AL49" s="1">
        <v>26</v>
      </c>
      <c r="AM49" s="5">
        <v>862.98578042080601</v>
      </c>
      <c r="AN49" s="4">
        <v>335.12237974814798</v>
      </c>
      <c r="AO49" s="4">
        <v>0.388328970594089</v>
      </c>
      <c r="AP49" s="1" t="s">
        <v>287</v>
      </c>
      <c r="AQ49" s="1" t="s">
        <v>156</v>
      </c>
      <c r="AR49" s="1" t="s">
        <v>302</v>
      </c>
      <c r="AS49" s="1">
        <v>9</v>
      </c>
      <c r="AT49" s="4">
        <v>0.77668720237872546</v>
      </c>
      <c r="AU49" s="1" t="s">
        <v>409</v>
      </c>
      <c r="AV49" s="1" t="s">
        <v>410</v>
      </c>
      <c r="AW49" s="1">
        <v>2991</v>
      </c>
      <c r="AX49" s="1">
        <v>1676</v>
      </c>
      <c r="AY49" s="1">
        <v>1126</v>
      </c>
      <c r="AZ49" s="1">
        <v>180</v>
      </c>
      <c r="BA49" s="1">
        <v>9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4">
        <v>-0.97</v>
      </c>
      <c r="BI49" s="4">
        <v>36.759998000000003</v>
      </c>
      <c r="BJ49" s="4">
        <v>18.649753</v>
      </c>
      <c r="BK49" s="4">
        <v>-0.37111100000000002</v>
      </c>
      <c r="BL49" s="4">
        <v>15.15583</v>
      </c>
      <c r="BM49" s="4">
        <v>229.69918200000001</v>
      </c>
      <c r="BN49" s="4">
        <v>0.81265600000000004</v>
      </c>
      <c r="BO49" s="4">
        <v>33.130000000000003</v>
      </c>
      <c r="BP49" s="4">
        <v>-0.25856800000000002</v>
      </c>
      <c r="BQ49" s="4">
        <v>1.2521659999999999</v>
      </c>
      <c r="BR49" s="4">
        <v>14.206422999999999</v>
      </c>
      <c r="BS49" s="4">
        <v>11.959999</v>
      </c>
      <c r="BT49" s="4">
        <v>22.921109999999999</v>
      </c>
      <c r="BU49" s="4">
        <v>18.649753</v>
      </c>
      <c r="BV49" s="4">
        <v>8.2128340000000009</v>
      </c>
      <c r="BW49" s="4">
        <v>-0.64605100000000004</v>
      </c>
      <c r="BX49" s="4">
        <v>-1.4533510000000001</v>
      </c>
      <c r="BY49" s="4">
        <v>0.44037199999999999</v>
      </c>
      <c r="BZ49" s="4">
        <v>-7.8663999999999998E-2</v>
      </c>
      <c r="CA49" s="4">
        <v>-0.17696100000000001</v>
      </c>
      <c r="CB49" s="4">
        <v>-0.371</v>
      </c>
      <c r="CC49" s="4">
        <v>-0.125</v>
      </c>
      <c r="CD49" s="4">
        <v>-0.03</v>
      </c>
      <c r="CE49" s="4">
        <v>0.12</v>
      </c>
      <c r="CF49" s="4">
        <v>0.21</v>
      </c>
      <c r="CG49" s="4">
        <v>0.47</v>
      </c>
      <c r="CH49" s="4">
        <v>17.399999999999999</v>
      </c>
      <c r="CI49" s="4">
        <v>22.549999</v>
      </c>
      <c r="CJ49" s="4">
        <v>31.030000999999999</v>
      </c>
      <c r="CK49" s="4">
        <v>32.959999000000003</v>
      </c>
      <c r="CL49" s="4">
        <v>33.340000000000003</v>
      </c>
      <c r="CM49" s="4">
        <v>33.790000999999997</v>
      </c>
      <c r="CN49" s="4">
        <v>34.650002000000001</v>
      </c>
      <c r="CO49" s="4">
        <v>35.154998999999997</v>
      </c>
      <c r="CP49" s="4">
        <v>35.852001000000001</v>
      </c>
      <c r="CQ49" s="4">
        <v>0.52000400000000002</v>
      </c>
      <c r="CR49" s="4">
        <v>24.029890999999999</v>
      </c>
      <c r="CS49" s="4">
        <v>26.416357999999999</v>
      </c>
      <c r="CT49" s="1">
        <v>1</v>
      </c>
      <c r="CU49" s="1">
        <v>62</v>
      </c>
      <c r="CV49" s="4">
        <v>19.159144000000001</v>
      </c>
      <c r="CW49" s="4">
        <v>1</v>
      </c>
      <c r="CX49" s="4">
        <v>13.042204</v>
      </c>
      <c r="CY49" s="4">
        <v>170.09907899999999</v>
      </c>
      <c r="CZ49" s="4">
        <v>0.68072999999999995</v>
      </c>
      <c r="DA49" s="4">
        <v>22</v>
      </c>
      <c r="DB49" s="4">
        <v>0.38394699999999998</v>
      </c>
      <c r="DC49" s="4">
        <v>2.3314789999999999</v>
      </c>
      <c r="DD49" s="4">
        <v>11.132604000000001</v>
      </c>
      <c r="DE49" s="4">
        <v>19.159144000000001</v>
      </c>
      <c r="DF49" s="4">
        <v>7.4234790000000004</v>
      </c>
      <c r="DG49" s="4">
        <v>0.63299099999999997</v>
      </c>
      <c r="DH49" s="4">
        <v>0.197105</v>
      </c>
      <c r="DI49" s="4">
        <v>0.38746399999999998</v>
      </c>
      <c r="DJ49" s="4">
        <v>8.5268999999999998E-2</v>
      </c>
      <c r="DK49" s="4">
        <v>2.6551999999999999E-2</v>
      </c>
      <c r="DL49" s="4">
        <v>1</v>
      </c>
      <c r="DM49" s="4">
        <v>1</v>
      </c>
      <c r="DN49" s="4">
        <v>2</v>
      </c>
      <c r="DO49" s="4">
        <v>5</v>
      </c>
      <c r="DP49" s="4">
        <v>7</v>
      </c>
      <c r="DQ49" s="4">
        <v>9</v>
      </c>
      <c r="DR49" s="4">
        <v>14</v>
      </c>
      <c r="DS49" s="4">
        <v>19</v>
      </c>
      <c r="DT49" s="4">
        <v>23</v>
      </c>
      <c r="DU49" s="4">
        <v>27</v>
      </c>
      <c r="DV49" s="4">
        <v>29</v>
      </c>
      <c r="DW49" s="4">
        <v>31</v>
      </c>
      <c r="DX49" s="4">
        <v>36</v>
      </c>
      <c r="DY49" s="4">
        <v>42</v>
      </c>
      <c r="DZ49" s="4">
        <v>51</v>
      </c>
      <c r="EA49" s="4">
        <v>91.885441999999998</v>
      </c>
      <c r="EB49" s="4">
        <v>62.019392000000003</v>
      </c>
      <c r="EC49" s="4">
        <v>110.68019099999999</v>
      </c>
      <c r="ED49" s="4">
        <v>1540</v>
      </c>
      <c r="EE49" s="4">
        <v>1855</v>
      </c>
      <c r="EF49" s="4">
        <v>89.916467999999995</v>
      </c>
      <c r="EG49" s="4">
        <v>100</v>
      </c>
      <c r="EH49" s="4">
        <v>58.910063999999998</v>
      </c>
      <c r="EI49" s="4">
        <v>98.996990999999994</v>
      </c>
      <c r="EJ49" s="4">
        <v>105.131265</v>
      </c>
      <c r="EK49" s="4">
        <v>176.67064400000001</v>
      </c>
      <c r="EL49" s="4">
        <v>1507</v>
      </c>
      <c r="EM49" s="4">
        <v>1676</v>
      </c>
      <c r="EN49" s="4">
        <v>1762</v>
      </c>
      <c r="EO49" s="4">
        <v>2961</v>
      </c>
      <c r="EP49" s="4">
        <v>1676</v>
      </c>
      <c r="EQ49" s="4">
        <v>2991</v>
      </c>
      <c r="ER49" s="4">
        <v>51.062226000000003</v>
      </c>
    </row>
    <row r="50" spans="1:148" x14ac:dyDescent="0.2">
      <c r="A50" s="1">
        <v>2022</v>
      </c>
      <c r="B50" s="1" t="str">
        <f t="shared" si="0"/>
        <v>NE</v>
      </c>
      <c r="C50" s="1" t="s">
        <v>411</v>
      </c>
      <c r="D50" s="1" t="s">
        <v>411</v>
      </c>
      <c r="E50" s="1">
        <v>22454</v>
      </c>
      <c r="F50" s="1" t="s">
        <v>2064</v>
      </c>
      <c r="G50" s="1" t="s">
        <v>284</v>
      </c>
      <c r="H50" s="1" t="s">
        <v>408</v>
      </c>
      <c r="I50" s="1">
        <v>23.99</v>
      </c>
      <c r="J50" s="1">
        <v>23.99</v>
      </c>
      <c r="K50" s="1" t="s">
        <v>286</v>
      </c>
      <c r="L50" s="1">
        <v>1</v>
      </c>
      <c r="M50" s="1">
        <v>2014</v>
      </c>
      <c r="N50" s="1">
        <v>2</v>
      </c>
      <c r="O50" s="1">
        <v>1</v>
      </c>
      <c r="P50" s="1" t="str">
        <f t="shared" si="1"/>
        <v>Alto fuste</v>
      </c>
      <c r="Q50" s="2">
        <v>41880</v>
      </c>
      <c r="R50" s="1" t="s">
        <v>169</v>
      </c>
      <c r="S50" s="1" t="s">
        <v>287</v>
      </c>
      <c r="T50" s="1" t="s">
        <v>2268</v>
      </c>
      <c r="U50" s="1" t="s">
        <v>170</v>
      </c>
      <c r="V50" s="1" t="s">
        <v>152</v>
      </c>
      <c r="W50" s="2">
        <v>44714</v>
      </c>
      <c r="X50" s="1" t="s">
        <v>288</v>
      </c>
      <c r="Y50" s="1">
        <v>44.38</v>
      </c>
      <c r="Z50" s="1">
        <v>20</v>
      </c>
      <c r="AA50" s="1">
        <v>12</v>
      </c>
      <c r="AB50" s="1">
        <v>15.5</v>
      </c>
      <c r="AC50" s="1">
        <v>0</v>
      </c>
      <c r="AD50" s="3">
        <v>310</v>
      </c>
      <c r="AE50" s="3">
        <v>303.22575622748002</v>
      </c>
      <c r="AF50" s="2">
        <v>44714</v>
      </c>
      <c r="AG50" s="1">
        <v>94</v>
      </c>
      <c r="AH50" s="3">
        <v>7.7590691307323798</v>
      </c>
      <c r="AI50" s="4">
        <v>29.3470999843186</v>
      </c>
      <c r="AJ50" s="4">
        <v>17.187096774193499</v>
      </c>
      <c r="AK50" s="4">
        <v>24.262442203561498</v>
      </c>
      <c r="AL50" s="1">
        <v>31</v>
      </c>
      <c r="AM50" s="5">
        <v>1022.34059486503</v>
      </c>
      <c r="AN50" s="4">
        <v>315.76021432254902</v>
      </c>
      <c r="AO50" s="4">
        <v>0.30886009604679399</v>
      </c>
      <c r="AP50" s="1" t="s">
        <v>287</v>
      </c>
      <c r="AQ50" s="1" t="s">
        <v>156</v>
      </c>
      <c r="AR50" s="1" t="s">
        <v>302</v>
      </c>
      <c r="AS50" s="1">
        <v>9</v>
      </c>
      <c r="AT50" s="4">
        <v>0.92010653537852705</v>
      </c>
      <c r="AU50" s="1" t="s">
        <v>412</v>
      </c>
      <c r="AV50" s="1" t="s">
        <v>413</v>
      </c>
      <c r="AW50" s="1">
        <v>4806</v>
      </c>
      <c r="AX50" s="1">
        <v>2663</v>
      </c>
      <c r="AY50" s="1">
        <v>2044</v>
      </c>
      <c r="AZ50" s="1">
        <v>98</v>
      </c>
      <c r="BA50" s="1">
        <v>1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4">
        <v>-0.97</v>
      </c>
      <c r="BI50" s="4">
        <v>32.810001</v>
      </c>
      <c r="BJ50" s="4">
        <v>16.315697</v>
      </c>
      <c r="BK50" s="4">
        <v>-0.43380999999999997</v>
      </c>
      <c r="BL50" s="4">
        <v>14.728456</v>
      </c>
      <c r="BM50" s="4">
        <v>216.92740900000001</v>
      </c>
      <c r="BN50" s="4">
        <v>0.90271699999999999</v>
      </c>
      <c r="BO50" s="4">
        <v>30.249998999999999</v>
      </c>
      <c r="BP50" s="4">
        <v>-0.171599</v>
      </c>
      <c r="BQ50" s="4">
        <v>1.074897</v>
      </c>
      <c r="BR50" s="4">
        <v>14.527642</v>
      </c>
      <c r="BS50" s="4">
        <v>4.5300010000000004</v>
      </c>
      <c r="BT50" s="4">
        <v>27.773809</v>
      </c>
      <c r="BU50" s="4">
        <v>16.315697</v>
      </c>
      <c r="BV50" s="4">
        <v>7.6754550000000004</v>
      </c>
      <c r="BW50" s="4">
        <v>-0.37080299999999999</v>
      </c>
      <c r="BX50" s="4">
        <v>-1.620533</v>
      </c>
      <c r="BY50" s="4">
        <v>0.47043400000000002</v>
      </c>
      <c r="BZ50" s="4">
        <v>-4.8309999999999999E-2</v>
      </c>
      <c r="CA50" s="4">
        <v>-0.21113199999999999</v>
      </c>
      <c r="CB50" s="4">
        <v>-0.48899999999999999</v>
      </c>
      <c r="CC50" s="4">
        <v>-0.2175</v>
      </c>
      <c r="CD50" s="4">
        <v>-0.11</v>
      </c>
      <c r="CE50" s="4">
        <v>0.01</v>
      </c>
      <c r="CF50" s="4">
        <v>0.06</v>
      </c>
      <c r="CG50" s="4">
        <v>0.11</v>
      </c>
      <c r="CH50" s="4">
        <v>0.25</v>
      </c>
      <c r="CI50" s="4">
        <v>27.34</v>
      </c>
      <c r="CJ50" s="4">
        <v>28.6</v>
      </c>
      <c r="CK50" s="4">
        <v>29.629999000000002</v>
      </c>
      <c r="CL50" s="4">
        <v>30.309999000000001</v>
      </c>
      <c r="CM50" s="4">
        <v>30.77</v>
      </c>
      <c r="CN50" s="4">
        <v>31.43</v>
      </c>
      <c r="CO50" s="4">
        <v>31.807499</v>
      </c>
      <c r="CP50" s="4">
        <v>32.359501000000002</v>
      </c>
      <c r="CQ50" s="4">
        <v>0.511714</v>
      </c>
      <c r="CR50" s="4">
        <v>21.979177</v>
      </c>
      <c r="CS50" s="4">
        <v>24.334927</v>
      </c>
      <c r="CT50" s="1">
        <v>1</v>
      </c>
      <c r="CU50" s="1">
        <v>64</v>
      </c>
      <c r="CV50" s="4">
        <v>23.074074</v>
      </c>
      <c r="CW50" s="4">
        <v>1</v>
      </c>
      <c r="CX50" s="4">
        <v>16.227336999999999</v>
      </c>
      <c r="CY50" s="4">
        <v>263.326458</v>
      </c>
      <c r="CZ50" s="4">
        <v>0.70327099999999998</v>
      </c>
      <c r="DA50" s="4">
        <v>31</v>
      </c>
      <c r="DB50" s="4">
        <v>9.8063999999999998E-2</v>
      </c>
      <c r="DC50" s="4">
        <v>1.6537740000000001</v>
      </c>
      <c r="DD50" s="4">
        <v>14.636519</v>
      </c>
      <c r="DE50" s="4">
        <v>23.074074</v>
      </c>
      <c r="DF50" s="4">
        <v>9.2667199999999994</v>
      </c>
      <c r="DG50" s="4">
        <v>0.329594</v>
      </c>
      <c r="DH50" s="4">
        <v>-0.47267399999999998</v>
      </c>
      <c r="DI50" s="4">
        <v>0.40160699999999999</v>
      </c>
      <c r="DJ50" s="4">
        <v>3.5567000000000001E-2</v>
      </c>
      <c r="DK50" s="4">
        <v>-5.1007999999999998E-2</v>
      </c>
      <c r="DL50" s="4">
        <v>1</v>
      </c>
      <c r="DM50" s="4">
        <v>1</v>
      </c>
      <c r="DN50" s="4">
        <v>2</v>
      </c>
      <c r="DO50" s="4">
        <v>5</v>
      </c>
      <c r="DP50" s="4">
        <v>6</v>
      </c>
      <c r="DQ50" s="4">
        <v>8</v>
      </c>
      <c r="DR50" s="4">
        <v>15</v>
      </c>
      <c r="DS50" s="4">
        <v>25</v>
      </c>
      <c r="DT50" s="4">
        <v>31</v>
      </c>
      <c r="DU50" s="4">
        <v>35</v>
      </c>
      <c r="DV50" s="4">
        <v>37</v>
      </c>
      <c r="DW50" s="4">
        <v>39</v>
      </c>
      <c r="DX50" s="4">
        <v>44</v>
      </c>
      <c r="DY50" s="4">
        <v>48</v>
      </c>
      <c r="DZ50" s="4">
        <v>55</v>
      </c>
      <c r="EA50" s="4">
        <v>96.620352999999994</v>
      </c>
      <c r="EB50" s="4">
        <v>55.826051</v>
      </c>
      <c r="EC50" s="4">
        <v>100.75103300000001</v>
      </c>
      <c r="ED50" s="4">
        <v>2573</v>
      </c>
      <c r="EE50" s="4">
        <v>2683</v>
      </c>
      <c r="EF50" s="4">
        <v>96.282387999999997</v>
      </c>
      <c r="EG50" s="4">
        <v>100</v>
      </c>
      <c r="EH50" s="4">
        <v>54.952143</v>
      </c>
      <c r="EI50" s="4">
        <v>98.626716999999999</v>
      </c>
      <c r="EJ50" s="4">
        <v>99.173863999999995</v>
      </c>
      <c r="EK50" s="4">
        <v>177.994743</v>
      </c>
      <c r="EL50" s="4">
        <v>2564</v>
      </c>
      <c r="EM50" s="4">
        <v>2663</v>
      </c>
      <c r="EN50" s="4">
        <v>2641</v>
      </c>
      <c r="EO50" s="4">
        <v>4740</v>
      </c>
      <c r="EP50" s="4">
        <v>2663</v>
      </c>
      <c r="EQ50" s="4">
        <v>4806</v>
      </c>
      <c r="ER50" s="4">
        <v>49.497247999999999</v>
      </c>
    </row>
    <row r="51" spans="1:148" x14ac:dyDescent="0.2">
      <c r="A51" s="1">
        <v>2022</v>
      </c>
      <c r="B51" s="1" t="str">
        <f t="shared" si="0"/>
        <v>NE</v>
      </c>
      <c r="C51" s="1" t="s">
        <v>414</v>
      </c>
      <c r="D51" s="1" t="s">
        <v>414</v>
      </c>
      <c r="E51" s="1">
        <v>22455</v>
      </c>
      <c r="F51" s="1" t="s">
        <v>2064</v>
      </c>
      <c r="G51" s="1" t="s">
        <v>284</v>
      </c>
      <c r="H51" s="1" t="s">
        <v>415</v>
      </c>
      <c r="I51" s="1">
        <v>20.39</v>
      </c>
      <c r="J51" s="1">
        <v>20.39</v>
      </c>
      <c r="K51" s="1" t="s">
        <v>286</v>
      </c>
      <c r="L51" s="1">
        <v>1</v>
      </c>
      <c r="M51" s="1">
        <v>2014</v>
      </c>
      <c r="N51" s="1">
        <v>2</v>
      </c>
      <c r="O51" s="1">
        <v>1</v>
      </c>
      <c r="P51" s="1" t="str">
        <f t="shared" si="1"/>
        <v>Alto fuste</v>
      </c>
      <c r="Q51" s="2">
        <v>41991</v>
      </c>
      <c r="R51" s="1" t="s">
        <v>169</v>
      </c>
      <c r="S51" s="1" t="s">
        <v>294</v>
      </c>
      <c r="T51" s="1" t="s">
        <v>2268</v>
      </c>
      <c r="U51" s="1" t="s">
        <v>170</v>
      </c>
      <c r="V51" s="1" t="s">
        <v>152</v>
      </c>
      <c r="W51" s="2">
        <v>44714</v>
      </c>
      <c r="X51" s="1" t="s">
        <v>288</v>
      </c>
      <c r="Y51" s="1">
        <v>44.38</v>
      </c>
      <c r="Z51" s="1">
        <v>19.7</v>
      </c>
      <c r="AA51" s="1">
        <v>31</v>
      </c>
      <c r="AB51" s="1">
        <v>15</v>
      </c>
      <c r="AC51" s="1">
        <v>12</v>
      </c>
      <c r="AD51" s="3">
        <v>295.5</v>
      </c>
      <c r="AE51" s="3">
        <v>247.75787895903201</v>
      </c>
      <c r="AF51" s="2">
        <v>44714</v>
      </c>
      <c r="AG51" s="1">
        <v>90</v>
      </c>
      <c r="AH51" s="3">
        <v>7.4551676933607096</v>
      </c>
      <c r="AI51" s="4">
        <v>28.529957750632999</v>
      </c>
      <c r="AJ51" s="4">
        <v>16.260000000000002</v>
      </c>
      <c r="AK51" s="4">
        <v>31.126930895328901</v>
      </c>
      <c r="AL51" s="1">
        <v>35</v>
      </c>
      <c r="AM51" s="5">
        <v>1412.6695040760901</v>
      </c>
      <c r="AN51" s="4">
        <v>410.76946481490802</v>
      </c>
      <c r="AO51" s="4">
        <v>0.29077534669622301</v>
      </c>
      <c r="AP51" s="1" t="s">
        <v>294</v>
      </c>
      <c r="AQ51" s="1" t="s">
        <v>156</v>
      </c>
      <c r="AR51" s="1" t="s">
        <v>275</v>
      </c>
      <c r="AS51" s="1">
        <v>9</v>
      </c>
      <c r="AT51" s="4">
        <v>1.2714025536684812</v>
      </c>
      <c r="AU51" s="1" t="s">
        <v>416</v>
      </c>
      <c r="AV51" s="1" t="s">
        <v>417</v>
      </c>
      <c r="AW51" s="1">
        <v>4117</v>
      </c>
      <c r="AX51" s="1">
        <v>2674</v>
      </c>
      <c r="AY51" s="1">
        <v>1192</v>
      </c>
      <c r="AZ51" s="1">
        <v>232</v>
      </c>
      <c r="BA51" s="1">
        <v>19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4">
        <v>-1.03</v>
      </c>
      <c r="BI51" s="4">
        <v>38.860000999999997</v>
      </c>
      <c r="BJ51" s="4">
        <v>21.274656</v>
      </c>
      <c r="BK51" s="4">
        <v>-0.39682499999999998</v>
      </c>
      <c r="BL51" s="4">
        <v>14.476896</v>
      </c>
      <c r="BM51" s="4">
        <v>209.58053000000001</v>
      </c>
      <c r="BN51" s="4">
        <v>0.68047599999999997</v>
      </c>
      <c r="BO51" s="4">
        <v>32.339998999999999</v>
      </c>
      <c r="BP51" s="4">
        <v>-0.631714</v>
      </c>
      <c r="BQ51" s="4">
        <v>1.612527</v>
      </c>
      <c r="BR51" s="4">
        <v>13.049657</v>
      </c>
      <c r="BS51" s="4">
        <v>5.2400019999999996</v>
      </c>
      <c r="BT51" s="4">
        <v>30.236826000000001</v>
      </c>
      <c r="BU51" s="4">
        <v>21.274656</v>
      </c>
      <c r="BV51" s="4">
        <v>7.6696600000000004</v>
      </c>
      <c r="BW51" s="4">
        <v>-1.6502220000000001</v>
      </c>
      <c r="BX51" s="4">
        <v>-0.65474299999999996</v>
      </c>
      <c r="BY51" s="4">
        <v>0.36050700000000002</v>
      </c>
      <c r="BZ51" s="4">
        <v>-0.21516199999999999</v>
      </c>
      <c r="CA51" s="4">
        <v>-8.5367999999999999E-2</v>
      </c>
      <c r="CB51" s="4">
        <v>-0.43</v>
      </c>
      <c r="CC51" s="4">
        <v>-0.15</v>
      </c>
      <c r="CD51" s="4">
        <v>-0.02</v>
      </c>
      <c r="CE51" s="4">
        <v>0.17</v>
      </c>
      <c r="CF51" s="4">
        <v>0.37</v>
      </c>
      <c r="CG51" s="4">
        <v>8.0400030000000005</v>
      </c>
      <c r="CH51" s="4">
        <v>23.450001</v>
      </c>
      <c r="CI51" s="4">
        <v>29.84</v>
      </c>
      <c r="CJ51" s="4">
        <v>31.385999999999999</v>
      </c>
      <c r="CK51" s="4">
        <v>32.290000999999997</v>
      </c>
      <c r="CL51" s="4">
        <v>32.709999000000003</v>
      </c>
      <c r="CM51" s="4">
        <v>33.150002000000001</v>
      </c>
      <c r="CN51" s="4">
        <v>34.700001</v>
      </c>
      <c r="CO51" s="4">
        <v>35.921996999999998</v>
      </c>
      <c r="CP51" s="4">
        <v>37.439999</v>
      </c>
      <c r="CQ51" s="4">
        <v>0.55915400000000004</v>
      </c>
      <c r="CR51" s="4">
        <v>25.732092999999999</v>
      </c>
      <c r="CS51" s="4">
        <v>27.626823000000002</v>
      </c>
      <c r="CT51" s="1">
        <v>1</v>
      </c>
      <c r="CU51" s="1">
        <v>42</v>
      </c>
      <c r="CV51" s="4">
        <v>12.021375000000001</v>
      </c>
      <c r="CW51" s="4">
        <v>1</v>
      </c>
      <c r="CX51" s="4">
        <v>8.4977579999999993</v>
      </c>
      <c r="CY51" s="4">
        <v>72.211884999999995</v>
      </c>
      <c r="CZ51" s="4">
        <v>0.70688700000000004</v>
      </c>
      <c r="DA51" s="4">
        <v>13</v>
      </c>
      <c r="DB51" s="4">
        <v>0.63132200000000005</v>
      </c>
      <c r="DC51" s="4">
        <v>2.7552660000000002</v>
      </c>
      <c r="DD51" s="4">
        <v>7.0354020000000004</v>
      </c>
      <c r="DE51" s="4">
        <v>12.021375000000001</v>
      </c>
      <c r="DF51" s="4">
        <v>4.7799459999999998</v>
      </c>
      <c r="DG51" s="4">
        <v>0.67982100000000001</v>
      </c>
      <c r="DH51" s="4">
        <v>0.252722</v>
      </c>
      <c r="DI51" s="4">
        <v>0.397621</v>
      </c>
      <c r="DJ51" s="4">
        <v>0.14222399999999999</v>
      </c>
      <c r="DK51" s="4">
        <v>5.2871000000000001E-2</v>
      </c>
      <c r="DL51" s="4">
        <v>1</v>
      </c>
      <c r="DM51" s="4">
        <v>1</v>
      </c>
      <c r="DN51" s="4">
        <v>2</v>
      </c>
      <c r="DO51" s="4">
        <v>4</v>
      </c>
      <c r="DP51" s="4">
        <v>5</v>
      </c>
      <c r="DQ51" s="4">
        <v>6</v>
      </c>
      <c r="DR51" s="4">
        <v>8</v>
      </c>
      <c r="DS51" s="4">
        <v>11</v>
      </c>
      <c r="DT51" s="4">
        <v>13</v>
      </c>
      <c r="DU51" s="4">
        <v>16</v>
      </c>
      <c r="DV51" s="4">
        <v>18</v>
      </c>
      <c r="DW51" s="4">
        <v>19</v>
      </c>
      <c r="DX51" s="4">
        <v>24</v>
      </c>
      <c r="DY51" s="4">
        <v>28</v>
      </c>
      <c r="DZ51" s="4">
        <v>34</v>
      </c>
      <c r="EA51" s="4">
        <v>92.520567999999997</v>
      </c>
      <c r="EB51" s="4">
        <v>70.561087999999998</v>
      </c>
      <c r="EC51" s="4">
        <v>108.63874300000001</v>
      </c>
      <c r="ED51" s="4">
        <v>2474</v>
      </c>
      <c r="EE51" s="4">
        <v>2905</v>
      </c>
      <c r="EF51" s="4">
        <v>89.267015999999998</v>
      </c>
      <c r="EG51" s="4">
        <v>100</v>
      </c>
      <c r="EH51" s="4">
        <v>65.363128000000003</v>
      </c>
      <c r="EI51" s="4">
        <v>98.785522999999998</v>
      </c>
      <c r="EJ51" s="4">
        <v>100.635752</v>
      </c>
      <c r="EK51" s="4">
        <v>152.09424100000001</v>
      </c>
      <c r="EL51" s="4">
        <v>2387</v>
      </c>
      <c r="EM51" s="4">
        <v>2674</v>
      </c>
      <c r="EN51" s="4">
        <v>2691</v>
      </c>
      <c r="EO51" s="4">
        <v>4067</v>
      </c>
      <c r="EP51" s="4">
        <v>2674</v>
      </c>
      <c r="EQ51" s="4">
        <v>4117</v>
      </c>
      <c r="ER51" s="4">
        <v>55.877992999999996</v>
      </c>
    </row>
    <row r="52" spans="1:148" x14ac:dyDescent="0.2">
      <c r="A52" s="1">
        <v>2022</v>
      </c>
      <c r="B52" s="1" t="str">
        <f t="shared" si="0"/>
        <v>NE</v>
      </c>
      <c r="C52" s="1" t="s">
        <v>418</v>
      </c>
      <c r="D52" s="1" t="s">
        <v>418</v>
      </c>
      <c r="E52" s="1">
        <v>22474</v>
      </c>
      <c r="F52" s="1" t="s">
        <v>2065</v>
      </c>
      <c r="G52" s="1" t="s">
        <v>419</v>
      </c>
      <c r="H52" s="1" t="s">
        <v>420</v>
      </c>
      <c r="I52" s="1">
        <v>16.760000000000002</v>
      </c>
      <c r="J52" s="1">
        <v>16.760000000000002</v>
      </c>
      <c r="K52" s="1" t="s">
        <v>168</v>
      </c>
      <c r="L52" s="1">
        <v>1</v>
      </c>
      <c r="M52" s="1">
        <v>2014</v>
      </c>
      <c r="N52" s="1">
        <v>2</v>
      </c>
      <c r="O52" s="1">
        <v>1</v>
      </c>
      <c r="P52" s="1" t="str">
        <f t="shared" si="1"/>
        <v>Alto fuste</v>
      </c>
      <c r="Q52" s="2">
        <v>41880</v>
      </c>
      <c r="R52" s="1" t="s">
        <v>169</v>
      </c>
      <c r="S52" s="1" t="s">
        <v>403</v>
      </c>
      <c r="T52" s="1" t="s">
        <v>2268</v>
      </c>
      <c r="U52" s="1" t="s">
        <v>170</v>
      </c>
      <c r="V52" s="1" t="s">
        <v>152</v>
      </c>
      <c r="W52" s="2">
        <v>44713</v>
      </c>
      <c r="X52" s="1" t="s">
        <v>421</v>
      </c>
      <c r="Y52" s="1">
        <v>32.86</v>
      </c>
      <c r="Z52" s="1">
        <v>21</v>
      </c>
      <c r="AA52" s="1">
        <v>11</v>
      </c>
      <c r="AB52" s="1">
        <v>15.5</v>
      </c>
      <c r="AC52" s="1">
        <v>13</v>
      </c>
      <c r="AD52" s="3">
        <v>325.5</v>
      </c>
      <c r="AE52" s="3">
        <v>311.33038032869098</v>
      </c>
      <c r="AF52" s="2">
        <v>44713</v>
      </c>
      <c r="AG52" s="1">
        <v>94</v>
      </c>
      <c r="AH52" s="3">
        <v>7.7563312799452397</v>
      </c>
      <c r="AI52" s="4">
        <v>27.8144827873877</v>
      </c>
      <c r="AJ52" s="4">
        <v>18.205714285714301</v>
      </c>
      <c r="AK52" s="4">
        <v>30.3490819763296</v>
      </c>
      <c r="AL52" s="1">
        <v>35</v>
      </c>
      <c r="AM52" s="5">
        <v>1124.2076652798301</v>
      </c>
      <c r="AN52" s="4">
        <v>377.04072298313201</v>
      </c>
      <c r="AO52" s="4">
        <v>0.335383519102123</v>
      </c>
      <c r="AP52" s="1" t="s">
        <v>403</v>
      </c>
      <c r="AQ52" s="1" t="s">
        <v>156</v>
      </c>
      <c r="AR52" s="1" t="s">
        <v>282</v>
      </c>
      <c r="AS52" s="1">
        <v>9</v>
      </c>
      <c r="AT52" s="4">
        <v>1.011786898751847</v>
      </c>
      <c r="AU52" s="1" t="s">
        <v>422</v>
      </c>
      <c r="AV52" s="1" t="s">
        <v>423</v>
      </c>
      <c r="AW52" s="1">
        <v>6392</v>
      </c>
      <c r="AX52" s="1">
        <v>3284</v>
      </c>
      <c r="AY52" s="1">
        <v>2639</v>
      </c>
      <c r="AZ52" s="1">
        <v>434</v>
      </c>
      <c r="BA52" s="1">
        <v>35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4">
        <v>-1.071</v>
      </c>
      <c r="BI52" s="4">
        <v>33.088000999999998</v>
      </c>
      <c r="BJ52" s="4">
        <v>16.480125999999998</v>
      </c>
      <c r="BK52" s="4">
        <v>1.3413E-2</v>
      </c>
      <c r="BL52" s="4">
        <v>14.095628</v>
      </c>
      <c r="BM52" s="4">
        <v>198.68673100000001</v>
      </c>
      <c r="BN52" s="4">
        <v>0.85531100000000004</v>
      </c>
      <c r="BO52" s="4">
        <v>29.785001000000001</v>
      </c>
      <c r="BP52" s="4">
        <v>-0.21987799999999999</v>
      </c>
      <c r="BQ52" s="4">
        <v>1.1575789999999999</v>
      </c>
      <c r="BR52" s="4">
        <v>13.604817000000001</v>
      </c>
      <c r="BS52" s="4">
        <v>7.8765000000000001</v>
      </c>
      <c r="BT52" s="4">
        <v>23.233087999999999</v>
      </c>
      <c r="BU52" s="4">
        <v>16.480125999999998</v>
      </c>
      <c r="BV52" s="4">
        <v>7.4981169999999997</v>
      </c>
      <c r="BW52" s="4">
        <v>-0.52654800000000002</v>
      </c>
      <c r="BX52" s="4">
        <v>-1.488356</v>
      </c>
      <c r="BY52" s="4">
        <v>0.45497900000000002</v>
      </c>
      <c r="BZ52" s="4">
        <v>-7.0223999999999995E-2</v>
      </c>
      <c r="CA52" s="4">
        <v>-0.19849700000000001</v>
      </c>
      <c r="CB52" s="4">
        <v>-0.437</v>
      </c>
      <c r="CC52" s="4">
        <v>-0.17845</v>
      </c>
      <c r="CD52" s="4">
        <v>-8.5999999999999993E-2</v>
      </c>
      <c r="CE52" s="4">
        <v>3.32E-2</v>
      </c>
      <c r="CF52" s="4">
        <v>8.2000000000000003E-2</v>
      </c>
      <c r="CG52" s="4">
        <v>0.14099999999999999</v>
      </c>
      <c r="CH52" s="4">
        <v>3.9619979999999999</v>
      </c>
      <c r="CI52" s="4">
        <v>23.246500000000001</v>
      </c>
      <c r="CJ52" s="4">
        <v>28.627200999999999</v>
      </c>
      <c r="CK52" s="4">
        <v>29.460799999999999</v>
      </c>
      <c r="CL52" s="4">
        <v>29.867000999999998</v>
      </c>
      <c r="CM52" s="4">
        <v>30.146598999999998</v>
      </c>
      <c r="CN52" s="4">
        <v>30.901700999999999</v>
      </c>
      <c r="CO52" s="4">
        <v>31.388451</v>
      </c>
      <c r="CP52" s="4">
        <v>32.411437999999997</v>
      </c>
      <c r="CQ52" s="4">
        <v>0.51380700000000001</v>
      </c>
      <c r="CR52" s="4">
        <v>21.685252999999999</v>
      </c>
      <c r="CS52" s="4">
        <v>23.917431000000001</v>
      </c>
      <c r="CT52" s="1">
        <v>1</v>
      </c>
      <c r="CU52" s="1">
        <v>80</v>
      </c>
      <c r="CV52" s="4">
        <v>21.142209000000001</v>
      </c>
      <c r="CW52" s="4">
        <v>4.7619049999999996</v>
      </c>
      <c r="CX52" s="4">
        <v>15.249871000000001</v>
      </c>
      <c r="CY52" s="4">
        <v>232.55855600000001</v>
      </c>
      <c r="CZ52" s="4">
        <v>0.72130000000000005</v>
      </c>
      <c r="DA52" s="4">
        <v>27</v>
      </c>
      <c r="DB52" s="4">
        <v>0.49513800000000002</v>
      </c>
      <c r="DC52" s="4">
        <v>2.3903789999999998</v>
      </c>
      <c r="DD52" s="4">
        <v>13.318765000000001</v>
      </c>
      <c r="DE52" s="4">
        <v>21.142209000000001</v>
      </c>
      <c r="DF52" s="4">
        <v>8.6133550000000003</v>
      </c>
      <c r="DG52" s="4">
        <v>1.0444100000000001</v>
      </c>
      <c r="DH52" s="4">
        <v>-2.7557000000000002E-2</v>
      </c>
      <c r="DI52" s="4">
        <v>0.40740100000000001</v>
      </c>
      <c r="DJ52" s="4">
        <v>0.121255</v>
      </c>
      <c r="DK52" s="4">
        <v>-3.199E-3</v>
      </c>
      <c r="DL52" s="4">
        <v>1</v>
      </c>
      <c r="DM52" s="4">
        <v>2</v>
      </c>
      <c r="DN52" s="4">
        <v>3</v>
      </c>
      <c r="DO52" s="4">
        <v>6</v>
      </c>
      <c r="DP52" s="4">
        <v>7</v>
      </c>
      <c r="DQ52" s="4">
        <v>9</v>
      </c>
      <c r="DR52" s="4">
        <v>13</v>
      </c>
      <c r="DS52" s="4">
        <v>19</v>
      </c>
      <c r="DT52" s="4">
        <v>26</v>
      </c>
      <c r="DU52" s="4">
        <v>32</v>
      </c>
      <c r="DV52" s="4">
        <v>34</v>
      </c>
      <c r="DW52" s="4">
        <v>36</v>
      </c>
      <c r="DX52" s="4">
        <v>41</v>
      </c>
      <c r="DY52" s="4">
        <v>46</v>
      </c>
      <c r="DZ52" s="4">
        <v>60</v>
      </c>
      <c r="EA52" s="4">
        <v>97.959805000000003</v>
      </c>
      <c r="EB52" s="4">
        <v>60.075094</v>
      </c>
      <c r="EC52" s="4">
        <v>116.930572</v>
      </c>
      <c r="ED52" s="4">
        <v>3217</v>
      </c>
      <c r="EE52" s="4">
        <v>3840</v>
      </c>
      <c r="EF52" s="4">
        <v>96.711327999999995</v>
      </c>
      <c r="EG52" s="4">
        <v>99.939098999999999</v>
      </c>
      <c r="EH52" s="4">
        <v>56.805382000000002</v>
      </c>
      <c r="EI52" s="4">
        <v>81.977472000000006</v>
      </c>
      <c r="EJ52" s="4">
        <v>110.566382</v>
      </c>
      <c r="EK52" s="4">
        <v>159.56151</v>
      </c>
      <c r="EL52" s="4">
        <v>3176</v>
      </c>
      <c r="EM52" s="4">
        <v>3282</v>
      </c>
      <c r="EN52" s="4">
        <v>3631</v>
      </c>
      <c r="EO52" s="4">
        <v>5240</v>
      </c>
      <c r="EP52" s="4">
        <v>3284</v>
      </c>
      <c r="EQ52" s="4">
        <v>6392</v>
      </c>
      <c r="ER52" s="4">
        <v>49.986823999999999</v>
      </c>
    </row>
    <row r="53" spans="1:148" x14ac:dyDescent="0.2">
      <c r="A53" s="1">
        <v>2022</v>
      </c>
      <c r="B53" s="1" t="str">
        <f t="shared" si="0"/>
        <v>NE</v>
      </c>
      <c r="C53" s="1" t="s">
        <v>424</v>
      </c>
      <c r="D53" s="1" t="s">
        <v>424</v>
      </c>
      <c r="E53" s="1">
        <v>22475</v>
      </c>
      <c r="F53" s="1" t="s">
        <v>2065</v>
      </c>
      <c r="G53" s="1" t="s">
        <v>419</v>
      </c>
      <c r="H53" s="1" t="s">
        <v>420</v>
      </c>
      <c r="I53" s="1">
        <v>16.760000000000002</v>
      </c>
      <c r="J53" s="1">
        <v>16.760000000000002</v>
      </c>
      <c r="K53" s="1" t="s">
        <v>168</v>
      </c>
      <c r="L53" s="1">
        <v>1</v>
      </c>
      <c r="M53" s="1">
        <v>2014</v>
      </c>
      <c r="N53" s="1">
        <v>2</v>
      </c>
      <c r="O53" s="1">
        <v>1</v>
      </c>
      <c r="P53" s="1" t="str">
        <f t="shared" si="1"/>
        <v>Alto fuste</v>
      </c>
      <c r="Q53" s="2">
        <v>41880</v>
      </c>
      <c r="R53" s="1" t="s">
        <v>169</v>
      </c>
      <c r="S53" s="1" t="s">
        <v>403</v>
      </c>
      <c r="T53" s="1" t="s">
        <v>2268</v>
      </c>
      <c r="U53" s="1" t="s">
        <v>170</v>
      </c>
      <c r="V53" s="1" t="s">
        <v>152</v>
      </c>
      <c r="W53" s="2">
        <v>44713</v>
      </c>
      <c r="X53" s="1" t="s">
        <v>421</v>
      </c>
      <c r="Y53" s="1">
        <v>32.86</v>
      </c>
      <c r="Z53" s="1">
        <v>20</v>
      </c>
      <c r="AA53" s="1">
        <v>18</v>
      </c>
      <c r="AB53" s="1">
        <v>15</v>
      </c>
      <c r="AC53" s="1">
        <v>2</v>
      </c>
      <c r="AD53" s="3">
        <v>300</v>
      </c>
      <c r="AE53" s="3">
        <v>285.143147508634</v>
      </c>
      <c r="AF53" s="2">
        <v>44713</v>
      </c>
      <c r="AG53" s="1">
        <v>94</v>
      </c>
      <c r="AH53" s="3">
        <v>7.7563312799452397</v>
      </c>
      <c r="AI53" s="4">
        <v>28.1975394339484</v>
      </c>
      <c r="AJ53" s="4">
        <v>16.762499999999999</v>
      </c>
      <c r="AK53" s="4">
        <v>32.637238602379398</v>
      </c>
      <c r="AL53" s="1">
        <v>40</v>
      </c>
      <c r="AM53" s="5">
        <v>1402.8041827233001</v>
      </c>
      <c r="AN53" s="4">
        <v>422.323630120117</v>
      </c>
      <c r="AO53" s="4">
        <v>0.30105672289930602</v>
      </c>
      <c r="AP53" s="1" t="s">
        <v>403</v>
      </c>
      <c r="AQ53" s="1" t="s">
        <v>156</v>
      </c>
      <c r="AR53" s="1" t="s">
        <v>282</v>
      </c>
      <c r="AS53" s="1">
        <v>9</v>
      </c>
      <c r="AT53" s="4">
        <v>1.2625237644509701</v>
      </c>
      <c r="AU53" s="1" t="s">
        <v>425</v>
      </c>
      <c r="AV53" s="1" t="s">
        <v>426</v>
      </c>
      <c r="AW53" s="1">
        <v>4283</v>
      </c>
      <c r="AX53" s="1">
        <v>2306</v>
      </c>
      <c r="AY53" s="1">
        <v>1778</v>
      </c>
      <c r="AZ53" s="1">
        <v>195</v>
      </c>
      <c r="BA53" s="1">
        <v>4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4">
        <v>-0.72899999999999998</v>
      </c>
      <c r="BI53" s="4">
        <v>32.374001</v>
      </c>
      <c r="BJ53" s="4">
        <v>16.36589</v>
      </c>
      <c r="BK53" s="4">
        <v>-0.20355599999999999</v>
      </c>
      <c r="BL53" s="4">
        <v>14.31892</v>
      </c>
      <c r="BM53" s="4">
        <v>205.03146100000001</v>
      </c>
      <c r="BN53" s="4">
        <v>0.87492499999999995</v>
      </c>
      <c r="BO53" s="4">
        <v>30.080998999999998</v>
      </c>
      <c r="BP53" s="4">
        <v>-0.19729099999999999</v>
      </c>
      <c r="BQ53" s="4">
        <v>1.1233770000000001</v>
      </c>
      <c r="BR53" s="4">
        <v>13.905063</v>
      </c>
      <c r="BS53" s="4">
        <v>6.6989989999999997</v>
      </c>
      <c r="BT53" s="4">
        <v>24.702556999999999</v>
      </c>
      <c r="BU53" s="4">
        <v>16.36589</v>
      </c>
      <c r="BV53" s="4">
        <v>7.5529700000000002</v>
      </c>
      <c r="BW53" s="4">
        <v>-0.47720600000000002</v>
      </c>
      <c r="BX53" s="4">
        <v>-1.587712</v>
      </c>
      <c r="BY53" s="4">
        <v>0.461507</v>
      </c>
      <c r="BZ53" s="4">
        <v>-6.3181000000000001E-2</v>
      </c>
      <c r="CA53" s="4">
        <v>-0.21021000000000001</v>
      </c>
      <c r="CB53" s="4">
        <v>-0.38090000000000002</v>
      </c>
      <c r="CC53" s="4">
        <v>-0.18890000000000001</v>
      </c>
      <c r="CD53" s="4">
        <v>-8.7999999999999995E-2</v>
      </c>
      <c r="CE53" s="4">
        <v>1.7399999999999999E-2</v>
      </c>
      <c r="CF53" s="4">
        <v>6.6000000000000003E-2</v>
      </c>
      <c r="CG53" s="4">
        <v>0.115</v>
      </c>
      <c r="CH53" s="4">
        <v>0.37419999999999998</v>
      </c>
      <c r="CI53" s="4">
        <v>24.499001</v>
      </c>
      <c r="CJ53" s="4">
        <v>28.7514</v>
      </c>
      <c r="CK53" s="4">
        <v>29.752001</v>
      </c>
      <c r="CL53" s="4">
        <v>30.146999000000001</v>
      </c>
      <c r="CM53" s="4">
        <v>30.488001000000001</v>
      </c>
      <c r="CN53" s="4">
        <v>30.936800000000002</v>
      </c>
      <c r="CO53" s="4">
        <v>31.218800000000002</v>
      </c>
      <c r="CP53" s="4">
        <v>31.886178999999998</v>
      </c>
      <c r="CQ53" s="4">
        <v>0.51641499999999996</v>
      </c>
      <c r="CR53" s="4">
        <v>21.744561000000001</v>
      </c>
      <c r="CS53" s="4">
        <v>24.025784999999999</v>
      </c>
      <c r="CT53" s="1">
        <v>1</v>
      </c>
      <c r="CU53" s="1">
        <v>52</v>
      </c>
      <c r="CV53" s="4">
        <v>15.56339</v>
      </c>
      <c r="CW53" s="4">
        <v>2.6190479999999998</v>
      </c>
      <c r="CX53" s="4">
        <v>10.42192</v>
      </c>
      <c r="CY53" s="4">
        <v>108.616427</v>
      </c>
      <c r="CZ53" s="4">
        <v>0.66964299999999999</v>
      </c>
      <c r="DA53" s="4">
        <v>18</v>
      </c>
      <c r="DB53" s="4">
        <v>0.40586899999999998</v>
      </c>
      <c r="DC53" s="4">
        <v>2.2975159999999999</v>
      </c>
      <c r="DD53" s="4">
        <v>8.9975930000000002</v>
      </c>
      <c r="DE53" s="4">
        <v>15.56339</v>
      </c>
      <c r="DF53" s="4">
        <v>5.9268689999999999</v>
      </c>
      <c r="DG53" s="4">
        <v>0.56376199999999999</v>
      </c>
      <c r="DH53" s="4">
        <v>7.2289999999999993E-2</v>
      </c>
      <c r="DI53" s="4">
        <v>0.38082100000000002</v>
      </c>
      <c r="DJ53" s="4">
        <v>9.5119999999999996E-2</v>
      </c>
      <c r="DK53" s="4">
        <v>1.2197E-2</v>
      </c>
      <c r="DL53" s="4">
        <v>1</v>
      </c>
      <c r="DM53" s="4">
        <v>2</v>
      </c>
      <c r="DN53" s="4">
        <v>3</v>
      </c>
      <c r="DO53" s="4">
        <v>5</v>
      </c>
      <c r="DP53" s="4">
        <v>6</v>
      </c>
      <c r="DQ53" s="4">
        <v>7</v>
      </c>
      <c r="DR53" s="4">
        <v>11</v>
      </c>
      <c r="DS53" s="4">
        <v>15</v>
      </c>
      <c r="DT53" s="4">
        <v>19</v>
      </c>
      <c r="DU53" s="4">
        <v>22</v>
      </c>
      <c r="DV53" s="4">
        <v>24</v>
      </c>
      <c r="DW53" s="4">
        <v>25</v>
      </c>
      <c r="DX53" s="4">
        <v>29</v>
      </c>
      <c r="DY53" s="4">
        <v>33</v>
      </c>
      <c r="DZ53" s="4">
        <v>41</v>
      </c>
      <c r="EA53" s="4">
        <v>95.750217000000006</v>
      </c>
      <c r="EB53" s="4">
        <v>57.926687000000001</v>
      </c>
      <c r="EC53" s="4">
        <v>107.588899</v>
      </c>
      <c r="ED53" s="4">
        <v>2208</v>
      </c>
      <c r="EE53" s="4">
        <v>2481</v>
      </c>
      <c r="EF53" s="4">
        <v>95.273200000000003</v>
      </c>
      <c r="EG53" s="4">
        <v>100</v>
      </c>
      <c r="EH53" s="4">
        <v>55.988793000000001</v>
      </c>
      <c r="EI53" s="4">
        <v>95.470465000000004</v>
      </c>
      <c r="EJ53" s="4">
        <v>103.989592</v>
      </c>
      <c r="EK53" s="4">
        <v>177.32003499999999</v>
      </c>
      <c r="EL53" s="4">
        <v>2197</v>
      </c>
      <c r="EM53" s="4">
        <v>2306</v>
      </c>
      <c r="EN53" s="4">
        <v>2398</v>
      </c>
      <c r="EO53" s="4">
        <v>4089</v>
      </c>
      <c r="EP53" s="4">
        <v>2306</v>
      </c>
      <c r="EQ53" s="4">
        <v>4283</v>
      </c>
      <c r="ER53" s="4">
        <v>50.365606999999997</v>
      </c>
    </row>
    <row r="54" spans="1:148" x14ac:dyDescent="0.2">
      <c r="A54" s="1">
        <v>2022</v>
      </c>
      <c r="B54" s="1" t="str">
        <f t="shared" si="0"/>
        <v>NE</v>
      </c>
      <c r="C54" s="1" t="s">
        <v>427</v>
      </c>
      <c r="D54" s="1" t="s">
        <v>427</v>
      </c>
      <c r="E54" s="1">
        <v>22476</v>
      </c>
      <c r="F54" s="1" t="s">
        <v>2065</v>
      </c>
      <c r="G54" s="1" t="s">
        <v>419</v>
      </c>
      <c r="H54" s="1" t="s">
        <v>428</v>
      </c>
      <c r="I54" s="1">
        <v>11.59</v>
      </c>
      <c r="J54" s="1">
        <v>11.59</v>
      </c>
      <c r="K54" s="1" t="s">
        <v>168</v>
      </c>
      <c r="L54" s="1">
        <v>1</v>
      </c>
      <c r="M54" s="1">
        <v>2014</v>
      </c>
      <c r="N54" s="1">
        <v>2</v>
      </c>
      <c r="O54" s="1">
        <v>1</v>
      </c>
      <c r="P54" s="1" t="str">
        <f t="shared" si="1"/>
        <v>Alto fuste</v>
      </c>
      <c r="Q54" s="2">
        <v>41905</v>
      </c>
      <c r="R54" s="1" t="s">
        <v>169</v>
      </c>
      <c r="S54" s="1" t="s">
        <v>294</v>
      </c>
      <c r="T54" s="1" t="s">
        <v>2268</v>
      </c>
      <c r="U54" s="1" t="s">
        <v>170</v>
      </c>
      <c r="V54" s="1" t="s">
        <v>152</v>
      </c>
      <c r="W54" s="2">
        <v>44713</v>
      </c>
      <c r="X54" s="1" t="s">
        <v>421</v>
      </c>
      <c r="Y54" s="1">
        <v>32.86</v>
      </c>
      <c r="Z54" s="1">
        <v>20</v>
      </c>
      <c r="AA54" s="1">
        <v>17</v>
      </c>
      <c r="AB54" s="1">
        <v>15.4</v>
      </c>
      <c r="AC54" s="1">
        <v>10</v>
      </c>
      <c r="AD54" s="3">
        <v>308</v>
      </c>
      <c r="AE54" s="3">
        <v>290.06711207777198</v>
      </c>
      <c r="AF54" s="2">
        <v>44713</v>
      </c>
      <c r="AG54" s="1">
        <v>93</v>
      </c>
      <c r="AH54" s="3">
        <v>7.6878850102669398</v>
      </c>
      <c r="AI54" s="4">
        <v>30.823758729077099</v>
      </c>
      <c r="AJ54" s="4">
        <v>17.4606060606061</v>
      </c>
      <c r="AK54" s="4">
        <v>28.027299281961302</v>
      </c>
      <c r="AL54" s="1">
        <v>33</v>
      </c>
      <c r="AM54" s="5">
        <v>1137.66775432136</v>
      </c>
      <c r="AN54" s="4">
        <v>388.91758451339501</v>
      </c>
      <c r="AO54" s="4">
        <v>0.34185515326079802</v>
      </c>
      <c r="AP54" s="1" t="s">
        <v>294</v>
      </c>
      <c r="AQ54" s="1" t="s">
        <v>156</v>
      </c>
      <c r="AR54" s="1" t="s">
        <v>282</v>
      </c>
      <c r="AS54" s="1">
        <v>9</v>
      </c>
      <c r="AT54" s="4">
        <v>1.0239009788892239</v>
      </c>
      <c r="AU54" s="1" t="s">
        <v>429</v>
      </c>
      <c r="AV54" s="1" t="s">
        <v>430</v>
      </c>
      <c r="AW54" s="1">
        <v>8100</v>
      </c>
      <c r="AX54" s="1">
        <v>5313</v>
      </c>
      <c r="AY54" s="1">
        <v>2491</v>
      </c>
      <c r="AZ54" s="1">
        <v>287</v>
      </c>
      <c r="BA54" s="1">
        <v>9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4">
        <v>-1.347</v>
      </c>
      <c r="BI54" s="4">
        <v>36.002997999999998</v>
      </c>
      <c r="BJ54" s="4">
        <v>19.613917000000001</v>
      </c>
      <c r="BK54" s="4">
        <v>-0.16128600000000001</v>
      </c>
      <c r="BL54" s="4">
        <v>15.273425</v>
      </c>
      <c r="BM54" s="4">
        <v>233.27751900000001</v>
      </c>
      <c r="BN54" s="4">
        <v>0.77870300000000003</v>
      </c>
      <c r="BO54" s="4">
        <v>32.542999000000002</v>
      </c>
      <c r="BP54" s="4">
        <v>-0.41884100000000002</v>
      </c>
      <c r="BQ54" s="4">
        <v>1.267795</v>
      </c>
      <c r="BR54" s="4">
        <v>14.643046</v>
      </c>
      <c r="BS54" s="4">
        <v>4.0099980000000004</v>
      </c>
      <c r="BT54" s="4">
        <v>30.410285999999999</v>
      </c>
      <c r="BU54" s="4">
        <v>19.613917000000001</v>
      </c>
      <c r="BV54" s="4">
        <v>7.9943679999999997</v>
      </c>
      <c r="BW54" s="4">
        <v>-1.2711980000000001</v>
      </c>
      <c r="BX54" s="4">
        <v>-1.3157859999999999</v>
      </c>
      <c r="BY54" s="4">
        <v>0.40758699999999998</v>
      </c>
      <c r="BZ54" s="4">
        <v>-0.15901199999999999</v>
      </c>
      <c r="CA54" s="4">
        <v>-0.16458900000000001</v>
      </c>
      <c r="CB54" s="4">
        <v>-0.45706000000000002</v>
      </c>
      <c r="CC54" s="4">
        <v>-0.1741</v>
      </c>
      <c r="CD54" s="4">
        <v>-7.3999999999999996E-2</v>
      </c>
      <c r="CE54" s="4">
        <v>4.3999999999999997E-2</v>
      </c>
      <c r="CF54" s="4">
        <v>0.105</v>
      </c>
      <c r="CG54" s="4">
        <v>0.17499999999999999</v>
      </c>
      <c r="CH54" s="4">
        <v>18.435403999999998</v>
      </c>
      <c r="CI54" s="4">
        <v>30.249001</v>
      </c>
      <c r="CJ54" s="4">
        <v>31.288799000000001</v>
      </c>
      <c r="CK54" s="4">
        <v>32.195999</v>
      </c>
      <c r="CL54" s="4">
        <v>32.647998999999999</v>
      </c>
      <c r="CM54" s="4">
        <v>33.1036</v>
      </c>
      <c r="CN54" s="4">
        <v>34.017097</v>
      </c>
      <c r="CO54" s="4">
        <v>34.571097999999999</v>
      </c>
      <c r="CP54" s="4">
        <v>35.134028999999998</v>
      </c>
      <c r="CQ54" s="4">
        <v>0.56120300000000001</v>
      </c>
      <c r="CR54" s="4">
        <v>24.858688999999998</v>
      </c>
      <c r="CS54" s="4">
        <v>27.043462999999999</v>
      </c>
      <c r="CT54" s="1">
        <v>1</v>
      </c>
      <c r="CU54" s="1">
        <v>69</v>
      </c>
      <c r="CV54" s="4">
        <v>23.745432000000001</v>
      </c>
      <c r="CW54" s="4">
        <v>1</v>
      </c>
      <c r="CX54" s="4">
        <v>15.979124000000001</v>
      </c>
      <c r="CY54" s="4">
        <v>255.33239699999999</v>
      </c>
      <c r="CZ54" s="4">
        <v>0.67293499999999995</v>
      </c>
      <c r="DA54" s="4">
        <v>27</v>
      </c>
      <c r="DB54" s="4">
        <v>0.23907200000000001</v>
      </c>
      <c r="DC54" s="4">
        <v>2.0168620000000002</v>
      </c>
      <c r="DD54" s="4">
        <v>13.656682999999999</v>
      </c>
      <c r="DE54" s="4">
        <v>23.745432000000001</v>
      </c>
      <c r="DF54" s="4">
        <v>9.1642860000000006</v>
      </c>
      <c r="DG54" s="4">
        <v>0.56842800000000004</v>
      </c>
      <c r="DH54" s="4">
        <v>0.11656900000000001</v>
      </c>
      <c r="DI54" s="4">
        <v>0.38593899999999998</v>
      </c>
      <c r="DJ54" s="4">
        <v>6.2025999999999998E-2</v>
      </c>
      <c r="DK54" s="4">
        <v>1.272E-2</v>
      </c>
      <c r="DL54" s="4">
        <v>1</v>
      </c>
      <c r="DM54" s="4">
        <v>1</v>
      </c>
      <c r="DN54" s="4">
        <v>3</v>
      </c>
      <c r="DO54" s="4">
        <v>6</v>
      </c>
      <c r="DP54" s="4">
        <v>9</v>
      </c>
      <c r="DQ54" s="4">
        <v>12</v>
      </c>
      <c r="DR54" s="4">
        <v>18</v>
      </c>
      <c r="DS54" s="4">
        <v>24</v>
      </c>
      <c r="DT54" s="4">
        <v>29</v>
      </c>
      <c r="DU54" s="4">
        <v>33</v>
      </c>
      <c r="DV54" s="4">
        <v>36</v>
      </c>
      <c r="DW54" s="4">
        <v>39</v>
      </c>
      <c r="DX54" s="4">
        <v>46</v>
      </c>
      <c r="DY54" s="4">
        <v>51</v>
      </c>
      <c r="DZ54" s="4">
        <v>58</v>
      </c>
      <c r="EA54" s="4">
        <v>91.078486999999996</v>
      </c>
      <c r="EB54" s="4">
        <v>64.679012</v>
      </c>
      <c r="EC54" s="4">
        <v>98.607190000000003</v>
      </c>
      <c r="ED54" s="4">
        <v>4839</v>
      </c>
      <c r="EE54" s="4">
        <v>5239</v>
      </c>
      <c r="EF54" s="4">
        <v>87.972897000000003</v>
      </c>
      <c r="EG54" s="4">
        <v>100</v>
      </c>
      <c r="EH54" s="4">
        <v>59.728394999999999</v>
      </c>
      <c r="EI54" s="4">
        <v>94.629630000000006</v>
      </c>
      <c r="EJ54" s="4">
        <v>91.059664999999995</v>
      </c>
      <c r="EK54" s="4">
        <v>144.26877500000001</v>
      </c>
      <c r="EL54" s="4">
        <v>4674</v>
      </c>
      <c r="EM54" s="4">
        <v>5313</v>
      </c>
      <c r="EN54" s="4">
        <v>4838</v>
      </c>
      <c r="EO54" s="4">
        <v>7665</v>
      </c>
      <c r="EP54" s="4">
        <v>5313</v>
      </c>
      <c r="EQ54" s="4">
        <v>8100</v>
      </c>
      <c r="ER54" s="4">
        <v>54.856076999999999</v>
      </c>
    </row>
    <row r="55" spans="1:148" x14ac:dyDescent="0.2">
      <c r="A55" s="1">
        <v>2022</v>
      </c>
      <c r="B55" s="1" t="str">
        <f t="shared" si="0"/>
        <v>NE</v>
      </c>
      <c r="C55" s="1" t="s">
        <v>431</v>
      </c>
      <c r="D55" s="1" t="s">
        <v>431</v>
      </c>
      <c r="E55" s="1">
        <v>22829</v>
      </c>
      <c r="F55" s="1" t="s">
        <v>2066</v>
      </c>
      <c r="G55" s="1" t="s">
        <v>432</v>
      </c>
      <c r="H55" s="1" t="s">
        <v>433</v>
      </c>
      <c r="I55" s="1">
        <v>6.54</v>
      </c>
      <c r="J55" s="1">
        <v>6.54</v>
      </c>
      <c r="K55" s="1" t="s">
        <v>434</v>
      </c>
      <c r="L55" s="1">
        <v>1</v>
      </c>
      <c r="M55" s="1">
        <v>2014</v>
      </c>
      <c r="N55" s="1">
        <v>2</v>
      </c>
      <c r="O55" s="1">
        <v>2</v>
      </c>
      <c r="P55" s="1" t="str">
        <f t="shared" si="1"/>
        <v>Talhadia</v>
      </c>
      <c r="Q55" s="2">
        <v>41817</v>
      </c>
      <c r="R55" s="1" t="s">
        <v>306</v>
      </c>
      <c r="S55" s="1" t="s">
        <v>160</v>
      </c>
      <c r="T55" s="1" t="s">
        <v>2268</v>
      </c>
      <c r="U55" s="1" t="s">
        <v>151</v>
      </c>
      <c r="V55" s="1" t="s">
        <v>152</v>
      </c>
      <c r="W55" s="2">
        <v>44720</v>
      </c>
      <c r="X55" s="1" t="s">
        <v>435</v>
      </c>
      <c r="Y55" s="1">
        <v>224.46</v>
      </c>
      <c r="Z55" s="1">
        <v>18.8</v>
      </c>
      <c r="AA55" s="1">
        <v>10</v>
      </c>
      <c r="AB55" s="1">
        <v>16</v>
      </c>
      <c r="AC55" s="1">
        <v>10</v>
      </c>
      <c r="AD55" s="3">
        <v>300.8</v>
      </c>
      <c r="AE55" s="3">
        <v>291.72977016620098</v>
      </c>
      <c r="AF55" s="2">
        <v>44720</v>
      </c>
      <c r="AG55" s="1">
        <v>96</v>
      </c>
      <c r="AH55" s="3">
        <v>7.9479808350444898</v>
      </c>
      <c r="AI55" s="4">
        <v>25.2706810073649</v>
      </c>
      <c r="AJ55" s="4">
        <v>15.456</v>
      </c>
      <c r="AK55" s="4">
        <v>16.719439404505302</v>
      </c>
      <c r="AL55" s="1">
        <v>25</v>
      </c>
      <c r="AM55" s="5">
        <v>856.95745023750305</v>
      </c>
      <c r="AN55" s="4">
        <v>181.589058376114</v>
      </c>
      <c r="AO55" s="4">
        <v>0.211899737059042</v>
      </c>
      <c r="AP55" s="1" t="s">
        <v>160</v>
      </c>
      <c r="AQ55" s="1" t="s">
        <v>254</v>
      </c>
      <c r="AR55" s="1" t="s">
        <v>438</v>
      </c>
      <c r="AS55" s="1">
        <v>9.99</v>
      </c>
      <c r="AT55" s="4">
        <v>0.85610049278726552</v>
      </c>
      <c r="AU55" s="1" t="s">
        <v>436</v>
      </c>
      <c r="AV55" s="1" t="s">
        <v>437</v>
      </c>
      <c r="AW55" s="1">
        <v>3852</v>
      </c>
      <c r="AX55" s="1">
        <v>2008</v>
      </c>
      <c r="AY55" s="1">
        <v>1594</v>
      </c>
      <c r="AZ55" s="1">
        <v>246</v>
      </c>
      <c r="BA55" s="1">
        <v>4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4">
        <v>-0.878</v>
      </c>
      <c r="BI55" s="4">
        <v>28.834</v>
      </c>
      <c r="BJ55" s="4">
        <v>11.556881000000001</v>
      </c>
      <c r="BK55" s="4">
        <v>-0.40638099999999999</v>
      </c>
      <c r="BL55" s="4">
        <v>11.986848</v>
      </c>
      <c r="BM55" s="4">
        <v>143.68451400000001</v>
      </c>
      <c r="BN55" s="4">
        <v>1.037204</v>
      </c>
      <c r="BO55" s="4">
        <v>25.371998999999999</v>
      </c>
      <c r="BP55" s="4">
        <v>0.240951</v>
      </c>
      <c r="BQ55" s="4">
        <v>1.2257610000000001</v>
      </c>
      <c r="BR55" s="4">
        <v>11.444929</v>
      </c>
      <c r="BS55" s="4">
        <v>7.2454999999999998</v>
      </c>
      <c r="BT55" s="4">
        <v>7.5198809999999998</v>
      </c>
      <c r="BU55" s="4">
        <v>11.556881000000001</v>
      </c>
      <c r="BV55" s="4">
        <v>6.4469589999999997</v>
      </c>
      <c r="BW55" s="4">
        <v>0.874803</v>
      </c>
      <c r="BX55" s="4">
        <v>-1.1519299999999999</v>
      </c>
      <c r="BY55" s="4">
        <v>0.55784599999999995</v>
      </c>
      <c r="BZ55" s="4">
        <v>0.13569200000000001</v>
      </c>
      <c r="CA55" s="4">
        <v>-0.178678</v>
      </c>
      <c r="CB55" s="4">
        <v>-0.35099999999999998</v>
      </c>
      <c r="CC55" s="4">
        <v>-0.17299999999999999</v>
      </c>
      <c r="CD55" s="4">
        <v>-8.3900000000000002E-2</v>
      </c>
      <c r="CE55" s="4">
        <v>1.2999999999999999E-2</v>
      </c>
      <c r="CF55" s="4">
        <v>0.06</v>
      </c>
      <c r="CG55" s="4">
        <v>0.1143</v>
      </c>
      <c r="CH55" s="4">
        <v>0.35</v>
      </c>
      <c r="CI55" s="4">
        <v>7.1135000000000002</v>
      </c>
      <c r="CJ55" s="4">
        <v>18.441998999999999</v>
      </c>
      <c r="CK55" s="4">
        <v>24.405598000000001</v>
      </c>
      <c r="CL55" s="4">
        <v>25.431999000000001</v>
      </c>
      <c r="CM55" s="4">
        <v>26.149000000000001</v>
      </c>
      <c r="CN55" s="4">
        <v>27.087399000000001</v>
      </c>
      <c r="CO55" s="4">
        <v>27.738001000000001</v>
      </c>
      <c r="CP55" s="4">
        <v>28.365998999999999</v>
      </c>
      <c r="CQ55" s="4">
        <v>0.418514</v>
      </c>
      <c r="CR55" s="4">
        <v>16.649585999999999</v>
      </c>
      <c r="CS55" s="4">
        <v>19.073378999999999</v>
      </c>
      <c r="CT55" s="1">
        <v>1</v>
      </c>
      <c r="CU55" s="1">
        <v>51</v>
      </c>
      <c r="CV55" s="4">
        <v>18.468847</v>
      </c>
      <c r="CW55" s="4">
        <v>1.7936510000000001</v>
      </c>
      <c r="CX55" s="4">
        <v>13.133388999999999</v>
      </c>
      <c r="CY55" s="4">
        <v>172.485916</v>
      </c>
      <c r="CZ55" s="4">
        <v>0.71111000000000002</v>
      </c>
      <c r="DA55" s="4">
        <v>24</v>
      </c>
      <c r="DB55" s="4">
        <v>0.391289</v>
      </c>
      <c r="DC55" s="4">
        <v>1.9435169999999999</v>
      </c>
      <c r="DD55" s="4">
        <v>11.468757999999999</v>
      </c>
      <c r="DE55" s="4">
        <v>18.468847</v>
      </c>
      <c r="DF55" s="4">
        <v>7.4888130000000004</v>
      </c>
      <c r="DG55" s="4">
        <v>0.873861</v>
      </c>
      <c r="DH55" s="4">
        <v>-5.4528E-2</v>
      </c>
      <c r="DI55" s="4">
        <v>0.40548400000000001</v>
      </c>
      <c r="DJ55" s="4">
        <v>0.116689</v>
      </c>
      <c r="DK55" s="4">
        <v>-7.2810000000000001E-3</v>
      </c>
      <c r="DL55" s="4">
        <v>1</v>
      </c>
      <c r="DM55" s="4">
        <v>2</v>
      </c>
      <c r="DN55" s="4">
        <v>3</v>
      </c>
      <c r="DO55" s="4">
        <v>5</v>
      </c>
      <c r="DP55" s="4">
        <v>6</v>
      </c>
      <c r="DQ55" s="4">
        <v>8</v>
      </c>
      <c r="DR55" s="4">
        <v>12</v>
      </c>
      <c r="DS55" s="4">
        <v>16</v>
      </c>
      <c r="DT55" s="4">
        <v>22</v>
      </c>
      <c r="DU55" s="4">
        <v>27</v>
      </c>
      <c r="DV55" s="4">
        <v>30</v>
      </c>
      <c r="DW55" s="4">
        <v>32</v>
      </c>
      <c r="DX55" s="4">
        <v>37</v>
      </c>
      <c r="DY55" s="4">
        <v>42</v>
      </c>
      <c r="DZ55" s="4">
        <v>46</v>
      </c>
      <c r="EA55" s="4">
        <v>81.772908000000001</v>
      </c>
      <c r="EB55" s="4">
        <v>50.882657999999999</v>
      </c>
      <c r="EC55" s="4">
        <v>97.609561999999997</v>
      </c>
      <c r="ED55" s="4">
        <v>1642</v>
      </c>
      <c r="EE55" s="4">
        <v>1960</v>
      </c>
      <c r="EF55" s="4">
        <v>78.685259000000002</v>
      </c>
      <c r="EG55" s="4">
        <v>100</v>
      </c>
      <c r="EH55" s="4">
        <v>46.728971999999999</v>
      </c>
      <c r="EI55" s="4">
        <v>99.376947000000001</v>
      </c>
      <c r="EJ55" s="4">
        <v>89.641434000000004</v>
      </c>
      <c r="EK55" s="4">
        <v>190.63745</v>
      </c>
      <c r="EL55" s="4">
        <v>1580</v>
      </c>
      <c r="EM55" s="4">
        <v>2008</v>
      </c>
      <c r="EN55" s="4">
        <v>1800</v>
      </c>
      <c r="EO55" s="4">
        <v>3828</v>
      </c>
      <c r="EP55" s="4">
        <v>2008</v>
      </c>
      <c r="EQ55" s="4">
        <v>3852</v>
      </c>
      <c r="ER55" s="4">
        <v>39.76482</v>
      </c>
    </row>
    <row r="56" spans="1:148" x14ac:dyDescent="0.2">
      <c r="A56" s="1">
        <v>2022</v>
      </c>
      <c r="B56" s="1" t="str">
        <f t="shared" si="0"/>
        <v>NE</v>
      </c>
      <c r="C56" s="1" t="s">
        <v>439</v>
      </c>
      <c r="D56" s="1" t="s">
        <v>439</v>
      </c>
      <c r="E56" s="1">
        <v>22877</v>
      </c>
      <c r="F56" s="1" t="s">
        <v>2067</v>
      </c>
      <c r="G56" s="1" t="s">
        <v>440</v>
      </c>
      <c r="H56" s="1" t="s">
        <v>441</v>
      </c>
      <c r="I56" s="1">
        <v>33.1</v>
      </c>
      <c r="J56" s="1">
        <v>33.1</v>
      </c>
      <c r="K56" s="1" t="s">
        <v>148</v>
      </c>
      <c r="L56" s="1">
        <v>1</v>
      </c>
      <c r="M56" s="1">
        <v>2014</v>
      </c>
      <c r="N56" s="1">
        <v>3</v>
      </c>
      <c r="O56" s="1">
        <v>1</v>
      </c>
      <c r="P56" s="1" t="str">
        <f t="shared" si="1"/>
        <v>Alto fuste</v>
      </c>
      <c r="Q56" s="2">
        <v>41828</v>
      </c>
      <c r="R56" s="1" t="s">
        <v>169</v>
      </c>
      <c r="S56" s="1" t="s">
        <v>442</v>
      </c>
      <c r="T56" s="1" t="s">
        <v>2268</v>
      </c>
      <c r="U56" s="1" t="s">
        <v>151</v>
      </c>
      <c r="V56" s="1" t="s">
        <v>152</v>
      </c>
      <c r="W56" s="2">
        <v>44818</v>
      </c>
      <c r="X56" s="1" t="s">
        <v>443</v>
      </c>
      <c r="Y56" s="1">
        <v>44.29</v>
      </c>
      <c r="Z56" s="1">
        <v>20.6</v>
      </c>
      <c r="AA56" s="1">
        <v>28</v>
      </c>
      <c r="AB56" s="1">
        <v>15</v>
      </c>
      <c r="AC56" s="1">
        <v>0</v>
      </c>
      <c r="AD56" s="3">
        <v>309</v>
      </c>
      <c r="AE56" s="3">
        <v>272.83080619340802</v>
      </c>
      <c r="AF56" s="2">
        <v>44818</v>
      </c>
      <c r="AG56" s="1">
        <v>98</v>
      </c>
      <c r="AH56" s="3">
        <v>8.1861738535249806</v>
      </c>
      <c r="AI56" s="4">
        <v>27.3466226603637</v>
      </c>
      <c r="AJ56" s="4">
        <v>17.3266666666667</v>
      </c>
      <c r="AK56" s="4">
        <v>27.0490754277223</v>
      </c>
      <c r="AL56" s="1">
        <v>30</v>
      </c>
      <c r="AM56" s="5">
        <v>1099.5825734845</v>
      </c>
      <c r="AN56" s="4">
        <v>330.86741021335899</v>
      </c>
      <c r="AO56" s="4">
        <v>0.30090274090545399</v>
      </c>
      <c r="AP56" s="1" t="s">
        <v>442</v>
      </c>
      <c r="AQ56" s="1" t="s">
        <v>156</v>
      </c>
      <c r="AR56" s="1" t="s">
        <v>446</v>
      </c>
      <c r="AS56" s="1">
        <v>9</v>
      </c>
      <c r="AT56" s="4">
        <v>0.98962431613605006</v>
      </c>
      <c r="AU56" s="1" t="s">
        <v>444</v>
      </c>
      <c r="AV56" s="1" t="s">
        <v>445</v>
      </c>
      <c r="AW56" s="1">
        <v>2321</v>
      </c>
      <c r="AX56" s="1">
        <v>1223</v>
      </c>
      <c r="AY56" s="1">
        <v>856</v>
      </c>
      <c r="AZ56" s="1">
        <v>226</v>
      </c>
      <c r="BA56" s="1">
        <v>16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4">
        <v>-0.91400000000000003</v>
      </c>
      <c r="BI56" s="4">
        <v>34.932999000000002</v>
      </c>
      <c r="BJ56" s="4">
        <v>18.578506000000001</v>
      </c>
      <c r="BK56" s="4">
        <v>-0.34499999999999997</v>
      </c>
      <c r="BL56" s="4">
        <v>13.843695</v>
      </c>
      <c r="BM56" s="4">
        <v>191.647886</v>
      </c>
      <c r="BN56" s="4">
        <v>0.74514599999999998</v>
      </c>
      <c r="BO56" s="4">
        <v>31.110001</v>
      </c>
      <c r="BP56" s="4">
        <v>-0.427649</v>
      </c>
      <c r="BQ56" s="4">
        <v>1.409351</v>
      </c>
      <c r="BR56" s="4">
        <v>12.607920999999999</v>
      </c>
      <c r="BS56" s="4">
        <v>8.1150000000000002</v>
      </c>
      <c r="BT56" s="4">
        <v>24.109998999999998</v>
      </c>
      <c r="BU56" s="4">
        <v>18.578506000000001</v>
      </c>
      <c r="BV56" s="4">
        <v>7.4664169999999999</v>
      </c>
      <c r="BW56" s="4">
        <v>-1.106897</v>
      </c>
      <c r="BX56" s="4">
        <v>-1.107172</v>
      </c>
      <c r="BY56" s="4">
        <v>0.40188499999999999</v>
      </c>
      <c r="BZ56" s="4">
        <v>-0.14824999999999999</v>
      </c>
      <c r="CA56" s="4">
        <v>-0.148287</v>
      </c>
      <c r="CB56" s="4">
        <v>-0.38900000000000001</v>
      </c>
      <c r="CC56" s="4">
        <v>-0.16300000000000001</v>
      </c>
      <c r="CD56" s="4">
        <v>-6.4000000000000001E-2</v>
      </c>
      <c r="CE56" s="4">
        <v>7.2999999999999995E-2</v>
      </c>
      <c r="CF56" s="4">
        <v>0.16300000000000001</v>
      </c>
      <c r="CG56" s="4">
        <v>0.311</v>
      </c>
      <c r="CH56" s="4">
        <v>18.853000999999999</v>
      </c>
      <c r="CI56" s="4">
        <v>23.764999</v>
      </c>
      <c r="CJ56" s="4">
        <v>29.952998999999998</v>
      </c>
      <c r="CK56" s="4">
        <v>30.917998999999998</v>
      </c>
      <c r="CL56" s="4">
        <v>31.273001000000001</v>
      </c>
      <c r="CM56" s="4">
        <v>31.568999999999999</v>
      </c>
      <c r="CN56" s="4">
        <v>32.205002</v>
      </c>
      <c r="CO56" s="4">
        <v>32.591999000000001</v>
      </c>
      <c r="CP56" s="4">
        <v>33.534405</v>
      </c>
      <c r="CQ56" s="4">
        <v>0.54376999999999998</v>
      </c>
      <c r="CR56" s="4">
        <v>23.167352000000001</v>
      </c>
      <c r="CS56" s="4">
        <v>25.175006</v>
      </c>
      <c r="CT56" s="1">
        <v>1</v>
      </c>
      <c r="CU56" s="1">
        <v>42</v>
      </c>
      <c r="CV56" s="4">
        <v>13.376131000000001</v>
      </c>
      <c r="CW56" s="4">
        <v>1</v>
      </c>
      <c r="CX56" s="4">
        <v>9.2283449999999991</v>
      </c>
      <c r="CY56" s="4">
        <v>85.162344000000004</v>
      </c>
      <c r="CZ56" s="4">
        <v>0.68991100000000005</v>
      </c>
      <c r="DA56" s="4">
        <v>16</v>
      </c>
      <c r="DB56" s="4">
        <v>0.38815</v>
      </c>
      <c r="DC56" s="4">
        <v>2.1049030000000002</v>
      </c>
      <c r="DD56" s="4">
        <v>8.0124110000000002</v>
      </c>
      <c r="DE56" s="4">
        <v>13.376131000000001</v>
      </c>
      <c r="DF56" s="4">
        <v>5.259137</v>
      </c>
      <c r="DG56" s="4">
        <v>0.54327000000000003</v>
      </c>
      <c r="DH56" s="4">
        <v>-1.632E-3</v>
      </c>
      <c r="DI56" s="4">
        <v>0.39317299999999999</v>
      </c>
      <c r="DJ56" s="4">
        <v>0.1033</v>
      </c>
      <c r="DK56" s="4">
        <v>-3.1E-4</v>
      </c>
      <c r="DL56" s="4">
        <v>1</v>
      </c>
      <c r="DM56" s="4">
        <v>1</v>
      </c>
      <c r="DN56" s="4">
        <v>2</v>
      </c>
      <c r="DO56" s="4">
        <v>4</v>
      </c>
      <c r="DP56" s="4">
        <v>5</v>
      </c>
      <c r="DQ56" s="4">
        <v>6</v>
      </c>
      <c r="DR56" s="4">
        <v>9</v>
      </c>
      <c r="DS56" s="4">
        <v>12</v>
      </c>
      <c r="DT56" s="4">
        <v>16</v>
      </c>
      <c r="DU56" s="4">
        <v>20</v>
      </c>
      <c r="DV56" s="4">
        <v>21</v>
      </c>
      <c r="DW56" s="4">
        <v>23</v>
      </c>
      <c r="DX56" s="4">
        <v>26</v>
      </c>
      <c r="DY56" s="4">
        <v>29</v>
      </c>
      <c r="DZ56" s="4">
        <v>34.800049000000001</v>
      </c>
      <c r="EA56" s="4">
        <v>97.138184999999993</v>
      </c>
      <c r="EB56" s="4">
        <v>67.126238999999998</v>
      </c>
      <c r="EC56" s="4">
        <v>127.39166</v>
      </c>
      <c r="ED56" s="4">
        <v>1188</v>
      </c>
      <c r="EE56" s="4">
        <v>1558</v>
      </c>
      <c r="EF56" s="4">
        <v>94.848732999999996</v>
      </c>
      <c r="EG56" s="4">
        <v>100</v>
      </c>
      <c r="EH56" s="4">
        <v>60.965100999999997</v>
      </c>
      <c r="EI56" s="4">
        <v>98.578198999999998</v>
      </c>
      <c r="EJ56" s="4">
        <v>115.699101</v>
      </c>
      <c r="EK56" s="4">
        <v>187.08094800000001</v>
      </c>
      <c r="EL56" s="4">
        <v>1160</v>
      </c>
      <c r="EM56" s="4">
        <v>1223</v>
      </c>
      <c r="EN56" s="4">
        <v>1415</v>
      </c>
      <c r="EO56" s="4">
        <v>2288</v>
      </c>
      <c r="EP56" s="4">
        <v>1223</v>
      </c>
      <c r="EQ56" s="4">
        <v>2321</v>
      </c>
      <c r="ER56" s="4">
        <v>54.473094000000003</v>
      </c>
    </row>
    <row r="57" spans="1:148" x14ac:dyDescent="0.2">
      <c r="A57" s="1">
        <v>2022</v>
      </c>
      <c r="B57" s="1" t="str">
        <f t="shared" si="0"/>
        <v>NE</v>
      </c>
      <c r="C57" s="1" t="s">
        <v>447</v>
      </c>
      <c r="D57" s="1" t="s">
        <v>447</v>
      </c>
      <c r="E57" s="1">
        <v>22878</v>
      </c>
      <c r="F57" s="1" t="s">
        <v>2067</v>
      </c>
      <c r="G57" s="1" t="s">
        <v>440</v>
      </c>
      <c r="H57" s="1" t="s">
        <v>441</v>
      </c>
      <c r="I57" s="1">
        <v>33.1</v>
      </c>
      <c r="J57" s="1">
        <v>33.1</v>
      </c>
      <c r="K57" s="1" t="s">
        <v>148</v>
      </c>
      <c r="L57" s="1">
        <v>1</v>
      </c>
      <c r="M57" s="1">
        <v>2014</v>
      </c>
      <c r="N57" s="1">
        <v>3</v>
      </c>
      <c r="O57" s="1">
        <v>1</v>
      </c>
      <c r="P57" s="1" t="str">
        <f t="shared" si="1"/>
        <v>Alto fuste</v>
      </c>
      <c r="Q57" s="2">
        <v>41828</v>
      </c>
      <c r="R57" s="1" t="s">
        <v>169</v>
      </c>
      <c r="S57" s="1" t="s">
        <v>442</v>
      </c>
      <c r="T57" s="1" t="s">
        <v>2268</v>
      </c>
      <c r="U57" s="1" t="s">
        <v>151</v>
      </c>
      <c r="V57" s="1" t="s">
        <v>152</v>
      </c>
      <c r="W57" s="2">
        <v>44818</v>
      </c>
      <c r="X57" s="1" t="s">
        <v>443</v>
      </c>
      <c r="Y57" s="1">
        <v>44.29</v>
      </c>
      <c r="Z57" s="1">
        <v>20.5</v>
      </c>
      <c r="AA57" s="1">
        <v>8</v>
      </c>
      <c r="AB57" s="1">
        <v>14.7</v>
      </c>
      <c r="AC57" s="1">
        <v>0</v>
      </c>
      <c r="AD57" s="3">
        <v>301.35000000000002</v>
      </c>
      <c r="AE57" s="3">
        <v>298.41728251527201</v>
      </c>
      <c r="AF57" s="2">
        <v>44818</v>
      </c>
      <c r="AG57" s="1">
        <v>98</v>
      </c>
      <c r="AH57" s="3">
        <v>8.1861738535249806</v>
      </c>
      <c r="AI57" s="4">
        <v>29.660394126293401</v>
      </c>
      <c r="AJ57" s="4">
        <v>19.2862068965517</v>
      </c>
      <c r="AK57" s="4">
        <v>29.543078057722798</v>
      </c>
      <c r="AL57" s="1">
        <v>29</v>
      </c>
      <c r="AM57" s="5">
        <v>971.79358231424999</v>
      </c>
      <c r="AN57" s="4">
        <v>387.81440228316302</v>
      </c>
      <c r="AO57" s="4">
        <v>0.39907075879181397</v>
      </c>
      <c r="AP57" s="1" t="s">
        <v>442</v>
      </c>
      <c r="AQ57" s="1" t="s">
        <v>156</v>
      </c>
      <c r="AR57" s="1" t="s">
        <v>446</v>
      </c>
      <c r="AS57" s="1">
        <v>9</v>
      </c>
      <c r="AT57" s="4">
        <v>0.87461422408282496</v>
      </c>
      <c r="AU57" s="1" t="s">
        <v>448</v>
      </c>
      <c r="AV57" s="1" t="s">
        <v>449</v>
      </c>
      <c r="AW57" s="1">
        <v>5439</v>
      </c>
      <c r="AX57" s="1">
        <v>2951</v>
      </c>
      <c r="AY57" s="1">
        <v>2137</v>
      </c>
      <c r="AZ57" s="1">
        <v>329</v>
      </c>
      <c r="BA57" s="1">
        <v>22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4">
        <v>-1.002</v>
      </c>
      <c r="BI57" s="4">
        <v>34.945999</v>
      </c>
      <c r="BJ57" s="4">
        <v>17.990957999999999</v>
      </c>
      <c r="BK57" s="4">
        <v>-0.43139699999999997</v>
      </c>
      <c r="BL57" s="4">
        <v>15.017979</v>
      </c>
      <c r="BM57" s="4">
        <v>225.53969799999999</v>
      </c>
      <c r="BN57" s="4">
        <v>0.83475200000000005</v>
      </c>
      <c r="BO57" s="4">
        <v>31.650001</v>
      </c>
      <c r="BP57" s="4">
        <v>-0.267627</v>
      </c>
      <c r="BQ57" s="4">
        <v>1.169815</v>
      </c>
      <c r="BR57" s="4">
        <v>14.481999999999999</v>
      </c>
      <c r="BS57" s="4">
        <v>4.6570010000000002</v>
      </c>
      <c r="BT57" s="4">
        <v>29.391396</v>
      </c>
      <c r="BU57" s="4">
        <v>17.990957999999999</v>
      </c>
      <c r="BV57" s="4">
        <v>7.9369110000000003</v>
      </c>
      <c r="BW57" s="4">
        <v>-0.78600599999999998</v>
      </c>
      <c r="BX57" s="4">
        <v>-1.5453870000000001</v>
      </c>
      <c r="BY57" s="4">
        <v>0.44116100000000003</v>
      </c>
      <c r="BZ57" s="4">
        <v>-9.9031999999999995E-2</v>
      </c>
      <c r="CA57" s="4">
        <v>-0.19470899999999999</v>
      </c>
      <c r="CB57" s="4">
        <v>-0.44262000000000001</v>
      </c>
      <c r="CC57" s="4">
        <v>-0.188</v>
      </c>
      <c r="CD57" s="4">
        <v>-9.0999999999999998E-2</v>
      </c>
      <c r="CE57" s="4">
        <v>3.4000000000000002E-2</v>
      </c>
      <c r="CF57" s="4">
        <v>8.5000000000000006E-2</v>
      </c>
      <c r="CG57" s="4">
        <v>0.151</v>
      </c>
      <c r="CH57" s="4">
        <v>8.9967989999999993</v>
      </c>
      <c r="CI57" s="4">
        <v>28.959999</v>
      </c>
      <c r="CJ57" s="4">
        <v>30.593800000000002</v>
      </c>
      <c r="CK57" s="4">
        <v>31.442399999999999</v>
      </c>
      <c r="CL57" s="4">
        <v>31.735001</v>
      </c>
      <c r="CM57" s="4">
        <v>32.087401999999997</v>
      </c>
      <c r="CN57" s="4">
        <v>32.817000999999998</v>
      </c>
      <c r="CO57" s="4">
        <v>33.362301000000002</v>
      </c>
      <c r="CP57" s="4">
        <v>34.255099999999999</v>
      </c>
      <c r="CQ57" s="4">
        <v>0.52834499999999995</v>
      </c>
      <c r="CR57" s="4">
        <v>23.434436000000002</v>
      </c>
      <c r="CS57" s="4">
        <v>25.756936</v>
      </c>
      <c r="CT57" s="1">
        <v>1</v>
      </c>
      <c r="CU57" s="1">
        <v>63</v>
      </c>
      <c r="CV57" s="4">
        <v>15.760617999999999</v>
      </c>
      <c r="CW57" s="4">
        <v>1</v>
      </c>
      <c r="CX57" s="4">
        <v>10.926736999999999</v>
      </c>
      <c r="CY57" s="4">
        <v>119.393587</v>
      </c>
      <c r="CZ57" s="4">
        <v>0.69329399999999997</v>
      </c>
      <c r="DA57" s="4">
        <v>17</v>
      </c>
      <c r="DB57" s="4">
        <v>0.49310300000000001</v>
      </c>
      <c r="DC57" s="4">
        <v>2.5702289999999999</v>
      </c>
      <c r="DD57" s="4">
        <v>9.2095099999999999</v>
      </c>
      <c r="DE57" s="4">
        <v>15.760617999999999</v>
      </c>
      <c r="DF57" s="4">
        <v>6.1899119999999996</v>
      </c>
      <c r="DG57" s="4">
        <v>0.66846799999999995</v>
      </c>
      <c r="DH57" s="4">
        <v>0.21754200000000001</v>
      </c>
      <c r="DI57" s="4">
        <v>0.39274599999999998</v>
      </c>
      <c r="DJ57" s="4">
        <v>0.10799300000000001</v>
      </c>
      <c r="DK57" s="4">
        <v>3.5145000000000003E-2</v>
      </c>
      <c r="DL57" s="4">
        <v>1</v>
      </c>
      <c r="DM57" s="4">
        <v>1</v>
      </c>
      <c r="DN57" s="4">
        <v>2</v>
      </c>
      <c r="DO57" s="4">
        <v>4</v>
      </c>
      <c r="DP57" s="4">
        <v>6</v>
      </c>
      <c r="DQ57" s="4">
        <v>7</v>
      </c>
      <c r="DR57" s="4">
        <v>11</v>
      </c>
      <c r="DS57" s="4">
        <v>15</v>
      </c>
      <c r="DT57" s="4">
        <v>19</v>
      </c>
      <c r="DU57" s="4">
        <v>22</v>
      </c>
      <c r="DV57" s="4">
        <v>23</v>
      </c>
      <c r="DW57" s="4">
        <v>25</v>
      </c>
      <c r="DX57" s="4">
        <v>31</v>
      </c>
      <c r="DY57" s="4">
        <v>35</v>
      </c>
      <c r="DZ57" s="4">
        <v>43</v>
      </c>
      <c r="EA57" s="4">
        <v>97.390715</v>
      </c>
      <c r="EB57" s="4">
        <v>61.647362000000001</v>
      </c>
      <c r="EC57" s="4">
        <v>113.622501</v>
      </c>
      <c r="ED57" s="4">
        <v>2874</v>
      </c>
      <c r="EE57" s="4">
        <v>3353</v>
      </c>
      <c r="EF57" s="4">
        <v>95.798034999999999</v>
      </c>
      <c r="EG57" s="4">
        <v>100</v>
      </c>
      <c r="EH57" s="4">
        <v>55.874242000000002</v>
      </c>
      <c r="EI57" s="4">
        <v>98.860084999999998</v>
      </c>
      <c r="EJ57" s="4">
        <v>102.98204</v>
      </c>
      <c r="EK57" s="4">
        <v>182.20942099999999</v>
      </c>
      <c r="EL57" s="4">
        <v>2827</v>
      </c>
      <c r="EM57" s="4">
        <v>2951</v>
      </c>
      <c r="EN57" s="4">
        <v>3039</v>
      </c>
      <c r="EO57" s="4">
        <v>5377</v>
      </c>
      <c r="EP57" s="4">
        <v>2951</v>
      </c>
      <c r="EQ57" s="4">
        <v>5439</v>
      </c>
      <c r="ER57" s="4">
        <v>51.568392000000003</v>
      </c>
    </row>
    <row r="58" spans="1:148" x14ac:dyDescent="0.2">
      <c r="A58" s="1">
        <v>2022</v>
      </c>
      <c r="B58" s="1" t="str">
        <f t="shared" si="0"/>
        <v>NE</v>
      </c>
      <c r="C58" s="1" t="s">
        <v>450</v>
      </c>
      <c r="D58" s="1" t="s">
        <v>450</v>
      </c>
      <c r="E58" s="1">
        <v>22879</v>
      </c>
      <c r="F58" s="1" t="s">
        <v>2067</v>
      </c>
      <c r="G58" s="1" t="s">
        <v>440</v>
      </c>
      <c r="H58" s="1" t="s">
        <v>451</v>
      </c>
      <c r="I58" s="1">
        <v>11.19</v>
      </c>
      <c r="J58" s="1">
        <v>11.19</v>
      </c>
      <c r="K58" s="1" t="s">
        <v>148</v>
      </c>
      <c r="L58" s="1">
        <v>1</v>
      </c>
      <c r="M58" s="1">
        <v>2014</v>
      </c>
      <c r="N58" s="1">
        <v>3</v>
      </c>
      <c r="O58" s="1">
        <v>1</v>
      </c>
      <c r="P58" s="1" t="str">
        <f t="shared" si="1"/>
        <v>Alto fuste</v>
      </c>
      <c r="Q58" s="2">
        <v>41824</v>
      </c>
      <c r="R58" s="1" t="s">
        <v>169</v>
      </c>
      <c r="S58" s="1" t="s">
        <v>160</v>
      </c>
      <c r="T58" s="1" t="s">
        <v>2268</v>
      </c>
      <c r="U58" s="1" t="s">
        <v>151</v>
      </c>
      <c r="V58" s="1" t="s">
        <v>152</v>
      </c>
      <c r="W58" s="2">
        <v>44818</v>
      </c>
      <c r="X58" s="1" t="s">
        <v>443</v>
      </c>
      <c r="Y58" s="1">
        <v>44.29</v>
      </c>
      <c r="Z58" s="1">
        <v>20.8</v>
      </c>
      <c r="AA58" s="1">
        <v>19</v>
      </c>
      <c r="AB58" s="1">
        <v>15.7</v>
      </c>
      <c r="AC58" s="1">
        <v>0</v>
      </c>
      <c r="AD58" s="3">
        <v>326.56</v>
      </c>
      <c r="AE58" s="3">
        <v>308.76854604771302</v>
      </c>
      <c r="AF58" s="2">
        <v>44818</v>
      </c>
      <c r="AG58" s="1">
        <v>98</v>
      </c>
      <c r="AH58" s="3">
        <v>8.1971252566735107</v>
      </c>
      <c r="AI58" s="4">
        <v>26.869138378864299</v>
      </c>
      <c r="AJ58" s="4">
        <v>17.587096774193601</v>
      </c>
      <c r="AK58" s="4">
        <v>24.813682762442799</v>
      </c>
      <c r="AL58" s="1">
        <v>31</v>
      </c>
      <c r="AM58" s="5">
        <v>1003.98827525682</v>
      </c>
      <c r="AN58" s="4">
        <v>288.93179214294798</v>
      </c>
      <c r="AO58" s="4">
        <v>0.28778403021593002</v>
      </c>
      <c r="AP58" s="1" t="s">
        <v>160</v>
      </c>
      <c r="AQ58" s="1" t="s">
        <v>156</v>
      </c>
      <c r="AR58" s="1" t="s">
        <v>446</v>
      </c>
      <c r="AS58" s="1">
        <v>9</v>
      </c>
      <c r="AT58" s="4">
        <v>0.90358944773113803</v>
      </c>
      <c r="AU58" s="1" t="s">
        <v>452</v>
      </c>
      <c r="AV58" s="1" t="s">
        <v>453</v>
      </c>
      <c r="AW58" s="1">
        <v>5526</v>
      </c>
      <c r="AX58" s="1">
        <v>2966</v>
      </c>
      <c r="AY58" s="1">
        <v>2227</v>
      </c>
      <c r="AZ58" s="1">
        <v>324</v>
      </c>
      <c r="BA58" s="1">
        <v>9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4">
        <v>-1.1379999999999999</v>
      </c>
      <c r="BI58" s="4">
        <v>32.279998999999997</v>
      </c>
      <c r="BJ58" s="4">
        <v>14.817473</v>
      </c>
      <c r="BK58" s="4">
        <v>-7.7110999999999999E-2</v>
      </c>
      <c r="BL58" s="4">
        <v>13.88444</v>
      </c>
      <c r="BM58" s="4">
        <v>192.77766600000001</v>
      </c>
      <c r="BN58" s="4">
        <v>0.93703199999999998</v>
      </c>
      <c r="BO58" s="4">
        <v>29.209001000000001</v>
      </c>
      <c r="BP58" s="4">
        <v>-3.9602999999999999E-2</v>
      </c>
      <c r="BQ58" s="4">
        <v>1.117885</v>
      </c>
      <c r="BR58" s="4">
        <v>13.497263999999999</v>
      </c>
      <c r="BS58" s="4">
        <v>11.492001</v>
      </c>
      <c r="BT58" s="4">
        <v>19.591609999999999</v>
      </c>
      <c r="BU58" s="4">
        <v>14.817473</v>
      </c>
      <c r="BV58" s="4">
        <v>7.4232699999999996</v>
      </c>
      <c r="BW58" s="4">
        <v>0.13594600000000001</v>
      </c>
      <c r="BX58" s="4">
        <v>-1.5302519999999999</v>
      </c>
      <c r="BY58" s="4">
        <v>0.50098100000000001</v>
      </c>
      <c r="BZ58" s="4">
        <v>1.8314E-2</v>
      </c>
      <c r="CA58" s="4">
        <v>-0.20614299999999999</v>
      </c>
      <c r="CB58" s="4">
        <v>-0.39900000000000002</v>
      </c>
      <c r="CC58" s="4">
        <v>-0.20399999999999999</v>
      </c>
      <c r="CD58" s="4">
        <v>-0.11</v>
      </c>
      <c r="CE58" s="4">
        <v>-1E-3</v>
      </c>
      <c r="CF58" s="4">
        <v>4.2999999999999997E-2</v>
      </c>
      <c r="CG58" s="4">
        <v>9.1999999999999998E-2</v>
      </c>
      <c r="CH58" s="4">
        <v>0.23200000000000001</v>
      </c>
      <c r="CI58" s="4">
        <v>19.514500000000002</v>
      </c>
      <c r="CJ58" s="4">
        <v>26.305</v>
      </c>
      <c r="CK58" s="4">
        <v>28.758499</v>
      </c>
      <c r="CL58" s="4">
        <v>29.252001</v>
      </c>
      <c r="CM58" s="4">
        <v>29.677</v>
      </c>
      <c r="CN58" s="4">
        <v>30.464001</v>
      </c>
      <c r="CO58" s="4">
        <v>30.90325</v>
      </c>
      <c r="CP58" s="4">
        <v>31.734499</v>
      </c>
      <c r="CQ58" s="4">
        <v>0.47745100000000001</v>
      </c>
      <c r="CR58" s="4">
        <v>20.305178999999999</v>
      </c>
      <c r="CS58" s="4">
        <v>22.711697999999998</v>
      </c>
      <c r="CT58" s="1">
        <v>1</v>
      </c>
      <c r="CU58" s="1">
        <v>43</v>
      </c>
      <c r="CV58" s="4">
        <v>12.575279999999999</v>
      </c>
      <c r="CW58" s="4">
        <v>1</v>
      </c>
      <c r="CX58" s="4">
        <v>8.8049569999999999</v>
      </c>
      <c r="CY58" s="4">
        <v>77.527272999999994</v>
      </c>
      <c r="CZ58" s="4">
        <v>0.70018000000000002</v>
      </c>
      <c r="DA58" s="4">
        <v>13</v>
      </c>
      <c r="DB58" s="4">
        <v>0.71321800000000002</v>
      </c>
      <c r="DC58" s="4">
        <v>2.8801540000000001</v>
      </c>
      <c r="DD58" s="4">
        <v>7.250642</v>
      </c>
      <c r="DE58" s="4">
        <v>12.575279999999999</v>
      </c>
      <c r="DF58" s="4">
        <v>4.9260710000000003</v>
      </c>
      <c r="DG58" s="4">
        <v>0.78845299999999996</v>
      </c>
      <c r="DH58" s="4">
        <v>0.33585100000000001</v>
      </c>
      <c r="DI58" s="4">
        <v>0.39172699999999999</v>
      </c>
      <c r="DJ58" s="4">
        <v>0.160057</v>
      </c>
      <c r="DK58" s="4">
        <v>6.8178000000000002E-2</v>
      </c>
      <c r="DL58" s="4">
        <v>1</v>
      </c>
      <c r="DM58" s="4">
        <v>1</v>
      </c>
      <c r="DN58" s="4">
        <v>2</v>
      </c>
      <c r="DO58" s="4">
        <v>4</v>
      </c>
      <c r="DP58" s="4">
        <v>5</v>
      </c>
      <c r="DQ58" s="4">
        <v>6</v>
      </c>
      <c r="DR58" s="4">
        <v>9</v>
      </c>
      <c r="DS58" s="4">
        <v>11</v>
      </c>
      <c r="DT58" s="4">
        <v>14</v>
      </c>
      <c r="DU58" s="4">
        <v>17</v>
      </c>
      <c r="DV58" s="4">
        <v>18</v>
      </c>
      <c r="DW58" s="4">
        <v>20</v>
      </c>
      <c r="DX58" s="4">
        <v>25</v>
      </c>
      <c r="DY58" s="4">
        <v>29.75</v>
      </c>
      <c r="DZ58" s="4">
        <v>36</v>
      </c>
      <c r="EA58" s="4">
        <v>86.850977999999998</v>
      </c>
      <c r="EB58" s="4">
        <v>55.229823000000003</v>
      </c>
      <c r="EC58" s="4">
        <v>102.899528</v>
      </c>
      <c r="ED58" s="4">
        <v>2576</v>
      </c>
      <c r="EE58" s="4">
        <v>3052</v>
      </c>
      <c r="EF58" s="4">
        <v>85.333782999999997</v>
      </c>
      <c r="EG58" s="4">
        <v>99.831423000000001</v>
      </c>
      <c r="EH58" s="4">
        <v>52.913499999999999</v>
      </c>
      <c r="EI58" s="4">
        <v>87.350706000000002</v>
      </c>
      <c r="EJ58" s="4">
        <v>98.583950999999999</v>
      </c>
      <c r="EK58" s="4">
        <v>162.744437</v>
      </c>
      <c r="EL58" s="4">
        <v>2531</v>
      </c>
      <c r="EM58" s="4">
        <v>2961</v>
      </c>
      <c r="EN58" s="4">
        <v>2924</v>
      </c>
      <c r="EO58" s="4">
        <v>4827</v>
      </c>
      <c r="EP58" s="4">
        <v>2966</v>
      </c>
      <c r="EQ58" s="4">
        <v>5526</v>
      </c>
      <c r="ER58" s="4">
        <v>45.824174999999997</v>
      </c>
    </row>
    <row r="59" spans="1:148" x14ac:dyDescent="0.2">
      <c r="A59" s="1">
        <v>2022</v>
      </c>
      <c r="B59" s="1" t="str">
        <f t="shared" si="0"/>
        <v>NE</v>
      </c>
      <c r="C59" s="1" t="s">
        <v>454</v>
      </c>
      <c r="D59" s="1" t="s">
        <v>454</v>
      </c>
      <c r="E59" s="1">
        <v>22886</v>
      </c>
      <c r="F59" s="1" t="s">
        <v>2068</v>
      </c>
      <c r="G59" s="1" t="s">
        <v>148</v>
      </c>
      <c r="H59" s="1" t="s">
        <v>455</v>
      </c>
      <c r="I59" s="1">
        <v>21.15</v>
      </c>
      <c r="J59" s="1">
        <v>21.15</v>
      </c>
      <c r="K59" s="1" t="s">
        <v>148</v>
      </c>
      <c r="L59" s="1">
        <v>1</v>
      </c>
      <c r="M59" s="1">
        <v>2014</v>
      </c>
      <c r="N59" s="1">
        <v>2</v>
      </c>
      <c r="O59" s="1">
        <v>2</v>
      </c>
      <c r="P59" s="1" t="str">
        <f t="shared" si="1"/>
        <v>Talhadia</v>
      </c>
      <c r="Q59" s="2">
        <v>41907</v>
      </c>
      <c r="R59" s="1" t="s">
        <v>306</v>
      </c>
      <c r="S59" s="1" t="s">
        <v>150</v>
      </c>
      <c r="T59" s="1" t="s">
        <v>2268</v>
      </c>
      <c r="U59" s="1" t="s">
        <v>151</v>
      </c>
      <c r="V59" s="1" t="s">
        <v>152</v>
      </c>
      <c r="W59" s="2">
        <v>44818</v>
      </c>
      <c r="X59" s="1" t="s">
        <v>456</v>
      </c>
      <c r="Y59" s="1">
        <v>70.510000000000005</v>
      </c>
      <c r="Z59" s="1">
        <v>19.899999999999999</v>
      </c>
      <c r="AA59" s="1">
        <v>9</v>
      </c>
      <c r="AB59" s="1">
        <v>14.2</v>
      </c>
      <c r="AC59" s="1">
        <v>1</v>
      </c>
      <c r="AD59" s="3">
        <v>282.58</v>
      </c>
      <c r="AE59" s="3">
        <v>279.05846285559102</v>
      </c>
      <c r="AF59" s="2">
        <v>44818</v>
      </c>
      <c r="AG59" s="1">
        <v>96</v>
      </c>
      <c r="AH59" s="3">
        <v>7.9698836413415499</v>
      </c>
      <c r="AI59" s="4">
        <v>27.6486305019294</v>
      </c>
      <c r="AJ59" s="4">
        <v>19.341666666666701</v>
      </c>
      <c r="AK59" s="4">
        <v>27.5259565327631</v>
      </c>
      <c r="AL59" s="1">
        <v>24</v>
      </c>
      <c r="AM59" s="5">
        <v>860.03483837792305</v>
      </c>
      <c r="AN59" s="4">
        <v>364.07163040453798</v>
      </c>
      <c r="AO59" s="4">
        <v>0.42332195645841397</v>
      </c>
      <c r="AP59" s="1" t="s">
        <v>150</v>
      </c>
      <c r="AQ59" s="1" t="s">
        <v>254</v>
      </c>
      <c r="AR59" s="1" t="s">
        <v>459</v>
      </c>
      <c r="AS59" s="1">
        <v>9.99</v>
      </c>
      <c r="AT59" s="4">
        <v>0.85917480353954512</v>
      </c>
      <c r="AU59" s="1" t="s">
        <v>457</v>
      </c>
      <c r="AV59" s="1" t="s">
        <v>458</v>
      </c>
      <c r="AW59" s="1">
        <v>2822</v>
      </c>
      <c r="AX59" s="1">
        <v>1532</v>
      </c>
      <c r="AY59" s="1">
        <v>1070</v>
      </c>
      <c r="AZ59" s="1">
        <v>210</v>
      </c>
      <c r="BA59" s="1">
        <v>10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4">
        <v>-0.66400000000000003</v>
      </c>
      <c r="BI59" s="4">
        <v>33.264000000000003</v>
      </c>
      <c r="BJ59" s="4">
        <v>15.793953999999999</v>
      </c>
      <c r="BK59" s="4">
        <v>-0.12545999999999999</v>
      </c>
      <c r="BL59" s="4">
        <v>13.468062</v>
      </c>
      <c r="BM59" s="4">
        <v>181.38869600000001</v>
      </c>
      <c r="BN59" s="4">
        <v>0.85273500000000002</v>
      </c>
      <c r="BO59" s="4">
        <v>28.27975</v>
      </c>
      <c r="BP59" s="4">
        <v>-0.206317</v>
      </c>
      <c r="BQ59" s="4">
        <v>1.2070590000000001</v>
      </c>
      <c r="BR59" s="4">
        <v>12.842355</v>
      </c>
      <c r="BS59" s="4">
        <v>9.3854989999999994</v>
      </c>
      <c r="BT59" s="4">
        <v>21.566959000000001</v>
      </c>
      <c r="BU59" s="4">
        <v>15.793953999999999</v>
      </c>
      <c r="BV59" s="4">
        <v>7.2793380000000001</v>
      </c>
      <c r="BW59" s="4">
        <v>-0.306506</v>
      </c>
      <c r="BX59" s="4">
        <v>-1.2681610000000001</v>
      </c>
      <c r="BY59" s="4">
        <v>0.46089400000000003</v>
      </c>
      <c r="BZ59" s="4">
        <v>-4.2105999999999998E-2</v>
      </c>
      <c r="CA59" s="4">
        <v>-0.17421400000000001</v>
      </c>
      <c r="CB59" s="4">
        <v>-0.35558000000000001</v>
      </c>
      <c r="CC59" s="4">
        <v>-0.16289999999999999</v>
      </c>
      <c r="CD59" s="4">
        <v>-9.3899999999999997E-2</v>
      </c>
      <c r="CE59" s="4">
        <v>1.6199999999999999E-2</v>
      </c>
      <c r="CF59" s="4">
        <v>6.0249999999999998E-2</v>
      </c>
      <c r="CG59" s="4">
        <v>0.10929999999999999</v>
      </c>
      <c r="CH59" s="4">
        <v>2.2274069999999999</v>
      </c>
      <c r="CI59" s="4">
        <v>21.441502</v>
      </c>
      <c r="CJ59" s="4">
        <v>25.935198</v>
      </c>
      <c r="CK59" s="4">
        <v>27.710999999999999</v>
      </c>
      <c r="CL59" s="4">
        <v>28.34</v>
      </c>
      <c r="CM59" s="4">
        <v>29.024999999999999</v>
      </c>
      <c r="CN59" s="4">
        <v>30.621199000000001</v>
      </c>
      <c r="CO59" s="4">
        <v>31.452499</v>
      </c>
      <c r="CP59" s="4">
        <v>32.641159000000002</v>
      </c>
      <c r="CQ59" s="4">
        <v>0.48508499999999999</v>
      </c>
      <c r="CR59" s="4">
        <v>20.755081000000001</v>
      </c>
      <c r="CS59" s="4">
        <v>22.911708000000001</v>
      </c>
      <c r="CT59" s="1">
        <v>1</v>
      </c>
      <c r="CU59" s="1">
        <v>82</v>
      </c>
      <c r="CV59" s="4">
        <v>25.833451</v>
      </c>
      <c r="CW59" s="4">
        <v>1</v>
      </c>
      <c r="CX59" s="4">
        <v>18.361640999999999</v>
      </c>
      <c r="CY59" s="4">
        <v>337.14984800000002</v>
      </c>
      <c r="CZ59" s="4">
        <v>0.71077000000000001</v>
      </c>
      <c r="DA59" s="4">
        <v>30</v>
      </c>
      <c r="DB59" s="4">
        <v>0.48771900000000001</v>
      </c>
      <c r="DC59" s="4">
        <v>2.4179940000000002</v>
      </c>
      <c r="DD59" s="4">
        <v>15.653206000000001</v>
      </c>
      <c r="DE59" s="4">
        <v>25.833451</v>
      </c>
      <c r="DF59" s="4">
        <v>10.406807000000001</v>
      </c>
      <c r="DG59" s="4">
        <v>1.193865</v>
      </c>
      <c r="DH59" s="4">
        <v>0.27219399999999999</v>
      </c>
      <c r="DI59" s="4">
        <v>0.40284199999999998</v>
      </c>
      <c r="DJ59" s="4">
        <v>0.11472</v>
      </c>
      <c r="DK59" s="4">
        <v>2.6155000000000001E-2</v>
      </c>
      <c r="DL59" s="4">
        <v>1</v>
      </c>
      <c r="DM59" s="4">
        <v>2</v>
      </c>
      <c r="DN59" s="4">
        <v>3</v>
      </c>
      <c r="DO59" s="4">
        <v>7</v>
      </c>
      <c r="DP59" s="4">
        <v>9</v>
      </c>
      <c r="DQ59" s="4">
        <v>12</v>
      </c>
      <c r="DR59" s="4">
        <v>17</v>
      </c>
      <c r="DS59" s="4">
        <v>24</v>
      </c>
      <c r="DT59" s="4">
        <v>31</v>
      </c>
      <c r="DU59" s="4">
        <v>37</v>
      </c>
      <c r="DV59" s="4">
        <v>39</v>
      </c>
      <c r="DW59" s="4">
        <v>42</v>
      </c>
      <c r="DX59" s="4">
        <v>50</v>
      </c>
      <c r="DY59" s="4">
        <v>58</v>
      </c>
      <c r="DZ59" s="4">
        <v>72</v>
      </c>
      <c r="EA59" s="4">
        <v>93.211488000000003</v>
      </c>
      <c r="EB59" s="4">
        <v>59.957476999999997</v>
      </c>
      <c r="EC59" s="4">
        <v>110.443864</v>
      </c>
      <c r="ED59" s="4">
        <v>1428</v>
      </c>
      <c r="EE59" s="4">
        <v>1692</v>
      </c>
      <c r="EF59" s="4">
        <v>93.015665999999996</v>
      </c>
      <c r="EG59" s="4">
        <v>100</v>
      </c>
      <c r="EH59" s="4">
        <v>58.008505</v>
      </c>
      <c r="EI59" s="4">
        <v>92.523032999999998</v>
      </c>
      <c r="EJ59" s="4">
        <v>106.853786</v>
      </c>
      <c r="EK59" s="4">
        <v>170.43080900000001</v>
      </c>
      <c r="EL59" s="4">
        <v>1425</v>
      </c>
      <c r="EM59" s="4">
        <v>1532</v>
      </c>
      <c r="EN59" s="4">
        <v>1637</v>
      </c>
      <c r="EO59" s="4">
        <v>2611</v>
      </c>
      <c r="EP59" s="4">
        <v>1532</v>
      </c>
      <c r="EQ59" s="4">
        <v>2822</v>
      </c>
      <c r="ER59" s="4">
        <v>47.429361999999998</v>
      </c>
    </row>
    <row r="60" spans="1:148" x14ac:dyDescent="0.2">
      <c r="A60" s="1">
        <v>2022</v>
      </c>
      <c r="B60" s="1" t="str">
        <f t="shared" si="0"/>
        <v>NE</v>
      </c>
      <c r="C60" s="1" t="s">
        <v>460</v>
      </c>
      <c r="D60" s="1" t="s">
        <v>460</v>
      </c>
      <c r="E60" s="1">
        <v>22887</v>
      </c>
      <c r="F60" s="1" t="s">
        <v>2068</v>
      </c>
      <c r="G60" s="1" t="s">
        <v>148</v>
      </c>
      <c r="H60" s="1" t="s">
        <v>455</v>
      </c>
      <c r="I60" s="1">
        <v>21.15</v>
      </c>
      <c r="J60" s="1">
        <v>21.15</v>
      </c>
      <c r="K60" s="1" t="s">
        <v>148</v>
      </c>
      <c r="L60" s="1">
        <v>1</v>
      </c>
      <c r="M60" s="1">
        <v>2014</v>
      </c>
      <c r="N60" s="1">
        <v>2</v>
      </c>
      <c r="O60" s="1">
        <v>2</v>
      </c>
      <c r="P60" s="1" t="str">
        <f t="shared" si="1"/>
        <v>Talhadia</v>
      </c>
      <c r="Q60" s="2">
        <v>41907</v>
      </c>
      <c r="R60" s="1" t="s">
        <v>306</v>
      </c>
      <c r="S60" s="1" t="s">
        <v>150</v>
      </c>
      <c r="T60" s="1" t="s">
        <v>2268</v>
      </c>
      <c r="U60" s="1" t="s">
        <v>151</v>
      </c>
      <c r="V60" s="1" t="s">
        <v>152</v>
      </c>
      <c r="W60" s="2">
        <v>44818</v>
      </c>
      <c r="X60" s="1" t="s">
        <v>456</v>
      </c>
      <c r="Y60" s="1">
        <v>70.510000000000005</v>
      </c>
      <c r="Z60" s="1">
        <v>20.5</v>
      </c>
      <c r="AA60" s="1">
        <v>18</v>
      </c>
      <c r="AB60" s="1">
        <v>14.1</v>
      </c>
      <c r="AC60" s="1">
        <v>3</v>
      </c>
      <c r="AD60" s="3">
        <v>289.05</v>
      </c>
      <c r="AE60" s="3">
        <v>274.52614118393598</v>
      </c>
      <c r="AF60" s="2">
        <v>44818</v>
      </c>
      <c r="AG60" s="1">
        <v>96</v>
      </c>
      <c r="AH60" s="3">
        <v>7.9698836413415499</v>
      </c>
      <c r="AI60" s="4">
        <v>26.5639554586675</v>
      </c>
      <c r="AJ60" s="4">
        <v>19.554545454545501</v>
      </c>
      <c r="AK60" s="4">
        <v>24.769528404391099</v>
      </c>
      <c r="AL60" s="1">
        <v>22</v>
      </c>
      <c r="AM60" s="5">
        <v>801.38087779625198</v>
      </c>
      <c r="AN60" s="4">
        <v>290.60753925445903</v>
      </c>
      <c r="AO60" s="4">
        <v>0.36263348341129797</v>
      </c>
      <c r="AP60" s="1" t="s">
        <v>150</v>
      </c>
      <c r="AQ60" s="1" t="s">
        <v>254</v>
      </c>
      <c r="AR60" s="1" t="s">
        <v>459</v>
      </c>
      <c r="AS60" s="1">
        <v>9.99</v>
      </c>
      <c r="AT60" s="4">
        <v>0.80057949691845576</v>
      </c>
      <c r="AU60" s="1" t="s">
        <v>461</v>
      </c>
      <c r="AV60" s="1" t="s">
        <v>462</v>
      </c>
      <c r="AW60" s="1">
        <v>1796</v>
      </c>
      <c r="AX60" s="1">
        <v>1031</v>
      </c>
      <c r="AY60" s="1">
        <v>758</v>
      </c>
      <c r="AZ60" s="1">
        <v>7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4">
        <v>-0.83899999999999997</v>
      </c>
      <c r="BI60" s="4">
        <v>27.827998999999998</v>
      </c>
      <c r="BJ60" s="4">
        <v>13.228577</v>
      </c>
      <c r="BK60" s="4">
        <v>-0.38396799999999998</v>
      </c>
      <c r="BL60" s="4">
        <v>12.441986</v>
      </c>
      <c r="BM60" s="4">
        <v>154.803009</v>
      </c>
      <c r="BN60" s="4">
        <v>0.94053799999999999</v>
      </c>
      <c r="BO60" s="4">
        <v>25.045499</v>
      </c>
      <c r="BP60" s="4">
        <v>-0.109734</v>
      </c>
      <c r="BQ60" s="4">
        <v>1.0291189999999999</v>
      </c>
      <c r="BR60" s="4">
        <v>12.383186</v>
      </c>
      <c r="BS60" s="4">
        <v>3.1884990000000002</v>
      </c>
      <c r="BT60" s="4">
        <v>23.591968999999999</v>
      </c>
      <c r="BU60" s="4">
        <v>13.228577</v>
      </c>
      <c r="BV60" s="4">
        <v>6.3907020000000001</v>
      </c>
      <c r="BW60" s="4">
        <v>-0.19300100000000001</v>
      </c>
      <c r="BX60" s="4">
        <v>-1.420466</v>
      </c>
      <c r="BY60" s="4">
        <v>0.48309800000000003</v>
      </c>
      <c r="BZ60" s="4">
        <v>-3.0200000000000001E-2</v>
      </c>
      <c r="CA60" s="4">
        <v>-0.222271</v>
      </c>
      <c r="CB60" s="4">
        <v>-0.40529999999999999</v>
      </c>
      <c r="CC60" s="4">
        <v>-0.19425000000000001</v>
      </c>
      <c r="CD60" s="4">
        <v>-9.9500000000000005E-2</v>
      </c>
      <c r="CE60" s="4">
        <v>-5.0000000000000001E-3</v>
      </c>
      <c r="CF60" s="4">
        <v>3.2750000000000001E-2</v>
      </c>
      <c r="CG60" s="4">
        <v>7.3499999999999996E-2</v>
      </c>
      <c r="CH60" s="4">
        <v>0.17299999999999999</v>
      </c>
      <c r="CI60" s="4">
        <v>23.207999999999998</v>
      </c>
      <c r="CJ60" s="4">
        <v>24.370999999999999</v>
      </c>
      <c r="CK60" s="4">
        <v>24.82</v>
      </c>
      <c r="CL60" s="4">
        <v>25.078249</v>
      </c>
      <c r="CM60" s="4">
        <v>25.306000000000001</v>
      </c>
      <c r="CN60" s="4">
        <v>25.7745</v>
      </c>
      <c r="CO60" s="4">
        <v>26.117249999999999</v>
      </c>
      <c r="CP60" s="4">
        <v>27.0289</v>
      </c>
      <c r="CQ60" s="4">
        <v>0.49072399999999999</v>
      </c>
      <c r="CR60" s="4">
        <v>18.157976000000001</v>
      </c>
      <c r="CS60" s="4">
        <v>20.201091000000002</v>
      </c>
      <c r="CT60" s="1">
        <v>1</v>
      </c>
      <c r="CU60" s="1">
        <v>55</v>
      </c>
      <c r="CV60" s="4">
        <v>17.182628000000001</v>
      </c>
      <c r="CW60" s="4">
        <v>2.714286</v>
      </c>
      <c r="CX60" s="4">
        <v>10.982186</v>
      </c>
      <c r="CY60" s="4">
        <v>120.608411</v>
      </c>
      <c r="CZ60" s="4">
        <v>0.63914499999999996</v>
      </c>
      <c r="DA60" s="4">
        <v>18</v>
      </c>
      <c r="DB60" s="4">
        <v>0.38381199999999999</v>
      </c>
      <c r="DC60" s="4">
        <v>2.5500569999999998</v>
      </c>
      <c r="DD60" s="4">
        <v>9.2635129999999997</v>
      </c>
      <c r="DE60" s="4">
        <v>17.182628000000001</v>
      </c>
      <c r="DF60" s="4">
        <v>6.2246969999999999</v>
      </c>
      <c r="DG60" s="4">
        <v>0.420209</v>
      </c>
      <c r="DH60" s="4">
        <v>0.26175500000000002</v>
      </c>
      <c r="DI60" s="4">
        <v>0.36226700000000001</v>
      </c>
      <c r="DJ60" s="4">
        <v>6.7506999999999998E-2</v>
      </c>
      <c r="DK60" s="4">
        <v>4.2050999999999998E-2</v>
      </c>
      <c r="DL60" s="4">
        <v>1</v>
      </c>
      <c r="DM60" s="4">
        <v>2</v>
      </c>
      <c r="DN60" s="4">
        <v>3</v>
      </c>
      <c r="DO60" s="4">
        <v>5</v>
      </c>
      <c r="DP60" s="4">
        <v>7</v>
      </c>
      <c r="DQ60" s="4">
        <v>9</v>
      </c>
      <c r="DR60" s="4">
        <v>13</v>
      </c>
      <c r="DS60" s="4">
        <v>18</v>
      </c>
      <c r="DT60" s="4">
        <v>21</v>
      </c>
      <c r="DU60" s="4">
        <v>24</v>
      </c>
      <c r="DV60" s="4">
        <v>25</v>
      </c>
      <c r="DW60" s="4">
        <v>26</v>
      </c>
      <c r="DX60" s="4">
        <v>30</v>
      </c>
      <c r="DY60" s="4">
        <v>37</v>
      </c>
      <c r="DZ60" s="4">
        <v>45</v>
      </c>
      <c r="EA60" s="4">
        <v>92.046557000000007</v>
      </c>
      <c r="EB60" s="4">
        <v>53.340757000000004</v>
      </c>
      <c r="EC60" s="4">
        <v>92.919495999999995</v>
      </c>
      <c r="ED60" s="4">
        <v>949</v>
      </c>
      <c r="EE60" s="4">
        <v>958</v>
      </c>
      <c r="EF60" s="4">
        <v>91.949563999999995</v>
      </c>
      <c r="EG60" s="4">
        <v>100</v>
      </c>
      <c r="EH60" s="4">
        <v>52.951002000000003</v>
      </c>
      <c r="EI60" s="4">
        <v>98.830735000000004</v>
      </c>
      <c r="EJ60" s="4">
        <v>92.240543000000002</v>
      </c>
      <c r="EK60" s="4">
        <v>172.162949</v>
      </c>
      <c r="EL60" s="4">
        <v>948</v>
      </c>
      <c r="EM60" s="4">
        <v>1031</v>
      </c>
      <c r="EN60" s="4">
        <v>951</v>
      </c>
      <c r="EO60" s="4">
        <v>1775</v>
      </c>
      <c r="EP60" s="4">
        <v>1031</v>
      </c>
      <c r="EQ60" s="4">
        <v>1796</v>
      </c>
      <c r="ER60" s="4">
        <v>47.860548999999999</v>
      </c>
    </row>
    <row r="61" spans="1:148" x14ac:dyDescent="0.2">
      <c r="A61" s="1">
        <v>2022</v>
      </c>
      <c r="B61" s="1" t="str">
        <f t="shared" si="0"/>
        <v>NE</v>
      </c>
      <c r="C61" s="1" t="s">
        <v>463</v>
      </c>
      <c r="D61" s="1" t="s">
        <v>463</v>
      </c>
      <c r="E61" s="1">
        <v>22888</v>
      </c>
      <c r="F61" s="1" t="s">
        <v>2068</v>
      </c>
      <c r="G61" s="1" t="s">
        <v>148</v>
      </c>
      <c r="H61" s="1" t="s">
        <v>455</v>
      </c>
      <c r="I61" s="1">
        <v>21.15</v>
      </c>
      <c r="J61" s="1">
        <v>21.15</v>
      </c>
      <c r="K61" s="1" t="s">
        <v>148</v>
      </c>
      <c r="L61" s="1">
        <v>1</v>
      </c>
      <c r="M61" s="1">
        <v>2014</v>
      </c>
      <c r="N61" s="1">
        <v>2</v>
      </c>
      <c r="O61" s="1">
        <v>2</v>
      </c>
      <c r="P61" s="1" t="str">
        <f t="shared" si="1"/>
        <v>Talhadia</v>
      </c>
      <c r="Q61" s="2">
        <v>41907</v>
      </c>
      <c r="R61" s="1" t="s">
        <v>306</v>
      </c>
      <c r="S61" s="1" t="s">
        <v>150</v>
      </c>
      <c r="T61" s="1" t="s">
        <v>2268</v>
      </c>
      <c r="U61" s="1" t="s">
        <v>151</v>
      </c>
      <c r="V61" s="1" t="s">
        <v>152</v>
      </c>
      <c r="W61" s="2">
        <v>44818</v>
      </c>
      <c r="X61" s="1" t="s">
        <v>456</v>
      </c>
      <c r="Y61" s="1">
        <v>70.510000000000005</v>
      </c>
      <c r="Z61" s="1">
        <v>20</v>
      </c>
      <c r="AA61" s="1">
        <v>18</v>
      </c>
      <c r="AB61" s="1">
        <v>14.3</v>
      </c>
      <c r="AC61" s="1">
        <v>3</v>
      </c>
      <c r="AD61" s="3">
        <v>286</v>
      </c>
      <c r="AE61" s="3">
        <v>271.62939414843697</v>
      </c>
      <c r="AF61" s="2">
        <v>44818</v>
      </c>
      <c r="AG61" s="1">
        <v>96</v>
      </c>
      <c r="AH61" s="3">
        <v>7.9698836413415499</v>
      </c>
      <c r="AI61" s="4">
        <v>23.0843038438245</v>
      </c>
      <c r="AJ61" s="4">
        <v>16.134782608695701</v>
      </c>
      <c r="AK61" s="4">
        <v>18.658503167152801</v>
      </c>
      <c r="AL61" s="1">
        <v>23</v>
      </c>
      <c r="AM61" s="5">
        <v>846.74193940259795</v>
      </c>
      <c r="AN61" s="4">
        <v>202.842798717882</v>
      </c>
      <c r="AO61" s="4">
        <v>0.23955681097004999</v>
      </c>
      <c r="AP61" s="1" t="s">
        <v>150</v>
      </c>
      <c r="AQ61" s="1" t="s">
        <v>254</v>
      </c>
      <c r="AR61" s="1" t="s">
        <v>459</v>
      </c>
      <c r="AS61" s="1">
        <v>9.99</v>
      </c>
      <c r="AT61" s="4">
        <v>0.84589519746319541</v>
      </c>
      <c r="AU61" s="1" t="s">
        <v>464</v>
      </c>
      <c r="AV61" s="1" t="s">
        <v>465</v>
      </c>
      <c r="AW61" s="1">
        <v>2760</v>
      </c>
      <c r="AX61" s="1">
        <v>1151</v>
      </c>
      <c r="AY61" s="1">
        <v>1033</v>
      </c>
      <c r="AZ61" s="1">
        <v>525</v>
      </c>
      <c r="BA61" s="1">
        <v>51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4">
        <v>-0.81799999999999995</v>
      </c>
      <c r="BI61" s="4">
        <v>28.971001000000001</v>
      </c>
      <c r="BJ61" s="4">
        <v>12.153707000000001</v>
      </c>
      <c r="BK61" s="4">
        <v>-0.34515899999999999</v>
      </c>
      <c r="BL61" s="4">
        <v>10.746211000000001</v>
      </c>
      <c r="BM61" s="4">
        <v>115.48106</v>
      </c>
      <c r="BN61" s="4">
        <v>0.88419199999999998</v>
      </c>
      <c r="BO61" s="4">
        <v>22.263998999999998</v>
      </c>
      <c r="BP61" s="4">
        <v>-4.7737000000000002E-2</v>
      </c>
      <c r="BQ61" s="4">
        <v>1.2779879999999999</v>
      </c>
      <c r="BR61" s="4">
        <v>10.114525</v>
      </c>
      <c r="BS61" s="4">
        <v>10.836499</v>
      </c>
      <c r="BT61" s="4">
        <v>15.088158999999999</v>
      </c>
      <c r="BU61" s="4">
        <v>12.153707000000001</v>
      </c>
      <c r="BV61" s="4">
        <v>5.9275640000000003</v>
      </c>
      <c r="BW61" s="4">
        <v>0.157387</v>
      </c>
      <c r="BX61" s="4">
        <v>-0.87196300000000004</v>
      </c>
      <c r="BY61" s="4">
        <v>0.48771700000000001</v>
      </c>
      <c r="BZ61" s="4">
        <v>2.6551999999999999E-2</v>
      </c>
      <c r="CA61" s="4">
        <v>-0.14710300000000001</v>
      </c>
      <c r="CB61" s="4">
        <v>-0.36425000000000002</v>
      </c>
      <c r="CC61" s="4">
        <v>-0.15805</v>
      </c>
      <c r="CD61" s="4">
        <v>-7.8E-2</v>
      </c>
      <c r="CE61" s="4">
        <v>3.0200000000000001E-2</v>
      </c>
      <c r="CF61" s="4">
        <v>0.105</v>
      </c>
      <c r="CG61" s="4">
        <v>0.18</v>
      </c>
      <c r="CH61" s="4">
        <v>1.4490000000000001</v>
      </c>
      <c r="CI61" s="4">
        <v>14.743</v>
      </c>
      <c r="CJ61" s="4">
        <v>19.132000000000001</v>
      </c>
      <c r="CK61" s="4">
        <v>21.678301000000001</v>
      </c>
      <c r="CL61" s="4">
        <v>22.368998999999999</v>
      </c>
      <c r="CM61" s="4">
        <v>22.957999999999998</v>
      </c>
      <c r="CN61" s="4">
        <v>25.173999999999999</v>
      </c>
      <c r="CO61" s="4">
        <v>26.693999999999999</v>
      </c>
      <c r="CP61" s="4">
        <v>28.456738999999999</v>
      </c>
      <c r="CQ61" s="4">
        <v>0.43545299999999998</v>
      </c>
      <c r="CR61" s="4">
        <v>16.221955000000001</v>
      </c>
      <c r="CS61" s="4">
        <v>18.115587999999999</v>
      </c>
      <c r="CT61" s="1">
        <v>1</v>
      </c>
      <c r="CU61" s="1">
        <v>76</v>
      </c>
      <c r="CV61" s="4">
        <v>15.988768</v>
      </c>
      <c r="CW61" s="4">
        <v>6.9523809999999999</v>
      </c>
      <c r="CX61" s="4">
        <v>13.341101999999999</v>
      </c>
      <c r="CY61" s="4">
        <v>177.98501300000001</v>
      </c>
      <c r="CZ61" s="4">
        <v>0.83440499999999995</v>
      </c>
      <c r="DA61" s="4">
        <v>15</v>
      </c>
      <c r="DB61" s="4">
        <v>1.6052390000000001</v>
      </c>
      <c r="DC61" s="4">
        <v>5.7418880000000003</v>
      </c>
      <c r="DD61" s="4">
        <v>9.8619649999999996</v>
      </c>
      <c r="DE61" s="4">
        <v>15.988768</v>
      </c>
      <c r="DF61" s="4">
        <v>6.8550269999999998</v>
      </c>
      <c r="DG61" s="4">
        <v>2.0053100000000001</v>
      </c>
      <c r="DH61" s="4">
        <v>1.1996690000000001</v>
      </c>
      <c r="DI61" s="4">
        <v>0.42874000000000001</v>
      </c>
      <c r="DJ61" s="4">
        <v>0.29253099999999999</v>
      </c>
      <c r="DK61" s="4">
        <v>0.17500599999999999</v>
      </c>
      <c r="DL61" s="4">
        <v>1</v>
      </c>
      <c r="DM61" s="4">
        <v>2</v>
      </c>
      <c r="DN61" s="4">
        <v>3</v>
      </c>
      <c r="DO61" s="4">
        <v>5</v>
      </c>
      <c r="DP61" s="4">
        <v>6</v>
      </c>
      <c r="DQ61" s="4">
        <v>8</v>
      </c>
      <c r="DR61" s="4">
        <v>10</v>
      </c>
      <c r="DS61" s="4">
        <v>13</v>
      </c>
      <c r="DT61" s="4">
        <v>16</v>
      </c>
      <c r="DU61" s="4">
        <v>19</v>
      </c>
      <c r="DV61" s="4">
        <v>21</v>
      </c>
      <c r="DW61" s="4">
        <v>24</v>
      </c>
      <c r="DX61" s="4">
        <v>32.100098000000003</v>
      </c>
      <c r="DY61" s="4">
        <v>46</v>
      </c>
      <c r="DZ61" s="4">
        <v>62</v>
      </c>
      <c r="EA61" s="4">
        <v>92.354473999999996</v>
      </c>
      <c r="EB61" s="4">
        <v>58.731884000000001</v>
      </c>
      <c r="EC61" s="4">
        <v>140.834057</v>
      </c>
      <c r="ED61" s="4">
        <v>1063</v>
      </c>
      <c r="EE61" s="4">
        <v>1621</v>
      </c>
      <c r="EF61" s="4">
        <v>90.443093000000005</v>
      </c>
      <c r="EG61" s="4">
        <v>100</v>
      </c>
      <c r="EH61" s="4">
        <v>55.181159000000001</v>
      </c>
      <c r="EI61" s="4">
        <v>98.949275</v>
      </c>
      <c r="EJ61" s="4">
        <v>132.31972200000001</v>
      </c>
      <c r="EK61" s="4">
        <v>237.27193700000001</v>
      </c>
      <c r="EL61" s="4">
        <v>1041</v>
      </c>
      <c r="EM61" s="4">
        <v>1151</v>
      </c>
      <c r="EN61" s="4">
        <v>1523</v>
      </c>
      <c r="EO61" s="4">
        <v>2731</v>
      </c>
      <c r="EP61" s="4">
        <v>1151</v>
      </c>
      <c r="EQ61" s="4">
        <v>2760</v>
      </c>
      <c r="ER61" s="4">
        <v>41.783223999999997</v>
      </c>
    </row>
    <row r="62" spans="1:148" x14ac:dyDescent="0.2">
      <c r="A62" s="1">
        <v>2022</v>
      </c>
      <c r="B62" s="1" t="str">
        <f t="shared" si="0"/>
        <v>RD</v>
      </c>
      <c r="C62" s="1" t="s">
        <v>466</v>
      </c>
      <c r="D62" s="1" t="s">
        <v>466</v>
      </c>
      <c r="E62" s="1">
        <v>22945</v>
      </c>
      <c r="F62" s="1" t="s">
        <v>2069</v>
      </c>
      <c r="G62" s="1" t="s">
        <v>467</v>
      </c>
      <c r="H62" s="1" t="s">
        <v>468</v>
      </c>
      <c r="I62" s="1">
        <v>22.43</v>
      </c>
      <c r="J62" s="1">
        <v>22.43</v>
      </c>
      <c r="K62" s="1" t="s">
        <v>249</v>
      </c>
      <c r="L62" s="1">
        <v>1</v>
      </c>
      <c r="M62" s="1">
        <v>2014</v>
      </c>
      <c r="N62" s="1">
        <v>1</v>
      </c>
      <c r="O62" s="1">
        <v>2</v>
      </c>
      <c r="P62" s="1" t="str">
        <f t="shared" si="1"/>
        <v>Talhadia</v>
      </c>
      <c r="Q62" s="2">
        <v>41814</v>
      </c>
      <c r="R62" s="1" t="s">
        <v>149</v>
      </c>
      <c r="S62" s="1" t="s">
        <v>469</v>
      </c>
      <c r="T62" s="1" t="s">
        <v>2268</v>
      </c>
      <c r="U62" s="1" t="s">
        <v>212</v>
      </c>
      <c r="V62" s="1" t="s">
        <v>152</v>
      </c>
      <c r="W62" s="2">
        <v>44641</v>
      </c>
      <c r="X62" s="1" t="s">
        <v>470</v>
      </c>
      <c r="Y62" s="1">
        <v>86.89</v>
      </c>
      <c r="Z62" s="1">
        <v>20.100000000000001</v>
      </c>
      <c r="AA62" s="1">
        <v>6</v>
      </c>
      <c r="AB62" s="1">
        <v>13.7</v>
      </c>
      <c r="AC62" s="1">
        <v>4</v>
      </c>
      <c r="AD62" s="3">
        <v>275.37</v>
      </c>
      <c r="AE62" s="3">
        <v>273.19438149160999</v>
      </c>
      <c r="AF62" s="2">
        <v>44641</v>
      </c>
      <c r="AG62" s="1">
        <v>93</v>
      </c>
      <c r="AH62" s="3">
        <v>7.73990417522245</v>
      </c>
      <c r="AI62" s="4">
        <v>24.177598965709102</v>
      </c>
      <c r="AJ62" s="4">
        <v>16.576470588235299</v>
      </c>
      <c r="AK62" s="4">
        <v>13.546729526373101</v>
      </c>
      <c r="AL62" s="1">
        <v>17</v>
      </c>
      <c r="AM62" s="5">
        <v>622.26755569356703</v>
      </c>
      <c r="AN62" s="4">
        <v>142.465913600248</v>
      </c>
      <c r="AO62" s="4">
        <v>0.228946394997982</v>
      </c>
      <c r="AP62" s="1" t="s">
        <v>469</v>
      </c>
      <c r="AQ62" s="1" t="s">
        <v>254</v>
      </c>
      <c r="AR62" s="1" t="s">
        <v>275</v>
      </c>
      <c r="AS62" s="1">
        <v>9.99</v>
      </c>
      <c r="AT62" s="4">
        <v>0.62164528813787345</v>
      </c>
      <c r="AU62" s="1" t="s">
        <v>471</v>
      </c>
      <c r="AV62" s="1" t="s">
        <v>472</v>
      </c>
      <c r="AW62" s="1">
        <v>7580</v>
      </c>
      <c r="AX62" s="1">
        <v>4079</v>
      </c>
      <c r="AY62" s="1">
        <v>2954</v>
      </c>
      <c r="AZ62" s="1">
        <v>524</v>
      </c>
      <c r="BA62" s="1">
        <v>23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4">
        <v>-1.4910000000000001</v>
      </c>
      <c r="BI62" s="4">
        <v>23.981999999999999</v>
      </c>
      <c r="BJ62" s="4">
        <v>10.894114999999999</v>
      </c>
      <c r="BK62" s="4">
        <v>-0.27800000000000002</v>
      </c>
      <c r="BL62" s="4">
        <v>10.100375</v>
      </c>
      <c r="BM62" s="4">
        <v>102.01757600000001</v>
      </c>
      <c r="BN62" s="4">
        <v>0.92713999999999996</v>
      </c>
      <c r="BO62" s="4">
        <v>21.087499999999999</v>
      </c>
      <c r="BP62" s="4">
        <v>-4.6606000000000002E-2</v>
      </c>
      <c r="BQ62" s="4">
        <v>1.126538</v>
      </c>
      <c r="BR62" s="4">
        <v>9.7790490000000005</v>
      </c>
      <c r="BS62" s="4">
        <v>8.7800010000000004</v>
      </c>
      <c r="BT62" s="4">
        <v>14.327999</v>
      </c>
      <c r="BU62" s="4">
        <v>10.894114999999999</v>
      </c>
      <c r="BV62" s="4">
        <v>5.4217690000000003</v>
      </c>
      <c r="BW62" s="4">
        <v>7.3991000000000001E-2</v>
      </c>
      <c r="BX62" s="4">
        <v>-1.0835429999999999</v>
      </c>
      <c r="BY62" s="4">
        <v>0.49767899999999998</v>
      </c>
      <c r="BZ62" s="4">
        <v>1.3646999999999999E-2</v>
      </c>
      <c r="CA62" s="4">
        <v>-0.199851</v>
      </c>
      <c r="CB62" s="4">
        <v>-0.39800000000000002</v>
      </c>
      <c r="CC62" s="4">
        <v>-0.183</v>
      </c>
      <c r="CD62" s="4">
        <v>-0.10100000000000001</v>
      </c>
      <c r="CE62" s="4">
        <v>2.3E-2</v>
      </c>
      <c r="CF62" s="4">
        <v>7.9000000000000001E-2</v>
      </c>
      <c r="CG62" s="4">
        <v>0.13</v>
      </c>
      <c r="CH62" s="4">
        <v>0.33300000000000002</v>
      </c>
      <c r="CI62" s="4">
        <v>14.049999</v>
      </c>
      <c r="CJ62" s="4">
        <v>19.466799000000002</v>
      </c>
      <c r="CK62" s="4">
        <v>20.706299000000001</v>
      </c>
      <c r="CL62" s="4">
        <v>21.166499999999999</v>
      </c>
      <c r="CM62" s="4">
        <v>21.507000000000001</v>
      </c>
      <c r="CN62" s="4">
        <v>22.322400999999999</v>
      </c>
      <c r="CO62" s="4">
        <v>22.83</v>
      </c>
      <c r="CP62" s="4">
        <v>23.306999000000001</v>
      </c>
      <c r="CQ62" s="4">
        <v>0.48620600000000003</v>
      </c>
      <c r="CR62" s="4">
        <v>14.855499</v>
      </c>
      <c r="CS62" s="4">
        <v>16.605259</v>
      </c>
      <c r="CT62" s="1">
        <v>1</v>
      </c>
      <c r="CU62" s="1">
        <v>57</v>
      </c>
      <c r="CV62" s="4">
        <v>14.959498999999999</v>
      </c>
      <c r="CW62" s="4">
        <v>1</v>
      </c>
      <c r="CX62" s="4">
        <v>10.911249</v>
      </c>
      <c r="CY62" s="4">
        <v>119.055359</v>
      </c>
      <c r="CZ62" s="4">
        <v>0.72938599999999998</v>
      </c>
      <c r="DA62" s="4">
        <v>15</v>
      </c>
      <c r="DB62" s="4">
        <v>0.98133199999999998</v>
      </c>
      <c r="DC62" s="4">
        <v>3.6800519999999999</v>
      </c>
      <c r="DD62" s="4">
        <v>8.6472119999999997</v>
      </c>
      <c r="DE62" s="4">
        <v>14.959498999999999</v>
      </c>
      <c r="DF62" s="4">
        <v>5.9750290000000001</v>
      </c>
      <c r="DG62" s="4">
        <v>1.1736660000000001</v>
      </c>
      <c r="DH62" s="4">
        <v>0.64418600000000004</v>
      </c>
      <c r="DI62" s="4">
        <v>0.39941399999999999</v>
      </c>
      <c r="DJ62" s="4">
        <v>0.19642899999999999</v>
      </c>
      <c r="DK62" s="4">
        <v>0.10781300000000001</v>
      </c>
      <c r="DL62" s="4">
        <v>1</v>
      </c>
      <c r="DM62" s="4">
        <v>1</v>
      </c>
      <c r="DN62" s="4">
        <v>3</v>
      </c>
      <c r="DO62" s="4">
        <v>5</v>
      </c>
      <c r="DP62" s="4">
        <v>6</v>
      </c>
      <c r="DQ62" s="4">
        <v>8</v>
      </c>
      <c r="DR62" s="4">
        <v>10</v>
      </c>
      <c r="DS62" s="4">
        <v>13</v>
      </c>
      <c r="DT62" s="4">
        <v>16</v>
      </c>
      <c r="DU62" s="4">
        <v>19</v>
      </c>
      <c r="DV62" s="4">
        <v>21</v>
      </c>
      <c r="DW62" s="4">
        <v>23</v>
      </c>
      <c r="DX62" s="4">
        <v>30</v>
      </c>
      <c r="DY62" s="4">
        <v>37</v>
      </c>
      <c r="DZ62" s="4">
        <v>47</v>
      </c>
      <c r="EA62" s="4">
        <v>86.785977000000003</v>
      </c>
      <c r="EB62" s="4">
        <v>55.646438000000003</v>
      </c>
      <c r="EC62" s="4">
        <v>103.407698</v>
      </c>
      <c r="ED62" s="4">
        <v>3540</v>
      </c>
      <c r="EE62" s="4">
        <v>4218</v>
      </c>
      <c r="EF62" s="4">
        <v>85.216965000000002</v>
      </c>
      <c r="EG62" s="4">
        <v>100</v>
      </c>
      <c r="EH62" s="4">
        <v>52.638522000000002</v>
      </c>
      <c r="EI62" s="4">
        <v>97.585751999999999</v>
      </c>
      <c r="EJ62" s="4">
        <v>97.818093000000005</v>
      </c>
      <c r="EK62" s="4">
        <v>181.343467</v>
      </c>
      <c r="EL62" s="4">
        <v>3476</v>
      </c>
      <c r="EM62" s="4">
        <v>4079</v>
      </c>
      <c r="EN62" s="4">
        <v>3990</v>
      </c>
      <c r="EO62" s="4">
        <v>7397</v>
      </c>
      <c r="EP62" s="4">
        <v>4079</v>
      </c>
      <c r="EQ62" s="4">
        <v>7580</v>
      </c>
      <c r="ER62" s="4">
        <v>45.823613999999999</v>
      </c>
    </row>
    <row r="63" spans="1:148" x14ac:dyDescent="0.2">
      <c r="A63" s="1">
        <v>2022</v>
      </c>
      <c r="B63" s="1" t="str">
        <f t="shared" si="0"/>
        <v>RD</v>
      </c>
      <c r="C63" s="1" t="s">
        <v>473</v>
      </c>
      <c r="D63" s="1" t="s">
        <v>473</v>
      </c>
      <c r="E63" s="1">
        <v>22946</v>
      </c>
      <c r="F63" s="1" t="s">
        <v>2069</v>
      </c>
      <c r="G63" s="1" t="s">
        <v>467</v>
      </c>
      <c r="H63" s="1" t="s">
        <v>468</v>
      </c>
      <c r="I63" s="1">
        <v>22.43</v>
      </c>
      <c r="J63" s="1">
        <v>22.43</v>
      </c>
      <c r="K63" s="1" t="s">
        <v>249</v>
      </c>
      <c r="L63" s="1">
        <v>1</v>
      </c>
      <c r="M63" s="1">
        <v>2014</v>
      </c>
      <c r="N63" s="1">
        <v>1</v>
      </c>
      <c r="O63" s="1">
        <v>2</v>
      </c>
      <c r="P63" s="1" t="str">
        <f t="shared" si="1"/>
        <v>Talhadia</v>
      </c>
      <c r="Q63" s="2">
        <v>41814</v>
      </c>
      <c r="R63" s="1" t="s">
        <v>149</v>
      </c>
      <c r="S63" s="1" t="s">
        <v>469</v>
      </c>
      <c r="T63" s="1" t="s">
        <v>2268</v>
      </c>
      <c r="U63" s="1" t="s">
        <v>212</v>
      </c>
      <c r="V63" s="1" t="s">
        <v>152</v>
      </c>
      <c r="W63" s="2">
        <v>44641</v>
      </c>
      <c r="X63" s="1" t="s">
        <v>470</v>
      </c>
      <c r="Y63" s="1">
        <v>86.89</v>
      </c>
      <c r="Z63" s="1">
        <v>21</v>
      </c>
      <c r="AA63" s="1">
        <v>5</v>
      </c>
      <c r="AB63" s="1">
        <v>16.3</v>
      </c>
      <c r="AC63" s="1">
        <v>0</v>
      </c>
      <c r="AD63" s="3">
        <v>342.3</v>
      </c>
      <c r="AE63" s="3">
        <v>340.99744515680402</v>
      </c>
      <c r="AF63" s="2">
        <v>44641</v>
      </c>
      <c r="AG63" s="1">
        <v>93</v>
      </c>
      <c r="AH63" s="3">
        <v>7.73990417522245</v>
      </c>
      <c r="AI63" s="4">
        <v>29.001208909816299</v>
      </c>
      <c r="AJ63" s="4">
        <v>16.431999999999999</v>
      </c>
      <c r="AK63" s="4">
        <v>15.9063897222255</v>
      </c>
      <c r="AL63" s="1">
        <v>25</v>
      </c>
      <c r="AM63" s="5">
        <v>733.14332277486699</v>
      </c>
      <c r="AN63" s="4">
        <v>210.82959672357799</v>
      </c>
      <c r="AO63" s="4">
        <v>0.28756941538471797</v>
      </c>
      <c r="AP63" s="1" t="s">
        <v>469</v>
      </c>
      <c r="AQ63" s="1" t="s">
        <v>254</v>
      </c>
      <c r="AR63" s="1" t="s">
        <v>275</v>
      </c>
      <c r="AS63" s="1">
        <v>9.99</v>
      </c>
      <c r="AT63" s="4">
        <v>0.73241017945209208</v>
      </c>
      <c r="AU63" s="1" t="s">
        <v>474</v>
      </c>
      <c r="AV63" s="1" t="s">
        <v>475</v>
      </c>
      <c r="AW63" s="1">
        <v>3941</v>
      </c>
      <c r="AX63" s="1">
        <v>2037</v>
      </c>
      <c r="AY63" s="1">
        <v>1405</v>
      </c>
      <c r="AZ63" s="1">
        <v>455</v>
      </c>
      <c r="BA63" s="1">
        <v>44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4">
        <v>-1.0029999999999999</v>
      </c>
      <c r="BI63" s="4">
        <v>31.877001</v>
      </c>
      <c r="BJ63" s="4">
        <v>11.785377</v>
      </c>
      <c r="BK63" s="4">
        <v>-0.48109499999999999</v>
      </c>
      <c r="BL63" s="4">
        <v>11.446783</v>
      </c>
      <c r="BM63" s="4">
        <v>131.02883499999999</v>
      </c>
      <c r="BN63" s="4">
        <v>0.97126999999999997</v>
      </c>
      <c r="BO63" s="4">
        <v>22.884001000000001</v>
      </c>
      <c r="BP63" s="4">
        <v>0.17166200000000001</v>
      </c>
      <c r="BQ63" s="4">
        <v>1.3304560000000001</v>
      </c>
      <c r="BR63" s="4">
        <v>10.778242000000001</v>
      </c>
      <c r="BS63" s="4">
        <v>12.610001</v>
      </c>
      <c r="BT63" s="4">
        <v>13.213096</v>
      </c>
      <c r="BU63" s="4">
        <v>11.785377</v>
      </c>
      <c r="BV63" s="4">
        <v>6.3085110000000002</v>
      </c>
      <c r="BW63" s="4">
        <v>0.71932099999999999</v>
      </c>
      <c r="BX63" s="4">
        <v>-0.89674100000000001</v>
      </c>
      <c r="BY63" s="4">
        <v>0.53528299999999995</v>
      </c>
      <c r="BZ63" s="4">
        <v>0.114024</v>
      </c>
      <c r="CA63" s="4">
        <v>-0.142148</v>
      </c>
      <c r="CB63" s="4">
        <v>-0.36020000000000002</v>
      </c>
      <c r="CC63" s="4">
        <v>-0.17699999999999999</v>
      </c>
      <c r="CD63" s="4">
        <v>-9.1999999999999998E-2</v>
      </c>
      <c r="CE63" s="4">
        <v>6.0000000000000001E-3</v>
      </c>
      <c r="CF63" s="4">
        <v>5.1999999999999998E-2</v>
      </c>
      <c r="CG63" s="4">
        <v>9.9000000000000005E-2</v>
      </c>
      <c r="CH63" s="4">
        <v>0.28299999999999997</v>
      </c>
      <c r="CI63" s="4">
        <v>12.731999999999999</v>
      </c>
      <c r="CJ63" s="4">
        <v>17.59</v>
      </c>
      <c r="CK63" s="4">
        <v>21.437999999999999</v>
      </c>
      <c r="CL63" s="4">
        <v>22.936001000000001</v>
      </c>
      <c r="CM63" s="4">
        <v>24.663</v>
      </c>
      <c r="CN63" s="4">
        <v>27.361999999999998</v>
      </c>
      <c r="CO63" s="4">
        <v>28.325001</v>
      </c>
      <c r="CP63" s="4">
        <v>30.259001000000001</v>
      </c>
      <c r="CQ63" s="4">
        <v>0.38894099999999998</v>
      </c>
      <c r="CR63" s="4">
        <v>16.428349999999998</v>
      </c>
      <c r="CS63" s="4">
        <v>18.687239999999999</v>
      </c>
      <c r="CT63" s="1">
        <v>1</v>
      </c>
      <c r="CU63" s="1">
        <v>63</v>
      </c>
      <c r="CV63" s="4">
        <v>15.303984</v>
      </c>
      <c r="CW63" s="4">
        <v>1</v>
      </c>
      <c r="CX63" s="4">
        <v>14.266408999999999</v>
      </c>
      <c r="CY63" s="4">
        <v>203.53041300000001</v>
      </c>
      <c r="CZ63" s="4">
        <v>0.93220199999999998</v>
      </c>
      <c r="DA63" s="4">
        <v>15</v>
      </c>
      <c r="DB63" s="4">
        <v>1.283264</v>
      </c>
      <c r="DC63" s="4">
        <v>3.6336710000000001</v>
      </c>
      <c r="DD63" s="4">
        <v>11.184355999999999</v>
      </c>
      <c r="DE63" s="4">
        <v>15.303984</v>
      </c>
      <c r="DF63" s="4">
        <v>7.4203340000000004</v>
      </c>
      <c r="DG63" s="4">
        <v>2.4871799999999999</v>
      </c>
      <c r="DH63" s="4">
        <v>0.97608300000000003</v>
      </c>
      <c r="DI63" s="4">
        <v>0.48486299999999999</v>
      </c>
      <c r="DJ63" s="4">
        <v>0.33518399999999998</v>
      </c>
      <c r="DK63" s="4">
        <v>0.13154199999999999</v>
      </c>
      <c r="DL63" s="4">
        <v>1</v>
      </c>
      <c r="DM63" s="4">
        <v>1</v>
      </c>
      <c r="DN63" s="4">
        <v>2</v>
      </c>
      <c r="DO63" s="4">
        <v>4</v>
      </c>
      <c r="DP63" s="4">
        <v>5</v>
      </c>
      <c r="DQ63" s="4">
        <v>6</v>
      </c>
      <c r="DR63" s="4">
        <v>8</v>
      </c>
      <c r="DS63" s="4">
        <v>10</v>
      </c>
      <c r="DT63" s="4">
        <v>13</v>
      </c>
      <c r="DU63" s="4">
        <v>17</v>
      </c>
      <c r="DV63" s="4">
        <v>20</v>
      </c>
      <c r="DW63" s="4">
        <v>26</v>
      </c>
      <c r="DX63" s="4">
        <v>40</v>
      </c>
      <c r="DY63" s="4">
        <v>47</v>
      </c>
      <c r="DZ63" s="4">
        <v>55</v>
      </c>
      <c r="EA63" s="4">
        <v>77.859596999999994</v>
      </c>
      <c r="EB63" s="4">
        <v>56.609997</v>
      </c>
      <c r="EC63" s="4">
        <v>109.52381</v>
      </c>
      <c r="ED63" s="4">
        <v>1586</v>
      </c>
      <c r="EE63" s="4">
        <v>2231</v>
      </c>
      <c r="EF63" s="4">
        <v>73.932253000000003</v>
      </c>
      <c r="EG63" s="4">
        <v>100</v>
      </c>
      <c r="EH63" s="4">
        <v>50.621670000000002</v>
      </c>
      <c r="EI63" s="4">
        <v>99.594012000000006</v>
      </c>
      <c r="EJ63" s="4">
        <v>97.938143999999994</v>
      </c>
      <c r="EK63" s="4">
        <v>192.68532200000001</v>
      </c>
      <c r="EL63" s="4">
        <v>1506</v>
      </c>
      <c r="EM63" s="4">
        <v>2037</v>
      </c>
      <c r="EN63" s="4">
        <v>1995</v>
      </c>
      <c r="EO63" s="4">
        <v>3925</v>
      </c>
      <c r="EP63" s="4">
        <v>2037</v>
      </c>
      <c r="EQ63" s="4">
        <v>3941</v>
      </c>
      <c r="ER63" s="4">
        <v>37.996848999999997</v>
      </c>
    </row>
    <row r="64" spans="1:148" x14ac:dyDescent="0.2">
      <c r="A64" s="1">
        <v>2022</v>
      </c>
      <c r="B64" s="1" t="str">
        <f t="shared" si="0"/>
        <v>RD</v>
      </c>
      <c r="C64" s="1" t="s">
        <v>476</v>
      </c>
      <c r="D64" s="1" t="s">
        <v>476</v>
      </c>
      <c r="E64" s="1">
        <v>22947</v>
      </c>
      <c r="F64" s="1" t="s">
        <v>2069</v>
      </c>
      <c r="G64" s="1" t="s">
        <v>467</v>
      </c>
      <c r="H64" s="1" t="s">
        <v>477</v>
      </c>
      <c r="I64" s="1">
        <v>7.33</v>
      </c>
      <c r="J64" s="1">
        <v>7.33</v>
      </c>
      <c r="K64" s="1" t="s">
        <v>249</v>
      </c>
      <c r="L64" s="1">
        <v>1</v>
      </c>
      <c r="M64" s="1">
        <v>2014</v>
      </c>
      <c r="N64" s="1">
        <v>2</v>
      </c>
      <c r="O64" s="1">
        <v>2</v>
      </c>
      <c r="P64" s="1" t="str">
        <f t="shared" si="1"/>
        <v>Talhadia</v>
      </c>
      <c r="Q64" s="2">
        <v>41708</v>
      </c>
      <c r="R64" s="1" t="s">
        <v>306</v>
      </c>
      <c r="S64" s="1" t="s">
        <v>478</v>
      </c>
      <c r="T64" s="1" t="s">
        <v>2268</v>
      </c>
      <c r="U64" s="1" t="s">
        <v>212</v>
      </c>
      <c r="V64" s="1" t="s">
        <v>152</v>
      </c>
      <c r="W64" s="2">
        <v>44642</v>
      </c>
      <c r="X64" s="1" t="s">
        <v>470</v>
      </c>
      <c r="Y64" s="1">
        <v>86.89</v>
      </c>
      <c r="Z64" s="1">
        <v>20.5</v>
      </c>
      <c r="AA64" s="1">
        <v>17</v>
      </c>
      <c r="AB64" s="1">
        <v>13.7</v>
      </c>
      <c r="AC64" s="1">
        <v>0</v>
      </c>
      <c r="AD64" s="3">
        <v>280.85000000000002</v>
      </c>
      <c r="AE64" s="3">
        <v>268.57819071221797</v>
      </c>
      <c r="AF64" s="2">
        <v>44642</v>
      </c>
      <c r="AG64" s="1">
        <v>96</v>
      </c>
      <c r="AH64" s="3">
        <v>8.0328542094455795</v>
      </c>
      <c r="AI64" s="4">
        <v>26.158922812521599</v>
      </c>
      <c r="AJ64" s="4">
        <v>17.803846153846202</v>
      </c>
      <c r="AK64" s="4">
        <v>24.2871206778321</v>
      </c>
      <c r="AL64" s="1">
        <v>26</v>
      </c>
      <c r="AM64" s="5">
        <v>968.06073237193698</v>
      </c>
      <c r="AN64" s="4">
        <v>276.82424342545102</v>
      </c>
      <c r="AO64" s="4">
        <v>0.28595751709417799</v>
      </c>
      <c r="AP64" s="1" t="s">
        <v>478</v>
      </c>
      <c r="AQ64" s="1" t="s">
        <v>254</v>
      </c>
      <c r="AR64" s="1" t="s">
        <v>481</v>
      </c>
      <c r="AS64" s="1">
        <v>9.99</v>
      </c>
      <c r="AT64" s="4">
        <v>0.96709267163956503</v>
      </c>
      <c r="AU64" s="1" t="s">
        <v>479</v>
      </c>
      <c r="AV64" s="1" t="s">
        <v>480</v>
      </c>
      <c r="AW64" s="1">
        <v>3896</v>
      </c>
      <c r="AX64" s="1">
        <v>2296</v>
      </c>
      <c r="AY64" s="1">
        <v>1438</v>
      </c>
      <c r="AZ64" s="1">
        <v>157</v>
      </c>
      <c r="BA64" s="1">
        <v>5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4">
        <v>-0.95399999999999996</v>
      </c>
      <c r="BI64" s="4">
        <v>27.801000999999999</v>
      </c>
      <c r="BJ64" s="4">
        <v>10.722856999999999</v>
      </c>
      <c r="BK64" s="4">
        <v>-4.1142999999999999E-2</v>
      </c>
      <c r="BL64" s="4">
        <v>11.176627999999999</v>
      </c>
      <c r="BM64" s="4">
        <v>124.91700400000001</v>
      </c>
      <c r="BN64" s="4">
        <v>1.0423180000000001</v>
      </c>
      <c r="BO64" s="4">
        <v>22.539000000000001</v>
      </c>
      <c r="BP64" s="4">
        <v>0.188806</v>
      </c>
      <c r="BQ64" s="4">
        <v>1.1736850000000001</v>
      </c>
      <c r="BR64" s="4">
        <v>10.852952</v>
      </c>
      <c r="BS64" s="4">
        <v>4.5994999999999999</v>
      </c>
      <c r="BT64" s="4">
        <v>4.3031430000000004</v>
      </c>
      <c r="BU64" s="4">
        <v>10.722856999999999</v>
      </c>
      <c r="BV64" s="4">
        <v>5.9675729999999998</v>
      </c>
      <c r="BW64" s="4">
        <v>0.76053899999999997</v>
      </c>
      <c r="BX64" s="4">
        <v>-1.0561290000000001</v>
      </c>
      <c r="BY64" s="4">
        <v>0.55652800000000002</v>
      </c>
      <c r="BZ64" s="4">
        <v>0.127445</v>
      </c>
      <c r="CA64" s="4">
        <v>-0.176978</v>
      </c>
      <c r="CB64" s="4">
        <v>-0.43525000000000003</v>
      </c>
      <c r="CC64" s="4">
        <v>-0.19625000000000001</v>
      </c>
      <c r="CD64" s="4">
        <v>-0.11799999999999999</v>
      </c>
      <c r="CE64" s="4">
        <v>-1.6E-2</v>
      </c>
      <c r="CF64" s="4">
        <v>2.3E-2</v>
      </c>
      <c r="CG64" s="4">
        <v>6.6000000000000003E-2</v>
      </c>
      <c r="CH64" s="4">
        <v>0.16600000000000001</v>
      </c>
      <c r="CI64" s="4">
        <v>4.2619999999999996</v>
      </c>
      <c r="CJ64" s="4">
        <v>19.125</v>
      </c>
      <c r="CK64" s="4">
        <v>21.443000999999999</v>
      </c>
      <c r="CL64" s="4">
        <v>22.562000000000001</v>
      </c>
      <c r="CM64" s="4">
        <v>23.497999</v>
      </c>
      <c r="CN64" s="4">
        <v>24.939499000000001</v>
      </c>
      <c r="CO64" s="4">
        <v>25.787001</v>
      </c>
      <c r="CP64" s="4">
        <v>26.987801000000001</v>
      </c>
      <c r="CQ64" s="4">
        <v>0.40608100000000003</v>
      </c>
      <c r="CR64" s="4">
        <v>15.487563</v>
      </c>
      <c r="CS64" s="4">
        <v>17.666502999999999</v>
      </c>
      <c r="CT64" s="1">
        <v>1</v>
      </c>
      <c r="CU64" s="1">
        <v>55</v>
      </c>
      <c r="CV64" s="4">
        <v>18.203541999999999</v>
      </c>
      <c r="CW64" s="4">
        <v>1</v>
      </c>
      <c r="CX64" s="4">
        <v>13.482396</v>
      </c>
      <c r="CY64" s="4">
        <v>181.774991</v>
      </c>
      <c r="CZ64" s="4">
        <v>0.74064700000000006</v>
      </c>
      <c r="DA64" s="4">
        <v>19</v>
      </c>
      <c r="DB64" s="4">
        <v>0.70690600000000003</v>
      </c>
      <c r="DC64" s="4">
        <v>2.515746</v>
      </c>
      <c r="DD64" s="4">
        <v>11.111426</v>
      </c>
      <c r="DE64" s="4">
        <v>18.203541999999999</v>
      </c>
      <c r="DF64" s="4">
        <v>7.5377890000000001</v>
      </c>
      <c r="DG64" s="4">
        <v>1.3825400000000001</v>
      </c>
      <c r="DH64" s="4">
        <v>0.45396500000000001</v>
      </c>
      <c r="DI64" s="4">
        <v>0.41408400000000001</v>
      </c>
      <c r="DJ64" s="4">
        <v>0.18341499999999999</v>
      </c>
      <c r="DK64" s="4">
        <v>6.0225000000000001E-2</v>
      </c>
      <c r="DL64" s="4">
        <v>1</v>
      </c>
      <c r="DM64" s="4">
        <v>1</v>
      </c>
      <c r="DN64" s="4">
        <v>3</v>
      </c>
      <c r="DO64" s="4">
        <v>6</v>
      </c>
      <c r="DP64" s="4">
        <v>7</v>
      </c>
      <c r="DQ64" s="4">
        <v>8</v>
      </c>
      <c r="DR64" s="4">
        <v>12</v>
      </c>
      <c r="DS64" s="4">
        <v>15.5</v>
      </c>
      <c r="DT64" s="4">
        <v>19</v>
      </c>
      <c r="DU64" s="4">
        <v>23</v>
      </c>
      <c r="DV64" s="4">
        <v>26</v>
      </c>
      <c r="DW64" s="4">
        <v>30</v>
      </c>
      <c r="DX64" s="4">
        <v>40.5</v>
      </c>
      <c r="DY64" s="4">
        <v>45</v>
      </c>
      <c r="DZ64" s="4">
        <v>50</v>
      </c>
      <c r="EA64" s="4">
        <v>76.132403999999994</v>
      </c>
      <c r="EB64" s="4">
        <v>50.205339000000002</v>
      </c>
      <c r="EC64" s="4">
        <v>85.191637999999998</v>
      </c>
      <c r="ED64" s="4">
        <v>1748</v>
      </c>
      <c r="EE64" s="4">
        <v>1956</v>
      </c>
      <c r="EF64" s="4">
        <v>73.257840000000002</v>
      </c>
      <c r="EG64" s="4">
        <v>99.390243999999996</v>
      </c>
      <c r="EH64" s="4">
        <v>47.202258999999998</v>
      </c>
      <c r="EI64" s="4">
        <v>82.802875</v>
      </c>
      <c r="EJ64" s="4">
        <v>80.095819000000006</v>
      </c>
      <c r="EK64" s="4">
        <v>140.50522599999999</v>
      </c>
      <c r="EL64" s="4">
        <v>1682</v>
      </c>
      <c r="EM64" s="4">
        <v>2282</v>
      </c>
      <c r="EN64" s="4">
        <v>1839</v>
      </c>
      <c r="EO64" s="4">
        <v>3226</v>
      </c>
      <c r="EP64" s="4">
        <v>2296</v>
      </c>
      <c r="EQ64" s="4">
        <v>3896</v>
      </c>
      <c r="ER64" s="4">
        <v>38.863866999999999</v>
      </c>
    </row>
    <row r="65" spans="1:148" x14ac:dyDescent="0.2">
      <c r="A65" s="1">
        <v>2022</v>
      </c>
      <c r="B65" s="1" t="str">
        <f t="shared" si="0"/>
        <v>RD</v>
      </c>
      <c r="C65" s="1" t="s">
        <v>482</v>
      </c>
      <c r="D65" s="1" t="s">
        <v>482</v>
      </c>
      <c r="E65" s="1">
        <v>22957</v>
      </c>
      <c r="F65" s="1" t="s">
        <v>2070</v>
      </c>
      <c r="G65" s="1" t="s">
        <v>236</v>
      </c>
      <c r="H65" s="1" t="s">
        <v>483</v>
      </c>
      <c r="I65" s="1">
        <v>49.39</v>
      </c>
      <c r="J65" s="1">
        <v>49.39</v>
      </c>
      <c r="K65" s="1" t="s">
        <v>210</v>
      </c>
      <c r="L65" s="1">
        <v>1</v>
      </c>
      <c r="M65" s="1">
        <v>2014</v>
      </c>
      <c r="N65" s="1">
        <v>3</v>
      </c>
      <c r="O65" s="1">
        <v>1</v>
      </c>
      <c r="P65" s="1" t="str">
        <f t="shared" si="1"/>
        <v>Alto fuste</v>
      </c>
      <c r="Q65" s="2">
        <v>41991</v>
      </c>
      <c r="R65" s="1" t="s">
        <v>227</v>
      </c>
      <c r="S65" s="1" t="s">
        <v>484</v>
      </c>
      <c r="T65" s="1" t="s">
        <v>2268</v>
      </c>
      <c r="U65" s="1" t="s">
        <v>212</v>
      </c>
      <c r="V65" s="1" t="s">
        <v>152</v>
      </c>
      <c r="W65" s="2">
        <v>44818</v>
      </c>
      <c r="X65" s="1" t="s">
        <v>239</v>
      </c>
      <c r="Y65" s="1">
        <v>302.33999999999997</v>
      </c>
      <c r="Z65" s="1">
        <v>20</v>
      </c>
      <c r="AA65" s="1">
        <v>2</v>
      </c>
      <c r="AB65" s="1">
        <v>13.7</v>
      </c>
      <c r="AC65" s="1">
        <v>0</v>
      </c>
      <c r="AD65" s="3">
        <v>274</v>
      </c>
      <c r="AE65" s="3">
        <v>273.833086603232</v>
      </c>
      <c r="AF65" s="2">
        <v>44818</v>
      </c>
      <c r="AG65" s="1">
        <v>93</v>
      </c>
      <c r="AH65" s="3">
        <v>7.73990417522245</v>
      </c>
      <c r="AI65" s="4">
        <v>26.502810039941298</v>
      </c>
      <c r="AJ65" s="4">
        <v>14.991176470588201</v>
      </c>
      <c r="AK65" s="4">
        <v>22.483278387620199</v>
      </c>
      <c r="AL65" s="1">
        <v>34</v>
      </c>
      <c r="AM65" s="5">
        <v>1241.6322812467099</v>
      </c>
      <c r="AN65" s="4">
        <v>286.36214766662101</v>
      </c>
      <c r="AO65" s="4">
        <v>0.23063361994671</v>
      </c>
      <c r="AP65" s="1" t="s">
        <v>484</v>
      </c>
      <c r="AQ65" s="1" t="s">
        <v>156</v>
      </c>
      <c r="AR65" s="1" t="s">
        <v>487</v>
      </c>
      <c r="AS65" s="1">
        <v>7.5</v>
      </c>
      <c r="AT65" s="4">
        <v>0.93122421093503249</v>
      </c>
      <c r="AU65" s="1" t="s">
        <v>485</v>
      </c>
      <c r="AV65" s="1" t="s">
        <v>486</v>
      </c>
      <c r="AW65" s="1">
        <v>5757</v>
      </c>
      <c r="AX65" s="1">
        <v>3111</v>
      </c>
      <c r="AY65" s="1">
        <v>2292</v>
      </c>
      <c r="AZ65" s="1">
        <v>341</v>
      </c>
      <c r="BA65" s="1">
        <v>13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4">
        <v>-0.97499999999999998</v>
      </c>
      <c r="BI65" s="4">
        <v>28.260999999999999</v>
      </c>
      <c r="BJ65" s="4">
        <v>12.213263</v>
      </c>
      <c r="BK65" s="4">
        <v>-4.6872999999999998E-2</v>
      </c>
      <c r="BL65" s="4">
        <v>11.477285999999999</v>
      </c>
      <c r="BM65" s="4">
        <v>131.728092</v>
      </c>
      <c r="BN65" s="4">
        <v>0.93974000000000002</v>
      </c>
      <c r="BO65" s="4">
        <v>23.884</v>
      </c>
      <c r="BP65" s="4">
        <v>-3.2092000000000002E-2</v>
      </c>
      <c r="BQ65" s="4">
        <v>1.129874</v>
      </c>
      <c r="BR65" s="4">
        <v>11.116372</v>
      </c>
      <c r="BS65" s="4">
        <v>10.092999000000001</v>
      </c>
      <c r="BT65" s="4">
        <v>15.906872999999999</v>
      </c>
      <c r="BU65" s="4">
        <v>12.213263</v>
      </c>
      <c r="BV65" s="4">
        <v>6.1529920000000002</v>
      </c>
      <c r="BW65" s="4">
        <v>0.159969</v>
      </c>
      <c r="BX65" s="4">
        <v>-1.2157720000000001</v>
      </c>
      <c r="BY65" s="4">
        <v>0.50379600000000002</v>
      </c>
      <c r="BZ65" s="4">
        <v>2.5998E-2</v>
      </c>
      <c r="CA65" s="4">
        <v>-0.19758999999999999</v>
      </c>
      <c r="CB65" s="4">
        <v>-0.374</v>
      </c>
      <c r="CC65" s="4">
        <v>-0.182</v>
      </c>
      <c r="CD65" s="4">
        <v>-0.105</v>
      </c>
      <c r="CE65" s="4">
        <v>-1.2999999999999999E-2</v>
      </c>
      <c r="CF65" s="4">
        <v>0.03</v>
      </c>
      <c r="CG65" s="4">
        <v>7.3999999999999996E-2</v>
      </c>
      <c r="CH65" s="4">
        <v>0.1898</v>
      </c>
      <c r="CI65" s="4">
        <v>15.86</v>
      </c>
      <c r="CJ65" s="4">
        <v>21.647203000000001</v>
      </c>
      <c r="CK65" s="4">
        <v>23.434999000000001</v>
      </c>
      <c r="CL65" s="4">
        <v>23.914000000000001</v>
      </c>
      <c r="CM65" s="4">
        <v>24.308001000000001</v>
      </c>
      <c r="CN65" s="4">
        <v>25.155799999999999</v>
      </c>
      <c r="CO65" s="4">
        <v>25.936001000000001</v>
      </c>
      <c r="CP65" s="4">
        <v>27.086441000000001</v>
      </c>
      <c r="CQ65" s="4">
        <v>0.45109700000000003</v>
      </c>
      <c r="CR65" s="4">
        <v>16.759146999999999</v>
      </c>
      <c r="CS65" s="4">
        <v>18.756741999999999</v>
      </c>
      <c r="CT65" s="1">
        <v>1</v>
      </c>
      <c r="CU65" s="1">
        <v>46</v>
      </c>
      <c r="CV65" s="4">
        <v>13.179434000000001</v>
      </c>
      <c r="CW65" s="4">
        <v>1</v>
      </c>
      <c r="CX65" s="4">
        <v>9.7581919999999993</v>
      </c>
      <c r="CY65" s="4">
        <v>95.222314999999995</v>
      </c>
      <c r="CZ65" s="4">
        <v>0.74041100000000004</v>
      </c>
      <c r="DA65" s="4">
        <v>11</v>
      </c>
      <c r="DB65" s="4">
        <v>1.060732</v>
      </c>
      <c r="DC65" s="4">
        <v>3.555793</v>
      </c>
      <c r="DD65" s="4">
        <v>7.5737329999999998</v>
      </c>
      <c r="DE65" s="4">
        <v>13.179434000000001</v>
      </c>
      <c r="DF65" s="4">
        <v>5.2789910000000004</v>
      </c>
      <c r="DG65" s="4">
        <v>1.213924</v>
      </c>
      <c r="DH65" s="4">
        <v>0.69447099999999995</v>
      </c>
      <c r="DI65" s="4">
        <v>0.40054800000000002</v>
      </c>
      <c r="DJ65" s="4">
        <v>0.22995399999999999</v>
      </c>
      <c r="DK65" s="4">
        <v>0.131554</v>
      </c>
      <c r="DL65" s="4">
        <v>1</v>
      </c>
      <c r="DM65" s="4">
        <v>1</v>
      </c>
      <c r="DN65" s="4">
        <v>3</v>
      </c>
      <c r="DO65" s="4">
        <v>5</v>
      </c>
      <c r="DP65" s="4">
        <v>6</v>
      </c>
      <c r="DQ65" s="4">
        <v>7</v>
      </c>
      <c r="DR65" s="4">
        <v>9</v>
      </c>
      <c r="DS65" s="4">
        <v>11</v>
      </c>
      <c r="DT65" s="4">
        <v>13</v>
      </c>
      <c r="DU65" s="4">
        <v>16</v>
      </c>
      <c r="DV65" s="4">
        <v>17</v>
      </c>
      <c r="DW65" s="4">
        <v>19</v>
      </c>
      <c r="DX65" s="4">
        <v>29</v>
      </c>
      <c r="DY65" s="4">
        <v>34</v>
      </c>
      <c r="DZ65" s="4">
        <v>41</v>
      </c>
      <c r="EA65" s="4">
        <v>86.210222000000002</v>
      </c>
      <c r="EB65" s="4">
        <v>54.924439999999997</v>
      </c>
      <c r="EC65" s="4">
        <v>101.63934399999999</v>
      </c>
      <c r="ED65" s="4">
        <v>2682</v>
      </c>
      <c r="EE65" s="4">
        <v>3162</v>
      </c>
      <c r="EF65" s="4">
        <v>84.860174000000001</v>
      </c>
      <c r="EG65" s="4">
        <v>99.935711999999995</v>
      </c>
      <c r="EH65" s="4">
        <v>52.683689000000001</v>
      </c>
      <c r="EI65" s="4">
        <v>84.210526000000002</v>
      </c>
      <c r="EJ65" s="4">
        <v>97.492767999999998</v>
      </c>
      <c r="EK65" s="4">
        <v>155.834137</v>
      </c>
      <c r="EL65" s="4">
        <v>2640</v>
      </c>
      <c r="EM65" s="4">
        <v>3109</v>
      </c>
      <c r="EN65" s="4">
        <v>3033</v>
      </c>
      <c r="EO65" s="4">
        <v>4848</v>
      </c>
      <c r="EP65" s="4">
        <v>3111</v>
      </c>
      <c r="EQ65" s="4">
        <v>5757</v>
      </c>
      <c r="ER65" s="4">
        <v>44.091748000000003</v>
      </c>
    </row>
    <row r="66" spans="1:148" x14ac:dyDescent="0.2">
      <c r="A66" s="1">
        <v>2022</v>
      </c>
      <c r="B66" s="1" t="str">
        <f t="shared" si="0"/>
        <v>RD</v>
      </c>
      <c r="C66" s="1" t="s">
        <v>488</v>
      </c>
      <c r="D66" s="1" t="s">
        <v>488</v>
      </c>
      <c r="E66" s="1">
        <v>22958</v>
      </c>
      <c r="F66" s="1" t="s">
        <v>2070</v>
      </c>
      <c r="G66" s="1" t="s">
        <v>236</v>
      </c>
      <c r="H66" s="1" t="s">
        <v>483</v>
      </c>
      <c r="I66" s="1">
        <v>49.39</v>
      </c>
      <c r="J66" s="1">
        <v>49.39</v>
      </c>
      <c r="K66" s="1" t="s">
        <v>210</v>
      </c>
      <c r="L66" s="1">
        <v>1</v>
      </c>
      <c r="M66" s="1">
        <v>2014</v>
      </c>
      <c r="N66" s="1">
        <v>3</v>
      </c>
      <c r="O66" s="1">
        <v>1</v>
      </c>
      <c r="P66" s="1" t="str">
        <f t="shared" si="1"/>
        <v>Alto fuste</v>
      </c>
      <c r="Q66" s="2">
        <v>41991</v>
      </c>
      <c r="R66" s="1" t="s">
        <v>227</v>
      </c>
      <c r="S66" s="1" t="s">
        <v>484</v>
      </c>
      <c r="T66" s="1" t="s">
        <v>2268</v>
      </c>
      <c r="U66" s="1" t="s">
        <v>212</v>
      </c>
      <c r="V66" s="1" t="s">
        <v>152</v>
      </c>
      <c r="W66" s="2">
        <v>44818</v>
      </c>
      <c r="X66" s="1" t="s">
        <v>239</v>
      </c>
      <c r="Y66" s="1">
        <v>302.33999999999997</v>
      </c>
      <c r="Z66" s="1">
        <v>19.7</v>
      </c>
      <c r="AA66" s="1">
        <v>4</v>
      </c>
      <c r="AB66" s="1">
        <v>16.3</v>
      </c>
      <c r="AC66" s="1">
        <v>0</v>
      </c>
      <c r="AD66" s="3">
        <v>321.11</v>
      </c>
      <c r="AE66" s="3">
        <v>320.32779217893199</v>
      </c>
      <c r="AF66" s="2">
        <v>44817</v>
      </c>
      <c r="AG66" s="1">
        <v>93</v>
      </c>
      <c r="AH66" s="3">
        <v>7.7371663244353197</v>
      </c>
      <c r="AI66" s="4">
        <v>26.5343172282527</v>
      </c>
      <c r="AJ66" s="4">
        <v>14.585416666666699</v>
      </c>
      <c r="AK66" s="4">
        <v>25.4285839763571</v>
      </c>
      <c r="AL66" s="1">
        <v>48</v>
      </c>
      <c r="AM66" s="5">
        <v>1498.4650464917399</v>
      </c>
      <c r="AN66" s="4">
        <v>323.31715071957001</v>
      </c>
      <c r="AO66" s="4">
        <v>0.21576556054913101</v>
      </c>
      <c r="AP66" s="1" t="s">
        <v>484</v>
      </c>
      <c r="AQ66" s="1" t="s">
        <v>156</v>
      </c>
      <c r="AR66" s="1" t="s">
        <v>487</v>
      </c>
      <c r="AS66" s="1">
        <v>7.5</v>
      </c>
      <c r="AT66" s="4">
        <v>1.123848784868805</v>
      </c>
      <c r="AU66" s="1" t="s">
        <v>489</v>
      </c>
      <c r="AV66" s="1" t="s">
        <v>490</v>
      </c>
      <c r="AW66" s="1">
        <v>8316</v>
      </c>
      <c r="AX66" s="1">
        <v>4315</v>
      </c>
      <c r="AY66" s="1">
        <v>3277</v>
      </c>
      <c r="AZ66" s="1">
        <v>692</v>
      </c>
      <c r="BA66" s="1">
        <v>32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4">
        <v>-0.90500000000000003</v>
      </c>
      <c r="BI66" s="4">
        <v>26.416</v>
      </c>
      <c r="BJ66" s="4">
        <v>11.926231</v>
      </c>
      <c r="BK66" s="4">
        <v>-3.7666999999999999E-2</v>
      </c>
      <c r="BL66" s="4">
        <v>10.972692</v>
      </c>
      <c r="BM66" s="4">
        <v>120.39996499999999</v>
      </c>
      <c r="BN66" s="4">
        <v>0.92004699999999995</v>
      </c>
      <c r="BO66" s="4">
        <v>23.5825</v>
      </c>
      <c r="BP66" s="4">
        <v>-4.9528999999999997E-2</v>
      </c>
      <c r="BQ66" s="4">
        <v>1.158563</v>
      </c>
      <c r="BR66" s="4">
        <v>10.542960000000001</v>
      </c>
      <c r="BS66" s="4">
        <v>9.5574999999999992</v>
      </c>
      <c r="BT66" s="4">
        <v>15.169665999999999</v>
      </c>
      <c r="BU66" s="4">
        <v>11.926231</v>
      </c>
      <c r="BV66" s="4">
        <v>5.9302630000000001</v>
      </c>
      <c r="BW66" s="4">
        <v>9.2313000000000006E-2</v>
      </c>
      <c r="BX66" s="4">
        <v>-1.156566</v>
      </c>
      <c r="BY66" s="4">
        <v>0.49724499999999999</v>
      </c>
      <c r="BZ66" s="4">
        <v>1.5566E-2</v>
      </c>
      <c r="CA66" s="4">
        <v>-0.19502800000000001</v>
      </c>
      <c r="CB66" s="4">
        <v>-0.44355</v>
      </c>
      <c r="CC66" s="4">
        <v>-0.21725</v>
      </c>
      <c r="CD66" s="4">
        <v>-0.11799999999999999</v>
      </c>
      <c r="CE66" s="4">
        <v>3.0000000000000001E-3</v>
      </c>
      <c r="CF66" s="4">
        <v>5.7000000000000002E-2</v>
      </c>
      <c r="CG66" s="4">
        <v>0.112</v>
      </c>
      <c r="CH66" s="4">
        <v>0.25600000000000001</v>
      </c>
      <c r="CI66" s="4">
        <v>15.132</v>
      </c>
      <c r="CJ66" s="4">
        <v>19.596001000000001</v>
      </c>
      <c r="CK66" s="4">
        <v>23.047001000000002</v>
      </c>
      <c r="CL66" s="4">
        <v>23.639500000000002</v>
      </c>
      <c r="CM66" s="4">
        <v>23.975000000000001</v>
      </c>
      <c r="CN66" s="4">
        <v>24.495000999999998</v>
      </c>
      <c r="CO66" s="4">
        <v>24.79175</v>
      </c>
      <c r="CP66" s="4">
        <v>25.658045000000001</v>
      </c>
      <c r="CQ66" s="4">
        <v>0.46964699999999998</v>
      </c>
      <c r="CR66" s="4">
        <v>16.205569000000001</v>
      </c>
      <c r="CS66" s="4">
        <v>18.108533999999999</v>
      </c>
      <c r="CT66" s="1">
        <v>1</v>
      </c>
      <c r="CU66" s="1">
        <v>45</v>
      </c>
      <c r="CV66" s="4">
        <v>10.799182</v>
      </c>
      <c r="CW66" s="4">
        <v>1</v>
      </c>
      <c r="CX66" s="4">
        <v>8.2992629999999998</v>
      </c>
      <c r="CY66" s="4">
        <v>68.877767000000006</v>
      </c>
      <c r="CZ66" s="4">
        <v>0.76850799999999997</v>
      </c>
      <c r="DA66" s="4">
        <v>9</v>
      </c>
      <c r="DB66" s="4">
        <v>1.200617</v>
      </c>
      <c r="DC66" s="4">
        <v>4.1584269999999997</v>
      </c>
      <c r="DD66" s="4">
        <v>6.3954409999999999</v>
      </c>
      <c r="DE66" s="4">
        <v>10.799182</v>
      </c>
      <c r="DF66" s="4">
        <v>4.4426819999999996</v>
      </c>
      <c r="DG66" s="4">
        <v>1.0875109999999999</v>
      </c>
      <c r="DH66" s="4">
        <v>0.60082000000000002</v>
      </c>
      <c r="DI66" s="4">
        <v>0.41139100000000001</v>
      </c>
      <c r="DJ66" s="4">
        <v>0.244787</v>
      </c>
      <c r="DK66" s="4">
        <v>0.135238</v>
      </c>
      <c r="DL66" s="4">
        <v>1</v>
      </c>
      <c r="DM66" s="4">
        <v>1</v>
      </c>
      <c r="DN66" s="4">
        <v>2</v>
      </c>
      <c r="DO66" s="4">
        <v>4</v>
      </c>
      <c r="DP66" s="4">
        <v>5</v>
      </c>
      <c r="DQ66" s="4">
        <v>5</v>
      </c>
      <c r="DR66" s="4">
        <v>7</v>
      </c>
      <c r="DS66" s="4">
        <v>9</v>
      </c>
      <c r="DT66" s="4">
        <v>11</v>
      </c>
      <c r="DU66" s="4">
        <v>13</v>
      </c>
      <c r="DV66" s="4">
        <v>14</v>
      </c>
      <c r="DW66" s="4">
        <v>16</v>
      </c>
      <c r="DX66" s="4">
        <v>23</v>
      </c>
      <c r="DY66" s="4">
        <v>29</v>
      </c>
      <c r="DZ66" s="4">
        <v>36</v>
      </c>
      <c r="EA66" s="4">
        <v>87.972189999999998</v>
      </c>
      <c r="EB66" s="4">
        <v>56.553632</v>
      </c>
      <c r="EC66" s="4">
        <v>108.991889</v>
      </c>
      <c r="ED66" s="4">
        <v>3796</v>
      </c>
      <c r="EE66" s="4">
        <v>4703</v>
      </c>
      <c r="EF66" s="4">
        <v>86.025492</v>
      </c>
      <c r="EG66" s="4">
        <v>99.768249999999995</v>
      </c>
      <c r="EH66" s="4">
        <v>53.258778</v>
      </c>
      <c r="EI66" s="4">
        <v>83.706108999999998</v>
      </c>
      <c r="EJ66" s="4">
        <v>102.641947</v>
      </c>
      <c r="EK66" s="4">
        <v>161.32097300000001</v>
      </c>
      <c r="EL66" s="4">
        <v>3712</v>
      </c>
      <c r="EM66" s="4">
        <v>4305</v>
      </c>
      <c r="EN66" s="4">
        <v>4429</v>
      </c>
      <c r="EO66" s="4">
        <v>6961</v>
      </c>
      <c r="EP66" s="4">
        <v>4315</v>
      </c>
      <c r="EQ66" s="4">
        <v>8316</v>
      </c>
      <c r="ER66" s="4">
        <v>45.597237999999997</v>
      </c>
    </row>
    <row r="67" spans="1:148" x14ac:dyDescent="0.2">
      <c r="A67" s="1">
        <v>2022</v>
      </c>
      <c r="B67" s="1" t="str">
        <f t="shared" ref="B67:B130" si="2">LEFT(C67,2)</f>
        <v>RD</v>
      </c>
      <c r="C67" s="1" t="s">
        <v>491</v>
      </c>
      <c r="D67" s="1" t="s">
        <v>491</v>
      </c>
      <c r="E67" s="1">
        <v>22959</v>
      </c>
      <c r="F67" s="1" t="s">
        <v>2070</v>
      </c>
      <c r="G67" s="1" t="s">
        <v>236</v>
      </c>
      <c r="H67" s="1" t="s">
        <v>483</v>
      </c>
      <c r="I67" s="1">
        <v>49.39</v>
      </c>
      <c r="J67" s="1">
        <v>49.39</v>
      </c>
      <c r="K67" s="1" t="s">
        <v>210</v>
      </c>
      <c r="L67" s="1">
        <v>1</v>
      </c>
      <c r="M67" s="1">
        <v>2014</v>
      </c>
      <c r="N67" s="1">
        <v>3</v>
      </c>
      <c r="O67" s="1">
        <v>1</v>
      </c>
      <c r="P67" s="1" t="str">
        <f t="shared" ref="P67:P130" si="3">IF(MID(H67,12,1)="R","Talhadia","Alto fuste")</f>
        <v>Alto fuste</v>
      </c>
      <c r="Q67" s="2">
        <v>41991</v>
      </c>
      <c r="R67" s="1" t="s">
        <v>227</v>
      </c>
      <c r="S67" s="1" t="s">
        <v>484</v>
      </c>
      <c r="T67" s="1" t="s">
        <v>2268</v>
      </c>
      <c r="U67" s="1" t="s">
        <v>212</v>
      </c>
      <c r="V67" s="1" t="s">
        <v>152</v>
      </c>
      <c r="W67" s="2">
        <v>44818</v>
      </c>
      <c r="X67" s="1" t="s">
        <v>239</v>
      </c>
      <c r="Y67" s="1">
        <v>302.33999999999997</v>
      </c>
      <c r="Z67" s="1">
        <v>20.3</v>
      </c>
      <c r="AA67" s="1">
        <v>2</v>
      </c>
      <c r="AB67" s="1">
        <v>13.6</v>
      </c>
      <c r="AC67" s="1">
        <v>0</v>
      </c>
      <c r="AD67" s="3">
        <v>276.08</v>
      </c>
      <c r="AE67" s="3">
        <v>275.91181952343197</v>
      </c>
      <c r="AF67" s="2">
        <v>44817</v>
      </c>
      <c r="AG67" s="1">
        <v>93</v>
      </c>
      <c r="AH67" s="3">
        <v>7.7371663244353197</v>
      </c>
      <c r="AI67" s="4">
        <v>25.752931558114099</v>
      </c>
      <c r="AJ67" s="4">
        <v>14.6444444444444</v>
      </c>
      <c r="AK67" s="4">
        <v>22.4570984677271</v>
      </c>
      <c r="AL67" s="1">
        <v>36</v>
      </c>
      <c r="AM67" s="5">
        <v>1304.7646912039099</v>
      </c>
      <c r="AN67" s="4">
        <v>276.37767783088202</v>
      </c>
      <c r="AO67" s="4">
        <v>0.211821855461054</v>
      </c>
      <c r="AP67" s="1" t="s">
        <v>484</v>
      </c>
      <c r="AQ67" s="1" t="s">
        <v>156</v>
      </c>
      <c r="AR67" s="1" t="s">
        <v>487</v>
      </c>
      <c r="AS67" s="1">
        <v>7.5</v>
      </c>
      <c r="AT67" s="4">
        <v>0.9785735184029325</v>
      </c>
      <c r="AU67" s="1" t="s">
        <v>492</v>
      </c>
      <c r="AV67" s="1" t="s">
        <v>493</v>
      </c>
      <c r="AW67" s="1">
        <v>7107</v>
      </c>
      <c r="AX67" s="1">
        <v>3822</v>
      </c>
      <c r="AY67" s="1">
        <v>2568</v>
      </c>
      <c r="AZ67" s="1">
        <v>673</v>
      </c>
      <c r="BA67" s="1">
        <v>44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4">
        <v>-1.0049999999999999</v>
      </c>
      <c r="BI67" s="4">
        <v>28.377001</v>
      </c>
      <c r="BJ67" s="4">
        <v>12.403369</v>
      </c>
      <c r="BK67" s="4">
        <v>-7.2237999999999997E-2</v>
      </c>
      <c r="BL67" s="4">
        <v>10.510046000000001</v>
      </c>
      <c r="BM67" s="4">
        <v>110.46106899999999</v>
      </c>
      <c r="BN67" s="4">
        <v>0.84735400000000005</v>
      </c>
      <c r="BO67" s="4">
        <v>22.519000999999999</v>
      </c>
      <c r="BP67" s="4">
        <v>-0.14548</v>
      </c>
      <c r="BQ67" s="4">
        <v>1.2665470000000001</v>
      </c>
      <c r="BR67" s="4">
        <v>9.8826640000000001</v>
      </c>
      <c r="BS67" s="4">
        <v>8.65</v>
      </c>
      <c r="BT67" s="4">
        <v>15.950238000000001</v>
      </c>
      <c r="BU67" s="4">
        <v>12.403369</v>
      </c>
      <c r="BV67" s="4">
        <v>5.7890839999999999</v>
      </c>
      <c r="BW67" s="4">
        <v>-0.112806</v>
      </c>
      <c r="BX67" s="4">
        <v>-0.90611299999999995</v>
      </c>
      <c r="BY67" s="4">
        <v>0.46673500000000001</v>
      </c>
      <c r="BZ67" s="4">
        <v>-1.9486E-2</v>
      </c>
      <c r="CA67" s="4">
        <v>-0.15652099999999999</v>
      </c>
      <c r="CB67" s="4">
        <v>-0.48399999999999999</v>
      </c>
      <c r="CC67" s="4">
        <v>-0.18870000000000001</v>
      </c>
      <c r="CD67" s="4">
        <v>-8.5000000000000006E-2</v>
      </c>
      <c r="CE67" s="4">
        <v>4.7E-2</v>
      </c>
      <c r="CF67" s="4">
        <v>0.105</v>
      </c>
      <c r="CG67" s="4">
        <v>0.17499999999999999</v>
      </c>
      <c r="CH67" s="4">
        <v>7.5969980000000001</v>
      </c>
      <c r="CI67" s="4">
        <v>15.878</v>
      </c>
      <c r="CJ67" s="4">
        <v>19.146000000000001</v>
      </c>
      <c r="CK67" s="4">
        <v>21.951201999999999</v>
      </c>
      <c r="CL67" s="4">
        <v>22.624001</v>
      </c>
      <c r="CM67" s="4">
        <v>23.190999999999999</v>
      </c>
      <c r="CN67" s="4">
        <v>24.538799000000001</v>
      </c>
      <c r="CO67" s="4">
        <v>25.263999999999999</v>
      </c>
      <c r="CP67" s="4">
        <v>26.85998</v>
      </c>
      <c r="CQ67" s="4">
        <v>0.45634599999999997</v>
      </c>
      <c r="CR67" s="4">
        <v>16.256971</v>
      </c>
      <c r="CS67" s="4">
        <v>18.017465000000001</v>
      </c>
      <c r="CT67" s="1">
        <v>1</v>
      </c>
      <c r="CU67" s="1">
        <v>40</v>
      </c>
      <c r="CV67" s="4">
        <v>9.1836219999999997</v>
      </c>
      <c r="CW67" s="4">
        <v>1</v>
      </c>
      <c r="CX67" s="4">
        <v>7.1910850000000002</v>
      </c>
      <c r="CY67" s="4">
        <v>51.711705000000002</v>
      </c>
      <c r="CZ67" s="4">
        <v>0.78303400000000001</v>
      </c>
      <c r="DA67" s="4">
        <v>8</v>
      </c>
      <c r="DB67" s="4">
        <v>1.4244270000000001</v>
      </c>
      <c r="DC67" s="4">
        <v>5.1393909999999998</v>
      </c>
      <c r="DD67" s="4">
        <v>5.3866750000000003</v>
      </c>
      <c r="DE67" s="4">
        <v>9.1836219999999997</v>
      </c>
      <c r="DF67" s="4">
        <v>3.7680539999999998</v>
      </c>
      <c r="DG67" s="4">
        <v>0.98203799999999997</v>
      </c>
      <c r="DH67" s="4">
        <v>0.60276700000000005</v>
      </c>
      <c r="DI67" s="4">
        <v>0.410302</v>
      </c>
      <c r="DJ67" s="4">
        <v>0.26062200000000002</v>
      </c>
      <c r="DK67" s="4">
        <v>0.159968</v>
      </c>
      <c r="DL67" s="4">
        <v>1</v>
      </c>
      <c r="DM67" s="4">
        <v>1</v>
      </c>
      <c r="DN67" s="4">
        <v>2</v>
      </c>
      <c r="DO67" s="4">
        <v>3</v>
      </c>
      <c r="DP67" s="4">
        <v>4</v>
      </c>
      <c r="DQ67" s="4">
        <v>5</v>
      </c>
      <c r="DR67" s="4">
        <v>6</v>
      </c>
      <c r="DS67" s="4">
        <v>8</v>
      </c>
      <c r="DT67" s="4">
        <v>9</v>
      </c>
      <c r="DU67" s="4">
        <v>11</v>
      </c>
      <c r="DV67" s="4">
        <v>12</v>
      </c>
      <c r="DW67" s="4">
        <v>13</v>
      </c>
      <c r="DX67" s="4">
        <v>19</v>
      </c>
      <c r="DY67" s="4">
        <v>25</v>
      </c>
      <c r="DZ67" s="4">
        <v>33</v>
      </c>
      <c r="EA67" s="4">
        <v>89.612768000000003</v>
      </c>
      <c r="EB67" s="4">
        <v>61.741945000000001</v>
      </c>
      <c r="EC67" s="4">
        <v>114.80900099999999</v>
      </c>
      <c r="ED67" s="4">
        <v>3425</v>
      </c>
      <c r="EE67" s="4">
        <v>4388</v>
      </c>
      <c r="EF67" s="4">
        <v>86.002093000000002</v>
      </c>
      <c r="EG67" s="4">
        <v>99.738356999999993</v>
      </c>
      <c r="EH67" s="4">
        <v>54.988039999999998</v>
      </c>
      <c r="EI67" s="4">
        <v>89.447023999999999</v>
      </c>
      <c r="EJ67" s="4">
        <v>102.250131</v>
      </c>
      <c r="EK67" s="4">
        <v>166.32653099999999</v>
      </c>
      <c r="EL67" s="4">
        <v>3287</v>
      </c>
      <c r="EM67" s="4">
        <v>3812</v>
      </c>
      <c r="EN67" s="4">
        <v>3908</v>
      </c>
      <c r="EO67" s="4">
        <v>6357</v>
      </c>
      <c r="EP67" s="4">
        <v>3822</v>
      </c>
      <c r="EQ67" s="4">
        <v>7107</v>
      </c>
      <c r="ER67" s="4">
        <v>45.223007000000003</v>
      </c>
    </row>
    <row r="68" spans="1:148" x14ac:dyDescent="0.2">
      <c r="A68" s="1">
        <v>2022</v>
      </c>
      <c r="B68" s="1" t="str">
        <f t="shared" si="2"/>
        <v>RD</v>
      </c>
      <c r="C68" s="1" t="s">
        <v>494</v>
      </c>
      <c r="D68" s="1" t="s">
        <v>494</v>
      </c>
      <c r="E68" s="1">
        <v>23061</v>
      </c>
      <c r="F68" s="1" t="s">
        <v>2071</v>
      </c>
      <c r="G68" s="1" t="s">
        <v>495</v>
      </c>
      <c r="H68" s="1" t="s">
        <v>496</v>
      </c>
      <c r="I68" s="1">
        <v>30.32</v>
      </c>
      <c r="J68" s="1">
        <v>30.32</v>
      </c>
      <c r="K68" s="1" t="s">
        <v>495</v>
      </c>
      <c r="L68" s="1">
        <v>1</v>
      </c>
      <c r="M68" s="1">
        <v>2014</v>
      </c>
      <c r="N68" s="1">
        <v>3</v>
      </c>
      <c r="O68" s="1">
        <v>1</v>
      </c>
      <c r="P68" s="1" t="str">
        <f t="shared" si="3"/>
        <v>Alto fuste</v>
      </c>
      <c r="Q68" s="2">
        <v>41816</v>
      </c>
      <c r="R68" s="1" t="s">
        <v>169</v>
      </c>
      <c r="S68" s="1" t="s">
        <v>299</v>
      </c>
      <c r="T68" s="1" t="s">
        <v>2268</v>
      </c>
      <c r="U68" s="1" t="s">
        <v>495</v>
      </c>
      <c r="V68" s="1" t="s">
        <v>152</v>
      </c>
      <c r="W68" s="2">
        <v>44677</v>
      </c>
      <c r="X68" s="1" t="s">
        <v>497</v>
      </c>
      <c r="Y68" s="1">
        <v>235.65</v>
      </c>
      <c r="Z68" s="1">
        <v>19.7</v>
      </c>
      <c r="AA68" s="1">
        <v>30</v>
      </c>
      <c r="AB68" s="1">
        <v>15.5</v>
      </c>
      <c r="AC68" s="1">
        <v>6</v>
      </c>
      <c r="AD68" s="3">
        <v>305.35000000000002</v>
      </c>
      <c r="AE68" s="3">
        <v>262.992222361779</v>
      </c>
      <c r="AF68" s="2">
        <v>44677</v>
      </c>
      <c r="AG68" s="1">
        <v>94</v>
      </c>
      <c r="AH68" s="3">
        <v>7.8329911019849403</v>
      </c>
      <c r="AI68" s="4">
        <v>29.190171676036101</v>
      </c>
      <c r="AJ68" s="4">
        <v>17.719354838709702</v>
      </c>
      <c r="AK68" s="4">
        <v>30.299735548976599</v>
      </c>
      <c r="AL68" s="1">
        <v>31</v>
      </c>
      <c r="AM68" s="5">
        <v>1178.74208300181</v>
      </c>
      <c r="AN68" s="4">
        <v>400.28949887122297</v>
      </c>
      <c r="AO68" s="4">
        <v>0.33959040289105102</v>
      </c>
      <c r="AP68" s="1" t="s">
        <v>299</v>
      </c>
      <c r="AQ68" s="1" t="s">
        <v>156</v>
      </c>
      <c r="AR68" s="1" t="s">
        <v>500</v>
      </c>
      <c r="AS68" s="1">
        <v>9</v>
      </c>
      <c r="AT68" s="4">
        <v>1.0608678747016289</v>
      </c>
      <c r="AU68" s="1" t="s">
        <v>498</v>
      </c>
      <c r="AV68" s="1" t="s">
        <v>499</v>
      </c>
      <c r="AW68" s="1">
        <v>4190</v>
      </c>
      <c r="AX68" s="1">
        <v>2552</v>
      </c>
      <c r="AY68" s="1">
        <v>1249</v>
      </c>
      <c r="AZ68" s="1">
        <v>359</v>
      </c>
      <c r="BA68" s="1">
        <v>30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4">
        <v>-0.83799999999999997</v>
      </c>
      <c r="BI68" s="4">
        <v>36.033000999999999</v>
      </c>
      <c r="BJ68" s="4">
        <v>21.636783000000001</v>
      </c>
      <c r="BK68" s="4">
        <v>-0.25274600000000003</v>
      </c>
      <c r="BL68" s="4">
        <v>14.58563</v>
      </c>
      <c r="BM68" s="4">
        <v>212.74060900000001</v>
      </c>
      <c r="BN68" s="4">
        <v>0.67411299999999996</v>
      </c>
      <c r="BO68" s="4">
        <v>33.104751999999998</v>
      </c>
      <c r="BP68" s="4">
        <v>-0.67345299999999997</v>
      </c>
      <c r="BQ68" s="4">
        <v>1.6325499999999999</v>
      </c>
      <c r="BR68" s="4">
        <v>13.179506999999999</v>
      </c>
      <c r="BS68" s="4">
        <v>3.105</v>
      </c>
      <c r="BT68" s="4">
        <v>31.781745999999998</v>
      </c>
      <c r="BU68" s="4">
        <v>21.636783000000001</v>
      </c>
      <c r="BV68" s="4">
        <v>7.5885090000000002</v>
      </c>
      <c r="BW68" s="4">
        <v>-1.9455469999999999</v>
      </c>
      <c r="BX68" s="4">
        <v>-0.77464</v>
      </c>
      <c r="BY68" s="4">
        <v>0.35072300000000001</v>
      </c>
      <c r="BZ68" s="4">
        <v>-0.25638100000000003</v>
      </c>
      <c r="CA68" s="4">
        <v>-0.10208100000000001</v>
      </c>
      <c r="CB68" s="4">
        <v>-0.42365999999999998</v>
      </c>
      <c r="CC68" s="4">
        <v>-0.16055</v>
      </c>
      <c r="CD68" s="4">
        <v>-3.5999999999999997E-2</v>
      </c>
      <c r="CE68" s="4">
        <v>0.128</v>
      </c>
      <c r="CF68" s="4">
        <v>0.22525000000000001</v>
      </c>
      <c r="CG68" s="4">
        <v>13.049199</v>
      </c>
      <c r="CH68" s="4">
        <v>23.836601000000002</v>
      </c>
      <c r="CI68" s="4">
        <v>31.528998999999999</v>
      </c>
      <c r="CJ68" s="4">
        <v>32.4758</v>
      </c>
      <c r="CK68" s="4">
        <v>33.065300000000001</v>
      </c>
      <c r="CL68" s="4">
        <v>33.330002</v>
      </c>
      <c r="CM68" s="4">
        <v>33.613197</v>
      </c>
      <c r="CN68" s="4">
        <v>34.216999000000001</v>
      </c>
      <c r="CO68" s="4">
        <v>34.648097999999997</v>
      </c>
      <c r="CP68" s="4">
        <v>35.308185999999999</v>
      </c>
      <c r="CQ68" s="4">
        <v>0.60955199999999998</v>
      </c>
      <c r="CR68" s="4">
        <v>26.092915000000001</v>
      </c>
      <c r="CS68" s="4">
        <v>27.954782999999999</v>
      </c>
      <c r="CT68" s="1">
        <v>1</v>
      </c>
      <c r="CU68" s="1">
        <v>62</v>
      </c>
      <c r="CV68" s="4">
        <v>19.14105</v>
      </c>
      <c r="CW68" s="4">
        <v>1</v>
      </c>
      <c r="CX68" s="4">
        <v>13.143528999999999</v>
      </c>
      <c r="CY68" s="4">
        <v>172.75236100000001</v>
      </c>
      <c r="CZ68" s="4">
        <v>0.68666700000000003</v>
      </c>
      <c r="DA68" s="4">
        <v>23</v>
      </c>
      <c r="DB68" s="4">
        <v>0.253631</v>
      </c>
      <c r="DC68" s="4">
        <v>1.959695</v>
      </c>
      <c r="DD68" s="4">
        <v>11.403347999999999</v>
      </c>
      <c r="DE68" s="4">
        <v>19.14105</v>
      </c>
      <c r="DF68" s="4">
        <v>7.52963</v>
      </c>
      <c r="DG68" s="4">
        <v>0.51765000000000005</v>
      </c>
      <c r="DH68" s="4">
        <v>-6.2066999999999997E-2</v>
      </c>
      <c r="DI68" s="4">
        <v>0.393376</v>
      </c>
      <c r="DJ68" s="4">
        <v>6.8748000000000004E-2</v>
      </c>
      <c r="DK68" s="4">
        <v>-8.2430000000000003E-3</v>
      </c>
      <c r="DL68" s="4">
        <v>1</v>
      </c>
      <c r="DM68" s="4">
        <v>1</v>
      </c>
      <c r="DN68" s="4">
        <v>2</v>
      </c>
      <c r="DO68" s="4">
        <v>5</v>
      </c>
      <c r="DP68" s="4">
        <v>7</v>
      </c>
      <c r="DQ68" s="4">
        <v>9</v>
      </c>
      <c r="DR68" s="4">
        <v>14</v>
      </c>
      <c r="DS68" s="4">
        <v>19</v>
      </c>
      <c r="DT68" s="4">
        <v>23</v>
      </c>
      <c r="DU68" s="4">
        <v>27</v>
      </c>
      <c r="DV68" s="4">
        <v>30</v>
      </c>
      <c r="DW68" s="4">
        <v>33</v>
      </c>
      <c r="DX68" s="4">
        <v>37</v>
      </c>
      <c r="DY68" s="4">
        <v>40</v>
      </c>
      <c r="DZ68" s="4">
        <v>48</v>
      </c>
      <c r="EA68" s="4">
        <v>96.630094</v>
      </c>
      <c r="EB68" s="4">
        <v>71.169450999999995</v>
      </c>
      <c r="EC68" s="4">
        <v>116.84953</v>
      </c>
      <c r="ED68" s="4">
        <v>2466</v>
      </c>
      <c r="EE68" s="4">
        <v>2982</v>
      </c>
      <c r="EF68" s="4">
        <v>93.730407999999997</v>
      </c>
      <c r="EG68" s="4">
        <v>100</v>
      </c>
      <c r="EH68" s="4">
        <v>64.272075999999998</v>
      </c>
      <c r="EI68" s="4">
        <v>96.992840000000001</v>
      </c>
      <c r="EJ68" s="4">
        <v>105.52507799999999</v>
      </c>
      <c r="EK68" s="4">
        <v>159.247649</v>
      </c>
      <c r="EL68" s="4">
        <v>2392</v>
      </c>
      <c r="EM68" s="4">
        <v>2552</v>
      </c>
      <c r="EN68" s="4">
        <v>2693</v>
      </c>
      <c r="EO68" s="4">
        <v>4064</v>
      </c>
      <c r="EP68" s="4">
        <v>2552</v>
      </c>
      <c r="EQ68" s="4">
        <v>4190</v>
      </c>
      <c r="ER68" s="4">
        <v>60.384236999999999</v>
      </c>
    </row>
    <row r="69" spans="1:148" x14ac:dyDescent="0.2">
      <c r="A69" s="1">
        <v>2022</v>
      </c>
      <c r="B69" s="1" t="str">
        <f t="shared" si="2"/>
        <v>RD</v>
      </c>
      <c r="C69" s="1" t="s">
        <v>501</v>
      </c>
      <c r="D69" s="1" t="s">
        <v>501</v>
      </c>
      <c r="E69" s="1">
        <v>23062</v>
      </c>
      <c r="F69" s="1" t="s">
        <v>2071</v>
      </c>
      <c r="G69" s="1" t="s">
        <v>495</v>
      </c>
      <c r="H69" s="1" t="s">
        <v>496</v>
      </c>
      <c r="I69" s="1">
        <v>30.32</v>
      </c>
      <c r="J69" s="1">
        <v>30.32</v>
      </c>
      <c r="K69" s="1" t="s">
        <v>495</v>
      </c>
      <c r="L69" s="1">
        <v>1</v>
      </c>
      <c r="M69" s="1">
        <v>2014</v>
      </c>
      <c r="N69" s="1">
        <v>3</v>
      </c>
      <c r="O69" s="1">
        <v>1</v>
      </c>
      <c r="P69" s="1" t="str">
        <f t="shared" si="3"/>
        <v>Alto fuste</v>
      </c>
      <c r="Q69" s="2">
        <v>41816</v>
      </c>
      <c r="R69" s="1" t="s">
        <v>169</v>
      </c>
      <c r="S69" s="1" t="s">
        <v>299</v>
      </c>
      <c r="T69" s="1" t="s">
        <v>2268</v>
      </c>
      <c r="U69" s="1" t="s">
        <v>495</v>
      </c>
      <c r="V69" s="1" t="s">
        <v>152</v>
      </c>
      <c r="W69" s="2">
        <v>44677</v>
      </c>
      <c r="X69" s="1" t="s">
        <v>497</v>
      </c>
      <c r="Y69" s="1">
        <v>235.65</v>
      </c>
      <c r="Z69" s="1">
        <v>20.2</v>
      </c>
      <c r="AA69" s="1">
        <v>25</v>
      </c>
      <c r="AB69" s="1">
        <v>15.6</v>
      </c>
      <c r="AC69" s="1">
        <v>11</v>
      </c>
      <c r="AD69" s="3">
        <v>315.12</v>
      </c>
      <c r="AE69" s="3">
        <v>280.34851226576302</v>
      </c>
      <c r="AF69" s="2">
        <v>44677</v>
      </c>
      <c r="AG69" s="1">
        <v>94</v>
      </c>
      <c r="AH69" s="3">
        <v>7.8329911019849403</v>
      </c>
      <c r="AI69" s="4">
        <v>29.8295257457997</v>
      </c>
      <c r="AJ69" s="4">
        <v>18.322727272727299</v>
      </c>
      <c r="AK69" s="4">
        <v>20.9654936948798</v>
      </c>
      <c r="AL69" s="1">
        <v>22</v>
      </c>
      <c r="AM69" s="5">
        <v>784.73753337219796</v>
      </c>
      <c r="AN69" s="4">
        <v>274.94479768048501</v>
      </c>
      <c r="AO69" s="4">
        <v>0.35036529538606898</v>
      </c>
      <c r="AP69" s="1" t="s">
        <v>299</v>
      </c>
      <c r="AQ69" s="1" t="s">
        <v>156</v>
      </c>
      <c r="AR69" s="1" t="s">
        <v>500</v>
      </c>
      <c r="AS69" s="1">
        <v>9</v>
      </c>
      <c r="AT69" s="4">
        <v>0.70626378003497814</v>
      </c>
      <c r="AU69" s="1" t="s">
        <v>502</v>
      </c>
      <c r="AV69" s="1" t="s">
        <v>503</v>
      </c>
      <c r="AW69" s="1">
        <v>3043</v>
      </c>
      <c r="AX69" s="1">
        <v>1750</v>
      </c>
      <c r="AY69" s="1">
        <v>1026</v>
      </c>
      <c r="AZ69" s="1">
        <v>237</v>
      </c>
      <c r="BA69" s="1">
        <v>30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4">
        <v>-1.0249999999999999</v>
      </c>
      <c r="BI69" s="4">
        <v>36.349997999999999</v>
      </c>
      <c r="BJ69" s="4">
        <v>14.919309</v>
      </c>
      <c r="BK69" s="4">
        <v>-0.43174600000000002</v>
      </c>
      <c r="BL69" s="4">
        <v>15.157624999999999</v>
      </c>
      <c r="BM69" s="4">
        <v>229.75360800000001</v>
      </c>
      <c r="BN69" s="4">
        <v>1.0159739999999999</v>
      </c>
      <c r="BO69" s="4">
        <v>31.586001</v>
      </c>
      <c r="BP69" s="4">
        <v>0.19662099999999999</v>
      </c>
      <c r="BQ69" s="4">
        <v>1.1871149999999999</v>
      </c>
      <c r="BR69" s="4">
        <v>14.675882</v>
      </c>
      <c r="BS69" s="4">
        <v>5.3220000000000001</v>
      </c>
      <c r="BT69" s="4">
        <v>5.4807459999999999</v>
      </c>
      <c r="BU69" s="4">
        <v>14.919309</v>
      </c>
      <c r="BV69" s="4">
        <v>8.1481840000000005</v>
      </c>
      <c r="BW69" s="4">
        <v>0.97795699999999997</v>
      </c>
      <c r="BX69" s="4">
        <v>-1.482637</v>
      </c>
      <c r="BY69" s="4">
        <v>0.54615000000000002</v>
      </c>
      <c r="BZ69" s="4">
        <v>0.120021</v>
      </c>
      <c r="CA69" s="4">
        <v>-0.18195900000000001</v>
      </c>
      <c r="CB69" s="4">
        <v>-0.29558000000000001</v>
      </c>
      <c r="CC69" s="4">
        <v>-0.12280000000000001</v>
      </c>
      <c r="CD69" s="4">
        <v>-2.86E-2</v>
      </c>
      <c r="CE69" s="4">
        <v>9.8400000000000001E-2</v>
      </c>
      <c r="CF69" s="4">
        <v>0.16300000000000001</v>
      </c>
      <c r="CG69" s="4">
        <v>0.253</v>
      </c>
      <c r="CH69" s="4">
        <v>0.63959999999999995</v>
      </c>
      <c r="CI69" s="4">
        <v>5.0490000000000004</v>
      </c>
      <c r="CJ69" s="4">
        <v>25.592400000000001</v>
      </c>
      <c r="CK69" s="4">
        <v>28.8918</v>
      </c>
      <c r="CL69" s="4">
        <v>31.749001</v>
      </c>
      <c r="CM69" s="4">
        <v>33.509402999999999</v>
      </c>
      <c r="CN69" s="4">
        <v>34.442000999999998</v>
      </c>
      <c r="CO69" s="4">
        <v>34.881802</v>
      </c>
      <c r="CP69" s="4">
        <v>35.693961999999999</v>
      </c>
      <c r="CQ69" s="4">
        <v>0.42660399999999998</v>
      </c>
      <c r="CR69" s="4">
        <v>21.266497000000001</v>
      </c>
      <c r="CS69" s="4">
        <v>24.264005000000001</v>
      </c>
      <c r="CT69" s="1">
        <v>1</v>
      </c>
      <c r="CU69" s="1">
        <v>51</v>
      </c>
      <c r="CV69" s="4">
        <v>13.300689999999999</v>
      </c>
      <c r="CW69" s="4">
        <v>1</v>
      </c>
      <c r="CX69" s="4">
        <v>8.2167359999999992</v>
      </c>
      <c r="CY69" s="4">
        <v>67.514750000000006</v>
      </c>
      <c r="CZ69" s="4">
        <v>0.61776799999999998</v>
      </c>
      <c r="DA69" s="4">
        <v>14</v>
      </c>
      <c r="DB69" s="4">
        <v>0.23448099999999999</v>
      </c>
      <c r="DC69" s="4">
        <v>2.2897159999999999</v>
      </c>
      <c r="DD69" s="4">
        <v>7.0669360000000001</v>
      </c>
      <c r="DE69" s="4">
        <v>13.300689999999999</v>
      </c>
      <c r="DF69" s="4">
        <v>4.6945379999999997</v>
      </c>
      <c r="DG69" s="4">
        <v>0.187308</v>
      </c>
      <c r="DH69" s="4">
        <v>5.5655000000000003E-2</v>
      </c>
      <c r="DI69" s="4">
        <v>0.35295399999999999</v>
      </c>
      <c r="DJ69" s="4">
        <v>3.9898999999999997E-2</v>
      </c>
      <c r="DK69" s="4">
        <v>1.1854999999999999E-2</v>
      </c>
      <c r="DL69" s="4">
        <v>1</v>
      </c>
      <c r="DM69" s="4">
        <v>1</v>
      </c>
      <c r="DN69" s="4">
        <v>3</v>
      </c>
      <c r="DO69" s="4">
        <v>5</v>
      </c>
      <c r="DP69" s="4">
        <v>6</v>
      </c>
      <c r="DQ69" s="4">
        <v>7</v>
      </c>
      <c r="DR69" s="4">
        <v>10</v>
      </c>
      <c r="DS69" s="4">
        <v>14</v>
      </c>
      <c r="DT69" s="4">
        <v>16</v>
      </c>
      <c r="DU69" s="4">
        <v>19</v>
      </c>
      <c r="DV69" s="4">
        <v>20</v>
      </c>
      <c r="DW69" s="4">
        <v>21</v>
      </c>
      <c r="DX69" s="4">
        <v>24</v>
      </c>
      <c r="DY69" s="4">
        <v>26</v>
      </c>
      <c r="DZ69" s="4">
        <v>32</v>
      </c>
      <c r="EA69" s="4">
        <v>69.771428999999998</v>
      </c>
      <c r="EB69" s="4">
        <v>53.269799999999996</v>
      </c>
      <c r="EC69" s="4">
        <v>92.628570999999994</v>
      </c>
      <c r="ED69" s="4">
        <v>1221</v>
      </c>
      <c r="EE69" s="4">
        <v>1621</v>
      </c>
      <c r="EF69" s="4">
        <v>62.685713999999997</v>
      </c>
      <c r="EG69" s="4">
        <v>100</v>
      </c>
      <c r="EH69" s="4">
        <v>47.617483</v>
      </c>
      <c r="EI69" s="4">
        <v>99.671377000000007</v>
      </c>
      <c r="EJ69" s="4">
        <v>82.8</v>
      </c>
      <c r="EK69" s="4">
        <v>173.31428600000001</v>
      </c>
      <c r="EL69" s="4">
        <v>1097</v>
      </c>
      <c r="EM69" s="4">
        <v>1750</v>
      </c>
      <c r="EN69" s="4">
        <v>1449</v>
      </c>
      <c r="EO69" s="4">
        <v>3033</v>
      </c>
      <c r="EP69" s="4">
        <v>1750</v>
      </c>
      <c r="EQ69" s="4">
        <v>3043</v>
      </c>
      <c r="ER69" s="4">
        <v>40.837026999999999</v>
      </c>
    </row>
    <row r="70" spans="1:148" x14ac:dyDescent="0.2">
      <c r="A70" s="1">
        <v>2022</v>
      </c>
      <c r="B70" s="1" t="str">
        <f t="shared" si="2"/>
        <v>RD</v>
      </c>
      <c r="C70" s="1" t="s">
        <v>504</v>
      </c>
      <c r="D70" s="1" t="s">
        <v>504</v>
      </c>
      <c r="E70" s="1">
        <v>23065</v>
      </c>
      <c r="F70" s="1" t="s">
        <v>2071</v>
      </c>
      <c r="G70" s="1" t="s">
        <v>495</v>
      </c>
      <c r="H70" s="1" t="s">
        <v>505</v>
      </c>
      <c r="I70" s="1">
        <v>21.87</v>
      </c>
      <c r="J70" s="1">
        <v>21.87</v>
      </c>
      <c r="K70" s="1" t="s">
        <v>495</v>
      </c>
      <c r="L70" s="1">
        <v>1</v>
      </c>
      <c r="M70" s="1">
        <v>2014</v>
      </c>
      <c r="N70" s="1">
        <v>3</v>
      </c>
      <c r="O70" s="1">
        <v>1</v>
      </c>
      <c r="P70" s="1" t="str">
        <f t="shared" si="3"/>
        <v>Alto fuste</v>
      </c>
      <c r="Q70" s="2">
        <v>41852</v>
      </c>
      <c r="R70" s="1" t="s">
        <v>169</v>
      </c>
      <c r="S70" s="1" t="s">
        <v>348</v>
      </c>
      <c r="T70" s="1" t="s">
        <v>2268</v>
      </c>
      <c r="U70" s="1" t="s">
        <v>495</v>
      </c>
      <c r="V70" s="1" t="s">
        <v>152</v>
      </c>
      <c r="W70" s="2">
        <v>44678</v>
      </c>
      <c r="X70" s="1" t="s">
        <v>497</v>
      </c>
      <c r="Y70" s="1">
        <v>235.65</v>
      </c>
      <c r="Z70" s="1">
        <v>20.2</v>
      </c>
      <c r="AA70" s="1">
        <v>26</v>
      </c>
      <c r="AB70" s="1">
        <v>16</v>
      </c>
      <c r="AC70" s="1">
        <v>9</v>
      </c>
      <c r="AD70" s="3">
        <v>323.2</v>
      </c>
      <c r="AE70" s="3">
        <v>286.91381892072798</v>
      </c>
      <c r="AF70" s="2">
        <v>44678</v>
      </c>
      <c r="AG70" s="1">
        <v>92</v>
      </c>
      <c r="AH70" s="3">
        <v>7.7371663244353197</v>
      </c>
      <c r="AI70" s="4">
        <v>30.152899033528399</v>
      </c>
      <c r="AJ70" s="4">
        <v>18.5454545454546</v>
      </c>
      <c r="AK70" s="4">
        <v>32.322683061625497</v>
      </c>
      <c r="AL70" s="1">
        <v>33</v>
      </c>
      <c r="AM70" s="5">
        <v>1150.17116025066</v>
      </c>
      <c r="AN70" s="4">
        <v>441.17821183503497</v>
      </c>
      <c r="AO70" s="4">
        <v>0.38357613812790198</v>
      </c>
      <c r="AP70" s="1" t="s">
        <v>348</v>
      </c>
      <c r="AQ70" s="1" t="s">
        <v>156</v>
      </c>
      <c r="AR70" s="1" t="s">
        <v>164</v>
      </c>
      <c r="AS70" s="1">
        <v>9</v>
      </c>
      <c r="AT70" s="4">
        <v>1.035154044225594</v>
      </c>
      <c r="AU70" s="1" t="s">
        <v>506</v>
      </c>
      <c r="AV70" s="1" t="s">
        <v>507</v>
      </c>
      <c r="AW70" s="1">
        <v>2875</v>
      </c>
      <c r="AX70" s="1">
        <v>1699</v>
      </c>
      <c r="AY70" s="1">
        <v>1066</v>
      </c>
      <c r="AZ70" s="1">
        <v>110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4">
        <v>-1.0209999999999999</v>
      </c>
      <c r="BI70" s="4">
        <v>36.342998999999999</v>
      </c>
      <c r="BJ70" s="4">
        <v>17.567450999999998</v>
      </c>
      <c r="BK70" s="4">
        <v>-0.427921</v>
      </c>
      <c r="BL70" s="4">
        <v>15.541435</v>
      </c>
      <c r="BM70" s="4">
        <v>241.53620599999999</v>
      </c>
      <c r="BN70" s="4">
        <v>0.88467200000000001</v>
      </c>
      <c r="BO70" s="4">
        <v>32.294998</v>
      </c>
      <c r="BP70" s="4">
        <v>-0.17577799999999999</v>
      </c>
      <c r="BQ70" s="4">
        <v>1.124204</v>
      </c>
      <c r="BR70" s="4">
        <v>15.038589999999999</v>
      </c>
      <c r="BS70" s="4">
        <v>8.2580010000000001</v>
      </c>
      <c r="BT70" s="4">
        <v>26.509922</v>
      </c>
      <c r="BU70" s="4">
        <v>17.567450999999998</v>
      </c>
      <c r="BV70" s="4">
        <v>8.2230670000000003</v>
      </c>
      <c r="BW70" s="4">
        <v>-0.38644499999999998</v>
      </c>
      <c r="BX70" s="4">
        <v>-1.6888030000000001</v>
      </c>
      <c r="BY70" s="4">
        <v>0.46808499999999997</v>
      </c>
      <c r="BZ70" s="4">
        <v>-4.6995000000000002E-2</v>
      </c>
      <c r="CA70" s="4">
        <v>-0.205374</v>
      </c>
      <c r="CB70" s="4">
        <v>-0.39129999999999998</v>
      </c>
      <c r="CC70" s="4">
        <v>-0.17399999999999999</v>
      </c>
      <c r="CD70" s="4">
        <v>-9.2999999999999999E-2</v>
      </c>
      <c r="CE70" s="4">
        <v>4.0000000000000001E-3</v>
      </c>
      <c r="CF70" s="4">
        <v>5.5E-2</v>
      </c>
      <c r="CG70" s="4">
        <v>9.9000000000000005E-2</v>
      </c>
      <c r="CH70" s="4">
        <v>0.27</v>
      </c>
      <c r="CI70" s="4">
        <v>26.082001000000002</v>
      </c>
      <c r="CJ70" s="4">
        <v>31.069799</v>
      </c>
      <c r="CK70" s="4">
        <v>32.023598</v>
      </c>
      <c r="CL70" s="4">
        <v>32.349997999999999</v>
      </c>
      <c r="CM70" s="4">
        <v>32.734200000000001</v>
      </c>
      <c r="CN70" s="4">
        <v>33.703400000000002</v>
      </c>
      <c r="CO70" s="4">
        <v>34.416103</v>
      </c>
      <c r="CP70" s="4">
        <v>35.317680000000003</v>
      </c>
      <c r="CQ70" s="4">
        <v>0.49749599999999999</v>
      </c>
      <c r="CR70" s="4">
        <v>23.453519</v>
      </c>
      <c r="CS70" s="4">
        <v>25.956067999999998</v>
      </c>
      <c r="CT70" s="1">
        <v>1</v>
      </c>
      <c r="CU70" s="1">
        <v>65</v>
      </c>
      <c r="CV70" s="4">
        <v>21.591652</v>
      </c>
      <c r="CW70" s="4">
        <v>1</v>
      </c>
      <c r="CX70" s="4">
        <v>14.40488</v>
      </c>
      <c r="CY70" s="4">
        <v>207.50055699999999</v>
      </c>
      <c r="CZ70" s="4">
        <v>0.66715000000000002</v>
      </c>
      <c r="DA70" s="4">
        <v>23</v>
      </c>
      <c r="DB70" s="4">
        <v>0.36827300000000002</v>
      </c>
      <c r="DC70" s="4">
        <v>2.3397380000000001</v>
      </c>
      <c r="DD70" s="4">
        <v>12.051012</v>
      </c>
      <c r="DE70" s="4">
        <v>21.591652</v>
      </c>
      <c r="DF70" s="4">
        <v>8.2017260000000007</v>
      </c>
      <c r="DG70" s="4">
        <v>0.66411399999999998</v>
      </c>
      <c r="DH70" s="4">
        <v>0.353354</v>
      </c>
      <c r="DI70" s="4">
        <v>0.37985600000000003</v>
      </c>
      <c r="DJ70" s="4">
        <v>8.0973000000000003E-2</v>
      </c>
      <c r="DK70" s="4">
        <v>4.3083000000000003E-2</v>
      </c>
      <c r="DL70" s="4">
        <v>1</v>
      </c>
      <c r="DM70" s="4">
        <v>2</v>
      </c>
      <c r="DN70" s="4">
        <v>3</v>
      </c>
      <c r="DO70" s="4">
        <v>6</v>
      </c>
      <c r="DP70" s="4">
        <v>8</v>
      </c>
      <c r="DQ70" s="4">
        <v>11</v>
      </c>
      <c r="DR70" s="4">
        <v>17</v>
      </c>
      <c r="DS70" s="4">
        <v>22</v>
      </c>
      <c r="DT70" s="4">
        <v>26</v>
      </c>
      <c r="DU70" s="4">
        <v>29</v>
      </c>
      <c r="DV70" s="4">
        <v>31</v>
      </c>
      <c r="DW70" s="4">
        <v>34</v>
      </c>
      <c r="DX70" s="4">
        <v>42</v>
      </c>
      <c r="DY70" s="4">
        <v>48</v>
      </c>
      <c r="DZ70" s="4">
        <v>55</v>
      </c>
      <c r="EA70" s="4">
        <v>88.816951000000003</v>
      </c>
      <c r="EB70" s="4">
        <v>57.391303999999998</v>
      </c>
      <c r="EC70" s="4">
        <v>97.115950999999995</v>
      </c>
      <c r="ED70" s="4">
        <v>1509</v>
      </c>
      <c r="EE70" s="4">
        <v>1650</v>
      </c>
      <c r="EF70" s="4">
        <v>88.228369999999998</v>
      </c>
      <c r="EG70" s="4">
        <v>100</v>
      </c>
      <c r="EH70" s="4">
        <v>55.860869999999998</v>
      </c>
      <c r="EI70" s="4">
        <v>99.2</v>
      </c>
      <c r="EJ70" s="4">
        <v>94.526191999999995</v>
      </c>
      <c r="EK70" s="4">
        <v>167.863449</v>
      </c>
      <c r="EL70" s="4">
        <v>1499</v>
      </c>
      <c r="EM70" s="4">
        <v>1699</v>
      </c>
      <c r="EN70" s="4">
        <v>1606</v>
      </c>
      <c r="EO70" s="4">
        <v>2852</v>
      </c>
      <c r="EP70" s="4">
        <v>1699</v>
      </c>
      <c r="EQ70" s="4">
        <v>2875</v>
      </c>
      <c r="ER70" s="4">
        <v>48.847794</v>
      </c>
    </row>
    <row r="71" spans="1:148" x14ac:dyDescent="0.2">
      <c r="A71" s="1">
        <v>2022</v>
      </c>
      <c r="B71" s="1" t="str">
        <f t="shared" si="2"/>
        <v>RD</v>
      </c>
      <c r="C71" s="1" t="s">
        <v>508</v>
      </c>
      <c r="D71" s="1" t="s">
        <v>508</v>
      </c>
      <c r="E71" s="1">
        <v>23066</v>
      </c>
      <c r="F71" s="1" t="s">
        <v>2072</v>
      </c>
      <c r="G71" s="1" t="s">
        <v>509</v>
      </c>
      <c r="H71" s="1" t="s">
        <v>510</v>
      </c>
      <c r="I71" s="1">
        <v>6.16</v>
      </c>
      <c r="J71" s="1">
        <v>6.16</v>
      </c>
      <c r="K71" s="1" t="s">
        <v>495</v>
      </c>
      <c r="L71" s="1">
        <v>1</v>
      </c>
      <c r="M71" s="1">
        <v>2014</v>
      </c>
      <c r="N71" s="1">
        <v>2</v>
      </c>
      <c r="O71" s="1">
        <v>2</v>
      </c>
      <c r="P71" s="1" t="str">
        <f t="shared" si="3"/>
        <v>Talhadia</v>
      </c>
      <c r="Q71" s="2">
        <v>41927</v>
      </c>
      <c r="R71" s="1" t="s">
        <v>306</v>
      </c>
      <c r="S71" s="1" t="s">
        <v>511</v>
      </c>
      <c r="T71" s="1" t="s">
        <v>2268</v>
      </c>
      <c r="U71" s="1" t="s">
        <v>495</v>
      </c>
      <c r="V71" s="1" t="s">
        <v>152</v>
      </c>
      <c r="W71" s="2">
        <v>44678</v>
      </c>
      <c r="X71" s="1" t="s">
        <v>512</v>
      </c>
      <c r="Y71" s="1">
        <v>48.56</v>
      </c>
      <c r="Z71" s="1">
        <v>18.5</v>
      </c>
      <c r="AA71" s="1">
        <v>26</v>
      </c>
      <c r="AB71" s="1">
        <v>14.1</v>
      </c>
      <c r="AC71" s="1">
        <v>9</v>
      </c>
      <c r="AD71" s="3">
        <v>260.85000000000002</v>
      </c>
      <c r="AE71" s="3">
        <v>231.56395317287101</v>
      </c>
      <c r="AF71" s="2">
        <v>44678</v>
      </c>
      <c r="AG71" s="1">
        <v>90</v>
      </c>
      <c r="AH71" s="3">
        <v>7.5318275154004102</v>
      </c>
      <c r="AI71" s="4">
        <v>26.8865437305985</v>
      </c>
      <c r="AJ71" s="4">
        <v>17.4142857142857</v>
      </c>
      <c r="AK71" s="4">
        <v>23.3472882378089</v>
      </c>
      <c r="AL71" s="1">
        <v>21</v>
      </c>
      <c r="AM71" s="5">
        <v>906.87689997772497</v>
      </c>
      <c r="AN71" s="4">
        <v>298.96237708446</v>
      </c>
      <c r="AO71" s="4">
        <v>0.32966147565540999</v>
      </c>
      <c r="AP71" s="1" t="s">
        <v>511</v>
      </c>
      <c r="AQ71" s="1" t="s">
        <v>254</v>
      </c>
      <c r="AR71" s="1" t="s">
        <v>164</v>
      </c>
      <c r="AS71" s="1">
        <v>9.99</v>
      </c>
      <c r="AT71" s="4">
        <v>0.90597002307774721</v>
      </c>
      <c r="AU71" s="1" t="s">
        <v>513</v>
      </c>
      <c r="AV71" s="1" t="s">
        <v>514</v>
      </c>
      <c r="AW71" s="1">
        <v>6811</v>
      </c>
      <c r="AX71" s="1">
        <v>4306</v>
      </c>
      <c r="AY71" s="1">
        <v>2308</v>
      </c>
      <c r="AZ71" s="1">
        <v>190</v>
      </c>
      <c r="BA71" s="1">
        <v>7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4">
        <v>-0.98099999999999998</v>
      </c>
      <c r="BI71" s="4">
        <v>32.702998999999998</v>
      </c>
      <c r="BJ71" s="4">
        <v>17.746469000000001</v>
      </c>
      <c r="BK71" s="4">
        <v>-0.44633299999999998</v>
      </c>
      <c r="BL71" s="4">
        <v>13.844277</v>
      </c>
      <c r="BM71" s="4">
        <v>191.664018</v>
      </c>
      <c r="BN71" s="4">
        <v>0.78011399999999997</v>
      </c>
      <c r="BO71" s="4">
        <v>29.315501000000001</v>
      </c>
      <c r="BP71" s="4">
        <v>-0.43584800000000001</v>
      </c>
      <c r="BQ71" s="4">
        <v>1.2574019999999999</v>
      </c>
      <c r="BR71" s="4">
        <v>13.327958000000001</v>
      </c>
      <c r="BS71" s="4">
        <v>3.6379990000000002</v>
      </c>
      <c r="BT71" s="4">
        <v>27.420334</v>
      </c>
      <c r="BU71" s="4">
        <v>17.746469000000001</v>
      </c>
      <c r="BV71" s="4">
        <v>7.1941689999999996</v>
      </c>
      <c r="BW71" s="4">
        <v>-1.175775</v>
      </c>
      <c r="BX71" s="4">
        <v>-1.171062</v>
      </c>
      <c r="BY71" s="4">
        <v>0.40538600000000002</v>
      </c>
      <c r="BZ71" s="4">
        <v>-0.163434</v>
      </c>
      <c r="CA71" s="4">
        <v>-0.16277900000000001</v>
      </c>
      <c r="CB71" s="4">
        <v>-0.45469999999999999</v>
      </c>
      <c r="CC71" s="4">
        <v>-0.155</v>
      </c>
      <c r="CD71" s="4">
        <v>-5.1999999999999998E-2</v>
      </c>
      <c r="CE71" s="4">
        <v>8.4000000000000005E-2</v>
      </c>
      <c r="CF71" s="4">
        <v>0.14849999999999999</v>
      </c>
      <c r="CG71" s="4">
        <v>0.25900000000000001</v>
      </c>
      <c r="CH71" s="4">
        <v>22.059000000000001</v>
      </c>
      <c r="CI71" s="4">
        <v>26.974001000000001</v>
      </c>
      <c r="CJ71" s="4">
        <v>28.285</v>
      </c>
      <c r="CK71" s="4">
        <v>29.132000000000001</v>
      </c>
      <c r="CL71" s="4">
        <v>29.464001</v>
      </c>
      <c r="CM71" s="4">
        <v>29.818000999999999</v>
      </c>
      <c r="CN71" s="4">
        <v>30.57</v>
      </c>
      <c r="CO71" s="4">
        <v>31.0075</v>
      </c>
      <c r="CP71" s="4">
        <v>32.174999</v>
      </c>
      <c r="CQ71" s="4">
        <v>0.555975</v>
      </c>
      <c r="CR71" s="4">
        <v>22.507176999999999</v>
      </c>
      <c r="CS71" s="4">
        <v>24.460581999999999</v>
      </c>
      <c r="CT71" s="1">
        <v>1</v>
      </c>
      <c r="CU71" s="1">
        <v>52</v>
      </c>
      <c r="CV71" s="4">
        <v>17.944208</v>
      </c>
      <c r="CW71" s="4">
        <v>1</v>
      </c>
      <c r="CX71" s="4">
        <v>11.013066999999999</v>
      </c>
      <c r="CY71" s="4">
        <v>121.28763600000001</v>
      </c>
      <c r="CZ71" s="4">
        <v>0.61373900000000003</v>
      </c>
      <c r="DA71" s="4">
        <v>18</v>
      </c>
      <c r="DB71" s="4">
        <v>0.13540199999999999</v>
      </c>
      <c r="DC71" s="4">
        <v>2.2314379999999998</v>
      </c>
      <c r="DD71" s="4">
        <v>9.3865259999999999</v>
      </c>
      <c r="DE71" s="4">
        <v>17.944208</v>
      </c>
      <c r="DF71" s="4">
        <v>6.2861209999999996</v>
      </c>
      <c r="DG71" s="4">
        <v>7.7826000000000006E-2</v>
      </c>
      <c r="DH71" s="4">
        <v>0.17207</v>
      </c>
      <c r="DI71" s="4">
        <v>0.35031499999999999</v>
      </c>
      <c r="DJ71" s="4">
        <v>1.2381E-2</v>
      </c>
      <c r="DK71" s="4">
        <v>2.7373000000000001E-2</v>
      </c>
      <c r="DL71" s="4">
        <v>1</v>
      </c>
      <c r="DM71" s="4">
        <v>1</v>
      </c>
      <c r="DN71" s="4">
        <v>3</v>
      </c>
      <c r="DO71" s="4">
        <v>6</v>
      </c>
      <c r="DP71" s="4">
        <v>8</v>
      </c>
      <c r="DQ71" s="4">
        <v>10</v>
      </c>
      <c r="DR71" s="4">
        <v>15</v>
      </c>
      <c r="DS71" s="4">
        <v>19</v>
      </c>
      <c r="DT71" s="4">
        <v>22</v>
      </c>
      <c r="DU71" s="4">
        <v>25</v>
      </c>
      <c r="DV71" s="4">
        <v>26</v>
      </c>
      <c r="DW71" s="4">
        <v>27</v>
      </c>
      <c r="DX71" s="4">
        <v>31</v>
      </c>
      <c r="DY71" s="4">
        <v>35</v>
      </c>
      <c r="DZ71" s="4">
        <v>45</v>
      </c>
      <c r="EA71" s="4">
        <v>93.706456000000003</v>
      </c>
      <c r="EB71" s="4">
        <v>62.912934999999997</v>
      </c>
      <c r="EC71" s="4">
        <v>99.512308000000004</v>
      </c>
      <c r="ED71" s="4">
        <v>4035</v>
      </c>
      <c r="EE71" s="4">
        <v>4285</v>
      </c>
      <c r="EF71" s="4">
        <v>93.079424000000003</v>
      </c>
      <c r="EG71" s="4">
        <v>100</v>
      </c>
      <c r="EH71" s="4">
        <v>61.209808000000002</v>
      </c>
      <c r="EI71" s="4">
        <v>98.898840000000007</v>
      </c>
      <c r="EJ71" s="4">
        <v>96.818393</v>
      </c>
      <c r="EK71" s="4">
        <v>156.432884</v>
      </c>
      <c r="EL71" s="4">
        <v>4008</v>
      </c>
      <c r="EM71" s="4">
        <v>4306</v>
      </c>
      <c r="EN71" s="4">
        <v>4169</v>
      </c>
      <c r="EO71" s="4">
        <v>6736</v>
      </c>
      <c r="EP71" s="4">
        <v>4306</v>
      </c>
      <c r="EQ71" s="4">
        <v>6811</v>
      </c>
      <c r="ER71" s="4">
        <v>54.260084999999997</v>
      </c>
    </row>
    <row r="72" spans="1:148" x14ac:dyDescent="0.2">
      <c r="A72" s="1">
        <v>2022</v>
      </c>
      <c r="B72" s="1" t="str">
        <f t="shared" si="2"/>
        <v>RD</v>
      </c>
      <c r="C72" s="1" t="s">
        <v>515</v>
      </c>
      <c r="D72" s="1" t="s">
        <v>515</v>
      </c>
      <c r="E72" s="1">
        <v>23067</v>
      </c>
      <c r="F72" s="1" t="s">
        <v>2072</v>
      </c>
      <c r="G72" s="1" t="s">
        <v>509</v>
      </c>
      <c r="H72" s="1" t="s">
        <v>516</v>
      </c>
      <c r="I72" s="1">
        <v>28.35</v>
      </c>
      <c r="J72" s="1">
        <v>28.35</v>
      </c>
      <c r="K72" s="1" t="s">
        <v>495</v>
      </c>
      <c r="L72" s="1">
        <v>1</v>
      </c>
      <c r="M72" s="1">
        <v>2014</v>
      </c>
      <c r="N72" s="1">
        <v>2</v>
      </c>
      <c r="O72" s="1">
        <v>2</v>
      </c>
      <c r="P72" s="1" t="str">
        <f t="shared" si="3"/>
        <v>Talhadia</v>
      </c>
      <c r="Q72" s="2">
        <v>41927</v>
      </c>
      <c r="R72" s="1" t="s">
        <v>306</v>
      </c>
      <c r="S72" s="1" t="s">
        <v>511</v>
      </c>
      <c r="T72" s="1" t="s">
        <v>2268</v>
      </c>
      <c r="U72" s="1" t="s">
        <v>495</v>
      </c>
      <c r="V72" s="1" t="s">
        <v>152</v>
      </c>
      <c r="W72" s="2">
        <v>44678</v>
      </c>
      <c r="X72" s="1" t="s">
        <v>512</v>
      </c>
      <c r="Y72" s="1">
        <v>48.56</v>
      </c>
      <c r="Z72" s="1">
        <v>19.7</v>
      </c>
      <c r="AA72" s="1">
        <v>14</v>
      </c>
      <c r="AB72" s="1">
        <v>15.9</v>
      </c>
      <c r="AC72" s="1">
        <v>7</v>
      </c>
      <c r="AD72" s="3">
        <v>313.23</v>
      </c>
      <c r="AE72" s="3">
        <v>301.66031403516502</v>
      </c>
      <c r="AF72" s="2">
        <v>44678</v>
      </c>
      <c r="AG72" s="1">
        <v>90</v>
      </c>
      <c r="AH72" s="3">
        <v>7.5318275154004102</v>
      </c>
      <c r="AI72" s="4">
        <v>29.4015363010828</v>
      </c>
      <c r="AJ72" s="4">
        <v>18.661290322580601</v>
      </c>
      <c r="AK72" s="4">
        <v>30.087727197194798</v>
      </c>
      <c r="AL72" s="1">
        <v>31</v>
      </c>
      <c r="AM72" s="5">
        <v>1027.6459500200001</v>
      </c>
      <c r="AN72" s="4">
        <v>426.69277272922199</v>
      </c>
      <c r="AO72" s="4">
        <v>0.41521379296139499</v>
      </c>
      <c r="AP72" s="1" t="s">
        <v>511</v>
      </c>
      <c r="AQ72" s="1" t="s">
        <v>254</v>
      </c>
      <c r="AR72" s="1" t="s">
        <v>164</v>
      </c>
      <c r="AS72" s="1">
        <v>9.99</v>
      </c>
      <c r="AT72" s="4">
        <v>1.0266183040699801</v>
      </c>
      <c r="AU72" s="1" t="s">
        <v>517</v>
      </c>
      <c r="AV72" s="1" t="s">
        <v>518</v>
      </c>
      <c r="AW72" s="1">
        <v>4149</v>
      </c>
      <c r="AX72" s="1">
        <v>2469</v>
      </c>
      <c r="AY72" s="1">
        <v>1342</v>
      </c>
      <c r="AZ72" s="1">
        <v>313</v>
      </c>
      <c r="BA72" s="1">
        <v>25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4">
        <v>-0.99199999999999999</v>
      </c>
      <c r="BI72" s="4">
        <v>36.862999000000002</v>
      </c>
      <c r="BJ72" s="4">
        <v>19.804870999999999</v>
      </c>
      <c r="BK72" s="4">
        <v>-0.391127</v>
      </c>
      <c r="BL72" s="4">
        <v>15.065595</v>
      </c>
      <c r="BM72" s="4">
        <v>226.97215700000001</v>
      </c>
      <c r="BN72" s="4">
        <v>0.76070199999999999</v>
      </c>
      <c r="BO72" s="4">
        <v>33.183</v>
      </c>
      <c r="BP72" s="4">
        <v>-0.39752100000000001</v>
      </c>
      <c r="BQ72" s="4">
        <v>1.3534299999999999</v>
      </c>
      <c r="BR72" s="4">
        <v>13.969702</v>
      </c>
      <c r="BS72" s="4">
        <v>8.6190010000000008</v>
      </c>
      <c r="BT72" s="4">
        <v>26.213127</v>
      </c>
      <c r="BU72" s="4">
        <v>19.804870999999999</v>
      </c>
      <c r="BV72" s="4">
        <v>8.10365</v>
      </c>
      <c r="BW72" s="4">
        <v>-1.1325339999999999</v>
      </c>
      <c r="BX72" s="4">
        <v>-1.270742</v>
      </c>
      <c r="BY72" s="4">
        <v>0.40917500000000001</v>
      </c>
      <c r="BZ72" s="4">
        <v>-0.13975599999999999</v>
      </c>
      <c r="CA72" s="4">
        <v>-0.15681100000000001</v>
      </c>
      <c r="CB72" s="4">
        <v>-0.36499999999999999</v>
      </c>
      <c r="CC72" s="4">
        <v>-0.15</v>
      </c>
      <c r="CD72" s="4">
        <v>-5.0999999999999997E-2</v>
      </c>
      <c r="CE72" s="4">
        <v>6.4000000000000001E-2</v>
      </c>
      <c r="CF72" s="4">
        <v>0.11600000000000001</v>
      </c>
      <c r="CG72" s="4">
        <v>0.20200000000000001</v>
      </c>
      <c r="CH72" s="4">
        <v>18.974997999999999</v>
      </c>
      <c r="CI72" s="4">
        <v>25.822001</v>
      </c>
      <c r="CJ72" s="4">
        <v>32.137402000000002</v>
      </c>
      <c r="CK72" s="4">
        <v>32.943001000000002</v>
      </c>
      <c r="CL72" s="4">
        <v>33.298999999999999</v>
      </c>
      <c r="CM72" s="4">
        <v>33.754401999999999</v>
      </c>
      <c r="CN72" s="4">
        <v>34.749001</v>
      </c>
      <c r="CO72" s="4">
        <v>35.370800000000003</v>
      </c>
      <c r="CP72" s="4">
        <v>36.064799999999998</v>
      </c>
      <c r="CQ72" s="4">
        <v>0.54938200000000004</v>
      </c>
      <c r="CR72" s="4">
        <v>24.882732000000001</v>
      </c>
      <c r="CS72" s="4">
        <v>27.094923999999999</v>
      </c>
      <c r="CT72" s="1">
        <v>1</v>
      </c>
      <c r="CU72" s="1">
        <v>67</v>
      </c>
      <c r="CV72" s="4">
        <v>20.146540999999999</v>
      </c>
      <c r="CW72" s="4">
        <v>1</v>
      </c>
      <c r="CX72" s="4">
        <v>14.085998999999999</v>
      </c>
      <c r="CY72" s="4">
        <v>198.415357</v>
      </c>
      <c r="CZ72" s="4">
        <v>0.69917700000000005</v>
      </c>
      <c r="DA72" s="4">
        <v>23</v>
      </c>
      <c r="DB72" s="4">
        <v>0.40367599999999998</v>
      </c>
      <c r="DC72" s="4">
        <v>2.2905799999999998</v>
      </c>
      <c r="DD72" s="4">
        <v>11.99066</v>
      </c>
      <c r="DE72" s="4">
        <v>20.146540999999999</v>
      </c>
      <c r="DF72" s="4">
        <v>8.0158919999999991</v>
      </c>
      <c r="DG72" s="4">
        <v>0.771814</v>
      </c>
      <c r="DH72" s="4">
        <v>0.18592900000000001</v>
      </c>
      <c r="DI72" s="4">
        <v>0.39787899999999998</v>
      </c>
      <c r="DJ72" s="4">
        <v>9.6284999999999996E-2</v>
      </c>
      <c r="DK72" s="4">
        <v>2.3195E-2</v>
      </c>
      <c r="DL72" s="4">
        <v>1</v>
      </c>
      <c r="DM72" s="4">
        <v>1</v>
      </c>
      <c r="DN72" s="4">
        <v>2</v>
      </c>
      <c r="DO72" s="4">
        <v>5</v>
      </c>
      <c r="DP72" s="4">
        <v>7</v>
      </c>
      <c r="DQ72" s="4">
        <v>9</v>
      </c>
      <c r="DR72" s="4">
        <v>14</v>
      </c>
      <c r="DS72" s="4">
        <v>20</v>
      </c>
      <c r="DT72" s="4">
        <v>24</v>
      </c>
      <c r="DU72" s="4">
        <v>28</v>
      </c>
      <c r="DV72" s="4">
        <v>30</v>
      </c>
      <c r="DW72" s="4">
        <v>33</v>
      </c>
      <c r="DX72" s="4">
        <v>39</v>
      </c>
      <c r="DY72" s="4">
        <v>45</v>
      </c>
      <c r="DZ72" s="4">
        <v>54</v>
      </c>
      <c r="EA72" s="4">
        <v>92.385581000000002</v>
      </c>
      <c r="EB72" s="4">
        <v>66.401543000000004</v>
      </c>
      <c r="EC72" s="4">
        <v>111.583637</v>
      </c>
      <c r="ED72" s="4">
        <v>2281</v>
      </c>
      <c r="EE72" s="4">
        <v>2755</v>
      </c>
      <c r="EF72" s="4">
        <v>88.983394000000004</v>
      </c>
      <c r="EG72" s="4">
        <v>100</v>
      </c>
      <c r="EH72" s="4">
        <v>58.857556000000002</v>
      </c>
      <c r="EI72" s="4">
        <v>99.132321000000005</v>
      </c>
      <c r="EJ72" s="4">
        <v>98.906440000000003</v>
      </c>
      <c r="EK72" s="4">
        <v>166.58566200000001</v>
      </c>
      <c r="EL72" s="4">
        <v>2197</v>
      </c>
      <c r="EM72" s="4">
        <v>2469</v>
      </c>
      <c r="EN72" s="4">
        <v>2442</v>
      </c>
      <c r="EO72" s="4">
        <v>4113</v>
      </c>
      <c r="EP72" s="4">
        <v>2469</v>
      </c>
      <c r="EQ72" s="4">
        <v>4149</v>
      </c>
      <c r="ER72" s="4">
        <v>53.977558999999999</v>
      </c>
    </row>
    <row r="73" spans="1:148" x14ac:dyDescent="0.2">
      <c r="A73" s="1">
        <v>2022</v>
      </c>
      <c r="B73" s="1" t="str">
        <f t="shared" si="2"/>
        <v>RD</v>
      </c>
      <c r="C73" s="1" t="s">
        <v>519</v>
      </c>
      <c r="D73" s="1" t="s">
        <v>519</v>
      </c>
      <c r="E73" s="1">
        <v>23187</v>
      </c>
      <c r="F73" s="1" t="s">
        <v>2073</v>
      </c>
      <c r="G73" s="1" t="s">
        <v>520</v>
      </c>
      <c r="H73" s="1" t="s">
        <v>521</v>
      </c>
      <c r="I73" s="1">
        <v>75.45</v>
      </c>
      <c r="J73" s="1">
        <v>75.45</v>
      </c>
      <c r="K73" s="1" t="s">
        <v>226</v>
      </c>
      <c r="L73" s="1">
        <v>1</v>
      </c>
      <c r="M73" s="1">
        <v>2014</v>
      </c>
      <c r="N73" s="1">
        <v>2</v>
      </c>
      <c r="O73" s="1">
        <v>1</v>
      </c>
      <c r="P73" s="1" t="str">
        <f t="shared" si="3"/>
        <v>Alto fuste</v>
      </c>
      <c r="Q73" s="2">
        <v>41913</v>
      </c>
      <c r="R73" s="1" t="s">
        <v>227</v>
      </c>
      <c r="S73" s="1" t="s">
        <v>238</v>
      </c>
      <c r="T73" s="1" t="s">
        <v>2268</v>
      </c>
      <c r="U73" s="1" t="s">
        <v>228</v>
      </c>
      <c r="V73" s="1" t="s">
        <v>152</v>
      </c>
      <c r="W73" s="2">
        <v>44749</v>
      </c>
      <c r="X73" s="1" t="s">
        <v>522</v>
      </c>
      <c r="Y73" s="1">
        <v>75.45</v>
      </c>
      <c r="Z73" s="1">
        <v>19.600000000000001</v>
      </c>
      <c r="AA73" s="1">
        <v>19</v>
      </c>
      <c r="AB73" s="1">
        <v>15.5</v>
      </c>
      <c r="AC73" s="1">
        <v>1</v>
      </c>
      <c r="AD73" s="3">
        <v>303.8</v>
      </c>
      <c r="AE73" s="3">
        <v>287.20479392261302</v>
      </c>
      <c r="AF73" s="2">
        <v>44749</v>
      </c>
      <c r="AG73" s="1">
        <v>93</v>
      </c>
      <c r="AH73" s="3">
        <v>7.7645448323066404</v>
      </c>
      <c r="AI73" s="4">
        <v>25.298516098078998</v>
      </c>
      <c r="AJ73" s="4">
        <v>15.0966666666667</v>
      </c>
      <c r="AK73" s="4">
        <v>19.438471508126799</v>
      </c>
      <c r="AL73" s="1">
        <v>30</v>
      </c>
      <c r="AM73" s="5">
        <v>1044.5508095552</v>
      </c>
      <c r="AN73" s="4">
        <v>233.08553134630401</v>
      </c>
      <c r="AO73" s="4">
        <v>0.223144273322194</v>
      </c>
      <c r="AP73" s="1" t="s">
        <v>238</v>
      </c>
      <c r="AQ73" s="1" t="s">
        <v>156</v>
      </c>
      <c r="AR73" s="1" t="s">
        <v>275</v>
      </c>
      <c r="AS73" s="1">
        <v>7.5</v>
      </c>
      <c r="AT73" s="4">
        <v>0.7834131071664</v>
      </c>
      <c r="AU73" s="1" t="s">
        <v>523</v>
      </c>
      <c r="AV73" s="1" t="s">
        <v>524</v>
      </c>
      <c r="AW73" s="1">
        <v>10286</v>
      </c>
      <c r="AX73" s="1">
        <v>5308</v>
      </c>
      <c r="AY73" s="1">
        <v>3926</v>
      </c>
      <c r="AZ73" s="1">
        <v>958</v>
      </c>
      <c r="BA73" s="1">
        <v>94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4">
        <v>-1.66</v>
      </c>
      <c r="BI73" s="4">
        <v>29.51</v>
      </c>
      <c r="BJ73" s="4">
        <v>13.663574000000001</v>
      </c>
      <c r="BK73" s="4">
        <v>-0.17571400000000001</v>
      </c>
      <c r="BL73" s="4">
        <v>11.129882</v>
      </c>
      <c r="BM73" s="4">
        <v>123.874278</v>
      </c>
      <c r="BN73" s="4">
        <v>0.81456600000000001</v>
      </c>
      <c r="BO73" s="4">
        <v>24.18</v>
      </c>
      <c r="BP73" s="4">
        <v>-0.17172499999999999</v>
      </c>
      <c r="BQ73" s="4">
        <v>1.353043</v>
      </c>
      <c r="BR73" s="4">
        <v>10.208881999999999</v>
      </c>
      <c r="BS73" s="4">
        <v>10.174998</v>
      </c>
      <c r="BT73" s="4">
        <v>16.560714999999998</v>
      </c>
      <c r="BU73" s="4">
        <v>13.663574000000001</v>
      </c>
      <c r="BV73" s="4">
        <v>6.1952410000000002</v>
      </c>
      <c r="BW73" s="4">
        <v>-0.175344</v>
      </c>
      <c r="BX73" s="4">
        <v>-0.85089300000000001</v>
      </c>
      <c r="BY73" s="4">
        <v>0.45341300000000001</v>
      </c>
      <c r="BZ73" s="4">
        <v>-2.8302999999999998E-2</v>
      </c>
      <c r="CA73" s="4">
        <v>-0.137346</v>
      </c>
      <c r="CB73" s="4">
        <v>-0.46</v>
      </c>
      <c r="CC73" s="4">
        <v>-0.19</v>
      </c>
      <c r="CD73" s="4">
        <v>-7.0000000000000007E-2</v>
      </c>
      <c r="CE73" s="4">
        <v>7.0000000000000007E-2</v>
      </c>
      <c r="CF73" s="4">
        <v>0.14000000000000001</v>
      </c>
      <c r="CG73" s="4">
        <v>0.22500000000000001</v>
      </c>
      <c r="CH73" s="4">
        <v>11.19</v>
      </c>
      <c r="CI73" s="4">
        <v>16.384998</v>
      </c>
      <c r="CJ73" s="4">
        <v>20.059999000000001</v>
      </c>
      <c r="CK73" s="4">
        <v>23.540001</v>
      </c>
      <c r="CL73" s="4">
        <v>24.32</v>
      </c>
      <c r="CM73" s="4">
        <v>25.219999000000001</v>
      </c>
      <c r="CN73" s="4">
        <v>26.945</v>
      </c>
      <c r="CO73" s="4">
        <v>27.58</v>
      </c>
      <c r="CP73" s="4">
        <v>28.549999</v>
      </c>
      <c r="CQ73" s="4">
        <v>0.49161300000000002</v>
      </c>
      <c r="CR73" s="4">
        <v>17.622584</v>
      </c>
      <c r="CS73" s="4">
        <v>19.479361999999998</v>
      </c>
      <c r="CT73" s="1">
        <v>1</v>
      </c>
      <c r="CU73" s="1">
        <v>45</v>
      </c>
      <c r="CV73" s="4">
        <v>9.4097799999999996</v>
      </c>
      <c r="CW73" s="4">
        <v>1</v>
      </c>
      <c r="CX73" s="4">
        <v>7.5227589999999998</v>
      </c>
      <c r="CY73" s="4">
        <v>56.591907999999997</v>
      </c>
      <c r="CZ73" s="4">
        <v>0.79946200000000001</v>
      </c>
      <c r="DA73" s="4">
        <v>9</v>
      </c>
      <c r="DB73" s="4">
        <v>1.4721740000000001</v>
      </c>
      <c r="DC73" s="4">
        <v>5.5555500000000002</v>
      </c>
      <c r="DD73" s="4">
        <v>5.6585739999999998</v>
      </c>
      <c r="DE73" s="4">
        <v>9.4097799999999996</v>
      </c>
      <c r="DF73" s="4">
        <v>3.9380500000000001</v>
      </c>
      <c r="DG73" s="4">
        <v>1.0187330000000001</v>
      </c>
      <c r="DH73" s="4">
        <v>0.59951600000000005</v>
      </c>
      <c r="DI73" s="4">
        <v>0.41850599999999999</v>
      </c>
      <c r="DJ73" s="4">
        <v>0.25868999999999998</v>
      </c>
      <c r="DK73" s="4">
        <v>0.15223700000000001</v>
      </c>
      <c r="DL73" s="4">
        <v>1</v>
      </c>
      <c r="DM73" s="4">
        <v>1</v>
      </c>
      <c r="DN73" s="4">
        <v>2</v>
      </c>
      <c r="DO73" s="4">
        <v>3</v>
      </c>
      <c r="DP73" s="4">
        <v>4</v>
      </c>
      <c r="DQ73" s="4">
        <v>5</v>
      </c>
      <c r="DR73" s="4">
        <v>6</v>
      </c>
      <c r="DS73" s="4">
        <v>8</v>
      </c>
      <c r="DT73" s="4">
        <v>9</v>
      </c>
      <c r="DU73" s="4">
        <v>11</v>
      </c>
      <c r="DV73" s="4">
        <v>13</v>
      </c>
      <c r="DW73" s="4">
        <v>14</v>
      </c>
      <c r="DX73" s="4">
        <v>19</v>
      </c>
      <c r="DY73" s="4">
        <v>25</v>
      </c>
      <c r="DZ73" s="4">
        <v>36</v>
      </c>
      <c r="EA73" s="4">
        <v>92.030896999999996</v>
      </c>
      <c r="EB73" s="4">
        <v>64.320436000000001</v>
      </c>
      <c r="EC73" s="4">
        <v>124.64205</v>
      </c>
      <c r="ED73" s="4">
        <v>4885</v>
      </c>
      <c r="EE73" s="4">
        <v>6616</v>
      </c>
      <c r="EF73" s="4">
        <v>85.305199999999999</v>
      </c>
      <c r="EG73" s="4">
        <v>99.868123999999995</v>
      </c>
      <c r="EH73" s="4">
        <v>55.580401000000002</v>
      </c>
      <c r="EI73" s="4">
        <v>94.487652999999995</v>
      </c>
      <c r="EJ73" s="4">
        <v>107.70535</v>
      </c>
      <c r="EK73" s="4">
        <v>183.10097999999999</v>
      </c>
      <c r="EL73" s="4">
        <v>4528</v>
      </c>
      <c r="EM73" s="4">
        <v>5301</v>
      </c>
      <c r="EN73" s="4">
        <v>5717</v>
      </c>
      <c r="EO73" s="4">
        <v>9719</v>
      </c>
      <c r="EP73" s="4">
        <v>5308</v>
      </c>
      <c r="EQ73" s="4">
        <v>10286</v>
      </c>
      <c r="ER73" s="4">
        <v>46.953941999999998</v>
      </c>
    </row>
    <row r="74" spans="1:148" x14ac:dyDescent="0.2">
      <c r="A74" s="1">
        <v>2022</v>
      </c>
      <c r="B74" s="1" t="str">
        <f t="shared" si="2"/>
        <v>RD</v>
      </c>
      <c r="C74" s="1" t="s">
        <v>525</v>
      </c>
      <c r="D74" s="1" t="s">
        <v>525</v>
      </c>
      <c r="E74" s="1">
        <v>23188</v>
      </c>
      <c r="F74" s="1" t="s">
        <v>2073</v>
      </c>
      <c r="G74" s="1" t="s">
        <v>520</v>
      </c>
      <c r="H74" s="1" t="s">
        <v>521</v>
      </c>
      <c r="I74" s="1">
        <v>75.45</v>
      </c>
      <c r="J74" s="1">
        <v>75.45</v>
      </c>
      <c r="K74" s="1" t="s">
        <v>226</v>
      </c>
      <c r="L74" s="1">
        <v>1</v>
      </c>
      <c r="M74" s="1">
        <v>2014</v>
      </c>
      <c r="N74" s="1">
        <v>2</v>
      </c>
      <c r="O74" s="1">
        <v>1</v>
      </c>
      <c r="P74" s="1" t="str">
        <f t="shared" si="3"/>
        <v>Alto fuste</v>
      </c>
      <c r="Q74" s="2">
        <v>41913</v>
      </c>
      <c r="R74" s="1" t="s">
        <v>227</v>
      </c>
      <c r="S74" s="1" t="s">
        <v>238</v>
      </c>
      <c r="T74" s="1" t="s">
        <v>2268</v>
      </c>
      <c r="U74" s="1" t="s">
        <v>228</v>
      </c>
      <c r="V74" s="1" t="s">
        <v>152</v>
      </c>
      <c r="W74" s="2">
        <v>44749</v>
      </c>
      <c r="X74" s="1" t="s">
        <v>522</v>
      </c>
      <c r="Y74" s="1">
        <v>75.45</v>
      </c>
      <c r="Z74" s="1">
        <v>20</v>
      </c>
      <c r="AA74" s="1">
        <v>14</v>
      </c>
      <c r="AB74" s="1">
        <v>15.1</v>
      </c>
      <c r="AC74" s="1">
        <v>2</v>
      </c>
      <c r="AD74" s="3">
        <v>302</v>
      </c>
      <c r="AE74" s="3">
        <v>292.85080379749098</v>
      </c>
      <c r="AF74" s="2">
        <v>44749</v>
      </c>
      <c r="AG74" s="1">
        <v>93</v>
      </c>
      <c r="AH74" s="3">
        <v>7.7645448323066404</v>
      </c>
      <c r="AI74" s="4">
        <v>17.5335886148934</v>
      </c>
      <c r="AJ74" s="4">
        <v>12.3581395348837</v>
      </c>
      <c r="AK74" s="4">
        <v>18.2391025090865</v>
      </c>
      <c r="AL74" s="1">
        <v>43</v>
      </c>
      <c r="AM74" s="5">
        <v>1468.32446564616</v>
      </c>
      <c r="AN74" s="4">
        <v>146.264257602089</v>
      </c>
      <c r="AO74" s="4">
        <v>9.9613035827012003E-2</v>
      </c>
      <c r="AP74" s="1" t="s">
        <v>238</v>
      </c>
      <c r="AQ74" s="1" t="s">
        <v>156</v>
      </c>
      <c r="AR74" s="1" t="s">
        <v>275</v>
      </c>
      <c r="AS74" s="1">
        <v>7.5</v>
      </c>
      <c r="AT74" s="4">
        <v>1.1012433492346201</v>
      </c>
      <c r="AU74" s="1" t="s">
        <v>526</v>
      </c>
      <c r="AV74" s="1" t="s">
        <v>527</v>
      </c>
      <c r="AW74" s="1">
        <v>5699</v>
      </c>
      <c r="AX74" s="1">
        <v>2961</v>
      </c>
      <c r="AY74" s="1">
        <v>2490</v>
      </c>
      <c r="AZ74" s="1">
        <v>242</v>
      </c>
      <c r="BA74" s="1">
        <v>6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4">
        <v>-0.77</v>
      </c>
      <c r="BI74" s="4">
        <v>19.309999000000001</v>
      </c>
      <c r="BJ74" s="4">
        <v>8.5485170000000004</v>
      </c>
      <c r="BK74" s="4">
        <v>-0.13253999999999999</v>
      </c>
      <c r="BL74" s="4">
        <v>8.3425189999999994</v>
      </c>
      <c r="BM74" s="4">
        <v>69.597632000000004</v>
      </c>
      <c r="BN74" s="4">
        <v>0.97590299999999996</v>
      </c>
      <c r="BO74" s="4">
        <v>17.300001000000002</v>
      </c>
      <c r="BP74" s="4">
        <v>4.4611999999999999E-2</v>
      </c>
      <c r="BQ74" s="4">
        <v>1.0924290000000001</v>
      </c>
      <c r="BR74" s="4">
        <v>8.1620100000000004</v>
      </c>
      <c r="BS74" s="4">
        <v>8.77</v>
      </c>
      <c r="BT74" s="4">
        <v>9.0125399999999996</v>
      </c>
      <c r="BU74" s="4">
        <v>8.5485170000000004</v>
      </c>
      <c r="BV74" s="4">
        <v>4.4347760000000003</v>
      </c>
      <c r="BW74" s="4">
        <v>0.211392</v>
      </c>
      <c r="BX74" s="4">
        <v>-0.92233299999999996</v>
      </c>
      <c r="BY74" s="4">
        <v>0.51877700000000004</v>
      </c>
      <c r="BZ74" s="4">
        <v>4.7667000000000001E-2</v>
      </c>
      <c r="CA74" s="4">
        <v>-0.207977</v>
      </c>
      <c r="CB74" s="4">
        <v>-0.37</v>
      </c>
      <c r="CC74" s="4">
        <v>-0.17</v>
      </c>
      <c r="CD74" s="4">
        <v>-0.09</v>
      </c>
      <c r="CE74" s="4">
        <v>0.02</v>
      </c>
      <c r="CF74" s="4">
        <v>0.06</v>
      </c>
      <c r="CG74" s="4">
        <v>0.11</v>
      </c>
      <c r="CH74" s="4">
        <v>0.3</v>
      </c>
      <c r="CI74" s="4">
        <v>8.8800000000000008</v>
      </c>
      <c r="CJ74" s="4">
        <v>15.66</v>
      </c>
      <c r="CK74" s="4">
        <v>17.030000999999999</v>
      </c>
      <c r="CL74" s="4">
        <v>17.360001</v>
      </c>
      <c r="CM74" s="4">
        <v>17.649999999999999</v>
      </c>
      <c r="CN74" s="4">
        <v>18.16</v>
      </c>
      <c r="CO74" s="4">
        <v>18.450001</v>
      </c>
      <c r="CP74" s="4">
        <v>18.82</v>
      </c>
      <c r="CQ74" s="4">
        <v>0.46406999999999998</v>
      </c>
      <c r="CR74" s="4">
        <v>11.944144</v>
      </c>
      <c r="CS74" s="4">
        <v>13.453711999999999</v>
      </c>
      <c r="CT74" s="1">
        <v>1</v>
      </c>
      <c r="CU74" s="1">
        <v>44</v>
      </c>
      <c r="CV74" s="4">
        <v>12.132479</v>
      </c>
      <c r="CW74" s="4">
        <v>8.5079370000000001</v>
      </c>
      <c r="CX74" s="4">
        <v>7.7933000000000003</v>
      </c>
      <c r="CY74" s="4">
        <v>60.735517000000002</v>
      </c>
      <c r="CZ74" s="4">
        <v>0.64234999999999998</v>
      </c>
      <c r="DA74" s="4">
        <v>10</v>
      </c>
      <c r="DB74" s="4">
        <v>0.91271800000000003</v>
      </c>
      <c r="DC74" s="4">
        <v>3.6905730000000001</v>
      </c>
      <c r="DD74" s="4">
        <v>6.0957939999999997</v>
      </c>
      <c r="DE74" s="4">
        <v>12.132479</v>
      </c>
      <c r="DF74" s="4">
        <v>4.2824150000000003</v>
      </c>
      <c r="DG74" s="4">
        <v>0.72904400000000003</v>
      </c>
      <c r="DH74" s="4">
        <v>0.54108100000000003</v>
      </c>
      <c r="DI74" s="4">
        <v>0.35297099999999998</v>
      </c>
      <c r="DJ74" s="4">
        <v>0.170241</v>
      </c>
      <c r="DK74" s="4">
        <v>0.12634899999999999</v>
      </c>
      <c r="DL74" s="4">
        <v>1</v>
      </c>
      <c r="DM74" s="4">
        <v>2</v>
      </c>
      <c r="DN74" s="4">
        <v>3</v>
      </c>
      <c r="DO74" s="4">
        <v>5</v>
      </c>
      <c r="DP74" s="4">
        <v>6</v>
      </c>
      <c r="DQ74" s="4">
        <v>7</v>
      </c>
      <c r="DR74" s="4">
        <v>9</v>
      </c>
      <c r="DS74" s="4">
        <v>11</v>
      </c>
      <c r="DT74" s="4">
        <v>13</v>
      </c>
      <c r="DU74" s="4">
        <v>15</v>
      </c>
      <c r="DV74" s="4">
        <v>16</v>
      </c>
      <c r="DW74" s="4">
        <v>18</v>
      </c>
      <c r="DX74" s="4">
        <v>23</v>
      </c>
      <c r="DY74" s="4">
        <v>27</v>
      </c>
      <c r="DZ74" s="4">
        <v>35</v>
      </c>
      <c r="EA74" s="4">
        <v>91.691996000000003</v>
      </c>
      <c r="EB74" s="4">
        <v>51.886296000000002</v>
      </c>
      <c r="EC74" s="4">
        <v>99.864911000000006</v>
      </c>
      <c r="ED74" s="4">
        <v>2715</v>
      </c>
      <c r="EE74" s="4">
        <v>2957</v>
      </c>
      <c r="EF74" s="4">
        <v>90.982776000000001</v>
      </c>
      <c r="EG74" s="4">
        <v>100</v>
      </c>
      <c r="EH74" s="4">
        <v>50.271977999999997</v>
      </c>
      <c r="EI74" s="4">
        <v>93.332164000000006</v>
      </c>
      <c r="EJ74" s="4">
        <v>96.757852</v>
      </c>
      <c r="EK74" s="4">
        <v>179.63525799999999</v>
      </c>
      <c r="EL74" s="4">
        <v>2694</v>
      </c>
      <c r="EM74" s="4">
        <v>2961</v>
      </c>
      <c r="EN74" s="4">
        <v>2865</v>
      </c>
      <c r="EO74" s="4">
        <v>5319</v>
      </c>
      <c r="EP74" s="4">
        <v>2961</v>
      </c>
      <c r="EQ74" s="4">
        <v>5699</v>
      </c>
      <c r="ER74" s="4">
        <v>44.453454000000001</v>
      </c>
    </row>
    <row r="75" spans="1:148" x14ac:dyDescent="0.2">
      <c r="A75" s="1">
        <v>2022</v>
      </c>
      <c r="B75" s="1" t="str">
        <f t="shared" si="2"/>
        <v>NE</v>
      </c>
      <c r="C75" s="1" t="s">
        <v>528</v>
      </c>
      <c r="D75" s="1" t="s">
        <v>528</v>
      </c>
      <c r="E75" s="1">
        <v>23211</v>
      </c>
      <c r="F75" s="1" t="s">
        <v>2074</v>
      </c>
      <c r="G75" s="1" t="s">
        <v>529</v>
      </c>
      <c r="H75" s="1" t="s">
        <v>530</v>
      </c>
      <c r="I75" s="1">
        <v>46.51</v>
      </c>
      <c r="J75" s="1">
        <v>46.51</v>
      </c>
      <c r="K75" s="1" t="s">
        <v>184</v>
      </c>
      <c r="L75" s="1">
        <v>1</v>
      </c>
      <c r="M75" s="1">
        <v>2015</v>
      </c>
      <c r="N75" s="1">
        <v>3</v>
      </c>
      <c r="O75" s="1">
        <v>1</v>
      </c>
      <c r="P75" s="1" t="str">
        <f t="shared" si="3"/>
        <v>Alto fuste</v>
      </c>
      <c r="Q75" s="2">
        <v>42177</v>
      </c>
      <c r="R75" s="1" t="s">
        <v>169</v>
      </c>
      <c r="S75" s="1" t="s">
        <v>193</v>
      </c>
      <c r="T75" s="1" t="s">
        <v>2268</v>
      </c>
      <c r="U75" s="1" t="s">
        <v>170</v>
      </c>
      <c r="V75" s="1" t="s">
        <v>152</v>
      </c>
      <c r="W75" s="2">
        <v>44790</v>
      </c>
      <c r="X75" s="1" t="s">
        <v>531</v>
      </c>
      <c r="Y75" s="1">
        <v>158.63</v>
      </c>
      <c r="Z75" s="1">
        <v>21</v>
      </c>
      <c r="AA75" s="1">
        <v>28</v>
      </c>
      <c r="AB75" s="1">
        <v>15.2</v>
      </c>
      <c r="AC75" s="1">
        <v>6</v>
      </c>
      <c r="AD75" s="3">
        <v>319.2</v>
      </c>
      <c r="AE75" s="3">
        <v>280.29293976864398</v>
      </c>
      <c r="AF75" s="2">
        <v>44790</v>
      </c>
      <c r="AG75" s="1">
        <v>86</v>
      </c>
      <c r="AH75" s="3">
        <v>7.1540041067761804</v>
      </c>
      <c r="AI75" s="4">
        <v>23.888774394583699</v>
      </c>
      <c r="AJ75" s="4">
        <v>16.6823529411765</v>
      </c>
      <c r="AK75" s="4">
        <v>27.4732080520285</v>
      </c>
      <c r="AL75" s="1">
        <v>34</v>
      </c>
      <c r="AM75" s="5">
        <v>1213.0166399504701</v>
      </c>
      <c r="AN75" s="4">
        <v>286.58695698527902</v>
      </c>
      <c r="AO75" s="4">
        <v>0.23625970786104</v>
      </c>
      <c r="AP75" s="1" t="s">
        <v>193</v>
      </c>
      <c r="AQ75" s="1" t="s">
        <v>156</v>
      </c>
      <c r="AR75" s="1" t="s">
        <v>438</v>
      </c>
      <c r="AS75" s="1">
        <v>9</v>
      </c>
      <c r="AT75" s="4">
        <v>1.0917149759554232</v>
      </c>
      <c r="AU75" s="1" t="s">
        <v>532</v>
      </c>
      <c r="AV75" s="1" t="s">
        <v>533</v>
      </c>
      <c r="AW75" s="1">
        <v>4678</v>
      </c>
      <c r="AX75" s="1">
        <v>2733</v>
      </c>
      <c r="AY75" s="1">
        <v>1699</v>
      </c>
      <c r="AZ75" s="1">
        <v>238</v>
      </c>
      <c r="BA75" s="1">
        <v>8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4">
        <v>-1.6619999999999999</v>
      </c>
      <c r="BI75" s="4">
        <v>28.728000999999999</v>
      </c>
      <c r="BJ75" s="4">
        <v>14.689473</v>
      </c>
      <c r="BK75" s="4">
        <v>-0.21485699999999999</v>
      </c>
      <c r="BL75" s="4">
        <v>11.863664</v>
      </c>
      <c r="BM75" s="4">
        <v>140.74651399999999</v>
      </c>
      <c r="BN75" s="4">
        <v>0.80762999999999996</v>
      </c>
      <c r="BO75" s="4">
        <v>24.920000999999999</v>
      </c>
      <c r="BP75" s="4">
        <v>-0.30432900000000002</v>
      </c>
      <c r="BQ75" s="4">
        <v>1.186863</v>
      </c>
      <c r="BR75" s="4">
        <v>11.468584999999999</v>
      </c>
      <c r="BS75" s="4">
        <v>4.109</v>
      </c>
      <c r="BT75" s="4">
        <v>23.023857</v>
      </c>
      <c r="BU75" s="4">
        <v>14.689473</v>
      </c>
      <c r="BV75" s="4">
        <v>6.292116</v>
      </c>
      <c r="BW75" s="4">
        <v>-0.68917099999999998</v>
      </c>
      <c r="BX75" s="4">
        <v>-1.1018330000000001</v>
      </c>
      <c r="BY75" s="4">
        <v>0.428342</v>
      </c>
      <c r="BZ75" s="4">
        <v>-0.109529</v>
      </c>
      <c r="CA75" s="4">
        <v>-0.17511299999999999</v>
      </c>
      <c r="CB75" s="4">
        <v>-0.39091999999999999</v>
      </c>
      <c r="CC75" s="4">
        <v>-0.1013</v>
      </c>
      <c r="CD75" s="4">
        <v>0.01</v>
      </c>
      <c r="CE75" s="4">
        <v>0.216</v>
      </c>
      <c r="CF75" s="4">
        <v>0.33925</v>
      </c>
      <c r="CG75" s="4">
        <v>0.57099999999999995</v>
      </c>
      <c r="CH75" s="4">
        <v>6.9938039999999999</v>
      </c>
      <c r="CI75" s="4">
        <v>22.809000000000001</v>
      </c>
      <c r="CJ75" s="4">
        <v>24</v>
      </c>
      <c r="CK75" s="4">
        <v>24.8339</v>
      </c>
      <c r="CL75" s="4">
        <v>25.259250999999999</v>
      </c>
      <c r="CM75" s="4">
        <v>25.650599</v>
      </c>
      <c r="CN75" s="4">
        <v>26.503299999999999</v>
      </c>
      <c r="CO75" s="4">
        <v>27.014999</v>
      </c>
      <c r="CP75" s="4">
        <v>28.031230999999998</v>
      </c>
      <c r="CQ75" s="4">
        <v>0.53805400000000003</v>
      </c>
      <c r="CR75" s="4">
        <v>18.881129000000001</v>
      </c>
      <c r="CS75" s="4">
        <v>20.694593000000001</v>
      </c>
      <c r="CT75" s="1">
        <v>1</v>
      </c>
      <c r="CU75" s="1">
        <v>74</v>
      </c>
      <c r="CV75" s="4">
        <v>23.656690999999999</v>
      </c>
      <c r="CW75" s="4">
        <v>1</v>
      </c>
      <c r="CX75" s="4">
        <v>15.883803</v>
      </c>
      <c r="CY75" s="4">
        <v>252.295199</v>
      </c>
      <c r="CZ75" s="4">
        <v>0.67142999999999997</v>
      </c>
      <c r="DA75" s="4">
        <v>28</v>
      </c>
      <c r="DB75" s="4">
        <v>0.227045</v>
      </c>
      <c r="DC75" s="4">
        <v>1.9366540000000001</v>
      </c>
      <c r="DD75" s="4">
        <v>13.868109</v>
      </c>
      <c r="DE75" s="4">
        <v>23.656690999999999</v>
      </c>
      <c r="DF75" s="4">
        <v>9.1068960000000008</v>
      </c>
      <c r="DG75" s="4">
        <v>0.55463499999999999</v>
      </c>
      <c r="DH75" s="4">
        <v>-5.2034999999999998E-2</v>
      </c>
      <c r="DI75" s="4">
        <v>0.384961</v>
      </c>
      <c r="DJ75" s="4">
        <v>6.0902999999999999E-2</v>
      </c>
      <c r="DK75" s="4">
        <v>-5.7140000000000003E-3</v>
      </c>
      <c r="DL75" s="4">
        <v>1</v>
      </c>
      <c r="DM75" s="4">
        <v>2</v>
      </c>
      <c r="DN75" s="4">
        <v>3</v>
      </c>
      <c r="DO75" s="4">
        <v>6</v>
      </c>
      <c r="DP75" s="4">
        <v>8</v>
      </c>
      <c r="DQ75" s="4">
        <v>11</v>
      </c>
      <c r="DR75" s="4">
        <v>17</v>
      </c>
      <c r="DS75" s="4">
        <v>23</v>
      </c>
      <c r="DT75" s="4">
        <v>30</v>
      </c>
      <c r="DU75" s="4">
        <v>34</v>
      </c>
      <c r="DV75" s="4">
        <v>36</v>
      </c>
      <c r="DW75" s="4">
        <v>39</v>
      </c>
      <c r="DX75" s="4">
        <v>45</v>
      </c>
      <c r="DY75" s="4">
        <v>50</v>
      </c>
      <c r="DZ75" s="4">
        <v>57</v>
      </c>
      <c r="EA75" s="4">
        <v>96.121477999999996</v>
      </c>
      <c r="EB75" s="4">
        <v>61.329628</v>
      </c>
      <c r="EC75" s="4">
        <v>104.97621700000001</v>
      </c>
      <c r="ED75" s="4">
        <v>2627</v>
      </c>
      <c r="EE75" s="4">
        <v>2869</v>
      </c>
      <c r="EF75" s="4">
        <v>94.731065000000001</v>
      </c>
      <c r="EG75" s="4">
        <v>100</v>
      </c>
      <c r="EH75" s="4">
        <v>57.61009</v>
      </c>
      <c r="EI75" s="4">
        <v>97.498930999999999</v>
      </c>
      <c r="EJ75" s="4">
        <v>98.609587000000005</v>
      </c>
      <c r="EK75" s="4">
        <v>166.88620599999999</v>
      </c>
      <c r="EL75" s="4">
        <v>2589</v>
      </c>
      <c r="EM75" s="4">
        <v>2733</v>
      </c>
      <c r="EN75" s="4">
        <v>2695</v>
      </c>
      <c r="EO75" s="4">
        <v>4561</v>
      </c>
      <c r="EP75" s="4">
        <v>2733</v>
      </c>
      <c r="EQ75" s="4">
        <v>4678</v>
      </c>
      <c r="ER75" s="4">
        <v>51.449877999999998</v>
      </c>
    </row>
    <row r="76" spans="1:148" x14ac:dyDescent="0.2">
      <c r="A76" s="1">
        <v>2022</v>
      </c>
      <c r="B76" s="1" t="str">
        <f t="shared" si="2"/>
        <v>NE</v>
      </c>
      <c r="C76" s="1" t="s">
        <v>534</v>
      </c>
      <c r="D76" s="1" t="s">
        <v>534</v>
      </c>
      <c r="E76" s="1">
        <v>23212</v>
      </c>
      <c r="F76" s="1" t="s">
        <v>2074</v>
      </c>
      <c r="G76" s="1" t="s">
        <v>529</v>
      </c>
      <c r="H76" s="1" t="s">
        <v>530</v>
      </c>
      <c r="I76" s="1">
        <v>46.51</v>
      </c>
      <c r="J76" s="1">
        <v>46.51</v>
      </c>
      <c r="K76" s="1" t="s">
        <v>184</v>
      </c>
      <c r="L76" s="1">
        <v>1</v>
      </c>
      <c r="M76" s="1">
        <v>2015</v>
      </c>
      <c r="N76" s="1">
        <v>3</v>
      </c>
      <c r="O76" s="1">
        <v>1</v>
      </c>
      <c r="P76" s="1" t="str">
        <f t="shared" si="3"/>
        <v>Alto fuste</v>
      </c>
      <c r="Q76" s="2">
        <v>42177</v>
      </c>
      <c r="R76" s="1" t="s">
        <v>169</v>
      </c>
      <c r="S76" s="1" t="s">
        <v>193</v>
      </c>
      <c r="T76" s="1" t="s">
        <v>2268</v>
      </c>
      <c r="U76" s="1" t="s">
        <v>170</v>
      </c>
      <c r="V76" s="1" t="s">
        <v>152</v>
      </c>
      <c r="W76" s="2">
        <v>44790</v>
      </c>
      <c r="X76" s="1" t="s">
        <v>531</v>
      </c>
      <c r="Y76" s="1">
        <v>158.63</v>
      </c>
      <c r="Z76" s="1">
        <v>20</v>
      </c>
      <c r="AA76" s="1">
        <v>10</v>
      </c>
      <c r="AB76" s="1">
        <v>15.2</v>
      </c>
      <c r="AC76" s="1">
        <v>2</v>
      </c>
      <c r="AD76" s="3">
        <v>304</v>
      </c>
      <c r="AE76" s="3">
        <v>299.19918176025698</v>
      </c>
      <c r="AF76" s="2">
        <v>44790</v>
      </c>
      <c r="AG76" s="1">
        <v>86</v>
      </c>
      <c r="AH76" s="3">
        <v>7.1540041067761804</v>
      </c>
      <c r="AI76" s="4">
        <v>23.6228740179392</v>
      </c>
      <c r="AJ76" s="4">
        <v>16.362857142857099</v>
      </c>
      <c r="AK76" s="4">
        <v>25.2640862662115</v>
      </c>
      <c r="AL76" s="1">
        <v>35</v>
      </c>
      <c r="AM76" s="5">
        <v>1169.7892953479</v>
      </c>
      <c r="AN76" s="4">
        <v>259.55628127692199</v>
      </c>
      <c r="AO76" s="4">
        <v>0.22188293422511501</v>
      </c>
      <c r="AP76" s="1" t="s">
        <v>193</v>
      </c>
      <c r="AQ76" s="1" t="s">
        <v>156</v>
      </c>
      <c r="AR76" s="1" t="s">
        <v>438</v>
      </c>
      <c r="AS76" s="1">
        <v>9</v>
      </c>
      <c r="AT76" s="4">
        <v>1.05281036581311</v>
      </c>
      <c r="AU76" s="1" t="s">
        <v>535</v>
      </c>
      <c r="AV76" s="1" t="s">
        <v>536</v>
      </c>
      <c r="AW76" s="1">
        <v>3345</v>
      </c>
      <c r="AX76" s="1">
        <v>1619</v>
      </c>
      <c r="AY76" s="1">
        <v>1259</v>
      </c>
      <c r="AZ76" s="1">
        <v>425</v>
      </c>
      <c r="BA76" s="1">
        <v>42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4">
        <v>-0.83399999999999996</v>
      </c>
      <c r="BI76" s="4">
        <v>29.414000000000001</v>
      </c>
      <c r="BJ76" s="4">
        <v>13.613587000000001</v>
      </c>
      <c r="BK76" s="4">
        <v>-0.35387299999999999</v>
      </c>
      <c r="BL76" s="4">
        <v>10.630547</v>
      </c>
      <c r="BM76" s="4">
        <v>113.00851900000001</v>
      </c>
      <c r="BN76" s="4">
        <v>0.78087799999999996</v>
      </c>
      <c r="BO76" s="4">
        <v>21.330998999999998</v>
      </c>
      <c r="BP76" s="4">
        <v>-0.287414</v>
      </c>
      <c r="BQ76" s="4">
        <v>1.449586</v>
      </c>
      <c r="BR76" s="4">
        <v>9.6714830000000003</v>
      </c>
      <c r="BS76" s="4">
        <v>7.7519989999999996</v>
      </c>
      <c r="BT76" s="4">
        <v>18.119872999999998</v>
      </c>
      <c r="BU76" s="4">
        <v>13.613587000000001</v>
      </c>
      <c r="BV76" s="4">
        <v>5.856325</v>
      </c>
      <c r="BW76" s="4">
        <v>-0.32641399999999998</v>
      </c>
      <c r="BX76" s="4">
        <v>-0.56177200000000005</v>
      </c>
      <c r="BY76" s="4">
        <v>0.43018200000000001</v>
      </c>
      <c r="BZ76" s="4">
        <v>-5.5737000000000002E-2</v>
      </c>
      <c r="CA76" s="4">
        <v>-9.5925999999999997E-2</v>
      </c>
      <c r="CB76" s="4">
        <v>-0.33900000000000002</v>
      </c>
      <c r="CC76" s="4">
        <v>-0.155</v>
      </c>
      <c r="CD76" s="4">
        <v>-7.6600000000000001E-2</v>
      </c>
      <c r="CE76" s="4">
        <v>4.3999999999999997E-2</v>
      </c>
      <c r="CF76" s="4">
        <v>0.104</v>
      </c>
      <c r="CG76" s="4">
        <v>0.188</v>
      </c>
      <c r="CH76" s="4">
        <v>14.4924</v>
      </c>
      <c r="CI76" s="4">
        <v>17.766000999999999</v>
      </c>
      <c r="CJ76" s="4">
        <v>19.421999</v>
      </c>
      <c r="CK76" s="4">
        <v>20.630400000000002</v>
      </c>
      <c r="CL76" s="4">
        <v>21.434999000000001</v>
      </c>
      <c r="CM76" s="4">
        <v>24.388998000000001</v>
      </c>
      <c r="CN76" s="4">
        <v>26.290600000000001</v>
      </c>
      <c r="CO76" s="4">
        <v>27.404001000000001</v>
      </c>
      <c r="CP76" s="4">
        <v>28.490601000000002</v>
      </c>
      <c r="CQ76" s="4">
        <v>0.47763800000000001</v>
      </c>
      <c r="CR76" s="4">
        <v>17.271494000000001</v>
      </c>
      <c r="CS76" s="4">
        <v>18.937739000000001</v>
      </c>
      <c r="CT76" s="1">
        <v>1</v>
      </c>
      <c r="CU76" s="1">
        <v>48</v>
      </c>
      <c r="CV76" s="4">
        <v>11.606876</v>
      </c>
      <c r="CW76" s="4">
        <v>4.7301589999999996</v>
      </c>
      <c r="CX76" s="4">
        <v>7.8096759999999996</v>
      </c>
      <c r="CY76" s="4">
        <v>60.991041000000003</v>
      </c>
      <c r="CZ76" s="4">
        <v>0.67284900000000003</v>
      </c>
      <c r="DA76" s="4">
        <v>11</v>
      </c>
      <c r="DB76" s="4">
        <v>0.91005000000000003</v>
      </c>
      <c r="DC76" s="4">
        <v>3.706728</v>
      </c>
      <c r="DD76" s="4">
        <v>6.282572</v>
      </c>
      <c r="DE76" s="4">
        <v>11.606876</v>
      </c>
      <c r="DF76" s="4">
        <v>4.3079270000000003</v>
      </c>
      <c r="DG76" s="4">
        <v>0.76377700000000004</v>
      </c>
      <c r="DH76" s="4">
        <v>0.41070800000000002</v>
      </c>
      <c r="DI76" s="4">
        <v>0.37115300000000001</v>
      </c>
      <c r="DJ76" s="4">
        <v>0.17729600000000001</v>
      </c>
      <c r="DK76" s="4">
        <v>9.5338000000000006E-2</v>
      </c>
      <c r="DL76" s="4">
        <v>1</v>
      </c>
      <c r="DM76" s="4">
        <v>2</v>
      </c>
      <c r="DN76" s="4">
        <v>3</v>
      </c>
      <c r="DO76" s="4">
        <v>5</v>
      </c>
      <c r="DP76" s="4">
        <v>5</v>
      </c>
      <c r="DQ76" s="4">
        <v>6</v>
      </c>
      <c r="DR76" s="4">
        <v>8</v>
      </c>
      <c r="DS76" s="4">
        <v>10</v>
      </c>
      <c r="DT76" s="4">
        <v>12</v>
      </c>
      <c r="DU76" s="4">
        <v>15</v>
      </c>
      <c r="DV76" s="4">
        <v>16</v>
      </c>
      <c r="DW76" s="4">
        <v>18</v>
      </c>
      <c r="DX76" s="4">
        <v>22</v>
      </c>
      <c r="DY76" s="4">
        <v>26</v>
      </c>
      <c r="DZ76" s="4">
        <v>34</v>
      </c>
      <c r="EA76" s="4">
        <v>97.158739999999995</v>
      </c>
      <c r="EB76" s="4">
        <v>64.962631000000002</v>
      </c>
      <c r="EC76" s="4">
        <v>134.21865299999999</v>
      </c>
      <c r="ED76" s="4">
        <v>1573</v>
      </c>
      <c r="EE76" s="4">
        <v>2173</v>
      </c>
      <c r="EF76" s="4">
        <v>96.232241999999999</v>
      </c>
      <c r="EG76" s="4">
        <v>100</v>
      </c>
      <c r="EH76" s="4">
        <v>61.644244999999998</v>
      </c>
      <c r="EI76" s="4">
        <v>99.162930000000003</v>
      </c>
      <c r="EJ76" s="4">
        <v>127.36256899999999</v>
      </c>
      <c r="EK76" s="4">
        <v>204.87955500000001</v>
      </c>
      <c r="EL76" s="4">
        <v>1558</v>
      </c>
      <c r="EM76" s="4">
        <v>1619</v>
      </c>
      <c r="EN76" s="4">
        <v>2062</v>
      </c>
      <c r="EO76" s="4">
        <v>3317</v>
      </c>
      <c r="EP76" s="4">
        <v>1619</v>
      </c>
      <c r="EQ76" s="4">
        <v>3345</v>
      </c>
      <c r="ER76" s="4">
        <v>46.835209999999996</v>
      </c>
    </row>
    <row r="77" spans="1:148" x14ac:dyDescent="0.2">
      <c r="A77" s="1">
        <v>2022</v>
      </c>
      <c r="B77" s="1" t="str">
        <f t="shared" si="2"/>
        <v>NE</v>
      </c>
      <c r="C77" s="1" t="s">
        <v>537</v>
      </c>
      <c r="D77" s="1" t="s">
        <v>537</v>
      </c>
      <c r="E77" s="1">
        <v>23213</v>
      </c>
      <c r="F77" s="1" t="s">
        <v>2074</v>
      </c>
      <c r="G77" s="1" t="s">
        <v>529</v>
      </c>
      <c r="H77" s="1" t="s">
        <v>530</v>
      </c>
      <c r="I77" s="1">
        <v>46.51</v>
      </c>
      <c r="J77" s="1">
        <v>46.51</v>
      </c>
      <c r="K77" s="1" t="s">
        <v>184</v>
      </c>
      <c r="L77" s="1">
        <v>1</v>
      </c>
      <c r="M77" s="1">
        <v>2015</v>
      </c>
      <c r="N77" s="1">
        <v>3</v>
      </c>
      <c r="O77" s="1">
        <v>1</v>
      </c>
      <c r="P77" s="1" t="str">
        <f t="shared" si="3"/>
        <v>Alto fuste</v>
      </c>
      <c r="Q77" s="2">
        <v>42177</v>
      </c>
      <c r="R77" s="1" t="s">
        <v>169</v>
      </c>
      <c r="S77" s="1" t="s">
        <v>193</v>
      </c>
      <c r="T77" s="1" t="s">
        <v>2268</v>
      </c>
      <c r="U77" s="1" t="s">
        <v>170</v>
      </c>
      <c r="V77" s="1" t="s">
        <v>152</v>
      </c>
      <c r="W77" s="2">
        <v>44790</v>
      </c>
      <c r="X77" s="1" t="s">
        <v>531</v>
      </c>
      <c r="Y77" s="1">
        <v>158.63</v>
      </c>
      <c r="Z77" s="1">
        <v>21</v>
      </c>
      <c r="AA77" s="1">
        <v>9</v>
      </c>
      <c r="AB77" s="1">
        <v>15</v>
      </c>
      <c r="AC77" s="1">
        <v>2</v>
      </c>
      <c r="AD77" s="3">
        <v>315</v>
      </c>
      <c r="AE77" s="3">
        <v>310.93230027651498</v>
      </c>
      <c r="AF77" s="2">
        <v>44790</v>
      </c>
      <c r="AG77" s="1">
        <v>86</v>
      </c>
      <c r="AH77" s="3">
        <v>7.1540041067761804</v>
      </c>
      <c r="AI77" s="4">
        <v>26.516268511765698</v>
      </c>
      <c r="AJ77" s="4">
        <v>17.102777777777799</v>
      </c>
      <c r="AK77" s="4">
        <v>27.4550867602605</v>
      </c>
      <c r="AL77" s="1">
        <v>36</v>
      </c>
      <c r="AM77" s="5">
        <v>1157.80830643792</v>
      </c>
      <c r="AN77" s="4">
        <v>319.76499313851002</v>
      </c>
      <c r="AO77" s="4">
        <v>0.27618129129016999</v>
      </c>
      <c r="AP77" s="1" t="s">
        <v>193</v>
      </c>
      <c r="AQ77" s="1" t="s">
        <v>156</v>
      </c>
      <c r="AR77" s="1" t="s">
        <v>438</v>
      </c>
      <c r="AS77" s="1">
        <v>9</v>
      </c>
      <c r="AT77" s="4">
        <v>1.0420274757941281</v>
      </c>
      <c r="AU77" s="1" t="s">
        <v>538</v>
      </c>
      <c r="AV77" s="1" t="s">
        <v>539</v>
      </c>
      <c r="AW77" s="1">
        <v>8287</v>
      </c>
      <c r="AX77" s="1">
        <v>4128</v>
      </c>
      <c r="AY77" s="1">
        <v>3057</v>
      </c>
      <c r="AZ77" s="1">
        <v>933</v>
      </c>
      <c r="BA77" s="1">
        <v>169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4">
        <v>-0.86799999999999999</v>
      </c>
      <c r="BI77" s="4">
        <v>30.585999999999999</v>
      </c>
      <c r="BJ77" s="4">
        <v>14.24846</v>
      </c>
      <c r="BK77" s="4">
        <v>-0.36873</v>
      </c>
      <c r="BL77" s="4">
        <v>12.535486000000001</v>
      </c>
      <c r="BM77" s="4">
        <v>157.13841500000001</v>
      </c>
      <c r="BN77" s="4">
        <v>0.87977799999999995</v>
      </c>
      <c r="BO77" s="4">
        <v>26.253001000000001</v>
      </c>
      <c r="BP77" s="4">
        <v>-0.14447199999999999</v>
      </c>
      <c r="BQ77" s="4">
        <v>1.1785810000000001</v>
      </c>
      <c r="BR77" s="4">
        <v>12.042033</v>
      </c>
      <c r="BS77" s="4">
        <v>9.1469989999999992</v>
      </c>
      <c r="BT77" s="4">
        <v>19.982731000000001</v>
      </c>
      <c r="BU77" s="4">
        <v>14.24846</v>
      </c>
      <c r="BV77" s="4">
        <v>6.7779740000000004</v>
      </c>
      <c r="BW77" s="4">
        <v>-0.110651</v>
      </c>
      <c r="BX77" s="4">
        <v>-1.2254350000000001</v>
      </c>
      <c r="BY77" s="4">
        <v>0.47569899999999998</v>
      </c>
      <c r="BZ77" s="4">
        <v>-1.6324999999999999E-2</v>
      </c>
      <c r="CA77" s="4">
        <v>-0.18079700000000001</v>
      </c>
      <c r="CB77" s="4">
        <v>-0.40300000000000002</v>
      </c>
      <c r="CC77" s="4">
        <v>-0.1794</v>
      </c>
      <c r="CD77" s="4">
        <v>-0.09</v>
      </c>
      <c r="CE77" s="4">
        <v>1.9E-2</v>
      </c>
      <c r="CF77" s="4">
        <v>6.5000000000000002E-2</v>
      </c>
      <c r="CG77" s="4">
        <v>0.11799999999999999</v>
      </c>
      <c r="CH77" s="4">
        <v>0.442</v>
      </c>
      <c r="CI77" s="4">
        <v>19.614000000000001</v>
      </c>
      <c r="CJ77" s="4">
        <v>23.733999000000001</v>
      </c>
      <c r="CK77" s="4">
        <v>25.257200000000001</v>
      </c>
      <c r="CL77" s="4">
        <v>26.318000999999999</v>
      </c>
      <c r="CM77" s="4">
        <v>27.238197</v>
      </c>
      <c r="CN77" s="4">
        <v>28.459</v>
      </c>
      <c r="CO77" s="4">
        <v>29.021000000000001</v>
      </c>
      <c r="CP77" s="4">
        <v>29.955998999999998</v>
      </c>
      <c r="CQ77" s="4">
        <v>0.48058899999999999</v>
      </c>
      <c r="CR77" s="4">
        <v>18.977304</v>
      </c>
      <c r="CS77" s="4">
        <v>21.047720000000002</v>
      </c>
      <c r="CT77" s="1">
        <v>1</v>
      </c>
      <c r="CU77" s="1">
        <v>53</v>
      </c>
      <c r="CV77" s="4">
        <v>16.469289</v>
      </c>
      <c r="CW77" s="4">
        <v>1</v>
      </c>
      <c r="CX77" s="4">
        <v>11.715645</v>
      </c>
      <c r="CY77" s="4">
        <v>137.256328</v>
      </c>
      <c r="CZ77" s="4">
        <v>0.71136299999999997</v>
      </c>
      <c r="DA77" s="4">
        <v>19</v>
      </c>
      <c r="DB77" s="4">
        <v>0.520347</v>
      </c>
      <c r="DC77" s="4">
        <v>2.2481239999999998</v>
      </c>
      <c r="DD77" s="4">
        <v>10.002507</v>
      </c>
      <c r="DE77" s="4">
        <v>16.469289</v>
      </c>
      <c r="DF77" s="4">
        <v>6.640314</v>
      </c>
      <c r="DG77" s="4">
        <v>0.92764500000000005</v>
      </c>
      <c r="DH77" s="4">
        <v>0.154777</v>
      </c>
      <c r="DI77" s="4">
        <v>0.403194</v>
      </c>
      <c r="DJ77" s="4">
        <v>0.13969899999999999</v>
      </c>
      <c r="DK77" s="4">
        <v>2.3309E-2</v>
      </c>
      <c r="DL77" s="4">
        <v>1</v>
      </c>
      <c r="DM77" s="4">
        <v>1</v>
      </c>
      <c r="DN77" s="4">
        <v>3</v>
      </c>
      <c r="DO77" s="4">
        <v>5</v>
      </c>
      <c r="DP77" s="4">
        <v>6</v>
      </c>
      <c r="DQ77" s="4">
        <v>8</v>
      </c>
      <c r="DR77" s="4">
        <v>11</v>
      </c>
      <c r="DS77" s="4">
        <v>14</v>
      </c>
      <c r="DT77" s="4">
        <v>18</v>
      </c>
      <c r="DU77" s="4">
        <v>23</v>
      </c>
      <c r="DV77" s="4">
        <v>25</v>
      </c>
      <c r="DW77" s="4">
        <v>28</v>
      </c>
      <c r="DX77" s="4">
        <v>34</v>
      </c>
      <c r="DY77" s="4">
        <v>37</v>
      </c>
      <c r="DZ77" s="4">
        <v>44</v>
      </c>
      <c r="EA77" s="4">
        <v>95.494185999999999</v>
      </c>
      <c r="EB77" s="4">
        <v>58.259925000000003</v>
      </c>
      <c r="EC77" s="4">
        <v>116.957364</v>
      </c>
      <c r="ED77" s="4">
        <v>3942</v>
      </c>
      <c r="EE77" s="4">
        <v>4828</v>
      </c>
      <c r="EF77" s="4">
        <v>94.573643000000004</v>
      </c>
      <c r="EG77" s="4">
        <v>100</v>
      </c>
      <c r="EH77" s="4">
        <v>56.280921999999997</v>
      </c>
      <c r="EI77" s="4">
        <v>98.708821</v>
      </c>
      <c r="EJ77" s="4">
        <v>112.98449599999999</v>
      </c>
      <c r="EK77" s="4">
        <v>198.15891500000001</v>
      </c>
      <c r="EL77" s="4">
        <v>3904</v>
      </c>
      <c r="EM77" s="4">
        <v>4128</v>
      </c>
      <c r="EN77" s="4">
        <v>4664</v>
      </c>
      <c r="EO77" s="4">
        <v>8180</v>
      </c>
      <c r="EP77" s="4">
        <v>4128</v>
      </c>
      <c r="EQ77" s="4">
        <v>8287</v>
      </c>
      <c r="ER77" s="4">
        <v>46.642111</v>
      </c>
    </row>
    <row r="78" spans="1:148" x14ac:dyDescent="0.2">
      <c r="A78" s="1">
        <v>2022</v>
      </c>
      <c r="B78" s="1" t="str">
        <f t="shared" si="2"/>
        <v>NE</v>
      </c>
      <c r="C78" s="1" t="s">
        <v>540</v>
      </c>
      <c r="D78" s="1" t="s">
        <v>540</v>
      </c>
      <c r="E78" s="1">
        <v>23257</v>
      </c>
      <c r="F78" s="1" t="s">
        <v>2075</v>
      </c>
      <c r="G78" s="1" t="s">
        <v>541</v>
      </c>
      <c r="H78" s="1" t="s">
        <v>542</v>
      </c>
      <c r="I78" s="1">
        <v>21.43</v>
      </c>
      <c r="J78" s="1">
        <v>21.43</v>
      </c>
      <c r="K78" s="1" t="s">
        <v>168</v>
      </c>
      <c r="L78" s="1">
        <v>1</v>
      </c>
      <c r="M78" s="1">
        <v>2015</v>
      </c>
      <c r="N78" s="1">
        <v>2</v>
      </c>
      <c r="O78" s="1">
        <v>1</v>
      </c>
      <c r="P78" s="1" t="str">
        <f t="shared" si="3"/>
        <v>Alto fuste</v>
      </c>
      <c r="Q78" s="2">
        <v>42055</v>
      </c>
      <c r="R78" s="1" t="s">
        <v>169</v>
      </c>
      <c r="S78" s="1" t="s">
        <v>442</v>
      </c>
      <c r="T78" s="1" t="s">
        <v>2268</v>
      </c>
      <c r="U78" s="1" t="s">
        <v>170</v>
      </c>
      <c r="V78" s="1" t="s">
        <v>152</v>
      </c>
      <c r="W78" s="2">
        <v>44565</v>
      </c>
      <c r="X78" s="1" t="s">
        <v>543</v>
      </c>
      <c r="Y78" s="1">
        <v>125.87</v>
      </c>
      <c r="Z78" s="1">
        <v>21.8</v>
      </c>
      <c r="AA78" s="1">
        <v>15</v>
      </c>
      <c r="AB78" s="1">
        <v>14.4</v>
      </c>
      <c r="AC78" s="1">
        <v>0</v>
      </c>
      <c r="AD78" s="3">
        <v>313.92</v>
      </c>
      <c r="AE78" s="3">
        <v>303.22343538866397</v>
      </c>
      <c r="AF78" s="2">
        <v>44565</v>
      </c>
      <c r="AG78" s="1">
        <v>83</v>
      </c>
      <c r="AH78" s="3">
        <v>6.8720054757015703</v>
      </c>
      <c r="AI78" s="4">
        <v>29.9177530060173</v>
      </c>
      <c r="AJ78" s="4">
        <v>15.9739130434783</v>
      </c>
      <c r="AK78" s="4">
        <v>15.5381814236894</v>
      </c>
      <c r="AL78" s="1">
        <v>23</v>
      </c>
      <c r="AM78" s="5">
        <v>758.51656949005803</v>
      </c>
      <c r="AN78" s="4">
        <v>209.09793406239399</v>
      </c>
      <c r="AO78" s="4">
        <v>0.27566692999596398</v>
      </c>
      <c r="AP78" s="1" t="s">
        <v>442</v>
      </c>
      <c r="AQ78" s="1" t="s">
        <v>156</v>
      </c>
      <c r="AR78" s="1" t="s">
        <v>302</v>
      </c>
      <c r="AS78" s="1">
        <v>9</v>
      </c>
      <c r="AT78" s="4">
        <v>0.68266491254105222</v>
      </c>
      <c r="AU78" s="1" t="s">
        <v>544</v>
      </c>
      <c r="AV78" s="1" t="s">
        <v>545</v>
      </c>
      <c r="AW78" s="1">
        <v>2991</v>
      </c>
      <c r="AX78" s="1">
        <v>1833</v>
      </c>
      <c r="AY78" s="1">
        <v>899</v>
      </c>
      <c r="AZ78" s="1">
        <v>236</v>
      </c>
      <c r="BA78" s="1">
        <v>23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4">
        <v>-0.88800000000000001</v>
      </c>
      <c r="BI78" s="4">
        <v>34.706001000000001</v>
      </c>
      <c r="BJ78" s="4">
        <v>18.932503000000001</v>
      </c>
      <c r="BK78" s="4">
        <v>-0.32301600000000003</v>
      </c>
      <c r="BL78" s="4">
        <v>13.254507</v>
      </c>
      <c r="BM78" s="4">
        <v>175.68194299999999</v>
      </c>
      <c r="BN78" s="4">
        <v>0.70009299999999997</v>
      </c>
      <c r="BO78" s="4">
        <v>30.126002</v>
      </c>
      <c r="BP78" s="4">
        <v>-0.52441899999999997</v>
      </c>
      <c r="BQ78" s="4">
        <v>1.5716889999999999</v>
      </c>
      <c r="BR78" s="4">
        <v>11.907742000000001</v>
      </c>
      <c r="BS78" s="4">
        <v>7.306</v>
      </c>
      <c r="BT78" s="4">
        <v>25.135014999999999</v>
      </c>
      <c r="BU78" s="4">
        <v>18.932503000000001</v>
      </c>
      <c r="BV78" s="4">
        <v>7.2100429999999998</v>
      </c>
      <c r="BW78" s="4">
        <v>-1.151491</v>
      </c>
      <c r="BX78" s="4">
        <v>-0.68378000000000005</v>
      </c>
      <c r="BY78" s="4">
        <v>0.38082899999999997</v>
      </c>
      <c r="BZ78" s="4">
        <v>-0.15970699999999999</v>
      </c>
      <c r="CA78" s="4">
        <v>-9.4837000000000005E-2</v>
      </c>
      <c r="CB78" s="4">
        <v>-0.38009999999999999</v>
      </c>
      <c r="CC78" s="4">
        <v>-0.14149999999999999</v>
      </c>
      <c r="CD78" s="4">
        <v>-3.9E-2</v>
      </c>
      <c r="CE78" s="4">
        <v>0.11799999999999999</v>
      </c>
      <c r="CF78" s="4">
        <v>0.218</v>
      </c>
      <c r="CG78" s="4">
        <v>5.1660000000000004</v>
      </c>
      <c r="CH78" s="4">
        <v>20.466000000000001</v>
      </c>
      <c r="CI78" s="4">
        <v>24.812000000000001</v>
      </c>
      <c r="CJ78" s="4">
        <v>27.452998999999998</v>
      </c>
      <c r="CK78" s="4">
        <v>29.099001000000001</v>
      </c>
      <c r="CL78" s="4">
        <v>30.344002</v>
      </c>
      <c r="CM78" s="4">
        <v>31.414000000000001</v>
      </c>
      <c r="CN78" s="4">
        <v>32.737999000000002</v>
      </c>
      <c r="CO78" s="4">
        <v>33.428001000000002</v>
      </c>
      <c r="CP78" s="4">
        <v>34.125503999999999</v>
      </c>
      <c r="CQ78" s="4">
        <v>0.55684999999999996</v>
      </c>
      <c r="CR78" s="4">
        <v>23.109801000000001</v>
      </c>
      <c r="CS78" s="4">
        <v>24.954778999999998</v>
      </c>
      <c r="CT78" s="1">
        <v>1</v>
      </c>
      <c r="CU78" s="1">
        <v>52</v>
      </c>
      <c r="CV78" s="4">
        <v>11.199598999999999</v>
      </c>
      <c r="CW78" s="4">
        <v>1</v>
      </c>
      <c r="CX78" s="4">
        <v>9.6550170000000008</v>
      </c>
      <c r="CY78" s="4">
        <v>93.219344000000007</v>
      </c>
      <c r="CZ78" s="4">
        <v>0.86208600000000002</v>
      </c>
      <c r="DA78" s="4">
        <v>12</v>
      </c>
      <c r="DB78" s="4">
        <v>1.441352</v>
      </c>
      <c r="DC78" s="4">
        <v>5.0593180000000002</v>
      </c>
      <c r="DD78" s="4">
        <v>7.4347310000000002</v>
      </c>
      <c r="DE78" s="4">
        <v>11.199598999999999</v>
      </c>
      <c r="DF78" s="4">
        <v>5.0484179999999999</v>
      </c>
      <c r="DG78" s="4">
        <v>1.4551130000000001</v>
      </c>
      <c r="DH78" s="4">
        <v>0.69441900000000001</v>
      </c>
      <c r="DI78" s="4">
        <v>0.450768</v>
      </c>
      <c r="DJ78" s="4">
        <v>0.28823100000000001</v>
      </c>
      <c r="DK78" s="4">
        <v>0.13755200000000001</v>
      </c>
      <c r="DL78" s="4">
        <v>1</v>
      </c>
      <c r="DM78" s="4">
        <v>1</v>
      </c>
      <c r="DN78" s="4">
        <v>2</v>
      </c>
      <c r="DO78" s="4">
        <v>3</v>
      </c>
      <c r="DP78" s="4">
        <v>4</v>
      </c>
      <c r="DQ78" s="4">
        <v>5</v>
      </c>
      <c r="DR78" s="4">
        <v>7</v>
      </c>
      <c r="DS78" s="4">
        <v>8</v>
      </c>
      <c r="DT78" s="4">
        <v>11</v>
      </c>
      <c r="DU78" s="4">
        <v>14</v>
      </c>
      <c r="DV78" s="4">
        <v>16</v>
      </c>
      <c r="DW78" s="4">
        <v>18</v>
      </c>
      <c r="DX78" s="4">
        <v>24</v>
      </c>
      <c r="DY78" s="4">
        <v>32</v>
      </c>
      <c r="DZ78" s="4">
        <v>44</v>
      </c>
      <c r="EA78" s="4">
        <v>88.979815000000002</v>
      </c>
      <c r="EB78" s="4">
        <v>70.244066000000004</v>
      </c>
      <c r="EC78" s="4">
        <v>114.62084</v>
      </c>
      <c r="ED78" s="4">
        <v>1631</v>
      </c>
      <c r="EE78" s="4">
        <v>2101</v>
      </c>
      <c r="EF78" s="4">
        <v>84.997271999999995</v>
      </c>
      <c r="EG78" s="4">
        <v>100</v>
      </c>
      <c r="EH78" s="4">
        <v>62.153126</v>
      </c>
      <c r="EI78" s="4">
        <v>98.562353999999999</v>
      </c>
      <c r="EJ78" s="4">
        <v>101.41844</v>
      </c>
      <c r="EK78" s="4">
        <v>160.82924199999999</v>
      </c>
      <c r="EL78" s="4">
        <v>1558</v>
      </c>
      <c r="EM78" s="4">
        <v>1833</v>
      </c>
      <c r="EN78" s="4">
        <v>1859</v>
      </c>
      <c r="EO78" s="4">
        <v>2948</v>
      </c>
      <c r="EP78" s="4">
        <v>1833</v>
      </c>
      <c r="EQ78" s="4">
        <v>2991</v>
      </c>
      <c r="ER78" s="4">
        <v>54.546132999999998</v>
      </c>
    </row>
    <row r="79" spans="1:148" x14ac:dyDescent="0.2">
      <c r="A79" s="1">
        <v>2022</v>
      </c>
      <c r="B79" s="1" t="str">
        <f t="shared" si="2"/>
        <v>NE</v>
      </c>
      <c r="C79" s="1" t="s">
        <v>546</v>
      </c>
      <c r="D79" s="1" t="s">
        <v>546</v>
      </c>
      <c r="E79" s="1">
        <v>23260</v>
      </c>
      <c r="F79" s="1" t="s">
        <v>2075</v>
      </c>
      <c r="G79" s="1" t="s">
        <v>541</v>
      </c>
      <c r="H79" s="1" t="s">
        <v>547</v>
      </c>
      <c r="I79" s="1">
        <v>36.15</v>
      </c>
      <c r="J79" s="1">
        <v>36.15</v>
      </c>
      <c r="K79" s="1" t="s">
        <v>168</v>
      </c>
      <c r="L79" s="1">
        <v>1</v>
      </c>
      <c r="M79" s="1">
        <v>2015</v>
      </c>
      <c r="N79" s="1">
        <v>2</v>
      </c>
      <c r="O79" s="1">
        <v>1</v>
      </c>
      <c r="P79" s="1" t="str">
        <f t="shared" si="3"/>
        <v>Alto fuste</v>
      </c>
      <c r="Q79" s="2">
        <v>42083</v>
      </c>
      <c r="R79" s="1" t="s">
        <v>169</v>
      </c>
      <c r="S79" s="1" t="s">
        <v>163</v>
      </c>
      <c r="T79" s="1" t="s">
        <v>2268</v>
      </c>
      <c r="U79" s="1" t="s">
        <v>170</v>
      </c>
      <c r="V79" s="1" t="s">
        <v>152</v>
      </c>
      <c r="W79" s="2">
        <v>44588</v>
      </c>
      <c r="X79" s="1" t="s">
        <v>543</v>
      </c>
      <c r="Y79" s="1">
        <v>125.87</v>
      </c>
      <c r="Z79" s="1">
        <v>21.6</v>
      </c>
      <c r="AA79" s="1">
        <v>18</v>
      </c>
      <c r="AB79" s="1">
        <v>16.3</v>
      </c>
      <c r="AC79" s="1">
        <v>7</v>
      </c>
      <c r="AD79" s="3">
        <v>352.08</v>
      </c>
      <c r="AE79" s="3">
        <v>332.35207220405903</v>
      </c>
      <c r="AF79" s="2">
        <v>44588</v>
      </c>
      <c r="AG79" s="1">
        <v>82</v>
      </c>
      <c r="AH79" s="3">
        <v>6.8583162217659099</v>
      </c>
      <c r="AI79" s="4">
        <v>28.9680106842786</v>
      </c>
      <c r="AJ79" s="4">
        <v>17.926666666666701</v>
      </c>
      <c r="AK79" s="4">
        <v>22.930411287382199</v>
      </c>
      <c r="AL79" s="1">
        <v>30</v>
      </c>
      <c r="AM79" s="5">
        <v>902.65722735077497</v>
      </c>
      <c r="AN79" s="4">
        <v>287.79411840618098</v>
      </c>
      <c r="AO79" s="4">
        <v>0.31882990540144801</v>
      </c>
      <c r="AP79" s="1" t="s">
        <v>163</v>
      </c>
      <c r="AQ79" s="1" t="s">
        <v>156</v>
      </c>
      <c r="AR79" s="1" t="s">
        <v>302</v>
      </c>
      <c r="AS79" s="1">
        <v>9</v>
      </c>
      <c r="AT79" s="4">
        <v>0.81239150461569754</v>
      </c>
      <c r="AU79" s="1" t="s">
        <v>548</v>
      </c>
      <c r="AV79" s="1" t="s">
        <v>549</v>
      </c>
      <c r="AW79" s="1">
        <v>11283</v>
      </c>
      <c r="AX79" s="1">
        <v>6355</v>
      </c>
      <c r="AY79" s="1">
        <v>4058</v>
      </c>
      <c r="AZ79" s="1">
        <v>809</v>
      </c>
      <c r="BA79" s="1">
        <v>61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4">
        <v>-1.601</v>
      </c>
      <c r="BI79" s="4">
        <v>31.518999000000001</v>
      </c>
      <c r="BJ79" s="4">
        <v>14.933350000000001</v>
      </c>
      <c r="BK79" s="4">
        <v>-2.3857E-2</v>
      </c>
      <c r="BL79" s="4">
        <v>12.657607</v>
      </c>
      <c r="BM79" s="4">
        <v>160.215011</v>
      </c>
      <c r="BN79" s="4">
        <v>0.847607</v>
      </c>
      <c r="BO79" s="4">
        <v>27.133500000000002</v>
      </c>
      <c r="BP79" s="4">
        <v>-0.206204</v>
      </c>
      <c r="BQ79" s="4">
        <v>1.228586</v>
      </c>
      <c r="BR79" s="4">
        <v>12.03736</v>
      </c>
      <c r="BS79" s="4">
        <v>8.9030000000000005</v>
      </c>
      <c r="BT79" s="4">
        <v>20.316856000000001</v>
      </c>
      <c r="BU79" s="4">
        <v>14.933350000000001</v>
      </c>
      <c r="BV79" s="4">
        <v>6.8722779999999997</v>
      </c>
      <c r="BW79" s="4">
        <v>-0.27254800000000001</v>
      </c>
      <c r="BX79" s="4">
        <v>-1.1611560000000001</v>
      </c>
      <c r="BY79" s="4">
        <v>0.46019700000000002</v>
      </c>
      <c r="BZ79" s="4">
        <v>-3.9659E-2</v>
      </c>
      <c r="CA79" s="4">
        <v>-0.168962</v>
      </c>
      <c r="CB79" s="4">
        <v>-0.43036000000000002</v>
      </c>
      <c r="CC79" s="4">
        <v>-0.18290000000000001</v>
      </c>
      <c r="CD79" s="4">
        <v>-7.9799999999999996E-2</v>
      </c>
      <c r="CE79" s="4">
        <v>2.9399999999999999E-2</v>
      </c>
      <c r="CF79" s="4">
        <v>8.7999999999999995E-2</v>
      </c>
      <c r="CG79" s="4">
        <v>0.14899999999999999</v>
      </c>
      <c r="CH79" s="4">
        <v>5.9383629999999998</v>
      </c>
      <c r="CI79" s="4">
        <v>20.292998999999998</v>
      </c>
      <c r="CJ79" s="4">
        <v>23.119599999999998</v>
      </c>
      <c r="CK79" s="4">
        <v>26.462999</v>
      </c>
      <c r="CL79" s="4">
        <v>27.221499999999999</v>
      </c>
      <c r="CM79" s="4">
        <v>27.8736</v>
      </c>
      <c r="CN79" s="4">
        <v>29.0718</v>
      </c>
      <c r="CO79" s="4">
        <v>29.745901</v>
      </c>
      <c r="CP79" s="4">
        <v>30.643999000000001</v>
      </c>
      <c r="CQ79" s="4">
        <v>0.499226</v>
      </c>
      <c r="CR79" s="4">
        <v>19.575641000000001</v>
      </c>
      <c r="CS79" s="4">
        <v>21.608125999999999</v>
      </c>
      <c r="CT79" s="1">
        <v>1</v>
      </c>
      <c r="CU79" s="1">
        <v>88</v>
      </c>
      <c r="CV79" s="4">
        <v>23.611184999999999</v>
      </c>
      <c r="CW79" s="4">
        <v>1</v>
      </c>
      <c r="CX79" s="4">
        <v>17.118748</v>
      </c>
      <c r="CY79" s="4">
        <v>293.05152199999998</v>
      </c>
      <c r="CZ79" s="4">
        <v>0.72502699999999998</v>
      </c>
      <c r="DA79" s="4">
        <v>24</v>
      </c>
      <c r="DB79" s="4">
        <v>0.83334799999999998</v>
      </c>
      <c r="DC79" s="4">
        <v>3.2405910000000002</v>
      </c>
      <c r="DD79" s="4">
        <v>13.728629</v>
      </c>
      <c r="DE79" s="4">
        <v>23.611184999999999</v>
      </c>
      <c r="DF79" s="4">
        <v>9.4771970000000003</v>
      </c>
      <c r="DG79" s="4">
        <v>1.6186480000000001</v>
      </c>
      <c r="DH79" s="4">
        <v>0.87836999999999998</v>
      </c>
      <c r="DI79" s="4">
        <v>0.40138600000000002</v>
      </c>
      <c r="DJ79" s="4">
        <v>0.170794</v>
      </c>
      <c r="DK79" s="4">
        <v>9.2683000000000001E-2</v>
      </c>
      <c r="DL79" s="4">
        <v>1</v>
      </c>
      <c r="DM79" s="4">
        <v>2</v>
      </c>
      <c r="DN79" s="4">
        <v>4</v>
      </c>
      <c r="DO79" s="4">
        <v>7</v>
      </c>
      <c r="DP79" s="4">
        <v>9</v>
      </c>
      <c r="DQ79" s="4">
        <v>12</v>
      </c>
      <c r="DR79" s="4">
        <v>16</v>
      </c>
      <c r="DS79" s="4">
        <v>22</v>
      </c>
      <c r="DT79" s="4">
        <v>26</v>
      </c>
      <c r="DU79" s="4">
        <v>31</v>
      </c>
      <c r="DV79" s="4">
        <v>33</v>
      </c>
      <c r="DW79" s="4">
        <v>36</v>
      </c>
      <c r="DX79" s="4">
        <v>47</v>
      </c>
      <c r="DY79" s="4">
        <v>60</v>
      </c>
      <c r="DZ79" s="4">
        <v>71</v>
      </c>
      <c r="EA79" s="4">
        <v>89.284028000000006</v>
      </c>
      <c r="EB79" s="4">
        <v>60.276522</v>
      </c>
      <c r="EC79" s="4">
        <v>107.018096</v>
      </c>
      <c r="ED79" s="4">
        <v>5674</v>
      </c>
      <c r="EE79" s="4">
        <v>6801</v>
      </c>
      <c r="EF79" s="4">
        <v>87.474429999999998</v>
      </c>
      <c r="EG79" s="4">
        <v>99.826908000000003</v>
      </c>
      <c r="EH79" s="4">
        <v>58.087387999999997</v>
      </c>
      <c r="EI79" s="4">
        <v>85.216697999999994</v>
      </c>
      <c r="EJ79" s="4">
        <v>103.131393</v>
      </c>
      <c r="EK79" s="4">
        <v>151.29819000000001</v>
      </c>
      <c r="EL79" s="4">
        <v>5559</v>
      </c>
      <c r="EM79" s="4">
        <v>6344</v>
      </c>
      <c r="EN79" s="4">
        <v>6554</v>
      </c>
      <c r="EO79" s="4">
        <v>9615</v>
      </c>
      <c r="EP79" s="4">
        <v>6355</v>
      </c>
      <c r="EQ79" s="4">
        <v>11283</v>
      </c>
      <c r="ER79" s="4">
        <v>47.826044000000003</v>
      </c>
    </row>
    <row r="80" spans="1:148" x14ac:dyDescent="0.2">
      <c r="A80" s="1">
        <v>2022</v>
      </c>
      <c r="B80" s="1" t="str">
        <f t="shared" si="2"/>
        <v>NE</v>
      </c>
      <c r="C80" s="1" t="s">
        <v>550</v>
      </c>
      <c r="D80" s="1" t="s">
        <v>550</v>
      </c>
      <c r="E80" s="1">
        <v>23263</v>
      </c>
      <c r="F80" s="1" t="s">
        <v>2076</v>
      </c>
      <c r="G80" s="1" t="s">
        <v>551</v>
      </c>
      <c r="H80" s="1" t="s">
        <v>552</v>
      </c>
      <c r="I80" s="1">
        <v>13.76</v>
      </c>
      <c r="J80" s="1">
        <v>13.76</v>
      </c>
      <c r="K80" s="1" t="s">
        <v>184</v>
      </c>
      <c r="L80" s="1">
        <v>1</v>
      </c>
      <c r="M80" s="1">
        <v>2015</v>
      </c>
      <c r="N80" s="1">
        <v>2</v>
      </c>
      <c r="O80" s="1">
        <v>1</v>
      </c>
      <c r="P80" s="1" t="str">
        <f t="shared" si="3"/>
        <v>Alto fuste</v>
      </c>
      <c r="Q80" s="2">
        <v>42153</v>
      </c>
      <c r="R80" s="1" t="s">
        <v>169</v>
      </c>
      <c r="S80" s="1" t="s">
        <v>299</v>
      </c>
      <c r="T80" s="1" t="s">
        <v>2268</v>
      </c>
      <c r="U80" s="1" t="s">
        <v>170</v>
      </c>
      <c r="V80" s="1" t="s">
        <v>152</v>
      </c>
      <c r="W80" s="2">
        <v>44599</v>
      </c>
      <c r="X80" s="1" t="s">
        <v>553</v>
      </c>
      <c r="Y80" s="1">
        <v>58.17</v>
      </c>
      <c r="Z80" s="1">
        <v>19.5</v>
      </c>
      <c r="AA80" s="1">
        <v>20</v>
      </c>
      <c r="AB80" s="1">
        <v>15</v>
      </c>
      <c r="AC80" s="1">
        <v>3</v>
      </c>
      <c r="AD80" s="3">
        <v>292.5</v>
      </c>
      <c r="AE80" s="3">
        <v>274.48340537701301</v>
      </c>
      <c r="AF80" s="2">
        <v>44599</v>
      </c>
      <c r="AG80" s="1">
        <v>81</v>
      </c>
      <c r="AH80" s="3">
        <v>6.6967830253251197</v>
      </c>
      <c r="AI80" s="4">
        <v>35.606236979632499</v>
      </c>
      <c r="AJ80" s="4">
        <v>18.862500000000001</v>
      </c>
      <c r="AK80" s="4">
        <v>32.849254067355801</v>
      </c>
      <c r="AL80" s="1">
        <v>32</v>
      </c>
      <c r="AM80" s="5">
        <v>1165.8263987233299</v>
      </c>
      <c r="AN80" s="4">
        <v>507.336994613608</v>
      </c>
      <c r="AO80" s="4">
        <v>0.43517370611025802</v>
      </c>
      <c r="AP80" s="1" t="s">
        <v>299</v>
      </c>
      <c r="AQ80" s="1" t="s">
        <v>156</v>
      </c>
      <c r="AR80" s="1" t="s">
        <v>302</v>
      </c>
      <c r="AS80" s="1">
        <v>9</v>
      </c>
      <c r="AT80" s="4">
        <v>1.0492437588509969</v>
      </c>
      <c r="AU80" s="1" t="s">
        <v>554</v>
      </c>
      <c r="AV80" s="1" t="s">
        <v>555</v>
      </c>
      <c r="AW80" s="1">
        <v>1806</v>
      </c>
      <c r="AX80" s="1">
        <v>1806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4">
        <v>-0.13300000000000001</v>
      </c>
      <c r="BI80" s="4">
        <v>35.806998999999998</v>
      </c>
      <c r="BJ80" s="4">
        <v>31.741327999999999</v>
      </c>
      <c r="BK80" s="4">
        <v>32.384141999999997</v>
      </c>
      <c r="BL80" s="4">
        <v>5.2176790000000004</v>
      </c>
      <c r="BM80" s="4">
        <v>27.224173</v>
      </c>
      <c r="BN80" s="4">
        <v>0.164381</v>
      </c>
      <c r="BO80" s="4">
        <v>1.7064969999999999</v>
      </c>
      <c r="BP80" s="4">
        <v>-5.152952</v>
      </c>
      <c r="BQ80" s="4">
        <v>30.563732999999999</v>
      </c>
      <c r="BR80" s="4">
        <v>2.1607479999999999</v>
      </c>
      <c r="BS80" s="4">
        <v>0.86049799999999999</v>
      </c>
      <c r="BT80" s="4">
        <v>0.91785799999999995</v>
      </c>
      <c r="BU80" s="4">
        <v>31.741327999999999</v>
      </c>
      <c r="BV80" s="4">
        <v>1.559024</v>
      </c>
      <c r="BW80" s="4">
        <v>-0.82432000000000005</v>
      </c>
      <c r="BX80" s="4">
        <v>0.79025599999999996</v>
      </c>
      <c r="BY80" s="4">
        <v>4.9117000000000001E-2</v>
      </c>
      <c r="BZ80" s="4">
        <v>-0.52874100000000002</v>
      </c>
      <c r="CA80" s="4">
        <v>0.50689200000000001</v>
      </c>
      <c r="CB80" s="4">
        <v>-8.6E-3</v>
      </c>
      <c r="CC80" s="4">
        <v>29.689499000000001</v>
      </c>
      <c r="CD80" s="4">
        <v>30.695499000000002</v>
      </c>
      <c r="CE80" s="4">
        <v>31.504000000000001</v>
      </c>
      <c r="CF80" s="4">
        <v>31.790001</v>
      </c>
      <c r="CG80" s="4">
        <v>32.024002000000003</v>
      </c>
      <c r="CH80" s="4">
        <v>32.408000999999999</v>
      </c>
      <c r="CI80" s="4">
        <v>32.716999000000001</v>
      </c>
      <c r="CJ80" s="4">
        <v>33.000999</v>
      </c>
      <c r="CK80" s="4">
        <v>33.313999000000003</v>
      </c>
      <c r="CL80" s="4">
        <v>33.496498000000003</v>
      </c>
      <c r="CM80" s="4">
        <v>33.673000000000002</v>
      </c>
      <c r="CN80" s="4">
        <v>34.175499000000002</v>
      </c>
      <c r="CO80" s="4">
        <v>34.617752000000003</v>
      </c>
      <c r="CP80" s="4">
        <v>35.276347999999999</v>
      </c>
      <c r="CQ80" s="4">
        <v>0.886876</v>
      </c>
      <c r="CR80" s="4">
        <v>32.167079999999999</v>
      </c>
      <c r="CS80" s="4">
        <v>32.344945000000003</v>
      </c>
      <c r="CT80" s="1">
        <v>1</v>
      </c>
      <c r="CU80" s="1">
        <v>76</v>
      </c>
      <c r="CV80" s="4">
        <v>32.908084000000002</v>
      </c>
      <c r="CW80" s="4">
        <v>37.904761999999998</v>
      </c>
      <c r="CX80" s="4">
        <v>12.142887999999999</v>
      </c>
      <c r="CY80" s="4">
        <v>147.44971899999999</v>
      </c>
      <c r="CZ80" s="4">
        <v>0.36899399999999999</v>
      </c>
      <c r="DA80" s="4">
        <v>14</v>
      </c>
      <c r="DB80" s="4">
        <v>-0.549763</v>
      </c>
      <c r="DC80" s="4">
        <v>3.6715149999999999</v>
      </c>
      <c r="DD80" s="4">
        <v>9.1907859999999992</v>
      </c>
      <c r="DE80" s="4">
        <v>32.908084000000002</v>
      </c>
      <c r="DF80" s="4">
        <v>6.5929789999999997</v>
      </c>
      <c r="DG80" s="4">
        <v>-0.94928699999999999</v>
      </c>
      <c r="DH80" s="4">
        <v>1.1960820000000001</v>
      </c>
      <c r="DI80" s="4">
        <v>0.200345</v>
      </c>
      <c r="DJ80" s="4">
        <v>-0.143984</v>
      </c>
      <c r="DK80" s="4">
        <v>0.181418</v>
      </c>
      <c r="DL80" s="4">
        <v>2</v>
      </c>
      <c r="DM80" s="4">
        <v>7</v>
      </c>
      <c r="DN80" s="4">
        <v>15</v>
      </c>
      <c r="DO80" s="4">
        <v>24</v>
      </c>
      <c r="DP80" s="4">
        <v>27</v>
      </c>
      <c r="DQ80" s="4">
        <v>30</v>
      </c>
      <c r="DR80" s="4">
        <v>33</v>
      </c>
      <c r="DS80" s="4">
        <v>35</v>
      </c>
      <c r="DT80" s="4">
        <v>37</v>
      </c>
      <c r="DU80" s="4">
        <v>39</v>
      </c>
      <c r="DV80" s="4">
        <v>41</v>
      </c>
      <c r="DW80" s="4">
        <v>42</v>
      </c>
      <c r="DX80" s="4">
        <v>45</v>
      </c>
      <c r="DY80" s="4">
        <v>49</v>
      </c>
      <c r="DZ80" s="4">
        <v>62.949950999999999</v>
      </c>
      <c r="EA80" s="4">
        <v>97.840531999999996</v>
      </c>
      <c r="EB80" s="4">
        <v>97.840531999999996</v>
      </c>
      <c r="EC80" s="4">
        <v>97.840531999999996</v>
      </c>
      <c r="ED80" s="4">
        <v>1767</v>
      </c>
      <c r="EE80" s="4">
        <v>1767</v>
      </c>
      <c r="EF80" s="4">
        <v>75.581395000000001</v>
      </c>
      <c r="EG80" s="4">
        <v>60.797342</v>
      </c>
      <c r="EH80" s="4">
        <v>75.581395000000001</v>
      </c>
      <c r="EI80" s="4">
        <v>60.797342</v>
      </c>
      <c r="EJ80" s="4">
        <v>75.581395000000001</v>
      </c>
      <c r="EK80" s="4">
        <v>60.797342</v>
      </c>
      <c r="EL80" s="4">
        <v>1365</v>
      </c>
      <c r="EM80" s="4">
        <v>1098</v>
      </c>
      <c r="EN80" s="4">
        <v>1365</v>
      </c>
      <c r="EO80" s="4">
        <v>1098</v>
      </c>
      <c r="EP80" s="4">
        <v>1806</v>
      </c>
      <c r="EQ80" s="4">
        <v>1806</v>
      </c>
      <c r="ER80" s="4">
        <v>88.915857000000003</v>
      </c>
    </row>
    <row r="81" spans="1:148" x14ac:dyDescent="0.2">
      <c r="A81" s="1">
        <v>2022</v>
      </c>
      <c r="B81" s="1" t="str">
        <f t="shared" si="2"/>
        <v>NE</v>
      </c>
      <c r="C81" s="1" t="s">
        <v>556</v>
      </c>
      <c r="D81" s="1" t="s">
        <v>556</v>
      </c>
      <c r="E81" s="1">
        <v>23264</v>
      </c>
      <c r="F81" s="1" t="s">
        <v>2076</v>
      </c>
      <c r="G81" s="1" t="s">
        <v>551</v>
      </c>
      <c r="H81" s="1" t="s">
        <v>557</v>
      </c>
      <c r="I81" s="1">
        <v>28.21</v>
      </c>
      <c r="J81" s="1">
        <v>28.21</v>
      </c>
      <c r="K81" s="1" t="s">
        <v>184</v>
      </c>
      <c r="L81" s="1">
        <v>1</v>
      </c>
      <c r="M81" s="1">
        <v>2015</v>
      </c>
      <c r="N81" s="1">
        <v>2</v>
      </c>
      <c r="O81" s="1">
        <v>1</v>
      </c>
      <c r="P81" s="1" t="str">
        <f t="shared" si="3"/>
        <v>Alto fuste</v>
      </c>
      <c r="Q81" s="2">
        <v>42150</v>
      </c>
      <c r="R81" s="1" t="s">
        <v>169</v>
      </c>
      <c r="S81" s="1" t="s">
        <v>287</v>
      </c>
      <c r="T81" s="1" t="s">
        <v>2268</v>
      </c>
      <c r="U81" s="1" t="s">
        <v>170</v>
      </c>
      <c r="V81" s="1" t="s">
        <v>152</v>
      </c>
      <c r="W81" s="2">
        <v>44599</v>
      </c>
      <c r="X81" s="1" t="s">
        <v>553</v>
      </c>
      <c r="Y81" s="1">
        <v>58.17</v>
      </c>
      <c r="Z81" s="1">
        <v>21.3</v>
      </c>
      <c r="AA81" s="1">
        <v>19</v>
      </c>
      <c r="AB81" s="1">
        <v>15</v>
      </c>
      <c r="AC81" s="1">
        <v>0</v>
      </c>
      <c r="AD81" s="3">
        <v>319.5</v>
      </c>
      <c r="AE81" s="3">
        <v>302.09318490398198</v>
      </c>
      <c r="AF81" s="2">
        <v>44599</v>
      </c>
      <c r="AG81" s="1">
        <v>81</v>
      </c>
      <c r="AH81" s="3">
        <v>6.7049965776865204</v>
      </c>
      <c r="AI81" s="4">
        <v>31.432309672922301</v>
      </c>
      <c r="AJ81" s="4">
        <v>17.777142857142898</v>
      </c>
      <c r="AK81" s="4">
        <v>29.3008741163463</v>
      </c>
      <c r="AL81" s="1">
        <v>35</v>
      </c>
      <c r="AM81" s="5">
        <v>1158.5829058382899</v>
      </c>
      <c r="AN81" s="4">
        <v>402.71479734318802</v>
      </c>
      <c r="AO81" s="4">
        <v>0.34759255924961502</v>
      </c>
      <c r="AP81" s="1" t="s">
        <v>287</v>
      </c>
      <c r="AQ81" s="1" t="s">
        <v>156</v>
      </c>
      <c r="AR81" s="1" t="s">
        <v>302</v>
      </c>
      <c r="AS81" s="1">
        <v>9</v>
      </c>
      <c r="AT81" s="4">
        <v>1.0427246152544609</v>
      </c>
      <c r="AU81" s="1" t="s">
        <v>558</v>
      </c>
      <c r="AV81" s="1" t="s">
        <v>559</v>
      </c>
      <c r="AW81" s="1">
        <v>1937</v>
      </c>
      <c r="AX81" s="1">
        <v>1937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4">
        <v>-0.32300000000000001</v>
      </c>
      <c r="BI81" s="4">
        <v>34.276001000000001</v>
      </c>
      <c r="BJ81" s="4">
        <v>29.479516</v>
      </c>
      <c r="BK81" s="4">
        <v>30.980858000000001</v>
      </c>
      <c r="BL81" s="4">
        <v>6.5078889999999996</v>
      </c>
      <c r="BM81" s="4">
        <v>42.352625000000003</v>
      </c>
      <c r="BN81" s="4">
        <v>0.22076000000000001</v>
      </c>
      <c r="BO81" s="4">
        <v>1.5739989999999999</v>
      </c>
      <c r="BP81" s="4">
        <v>-3.869129</v>
      </c>
      <c r="BQ81" s="4">
        <v>17.446711000000001</v>
      </c>
      <c r="BR81" s="4">
        <v>3.2729910000000002</v>
      </c>
      <c r="BS81" s="4">
        <v>0.78700099999999995</v>
      </c>
      <c r="BT81" s="4">
        <v>0.80214300000000005</v>
      </c>
      <c r="BU81" s="4">
        <v>29.479516</v>
      </c>
      <c r="BV81" s="4">
        <v>2.1537190000000002</v>
      </c>
      <c r="BW81" s="4">
        <v>-1.295153</v>
      </c>
      <c r="BX81" s="4">
        <v>1.097799</v>
      </c>
      <c r="BY81" s="4">
        <v>7.3057999999999998E-2</v>
      </c>
      <c r="BZ81" s="4">
        <v>-0.60135700000000003</v>
      </c>
      <c r="CA81" s="4">
        <v>0.50972300000000004</v>
      </c>
      <c r="CB81" s="4">
        <v>-6.9120000000000001E-2</v>
      </c>
      <c r="CC81" s="4">
        <v>19.430201</v>
      </c>
      <c r="CD81" s="4">
        <v>27.153998999999999</v>
      </c>
      <c r="CE81" s="4">
        <v>30.045601000000001</v>
      </c>
      <c r="CF81" s="4">
        <v>30.337</v>
      </c>
      <c r="CG81" s="4">
        <v>30.521799000000001</v>
      </c>
      <c r="CH81" s="4">
        <v>30.834399999999999</v>
      </c>
      <c r="CI81" s="4">
        <v>31.106000999999999</v>
      </c>
      <c r="CJ81" s="4">
        <v>31.382000000000001</v>
      </c>
      <c r="CK81" s="4">
        <v>31.702000000000002</v>
      </c>
      <c r="CL81" s="4">
        <v>31.910999</v>
      </c>
      <c r="CM81" s="4">
        <v>32.106400000000001</v>
      </c>
      <c r="CN81" s="4">
        <v>32.589801999999999</v>
      </c>
      <c r="CO81" s="4">
        <v>32.985199000000001</v>
      </c>
      <c r="CP81" s="4">
        <v>33.689922000000003</v>
      </c>
      <c r="CQ81" s="4">
        <v>0.86136900000000005</v>
      </c>
      <c r="CR81" s="4">
        <v>30.188948</v>
      </c>
      <c r="CS81" s="4">
        <v>30.472767000000001</v>
      </c>
      <c r="CT81" s="1">
        <v>1</v>
      </c>
      <c r="CU81" s="1">
        <v>33</v>
      </c>
      <c r="CV81" s="4">
        <v>12.833247</v>
      </c>
      <c r="CW81" s="4">
        <v>12.682539999999999</v>
      </c>
      <c r="CX81" s="4">
        <v>5.5587179999999998</v>
      </c>
      <c r="CY81" s="4">
        <v>30.899349000000001</v>
      </c>
      <c r="CZ81" s="4">
        <v>0.43314999999999998</v>
      </c>
      <c r="DA81" s="4">
        <v>7</v>
      </c>
      <c r="DB81" s="4">
        <v>-8.8371000000000005E-2</v>
      </c>
      <c r="DC81" s="4">
        <v>3.0565760000000002</v>
      </c>
      <c r="DD81" s="4">
        <v>4.3282689999999997</v>
      </c>
      <c r="DE81" s="4">
        <v>12.833247</v>
      </c>
      <c r="DF81" s="4">
        <v>3.1079330000000001</v>
      </c>
      <c r="DG81" s="4">
        <v>-0.13298499999999999</v>
      </c>
      <c r="DH81" s="4">
        <v>0.45707599999999998</v>
      </c>
      <c r="DI81" s="4">
        <v>0.242178</v>
      </c>
      <c r="DJ81" s="4">
        <v>-4.2789000000000001E-2</v>
      </c>
      <c r="DK81" s="4">
        <v>0.147067</v>
      </c>
      <c r="DL81" s="4">
        <v>1</v>
      </c>
      <c r="DM81" s="4">
        <v>2</v>
      </c>
      <c r="DN81" s="4">
        <v>5</v>
      </c>
      <c r="DO81" s="4">
        <v>8</v>
      </c>
      <c r="DP81" s="4">
        <v>9</v>
      </c>
      <c r="DQ81" s="4">
        <v>10</v>
      </c>
      <c r="DR81" s="4">
        <v>12</v>
      </c>
      <c r="DS81" s="4">
        <v>13</v>
      </c>
      <c r="DT81" s="4">
        <v>14</v>
      </c>
      <c r="DU81" s="4">
        <v>16</v>
      </c>
      <c r="DV81" s="4">
        <v>16</v>
      </c>
      <c r="DW81" s="4">
        <v>17</v>
      </c>
      <c r="DX81" s="4">
        <v>19</v>
      </c>
      <c r="DY81" s="4">
        <v>22</v>
      </c>
      <c r="DZ81" s="4">
        <v>26</v>
      </c>
      <c r="EA81" s="4">
        <v>95.921527999999995</v>
      </c>
      <c r="EB81" s="4">
        <v>95.921527999999995</v>
      </c>
      <c r="EC81" s="4">
        <v>95.921527999999995</v>
      </c>
      <c r="ED81" s="4">
        <v>1858</v>
      </c>
      <c r="EE81" s="4">
        <v>1858</v>
      </c>
      <c r="EF81" s="4">
        <v>83.582859999999997</v>
      </c>
      <c r="EG81" s="4">
        <v>54.878678000000001</v>
      </c>
      <c r="EH81" s="4">
        <v>83.582859999999997</v>
      </c>
      <c r="EI81" s="4">
        <v>54.878678000000001</v>
      </c>
      <c r="EJ81" s="4">
        <v>83.582859999999997</v>
      </c>
      <c r="EK81" s="4">
        <v>54.878678000000001</v>
      </c>
      <c r="EL81" s="4">
        <v>1619</v>
      </c>
      <c r="EM81" s="4">
        <v>1063</v>
      </c>
      <c r="EN81" s="4">
        <v>1619</v>
      </c>
      <c r="EO81" s="4">
        <v>1063</v>
      </c>
      <c r="EP81" s="4">
        <v>1937</v>
      </c>
      <c r="EQ81" s="4">
        <v>1937</v>
      </c>
      <c r="ER81" s="4">
        <v>86.323761000000005</v>
      </c>
    </row>
    <row r="82" spans="1:148" x14ac:dyDescent="0.2">
      <c r="A82" s="1">
        <v>2022</v>
      </c>
      <c r="B82" s="1" t="str">
        <f t="shared" si="2"/>
        <v>NE</v>
      </c>
      <c r="C82" s="1" t="s">
        <v>560</v>
      </c>
      <c r="D82" s="1" t="s">
        <v>560</v>
      </c>
      <c r="E82" s="1">
        <v>23266</v>
      </c>
      <c r="F82" s="1" t="s">
        <v>2076</v>
      </c>
      <c r="G82" s="1" t="s">
        <v>551</v>
      </c>
      <c r="H82" s="1" t="s">
        <v>561</v>
      </c>
      <c r="I82" s="1">
        <v>11.16</v>
      </c>
      <c r="J82" s="1">
        <v>11.16</v>
      </c>
      <c r="K82" s="1" t="s">
        <v>184</v>
      </c>
      <c r="L82" s="1">
        <v>1</v>
      </c>
      <c r="M82" s="1">
        <v>2015</v>
      </c>
      <c r="N82" s="1">
        <v>2</v>
      </c>
      <c r="O82" s="1">
        <v>1</v>
      </c>
      <c r="P82" s="1" t="str">
        <f t="shared" si="3"/>
        <v>Alto fuste</v>
      </c>
      <c r="Q82" s="2">
        <v>42157</v>
      </c>
      <c r="R82" s="1" t="s">
        <v>169</v>
      </c>
      <c r="S82" s="1" t="s">
        <v>442</v>
      </c>
      <c r="T82" s="1" t="s">
        <v>2268</v>
      </c>
      <c r="U82" s="1" t="s">
        <v>170</v>
      </c>
      <c r="V82" s="1" t="s">
        <v>152</v>
      </c>
      <c r="W82" s="2">
        <v>44599</v>
      </c>
      <c r="X82" s="1" t="s">
        <v>553</v>
      </c>
      <c r="Y82" s="1">
        <v>58.17</v>
      </c>
      <c r="Z82" s="1">
        <v>21</v>
      </c>
      <c r="AA82" s="1">
        <v>19</v>
      </c>
      <c r="AB82" s="1">
        <v>15</v>
      </c>
      <c r="AC82" s="1">
        <v>1</v>
      </c>
      <c r="AD82" s="3">
        <v>315</v>
      </c>
      <c r="AE82" s="3">
        <v>297.79298909026699</v>
      </c>
      <c r="AF82" s="2">
        <v>44599</v>
      </c>
      <c r="AG82" s="1">
        <v>80</v>
      </c>
      <c r="AH82" s="3">
        <v>6.6858316221765897</v>
      </c>
      <c r="AI82" s="4">
        <v>30.400234078700699</v>
      </c>
      <c r="AJ82" s="4">
        <v>16.948571428571402</v>
      </c>
      <c r="AK82" s="4">
        <v>26.748843733004598</v>
      </c>
      <c r="AL82" s="1">
        <v>35</v>
      </c>
      <c r="AM82" s="5">
        <v>1175.3130960847</v>
      </c>
      <c r="AN82" s="4">
        <v>351.49605443075001</v>
      </c>
      <c r="AO82" s="4">
        <v>0.29906588772105203</v>
      </c>
      <c r="AP82" s="1" t="s">
        <v>442</v>
      </c>
      <c r="AQ82" s="1" t="s">
        <v>156</v>
      </c>
      <c r="AR82" s="1" t="s">
        <v>564</v>
      </c>
      <c r="AS82" s="1">
        <v>9</v>
      </c>
      <c r="AT82" s="4">
        <v>1.05778178647623</v>
      </c>
      <c r="AU82" s="1" t="s">
        <v>562</v>
      </c>
      <c r="AV82" s="1" t="s">
        <v>563</v>
      </c>
      <c r="AW82" s="1">
        <v>1783</v>
      </c>
      <c r="AX82" s="1">
        <v>1783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4">
        <v>-0.161</v>
      </c>
      <c r="BI82" s="4">
        <v>31.153998999999999</v>
      </c>
      <c r="BJ82" s="4">
        <v>23.545103000000001</v>
      </c>
      <c r="BK82" s="4">
        <v>-0.161</v>
      </c>
      <c r="BL82" s="4">
        <v>8.7300020000000007</v>
      </c>
      <c r="BM82" s="4">
        <v>76.212933000000007</v>
      </c>
      <c r="BN82" s="4">
        <v>0.370778</v>
      </c>
      <c r="BO82" s="4">
        <v>5.0585000000000004</v>
      </c>
      <c r="BP82" s="4">
        <v>-1.9483889999999999</v>
      </c>
      <c r="BQ82" s="4">
        <v>5.4951569999999998</v>
      </c>
      <c r="BR82" s="4">
        <v>6.1280289999999997</v>
      </c>
      <c r="BS82" s="4">
        <v>2.0499990000000001</v>
      </c>
      <c r="BT82" s="4">
        <v>27.056000000000001</v>
      </c>
      <c r="BU82" s="4">
        <v>23.545103000000001</v>
      </c>
      <c r="BV82" s="4">
        <v>3.9373140000000002</v>
      </c>
      <c r="BW82" s="4">
        <v>-1.90455</v>
      </c>
      <c r="BX82" s="4">
        <v>1.034602</v>
      </c>
      <c r="BY82" s="4">
        <v>0.16722400000000001</v>
      </c>
      <c r="BZ82" s="4">
        <v>-0.48371799999999998</v>
      </c>
      <c r="CA82" s="4">
        <v>0.26276899999999997</v>
      </c>
      <c r="CB82" s="4">
        <v>-8.6360000000000006E-2</v>
      </c>
      <c r="CC82" s="4">
        <v>2E-3</v>
      </c>
      <c r="CD82" s="4">
        <v>4.4671989999999999</v>
      </c>
      <c r="CE82" s="4">
        <v>21.168399999999998</v>
      </c>
      <c r="CF82" s="4">
        <v>23.5625</v>
      </c>
      <c r="CG82" s="4">
        <v>24.698799000000001</v>
      </c>
      <c r="CH82" s="4">
        <v>26.3538</v>
      </c>
      <c r="CI82" s="4">
        <v>26.895</v>
      </c>
      <c r="CJ82" s="4">
        <v>27.41</v>
      </c>
      <c r="CK82" s="4">
        <v>28.159800000000001</v>
      </c>
      <c r="CL82" s="4">
        <v>28.620999999999999</v>
      </c>
      <c r="CM82" s="4">
        <v>28.915199000000001</v>
      </c>
      <c r="CN82" s="4">
        <v>29.537399000000001</v>
      </c>
      <c r="CO82" s="4">
        <v>30.050799999999999</v>
      </c>
      <c r="CP82" s="4">
        <v>30.700240999999998</v>
      </c>
      <c r="CQ82" s="4">
        <v>0.75702100000000005</v>
      </c>
      <c r="CR82" s="4">
        <v>25.110596999999999</v>
      </c>
      <c r="CS82" s="4">
        <v>25.781912999999999</v>
      </c>
      <c r="CT82" s="1">
        <v>1</v>
      </c>
      <c r="CU82" s="1">
        <v>66</v>
      </c>
      <c r="CV82" s="4">
        <v>22.794167000000002</v>
      </c>
      <c r="CW82" s="4">
        <v>1</v>
      </c>
      <c r="CX82" s="4">
        <v>13.461660999999999</v>
      </c>
      <c r="CY82" s="4">
        <v>181.216307</v>
      </c>
      <c r="CZ82" s="4">
        <v>0.59057499999999996</v>
      </c>
      <c r="DA82" s="4">
        <v>17</v>
      </c>
      <c r="DB82" s="4">
        <v>0.69466499999999998</v>
      </c>
      <c r="DC82" s="4">
        <v>3.3895490000000001</v>
      </c>
      <c r="DD82" s="4">
        <v>10.441112</v>
      </c>
      <c r="DE82" s="4">
        <v>22.794167000000002</v>
      </c>
      <c r="DF82" s="4">
        <v>7.4541190000000004</v>
      </c>
      <c r="DG82" s="4">
        <v>0.83843900000000005</v>
      </c>
      <c r="DH82" s="4">
        <v>1.05325</v>
      </c>
      <c r="DI82" s="4">
        <v>0.327019</v>
      </c>
      <c r="DJ82" s="4">
        <v>0.11248</v>
      </c>
      <c r="DK82" s="4">
        <v>0.14129800000000001</v>
      </c>
      <c r="DL82" s="4">
        <v>1</v>
      </c>
      <c r="DM82" s="4">
        <v>3</v>
      </c>
      <c r="DN82" s="4">
        <v>6</v>
      </c>
      <c r="DO82" s="4">
        <v>11</v>
      </c>
      <c r="DP82" s="4">
        <v>13</v>
      </c>
      <c r="DQ82" s="4">
        <v>15</v>
      </c>
      <c r="DR82" s="4">
        <v>18</v>
      </c>
      <c r="DS82" s="4">
        <v>22</v>
      </c>
      <c r="DT82" s="4">
        <v>25</v>
      </c>
      <c r="DU82" s="4">
        <v>28</v>
      </c>
      <c r="DV82" s="4">
        <v>30</v>
      </c>
      <c r="DW82" s="4">
        <v>32</v>
      </c>
      <c r="DX82" s="4">
        <v>40</v>
      </c>
      <c r="DY82" s="4">
        <v>52</v>
      </c>
      <c r="DZ82" s="4">
        <v>60.180053999999998</v>
      </c>
      <c r="EA82" s="4">
        <v>90.241167000000004</v>
      </c>
      <c r="EB82" s="4">
        <v>90.241167000000004</v>
      </c>
      <c r="EC82" s="4">
        <v>90.241167000000004</v>
      </c>
      <c r="ED82" s="4">
        <v>1609</v>
      </c>
      <c r="EE82" s="4">
        <v>1609</v>
      </c>
      <c r="EF82" s="4">
        <v>75.098149000000006</v>
      </c>
      <c r="EG82" s="4">
        <v>99.943915000000004</v>
      </c>
      <c r="EH82" s="4">
        <v>75.098149000000006</v>
      </c>
      <c r="EI82" s="4">
        <v>99.943915000000004</v>
      </c>
      <c r="EJ82" s="4">
        <v>75.098149000000006</v>
      </c>
      <c r="EK82" s="4">
        <v>99.943915000000004</v>
      </c>
      <c r="EL82" s="4">
        <v>1339</v>
      </c>
      <c r="EM82" s="4">
        <v>1782</v>
      </c>
      <c r="EN82" s="4">
        <v>1339</v>
      </c>
      <c r="EO82" s="4">
        <v>1782</v>
      </c>
      <c r="EP82" s="4">
        <v>1783</v>
      </c>
      <c r="EQ82" s="4">
        <v>1783</v>
      </c>
      <c r="ER82" s="4">
        <v>75.729082000000005</v>
      </c>
    </row>
    <row r="83" spans="1:148" x14ac:dyDescent="0.2">
      <c r="A83" s="1">
        <v>2022</v>
      </c>
      <c r="B83" s="1" t="str">
        <f t="shared" si="2"/>
        <v>NE</v>
      </c>
      <c r="C83" s="1" t="s">
        <v>565</v>
      </c>
      <c r="D83" s="1" t="s">
        <v>565</v>
      </c>
      <c r="E83" s="1">
        <v>23274</v>
      </c>
      <c r="F83" s="1" t="s">
        <v>2077</v>
      </c>
      <c r="G83" s="1" t="s">
        <v>566</v>
      </c>
      <c r="H83" s="1" t="s">
        <v>567</v>
      </c>
      <c r="I83" s="1">
        <v>39.76</v>
      </c>
      <c r="J83" s="1">
        <v>39.76</v>
      </c>
      <c r="K83" s="1" t="s">
        <v>168</v>
      </c>
      <c r="L83" s="1">
        <v>1</v>
      </c>
      <c r="M83" s="1">
        <v>2015</v>
      </c>
      <c r="N83" s="1">
        <v>2</v>
      </c>
      <c r="O83" s="1">
        <v>2</v>
      </c>
      <c r="P83" s="1" t="str">
        <f t="shared" si="3"/>
        <v>Talhadia</v>
      </c>
      <c r="Q83" s="2">
        <v>42328</v>
      </c>
      <c r="R83" s="1" t="s">
        <v>306</v>
      </c>
      <c r="S83" s="1" t="s">
        <v>150</v>
      </c>
      <c r="T83" s="1" t="s">
        <v>2268</v>
      </c>
      <c r="U83" s="1" t="s">
        <v>170</v>
      </c>
      <c r="V83" s="1" t="s">
        <v>152</v>
      </c>
      <c r="W83" s="2">
        <v>44595</v>
      </c>
      <c r="X83" s="1" t="s">
        <v>568</v>
      </c>
      <c r="Y83" s="1">
        <v>68.42</v>
      </c>
      <c r="Z83" s="1">
        <v>20.399999999999999</v>
      </c>
      <c r="AA83" s="1">
        <v>21</v>
      </c>
      <c r="AB83" s="1">
        <v>14</v>
      </c>
      <c r="AC83" s="1">
        <v>2</v>
      </c>
      <c r="AD83" s="3">
        <v>285.60000000000002</v>
      </c>
      <c r="AE83" s="3">
        <v>266.46814566859098</v>
      </c>
      <c r="AF83" s="2">
        <v>44595</v>
      </c>
      <c r="AG83" s="1">
        <v>75</v>
      </c>
      <c r="AH83" s="3">
        <v>6.2067077344284698</v>
      </c>
      <c r="AI83" s="4">
        <v>24.8165203277057</v>
      </c>
      <c r="AJ83" s="4">
        <v>17.239999999999998</v>
      </c>
      <c r="AK83" s="4">
        <v>23.541535758108999</v>
      </c>
      <c r="AL83" s="1">
        <v>25</v>
      </c>
      <c r="AM83" s="5">
        <v>938.19844534411095</v>
      </c>
      <c r="AN83" s="4">
        <v>264.41673366232601</v>
      </c>
      <c r="AO83" s="4">
        <v>0.28183454681098202</v>
      </c>
      <c r="AP83" s="1" t="s">
        <v>150</v>
      </c>
      <c r="AQ83" s="1" t="s">
        <v>254</v>
      </c>
      <c r="AR83" s="1" t="s">
        <v>571</v>
      </c>
      <c r="AS83" s="1">
        <v>9.99</v>
      </c>
      <c r="AT83" s="4">
        <v>0.93726024689876686</v>
      </c>
      <c r="AU83" s="1" t="s">
        <v>569</v>
      </c>
      <c r="AV83" s="1" t="s">
        <v>570</v>
      </c>
      <c r="AW83" s="1">
        <v>2328</v>
      </c>
      <c r="AX83" s="1">
        <v>2328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4">
        <v>-0.255</v>
      </c>
      <c r="BI83" s="4">
        <v>31.760999999999999</v>
      </c>
      <c r="BJ83" s="4">
        <v>25.021694</v>
      </c>
      <c r="BK83" s="4">
        <v>28.711856999999998</v>
      </c>
      <c r="BL83" s="4">
        <v>7.3299560000000001</v>
      </c>
      <c r="BM83" s="4">
        <v>53.728257999999997</v>
      </c>
      <c r="BN83" s="4">
        <v>0.29294399999999998</v>
      </c>
      <c r="BO83" s="4">
        <v>4.5685010000000004</v>
      </c>
      <c r="BP83" s="4">
        <v>-2.3872339999999999</v>
      </c>
      <c r="BQ83" s="4">
        <v>8.2050070000000002</v>
      </c>
      <c r="BR83" s="4">
        <v>4.8029260000000003</v>
      </c>
      <c r="BS83" s="4">
        <v>1.9670000000000001</v>
      </c>
      <c r="BT83" s="4">
        <v>1.7544999999999999</v>
      </c>
      <c r="BU83" s="4">
        <v>25.021694</v>
      </c>
      <c r="BV83" s="4">
        <v>3.2404869999999999</v>
      </c>
      <c r="BW83" s="4">
        <v>-1.5212410000000001</v>
      </c>
      <c r="BX83" s="4">
        <v>0.97309800000000002</v>
      </c>
      <c r="BY83" s="4">
        <v>0.12950700000000001</v>
      </c>
      <c r="BZ83" s="4">
        <v>-0.46944799999999998</v>
      </c>
      <c r="CA83" s="4">
        <v>0.30029400000000001</v>
      </c>
      <c r="CB83" s="4">
        <v>-0.10473</v>
      </c>
      <c r="CC83" s="4">
        <v>0.19009999999999999</v>
      </c>
      <c r="CD83" s="4">
        <v>17.009701</v>
      </c>
      <c r="CE83" s="4">
        <v>23.6098</v>
      </c>
      <c r="CF83" s="4">
        <v>24.54175</v>
      </c>
      <c r="CG83" s="4">
        <v>25.423100000000002</v>
      </c>
      <c r="CH83" s="4">
        <v>26.665400000000002</v>
      </c>
      <c r="CI83" s="4">
        <v>27.461500000000001</v>
      </c>
      <c r="CJ83" s="4">
        <v>28.180600999999999</v>
      </c>
      <c r="CK83" s="4">
        <v>28.8325</v>
      </c>
      <c r="CL83" s="4">
        <v>29.110250000000001</v>
      </c>
      <c r="CM83" s="4">
        <v>29.390599999999999</v>
      </c>
      <c r="CN83" s="4">
        <v>30.156099000000001</v>
      </c>
      <c r="CO83" s="4">
        <v>30.640249000000001</v>
      </c>
      <c r="CP83" s="4">
        <v>31.243110999999999</v>
      </c>
      <c r="CQ83" s="4">
        <v>0.78950200000000004</v>
      </c>
      <c r="CR83" s="4">
        <v>26.072790000000001</v>
      </c>
      <c r="CS83" s="4">
        <v>26.569924</v>
      </c>
      <c r="CT83" s="1">
        <v>1</v>
      </c>
      <c r="CU83" s="1">
        <v>57</v>
      </c>
      <c r="CV83" s="4">
        <v>16.051117000000001</v>
      </c>
      <c r="CW83" s="4">
        <v>1</v>
      </c>
      <c r="CX83" s="4">
        <v>10.694349000000001</v>
      </c>
      <c r="CY83" s="4">
        <v>114.36910899999999</v>
      </c>
      <c r="CZ83" s="4">
        <v>0.66626799999999997</v>
      </c>
      <c r="DA83" s="4">
        <v>15</v>
      </c>
      <c r="DB83" s="4">
        <v>0.81454099999999996</v>
      </c>
      <c r="DC83" s="4">
        <v>3.6644800000000002</v>
      </c>
      <c r="DD83" s="4">
        <v>8.6532409999999995</v>
      </c>
      <c r="DE83" s="4">
        <v>16.051117000000001</v>
      </c>
      <c r="DF83" s="4">
        <v>5.9351789999999998</v>
      </c>
      <c r="DG83" s="4">
        <v>0.83617300000000006</v>
      </c>
      <c r="DH83" s="4">
        <v>0.51436700000000002</v>
      </c>
      <c r="DI83" s="4">
        <v>0.36976700000000001</v>
      </c>
      <c r="DJ83" s="4">
        <v>0.14088400000000001</v>
      </c>
      <c r="DK83" s="4">
        <v>8.6664000000000005E-2</v>
      </c>
      <c r="DL83" s="4">
        <v>1</v>
      </c>
      <c r="DM83" s="4">
        <v>2</v>
      </c>
      <c r="DN83" s="4">
        <v>3</v>
      </c>
      <c r="DO83" s="4">
        <v>6</v>
      </c>
      <c r="DP83" s="4">
        <v>8</v>
      </c>
      <c r="DQ83" s="4">
        <v>9</v>
      </c>
      <c r="DR83" s="4">
        <v>12</v>
      </c>
      <c r="DS83" s="4">
        <v>14.5</v>
      </c>
      <c r="DT83" s="4">
        <v>18</v>
      </c>
      <c r="DU83" s="4">
        <v>22</v>
      </c>
      <c r="DV83" s="4">
        <v>23</v>
      </c>
      <c r="DW83" s="4">
        <v>25</v>
      </c>
      <c r="DX83" s="4">
        <v>30</v>
      </c>
      <c r="DY83" s="4">
        <v>34</v>
      </c>
      <c r="DZ83" s="4">
        <v>49</v>
      </c>
      <c r="EA83" s="4">
        <v>94.415807999999998</v>
      </c>
      <c r="EB83" s="4">
        <v>94.415807999999998</v>
      </c>
      <c r="EC83" s="4">
        <v>94.415807999999998</v>
      </c>
      <c r="ED83" s="4">
        <v>2198</v>
      </c>
      <c r="EE83" s="4">
        <v>2198</v>
      </c>
      <c r="EF83" s="4">
        <v>71.778351000000001</v>
      </c>
      <c r="EG83" s="4">
        <v>32.259450000000001</v>
      </c>
      <c r="EH83" s="4">
        <v>71.778351000000001</v>
      </c>
      <c r="EI83" s="4">
        <v>32.259450000000001</v>
      </c>
      <c r="EJ83" s="4">
        <v>71.778351000000001</v>
      </c>
      <c r="EK83" s="4">
        <v>32.259450000000001</v>
      </c>
      <c r="EL83" s="4">
        <v>1671</v>
      </c>
      <c r="EM83" s="4">
        <v>751</v>
      </c>
      <c r="EN83" s="4">
        <v>1671</v>
      </c>
      <c r="EO83" s="4">
        <v>751</v>
      </c>
      <c r="EP83" s="4">
        <v>2328</v>
      </c>
      <c r="EQ83" s="4">
        <v>2328</v>
      </c>
      <c r="ER83" s="4">
        <v>79.120666</v>
      </c>
    </row>
    <row r="84" spans="1:148" x14ac:dyDescent="0.2">
      <c r="A84" s="1">
        <v>2022</v>
      </c>
      <c r="B84" s="1" t="str">
        <f t="shared" si="2"/>
        <v>NE</v>
      </c>
      <c r="C84" s="1" t="s">
        <v>572</v>
      </c>
      <c r="D84" s="1" t="s">
        <v>572</v>
      </c>
      <c r="E84" s="1">
        <v>23275</v>
      </c>
      <c r="F84" s="1" t="s">
        <v>2077</v>
      </c>
      <c r="G84" s="1" t="s">
        <v>566</v>
      </c>
      <c r="H84" s="1" t="s">
        <v>567</v>
      </c>
      <c r="I84" s="1">
        <v>39.76</v>
      </c>
      <c r="J84" s="1">
        <v>39.76</v>
      </c>
      <c r="K84" s="1" t="s">
        <v>168</v>
      </c>
      <c r="L84" s="1">
        <v>1</v>
      </c>
      <c r="M84" s="1">
        <v>2015</v>
      </c>
      <c r="N84" s="1">
        <v>2</v>
      </c>
      <c r="O84" s="1">
        <v>2</v>
      </c>
      <c r="P84" s="1" t="str">
        <f t="shared" si="3"/>
        <v>Talhadia</v>
      </c>
      <c r="Q84" s="2">
        <v>42328</v>
      </c>
      <c r="R84" s="1" t="s">
        <v>306</v>
      </c>
      <c r="S84" s="1" t="s">
        <v>150</v>
      </c>
      <c r="T84" s="1" t="s">
        <v>2268</v>
      </c>
      <c r="U84" s="1" t="s">
        <v>170</v>
      </c>
      <c r="V84" s="1" t="s">
        <v>152</v>
      </c>
      <c r="W84" s="2">
        <v>44595</v>
      </c>
      <c r="X84" s="1" t="s">
        <v>568</v>
      </c>
      <c r="Y84" s="1">
        <v>68.42</v>
      </c>
      <c r="Z84" s="1">
        <v>19.600000000000001</v>
      </c>
      <c r="AA84" s="1">
        <v>17</v>
      </c>
      <c r="AB84" s="1">
        <v>14.5</v>
      </c>
      <c r="AC84" s="1">
        <v>2</v>
      </c>
      <c r="AD84" s="3">
        <v>284.2</v>
      </c>
      <c r="AE84" s="3">
        <v>271.61624950833999</v>
      </c>
      <c r="AF84" s="2">
        <v>44595</v>
      </c>
      <c r="AG84" s="1">
        <v>75</v>
      </c>
      <c r="AH84" s="3">
        <v>6.2067077344284698</v>
      </c>
      <c r="AI84" s="4">
        <v>24.073881966240801</v>
      </c>
      <c r="AJ84" s="4">
        <v>18.774999999999999</v>
      </c>
      <c r="AK84" s="4">
        <v>21.628820086080498</v>
      </c>
      <c r="AL84" s="1">
        <v>20</v>
      </c>
      <c r="AM84" s="5">
        <v>736.33297110178705</v>
      </c>
      <c r="AN84" s="4">
        <v>227.03863612547701</v>
      </c>
      <c r="AO84" s="4">
        <v>0.30833691418945303</v>
      </c>
      <c r="AP84" s="1" t="s">
        <v>150</v>
      </c>
      <c r="AQ84" s="1" t="s">
        <v>254</v>
      </c>
      <c r="AR84" s="1" t="s">
        <v>571</v>
      </c>
      <c r="AS84" s="1">
        <v>9.99</v>
      </c>
      <c r="AT84" s="4">
        <v>0.73559663813068532</v>
      </c>
      <c r="AU84" s="1" t="s">
        <v>573</v>
      </c>
      <c r="AV84" s="1" t="s">
        <v>574</v>
      </c>
      <c r="AW84" s="1">
        <v>2798</v>
      </c>
      <c r="AX84" s="1">
        <v>2798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4">
        <v>-0.371</v>
      </c>
      <c r="BI84" s="4">
        <v>29.285999</v>
      </c>
      <c r="BJ84" s="4">
        <v>21.364411</v>
      </c>
      <c r="BK84" s="4">
        <v>25.520030999999999</v>
      </c>
      <c r="BL84" s="4">
        <v>8.0111229999999995</v>
      </c>
      <c r="BM84" s="4">
        <v>64.178090999999995</v>
      </c>
      <c r="BN84" s="4">
        <v>0.374975</v>
      </c>
      <c r="BO84" s="4">
        <v>4.4632490000000002</v>
      </c>
      <c r="BP84" s="4">
        <v>-1.8846780000000001</v>
      </c>
      <c r="BQ84" s="4">
        <v>5.2796719999999997</v>
      </c>
      <c r="BR84" s="4">
        <v>5.6952809999999996</v>
      </c>
      <c r="BS84" s="4">
        <v>1.7969999999999999</v>
      </c>
      <c r="BT84" s="4">
        <v>1.7010000000000001</v>
      </c>
      <c r="BU84" s="4">
        <v>21.364411</v>
      </c>
      <c r="BV84" s="4">
        <v>3.666728</v>
      </c>
      <c r="BW84" s="4">
        <v>-1.7300489999999999</v>
      </c>
      <c r="BX84" s="4">
        <v>0.92008999999999996</v>
      </c>
      <c r="BY84" s="4">
        <v>0.171628</v>
      </c>
      <c r="BZ84" s="4">
        <v>-0.47182400000000002</v>
      </c>
      <c r="CA84" s="4">
        <v>0.25092999999999999</v>
      </c>
      <c r="CB84" s="4">
        <v>-0.108</v>
      </c>
      <c r="CC84" s="4">
        <v>8.8500000000000002E-3</v>
      </c>
      <c r="CD84" s="4">
        <v>2.6480030000000001</v>
      </c>
      <c r="CE84" s="4">
        <v>19.119399999999999</v>
      </c>
      <c r="CF84" s="4">
        <v>21.47175</v>
      </c>
      <c r="CG84" s="4">
        <v>22.587700000000002</v>
      </c>
      <c r="CH84" s="4">
        <v>23.595400000000001</v>
      </c>
      <c r="CI84" s="4">
        <v>24.556498999999999</v>
      </c>
      <c r="CJ84" s="4">
        <v>25.18</v>
      </c>
      <c r="CK84" s="4">
        <v>25.671901999999999</v>
      </c>
      <c r="CL84" s="4">
        <v>25.934999000000001</v>
      </c>
      <c r="CM84" s="4">
        <v>26.254598999999999</v>
      </c>
      <c r="CN84" s="4">
        <v>27.039300999999998</v>
      </c>
      <c r="CO84" s="4">
        <v>27.483000000000001</v>
      </c>
      <c r="CP84" s="4">
        <v>28.238602</v>
      </c>
      <c r="CQ84" s="4">
        <v>0.73289300000000002</v>
      </c>
      <c r="CR84" s="4">
        <v>22.816511999999999</v>
      </c>
      <c r="CS84" s="4">
        <v>23.449743000000002</v>
      </c>
      <c r="CT84" s="1">
        <v>1</v>
      </c>
      <c r="CU84" s="1">
        <v>84</v>
      </c>
      <c r="CV84" s="4">
        <v>29.031094</v>
      </c>
      <c r="CW84" s="4">
        <v>33.936508000000003</v>
      </c>
      <c r="CX84" s="4">
        <v>17.402183999999998</v>
      </c>
      <c r="CY84" s="4">
        <v>302.83600100000001</v>
      </c>
      <c r="CZ84" s="4">
        <v>0.59943299999999999</v>
      </c>
      <c r="DA84" s="4">
        <v>22</v>
      </c>
      <c r="DB84" s="4">
        <v>0.50283999999999995</v>
      </c>
      <c r="DC84" s="4">
        <v>2.882371</v>
      </c>
      <c r="DD84" s="4">
        <v>13.776686</v>
      </c>
      <c r="DE84" s="4">
        <v>29.031094</v>
      </c>
      <c r="DF84" s="4">
        <v>9.7792840000000005</v>
      </c>
      <c r="DG84" s="4">
        <v>0.87338000000000005</v>
      </c>
      <c r="DH84" s="4">
        <v>1.1378079999999999</v>
      </c>
      <c r="DI84" s="4">
        <v>0.33685599999999999</v>
      </c>
      <c r="DJ84" s="4">
        <v>8.9308999999999999E-2</v>
      </c>
      <c r="DK84" s="4">
        <v>0.11634899999999999</v>
      </c>
      <c r="DL84" s="4">
        <v>1</v>
      </c>
      <c r="DM84" s="4">
        <v>3</v>
      </c>
      <c r="DN84" s="4">
        <v>6</v>
      </c>
      <c r="DO84" s="4">
        <v>13</v>
      </c>
      <c r="DP84" s="4">
        <v>16</v>
      </c>
      <c r="DQ84" s="4">
        <v>19</v>
      </c>
      <c r="DR84" s="4">
        <v>24</v>
      </c>
      <c r="DS84" s="4">
        <v>28</v>
      </c>
      <c r="DT84" s="4">
        <v>32</v>
      </c>
      <c r="DU84" s="4">
        <v>36</v>
      </c>
      <c r="DV84" s="4">
        <v>38</v>
      </c>
      <c r="DW84" s="4">
        <v>41</v>
      </c>
      <c r="DX84" s="4">
        <v>54</v>
      </c>
      <c r="DY84" s="4">
        <v>63</v>
      </c>
      <c r="DZ84" s="4">
        <v>74</v>
      </c>
      <c r="EA84" s="4">
        <v>89.921372000000005</v>
      </c>
      <c r="EB84" s="4">
        <v>89.921372000000005</v>
      </c>
      <c r="EC84" s="4">
        <v>89.921372000000005</v>
      </c>
      <c r="ED84" s="4">
        <v>2516</v>
      </c>
      <c r="EE84" s="4">
        <v>2516</v>
      </c>
      <c r="EF84" s="4">
        <v>75.303787999999997</v>
      </c>
      <c r="EG84" s="4">
        <v>33.345247000000001</v>
      </c>
      <c r="EH84" s="4">
        <v>75.303787999999997</v>
      </c>
      <c r="EI84" s="4">
        <v>33.345247000000001</v>
      </c>
      <c r="EJ84" s="4">
        <v>75.303787999999997</v>
      </c>
      <c r="EK84" s="4">
        <v>33.345247000000001</v>
      </c>
      <c r="EL84" s="4">
        <v>2107</v>
      </c>
      <c r="EM84" s="4">
        <v>933</v>
      </c>
      <c r="EN84" s="4">
        <v>2107</v>
      </c>
      <c r="EO84" s="4">
        <v>933</v>
      </c>
      <c r="EP84" s="4">
        <v>2798</v>
      </c>
      <c r="EQ84" s="4">
        <v>2798</v>
      </c>
      <c r="ER84" s="4">
        <v>74.634688999999995</v>
      </c>
    </row>
    <row r="85" spans="1:148" x14ac:dyDescent="0.2">
      <c r="A85" s="1">
        <v>2022</v>
      </c>
      <c r="B85" s="1" t="str">
        <f t="shared" si="2"/>
        <v>NE</v>
      </c>
      <c r="C85" s="1" t="s">
        <v>575</v>
      </c>
      <c r="D85" s="1" t="s">
        <v>575</v>
      </c>
      <c r="E85" s="1">
        <v>23276</v>
      </c>
      <c r="F85" s="1" t="s">
        <v>2077</v>
      </c>
      <c r="G85" s="1" t="s">
        <v>566</v>
      </c>
      <c r="H85" s="1" t="s">
        <v>567</v>
      </c>
      <c r="I85" s="1">
        <v>39.76</v>
      </c>
      <c r="J85" s="1">
        <v>39.76</v>
      </c>
      <c r="K85" s="1" t="s">
        <v>168</v>
      </c>
      <c r="L85" s="1">
        <v>1</v>
      </c>
      <c r="M85" s="1">
        <v>2015</v>
      </c>
      <c r="N85" s="1">
        <v>2</v>
      </c>
      <c r="O85" s="1">
        <v>2</v>
      </c>
      <c r="P85" s="1" t="str">
        <f t="shared" si="3"/>
        <v>Talhadia</v>
      </c>
      <c r="Q85" s="2">
        <v>42328</v>
      </c>
      <c r="R85" s="1" t="s">
        <v>306</v>
      </c>
      <c r="S85" s="1" t="s">
        <v>150</v>
      </c>
      <c r="T85" s="1" t="s">
        <v>2268</v>
      </c>
      <c r="U85" s="1" t="s">
        <v>170</v>
      </c>
      <c r="V85" s="1" t="s">
        <v>152</v>
      </c>
      <c r="W85" s="2">
        <v>44595</v>
      </c>
      <c r="X85" s="1" t="s">
        <v>568</v>
      </c>
      <c r="Y85" s="1">
        <v>68.42</v>
      </c>
      <c r="Z85" s="1">
        <v>20</v>
      </c>
      <c r="AA85" s="1">
        <v>19</v>
      </c>
      <c r="AB85" s="1">
        <v>14.2</v>
      </c>
      <c r="AC85" s="1">
        <v>2</v>
      </c>
      <c r="AD85" s="3">
        <v>284</v>
      </c>
      <c r="AE85" s="3">
        <v>268.36369590935402</v>
      </c>
      <c r="AF85" s="2">
        <v>44595</v>
      </c>
      <c r="AG85" s="1">
        <v>75</v>
      </c>
      <c r="AH85" s="3">
        <v>6.2067077344284698</v>
      </c>
      <c r="AI85" s="4">
        <v>20.193912123776101</v>
      </c>
      <c r="AJ85" s="4">
        <v>15.6458333333333</v>
      </c>
      <c r="AK85" s="4">
        <v>19.2618032084935</v>
      </c>
      <c r="AL85" s="1">
        <v>24</v>
      </c>
      <c r="AM85" s="5">
        <v>894.30874465622901</v>
      </c>
      <c r="AN85" s="4">
        <v>178.84718583558299</v>
      </c>
      <c r="AO85" s="4">
        <v>0.19998371580759999</v>
      </c>
      <c r="AP85" s="1" t="s">
        <v>150</v>
      </c>
      <c r="AQ85" s="1" t="s">
        <v>254</v>
      </c>
      <c r="AR85" s="1" t="s">
        <v>571</v>
      </c>
      <c r="AS85" s="1">
        <v>9.99</v>
      </c>
      <c r="AT85" s="4">
        <v>0.89341443591157277</v>
      </c>
      <c r="AU85" s="1" t="s">
        <v>576</v>
      </c>
      <c r="AV85" s="1" t="s">
        <v>577</v>
      </c>
      <c r="AW85" s="1">
        <v>2524</v>
      </c>
      <c r="AX85" s="1">
        <v>2524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4">
        <v>-0.24399999999999999</v>
      </c>
      <c r="BI85" s="4">
        <v>27.634001000000001</v>
      </c>
      <c r="BJ85" s="4">
        <v>21.016359000000001</v>
      </c>
      <c r="BK85" s="4">
        <v>-0.24399999999999999</v>
      </c>
      <c r="BL85" s="4">
        <v>7.5584170000000004</v>
      </c>
      <c r="BM85" s="4">
        <v>57.129669999999997</v>
      </c>
      <c r="BN85" s="4">
        <v>0.35964400000000002</v>
      </c>
      <c r="BO85" s="4">
        <v>3.1955010000000001</v>
      </c>
      <c r="BP85" s="4">
        <v>-2.1914639999999999</v>
      </c>
      <c r="BQ85" s="4">
        <v>6.3065110000000004</v>
      </c>
      <c r="BR85" s="4">
        <v>4.8788320000000001</v>
      </c>
      <c r="BS85" s="4">
        <v>1.4920009999999999</v>
      </c>
      <c r="BT85" s="4">
        <v>23.849499000000002</v>
      </c>
      <c r="BU85" s="4">
        <v>21.016359000000001</v>
      </c>
      <c r="BV85" s="4">
        <v>3.173972</v>
      </c>
      <c r="BW85" s="4">
        <v>-1.624798</v>
      </c>
      <c r="BX85" s="4">
        <v>1.036111</v>
      </c>
      <c r="BY85" s="4">
        <v>0.15102399999999999</v>
      </c>
      <c r="BZ85" s="4">
        <v>-0.51191299999999995</v>
      </c>
      <c r="CA85" s="4">
        <v>0.32644000000000001</v>
      </c>
      <c r="CB85" s="4">
        <v>-0.14462</v>
      </c>
      <c r="CC85" s="4">
        <v>-2.2550000000000001E-2</v>
      </c>
      <c r="CD85" s="4">
        <v>0.73729999999999996</v>
      </c>
      <c r="CE85" s="4">
        <v>21.156599</v>
      </c>
      <c r="CF85" s="4">
        <v>21.636748999999998</v>
      </c>
      <c r="CG85" s="4">
        <v>22.152398999999999</v>
      </c>
      <c r="CH85" s="4">
        <v>23.078199000000001</v>
      </c>
      <c r="CI85" s="4">
        <v>23.605498999999998</v>
      </c>
      <c r="CJ85" s="4">
        <v>24.0868</v>
      </c>
      <c r="CK85" s="4">
        <v>24.570098999999999</v>
      </c>
      <c r="CL85" s="4">
        <v>24.832250999999999</v>
      </c>
      <c r="CM85" s="4">
        <v>25.117999999999999</v>
      </c>
      <c r="CN85" s="4">
        <v>25.8368</v>
      </c>
      <c r="CO85" s="4">
        <v>26.368400999999999</v>
      </c>
      <c r="CP85" s="4">
        <v>26.943629999999999</v>
      </c>
      <c r="CQ85" s="4">
        <v>0.76262099999999999</v>
      </c>
      <c r="CR85" s="4">
        <v>22.333704999999998</v>
      </c>
      <c r="CS85" s="4">
        <v>22.854323999999998</v>
      </c>
      <c r="CT85" s="1">
        <v>1</v>
      </c>
      <c r="CU85" s="1">
        <v>83</v>
      </c>
      <c r="CV85" s="4">
        <v>28.151347000000001</v>
      </c>
      <c r="CW85" s="4">
        <v>25.730159</v>
      </c>
      <c r="CX85" s="4">
        <v>15.36103</v>
      </c>
      <c r="CY85" s="4">
        <v>235.961231</v>
      </c>
      <c r="CZ85" s="4">
        <v>0.54565900000000001</v>
      </c>
      <c r="DA85" s="4">
        <v>18</v>
      </c>
      <c r="DB85" s="4">
        <v>0.71479700000000002</v>
      </c>
      <c r="DC85" s="4">
        <v>3.7635339999999999</v>
      </c>
      <c r="DD85" s="4">
        <v>11.731026999999999</v>
      </c>
      <c r="DE85" s="4">
        <v>28.151347000000001</v>
      </c>
      <c r="DF85" s="4">
        <v>8.4562860000000004</v>
      </c>
      <c r="DG85" s="4">
        <v>0.89502400000000004</v>
      </c>
      <c r="DH85" s="4">
        <v>1.378803</v>
      </c>
      <c r="DI85" s="4">
        <v>0.30038700000000002</v>
      </c>
      <c r="DJ85" s="4">
        <v>0.105841</v>
      </c>
      <c r="DK85" s="4">
        <v>0.163051</v>
      </c>
      <c r="DL85" s="4">
        <v>1</v>
      </c>
      <c r="DM85" s="4">
        <v>5</v>
      </c>
      <c r="DN85" s="4">
        <v>9</v>
      </c>
      <c r="DO85" s="4">
        <v>15</v>
      </c>
      <c r="DP85" s="4">
        <v>18</v>
      </c>
      <c r="DQ85" s="4">
        <v>20</v>
      </c>
      <c r="DR85" s="4">
        <v>24</v>
      </c>
      <c r="DS85" s="4">
        <v>27</v>
      </c>
      <c r="DT85" s="4">
        <v>30</v>
      </c>
      <c r="DU85" s="4">
        <v>34</v>
      </c>
      <c r="DV85" s="4">
        <v>36</v>
      </c>
      <c r="DW85" s="4">
        <v>38.400024000000002</v>
      </c>
      <c r="DX85" s="4">
        <v>48</v>
      </c>
      <c r="DY85" s="4">
        <v>58</v>
      </c>
      <c r="DZ85" s="4">
        <v>73</v>
      </c>
      <c r="EA85" s="4">
        <v>89.659271000000004</v>
      </c>
      <c r="EB85" s="4">
        <v>89.659271000000004</v>
      </c>
      <c r="EC85" s="4">
        <v>89.659271000000004</v>
      </c>
      <c r="ED85" s="4">
        <v>2263</v>
      </c>
      <c r="EE85" s="4">
        <v>2263</v>
      </c>
      <c r="EF85" s="4">
        <v>80.744849000000002</v>
      </c>
      <c r="EG85" s="4">
        <v>99.920760999999999</v>
      </c>
      <c r="EH85" s="4">
        <v>80.744849000000002</v>
      </c>
      <c r="EI85" s="4">
        <v>99.920760999999999</v>
      </c>
      <c r="EJ85" s="4">
        <v>80.744849000000002</v>
      </c>
      <c r="EK85" s="4">
        <v>99.920760999999999</v>
      </c>
      <c r="EL85" s="4">
        <v>2038</v>
      </c>
      <c r="EM85" s="4">
        <v>2522</v>
      </c>
      <c r="EN85" s="4">
        <v>2038</v>
      </c>
      <c r="EO85" s="4">
        <v>2522</v>
      </c>
      <c r="EP85" s="4">
        <v>2524</v>
      </c>
      <c r="EQ85" s="4">
        <v>2524</v>
      </c>
      <c r="ER85" s="4">
        <v>77.019751999999997</v>
      </c>
    </row>
    <row r="86" spans="1:148" x14ac:dyDescent="0.2">
      <c r="A86" s="1">
        <v>2022</v>
      </c>
      <c r="B86" s="1" t="str">
        <f t="shared" si="2"/>
        <v>NE</v>
      </c>
      <c r="C86" s="1" t="s">
        <v>578</v>
      </c>
      <c r="D86" s="1" t="s">
        <v>578</v>
      </c>
      <c r="E86" s="1">
        <v>23277</v>
      </c>
      <c r="F86" s="1" t="s">
        <v>2078</v>
      </c>
      <c r="G86" s="1" t="s">
        <v>566</v>
      </c>
      <c r="H86" s="1" t="s">
        <v>579</v>
      </c>
      <c r="I86" s="1">
        <v>38.909999999999997</v>
      </c>
      <c r="J86" s="1">
        <v>38.909999999999997</v>
      </c>
      <c r="K86" s="1" t="s">
        <v>168</v>
      </c>
      <c r="L86" s="1">
        <v>1</v>
      </c>
      <c r="M86" s="1">
        <v>2015</v>
      </c>
      <c r="N86" s="1">
        <v>2</v>
      </c>
      <c r="O86" s="1">
        <v>1</v>
      </c>
      <c r="P86" s="1" t="str">
        <f t="shared" si="3"/>
        <v>Alto fuste</v>
      </c>
      <c r="Q86" s="2">
        <v>42366</v>
      </c>
      <c r="R86" s="1" t="s">
        <v>169</v>
      </c>
      <c r="S86" s="1" t="s">
        <v>287</v>
      </c>
      <c r="T86" s="1" t="s">
        <v>2268</v>
      </c>
      <c r="U86" s="1" t="s">
        <v>170</v>
      </c>
      <c r="V86" s="1" t="s">
        <v>152</v>
      </c>
      <c r="W86" s="2">
        <v>44595</v>
      </c>
      <c r="X86" s="1" t="s">
        <v>568</v>
      </c>
      <c r="Y86" s="1">
        <v>166.95</v>
      </c>
      <c r="Z86" s="1">
        <v>21.3</v>
      </c>
      <c r="AA86" s="1">
        <v>10</v>
      </c>
      <c r="AB86" s="1">
        <v>15</v>
      </c>
      <c r="AC86" s="1">
        <v>4</v>
      </c>
      <c r="AD86" s="3">
        <v>319.5</v>
      </c>
      <c r="AE86" s="3">
        <v>313.87961505767203</v>
      </c>
      <c r="AF86" s="2">
        <v>44595</v>
      </c>
      <c r="AG86" s="1">
        <v>74</v>
      </c>
      <c r="AH86" s="3">
        <v>6.1026694045174503</v>
      </c>
      <c r="AI86" s="4">
        <v>26.346818021325898</v>
      </c>
      <c r="AJ86" s="4">
        <v>17.355882352941201</v>
      </c>
      <c r="AK86" s="4">
        <v>26.551409861915399</v>
      </c>
      <c r="AL86" s="1">
        <v>34</v>
      </c>
      <c r="AM86" s="5">
        <v>1083.21784432394</v>
      </c>
      <c r="AN86" s="4">
        <v>310.18726225605099</v>
      </c>
      <c r="AO86" s="4">
        <v>0.286357230802125</v>
      </c>
      <c r="AP86" s="1" t="s">
        <v>287</v>
      </c>
      <c r="AQ86" s="1" t="s">
        <v>156</v>
      </c>
      <c r="AR86" s="1" t="s">
        <v>302</v>
      </c>
      <c r="AS86" s="1">
        <v>9</v>
      </c>
      <c r="AT86" s="4">
        <v>0.97489605989154604</v>
      </c>
      <c r="AU86" s="1" t="s">
        <v>580</v>
      </c>
      <c r="AV86" s="1" t="s">
        <v>581</v>
      </c>
      <c r="AW86" s="1">
        <v>3042</v>
      </c>
      <c r="AX86" s="1">
        <v>3042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4">
        <v>-1.278</v>
      </c>
      <c r="BI86" s="4">
        <v>29.052</v>
      </c>
      <c r="BJ86" s="4">
        <v>22.640868999999999</v>
      </c>
      <c r="BK86" s="4">
        <v>26.163429000000001</v>
      </c>
      <c r="BL86" s="4">
        <v>4.6190550000000004</v>
      </c>
      <c r="BM86" s="4">
        <v>21.335673</v>
      </c>
      <c r="BN86" s="4">
        <v>0.204014</v>
      </c>
      <c r="BO86" s="4">
        <v>5.7905009999999999</v>
      </c>
      <c r="BP86" s="4">
        <v>-1.980213</v>
      </c>
      <c r="BQ86" s="4">
        <v>9.1678929999999994</v>
      </c>
      <c r="BR86" s="4">
        <v>3.386609</v>
      </c>
      <c r="BS86" s="4">
        <v>2.7835000000000001</v>
      </c>
      <c r="BT86" s="4">
        <v>2.6169280000000001</v>
      </c>
      <c r="BU86" s="4">
        <v>22.640868999999999</v>
      </c>
      <c r="BV86" s="4">
        <v>2.3349950000000002</v>
      </c>
      <c r="BW86" s="4">
        <v>-0.57731100000000002</v>
      </c>
      <c r="BX86" s="4">
        <v>0.358186</v>
      </c>
      <c r="BY86" s="4">
        <v>0.103132</v>
      </c>
      <c r="BZ86" s="4">
        <v>-0.24724299999999999</v>
      </c>
      <c r="CA86" s="4">
        <v>0.15339900000000001</v>
      </c>
      <c r="CB86" s="4">
        <v>1.4089799999999999</v>
      </c>
      <c r="CC86" s="4">
        <v>15.754149999999999</v>
      </c>
      <c r="CD86" s="4">
        <v>18.124300000000002</v>
      </c>
      <c r="CE86" s="4">
        <v>19.591999000000001</v>
      </c>
      <c r="CF86" s="4">
        <v>20.226998999999999</v>
      </c>
      <c r="CG86" s="4">
        <v>20.780901</v>
      </c>
      <c r="CH86" s="4">
        <v>22.489401000000001</v>
      </c>
      <c r="CI86" s="4">
        <v>23.57</v>
      </c>
      <c r="CJ86" s="4">
        <v>24.6614</v>
      </c>
      <c r="CK86" s="4">
        <v>25.650998999999999</v>
      </c>
      <c r="CL86" s="4">
        <v>26.017499999999998</v>
      </c>
      <c r="CM86" s="4">
        <v>26.344798999999998</v>
      </c>
      <c r="CN86" s="4">
        <v>27.086599</v>
      </c>
      <c r="CO86" s="4">
        <v>27.531649000000002</v>
      </c>
      <c r="CP86" s="4">
        <v>28.373981000000001</v>
      </c>
      <c r="CQ86" s="4">
        <v>0.78862100000000002</v>
      </c>
      <c r="CR86" s="4">
        <v>23.107089999999999</v>
      </c>
      <c r="CS86" s="4">
        <v>23.428338</v>
      </c>
      <c r="CT86" s="1">
        <v>1</v>
      </c>
      <c r="CU86" s="1">
        <v>69</v>
      </c>
      <c r="CV86" s="4">
        <v>32.117356999999998</v>
      </c>
      <c r="CW86" s="4">
        <v>27.984127000000001</v>
      </c>
      <c r="CX86" s="4">
        <v>10.813492999999999</v>
      </c>
      <c r="CY86" s="4">
        <v>116.931635</v>
      </c>
      <c r="CZ86" s="4">
        <v>0.33668700000000001</v>
      </c>
      <c r="DA86" s="4">
        <v>11</v>
      </c>
      <c r="DB86" s="4">
        <v>-0.82632399999999995</v>
      </c>
      <c r="DC86" s="4">
        <v>4.056737</v>
      </c>
      <c r="DD86" s="4">
        <v>7.9428530000000004</v>
      </c>
      <c r="DE86" s="4">
        <v>32.117356999999998</v>
      </c>
      <c r="DF86" s="4">
        <v>5.8050870000000003</v>
      </c>
      <c r="DG86" s="4">
        <v>-0.90020599999999995</v>
      </c>
      <c r="DH86" s="4">
        <v>1.1963509999999999</v>
      </c>
      <c r="DI86" s="4">
        <v>0.18074599999999999</v>
      </c>
      <c r="DJ86" s="4">
        <v>-0.15507199999999999</v>
      </c>
      <c r="DK86" s="4">
        <v>0.20608699999999999</v>
      </c>
      <c r="DL86" s="4">
        <v>1</v>
      </c>
      <c r="DM86" s="4">
        <v>8</v>
      </c>
      <c r="DN86" s="4">
        <v>17</v>
      </c>
      <c r="DO86" s="4">
        <v>26</v>
      </c>
      <c r="DP86" s="4">
        <v>28</v>
      </c>
      <c r="DQ86" s="4">
        <v>29</v>
      </c>
      <c r="DR86" s="4">
        <v>32</v>
      </c>
      <c r="DS86" s="4">
        <v>34</v>
      </c>
      <c r="DT86" s="4">
        <v>36</v>
      </c>
      <c r="DU86" s="4">
        <v>38</v>
      </c>
      <c r="DV86" s="4">
        <v>39</v>
      </c>
      <c r="DW86" s="4">
        <v>40</v>
      </c>
      <c r="DX86" s="4">
        <v>44</v>
      </c>
      <c r="DY86" s="4">
        <v>47</v>
      </c>
      <c r="DZ86" s="4">
        <v>52</v>
      </c>
      <c r="EA86" s="4">
        <v>98.849440999999999</v>
      </c>
      <c r="EB86" s="4">
        <v>98.849440999999999</v>
      </c>
      <c r="EC86" s="4">
        <v>98.849440999999999</v>
      </c>
      <c r="ED86" s="4">
        <v>3007</v>
      </c>
      <c r="EE86" s="4">
        <v>3007</v>
      </c>
      <c r="EF86" s="4">
        <v>58.547009000000003</v>
      </c>
      <c r="EG86" s="4">
        <v>23.208416</v>
      </c>
      <c r="EH86" s="4">
        <v>58.547009000000003</v>
      </c>
      <c r="EI86" s="4">
        <v>23.208416</v>
      </c>
      <c r="EJ86" s="4">
        <v>58.547009000000003</v>
      </c>
      <c r="EK86" s="4">
        <v>23.208416</v>
      </c>
      <c r="EL86" s="4">
        <v>1781</v>
      </c>
      <c r="EM86" s="4">
        <v>706</v>
      </c>
      <c r="EN86" s="4">
        <v>1781</v>
      </c>
      <c r="EO86" s="4">
        <v>706</v>
      </c>
      <c r="EP86" s="4">
        <v>3042</v>
      </c>
      <c r="EQ86" s="4">
        <v>3042</v>
      </c>
      <c r="ER86" s="4">
        <v>78.796583999999996</v>
      </c>
    </row>
    <row r="87" spans="1:148" x14ac:dyDescent="0.2">
      <c r="A87" s="1">
        <v>2022</v>
      </c>
      <c r="B87" s="1" t="str">
        <f t="shared" si="2"/>
        <v>NE</v>
      </c>
      <c r="C87" s="1" t="s">
        <v>582</v>
      </c>
      <c r="D87" s="1" t="s">
        <v>582</v>
      </c>
      <c r="E87" s="1">
        <v>23278</v>
      </c>
      <c r="F87" s="1" t="s">
        <v>2078</v>
      </c>
      <c r="G87" s="1" t="s">
        <v>566</v>
      </c>
      <c r="H87" s="1" t="s">
        <v>579</v>
      </c>
      <c r="I87" s="1">
        <v>38.909999999999997</v>
      </c>
      <c r="J87" s="1">
        <v>38.909999999999997</v>
      </c>
      <c r="K87" s="1" t="s">
        <v>168</v>
      </c>
      <c r="L87" s="1">
        <v>1</v>
      </c>
      <c r="M87" s="1">
        <v>2015</v>
      </c>
      <c r="N87" s="1">
        <v>2</v>
      </c>
      <c r="O87" s="1">
        <v>1</v>
      </c>
      <c r="P87" s="1" t="str">
        <f t="shared" si="3"/>
        <v>Alto fuste</v>
      </c>
      <c r="Q87" s="2">
        <v>42366</v>
      </c>
      <c r="R87" s="1" t="s">
        <v>169</v>
      </c>
      <c r="S87" s="1" t="s">
        <v>287</v>
      </c>
      <c r="T87" s="1" t="s">
        <v>2268</v>
      </c>
      <c r="U87" s="1" t="s">
        <v>170</v>
      </c>
      <c r="V87" s="1" t="s">
        <v>152</v>
      </c>
      <c r="W87" s="2">
        <v>44595</v>
      </c>
      <c r="X87" s="1" t="s">
        <v>568</v>
      </c>
      <c r="Y87" s="1">
        <v>166.95</v>
      </c>
      <c r="Z87" s="1">
        <v>19.5</v>
      </c>
      <c r="AA87" s="1">
        <v>22</v>
      </c>
      <c r="AB87" s="1">
        <v>14.5</v>
      </c>
      <c r="AC87" s="1">
        <v>3</v>
      </c>
      <c r="AD87" s="3">
        <v>282.75</v>
      </c>
      <c r="AE87" s="3">
        <v>261.80195201766003</v>
      </c>
      <c r="AF87" s="2">
        <v>44595</v>
      </c>
      <c r="AG87" s="1">
        <v>74</v>
      </c>
      <c r="AH87" s="3">
        <v>6.1026694045174503</v>
      </c>
      <c r="AI87" s="4">
        <v>28.418019617245498</v>
      </c>
      <c r="AJ87" s="4">
        <v>17.306249999999999</v>
      </c>
      <c r="AK87" s="4">
        <v>29.486891191745499</v>
      </c>
      <c r="AL87" s="1">
        <v>32</v>
      </c>
      <c r="AM87" s="5">
        <v>1222.2979910341301</v>
      </c>
      <c r="AN87" s="4">
        <v>371.31902169367902</v>
      </c>
      <c r="AO87" s="4">
        <v>0.30378763968966499</v>
      </c>
      <c r="AP87" s="1" t="s">
        <v>287</v>
      </c>
      <c r="AQ87" s="1" t="s">
        <v>156</v>
      </c>
      <c r="AR87" s="1" t="s">
        <v>302</v>
      </c>
      <c r="AS87" s="1">
        <v>9</v>
      </c>
      <c r="AT87" s="4">
        <v>1.1000681919307171</v>
      </c>
      <c r="AU87" s="1" t="s">
        <v>583</v>
      </c>
      <c r="AV87" s="1" t="s">
        <v>584</v>
      </c>
      <c r="AW87" s="1">
        <v>2873</v>
      </c>
      <c r="AX87" s="1">
        <v>2873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4">
        <v>-0.27900000000000003</v>
      </c>
      <c r="BI87" s="4">
        <v>31.079000000000001</v>
      </c>
      <c r="BJ87" s="4">
        <v>26.576768999999999</v>
      </c>
      <c r="BK87" s="4">
        <v>27.594778000000002</v>
      </c>
      <c r="BL87" s="4">
        <v>5.4819769999999997</v>
      </c>
      <c r="BM87" s="4">
        <v>30.052074000000001</v>
      </c>
      <c r="BN87" s="4">
        <v>0.20627000000000001</v>
      </c>
      <c r="BO87" s="4">
        <v>1.653</v>
      </c>
      <c r="BP87" s="4">
        <v>-3.6097160000000001</v>
      </c>
      <c r="BQ87" s="4">
        <v>15.781103999999999</v>
      </c>
      <c r="BR87" s="4">
        <v>2.7778260000000001</v>
      </c>
      <c r="BS87" s="4">
        <v>0.82599999999999996</v>
      </c>
      <c r="BT87" s="4">
        <v>0.87822100000000003</v>
      </c>
      <c r="BU87" s="4">
        <v>26.576768999999999</v>
      </c>
      <c r="BV87" s="4">
        <v>1.8876409999999999</v>
      </c>
      <c r="BW87" s="4">
        <v>-1.0915079999999999</v>
      </c>
      <c r="BX87" s="4">
        <v>0.93393999999999999</v>
      </c>
      <c r="BY87" s="4">
        <v>7.1026000000000006E-2</v>
      </c>
      <c r="BZ87" s="4">
        <v>-0.57823999999999998</v>
      </c>
      <c r="CA87" s="4">
        <v>0.49476599999999998</v>
      </c>
      <c r="CB87" s="4">
        <v>7.3639999999999997E-2</v>
      </c>
      <c r="CC87" s="4">
        <v>13.953601000000001</v>
      </c>
      <c r="CD87" s="4">
        <v>25.712800999999999</v>
      </c>
      <c r="CE87" s="4">
        <v>26.808001000000001</v>
      </c>
      <c r="CF87" s="4">
        <v>27.075001</v>
      </c>
      <c r="CG87" s="4">
        <v>27.305</v>
      </c>
      <c r="CH87" s="4">
        <v>27.648599999999998</v>
      </c>
      <c r="CI87" s="4">
        <v>27.920999999999999</v>
      </c>
      <c r="CJ87" s="4">
        <v>28.194400999999999</v>
      </c>
      <c r="CK87" s="4">
        <v>28.528998999999999</v>
      </c>
      <c r="CL87" s="4">
        <v>28.728000999999999</v>
      </c>
      <c r="CM87" s="4">
        <v>28.956202000000001</v>
      </c>
      <c r="CN87" s="4">
        <v>29.4238</v>
      </c>
      <c r="CO87" s="4">
        <v>29.7272</v>
      </c>
      <c r="CP87" s="4">
        <v>30.198640999999999</v>
      </c>
      <c r="CQ87" s="4">
        <v>0.85642499999999999</v>
      </c>
      <c r="CR87" s="4">
        <v>27.136068999999999</v>
      </c>
      <c r="CS87" s="4">
        <v>27.400770000000001</v>
      </c>
      <c r="CT87" s="1">
        <v>1</v>
      </c>
      <c r="CU87" s="1">
        <v>79</v>
      </c>
      <c r="CV87" s="4">
        <v>29.805778</v>
      </c>
      <c r="CW87" s="4">
        <v>36.904761999999998</v>
      </c>
      <c r="CX87" s="4">
        <v>14.681122999999999</v>
      </c>
      <c r="CY87" s="4">
        <v>215.53538399999999</v>
      </c>
      <c r="CZ87" s="4">
        <v>0.49256</v>
      </c>
      <c r="DA87" s="4">
        <v>21</v>
      </c>
      <c r="DB87" s="4">
        <v>-1.1297E-2</v>
      </c>
      <c r="DC87" s="4">
        <v>2.5616979999999998</v>
      </c>
      <c r="DD87" s="4">
        <v>12.092157</v>
      </c>
      <c r="DE87" s="4">
        <v>29.805778</v>
      </c>
      <c r="DF87" s="4">
        <v>8.3540010000000002</v>
      </c>
      <c r="DG87" s="4">
        <v>-0.18479100000000001</v>
      </c>
      <c r="DH87" s="4">
        <v>0.74402800000000002</v>
      </c>
      <c r="DI87" s="4">
        <v>0.280281</v>
      </c>
      <c r="DJ87" s="4">
        <v>-2.2120000000000001E-2</v>
      </c>
      <c r="DK87" s="4">
        <v>8.9063000000000003E-2</v>
      </c>
      <c r="DL87" s="4">
        <v>1</v>
      </c>
      <c r="DM87" s="4">
        <v>4</v>
      </c>
      <c r="DN87" s="4">
        <v>9</v>
      </c>
      <c r="DO87" s="4">
        <v>17</v>
      </c>
      <c r="DP87" s="4">
        <v>19</v>
      </c>
      <c r="DQ87" s="4">
        <v>22</v>
      </c>
      <c r="DR87" s="4">
        <v>26</v>
      </c>
      <c r="DS87" s="4">
        <v>31</v>
      </c>
      <c r="DT87" s="4">
        <v>35</v>
      </c>
      <c r="DU87" s="4">
        <v>38</v>
      </c>
      <c r="DV87" s="4">
        <v>40</v>
      </c>
      <c r="DW87" s="4">
        <v>42</v>
      </c>
      <c r="DX87" s="4">
        <v>48</v>
      </c>
      <c r="DY87" s="4">
        <v>53</v>
      </c>
      <c r="DZ87" s="4">
        <v>63.280028999999999</v>
      </c>
      <c r="EA87" s="4">
        <v>97.841977</v>
      </c>
      <c r="EB87" s="4">
        <v>97.841977</v>
      </c>
      <c r="EC87" s="4">
        <v>97.841977</v>
      </c>
      <c r="ED87" s="4">
        <v>2811</v>
      </c>
      <c r="EE87" s="4">
        <v>2811</v>
      </c>
      <c r="EF87" s="4">
        <v>83.605986999999999</v>
      </c>
      <c r="EG87" s="4">
        <v>61.782108999999998</v>
      </c>
      <c r="EH87" s="4">
        <v>83.605986999999999</v>
      </c>
      <c r="EI87" s="4">
        <v>61.782108999999998</v>
      </c>
      <c r="EJ87" s="4">
        <v>83.605986999999999</v>
      </c>
      <c r="EK87" s="4">
        <v>61.782108999999998</v>
      </c>
      <c r="EL87" s="4">
        <v>2402</v>
      </c>
      <c r="EM87" s="4">
        <v>1775</v>
      </c>
      <c r="EN87" s="4">
        <v>2402</v>
      </c>
      <c r="EO87" s="4">
        <v>1775</v>
      </c>
      <c r="EP87" s="4">
        <v>2873</v>
      </c>
      <c r="EQ87" s="4">
        <v>2873</v>
      </c>
      <c r="ER87" s="4">
        <v>87.025553000000002</v>
      </c>
    </row>
    <row r="88" spans="1:148" x14ac:dyDescent="0.2">
      <c r="A88" s="1">
        <v>2022</v>
      </c>
      <c r="B88" s="1" t="str">
        <f t="shared" si="2"/>
        <v>NE</v>
      </c>
      <c r="C88" s="1" t="s">
        <v>585</v>
      </c>
      <c r="D88" s="1" t="s">
        <v>585</v>
      </c>
      <c r="E88" s="1">
        <v>23279</v>
      </c>
      <c r="F88" s="1" t="s">
        <v>2078</v>
      </c>
      <c r="G88" s="1" t="s">
        <v>566</v>
      </c>
      <c r="H88" s="1" t="s">
        <v>586</v>
      </c>
      <c r="I88" s="1">
        <v>12.98</v>
      </c>
      <c r="J88" s="1">
        <v>12.98</v>
      </c>
      <c r="K88" s="1" t="s">
        <v>168</v>
      </c>
      <c r="L88" s="1">
        <v>1</v>
      </c>
      <c r="M88" s="1">
        <v>2015</v>
      </c>
      <c r="N88" s="1">
        <v>2</v>
      </c>
      <c r="O88" s="1">
        <v>1</v>
      </c>
      <c r="P88" s="1" t="str">
        <f t="shared" si="3"/>
        <v>Alto fuste</v>
      </c>
      <c r="Q88" s="2">
        <v>42346</v>
      </c>
      <c r="R88" s="1" t="s">
        <v>169</v>
      </c>
      <c r="S88" s="1" t="s">
        <v>160</v>
      </c>
      <c r="T88" s="1" t="s">
        <v>2268</v>
      </c>
      <c r="U88" s="1" t="s">
        <v>170</v>
      </c>
      <c r="V88" s="1" t="s">
        <v>152</v>
      </c>
      <c r="W88" s="2">
        <v>44595</v>
      </c>
      <c r="X88" s="1" t="s">
        <v>568</v>
      </c>
      <c r="Y88" s="1">
        <v>166.95</v>
      </c>
      <c r="Z88" s="1">
        <v>19.600000000000001</v>
      </c>
      <c r="AA88" s="1">
        <v>15</v>
      </c>
      <c r="AB88" s="1">
        <v>15</v>
      </c>
      <c r="AC88" s="1">
        <v>3</v>
      </c>
      <c r="AD88" s="3">
        <v>294</v>
      </c>
      <c r="AE88" s="3">
        <v>283.59300520325701</v>
      </c>
      <c r="AF88" s="2">
        <v>44595</v>
      </c>
      <c r="AG88" s="1">
        <v>74</v>
      </c>
      <c r="AH88" s="3">
        <v>6.1574264202600997</v>
      </c>
      <c r="AI88" s="4">
        <v>22.176912767254802</v>
      </c>
      <c r="AJ88" s="4">
        <v>14.9034482758621</v>
      </c>
      <c r="AK88" s="4">
        <v>18.033419244213601</v>
      </c>
      <c r="AL88" s="1">
        <v>29</v>
      </c>
      <c r="AM88" s="5">
        <v>1022.5922172944699</v>
      </c>
      <c r="AN88" s="4">
        <v>171.145375701239</v>
      </c>
      <c r="AO88" s="4">
        <v>0.16736424628191399</v>
      </c>
      <c r="AP88" s="1" t="s">
        <v>160</v>
      </c>
      <c r="AQ88" s="1" t="s">
        <v>156</v>
      </c>
      <c r="AR88" s="1" t="s">
        <v>302</v>
      </c>
      <c r="AS88" s="1">
        <v>9</v>
      </c>
      <c r="AT88" s="4">
        <v>0.92033299556502302</v>
      </c>
      <c r="AU88" s="1" t="s">
        <v>587</v>
      </c>
      <c r="AV88" s="1" t="s">
        <v>588</v>
      </c>
      <c r="AW88" s="1">
        <v>2799</v>
      </c>
      <c r="AX88" s="1">
        <v>2799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4">
        <v>-0.192</v>
      </c>
      <c r="BI88" s="4">
        <v>24.49</v>
      </c>
      <c r="BJ88" s="4">
        <v>19.612849000000001</v>
      </c>
      <c r="BK88" s="4">
        <v>22.139333000000001</v>
      </c>
      <c r="BL88" s="4">
        <v>5.7306100000000004</v>
      </c>
      <c r="BM88" s="4">
        <v>32.839888999999999</v>
      </c>
      <c r="BN88" s="4">
        <v>0.29218699999999997</v>
      </c>
      <c r="BO88" s="4">
        <v>2.8380010000000002</v>
      </c>
      <c r="BP88" s="4">
        <v>-2.7413449999999999</v>
      </c>
      <c r="BQ88" s="4">
        <v>9.5357769999999995</v>
      </c>
      <c r="BR88" s="4">
        <v>3.4021520000000001</v>
      </c>
      <c r="BS88" s="4">
        <v>1.216</v>
      </c>
      <c r="BT88" s="4">
        <v>1.0956669999999999</v>
      </c>
      <c r="BU88" s="4">
        <v>19.612849000000001</v>
      </c>
      <c r="BV88" s="4">
        <v>2.3016019999999999</v>
      </c>
      <c r="BW88" s="4">
        <v>-1.185735</v>
      </c>
      <c r="BX88" s="4">
        <v>0.84759499999999999</v>
      </c>
      <c r="BY88" s="4">
        <v>0.117352</v>
      </c>
      <c r="BZ88" s="4">
        <v>-0.51517800000000002</v>
      </c>
      <c r="CA88" s="4">
        <v>0.36826300000000001</v>
      </c>
      <c r="CB88" s="4">
        <v>-9.9080000000000001E-2</v>
      </c>
      <c r="CC88" s="4">
        <v>7.5999999999999998E-2</v>
      </c>
      <c r="CD88" s="4">
        <v>16.994399999999999</v>
      </c>
      <c r="CE88" s="4">
        <v>18.9498</v>
      </c>
      <c r="CF88" s="4">
        <v>19.578499000000001</v>
      </c>
      <c r="CG88" s="4">
        <v>20.108801</v>
      </c>
      <c r="CH88" s="4">
        <v>20.963200000000001</v>
      </c>
      <c r="CI88" s="4">
        <v>21.391999999999999</v>
      </c>
      <c r="CJ88" s="4">
        <v>21.797999999999998</v>
      </c>
      <c r="CK88" s="4">
        <v>22.189001000000001</v>
      </c>
      <c r="CL88" s="4">
        <v>22.416499999999999</v>
      </c>
      <c r="CM88" s="4">
        <v>22.5884</v>
      </c>
      <c r="CN88" s="4">
        <v>23.093201000000001</v>
      </c>
      <c r="CO88" s="4">
        <v>23.528099000000001</v>
      </c>
      <c r="CP88" s="4">
        <v>24.148921999999999</v>
      </c>
      <c r="CQ88" s="4">
        <v>0.8024</v>
      </c>
      <c r="CR88" s="4">
        <v>20.432621000000001</v>
      </c>
      <c r="CS88" s="4">
        <v>20.770123000000002</v>
      </c>
      <c r="CT88" s="1">
        <v>1</v>
      </c>
      <c r="CU88" s="1">
        <v>70</v>
      </c>
      <c r="CV88" s="4">
        <v>27.797070000000001</v>
      </c>
      <c r="CW88" s="4">
        <v>34.952381000000003</v>
      </c>
      <c r="CX88" s="4">
        <v>14.715878999999999</v>
      </c>
      <c r="CY88" s="4">
        <v>216.55708899999999</v>
      </c>
      <c r="CZ88" s="4">
        <v>0.52940399999999999</v>
      </c>
      <c r="DA88" s="4">
        <v>22</v>
      </c>
      <c r="DB88" s="4">
        <v>-3.8804999999999999E-2</v>
      </c>
      <c r="DC88" s="4">
        <v>2.368398</v>
      </c>
      <c r="DD88" s="4">
        <v>12.188217</v>
      </c>
      <c r="DE88" s="4">
        <v>27.797070000000001</v>
      </c>
      <c r="DF88" s="4">
        <v>8.3958469999999998</v>
      </c>
      <c r="DG88" s="4">
        <v>-0.23134399999999999</v>
      </c>
      <c r="DH88" s="4">
        <v>0.63254299999999997</v>
      </c>
      <c r="DI88" s="4">
        <v>0.302041</v>
      </c>
      <c r="DJ88" s="4">
        <v>-2.7555E-2</v>
      </c>
      <c r="DK88" s="4">
        <v>7.5340000000000004E-2</v>
      </c>
      <c r="DL88" s="4">
        <v>1</v>
      </c>
      <c r="DM88" s="4">
        <v>3</v>
      </c>
      <c r="DN88" s="4">
        <v>6</v>
      </c>
      <c r="DO88" s="4">
        <v>14</v>
      </c>
      <c r="DP88" s="4">
        <v>17</v>
      </c>
      <c r="DQ88" s="4">
        <v>20</v>
      </c>
      <c r="DR88" s="4">
        <v>25</v>
      </c>
      <c r="DS88" s="4">
        <v>29</v>
      </c>
      <c r="DT88" s="4">
        <v>33</v>
      </c>
      <c r="DU88" s="4">
        <v>37</v>
      </c>
      <c r="DV88" s="4">
        <v>39</v>
      </c>
      <c r="DW88" s="4">
        <v>41</v>
      </c>
      <c r="DX88" s="4">
        <v>45</v>
      </c>
      <c r="DY88" s="4">
        <v>52</v>
      </c>
      <c r="DZ88" s="4">
        <v>60.020020000000002</v>
      </c>
      <c r="EA88" s="4">
        <v>92.997499000000005</v>
      </c>
      <c r="EB88" s="4">
        <v>92.997499000000005</v>
      </c>
      <c r="EC88" s="4">
        <v>92.997499000000005</v>
      </c>
      <c r="ED88" s="4">
        <v>2603</v>
      </c>
      <c r="EE88" s="4">
        <v>2603</v>
      </c>
      <c r="EF88" s="4">
        <v>74.848159999999993</v>
      </c>
      <c r="EG88" s="4">
        <v>31.797070000000001</v>
      </c>
      <c r="EH88" s="4">
        <v>74.848159999999993</v>
      </c>
      <c r="EI88" s="4">
        <v>31.797070000000001</v>
      </c>
      <c r="EJ88" s="4">
        <v>74.848159999999993</v>
      </c>
      <c r="EK88" s="4">
        <v>31.797070000000001</v>
      </c>
      <c r="EL88" s="4">
        <v>2095</v>
      </c>
      <c r="EM88" s="4">
        <v>890</v>
      </c>
      <c r="EN88" s="4">
        <v>2095</v>
      </c>
      <c r="EO88" s="4">
        <v>890</v>
      </c>
      <c r="EP88" s="4">
        <v>2799</v>
      </c>
      <c r="EQ88" s="4">
        <v>2799</v>
      </c>
      <c r="ER88" s="4">
        <v>80.273877999999996</v>
      </c>
    </row>
    <row r="89" spans="1:148" x14ac:dyDescent="0.2">
      <c r="A89" s="1">
        <v>2022</v>
      </c>
      <c r="B89" s="1" t="str">
        <f t="shared" si="2"/>
        <v>NE</v>
      </c>
      <c r="C89" s="1" t="s">
        <v>589</v>
      </c>
      <c r="D89" s="1" t="s">
        <v>589</v>
      </c>
      <c r="E89" s="1">
        <v>23557</v>
      </c>
      <c r="F89" s="1" t="s">
        <v>2079</v>
      </c>
      <c r="G89" s="1" t="s">
        <v>432</v>
      </c>
      <c r="H89" s="1" t="s">
        <v>590</v>
      </c>
      <c r="I89" s="1">
        <v>37.29</v>
      </c>
      <c r="J89" s="1">
        <v>37.29</v>
      </c>
      <c r="K89" s="1" t="s">
        <v>434</v>
      </c>
      <c r="L89" s="1">
        <v>1</v>
      </c>
      <c r="M89" s="1">
        <v>2015</v>
      </c>
      <c r="N89" s="1">
        <v>3</v>
      </c>
      <c r="O89" s="1">
        <v>1</v>
      </c>
      <c r="P89" s="1" t="str">
        <f t="shared" si="3"/>
        <v>Alto fuste</v>
      </c>
      <c r="Q89" s="2">
        <v>42323</v>
      </c>
      <c r="R89" s="1" t="s">
        <v>169</v>
      </c>
      <c r="S89" s="1" t="s">
        <v>160</v>
      </c>
      <c r="T89" s="1" t="s">
        <v>2268</v>
      </c>
      <c r="U89" s="1" t="s">
        <v>151</v>
      </c>
      <c r="V89" s="1" t="s">
        <v>152</v>
      </c>
      <c r="W89" s="2">
        <v>44720</v>
      </c>
      <c r="X89" s="1" t="s">
        <v>435</v>
      </c>
      <c r="Y89" s="1">
        <v>192.76</v>
      </c>
      <c r="Z89" s="1">
        <v>20.9</v>
      </c>
      <c r="AA89" s="1">
        <v>23</v>
      </c>
      <c r="AB89" s="1">
        <v>13.7</v>
      </c>
      <c r="AC89" s="1">
        <v>0</v>
      </c>
      <c r="AD89" s="3">
        <v>286.33</v>
      </c>
      <c r="AE89" s="3">
        <v>263.56815468903699</v>
      </c>
      <c r="AF89" s="2">
        <v>44720</v>
      </c>
      <c r="AG89" s="1">
        <v>79</v>
      </c>
      <c r="AH89" s="3">
        <v>6.5626283367556502</v>
      </c>
      <c r="AI89" s="4">
        <v>21.9969321959849</v>
      </c>
      <c r="AJ89" s="4">
        <v>13.7692307692308</v>
      </c>
      <c r="AK89" s="4">
        <v>15.2431543269887</v>
      </c>
      <c r="AL89" s="1">
        <v>26</v>
      </c>
      <c r="AM89" s="5">
        <v>986.46211757544495</v>
      </c>
      <c r="AN89" s="4">
        <v>153.79302364645301</v>
      </c>
      <c r="AO89" s="4">
        <v>0.15590362864054999</v>
      </c>
      <c r="AP89" s="1" t="s">
        <v>160</v>
      </c>
      <c r="AQ89" s="1" t="s">
        <v>156</v>
      </c>
      <c r="AR89" s="1" t="s">
        <v>593</v>
      </c>
      <c r="AS89" s="1">
        <v>9</v>
      </c>
      <c r="AT89" s="4">
        <v>0.88781590581790049</v>
      </c>
      <c r="AU89" s="1" t="s">
        <v>591</v>
      </c>
      <c r="AV89" s="1" t="s">
        <v>592</v>
      </c>
      <c r="AW89" s="1">
        <v>1064</v>
      </c>
      <c r="AX89" s="1">
        <v>631</v>
      </c>
      <c r="AY89" s="1">
        <v>428</v>
      </c>
      <c r="AZ89" s="1">
        <v>5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4">
        <v>-0.626</v>
      </c>
      <c r="BI89" s="4">
        <v>25.138999999999999</v>
      </c>
      <c r="BJ89" s="4">
        <v>9.6517009999999992</v>
      </c>
      <c r="BK89" s="4">
        <v>-0.217032</v>
      </c>
      <c r="BL89" s="4">
        <v>10.817053</v>
      </c>
      <c r="BM89" s="4">
        <v>117.00864199999999</v>
      </c>
      <c r="BN89" s="4">
        <v>1.120741</v>
      </c>
      <c r="BO89" s="4">
        <v>22.004749</v>
      </c>
      <c r="BP89" s="4">
        <v>0.30501200000000001</v>
      </c>
      <c r="BQ89" s="4">
        <v>1.1511990000000001</v>
      </c>
      <c r="BR89" s="4">
        <v>10.550401000000001</v>
      </c>
      <c r="BS89" s="4">
        <v>0.70599999999999996</v>
      </c>
      <c r="BT89" s="4">
        <v>0.74903200000000003</v>
      </c>
      <c r="BU89" s="4">
        <v>9.6517009999999992</v>
      </c>
      <c r="BV89" s="4">
        <v>5.5985100000000001</v>
      </c>
      <c r="BW89" s="4">
        <v>0.92473099999999997</v>
      </c>
      <c r="BX89" s="4">
        <v>-1.0534859999999999</v>
      </c>
      <c r="BY89" s="4">
        <v>0.58005399999999996</v>
      </c>
      <c r="BZ89" s="4">
        <v>0.16517499999999999</v>
      </c>
      <c r="CA89" s="4">
        <v>-0.18817300000000001</v>
      </c>
      <c r="CB89" s="4">
        <v>-0.31</v>
      </c>
      <c r="CC89" s="4">
        <v>-0.15684999999999999</v>
      </c>
      <c r="CD89" s="4">
        <v>-7.9000000000000001E-2</v>
      </c>
      <c r="CE89" s="4">
        <v>1.9E-2</v>
      </c>
      <c r="CF89" s="4">
        <v>5.5500000000000001E-2</v>
      </c>
      <c r="CG89" s="4">
        <v>9.4899999999999998E-2</v>
      </c>
      <c r="CH89" s="4">
        <v>0.22539999999999999</v>
      </c>
      <c r="CI89" s="4">
        <v>0.53200000000000003</v>
      </c>
      <c r="CJ89" s="4">
        <v>18.744999</v>
      </c>
      <c r="CK89" s="4">
        <v>21.715600999999999</v>
      </c>
      <c r="CL89" s="4">
        <v>22.060248999999999</v>
      </c>
      <c r="CM89" s="4">
        <v>22.493400999999999</v>
      </c>
      <c r="CN89" s="4">
        <v>23.237499</v>
      </c>
      <c r="CO89" s="4">
        <v>23.669701</v>
      </c>
      <c r="CP89" s="4">
        <v>24.733740000000001</v>
      </c>
      <c r="CQ89" s="4">
        <v>0.39890199999999998</v>
      </c>
      <c r="CR89" s="4">
        <v>14.49324</v>
      </c>
      <c r="CS89" s="4">
        <v>16.714499</v>
      </c>
      <c r="CT89" s="1">
        <v>1</v>
      </c>
      <c r="CU89" s="1">
        <v>40</v>
      </c>
      <c r="CV89" s="4">
        <v>17.274436000000001</v>
      </c>
      <c r="CW89" s="4">
        <v>1</v>
      </c>
      <c r="CX89" s="4">
        <v>10.928394000000001</v>
      </c>
      <c r="CY89" s="4">
        <v>119.429788</v>
      </c>
      <c r="CZ89" s="4">
        <v>0.63263400000000003</v>
      </c>
      <c r="DA89" s="4">
        <v>19</v>
      </c>
      <c r="DB89" s="4">
        <v>0.16158400000000001</v>
      </c>
      <c r="DC89" s="4">
        <v>1.8388930000000001</v>
      </c>
      <c r="DD89" s="4">
        <v>9.5041620000000009</v>
      </c>
      <c r="DE89" s="4">
        <v>17.274436000000001</v>
      </c>
      <c r="DF89" s="4">
        <v>6.2928759999999997</v>
      </c>
      <c r="DG89" s="4">
        <v>0.292958</v>
      </c>
      <c r="DH89" s="4">
        <v>-1.6249E-2</v>
      </c>
      <c r="DI89" s="4">
        <v>0.364288</v>
      </c>
      <c r="DJ89" s="4">
        <v>4.6553999999999998E-2</v>
      </c>
      <c r="DK89" s="4">
        <v>-2.5820000000000001E-3</v>
      </c>
      <c r="DL89" s="4">
        <v>1</v>
      </c>
      <c r="DM89" s="4">
        <v>2</v>
      </c>
      <c r="DN89" s="4">
        <v>3</v>
      </c>
      <c r="DO89" s="4">
        <v>5</v>
      </c>
      <c r="DP89" s="4">
        <v>7</v>
      </c>
      <c r="DQ89" s="4">
        <v>9</v>
      </c>
      <c r="DR89" s="4">
        <v>13</v>
      </c>
      <c r="DS89" s="4">
        <v>17</v>
      </c>
      <c r="DT89" s="4">
        <v>21</v>
      </c>
      <c r="DU89" s="4">
        <v>24</v>
      </c>
      <c r="DV89" s="4">
        <v>26</v>
      </c>
      <c r="DW89" s="4">
        <v>28</v>
      </c>
      <c r="DX89" s="4">
        <v>32</v>
      </c>
      <c r="DY89" s="4">
        <v>36</v>
      </c>
      <c r="DZ89" s="4">
        <v>38.369995000000003</v>
      </c>
      <c r="EA89" s="4">
        <v>74.484944999999996</v>
      </c>
      <c r="EB89" s="4">
        <v>44.642856999999999</v>
      </c>
      <c r="EC89" s="4">
        <v>75.277338</v>
      </c>
      <c r="ED89" s="4">
        <v>470</v>
      </c>
      <c r="EE89" s="4">
        <v>475</v>
      </c>
      <c r="EF89" s="4">
        <v>72.266244</v>
      </c>
      <c r="EG89" s="4">
        <v>100</v>
      </c>
      <c r="EH89" s="4">
        <v>43.139097999999997</v>
      </c>
      <c r="EI89" s="4">
        <v>97.368420999999998</v>
      </c>
      <c r="EJ89" s="4">
        <v>72.741680000000002</v>
      </c>
      <c r="EK89" s="4">
        <v>164.18383499999999</v>
      </c>
      <c r="EL89" s="4">
        <v>456</v>
      </c>
      <c r="EM89" s="4">
        <v>631</v>
      </c>
      <c r="EN89" s="4">
        <v>459</v>
      </c>
      <c r="EO89" s="4">
        <v>1036</v>
      </c>
      <c r="EP89" s="4">
        <v>631</v>
      </c>
      <c r="EQ89" s="4">
        <v>1064</v>
      </c>
      <c r="ER89" s="4">
        <v>38.042656000000001</v>
      </c>
    </row>
    <row r="90" spans="1:148" x14ac:dyDescent="0.2">
      <c r="A90" s="1">
        <v>2022</v>
      </c>
      <c r="B90" s="1" t="str">
        <f t="shared" si="2"/>
        <v>NE</v>
      </c>
      <c r="C90" s="1" t="s">
        <v>594</v>
      </c>
      <c r="D90" s="1" t="s">
        <v>594</v>
      </c>
      <c r="E90" s="1">
        <v>23558</v>
      </c>
      <c r="F90" s="1" t="s">
        <v>2079</v>
      </c>
      <c r="G90" s="1" t="s">
        <v>432</v>
      </c>
      <c r="H90" s="1" t="s">
        <v>590</v>
      </c>
      <c r="I90" s="1">
        <v>37.29</v>
      </c>
      <c r="J90" s="1">
        <v>37.29</v>
      </c>
      <c r="K90" s="1" t="s">
        <v>434</v>
      </c>
      <c r="L90" s="1">
        <v>1</v>
      </c>
      <c r="M90" s="1">
        <v>2015</v>
      </c>
      <c r="N90" s="1">
        <v>3</v>
      </c>
      <c r="O90" s="1">
        <v>1</v>
      </c>
      <c r="P90" s="1" t="str">
        <f t="shared" si="3"/>
        <v>Alto fuste</v>
      </c>
      <c r="Q90" s="2">
        <v>42323</v>
      </c>
      <c r="R90" s="1" t="s">
        <v>169</v>
      </c>
      <c r="S90" s="1" t="s">
        <v>160</v>
      </c>
      <c r="T90" s="1" t="s">
        <v>2268</v>
      </c>
      <c r="U90" s="1" t="s">
        <v>151</v>
      </c>
      <c r="V90" s="1" t="s">
        <v>152</v>
      </c>
      <c r="W90" s="2">
        <v>44720</v>
      </c>
      <c r="X90" s="1" t="s">
        <v>435</v>
      </c>
      <c r="Y90" s="1">
        <v>192.76</v>
      </c>
      <c r="Z90" s="1">
        <v>19.399999999999999</v>
      </c>
      <c r="AA90" s="1">
        <v>34</v>
      </c>
      <c r="AB90" s="1">
        <v>15.5</v>
      </c>
      <c r="AC90" s="1">
        <v>4</v>
      </c>
      <c r="AD90" s="3">
        <v>300.7</v>
      </c>
      <c r="AE90" s="3">
        <v>248.684336263761</v>
      </c>
      <c r="AF90" s="2">
        <v>44720</v>
      </c>
      <c r="AG90" s="1">
        <v>79</v>
      </c>
      <c r="AH90" s="3">
        <v>6.5626283367556502</v>
      </c>
      <c r="AI90" s="4">
        <v>25.579938589750299</v>
      </c>
      <c r="AJ90" s="4">
        <v>16.543749999999999</v>
      </c>
      <c r="AK90" s="4">
        <v>14.1524904270546</v>
      </c>
      <c r="AL90" s="1">
        <v>16</v>
      </c>
      <c r="AM90" s="5">
        <v>643.38591808331603</v>
      </c>
      <c r="AN90" s="4">
        <v>161.06536187653199</v>
      </c>
      <c r="AO90" s="4">
        <v>0.25034020383342398</v>
      </c>
      <c r="AP90" s="1" t="s">
        <v>160</v>
      </c>
      <c r="AQ90" s="1" t="s">
        <v>156</v>
      </c>
      <c r="AR90" s="1" t="s">
        <v>593</v>
      </c>
      <c r="AS90" s="1">
        <v>9</v>
      </c>
      <c r="AT90" s="4">
        <v>0.57904732627498445</v>
      </c>
      <c r="AU90" s="1" t="s">
        <v>595</v>
      </c>
      <c r="AV90" s="1" t="s">
        <v>596</v>
      </c>
      <c r="AW90" s="1">
        <v>4539</v>
      </c>
      <c r="AX90" s="1">
        <v>2463</v>
      </c>
      <c r="AY90" s="1">
        <v>1756</v>
      </c>
      <c r="AZ90" s="1">
        <v>298</v>
      </c>
      <c r="BA90" s="1">
        <v>22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4">
        <v>-1.0149999999999999</v>
      </c>
      <c r="BI90" s="4">
        <v>27.98</v>
      </c>
      <c r="BJ90" s="4">
        <v>11.694691000000001</v>
      </c>
      <c r="BK90" s="4">
        <v>-9.4523999999999997E-2</v>
      </c>
      <c r="BL90" s="4">
        <v>11.304774</v>
      </c>
      <c r="BM90" s="4">
        <v>127.797912</v>
      </c>
      <c r="BN90" s="4">
        <v>0.96665900000000005</v>
      </c>
      <c r="BO90" s="4">
        <v>23.606999999999999</v>
      </c>
      <c r="BP90" s="4">
        <v>0.114104</v>
      </c>
      <c r="BQ90" s="4">
        <v>1.1565620000000001</v>
      </c>
      <c r="BR90" s="4">
        <v>10.915506000000001</v>
      </c>
      <c r="BS90" s="4">
        <v>9.24</v>
      </c>
      <c r="BT90" s="4">
        <v>9.1815230000000003</v>
      </c>
      <c r="BU90" s="4">
        <v>11.694691000000001</v>
      </c>
      <c r="BV90" s="4">
        <v>6.1173450000000003</v>
      </c>
      <c r="BW90" s="4">
        <v>0.450519</v>
      </c>
      <c r="BX90" s="4">
        <v>-1.146849</v>
      </c>
      <c r="BY90" s="4">
        <v>0.52308699999999997</v>
      </c>
      <c r="BZ90" s="4">
        <v>7.3646000000000003E-2</v>
      </c>
      <c r="CA90" s="4">
        <v>-0.187475</v>
      </c>
      <c r="CB90" s="4">
        <v>-0.42133999999999999</v>
      </c>
      <c r="CC90" s="4">
        <v>-0.19500000000000001</v>
      </c>
      <c r="CD90" s="4">
        <v>-6.7000000000000004E-2</v>
      </c>
      <c r="CE90" s="4">
        <v>0.11600000000000001</v>
      </c>
      <c r="CF90" s="4">
        <v>0.2225</v>
      </c>
      <c r="CG90" s="4">
        <v>0.34599999999999997</v>
      </c>
      <c r="CH90" s="4">
        <v>0.86980000000000002</v>
      </c>
      <c r="CI90" s="4">
        <v>9.0869999999999997</v>
      </c>
      <c r="CJ90" s="4">
        <v>19.799202000000001</v>
      </c>
      <c r="CK90" s="4">
        <v>23.293800000000001</v>
      </c>
      <c r="CL90" s="4">
        <v>23.829499999999999</v>
      </c>
      <c r="CM90" s="4">
        <v>24.346599999999999</v>
      </c>
      <c r="CN90" s="4">
        <v>25.319799</v>
      </c>
      <c r="CO90" s="4">
        <v>26.115998999999999</v>
      </c>
      <c r="CP90" s="4">
        <v>27.009620999999999</v>
      </c>
      <c r="CQ90" s="4">
        <v>0.43834099999999998</v>
      </c>
      <c r="CR90" s="4">
        <v>16.264548999999999</v>
      </c>
      <c r="CS90" s="4">
        <v>18.417135999999999</v>
      </c>
      <c r="CT90" s="1">
        <v>1</v>
      </c>
      <c r="CU90" s="1">
        <v>68</v>
      </c>
      <c r="CV90" s="4">
        <v>20.976647</v>
      </c>
      <c r="CW90" s="4">
        <v>1</v>
      </c>
      <c r="CX90" s="4">
        <v>14.970129999999999</v>
      </c>
      <c r="CY90" s="4">
        <v>224.10478699999999</v>
      </c>
      <c r="CZ90" s="4">
        <v>0.71365699999999999</v>
      </c>
      <c r="DA90" s="4">
        <v>26</v>
      </c>
      <c r="DB90" s="4">
        <v>0.44065100000000001</v>
      </c>
      <c r="DC90" s="4">
        <v>2.13476</v>
      </c>
      <c r="DD90" s="4">
        <v>12.903846</v>
      </c>
      <c r="DE90" s="4">
        <v>20.976647</v>
      </c>
      <c r="DF90" s="4">
        <v>8.5181730000000009</v>
      </c>
      <c r="DG90" s="4">
        <v>1.026511</v>
      </c>
      <c r="DH90" s="4">
        <v>7.2669999999999998E-2</v>
      </c>
      <c r="DI90" s="4">
        <v>0.40607900000000002</v>
      </c>
      <c r="DJ90" s="4">
        <v>0.120508</v>
      </c>
      <c r="DK90" s="4">
        <v>8.5310000000000004E-3</v>
      </c>
      <c r="DL90" s="4">
        <v>1</v>
      </c>
      <c r="DM90" s="4">
        <v>2</v>
      </c>
      <c r="DN90" s="4">
        <v>3</v>
      </c>
      <c r="DO90" s="4">
        <v>6</v>
      </c>
      <c r="DP90" s="4">
        <v>7</v>
      </c>
      <c r="DQ90" s="4">
        <v>9</v>
      </c>
      <c r="DR90" s="4">
        <v>14</v>
      </c>
      <c r="DS90" s="4">
        <v>19</v>
      </c>
      <c r="DT90" s="4">
        <v>25</v>
      </c>
      <c r="DU90" s="4">
        <v>30</v>
      </c>
      <c r="DV90" s="4">
        <v>33</v>
      </c>
      <c r="DW90" s="4">
        <v>36</v>
      </c>
      <c r="DX90" s="4">
        <v>42</v>
      </c>
      <c r="DY90" s="4">
        <v>47</v>
      </c>
      <c r="DZ90" s="4">
        <v>55</v>
      </c>
      <c r="EA90" s="4">
        <v>86.682907</v>
      </c>
      <c r="EB90" s="4">
        <v>54.857897999999999</v>
      </c>
      <c r="EC90" s="4">
        <v>101.09622400000001</v>
      </c>
      <c r="ED90" s="4">
        <v>2135</v>
      </c>
      <c r="EE90" s="4">
        <v>2490</v>
      </c>
      <c r="EF90" s="4">
        <v>82.419813000000005</v>
      </c>
      <c r="EG90" s="4">
        <v>99.675192999999993</v>
      </c>
      <c r="EH90" s="4">
        <v>48.512887999999997</v>
      </c>
      <c r="EI90" s="4">
        <v>91.495924000000002</v>
      </c>
      <c r="EJ90" s="4">
        <v>89.403166999999996</v>
      </c>
      <c r="EK90" s="4">
        <v>168.61551</v>
      </c>
      <c r="EL90" s="4">
        <v>2030</v>
      </c>
      <c r="EM90" s="4">
        <v>2455</v>
      </c>
      <c r="EN90" s="4">
        <v>2202</v>
      </c>
      <c r="EO90" s="4">
        <v>4153</v>
      </c>
      <c r="EP90" s="4">
        <v>2463</v>
      </c>
      <c r="EQ90" s="4">
        <v>4539</v>
      </c>
      <c r="ER90" s="4">
        <v>42.369914000000001</v>
      </c>
    </row>
    <row r="91" spans="1:148" x14ac:dyDescent="0.2">
      <c r="A91" s="1">
        <v>2022</v>
      </c>
      <c r="B91" s="1" t="str">
        <f t="shared" si="2"/>
        <v>NE</v>
      </c>
      <c r="C91" s="1" t="s">
        <v>597</v>
      </c>
      <c r="D91" s="1" t="s">
        <v>597</v>
      </c>
      <c r="E91" s="1">
        <v>23559</v>
      </c>
      <c r="F91" s="1" t="s">
        <v>2079</v>
      </c>
      <c r="G91" s="1" t="s">
        <v>432</v>
      </c>
      <c r="H91" s="1" t="s">
        <v>598</v>
      </c>
      <c r="I91" s="1">
        <v>42.65</v>
      </c>
      <c r="J91" s="1">
        <v>42.65</v>
      </c>
      <c r="K91" s="1" t="s">
        <v>434</v>
      </c>
      <c r="L91" s="1">
        <v>1</v>
      </c>
      <c r="M91" s="1">
        <v>2015</v>
      </c>
      <c r="N91" s="1">
        <v>3</v>
      </c>
      <c r="O91" s="1">
        <v>1</v>
      </c>
      <c r="P91" s="1" t="str">
        <f t="shared" si="3"/>
        <v>Alto fuste</v>
      </c>
      <c r="Q91" s="2">
        <v>42353</v>
      </c>
      <c r="R91" s="1" t="s">
        <v>169</v>
      </c>
      <c r="S91" s="1" t="s">
        <v>299</v>
      </c>
      <c r="T91" s="1" t="s">
        <v>2268</v>
      </c>
      <c r="U91" s="1" t="s">
        <v>151</v>
      </c>
      <c r="V91" s="1" t="s">
        <v>152</v>
      </c>
      <c r="W91" s="2">
        <v>44720</v>
      </c>
      <c r="X91" s="1" t="s">
        <v>435</v>
      </c>
      <c r="Y91" s="1">
        <v>192.76</v>
      </c>
      <c r="Z91" s="1">
        <v>19.600000000000001</v>
      </c>
      <c r="AA91" s="1">
        <v>21</v>
      </c>
      <c r="AB91" s="1">
        <v>16</v>
      </c>
      <c r="AC91" s="1">
        <v>0</v>
      </c>
      <c r="AD91" s="3">
        <v>313.60000000000002</v>
      </c>
      <c r="AE91" s="3">
        <v>292.77082174952199</v>
      </c>
      <c r="AF91" s="2">
        <v>44720</v>
      </c>
      <c r="AG91" s="1">
        <v>78</v>
      </c>
      <c r="AH91" s="3">
        <v>6.4804928131416801</v>
      </c>
      <c r="AI91" s="4">
        <v>28.495913918749501</v>
      </c>
      <c r="AJ91" s="4">
        <v>16.979310344827599</v>
      </c>
      <c r="AK91" s="4">
        <v>23.085334937697699</v>
      </c>
      <c r="AL91" s="1">
        <v>29</v>
      </c>
      <c r="AM91" s="5">
        <v>990.53586784036497</v>
      </c>
      <c r="AN91" s="4">
        <v>294.19789239601897</v>
      </c>
      <c r="AO91" s="4">
        <v>0.29700882315089699</v>
      </c>
      <c r="AP91" s="1" t="s">
        <v>299</v>
      </c>
      <c r="AQ91" s="1" t="s">
        <v>156</v>
      </c>
      <c r="AR91" s="1" t="s">
        <v>593</v>
      </c>
      <c r="AS91" s="1">
        <v>9</v>
      </c>
      <c r="AT91" s="4">
        <v>0.89148228105632854</v>
      </c>
      <c r="AU91" s="1" t="s">
        <v>599</v>
      </c>
      <c r="AV91" s="1" t="s">
        <v>600</v>
      </c>
      <c r="AW91" s="1">
        <v>4112</v>
      </c>
      <c r="AX91" s="1">
        <v>2354</v>
      </c>
      <c r="AY91" s="1">
        <v>1476</v>
      </c>
      <c r="AZ91" s="1">
        <v>273</v>
      </c>
      <c r="BA91" s="1">
        <v>9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4">
        <v>-0.94599999999999995</v>
      </c>
      <c r="BI91" s="4">
        <v>32.597000000000001</v>
      </c>
      <c r="BJ91" s="4">
        <v>15.833796</v>
      </c>
      <c r="BK91" s="4">
        <v>-0.41357100000000002</v>
      </c>
      <c r="BL91" s="4">
        <v>13.408106</v>
      </c>
      <c r="BM91" s="4">
        <v>179.77729500000001</v>
      </c>
      <c r="BN91" s="4">
        <v>0.84680299999999997</v>
      </c>
      <c r="BO91" s="4">
        <v>28.39725</v>
      </c>
      <c r="BP91" s="4">
        <v>-0.21440100000000001</v>
      </c>
      <c r="BQ91" s="4">
        <v>1.1802790000000001</v>
      </c>
      <c r="BR91" s="4">
        <v>12.879571</v>
      </c>
      <c r="BS91" s="4">
        <v>8.7505000000000006</v>
      </c>
      <c r="BT91" s="4">
        <v>22.025573999999999</v>
      </c>
      <c r="BU91" s="4">
        <v>15.833796</v>
      </c>
      <c r="BV91" s="4">
        <v>7.2083750000000002</v>
      </c>
      <c r="BW91" s="4">
        <v>-0.43744499999999997</v>
      </c>
      <c r="BX91" s="4">
        <v>-1.3424560000000001</v>
      </c>
      <c r="BY91" s="4">
        <v>0.45525199999999999</v>
      </c>
      <c r="BZ91" s="4">
        <v>-6.0685999999999997E-2</v>
      </c>
      <c r="CA91" s="4">
        <v>-0.18623600000000001</v>
      </c>
      <c r="CB91" s="4">
        <v>-0.38078000000000001</v>
      </c>
      <c r="CC91" s="4">
        <v>-0.17699999999999999</v>
      </c>
      <c r="CD91" s="4">
        <v>-8.8900000000000007E-2</v>
      </c>
      <c r="CE91" s="4">
        <v>5.5E-2</v>
      </c>
      <c r="CF91" s="4">
        <v>0.121</v>
      </c>
      <c r="CG91" s="4">
        <v>0.2266</v>
      </c>
      <c r="CH91" s="4">
        <v>5.3502020000000003</v>
      </c>
      <c r="CI91" s="4">
        <v>21.611999999999998</v>
      </c>
      <c r="CJ91" s="4">
        <v>26.658000999999999</v>
      </c>
      <c r="CK91" s="4">
        <v>28.025400000000001</v>
      </c>
      <c r="CL91" s="4">
        <v>28.518249999999998</v>
      </c>
      <c r="CM91" s="4">
        <v>28.992999999999999</v>
      </c>
      <c r="CN91" s="4">
        <v>30.125799000000001</v>
      </c>
      <c r="CO91" s="4">
        <v>30.713449000000001</v>
      </c>
      <c r="CP91" s="4">
        <v>31.432779</v>
      </c>
      <c r="CQ91" s="4">
        <v>0.500247</v>
      </c>
      <c r="CR91" s="4">
        <v>20.747112000000001</v>
      </c>
      <c r="CS91" s="4">
        <v>22.888290999999999</v>
      </c>
      <c r="CT91" s="1">
        <v>1</v>
      </c>
      <c r="CU91" s="1">
        <v>73</v>
      </c>
      <c r="CV91" s="4">
        <v>20.244406999999999</v>
      </c>
      <c r="CW91" s="4">
        <v>1</v>
      </c>
      <c r="CX91" s="4">
        <v>14.354898</v>
      </c>
      <c r="CY91" s="4">
        <v>206.06309200000001</v>
      </c>
      <c r="CZ91" s="4">
        <v>0.70908000000000004</v>
      </c>
      <c r="DA91" s="4">
        <v>24</v>
      </c>
      <c r="DB91" s="4">
        <v>0.44647900000000001</v>
      </c>
      <c r="DC91" s="4">
        <v>2.2701660000000001</v>
      </c>
      <c r="DD91" s="4">
        <v>12.283303999999999</v>
      </c>
      <c r="DE91" s="4">
        <v>20.244406999999999</v>
      </c>
      <c r="DF91" s="4">
        <v>8.1607199999999995</v>
      </c>
      <c r="DG91" s="4">
        <v>0.91872399999999999</v>
      </c>
      <c r="DH91" s="4">
        <v>0.15127699999999999</v>
      </c>
      <c r="DI91" s="4">
        <v>0.40311000000000002</v>
      </c>
      <c r="DJ91" s="4">
        <v>0.112579</v>
      </c>
      <c r="DK91" s="4">
        <v>1.8537000000000001E-2</v>
      </c>
      <c r="DL91" s="4">
        <v>1</v>
      </c>
      <c r="DM91" s="4">
        <v>2</v>
      </c>
      <c r="DN91" s="4">
        <v>3</v>
      </c>
      <c r="DO91" s="4">
        <v>5</v>
      </c>
      <c r="DP91" s="4">
        <v>7</v>
      </c>
      <c r="DQ91" s="4">
        <v>9</v>
      </c>
      <c r="DR91" s="4">
        <v>13</v>
      </c>
      <c r="DS91" s="4">
        <v>19</v>
      </c>
      <c r="DT91" s="4">
        <v>24</v>
      </c>
      <c r="DU91" s="4">
        <v>29</v>
      </c>
      <c r="DV91" s="4">
        <v>31</v>
      </c>
      <c r="DW91" s="4">
        <v>33</v>
      </c>
      <c r="DX91" s="4">
        <v>40</v>
      </c>
      <c r="DY91" s="4">
        <v>46</v>
      </c>
      <c r="DZ91" s="4">
        <v>54</v>
      </c>
      <c r="EA91" s="4">
        <v>90.909091000000004</v>
      </c>
      <c r="EB91" s="4">
        <v>60.432879</v>
      </c>
      <c r="EC91" s="4">
        <v>105.56499599999999</v>
      </c>
      <c r="ED91" s="4">
        <v>2140</v>
      </c>
      <c r="EE91" s="4">
        <v>2485</v>
      </c>
      <c r="EF91" s="4">
        <v>87.680543999999998</v>
      </c>
      <c r="EG91" s="4">
        <v>100</v>
      </c>
      <c r="EH91" s="4">
        <v>56.104086000000002</v>
      </c>
      <c r="EI91" s="4">
        <v>99.124514000000005</v>
      </c>
      <c r="EJ91" s="4">
        <v>98.003398000000004</v>
      </c>
      <c r="EK91" s="4">
        <v>173.15208200000001</v>
      </c>
      <c r="EL91" s="4">
        <v>2064</v>
      </c>
      <c r="EM91" s="4">
        <v>2354</v>
      </c>
      <c r="EN91" s="4">
        <v>2307</v>
      </c>
      <c r="EO91" s="4">
        <v>4076</v>
      </c>
      <c r="EP91" s="4">
        <v>2354</v>
      </c>
      <c r="EQ91" s="4">
        <v>4112</v>
      </c>
      <c r="ER91" s="4">
        <v>49.433199000000002</v>
      </c>
    </row>
    <row r="92" spans="1:148" x14ac:dyDescent="0.2">
      <c r="A92" s="1">
        <v>2022</v>
      </c>
      <c r="B92" s="1" t="str">
        <f t="shared" si="2"/>
        <v>NE</v>
      </c>
      <c r="C92" s="1" t="s">
        <v>601</v>
      </c>
      <c r="D92" s="1" t="s">
        <v>601</v>
      </c>
      <c r="E92" s="1">
        <v>23560</v>
      </c>
      <c r="F92" s="1" t="s">
        <v>2079</v>
      </c>
      <c r="G92" s="1" t="s">
        <v>432</v>
      </c>
      <c r="H92" s="1" t="s">
        <v>598</v>
      </c>
      <c r="I92" s="1">
        <v>42.65</v>
      </c>
      <c r="J92" s="1">
        <v>42.65</v>
      </c>
      <c r="K92" s="1" t="s">
        <v>434</v>
      </c>
      <c r="L92" s="1">
        <v>1</v>
      </c>
      <c r="M92" s="1">
        <v>2015</v>
      </c>
      <c r="N92" s="1">
        <v>3</v>
      </c>
      <c r="O92" s="1">
        <v>1</v>
      </c>
      <c r="P92" s="1" t="str">
        <f t="shared" si="3"/>
        <v>Alto fuste</v>
      </c>
      <c r="Q92" s="2">
        <v>42353</v>
      </c>
      <c r="R92" s="1" t="s">
        <v>169</v>
      </c>
      <c r="S92" s="1" t="s">
        <v>299</v>
      </c>
      <c r="T92" s="1" t="s">
        <v>2268</v>
      </c>
      <c r="U92" s="1" t="s">
        <v>151</v>
      </c>
      <c r="V92" s="1" t="s">
        <v>152</v>
      </c>
      <c r="W92" s="2">
        <v>44720</v>
      </c>
      <c r="X92" s="1" t="s">
        <v>435</v>
      </c>
      <c r="Y92" s="1">
        <v>192.76</v>
      </c>
      <c r="Z92" s="1">
        <v>21.1</v>
      </c>
      <c r="AA92" s="1">
        <v>10</v>
      </c>
      <c r="AB92" s="1">
        <v>14.6</v>
      </c>
      <c r="AC92" s="1">
        <v>1</v>
      </c>
      <c r="AD92" s="3">
        <v>308.06</v>
      </c>
      <c r="AE92" s="3">
        <v>303.33367016831301</v>
      </c>
      <c r="AF92" s="2">
        <v>44720</v>
      </c>
      <c r="AG92" s="1">
        <v>78</v>
      </c>
      <c r="AH92" s="3">
        <v>6.4804928131416801</v>
      </c>
      <c r="AI92" s="4">
        <v>27.140805495296298</v>
      </c>
      <c r="AJ92" s="4">
        <v>17.829411764705899</v>
      </c>
      <c r="AK92" s="4">
        <v>28.836163628145901</v>
      </c>
      <c r="AL92" s="1">
        <v>34</v>
      </c>
      <c r="AM92" s="5">
        <v>1120.8778762059001</v>
      </c>
      <c r="AN92" s="4">
        <v>351.83762378225998</v>
      </c>
      <c r="AO92" s="4">
        <v>0.31389469919167901</v>
      </c>
      <c r="AP92" s="1" t="s">
        <v>299</v>
      </c>
      <c r="AQ92" s="1" t="s">
        <v>156</v>
      </c>
      <c r="AR92" s="1" t="s">
        <v>593</v>
      </c>
      <c r="AS92" s="1">
        <v>9</v>
      </c>
      <c r="AT92" s="4">
        <v>1.0087900885853101</v>
      </c>
      <c r="AU92" s="1" t="s">
        <v>602</v>
      </c>
      <c r="AV92" s="1" t="s">
        <v>603</v>
      </c>
      <c r="AW92" s="1">
        <v>4844</v>
      </c>
      <c r="AX92" s="1">
        <v>2602</v>
      </c>
      <c r="AY92" s="1">
        <v>1724</v>
      </c>
      <c r="AZ92" s="1">
        <v>487</v>
      </c>
      <c r="BA92" s="1">
        <v>31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4">
        <v>-0.98199999999999998</v>
      </c>
      <c r="BI92" s="4">
        <v>35.099997999999999</v>
      </c>
      <c r="BJ92" s="4">
        <v>18.666114</v>
      </c>
      <c r="BK92" s="4">
        <v>-0.40927000000000002</v>
      </c>
      <c r="BL92" s="4">
        <v>13.660562000000001</v>
      </c>
      <c r="BM92" s="4">
        <v>186.61094499999999</v>
      </c>
      <c r="BN92" s="4">
        <v>0.73183699999999996</v>
      </c>
      <c r="BO92" s="4">
        <v>31.407499999999999</v>
      </c>
      <c r="BP92" s="4">
        <v>-0.44282300000000002</v>
      </c>
      <c r="BQ92" s="4">
        <v>1.47461</v>
      </c>
      <c r="BR92" s="4">
        <v>12.342155999999999</v>
      </c>
      <c r="BS92" s="4">
        <v>8.9710009999999993</v>
      </c>
      <c r="BT92" s="4">
        <v>23.68927</v>
      </c>
      <c r="BU92" s="4">
        <v>18.666114</v>
      </c>
      <c r="BV92" s="4">
        <v>7.4386580000000002</v>
      </c>
      <c r="BW92" s="4">
        <v>-1.0195399999999999</v>
      </c>
      <c r="BX92" s="4">
        <v>-0.93283099999999997</v>
      </c>
      <c r="BY92" s="4">
        <v>0.398511</v>
      </c>
      <c r="BZ92" s="4">
        <v>-0.13705999999999999</v>
      </c>
      <c r="CA92" s="4">
        <v>-0.12540299999999999</v>
      </c>
      <c r="CB92" s="4">
        <v>-0.40014</v>
      </c>
      <c r="CC92" s="4">
        <v>-0.16300000000000001</v>
      </c>
      <c r="CD92" s="4">
        <v>-5.7000000000000002E-2</v>
      </c>
      <c r="CE92" s="4">
        <v>9.0999999999999998E-2</v>
      </c>
      <c r="CF92" s="4">
        <v>0.17274999999999999</v>
      </c>
      <c r="CG92" s="4">
        <v>0.33160000000000001</v>
      </c>
      <c r="CH92" s="4">
        <v>19.9298</v>
      </c>
      <c r="CI92" s="4">
        <v>23.279999</v>
      </c>
      <c r="CJ92" s="4">
        <v>27.463200000000001</v>
      </c>
      <c r="CK92" s="4">
        <v>31.012198999999999</v>
      </c>
      <c r="CL92" s="4">
        <v>31.580249999999999</v>
      </c>
      <c r="CM92" s="4">
        <v>31.954198999999999</v>
      </c>
      <c r="CN92" s="4">
        <v>32.688999000000003</v>
      </c>
      <c r="CO92" s="4">
        <v>33.230849999999997</v>
      </c>
      <c r="CP92" s="4">
        <v>34.099280999999998</v>
      </c>
      <c r="CQ92" s="4">
        <v>0.54454100000000005</v>
      </c>
      <c r="CR92" s="4">
        <v>23.129985000000001</v>
      </c>
      <c r="CS92" s="4">
        <v>25.105069</v>
      </c>
      <c r="CT92" s="1">
        <v>1</v>
      </c>
      <c r="CU92" s="1">
        <v>39</v>
      </c>
      <c r="CV92" s="4">
        <v>11.114368000000001</v>
      </c>
      <c r="CW92" s="4">
        <v>1</v>
      </c>
      <c r="CX92" s="4">
        <v>7.5448779999999998</v>
      </c>
      <c r="CY92" s="4">
        <v>56.925179</v>
      </c>
      <c r="CZ92" s="4">
        <v>0.67884</v>
      </c>
      <c r="DA92" s="4">
        <v>13</v>
      </c>
      <c r="DB92" s="4">
        <v>0.50241100000000005</v>
      </c>
      <c r="DC92" s="4">
        <v>2.462682</v>
      </c>
      <c r="DD92" s="4">
        <v>6.4120049999999997</v>
      </c>
      <c r="DE92" s="4">
        <v>11.114368000000001</v>
      </c>
      <c r="DF92" s="4">
        <v>4.2746000000000004</v>
      </c>
      <c r="DG92" s="4">
        <v>0.503274</v>
      </c>
      <c r="DH92" s="4">
        <v>0.12048499999999999</v>
      </c>
      <c r="DI92" s="4">
        <v>0.38460100000000003</v>
      </c>
      <c r="DJ92" s="4">
        <v>0.11773599999999999</v>
      </c>
      <c r="DK92" s="4">
        <v>2.8185999999999999E-2</v>
      </c>
      <c r="DL92" s="4">
        <v>1</v>
      </c>
      <c r="DM92" s="4">
        <v>1</v>
      </c>
      <c r="DN92" s="4">
        <v>2</v>
      </c>
      <c r="DO92" s="4">
        <v>3</v>
      </c>
      <c r="DP92" s="4">
        <v>4</v>
      </c>
      <c r="DQ92" s="4">
        <v>5</v>
      </c>
      <c r="DR92" s="4">
        <v>8</v>
      </c>
      <c r="DS92" s="4">
        <v>10</v>
      </c>
      <c r="DT92" s="4">
        <v>13</v>
      </c>
      <c r="DU92" s="4">
        <v>16</v>
      </c>
      <c r="DV92" s="4">
        <v>17</v>
      </c>
      <c r="DW92" s="4">
        <v>18</v>
      </c>
      <c r="DX92" s="4">
        <v>21</v>
      </c>
      <c r="DY92" s="4">
        <v>24</v>
      </c>
      <c r="DZ92" s="4">
        <v>30</v>
      </c>
      <c r="EA92" s="4">
        <v>96.233665999999999</v>
      </c>
      <c r="EB92" s="4">
        <v>68.063584000000006</v>
      </c>
      <c r="EC92" s="4">
        <v>126.710223</v>
      </c>
      <c r="ED92" s="4">
        <v>2504</v>
      </c>
      <c r="EE92" s="4">
        <v>3297</v>
      </c>
      <c r="EF92" s="4">
        <v>93.235972000000004</v>
      </c>
      <c r="EG92" s="4">
        <v>100</v>
      </c>
      <c r="EH92" s="4">
        <v>62.489677999999998</v>
      </c>
      <c r="EI92" s="4">
        <v>99.071016</v>
      </c>
      <c r="EJ92" s="4">
        <v>116.33359</v>
      </c>
      <c r="EK92" s="4">
        <v>184.43504999999999</v>
      </c>
      <c r="EL92" s="4">
        <v>2426</v>
      </c>
      <c r="EM92" s="4">
        <v>2602</v>
      </c>
      <c r="EN92" s="4">
        <v>3027</v>
      </c>
      <c r="EO92" s="4">
        <v>4799</v>
      </c>
      <c r="EP92" s="4">
        <v>2602</v>
      </c>
      <c r="EQ92" s="4">
        <v>4844</v>
      </c>
      <c r="ER92" s="4">
        <v>53.819432999999997</v>
      </c>
    </row>
    <row r="93" spans="1:148" x14ac:dyDescent="0.2">
      <c r="A93" s="1">
        <v>2022</v>
      </c>
      <c r="B93" s="1" t="str">
        <f t="shared" si="2"/>
        <v>NE</v>
      </c>
      <c r="C93" s="1" t="s">
        <v>604</v>
      </c>
      <c r="D93" s="1" t="s">
        <v>604</v>
      </c>
      <c r="E93" s="1">
        <v>23561</v>
      </c>
      <c r="F93" s="1" t="s">
        <v>2079</v>
      </c>
      <c r="G93" s="1" t="s">
        <v>432</v>
      </c>
      <c r="H93" s="1" t="s">
        <v>598</v>
      </c>
      <c r="I93" s="1">
        <v>42.65</v>
      </c>
      <c r="J93" s="1">
        <v>42.65</v>
      </c>
      <c r="K93" s="1" t="s">
        <v>434</v>
      </c>
      <c r="L93" s="1">
        <v>1</v>
      </c>
      <c r="M93" s="1">
        <v>2015</v>
      </c>
      <c r="N93" s="1">
        <v>3</v>
      </c>
      <c r="O93" s="1">
        <v>1</v>
      </c>
      <c r="P93" s="1" t="str">
        <f t="shared" si="3"/>
        <v>Alto fuste</v>
      </c>
      <c r="Q93" s="2">
        <v>42353</v>
      </c>
      <c r="R93" s="1" t="s">
        <v>169</v>
      </c>
      <c r="S93" s="1" t="s">
        <v>299</v>
      </c>
      <c r="T93" s="1" t="s">
        <v>2268</v>
      </c>
      <c r="U93" s="1" t="s">
        <v>151</v>
      </c>
      <c r="V93" s="1" t="s">
        <v>152</v>
      </c>
      <c r="W93" s="2">
        <v>44720</v>
      </c>
      <c r="X93" s="1" t="s">
        <v>435</v>
      </c>
      <c r="Y93" s="1">
        <v>192.76</v>
      </c>
      <c r="Z93" s="1">
        <v>20.7</v>
      </c>
      <c r="AA93" s="1">
        <v>21</v>
      </c>
      <c r="AB93" s="1">
        <v>15</v>
      </c>
      <c r="AC93" s="1">
        <v>2</v>
      </c>
      <c r="AD93" s="3">
        <v>310.5</v>
      </c>
      <c r="AE93" s="3">
        <v>289.700137360285</v>
      </c>
      <c r="AF93" s="2">
        <v>44720</v>
      </c>
      <c r="AG93" s="1">
        <v>78</v>
      </c>
      <c r="AH93" s="3">
        <v>6.4804928131416801</v>
      </c>
      <c r="AI93" s="4">
        <v>29.488279940623499</v>
      </c>
      <c r="AJ93" s="4">
        <v>18.1666666666667</v>
      </c>
      <c r="AK93" s="4">
        <v>28.048705001137801</v>
      </c>
      <c r="AL93" s="1">
        <v>30</v>
      </c>
      <c r="AM93" s="5">
        <v>1035.5535303972099</v>
      </c>
      <c r="AN93" s="4">
        <v>374.797169328319</v>
      </c>
      <c r="AO93" s="4">
        <v>0.36192930478886698</v>
      </c>
      <c r="AP93" s="1" t="s">
        <v>299</v>
      </c>
      <c r="AQ93" s="1" t="s">
        <v>156</v>
      </c>
      <c r="AR93" s="1" t="s">
        <v>593</v>
      </c>
      <c r="AS93" s="1">
        <v>9</v>
      </c>
      <c r="AT93" s="4">
        <v>0.93199817735748891</v>
      </c>
      <c r="AU93" s="1" t="s">
        <v>605</v>
      </c>
      <c r="AV93" s="1" t="s">
        <v>606</v>
      </c>
      <c r="AW93" s="1">
        <v>2917</v>
      </c>
      <c r="AX93" s="1">
        <v>1596</v>
      </c>
      <c r="AY93" s="1">
        <v>1123</v>
      </c>
      <c r="AZ93" s="1">
        <v>180</v>
      </c>
      <c r="BA93" s="1">
        <v>18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4">
        <v>-0.84299999999999997</v>
      </c>
      <c r="BI93" s="4">
        <v>32.57</v>
      </c>
      <c r="BJ93" s="4">
        <v>15.82765</v>
      </c>
      <c r="BK93" s="4">
        <v>-0.312635</v>
      </c>
      <c r="BL93" s="4">
        <v>14.249812</v>
      </c>
      <c r="BM93" s="4">
        <v>203.057152</v>
      </c>
      <c r="BN93" s="4">
        <v>0.90031099999999997</v>
      </c>
      <c r="BO93" s="4">
        <v>29.902999999999999</v>
      </c>
      <c r="BP93" s="4">
        <v>-0.122069</v>
      </c>
      <c r="BQ93" s="4">
        <v>1.120482</v>
      </c>
      <c r="BR93" s="4">
        <v>13.768655000000001</v>
      </c>
      <c r="BS93" s="4">
        <v>11.696999</v>
      </c>
      <c r="BT93" s="4">
        <v>19.859635999999998</v>
      </c>
      <c r="BU93" s="4">
        <v>15.82765</v>
      </c>
      <c r="BV93" s="4">
        <v>7.5734399999999997</v>
      </c>
      <c r="BW93" s="4">
        <v>-0.21412200000000001</v>
      </c>
      <c r="BX93" s="4">
        <v>-1.5993360000000001</v>
      </c>
      <c r="BY93" s="4">
        <v>0.47849399999999997</v>
      </c>
      <c r="BZ93" s="4">
        <v>-2.8273E-2</v>
      </c>
      <c r="CA93" s="4">
        <v>-0.211177</v>
      </c>
      <c r="CB93" s="4">
        <v>-0.41588000000000003</v>
      </c>
      <c r="CC93" s="4">
        <v>-0.19620000000000001</v>
      </c>
      <c r="CD93" s="4">
        <v>-9.5399999999999999E-2</v>
      </c>
      <c r="CE93" s="4">
        <v>1.7999999999999999E-2</v>
      </c>
      <c r="CF93" s="4">
        <v>7.0000000000000007E-2</v>
      </c>
      <c r="CG93" s="4">
        <v>0.1148</v>
      </c>
      <c r="CH93" s="4">
        <v>0.28839999999999999</v>
      </c>
      <c r="CI93" s="4">
        <v>19.547001000000002</v>
      </c>
      <c r="CJ93" s="4">
        <v>28.469000000000001</v>
      </c>
      <c r="CK93" s="4">
        <v>29.605799000000001</v>
      </c>
      <c r="CL93" s="4">
        <v>29.972999999999999</v>
      </c>
      <c r="CM93" s="4">
        <v>30.277598999999999</v>
      </c>
      <c r="CN93" s="4">
        <v>30.943401000000001</v>
      </c>
      <c r="CO93" s="4">
        <v>31.419799999999999</v>
      </c>
      <c r="CP93" s="4">
        <v>32.075161000000001</v>
      </c>
      <c r="CQ93" s="4">
        <v>0.49892700000000001</v>
      </c>
      <c r="CR93" s="4">
        <v>21.295587000000001</v>
      </c>
      <c r="CS93" s="4">
        <v>23.663356</v>
      </c>
      <c r="CT93" s="1">
        <v>1</v>
      </c>
      <c r="CU93" s="1">
        <v>54</v>
      </c>
      <c r="CV93" s="4">
        <v>17.187864000000001</v>
      </c>
      <c r="CW93" s="4">
        <v>1</v>
      </c>
      <c r="CX93" s="4">
        <v>11.686712</v>
      </c>
      <c r="CY93" s="4">
        <v>136.57923500000001</v>
      </c>
      <c r="CZ93" s="4">
        <v>0.67993999999999999</v>
      </c>
      <c r="DA93" s="4">
        <v>18</v>
      </c>
      <c r="DB93" s="4">
        <v>0.51311200000000001</v>
      </c>
      <c r="DC93" s="4">
        <v>2.6985139999999999</v>
      </c>
      <c r="DD93" s="4">
        <v>9.8143069999999994</v>
      </c>
      <c r="DE93" s="4">
        <v>17.187864000000001</v>
      </c>
      <c r="DF93" s="4">
        <v>6.5937650000000003</v>
      </c>
      <c r="DG93" s="4">
        <v>0.66070899999999999</v>
      </c>
      <c r="DH93" s="4">
        <v>0.30158200000000002</v>
      </c>
      <c r="DI93" s="4">
        <v>0.383629</v>
      </c>
      <c r="DJ93" s="4">
        <v>0.100202</v>
      </c>
      <c r="DK93" s="4">
        <v>4.5737E-2</v>
      </c>
      <c r="DL93" s="4">
        <v>1</v>
      </c>
      <c r="DM93" s="4">
        <v>2</v>
      </c>
      <c r="DN93" s="4">
        <v>3</v>
      </c>
      <c r="DO93" s="4">
        <v>5</v>
      </c>
      <c r="DP93" s="4">
        <v>7</v>
      </c>
      <c r="DQ93" s="4">
        <v>8</v>
      </c>
      <c r="DR93" s="4">
        <v>12</v>
      </c>
      <c r="DS93" s="4">
        <v>17</v>
      </c>
      <c r="DT93" s="4">
        <v>21</v>
      </c>
      <c r="DU93" s="4">
        <v>24</v>
      </c>
      <c r="DV93" s="4">
        <v>25</v>
      </c>
      <c r="DW93" s="4">
        <v>27</v>
      </c>
      <c r="DX93" s="4">
        <v>31</v>
      </c>
      <c r="DY93" s="4">
        <v>39</v>
      </c>
      <c r="DZ93" s="4">
        <v>48</v>
      </c>
      <c r="EA93" s="4">
        <v>92.794486000000006</v>
      </c>
      <c r="EB93" s="4">
        <v>57.010626999999999</v>
      </c>
      <c r="EC93" s="4">
        <v>104.19799500000001</v>
      </c>
      <c r="ED93" s="4">
        <v>1481</v>
      </c>
      <c r="EE93" s="4">
        <v>1663</v>
      </c>
      <c r="EF93" s="4">
        <v>92.230575999999999</v>
      </c>
      <c r="EG93" s="4">
        <v>100</v>
      </c>
      <c r="EH93" s="4">
        <v>54.302365000000002</v>
      </c>
      <c r="EI93" s="4">
        <v>97.805965</v>
      </c>
      <c r="EJ93" s="4">
        <v>99.24812</v>
      </c>
      <c r="EK93" s="4">
        <v>178.759398</v>
      </c>
      <c r="EL93" s="4">
        <v>1472</v>
      </c>
      <c r="EM93" s="4">
        <v>1596</v>
      </c>
      <c r="EN93" s="4">
        <v>1584</v>
      </c>
      <c r="EO93" s="4">
        <v>2853</v>
      </c>
      <c r="EP93" s="4">
        <v>1596</v>
      </c>
      <c r="EQ93" s="4">
        <v>2917</v>
      </c>
      <c r="ER93" s="4">
        <v>48.392150000000001</v>
      </c>
    </row>
    <row r="94" spans="1:148" x14ac:dyDescent="0.2">
      <c r="A94" s="1">
        <v>2022</v>
      </c>
      <c r="B94" s="1" t="str">
        <f t="shared" si="2"/>
        <v>NE</v>
      </c>
      <c r="C94" s="1" t="s">
        <v>607</v>
      </c>
      <c r="D94" s="1" t="s">
        <v>607</v>
      </c>
      <c r="E94" s="1">
        <v>23562</v>
      </c>
      <c r="F94" s="1" t="s">
        <v>2079</v>
      </c>
      <c r="G94" s="1" t="s">
        <v>432</v>
      </c>
      <c r="H94" s="1" t="s">
        <v>608</v>
      </c>
      <c r="I94" s="1">
        <v>42.42</v>
      </c>
      <c r="J94" s="1">
        <v>42.42</v>
      </c>
      <c r="K94" s="1" t="s">
        <v>434</v>
      </c>
      <c r="L94" s="1">
        <v>1</v>
      </c>
      <c r="M94" s="1">
        <v>2015</v>
      </c>
      <c r="N94" s="1">
        <v>3</v>
      </c>
      <c r="O94" s="1">
        <v>1</v>
      </c>
      <c r="P94" s="1" t="str">
        <f t="shared" si="3"/>
        <v>Alto fuste</v>
      </c>
      <c r="Q94" s="2">
        <v>42139</v>
      </c>
      <c r="R94" s="1" t="s">
        <v>169</v>
      </c>
      <c r="S94" s="1" t="s">
        <v>287</v>
      </c>
      <c r="T94" s="1" t="s">
        <v>2268</v>
      </c>
      <c r="U94" s="1" t="s">
        <v>151</v>
      </c>
      <c r="V94" s="1" t="s">
        <v>152</v>
      </c>
      <c r="W94" s="2">
        <v>44720</v>
      </c>
      <c r="X94" s="1" t="s">
        <v>435</v>
      </c>
      <c r="Y94" s="1">
        <v>192.76</v>
      </c>
      <c r="Z94" s="1">
        <v>20</v>
      </c>
      <c r="AA94" s="1">
        <v>15</v>
      </c>
      <c r="AB94" s="1">
        <v>15.8</v>
      </c>
      <c r="AC94" s="1">
        <v>1</v>
      </c>
      <c r="AD94" s="3">
        <v>316</v>
      </c>
      <c r="AE94" s="3">
        <v>305.186072709862</v>
      </c>
      <c r="AF94" s="2">
        <v>44720</v>
      </c>
      <c r="AG94" s="1">
        <v>85</v>
      </c>
      <c r="AH94" s="3">
        <v>7.0663928815879498</v>
      </c>
      <c r="AI94" s="4">
        <v>29.409572709872901</v>
      </c>
      <c r="AJ94" s="4">
        <v>18.8380952380952</v>
      </c>
      <c r="AK94" s="4">
        <v>20.061508015041401</v>
      </c>
      <c r="AL94" s="1">
        <v>21</v>
      </c>
      <c r="AM94" s="5">
        <v>688.10479500368797</v>
      </c>
      <c r="AN94" s="4">
        <v>266.84949905170498</v>
      </c>
      <c r="AO94" s="4">
        <v>0.387803574381827</v>
      </c>
      <c r="AP94" s="1" t="s">
        <v>287</v>
      </c>
      <c r="AQ94" s="1" t="s">
        <v>156</v>
      </c>
      <c r="AR94" s="1" t="s">
        <v>611</v>
      </c>
      <c r="AS94" s="1">
        <v>9</v>
      </c>
      <c r="AT94" s="4">
        <v>0.61929431550331915</v>
      </c>
      <c r="AU94" s="1" t="s">
        <v>609</v>
      </c>
      <c r="AV94" s="1" t="s">
        <v>610</v>
      </c>
      <c r="AW94" s="1">
        <v>2707</v>
      </c>
      <c r="AX94" s="1">
        <v>1629</v>
      </c>
      <c r="AY94" s="1">
        <v>986</v>
      </c>
      <c r="AZ94" s="1">
        <v>86</v>
      </c>
      <c r="BA94" s="1">
        <v>6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4">
        <v>-0.873</v>
      </c>
      <c r="BI94" s="4">
        <v>34.147998999999999</v>
      </c>
      <c r="BJ94" s="4">
        <v>15.556649</v>
      </c>
      <c r="BK94" s="4">
        <v>-0.31711099999999998</v>
      </c>
      <c r="BL94" s="4">
        <v>14.451955</v>
      </c>
      <c r="BM94" s="4">
        <v>208.85899800000001</v>
      </c>
      <c r="BN94" s="4">
        <v>0.92898899999999995</v>
      </c>
      <c r="BO94" s="4">
        <v>29.707999000000001</v>
      </c>
      <c r="BP94" s="4">
        <v>-7.5724E-2</v>
      </c>
      <c r="BQ94" s="4">
        <v>1.099132</v>
      </c>
      <c r="BR94" s="4">
        <v>14.118710999999999</v>
      </c>
      <c r="BS94" s="4">
        <v>11.989000000000001</v>
      </c>
      <c r="BT94" s="4">
        <v>20.555112999999999</v>
      </c>
      <c r="BU94" s="4">
        <v>15.556649</v>
      </c>
      <c r="BV94" s="4">
        <v>7.6727049999999997</v>
      </c>
      <c r="BW94" s="4">
        <v>2.5758E-2</v>
      </c>
      <c r="BX94" s="4">
        <v>-1.5724689999999999</v>
      </c>
      <c r="BY94" s="4">
        <v>0.49321100000000001</v>
      </c>
      <c r="BZ94" s="4">
        <v>3.3570000000000002E-3</v>
      </c>
      <c r="CA94" s="4">
        <v>-0.20494299999999999</v>
      </c>
      <c r="CB94" s="4">
        <v>-0.39300000000000002</v>
      </c>
      <c r="CC94" s="4">
        <v>-0.17469999999999999</v>
      </c>
      <c r="CD94" s="4">
        <v>-9.4799999999999995E-2</v>
      </c>
      <c r="CE94" s="4">
        <v>5.0000000000000001E-3</v>
      </c>
      <c r="CF94" s="4">
        <v>4.2999999999999997E-2</v>
      </c>
      <c r="CG94" s="4">
        <v>8.0799999999999997E-2</v>
      </c>
      <c r="CH94" s="4">
        <v>0.19040000000000001</v>
      </c>
      <c r="CI94" s="4">
        <v>20.238001000000001</v>
      </c>
      <c r="CJ94" s="4">
        <v>27.852001000000001</v>
      </c>
      <c r="CK94" s="4">
        <v>29.241599999999998</v>
      </c>
      <c r="CL94" s="4">
        <v>29.750999</v>
      </c>
      <c r="CM94" s="4">
        <v>30.352799999999998</v>
      </c>
      <c r="CN94" s="4">
        <v>31.380797999999999</v>
      </c>
      <c r="CO94" s="4">
        <v>32.209499000000001</v>
      </c>
      <c r="CP94" s="4">
        <v>33.198737999999999</v>
      </c>
      <c r="CQ94" s="4">
        <v>0.46913700000000003</v>
      </c>
      <c r="CR94" s="4">
        <v>21.231843999999999</v>
      </c>
      <c r="CS94" s="4">
        <v>23.681080999999999</v>
      </c>
      <c r="CT94" s="1">
        <v>1</v>
      </c>
      <c r="CU94" s="1">
        <v>63</v>
      </c>
      <c r="CV94" s="4">
        <v>20.117843000000001</v>
      </c>
      <c r="CW94" s="4">
        <v>1</v>
      </c>
      <c r="CX94" s="4">
        <v>14.288902</v>
      </c>
      <c r="CY94" s="4">
        <v>204.17273</v>
      </c>
      <c r="CZ94" s="4">
        <v>0.71026</v>
      </c>
      <c r="DA94" s="4">
        <v>20</v>
      </c>
      <c r="DB94" s="4">
        <v>0.62004099999999995</v>
      </c>
      <c r="DC94" s="4">
        <v>2.6888920000000001</v>
      </c>
      <c r="DD94" s="4">
        <v>11.574820000000001</v>
      </c>
      <c r="DE94" s="4">
        <v>20.117843000000001</v>
      </c>
      <c r="DF94" s="4">
        <v>8.0226559999999996</v>
      </c>
      <c r="DG94" s="4">
        <v>1.1002160000000001</v>
      </c>
      <c r="DH94" s="4">
        <v>0.60179000000000005</v>
      </c>
      <c r="DI94" s="4">
        <v>0.398783</v>
      </c>
      <c r="DJ94" s="4">
        <v>0.13713900000000001</v>
      </c>
      <c r="DK94" s="4">
        <v>7.5010999999999994E-2</v>
      </c>
      <c r="DL94" s="4">
        <v>1</v>
      </c>
      <c r="DM94" s="4">
        <v>1</v>
      </c>
      <c r="DN94" s="4">
        <v>3</v>
      </c>
      <c r="DO94" s="4">
        <v>5</v>
      </c>
      <c r="DP94" s="4">
        <v>8</v>
      </c>
      <c r="DQ94" s="4">
        <v>10</v>
      </c>
      <c r="DR94" s="4">
        <v>15</v>
      </c>
      <c r="DS94" s="4">
        <v>19</v>
      </c>
      <c r="DT94" s="4">
        <v>23</v>
      </c>
      <c r="DU94" s="4">
        <v>26</v>
      </c>
      <c r="DV94" s="4">
        <v>28</v>
      </c>
      <c r="DW94" s="4">
        <v>30</v>
      </c>
      <c r="DX94" s="4">
        <v>43</v>
      </c>
      <c r="DY94" s="4">
        <v>49</v>
      </c>
      <c r="DZ94" s="4">
        <v>55</v>
      </c>
      <c r="EA94" s="4">
        <v>84.898711000000006</v>
      </c>
      <c r="EB94" s="4">
        <v>55.227189000000003</v>
      </c>
      <c r="EC94" s="4">
        <v>91.774095000000003</v>
      </c>
      <c r="ED94" s="4">
        <v>1383</v>
      </c>
      <c r="EE94" s="4">
        <v>1495</v>
      </c>
      <c r="EF94" s="4">
        <v>84.100674999999995</v>
      </c>
      <c r="EG94" s="4">
        <v>100</v>
      </c>
      <c r="EH94" s="4">
        <v>53.084595</v>
      </c>
      <c r="EI94" s="4">
        <v>98.411525999999995</v>
      </c>
      <c r="EJ94" s="4">
        <v>88.213628</v>
      </c>
      <c r="EK94" s="4">
        <v>163.535912</v>
      </c>
      <c r="EL94" s="4">
        <v>1370</v>
      </c>
      <c r="EM94" s="4">
        <v>1629</v>
      </c>
      <c r="EN94" s="4">
        <v>1437</v>
      </c>
      <c r="EO94" s="4">
        <v>2664</v>
      </c>
      <c r="EP94" s="4">
        <v>1629</v>
      </c>
      <c r="EQ94" s="4">
        <v>2707</v>
      </c>
      <c r="ER94" s="4">
        <v>46.016601999999999</v>
      </c>
    </row>
    <row r="95" spans="1:148" x14ac:dyDescent="0.2">
      <c r="A95" s="1">
        <v>2022</v>
      </c>
      <c r="B95" s="1" t="str">
        <f t="shared" si="2"/>
        <v>NE</v>
      </c>
      <c r="C95" s="1" t="s">
        <v>612</v>
      </c>
      <c r="D95" s="1" t="s">
        <v>612</v>
      </c>
      <c r="E95" s="1">
        <v>23564</v>
      </c>
      <c r="F95" s="1" t="s">
        <v>2080</v>
      </c>
      <c r="G95" s="1" t="s">
        <v>432</v>
      </c>
      <c r="H95" s="1" t="s">
        <v>613</v>
      </c>
      <c r="I95" s="1">
        <v>16.43</v>
      </c>
      <c r="J95" s="1">
        <v>16.43</v>
      </c>
      <c r="K95" s="1" t="s">
        <v>434</v>
      </c>
      <c r="L95" s="1">
        <v>1</v>
      </c>
      <c r="M95" s="1">
        <v>2015</v>
      </c>
      <c r="N95" s="1">
        <v>2</v>
      </c>
      <c r="O95" s="1">
        <v>2</v>
      </c>
      <c r="P95" s="1" t="str">
        <f t="shared" si="3"/>
        <v>Talhadia</v>
      </c>
      <c r="Q95" s="2">
        <v>42338</v>
      </c>
      <c r="R95" s="1" t="s">
        <v>306</v>
      </c>
      <c r="S95" s="1" t="s">
        <v>614</v>
      </c>
      <c r="T95" s="1" t="s">
        <v>2268</v>
      </c>
      <c r="U95" s="1" t="s">
        <v>151</v>
      </c>
      <c r="V95" s="1" t="s">
        <v>152</v>
      </c>
      <c r="W95" s="2">
        <v>44720</v>
      </c>
      <c r="X95" s="1" t="s">
        <v>435</v>
      </c>
      <c r="Y95" s="1">
        <v>105.57</v>
      </c>
      <c r="Z95" s="1">
        <v>20.8</v>
      </c>
      <c r="AA95" s="1">
        <v>20</v>
      </c>
      <c r="AB95" s="1">
        <v>16.100000000000001</v>
      </c>
      <c r="AC95" s="1">
        <v>15</v>
      </c>
      <c r="AD95" s="3">
        <v>334.88</v>
      </c>
      <c r="AE95" s="3">
        <v>303.961658544231</v>
      </c>
      <c r="AF95" s="2">
        <v>44720</v>
      </c>
      <c r="AG95" s="1">
        <v>79</v>
      </c>
      <c r="AH95" s="3">
        <v>6.52156057494867</v>
      </c>
      <c r="AI95" s="4">
        <v>22.651257274665699</v>
      </c>
      <c r="AJ95" s="4">
        <v>16.064516129032299</v>
      </c>
      <c r="AK95" s="4">
        <v>22.606507008891999</v>
      </c>
      <c r="AL95" s="1">
        <v>31</v>
      </c>
      <c r="AM95" s="5">
        <v>1019.86547081197</v>
      </c>
      <c r="AN95" s="4">
        <v>224.12086114796799</v>
      </c>
      <c r="AO95" s="4">
        <v>0.219755318286766</v>
      </c>
      <c r="AP95" s="1" t="s">
        <v>614</v>
      </c>
      <c r="AQ95" s="1" t="s">
        <v>254</v>
      </c>
      <c r="AR95" s="1" t="s">
        <v>438</v>
      </c>
      <c r="AS95" s="1">
        <v>9.99</v>
      </c>
      <c r="AT95" s="4">
        <v>1.0188456053411581</v>
      </c>
      <c r="AU95" s="1" t="s">
        <v>615</v>
      </c>
      <c r="AV95" s="1" t="s">
        <v>616</v>
      </c>
      <c r="AW95" s="1">
        <v>3940</v>
      </c>
      <c r="AX95" s="1">
        <v>2214</v>
      </c>
      <c r="AY95" s="1">
        <v>1490</v>
      </c>
      <c r="AZ95" s="1">
        <v>228</v>
      </c>
      <c r="BA95" s="1">
        <v>8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4">
        <v>-0.73199999999999998</v>
      </c>
      <c r="BI95" s="4">
        <v>29.823</v>
      </c>
      <c r="BJ95" s="4">
        <v>14.198448000000001</v>
      </c>
      <c r="BK95" s="4">
        <v>-0.247</v>
      </c>
      <c r="BL95" s="4">
        <v>12.396018</v>
      </c>
      <c r="BM95" s="4">
        <v>153.66126700000001</v>
      </c>
      <c r="BN95" s="4">
        <v>0.873054</v>
      </c>
      <c r="BO95" s="4">
        <v>26.042999999999999</v>
      </c>
      <c r="BP95" s="4">
        <v>-0.15543499999999999</v>
      </c>
      <c r="BQ95" s="4">
        <v>1.155732</v>
      </c>
      <c r="BR95" s="4">
        <v>11.949600999999999</v>
      </c>
      <c r="BS95" s="4">
        <v>8.0189990000000009</v>
      </c>
      <c r="BT95" s="4">
        <v>20.431999000000001</v>
      </c>
      <c r="BU95" s="4">
        <v>14.198448000000001</v>
      </c>
      <c r="BV95" s="4">
        <v>6.6638729999999997</v>
      </c>
      <c r="BW95" s="4">
        <v>-0.23755299999999999</v>
      </c>
      <c r="BX95" s="4">
        <v>-1.2865420000000001</v>
      </c>
      <c r="BY95" s="4">
        <v>0.46933799999999998</v>
      </c>
      <c r="BZ95" s="4">
        <v>-3.5647999999999999E-2</v>
      </c>
      <c r="CA95" s="4">
        <v>-0.19306200000000001</v>
      </c>
      <c r="CB95" s="4">
        <v>-0.35865999999999998</v>
      </c>
      <c r="CC95" s="4">
        <v>-0.16600000000000001</v>
      </c>
      <c r="CD95" s="4">
        <v>-7.3200000000000001E-2</v>
      </c>
      <c r="CE95" s="4">
        <v>3.1E-2</v>
      </c>
      <c r="CF95" s="4">
        <v>8.2000000000000003E-2</v>
      </c>
      <c r="CG95" s="4">
        <v>0.15079999999999999</v>
      </c>
      <c r="CH95" s="4">
        <v>0.74619999999999997</v>
      </c>
      <c r="CI95" s="4">
        <v>20.185001</v>
      </c>
      <c r="CJ95" s="4">
        <v>24.522197999999999</v>
      </c>
      <c r="CK95" s="4">
        <v>25.631799999999998</v>
      </c>
      <c r="CL95" s="4">
        <v>26.125</v>
      </c>
      <c r="CM95" s="4">
        <v>26.609200000000001</v>
      </c>
      <c r="CN95" s="4">
        <v>27.625402000000001</v>
      </c>
      <c r="CO95" s="4">
        <v>28.231000999999999</v>
      </c>
      <c r="CP95" s="4">
        <v>29.011050999999998</v>
      </c>
      <c r="CQ95" s="4">
        <v>0.48864200000000002</v>
      </c>
      <c r="CR95" s="4">
        <v>18.847232999999999</v>
      </c>
      <c r="CS95" s="4">
        <v>20.885193000000001</v>
      </c>
      <c r="CT95" s="1">
        <v>1</v>
      </c>
      <c r="CU95" s="1">
        <v>55</v>
      </c>
      <c r="CV95" s="4">
        <v>19.087817000000001</v>
      </c>
      <c r="CW95" s="4">
        <v>1.857143</v>
      </c>
      <c r="CX95" s="4">
        <v>13.026265</v>
      </c>
      <c r="CY95" s="4">
        <v>169.68357800000001</v>
      </c>
      <c r="CZ95" s="4">
        <v>0.68243900000000002</v>
      </c>
      <c r="DA95" s="4">
        <v>22</v>
      </c>
      <c r="DB95" s="4">
        <v>0.34956799999999999</v>
      </c>
      <c r="DC95" s="4">
        <v>2.1677870000000001</v>
      </c>
      <c r="DD95" s="4">
        <v>11.233605000000001</v>
      </c>
      <c r="DE95" s="4">
        <v>19.087817000000001</v>
      </c>
      <c r="DF95" s="4">
        <v>7.4324409999999999</v>
      </c>
      <c r="DG95" s="4">
        <v>0.63434800000000002</v>
      </c>
      <c r="DH95" s="4">
        <v>8.7251999999999996E-2</v>
      </c>
      <c r="DI95" s="4">
        <v>0.38938099999999998</v>
      </c>
      <c r="DJ95" s="4">
        <v>8.5348999999999994E-2</v>
      </c>
      <c r="DK95" s="4">
        <v>1.1738999999999999E-2</v>
      </c>
      <c r="DL95" s="4">
        <v>1</v>
      </c>
      <c r="DM95" s="4">
        <v>2</v>
      </c>
      <c r="DN95" s="4">
        <v>3</v>
      </c>
      <c r="DO95" s="4">
        <v>5</v>
      </c>
      <c r="DP95" s="4">
        <v>7</v>
      </c>
      <c r="DQ95" s="4">
        <v>9</v>
      </c>
      <c r="DR95" s="4">
        <v>14</v>
      </c>
      <c r="DS95" s="4">
        <v>18</v>
      </c>
      <c r="DT95" s="4">
        <v>23</v>
      </c>
      <c r="DU95" s="4">
        <v>27</v>
      </c>
      <c r="DV95" s="4">
        <v>29</v>
      </c>
      <c r="DW95" s="4">
        <v>31</v>
      </c>
      <c r="DX95" s="4">
        <v>36</v>
      </c>
      <c r="DY95" s="4">
        <v>41</v>
      </c>
      <c r="DZ95" s="4">
        <v>50</v>
      </c>
      <c r="EA95" s="4">
        <v>92.592592999999994</v>
      </c>
      <c r="EB95" s="4">
        <v>59.137056000000001</v>
      </c>
      <c r="EC95" s="4">
        <v>105.239386</v>
      </c>
      <c r="ED95" s="4">
        <v>2050</v>
      </c>
      <c r="EE95" s="4">
        <v>2330</v>
      </c>
      <c r="EF95" s="4">
        <v>89.701897000000002</v>
      </c>
      <c r="EG95" s="4">
        <v>100</v>
      </c>
      <c r="EH95" s="4">
        <v>54.314720999999999</v>
      </c>
      <c r="EI95" s="4">
        <v>97.715736000000007</v>
      </c>
      <c r="EJ95" s="4">
        <v>96.657633000000004</v>
      </c>
      <c r="EK95" s="4">
        <v>173.893406</v>
      </c>
      <c r="EL95" s="4">
        <v>1986</v>
      </c>
      <c r="EM95" s="4">
        <v>2214</v>
      </c>
      <c r="EN95" s="4">
        <v>2140</v>
      </c>
      <c r="EO95" s="4">
        <v>3850</v>
      </c>
      <c r="EP95" s="4">
        <v>2214</v>
      </c>
      <c r="EQ95" s="4">
        <v>3940</v>
      </c>
      <c r="ER95" s="4">
        <v>48.052095000000001</v>
      </c>
    </row>
    <row r="96" spans="1:148" x14ac:dyDescent="0.2">
      <c r="A96" s="1">
        <v>2022</v>
      </c>
      <c r="B96" s="1" t="str">
        <f t="shared" si="2"/>
        <v>NE</v>
      </c>
      <c r="C96" s="1" t="s">
        <v>617</v>
      </c>
      <c r="D96" s="1" t="s">
        <v>617</v>
      </c>
      <c r="E96" s="1">
        <v>23565</v>
      </c>
      <c r="F96" s="1" t="s">
        <v>2080</v>
      </c>
      <c r="G96" s="1" t="s">
        <v>432</v>
      </c>
      <c r="H96" s="1" t="s">
        <v>618</v>
      </c>
      <c r="I96" s="1">
        <v>23.53</v>
      </c>
      <c r="J96" s="1">
        <v>23.53</v>
      </c>
      <c r="K96" s="1" t="s">
        <v>434</v>
      </c>
      <c r="L96" s="1">
        <v>1</v>
      </c>
      <c r="M96" s="1">
        <v>2015</v>
      </c>
      <c r="N96" s="1">
        <v>2</v>
      </c>
      <c r="O96" s="1">
        <v>2</v>
      </c>
      <c r="P96" s="1" t="str">
        <f t="shared" si="3"/>
        <v>Talhadia</v>
      </c>
      <c r="Q96" s="2">
        <v>42338</v>
      </c>
      <c r="R96" s="1" t="s">
        <v>306</v>
      </c>
      <c r="S96" s="1" t="s">
        <v>619</v>
      </c>
      <c r="T96" s="1" t="s">
        <v>2268</v>
      </c>
      <c r="U96" s="1" t="s">
        <v>151</v>
      </c>
      <c r="V96" s="1" t="s">
        <v>152</v>
      </c>
      <c r="W96" s="2">
        <v>44720</v>
      </c>
      <c r="X96" s="1" t="s">
        <v>435</v>
      </c>
      <c r="Y96" s="1">
        <v>105.57</v>
      </c>
      <c r="Z96" s="1">
        <v>19.2</v>
      </c>
      <c r="AA96" s="1">
        <v>29</v>
      </c>
      <c r="AB96" s="1">
        <v>13.3</v>
      </c>
      <c r="AC96" s="1">
        <v>7</v>
      </c>
      <c r="AD96" s="3">
        <v>255.36</v>
      </c>
      <c r="AE96" s="3">
        <v>221.67812439288099</v>
      </c>
      <c r="AF96" s="2">
        <v>44720</v>
      </c>
      <c r="AG96" s="1">
        <v>79</v>
      </c>
      <c r="AH96" s="3">
        <v>6.52156057494867</v>
      </c>
      <c r="AI96" s="4">
        <v>22.821444693086701</v>
      </c>
      <c r="AJ96" s="4">
        <v>13.862500000000001</v>
      </c>
      <c r="AK96" s="4">
        <v>17.117027653336201</v>
      </c>
      <c r="AL96" s="1">
        <v>24</v>
      </c>
      <c r="AM96" s="5">
        <v>1082.6508057901401</v>
      </c>
      <c r="AN96" s="4">
        <v>167.97795276893501</v>
      </c>
      <c r="AO96" s="4">
        <v>0.15515432295488901</v>
      </c>
      <c r="AP96" s="1" t="s">
        <v>619</v>
      </c>
      <c r="AQ96" s="1" t="s">
        <v>254</v>
      </c>
      <c r="AR96" s="1" t="s">
        <v>438</v>
      </c>
      <c r="AS96" s="1">
        <v>9.99</v>
      </c>
      <c r="AT96" s="4">
        <v>1.0815681549843499</v>
      </c>
      <c r="AU96" s="1" t="s">
        <v>620</v>
      </c>
      <c r="AV96" s="1" t="s">
        <v>621</v>
      </c>
      <c r="AW96" s="1">
        <v>3101</v>
      </c>
      <c r="AX96" s="1">
        <v>1850</v>
      </c>
      <c r="AY96" s="1">
        <v>1205</v>
      </c>
      <c r="AZ96" s="1">
        <v>46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4">
        <v>-0.74199999999999999</v>
      </c>
      <c r="BI96" s="4">
        <v>26.483999000000001</v>
      </c>
      <c r="BJ96" s="4">
        <v>12.592739999999999</v>
      </c>
      <c r="BK96" s="4">
        <v>-0.30984099999999998</v>
      </c>
      <c r="BL96" s="4">
        <v>11.414161999999999</v>
      </c>
      <c r="BM96" s="4">
        <v>130.283083</v>
      </c>
      <c r="BN96" s="4">
        <v>0.90640799999999999</v>
      </c>
      <c r="BO96" s="4">
        <v>23.371001</v>
      </c>
      <c r="BP96" s="4">
        <v>-0.14730299999999999</v>
      </c>
      <c r="BQ96" s="4">
        <v>1.085048</v>
      </c>
      <c r="BR96" s="4">
        <v>11.201839</v>
      </c>
      <c r="BS96" s="4">
        <v>5.0680009999999998</v>
      </c>
      <c r="BT96" s="4">
        <v>20.552841000000001</v>
      </c>
      <c r="BU96" s="4">
        <v>12.592739999999999</v>
      </c>
      <c r="BV96" s="4">
        <v>5.9946109999999999</v>
      </c>
      <c r="BW96" s="4">
        <v>-0.22114200000000001</v>
      </c>
      <c r="BX96" s="4">
        <v>-1.239247</v>
      </c>
      <c r="BY96" s="4">
        <v>0.47603699999999999</v>
      </c>
      <c r="BZ96" s="4">
        <v>-3.6889999999999999E-2</v>
      </c>
      <c r="CA96" s="4">
        <v>-0.20672699999999999</v>
      </c>
      <c r="CB96" s="4">
        <v>-0.45200000000000001</v>
      </c>
      <c r="CC96" s="4">
        <v>-0.22800000000000001</v>
      </c>
      <c r="CD96" s="4">
        <v>-0.111</v>
      </c>
      <c r="CE96" s="4">
        <v>1.0999999999999999E-2</v>
      </c>
      <c r="CF96" s="4">
        <v>6.2E-2</v>
      </c>
      <c r="CG96" s="4">
        <v>0.112</v>
      </c>
      <c r="CH96" s="4">
        <v>0.252</v>
      </c>
      <c r="CI96" s="4">
        <v>20.242999999999999</v>
      </c>
      <c r="CJ96" s="4">
        <v>22.356000999999999</v>
      </c>
      <c r="CK96" s="4">
        <v>23.172999999999998</v>
      </c>
      <c r="CL96" s="4">
        <v>23.433001000000001</v>
      </c>
      <c r="CM96" s="4">
        <v>23.690000999999999</v>
      </c>
      <c r="CN96" s="4">
        <v>24.364000000000001</v>
      </c>
      <c r="CO96" s="4">
        <v>24.999001</v>
      </c>
      <c r="CP96" s="4">
        <v>25.91</v>
      </c>
      <c r="CQ96" s="4">
        <v>0.48977999999999999</v>
      </c>
      <c r="CR96" s="4">
        <v>16.994651000000001</v>
      </c>
      <c r="CS96" s="4">
        <v>18.850356999999999</v>
      </c>
      <c r="CT96" s="1">
        <v>1</v>
      </c>
      <c r="CU96" s="1">
        <v>46</v>
      </c>
      <c r="CV96" s="4">
        <v>13.470171000000001</v>
      </c>
      <c r="CW96" s="4">
        <v>1</v>
      </c>
      <c r="CX96" s="4">
        <v>8.9722240000000006</v>
      </c>
      <c r="CY96" s="4">
        <v>80.500803000000005</v>
      </c>
      <c r="CZ96" s="4">
        <v>0.66608100000000003</v>
      </c>
      <c r="DA96" s="4">
        <v>13</v>
      </c>
      <c r="DB96" s="4">
        <v>0.74526199999999998</v>
      </c>
      <c r="DC96" s="4">
        <v>3.4340519999999999</v>
      </c>
      <c r="DD96" s="4">
        <v>7.1184779999999996</v>
      </c>
      <c r="DE96" s="4">
        <v>13.470171000000001</v>
      </c>
      <c r="DF96" s="4">
        <v>4.9872649999999998</v>
      </c>
      <c r="DG96" s="4">
        <v>0.64127900000000004</v>
      </c>
      <c r="DH96" s="4">
        <v>0.50140600000000002</v>
      </c>
      <c r="DI96" s="4">
        <v>0.37024499999999999</v>
      </c>
      <c r="DJ96" s="4">
        <v>0.128583</v>
      </c>
      <c r="DK96" s="4">
        <v>0.100537</v>
      </c>
      <c r="DL96" s="4">
        <v>1</v>
      </c>
      <c r="DM96" s="4">
        <v>1</v>
      </c>
      <c r="DN96" s="4">
        <v>2</v>
      </c>
      <c r="DO96" s="4">
        <v>5</v>
      </c>
      <c r="DP96" s="4">
        <v>6</v>
      </c>
      <c r="DQ96" s="4">
        <v>7</v>
      </c>
      <c r="DR96" s="4">
        <v>11</v>
      </c>
      <c r="DS96" s="4">
        <v>13</v>
      </c>
      <c r="DT96" s="4">
        <v>15</v>
      </c>
      <c r="DU96" s="4">
        <v>17</v>
      </c>
      <c r="DV96" s="4">
        <v>19</v>
      </c>
      <c r="DW96" s="4">
        <v>20</v>
      </c>
      <c r="DX96" s="4">
        <v>25</v>
      </c>
      <c r="DY96" s="4">
        <v>30</v>
      </c>
      <c r="DZ96" s="4">
        <v>40</v>
      </c>
      <c r="EA96" s="4">
        <v>89.837838000000005</v>
      </c>
      <c r="EB96" s="4">
        <v>55.885198000000003</v>
      </c>
      <c r="EC96" s="4">
        <v>93.675675999999996</v>
      </c>
      <c r="ED96" s="4">
        <v>1662</v>
      </c>
      <c r="EE96" s="4">
        <v>1733</v>
      </c>
      <c r="EF96" s="4">
        <v>88.810811000000001</v>
      </c>
      <c r="EG96" s="4">
        <v>100</v>
      </c>
      <c r="EH96" s="4">
        <v>54.143825</v>
      </c>
      <c r="EI96" s="4">
        <v>97.355692000000005</v>
      </c>
      <c r="EJ96" s="4">
        <v>90.756756999999993</v>
      </c>
      <c r="EK96" s="4">
        <v>163.189189</v>
      </c>
      <c r="EL96" s="4">
        <v>1643</v>
      </c>
      <c r="EM96" s="4">
        <v>1850</v>
      </c>
      <c r="EN96" s="4">
        <v>1679</v>
      </c>
      <c r="EO96" s="4">
        <v>3019</v>
      </c>
      <c r="EP96" s="4">
        <v>1850</v>
      </c>
      <c r="EQ96" s="4">
        <v>3101</v>
      </c>
      <c r="ER96" s="4">
        <v>47.699613999999997</v>
      </c>
    </row>
    <row r="97" spans="1:148" x14ac:dyDescent="0.2">
      <c r="A97" s="1">
        <v>2022</v>
      </c>
      <c r="B97" s="1" t="str">
        <f t="shared" si="2"/>
        <v>NE</v>
      </c>
      <c r="C97" s="1" t="s">
        <v>622</v>
      </c>
      <c r="D97" s="1" t="s">
        <v>622</v>
      </c>
      <c r="E97" s="1">
        <v>23566</v>
      </c>
      <c r="F97" s="1" t="s">
        <v>2080</v>
      </c>
      <c r="G97" s="1" t="s">
        <v>432</v>
      </c>
      <c r="H97" s="1" t="s">
        <v>618</v>
      </c>
      <c r="I97" s="1">
        <v>23.53</v>
      </c>
      <c r="J97" s="1">
        <v>23.53</v>
      </c>
      <c r="K97" s="1" t="s">
        <v>434</v>
      </c>
      <c r="L97" s="1">
        <v>1</v>
      </c>
      <c r="M97" s="1">
        <v>2015</v>
      </c>
      <c r="N97" s="1">
        <v>2</v>
      </c>
      <c r="O97" s="1">
        <v>2</v>
      </c>
      <c r="P97" s="1" t="str">
        <f t="shared" si="3"/>
        <v>Talhadia</v>
      </c>
      <c r="Q97" s="2">
        <v>42338</v>
      </c>
      <c r="R97" s="1" t="s">
        <v>306</v>
      </c>
      <c r="S97" s="1" t="s">
        <v>619</v>
      </c>
      <c r="T97" s="1" t="s">
        <v>2268</v>
      </c>
      <c r="U97" s="1" t="s">
        <v>151</v>
      </c>
      <c r="V97" s="1" t="s">
        <v>152</v>
      </c>
      <c r="W97" s="2">
        <v>44720</v>
      </c>
      <c r="X97" s="1" t="s">
        <v>435</v>
      </c>
      <c r="Y97" s="1">
        <v>105.57</v>
      </c>
      <c r="Z97" s="1">
        <v>18.8</v>
      </c>
      <c r="AA97" s="1">
        <v>21</v>
      </c>
      <c r="AB97" s="1">
        <v>13.7</v>
      </c>
      <c r="AC97" s="1">
        <v>5</v>
      </c>
      <c r="AD97" s="3">
        <v>257.56</v>
      </c>
      <c r="AE97" s="3">
        <v>239.53797848534299</v>
      </c>
      <c r="AF97" s="2">
        <v>44720</v>
      </c>
      <c r="AG97" s="1">
        <v>79</v>
      </c>
      <c r="AH97" s="3">
        <v>6.52156057494867</v>
      </c>
      <c r="AI97" s="4">
        <v>23.807992029961198</v>
      </c>
      <c r="AJ97" s="4">
        <v>15.1045454545455</v>
      </c>
      <c r="AK97" s="4">
        <v>17.731019746792601</v>
      </c>
      <c r="AL97" s="1">
        <v>22</v>
      </c>
      <c r="AM97" s="5">
        <v>918.434735865741</v>
      </c>
      <c r="AN97" s="4">
        <v>188.56654349272301</v>
      </c>
      <c r="AO97" s="4">
        <v>0.20531294835552499</v>
      </c>
      <c r="AP97" s="1" t="s">
        <v>619</v>
      </c>
      <c r="AQ97" s="1" t="s">
        <v>254</v>
      </c>
      <c r="AR97" s="1" t="s">
        <v>438</v>
      </c>
      <c r="AS97" s="1">
        <v>9.99</v>
      </c>
      <c r="AT97" s="4">
        <v>0.91751630112987526</v>
      </c>
      <c r="AU97" s="1" t="s">
        <v>623</v>
      </c>
      <c r="AV97" s="1" t="s">
        <v>624</v>
      </c>
      <c r="AW97" s="1">
        <v>2965</v>
      </c>
      <c r="AX97" s="1">
        <v>1211</v>
      </c>
      <c r="AY97" s="1">
        <v>1624</v>
      </c>
      <c r="AZ97" s="1">
        <v>128</v>
      </c>
      <c r="BA97" s="1">
        <v>2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4">
        <v>-0.84199999999999997</v>
      </c>
      <c r="BI97" s="4">
        <v>28.954999999999998</v>
      </c>
      <c r="BJ97" s="4">
        <v>6.257663</v>
      </c>
      <c r="BK97" s="4">
        <v>-0.36903200000000003</v>
      </c>
      <c r="BL97" s="4">
        <v>10.654325</v>
      </c>
      <c r="BM97" s="4">
        <v>113.514644</v>
      </c>
      <c r="BN97" s="4">
        <v>1.702604</v>
      </c>
      <c r="BO97" s="4">
        <v>12.166</v>
      </c>
      <c r="BP97" s="4">
        <v>1.2190970000000001</v>
      </c>
      <c r="BQ97" s="4">
        <v>2.5942810000000001</v>
      </c>
      <c r="BR97" s="4">
        <v>9.1023599999999991</v>
      </c>
      <c r="BS97" s="4">
        <v>0.20699999999999999</v>
      </c>
      <c r="BT97" s="4">
        <v>0.52203200000000005</v>
      </c>
      <c r="BU97" s="4">
        <v>6.257663</v>
      </c>
      <c r="BV97" s="4">
        <v>4.7865380000000002</v>
      </c>
      <c r="BW97" s="4">
        <v>2.4673060000000002</v>
      </c>
      <c r="BX97" s="4">
        <v>0.52485000000000004</v>
      </c>
      <c r="BY97" s="4">
        <v>0.76490800000000003</v>
      </c>
      <c r="BZ97" s="4">
        <v>0.51546800000000004</v>
      </c>
      <c r="CA97" s="4">
        <v>0.109651</v>
      </c>
      <c r="CB97" s="4">
        <v>-0.43236000000000002</v>
      </c>
      <c r="CC97" s="4">
        <v>-0.21579999999999999</v>
      </c>
      <c r="CD97" s="4">
        <v>-0.1236</v>
      </c>
      <c r="CE97" s="4">
        <v>-3.3000000000000002E-2</v>
      </c>
      <c r="CF97" s="4">
        <v>2E-3</v>
      </c>
      <c r="CG97" s="4">
        <v>3.3000000000000002E-2</v>
      </c>
      <c r="CH97" s="4">
        <v>9.4E-2</v>
      </c>
      <c r="CI97" s="4">
        <v>0.153</v>
      </c>
      <c r="CJ97" s="4">
        <v>0.24</v>
      </c>
      <c r="CK97" s="4">
        <v>0.4698</v>
      </c>
      <c r="CL97" s="4">
        <v>12.167999999999999</v>
      </c>
      <c r="CM97" s="4">
        <v>22.742394999999998</v>
      </c>
      <c r="CN97" s="4">
        <v>26.058800000000002</v>
      </c>
      <c r="CO97" s="4">
        <v>27.065000999999999</v>
      </c>
      <c r="CP97" s="4">
        <v>28.108801</v>
      </c>
      <c r="CQ97" s="4">
        <v>0.23826800000000001</v>
      </c>
      <c r="CR97" s="4">
        <v>12.354542</v>
      </c>
      <c r="CS97" s="4">
        <v>15.67201</v>
      </c>
      <c r="CT97" s="1">
        <v>1</v>
      </c>
      <c r="CU97" s="1">
        <v>47</v>
      </c>
      <c r="CV97" s="4">
        <v>14.40371</v>
      </c>
      <c r="CW97" s="4">
        <v>2.4603169999999999</v>
      </c>
      <c r="CX97" s="4">
        <v>10.782159999999999</v>
      </c>
      <c r="CY97" s="4">
        <v>116.25497900000001</v>
      </c>
      <c r="CZ97" s="4">
        <v>0.74856800000000001</v>
      </c>
      <c r="DA97" s="4">
        <v>16</v>
      </c>
      <c r="DB97" s="4">
        <v>0.69183899999999998</v>
      </c>
      <c r="DC97" s="4">
        <v>2.4022899999999998</v>
      </c>
      <c r="DD97" s="4">
        <v>9.018497</v>
      </c>
      <c r="DE97" s="4">
        <v>14.40371</v>
      </c>
      <c r="DF97" s="4">
        <v>6.0298100000000003</v>
      </c>
      <c r="DG97" s="4">
        <v>1.1428659999999999</v>
      </c>
      <c r="DH97" s="4">
        <v>0.252606</v>
      </c>
      <c r="DI97" s="4">
        <v>0.41862899999999997</v>
      </c>
      <c r="DJ97" s="4">
        <v>0.18953600000000001</v>
      </c>
      <c r="DK97" s="4">
        <v>4.1893E-2</v>
      </c>
      <c r="DL97" s="4">
        <v>1</v>
      </c>
      <c r="DM97" s="4">
        <v>1</v>
      </c>
      <c r="DN97" s="4">
        <v>2</v>
      </c>
      <c r="DO97" s="4">
        <v>4</v>
      </c>
      <c r="DP97" s="4">
        <v>5</v>
      </c>
      <c r="DQ97" s="4">
        <v>6</v>
      </c>
      <c r="DR97" s="4">
        <v>9</v>
      </c>
      <c r="DS97" s="4">
        <v>12</v>
      </c>
      <c r="DT97" s="4">
        <v>15</v>
      </c>
      <c r="DU97" s="4">
        <v>19</v>
      </c>
      <c r="DV97" s="4">
        <v>21</v>
      </c>
      <c r="DW97" s="4">
        <v>24</v>
      </c>
      <c r="DX97" s="4">
        <v>32</v>
      </c>
      <c r="DY97" s="4">
        <v>35</v>
      </c>
      <c r="DZ97" s="4">
        <v>39</v>
      </c>
      <c r="EA97" s="4">
        <v>58.216349999999998</v>
      </c>
      <c r="EB97" s="4">
        <v>26.239460000000001</v>
      </c>
      <c r="EC97" s="4">
        <v>64.244426000000004</v>
      </c>
      <c r="ED97" s="4">
        <v>705</v>
      </c>
      <c r="EE97" s="4">
        <v>778</v>
      </c>
      <c r="EF97" s="4">
        <v>57.968620999999999</v>
      </c>
      <c r="EG97" s="4">
        <v>100</v>
      </c>
      <c r="EH97" s="4">
        <v>25.834738999999999</v>
      </c>
      <c r="EI97" s="4">
        <v>98.111298000000005</v>
      </c>
      <c r="EJ97" s="4">
        <v>63.253509000000001</v>
      </c>
      <c r="EK97" s="4">
        <v>240.214699</v>
      </c>
      <c r="EL97" s="4">
        <v>702</v>
      </c>
      <c r="EM97" s="4">
        <v>1211</v>
      </c>
      <c r="EN97" s="4">
        <v>766</v>
      </c>
      <c r="EO97" s="4">
        <v>2909</v>
      </c>
      <c r="EP97" s="4">
        <v>1211</v>
      </c>
      <c r="EQ97" s="4">
        <v>2965</v>
      </c>
      <c r="ER97" s="4">
        <v>21.400859000000001</v>
      </c>
    </row>
    <row r="98" spans="1:148" x14ac:dyDescent="0.2">
      <c r="A98" s="1">
        <v>2022</v>
      </c>
      <c r="B98" s="1" t="str">
        <f t="shared" si="2"/>
        <v>GN</v>
      </c>
      <c r="C98" s="1" t="s">
        <v>625</v>
      </c>
      <c r="D98" s="1" t="s">
        <v>625</v>
      </c>
      <c r="E98" s="1">
        <v>23808</v>
      </c>
      <c r="F98" s="1" t="s">
        <v>2081</v>
      </c>
      <c r="G98" s="1" t="s">
        <v>626</v>
      </c>
      <c r="H98" s="1" t="s">
        <v>627</v>
      </c>
      <c r="I98" s="1">
        <v>48.56</v>
      </c>
      <c r="J98" s="1">
        <v>48.56</v>
      </c>
      <c r="K98" s="1" t="s">
        <v>192</v>
      </c>
      <c r="L98" s="1">
        <v>1</v>
      </c>
      <c r="M98" s="1">
        <v>2015</v>
      </c>
      <c r="N98" s="1">
        <v>3</v>
      </c>
      <c r="O98" s="1">
        <v>1</v>
      </c>
      <c r="P98" s="1" t="str">
        <f t="shared" si="3"/>
        <v>Alto fuste</v>
      </c>
      <c r="Q98" s="2">
        <v>42184</v>
      </c>
      <c r="R98" s="1" t="s">
        <v>169</v>
      </c>
      <c r="S98" s="1" t="s">
        <v>287</v>
      </c>
      <c r="T98" s="1" t="s">
        <v>2268</v>
      </c>
      <c r="U98" s="1" t="s">
        <v>192</v>
      </c>
      <c r="V98" s="1" t="s">
        <v>152</v>
      </c>
      <c r="W98" s="2">
        <v>44643</v>
      </c>
      <c r="X98" s="1" t="s">
        <v>628</v>
      </c>
      <c r="Y98" s="1">
        <v>196.33</v>
      </c>
      <c r="Z98" s="1">
        <v>20.8</v>
      </c>
      <c r="AA98" s="1">
        <v>15</v>
      </c>
      <c r="AB98" s="1">
        <v>15.3</v>
      </c>
      <c r="AC98" s="1">
        <v>0</v>
      </c>
      <c r="AD98" s="3">
        <v>318.24</v>
      </c>
      <c r="AE98" s="3">
        <v>307.39623495823298</v>
      </c>
      <c r="AF98" s="2">
        <v>44636</v>
      </c>
      <c r="AG98" s="1">
        <v>81</v>
      </c>
      <c r="AH98" s="3">
        <v>6.7132101300479103</v>
      </c>
      <c r="AI98" s="4">
        <v>33.839990899158998</v>
      </c>
      <c r="AJ98" s="4">
        <v>17.8</v>
      </c>
      <c r="AK98" s="4">
        <v>23.984064416379699</v>
      </c>
      <c r="AL98" s="1">
        <v>29</v>
      </c>
      <c r="AM98" s="5">
        <v>943.40778129375303</v>
      </c>
      <c r="AN98" s="4">
        <v>367.37800280738901</v>
      </c>
      <c r="AO98" s="4">
        <v>0.38941591334298797</v>
      </c>
      <c r="AP98" s="1" t="s">
        <v>287</v>
      </c>
      <c r="AQ98" s="1" t="s">
        <v>156</v>
      </c>
      <c r="AR98" s="1" t="s">
        <v>631</v>
      </c>
      <c r="AS98" s="1">
        <v>9</v>
      </c>
      <c r="AT98" s="4">
        <v>0.84906700316437778</v>
      </c>
      <c r="AU98" s="1" t="s">
        <v>629</v>
      </c>
      <c r="AV98" s="1" t="s">
        <v>630</v>
      </c>
      <c r="AW98" s="1">
        <v>5059</v>
      </c>
      <c r="AX98" s="1">
        <v>2815</v>
      </c>
      <c r="AY98" s="1">
        <v>1852</v>
      </c>
      <c r="AZ98" s="1">
        <v>367</v>
      </c>
      <c r="BA98" s="1">
        <v>25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4">
        <v>-0.91700000000000004</v>
      </c>
      <c r="BI98" s="4">
        <v>33.766998000000001</v>
      </c>
      <c r="BJ98" s="4">
        <v>18.672146999999999</v>
      </c>
      <c r="BK98" s="4">
        <v>-0.36646000000000001</v>
      </c>
      <c r="BL98" s="4">
        <v>13.797734</v>
      </c>
      <c r="BM98" s="4">
        <v>190.37747200000001</v>
      </c>
      <c r="BN98" s="4">
        <v>0.73894700000000002</v>
      </c>
      <c r="BO98" s="4">
        <v>30.832001000000002</v>
      </c>
      <c r="BP98" s="4">
        <v>-0.455208</v>
      </c>
      <c r="BQ98" s="4">
        <v>1.4051670000000001</v>
      </c>
      <c r="BR98" s="4">
        <v>12.680329</v>
      </c>
      <c r="BS98" s="4">
        <v>6.4969999999999999</v>
      </c>
      <c r="BT98" s="4">
        <v>25.884460000000001</v>
      </c>
      <c r="BU98" s="4">
        <v>18.672146999999999</v>
      </c>
      <c r="BV98" s="4">
        <v>7.3939599999999999</v>
      </c>
      <c r="BW98" s="4">
        <v>-1.221066</v>
      </c>
      <c r="BX98" s="4">
        <v>-1.100481</v>
      </c>
      <c r="BY98" s="4">
        <v>0.39598899999999998</v>
      </c>
      <c r="BZ98" s="4">
        <v>-0.16514400000000001</v>
      </c>
      <c r="CA98" s="4">
        <v>-0.148835</v>
      </c>
      <c r="CB98" s="4">
        <v>-0.40983999999999998</v>
      </c>
      <c r="CC98" s="4">
        <v>-0.15310000000000001</v>
      </c>
      <c r="CD98" s="4">
        <v>-4.2999999999999997E-2</v>
      </c>
      <c r="CE98" s="4">
        <v>0.111</v>
      </c>
      <c r="CF98" s="4">
        <v>0.1865</v>
      </c>
      <c r="CG98" s="4">
        <v>0.34599999999999997</v>
      </c>
      <c r="CH98" s="4">
        <v>18.7806</v>
      </c>
      <c r="CI98" s="4">
        <v>25.518000000000001</v>
      </c>
      <c r="CJ98" s="4">
        <v>29.8916</v>
      </c>
      <c r="CK98" s="4">
        <v>30.688199999999998</v>
      </c>
      <c r="CL98" s="4">
        <v>31.018501000000001</v>
      </c>
      <c r="CM98" s="4">
        <v>31.343800000000002</v>
      </c>
      <c r="CN98" s="4">
        <v>31.9802</v>
      </c>
      <c r="CO98" s="4">
        <v>32.311100000000003</v>
      </c>
      <c r="CP98" s="4">
        <v>32.987419000000003</v>
      </c>
      <c r="CQ98" s="4">
        <v>0.56478899999999999</v>
      </c>
      <c r="CR98" s="4">
        <v>23.216135000000001</v>
      </c>
      <c r="CS98" s="4">
        <v>25.186171999999999</v>
      </c>
      <c r="CT98" s="1">
        <v>1</v>
      </c>
      <c r="CU98" s="1">
        <v>60</v>
      </c>
      <c r="CV98" s="4">
        <v>12.252618999999999</v>
      </c>
      <c r="CW98" s="4">
        <v>1</v>
      </c>
      <c r="CX98" s="4">
        <v>8.9264510000000001</v>
      </c>
      <c r="CY98" s="4">
        <v>79.681524999999993</v>
      </c>
      <c r="CZ98" s="4">
        <v>0.72853400000000001</v>
      </c>
      <c r="DA98" s="4">
        <v>14</v>
      </c>
      <c r="DB98" s="4">
        <v>0.84310099999999999</v>
      </c>
      <c r="DC98" s="4">
        <v>3.891664</v>
      </c>
      <c r="DD98" s="4">
        <v>7.3021250000000002</v>
      </c>
      <c r="DE98" s="4">
        <v>12.252618999999999</v>
      </c>
      <c r="DF98" s="4">
        <v>4.9336960000000003</v>
      </c>
      <c r="DG98" s="4">
        <v>0.69478200000000001</v>
      </c>
      <c r="DH98" s="4">
        <v>0.30147800000000002</v>
      </c>
      <c r="DI98" s="4">
        <v>0.402665</v>
      </c>
      <c r="DJ98" s="4">
        <v>0.140824</v>
      </c>
      <c r="DK98" s="4">
        <v>6.1106000000000001E-2</v>
      </c>
      <c r="DL98" s="4">
        <v>1</v>
      </c>
      <c r="DM98" s="4">
        <v>1</v>
      </c>
      <c r="DN98" s="4">
        <v>2</v>
      </c>
      <c r="DO98" s="4">
        <v>3</v>
      </c>
      <c r="DP98" s="4">
        <v>4</v>
      </c>
      <c r="DQ98" s="4">
        <v>5</v>
      </c>
      <c r="DR98" s="4">
        <v>8</v>
      </c>
      <c r="DS98" s="4">
        <v>12</v>
      </c>
      <c r="DT98" s="4">
        <v>14</v>
      </c>
      <c r="DU98" s="4">
        <v>17</v>
      </c>
      <c r="DV98" s="4">
        <v>18</v>
      </c>
      <c r="DW98" s="4">
        <v>19</v>
      </c>
      <c r="DX98" s="4">
        <v>23</v>
      </c>
      <c r="DY98" s="4">
        <v>28</v>
      </c>
      <c r="DZ98" s="4">
        <v>40</v>
      </c>
      <c r="EA98" s="4">
        <v>95.346359000000007</v>
      </c>
      <c r="EB98" s="4">
        <v>67.602293000000003</v>
      </c>
      <c r="EC98" s="4">
        <v>121.492007</v>
      </c>
      <c r="ED98" s="4">
        <v>2684</v>
      </c>
      <c r="EE98" s="4">
        <v>3420</v>
      </c>
      <c r="EF98" s="4">
        <v>92.291297</v>
      </c>
      <c r="EG98" s="4">
        <v>100</v>
      </c>
      <c r="EH98" s="4">
        <v>60.288595000000001</v>
      </c>
      <c r="EI98" s="4">
        <v>98.616326999999998</v>
      </c>
      <c r="EJ98" s="4">
        <v>108.348135</v>
      </c>
      <c r="EK98" s="4">
        <v>177.22913</v>
      </c>
      <c r="EL98" s="4">
        <v>2598</v>
      </c>
      <c r="EM98" s="4">
        <v>2815</v>
      </c>
      <c r="EN98" s="4">
        <v>3050</v>
      </c>
      <c r="EO98" s="4">
        <v>4989</v>
      </c>
      <c r="EP98" s="4">
        <v>2815</v>
      </c>
      <c r="EQ98" s="4">
        <v>5059</v>
      </c>
      <c r="ER98" s="4">
        <v>55.663939999999997</v>
      </c>
    </row>
    <row r="99" spans="1:148" x14ac:dyDescent="0.2">
      <c r="A99" s="1">
        <v>2022</v>
      </c>
      <c r="B99" s="1" t="str">
        <f t="shared" si="2"/>
        <v>GN</v>
      </c>
      <c r="C99" s="1" t="s">
        <v>632</v>
      </c>
      <c r="D99" s="1" t="s">
        <v>632</v>
      </c>
      <c r="E99" s="1">
        <v>23809</v>
      </c>
      <c r="F99" s="1" t="s">
        <v>2081</v>
      </c>
      <c r="G99" s="1" t="s">
        <v>626</v>
      </c>
      <c r="H99" s="1" t="s">
        <v>627</v>
      </c>
      <c r="I99" s="1">
        <v>48.56</v>
      </c>
      <c r="J99" s="1">
        <v>48.56</v>
      </c>
      <c r="K99" s="1" t="s">
        <v>192</v>
      </c>
      <c r="L99" s="1">
        <v>1</v>
      </c>
      <c r="M99" s="1">
        <v>2015</v>
      </c>
      <c r="N99" s="1">
        <v>3</v>
      </c>
      <c r="O99" s="1">
        <v>1</v>
      </c>
      <c r="P99" s="1" t="str">
        <f t="shared" si="3"/>
        <v>Alto fuste</v>
      </c>
      <c r="Q99" s="2">
        <v>42184</v>
      </c>
      <c r="R99" s="1" t="s">
        <v>169</v>
      </c>
      <c r="S99" s="1" t="s">
        <v>287</v>
      </c>
      <c r="T99" s="1" t="s">
        <v>2268</v>
      </c>
      <c r="U99" s="1" t="s">
        <v>192</v>
      </c>
      <c r="V99" s="1" t="s">
        <v>152</v>
      </c>
      <c r="W99" s="2">
        <v>44643</v>
      </c>
      <c r="X99" s="1" t="s">
        <v>628</v>
      </c>
      <c r="Y99" s="1">
        <v>196.33</v>
      </c>
      <c r="Z99" s="1">
        <v>19</v>
      </c>
      <c r="AA99" s="1">
        <v>10</v>
      </c>
      <c r="AB99" s="1">
        <v>15.8</v>
      </c>
      <c r="AC99" s="1">
        <v>1</v>
      </c>
      <c r="AD99" s="3">
        <v>300.2</v>
      </c>
      <c r="AE99" s="3">
        <v>295.59426015882502</v>
      </c>
      <c r="AF99" s="2">
        <v>44636</v>
      </c>
      <c r="AG99" s="1">
        <v>81</v>
      </c>
      <c r="AH99" s="3">
        <v>6.7132101300479103</v>
      </c>
      <c r="AI99" s="4">
        <v>31.710861239014299</v>
      </c>
      <c r="AJ99" s="4">
        <v>16.462499999999999</v>
      </c>
      <c r="AK99" s="4">
        <v>23.700354610413399</v>
      </c>
      <c r="AL99" s="1">
        <v>32</v>
      </c>
      <c r="AM99" s="5">
        <v>1082.5649991581799</v>
      </c>
      <c r="AN99" s="4">
        <v>344.84037608273502</v>
      </c>
      <c r="AO99" s="4">
        <v>0.31854011200333399</v>
      </c>
      <c r="AP99" s="1" t="s">
        <v>287</v>
      </c>
      <c r="AQ99" s="1" t="s">
        <v>156</v>
      </c>
      <c r="AR99" s="1" t="s">
        <v>631</v>
      </c>
      <c r="AS99" s="1">
        <v>9</v>
      </c>
      <c r="AT99" s="4">
        <v>0.97430849924236196</v>
      </c>
      <c r="AU99" s="1" t="s">
        <v>633</v>
      </c>
      <c r="AV99" s="1" t="s">
        <v>634</v>
      </c>
      <c r="AW99" s="1">
        <v>1902</v>
      </c>
      <c r="AX99" s="1">
        <v>1051</v>
      </c>
      <c r="AY99" s="1">
        <v>788</v>
      </c>
      <c r="AZ99" s="1">
        <v>63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4">
        <v>-0.79900000000000004</v>
      </c>
      <c r="BI99" s="4">
        <v>32.691001999999997</v>
      </c>
      <c r="BJ99" s="4">
        <v>16.030761999999999</v>
      </c>
      <c r="BK99" s="4">
        <v>-0.26741300000000001</v>
      </c>
      <c r="BL99" s="4">
        <v>14.603676</v>
      </c>
      <c r="BM99" s="4">
        <v>213.26734500000001</v>
      </c>
      <c r="BN99" s="4">
        <v>0.91097799999999995</v>
      </c>
      <c r="BO99" s="4">
        <v>30.038501</v>
      </c>
      <c r="BP99" s="4">
        <v>-0.134024</v>
      </c>
      <c r="BQ99" s="4">
        <v>1.068908</v>
      </c>
      <c r="BR99" s="4">
        <v>14.379742999999999</v>
      </c>
      <c r="BS99" s="4">
        <v>5.4370010000000004</v>
      </c>
      <c r="BT99" s="4">
        <v>26.463913000000002</v>
      </c>
      <c r="BU99" s="4">
        <v>16.030761999999999</v>
      </c>
      <c r="BV99" s="4">
        <v>7.6177510000000002</v>
      </c>
      <c r="BW99" s="4">
        <v>-0.31879200000000002</v>
      </c>
      <c r="BX99" s="4">
        <v>-1.6692089999999999</v>
      </c>
      <c r="BY99" s="4">
        <v>0.47519600000000001</v>
      </c>
      <c r="BZ99" s="4">
        <v>-4.1848999999999997E-2</v>
      </c>
      <c r="CA99" s="4">
        <v>-0.21912100000000001</v>
      </c>
      <c r="CB99" s="4">
        <v>-0.40096999999999999</v>
      </c>
      <c r="CC99" s="4">
        <v>-0.1888</v>
      </c>
      <c r="CD99" s="4">
        <v>-9.5899999999999999E-2</v>
      </c>
      <c r="CE99" s="4">
        <v>4.0000000000000001E-3</v>
      </c>
      <c r="CF99" s="4">
        <v>4.3249999999999997E-2</v>
      </c>
      <c r="CG99" s="4">
        <v>9.0300000000000005E-2</v>
      </c>
      <c r="CH99" s="4">
        <v>0.2424</v>
      </c>
      <c r="CI99" s="4">
        <v>26.196498999999999</v>
      </c>
      <c r="CJ99" s="4">
        <v>28.952000000000002</v>
      </c>
      <c r="CK99" s="4">
        <v>29.729700000000001</v>
      </c>
      <c r="CL99" s="4">
        <v>30.081751000000001</v>
      </c>
      <c r="CM99" s="4">
        <v>30.3582</v>
      </c>
      <c r="CN99" s="4">
        <v>30.911701000000001</v>
      </c>
      <c r="CO99" s="4">
        <v>31.329649</v>
      </c>
      <c r="CP99" s="4">
        <v>31.958940999999999</v>
      </c>
      <c r="CQ99" s="4">
        <v>0.50253099999999995</v>
      </c>
      <c r="CR99" s="4">
        <v>21.682725000000001</v>
      </c>
      <c r="CS99" s="4">
        <v>24.074757000000002</v>
      </c>
      <c r="CT99" s="1">
        <v>1</v>
      </c>
      <c r="CU99" s="1">
        <v>51</v>
      </c>
      <c r="CV99" s="4">
        <v>13.850158</v>
      </c>
      <c r="CW99" s="4">
        <v>1</v>
      </c>
      <c r="CX99" s="4">
        <v>9.1354380000000006</v>
      </c>
      <c r="CY99" s="4">
        <v>83.456231000000002</v>
      </c>
      <c r="CZ99" s="4">
        <v>0.65959100000000004</v>
      </c>
      <c r="DA99" s="4">
        <v>14</v>
      </c>
      <c r="DB99" s="4">
        <v>0.56514600000000004</v>
      </c>
      <c r="DC99" s="4">
        <v>3.032686</v>
      </c>
      <c r="DD99" s="4">
        <v>7.5770730000000004</v>
      </c>
      <c r="DE99" s="4">
        <v>13.850158</v>
      </c>
      <c r="DF99" s="4">
        <v>5.1309230000000001</v>
      </c>
      <c r="DG99" s="4">
        <v>0.48707099999999998</v>
      </c>
      <c r="DH99" s="4">
        <v>0.29932399999999998</v>
      </c>
      <c r="DI99" s="4">
        <v>0.37046000000000001</v>
      </c>
      <c r="DJ99" s="4">
        <v>9.4928999999999999E-2</v>
      </c>
      <c r="DK99" s="4">
        <v>5.8337E-2</v>
      </c>
      <c r="DL99" s="4">
        <v>1</v>
      </c>
      <c r="DM99" s="4">
        <v>1</v>
      </c>
      <c r="DN99" s="4">
        <v>2</v>
      </c>
      <c r="DO99" s="4">
        <v>5</v>
      </c>
      <c r="DP99" s="4">
        <v>6</v>
      </c>
      <c r="DQ99" s="4">
        <v>7</v>
      </c>
      <c r="DR99" s="4">
        <v>10</v>
      </c>
      <c r="DS99" s="4">
        <v>14</v>
      </c>
      <c r="DT99" s="4">
        <v>17</v>
      </c>
      <c r="DU99" s="4">
        <v>19</v>
      </c>
      <c r="DV99" s="4">
        <v>20</v>
      </c>
      <c r="DW99" s="4">
        <v>21</v>
      </c>
      <c r="DX99" s="4">
        <v>25</v>
      </c>
      <c r="DY99" s="4">
        <v>30</v>
      </c>
      <c r="DZ99" s="4">
        <v>40</v>
      </c>
      <c r="EA99" s="4">
        <v>94.386298999999994</v>
      </c>
      <c r="EB99" s="4">
        <v>56.256571999999998</v>
      </c>
      <c r="EC99" s="4">
        <v>101.807802</v>
      </c>
      <c r="ED99" s="4">
        <v>992</v>
      </c>
      <c r="EE99" s="4">
        <v>1070</v>
      </c>
      <c r="EF99" s="4">
        <v>92.673643999999996</v>
      </c>
      <c r="EG99" s="4">
        <v>100</v>
      </c>
      <c r="EH99" s="4">
        <v>52.839117000000002</v>
      </c>
      <c r="EI99" s="4">
        <v>97.318612000000002</v>
      </c>
      <c r="EJ99" s="4">
        <v>95.623215999999999</v>
      </c>
      <c r="EK99" s="4">
        <v>176.11798300000001</v>
      </c>
      <c r="EL99" s="4">
        <v>974</v>
      </c>
      <c r="EM99" s="4">
        <v>1051</v>
      </c>
      <c r="EN99" s="4">
        <v>1005</v>
      </c>
      <c r="EO99" s="4">
        <v>1851</v>
      </c>
      <c r="EP99" s="4">
        <v>1051</v>
      </c>
      <c r="EQ99" s="4">
        <v>1902</v>
      </c>
      <c r="ER99" s="4">
        <v>49.267597000000002</v>
      </c>
    </row>
    <row r="100" spans="1:148" x14ac:dyDescent="0.2">
      <c r="A100" s="1">
        <v>2022</v>
      </c>
      <c r="B100" s="1" t="str">
        <f t="shared" si="2"/>
        <v>GN</v>
      </c>
      <c r="C100" s="1" t="s">
        <v>635</v>
      </c>
      <c r="D100" s="1" t="s">
        <v>635</v>
      </c>
      <c r="E100" s="1">
        <v>23810</v>
      </c>
      <c r="F100" s="1" t="s">
        <v>2081</v>
      </c>
      <c r="G100" s="1" t="s">
        <v>626</v>
      </c>
      <c r="H100" s="1" t="s">
        <v>627</v>
      </c>
      <c r="I100" s="1">
        <v>48.56</v>
      </c>
      <c r="J100" s="1">
        <v>48.56</v>
      </c>
      <c r="K100" s="1" t="s">
        <v>192</v>
      </c>
      <c r="L100" s="1">
        <v>1</v>
      </c>
      <c r="M100" s="1">
        <v>2015</v>
      </c>
      <c r="N100" s="1">
        <v>3</v>
      </c>
      <c r="O100" s="1">
        <v>1</v>
      </c>
      <c r="P100" s="1" t="str">
        <f t="shared" si="3"/>
        <v>Alto fuste</v>
      </c>
      <c r="Q100" s="2">
        <v>42184</v>
      </c>
      <c r="R100" s="1" t="s">
        <v>169</v>
      </c>
      <c r="S100" s="1" t="s">
        <v>287</v>
      </c>
      <c r="T100" s="1" t="s">
        <v>2268</v>
      </c>
      <c r="U100" s="1" t="s">
        <v>192</v>
      </c>
      <c r="V100" s="1" t="s">
        <v>152</v>
      </c>
      <c r="W100" s="2">
        <v>44643</v>
      </c>
      <c r="X100" s="1" t="s">
        <v>628</v>
      </c>
      <c r="Y100" s="1">
        <v>196.33</v>
      </c>
      <c r="Z100" s="1">
        <v>19</v>
      </c>
      <c r="AA100" s="1">
        <v>1</v>
      </c>
      <c r="AB100" s="1">
        <v>15.8</v>
      </c>
      <c r="AC100" s="1">
        <v>1</v>
      </c>
      <c r="AD100" s="3">
        <v>300.2</v>
      </c>
      <c r="AE100" s="3">
        <v>300.10856313556599</v>
      </c>
      <c r="AF100" s="2">
        <v>44643</v>
      </c>
      <c r="AG100" s="1">
        <v>81</v>
      </c>
      <c r="AH100" s="3">
        <v>6.7323750855578401</v>
      </c>
      <c r="AI100" s="4">
        <v>31.176536690361601</v>
      </c>
      <c r="AJ100" s="4">
        <v>15.984375</v>
      </c>
      <c r="AK100" s="4">
        <v>21.912349905668901</v>
      </c>
      <c r="AL100" s="1">
        <v>32</v>
      </c>
      <c r="AM100" s="5">
        <v>1066.2808040417301</v>
      </c>
      <c r="AN100" s="4">
        <v>312.62932121212202</v>
      </c>
      <c r="AO100" s="4">
        <v>0.29319605119692899</v>
      </c>
      <c r="AP100" s="1" t="s">
        <v>287</v>
      </c>
      <c r="AQ100" s="1" t="s">
        <v>156</v>
      </c>
      <c r="AR100" s="1" t="s">
        <v>631</v>
      </c>
      <c r="AS100" s="1">
        <v>9</v>
      </c>
      <c r="AT100" s="4">
        <v>0.95965272363755716</v>
      </c>
      <c r="AU100" s="1" t="s">
        <v>636</v>
      </c>
      <c r="AV100" s="1" t="s">
        <v>637</v>
      </c>
      <c r="AW100" s="1">
        <v>3175</v>
      </c>
      <c r="AX100" s="1">
        <v>1783</v>
      </c>
      <c r="AY100" s="1">
        <v>1286</v>
      </c>
      <c r="AZ100" s="1">
        <v>100</v>
      </c>
      <c r="BA100" s="1">
        <v>6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4">
        <v>-0.75700000000000001</v>
      </c>
      <c r="BI100" s="4">
        <v>31.670999999999999</v>
      </c>
      <c r="BJ100" s="4">
        <v>16.182729999999999</v>
      </c>
      <c r="BK100" s="4">
        <v>-0.24227000000000001</v>
      </c>
      <c r="BL100" s="4">
        <v>13.75662</v>
      </c>
      <c r="BM100" s="4">
        <v>189.24459999999999</v>
      </c>
      <c r="BN100" s="4">
        <v>0.85007999999999995</v>
      </c>
      <c r="BO100" s="4">
        <v>28.428501000000001</v>
      </c>
      <c r="BP100" s="4">
        <v>-0.26809699999999997</v>
      </c>
      <c r="BQ100" s="4">
        <v>1.125613</v>
      </c>
      <c r="BR100" s="4">
        <v>13.463253999999999</v>
      </c>
      <c r="BS100" s="4">
        <v>2.8770009999999999</v>
      </c>
      <c r="BT100" s="4">
        <v>27.145268999999999</v>
      </c>
      <c r="BU100" s="4">
        <v>16.182729999999999</v>
      </c>
      <c r="BV100" s="4">
        <v>7.1397209999999998</v>
      </c>
      <c r="BW100" s="4">
        <v>-0.75980899999999996</v>
      </c>
      <c r="BX100" s="4">
        <v>-1.435692</v>
      </c>
      <c r="BY100" s="4">
        <v>0.44119399999999998</v>
      </c>
      <c r="BZ100" s="4">
        <v>-0.10642</v>
      </c>
      <c r="CA100" s="4">
        <v>-0.20108500000000001</v>
      </c>
      <c r="CB100" s="4">
        <v>-0.41399999999999998</v>
      </c>
      <c r="CC100" s="4">
        <v>-0.19600000000000001</v>
      </c>
      <c r="CD100" s="4">
        <v>-8.8999999999999996E-2</v>
      </c>
      <c r="CE100" s="4">
        <v>1.7999999999999999E-2</v>
      </c>
      <c r="CF100" s="4">
        <v>7.0000000000000007E-2</v>
      </c>
      <c r="CG100" s="4">
        <v>0.12520000000000001</v>
      </c>
      <c r="CH100" s="4">
        <v>0.45500000000000002</v>
      </c>
      <c r="CI100" s="4">
        <v>26.902999999999999</v>
      </c>
      <c r="CJ100" s="4">
        <v>27.726400000000002</v>
      </c>
      <c r="CK100" s="4">
        <v>28.241599999999998</v>
      </c>
      <c r="CL100" s="4">
        <v>28.498501000000001</v>
      </c>
      <c r="CM100" s="4">
        <v>28.753</v>
      </c>
      <c r="CN100" s="4">
        <v>29.316199999999998</v>
      </c>
      <c r="CO100" s="4">
        <v>29.773001000000001</v>
      </c>
      <c r="CP100" s="4">
        <v>30.588260999999999</v>
      </c>
      <c r="CQ100" s="4">
        <v>0.52237999999999996</v>
      </c>
      <c r="CR100" s="4">
        <v>21.238309000000001</v>
      </c>
      <c r="CS100" s="4">
        <v>23.346235</v>
      </c>
      <c r="CT100" s="1">
        <v>1</v>
      </c>
      <c r="CU100" s="1">
        <v>59</v>
      </c>
      <c r="CV100" s="4">
        <v>16.782361999999999</v>
      </c>
      <c r="CW100" s="4">
        <v>1</v>
      </c>
      <c r="CX100" s="4">
        <v>10.934943000000001</v>
      </c>
      <c r="CY100" s="4">
        <v>119.57297199999999</v>
      </c>
      <c r="CZ100" s="4">
        <v>0.65157399999999999</v>
      </c>
      <c r="DA100" s="4">
        <v>19</v>
      </c>
      <c r="DB100" s="4">
        <v>0.26303599999999999</v>
      </c>
      <c r="DC100" s="4">
        <v>2.3333879999999998</v>
      </c>
      <c r="DD100" s="4">
        <v>9.4240750000000002</v>
      </c>
      <c r="DE100" s="4">
        <v>16.782361999999999</v>
      </c>
      <c r="DF100" s="4">
        <v>6.2194279999999997</v>
      </c>
      <c r="DG100" s="4">
        <v>0.27570099999999997</v>
      </c>
      <c r="DH100" s="4">
        <v>7.8694E-2</v>
      </c>
      <c r="DI100" s="4">
        <v>0.37059300000000001</v>
      </c>
      <c r="DJ100" s="4">
        <v>4.4329E-2</v>
      </c>
      <c r="DK100" s="4">
        <v>1.2652999999999999E-2</v>
      </c>
      <c r="DL100" s="4">
        <v>1</v>
      </c>
      <c r="DM100" s="4">
        <v>1</v>
      </c>
      <c r="DN100" s="4">
        <v>2</v>
      </c>
      <c r="DO100" s="4">
        <v>5</v>
      </c>
      <c r="DP100" s="4">
        <v>6</v>
      </c>
      <c r="DQ100" s="4">
        <v>8</v>
      </c>
      <c r="DR100" s="4">
        <v>13</v>
      </c>
      <c r="DS100" s="4">
        <v>18</v>
      </c>
      <c r="DT100" s="4">
        <v>21</v>
      </c>
      <c r="DU100" s="4">
        <v>24</v>
      </c>
      <c r="DV100" s="4">
        <v>25</v>
      </c>
      <c r="DW100" s="4">
        <v>26</v>
      </c>
      <c r="DX100" s="4">
        <v>30</v>
      </c>
      <c r="DY100" s="4">
        <v>34</v>
      </c>
      <c r="DZ100" s="4">
        <v>42.260010000000001</v>
      </c>
      <c r="EA100" s="4">
        <v>99.383061999999995</v>
      </c>
      <c r="EB100" s="4">
        <v>59.905512000000002</v>
      </c>
      <c r="EC100" s="4">
        <v>106.674145</v>
      </c>
      <c r="ED100" s="4">
        <v>1772</v>
      </c>
      <c r="EE100" s="4">
        <v>1902</v>
      </c>
      <c r="EF100" s="4">
        <v>98.205271999999994</v>
      </c>
      <c r="EG100" s="4">
        <v>100</v>
      </c>
      <c r="EH100" s="4">
        <v>56.125984000000003</v>
      </c>
      <c r="EI100" s="4">
        <v>96.125984000000003</v>
      </c>
      <c r="EJ100" s="4">
        <v>99.943915000000004</v>
      </c>
      <c r="EK100" s="4">
        <v>171.17218199999999</v>
      </c>
      <c r="EL100" s="4">
        <v>1751</v>
      </c>
      <c r="EM100" s="4">
        <v>1783</v>
      </c>
      <c r="EN100" s="4">
        <v>1782</v>
      </c>
      <c r="EO100" s="4">
        <v>3052</v>
      </c>
      <c r="EP100" s="4">
        <v>1783</v>
      </c>
      <c r="EQ100" s="4">
        <v>3175</v>
      </c>
      <c r="ER100" s="4">
        <v>51.976281</v>
      </c>
    </row>
    <row r="101" spans="1:148" x14ac:dyDescent="0.2">
      <c r="A101" s="1">
        <v>2022</v>
      </c>
      <c r="B101" s="1" t="str">
        <f t="shared" si="2"/>
        <v>GN</v>
      </c>
      <c r="C101" s="1" t="s">
        <v>638</v>
      </c>
      <c r="D101" s="1" t="s">
        <v>638</v>
      </c>
      <c r="E101" s="1">
        <v>23818</v>
      </c>
      <c r="F101" s="1" t="s">
        <v>2082</v>
      </c>
      <c r="G101" s="1" t="s">
        <v>626</v>
      </c>
      <c r="H101" s="1" t="s">
        <v>639</v>
      </c>
      <c r="I101" s="1">
        <v>43.8</v>
      </c>
      <c r="J101" s="1">
        <v>43.8</v>
      </c>
      <c r="K101" s="1" t="s">
        <v>192</v>
      </c>
      <c r="L101" s="1">
        <v>1</v>
      </c>
      <c r="M101" s="1">
        <v>2015</v>
      </c>
      <c r="N101" s="1">
        <v>2</v>
      </c>
      <c r="O101" s="1">
        <v>2</v>
      </c>
      <c r="P101" s="1" t="str">
        <f t="shared" si="3"/>
        <v>Talhadia</v>
      </c>
      <c r="Q101" s="2">
        <v>42200</v>
      </c>
      <c r="R101" s="1" t="s">
        <v>306</v>
      </c>
      <c r="S101" s="1" t="s">
        <v>160</v>
      </c>
      <c r="T101" s="1" t="s">
        <v>2268</v>
      </c>
      <c r="U101" s="1" t="s">
        <v>192</v>
      </c>
      <c r="V101" s="1" t="s">
        <v>152</v>
      </c>
      <c r="W101" s="2">
        <v>44642</v>
      </c>
      <c r="X101" s="1" t="s">
        <v>628</v>
      </c>
      <c r="Y101" s="1">
        <v>185.52</v>
      </c>
      <c r="Z101" s="1">
        <v>21.8</v>
      </c>
      <c r="AA101" s="1">
        <v>19</v>
      </c>
      <c r="AB101" s="1">
        <v>13</v>
      </c>
      <c r="AC101" s="1">
        <v>2</v>
      </c>
      <c r="AD101" s="3">
        <v>283.39999999999998</v>
      </c>
      <c r="AE101" s="3">
        <v>267.79673035461599</v>
      </c>
      <c r="AF101" s="2">
        <v>44642</v>
      </c>
      <c r="AG101" s="1">
        <v>80</v>
      </c>
      <c r="AH101" s="3">
        <v>6.6858316221765897</v>
      </c>
      <c r="AI101" s="4">
        <v>29.600253612100399</v>
      </c>
      <c r="AJ101" s="4">
        <v>17.431999999999999</v>
      </c>
      <c r="AK101" s="4">
        <v>22.805742382211101</v>
      </c>
      <c r="AL101" s="1">
        <v>25</v>
      </c>
      <c r="AM101" s="5">
        <v>933.54388482992601</v>
      </c>
      <c r="AN101" s="4">
        <v>308.23131095807702</v>
      </c>
      <c r="AO101" s="4">
        <v>0.33017334906995899</v>
      </c>
      <c r="AP101" s="1" t="s">
        <v>160</v>
      </c>
      <c r="AQ101" s="1" t="s">
        <v>254</v>
      </c>
      <c r="AR101" s="1" t="s">
        <v>500</v>
      </c>
      <c r="AS101" s="1">
        <v>9.99</v>
      </c>
      <c r="AT101" s="4">
        <v>0.93261034094509609</v>
      </c>
      <c r="AU101" s="1" t="s">
        <v>640</v>
      </c>
      <c r="AV101" s="1" t="s">
        <v>641</v>
      </c>
      <c r="AW101" s="1">
        <v>4332</v>
      </c>
      <c r="AX101" s="1">
        <v>2315</v>
      </c>
      <c r="AY101" s="1">
        <v>1652</v>
      </c>
      <c r="AZ101" s="1">
        <v>345</v>
      </c>
      <c r="BA101" s="1">
        <v>20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4">
        <v>-0.93600000000000005</v>
      </c>
      <c r="BI101" s="4">
        <v>33.691001999999997</v>
      </c>
      <c r="BJ101" s="4">
        <v>15.858559</v>
      </c>
      <c r="BK101" s="4">
        <v>-0.38636500000000001</v>
      </c>
      <c r="BL101" s="4">
        <v>13.280671999999999</v>
      </c>
      <c r="BM101" s="4">
        <v>176.376237</v>
      </c>
      <c r="BN101" s="4">
        <v>0.83744499999999999</v>
      </c>
      <c r="BO101" s="4">
        <v>29.406500000000001</v>
      </c>
      <c r="BP101" s="4">
        <v>-0.12667400000000001</v>
      </c>
      <c r="BQ101" s="4">
        <v>1.24814</v>
      </c>
      <c r="BR101" s="4">
        <v>12.480357</v>
      </c>
      <c r="BS101" s="4">
        <v>11.964001</v>
      </c>
      <c r="BT101" s="4">
        <v>19.327866</v>
      </c>
      <c r="BU101" s="4">
        <v>15.858559</v>
      </c>
      <c r="BV101" s="4">
        <v>7.3266010000000001</v>
      </c>
      <c r="BW101" s="4">
        <v>-0.201733</v>
      </c>
      <c r="BX101" s="4">
        <v>-1.254562</v>
      </c>
      <c r="BY101" s="4">
        <v>0.46199699999999999</v>
      </c>
      <c r="BZ101" s="4">
        <v>-2.7533999999999999E-2</v>
      </c>
      <c r="CA101" s="4">
        <v>-0.171234</v>
      </c>
      <c r="CB101" s="4">
        <v>-0.38545000000000001</v>
      </c>
      <c r="CC101" s="4">
        <v>-0.16200000000000001</v>
      </c>
      <c r="CD101" s="4">
        <v>-4.4999999999999998E-2</v>
      </c>
      <c r="CE101" s="4">
        <v>0.127</v>
      </c>
      <c r="CF101" s="4">
        <v>0.25</v>
      </c>
      <c r="CG101" s="4">
        <v>0.49559999999999998</v>
      </c>
      <c r="CH101" s="4">
        <v>7.4798010000000001</v>
      </c>
      <c r="CI101" s="4">
        <v>18.941500000000001</v>
      </c>
      <c r="CJ101" s="4">
        <v>24.9498</v>
      </c>
      <c r="CK101" s="4">
        <v>28.878401</v>
      </c>
      <c r="CL101" s="4">
        <v>29.656500000000001</v>
      </c>
      <c r="CM101" s="4">
        <v>30.148800000000001</v>
      </c>
      <c r="CN101" s="4">
        <v>30.942800999999999</v>
      </c>
      <c r="CO101" s="4">
        <v>31.559801</v>
      </c>
      <c r="CP101" s="4">
        <v>32.405281000000002</v>
      </c>
      <c r="CQ101" s="4">
        <v>0.48501300000000003</v>
      </c>
      <c r="CR101" s="4">
        <v>20.684038000000001</v>
      </c>
      <c r="CS101" s="4">
        <v>22.945650000000001</v>
      </c>
      <c r="CT101" s="1">
        <v>1</v>
      </c>
      <c r="CU101" s="1">
        <v>42</v>
      </c>
      <c r="CV101" s="4">
        <v>10.710295</v>
      </c>
      <c r="CW101" s="4">
        <v>1</v>
      </c>
      <c r="CX101" s="4">
        <v>7.9154419999999996</v>
      </c>
      <c r="CY101" s="4">
        <v>62.654218999999998</v>
      </c>
      <c r="CZ101" s="4">
        <v>0.73904999999999998</v>
      </c>
      <c r="DA101" s="4">
        <v>12</v>
      </c>
      <c r="DB101" s="4">
        <v>0.85333300000000001</v>
      </c>
      <c r="DC101" s="4">
        <v>3.2391580000000002</v>
      </c>
      <c r="DD101" s="4">
        <v>6.5058509999999998</v>
      </c>
      <c r="DE101" s="4">
        <v>10.710295</v>
      </c>
      <c r="DF101" s="4">
        <v>4.3819460000000001</v>
      </c>
      <c r="DG101" s="4">
        <v>0.83052499999999996</v>
      </c>
      <c r="DH101" s="4">
        <v>0.30613000000000001</v>
      </c>
      <c r="DI101" s="4">
        <v>0.409134</v>
      </c>
      <c r="DJ101" s="4">
        <v>0.18953300000000001</v>
      </c>
      <c r="DK101" s="4">
        <v>6.9861999999999994E-2</v>
      </c>
      <c r="DL101" s="4">
        <v>1</v>
      </c>
      <c r="DM101" s="4">
        <v>1</v>
      </c>
      <c r="DN101" s="4">
        <v>2</v>
      </c>
      <c r="DO101" s="4">
        <v>3</v>
      </c>
      <c r="DP101" s="4">
        <v>4</v>
      </c>
      <c r="DQ101" s="4">
        <v>5</v>
      </c>
      <c r="DR101" s="4">
        <v>7</v>
      </c>
      <c r="DS101" s="4">
        <v>9</v>
      </c>
      <c r="DT101" s="4">
        <v>11.600097999999999</v>
      </c>
      <c r="DU101" s="4">
        <v>14</v>
      </c>
      <c r="DV101" s="4">
        <v>16</v>
      </c>
      <c r="DW101" s="4">
        <v>18</v>
      </c>
      <c r="DX101" s="4">
        <v>22</v>
      </c>
      <c r="DY101" s="4">
        <v>26</v>
      </c>
      <c r="DZ101" s="4">
        <v>33</v>
      </c>
      <c r="EA101" s="4">
        <v>91.403887999999995</v>
      </c>
      <c r="EB101" s="4">
        <v>63.434902999999998</v>
      </c>
      <c r="EC101" s="4">
        <v>118.704104</v>
      </c>
      <c r="ED101" s="4">
        <v>2116</v>
      </c>
      <c r="EE101" s="4">
        <v>2748</v>
      </c>
      <c r="EF101" s="4">
        <v>86.436284999999998</v>
      </c>
      <c r="EG101" s="4">
        <v>100</v>
      </c>
      <c r="EH101" s="4">
        <v>55.193905999999998</v>
      </c>
      <c r="EI101" s="4">
        <v>98.984302999999997</v>
      </c>
      <c r="EJ101" s="4">
        <v>103.282937</v>
      </c>
      <c r="EK101" s="4">
        <v>185.22678199999999</v>
      </c>
      <c r="EL101" s="4">
        <v>2001</v>
      </c>
      <c r="EM101" s="4">
        <v>2315</v>
      </c>
      <c r="EN101" s="4">
        <v>2391</v>
      </c>
      <c r="EO101" s="4">
        <v>4288</v>
      </c>
      <c r="EP101" s="4">
        <v>2315</v>
      </c>
      <c r="EQ101" s="4">
        <v>4332</v>
      </c>
      <c r="ER101" s="4">
        <v>47.978737000000002</v>
      </c>
    </row>
    <row r="102" spans="1:148" x14ac:dyDescent="0.2">
      <c r="A102" s="1">
        <v>2022</v>
      </c>
      <c r="B102" s="1" t="str">
        <f t="shared" si="2"/>
        <v>GN</v>
      </c>
      <c r="C102" s="1" t="s">
        <v>642</v>
      </c>
      <c r="D102" s="1" t="s">
        <v>642</v>
      </c>
      <c r="E102" s="1">
        <v>23819</v>
      </c>
      <c r="F102" s="1" t="s">
        <v>2082</v>
      </c>
      <c r="G102" s="1" t="s">
        <v>626</v>
      </c>
      <c r="H102" s="1" t="s">
        <v>639</v>
      </c>
      <c r="I102" s="1">
        <v>43.8</v>
      </c>
      <c r="J102" s="1">
        <v>43.8</v>
      </c>
      <c r="K102" s="1" t="s">
        <v>192</v>
      </c>
      <c r="L102" s="1">
        <v>1</v>
      </c>
      <c r="M102" s="1">
        <v>2015</v>
      </c>
      <c r="N102" s="1">
        <v>2</v>
      </c>
      <c r="O102" s="1">
        <v>2</v>
      </c>
      <c r="P102" s="1" t="str">
        <f t="shared" si="3"/>
        <v>Talhadia</v>
      </c>
      <c r="Q102" s="2">
        <v>42200</v>
      </c>
      <c r="R102" s="1" t="s">
        <v>306</v>
      </c>
      <c r="S102" s="1" t="s">
        <v>160</v>
      </c>
      <c r="T102" s="1" t="s">
        <v>2268</v>
      </c>
      <c r="U102" s="1" t="s">
        <v>192</v>
      </c>
      <c r="V102" s="1" t="s">
        <v>152</v>
      </c>
      <c r="W102" s="2">
        <v>44642</v>
      </c>
      <c r="X102" s="1" t="s">
        <v>628</v>
      </c>
      <c r="Y102" s="1">
        <v>185.52</v>
      </c>
      <c r="Z102" s="1">
        <v>19.5</v>
      </c>
      <c r="AA102" s="1">
        <v>4</v>
      </c>
      <c r="AB102" s="1">
        <v>16.399999999999999</v>
      </c>
      <c r="AC102" s="1">
        <v>1</v>
      </c>
      <c r="AD102" s="3">
        <v>319.8</v>
      </c>
      <c r="AE102" s="3">
        <v>318.97239483212599</v>
      </c>
      <c r="AF102" s="2">
        <v>44642</v>
      </c>
      <c r="AG102" s="1">
        <v>80</v>
      </c>
      <c r="AH102" s="3">
        <v>6.6858316221765897</v>
      </c>
      <c r="AI102" s="4">
        <v>26.7960156254981</v>
      </c>
      <c r="AJ102" s="4">
        <v>16.489655172413801</v>
      </c>
      <c r="AK102" s="4">
        <v>20.170228647306601</v>
      </c>
      <c r="AL102" s="1">
        <v>29</v>
      </c>
      <c r="AM102" s="5">
        <v>909.16958551421203</v>
      </c>
      <c r="AN102" s="4">
        <v>250.855339378726</v>
      </c>
      <c r="AO102" s="4">
        <v>0.27591699433813099</v>
      </c>
      <c r="AP102" s="1" t="s">
        <v>160</v>
      </c>
      <c r="AQ102" s="1" t="s">
        <v>254</v>
      </c>
      <c r="AR102" s="1" t="s">
        <v>500</v>
      </c>
      <c r="AS102" s="1">
        <v>9.99</v>
      </c>
      <c r="AT102" s="4">
        <v>0.90826041592869788</v>
      </c>
      <c r="AU102" s="1" t="s">
        <v>643</v>
      </c>
      <c r="AV102" s="1" t="s">
        <v>644</v>
      </c>
      <c r="AW102" s="1">
        <v>2006</v>
      </c>
      <c r="AX102" s="1">
        <v>1216</v>
      </c>
      <c r="AY102" s="1">
        <v>661</v>
      </c>
      <c r="AZ102" s="1">
        <v>123</v>
      </c>
      <c r="BA102" s="1">
        <v>6</v>
      </c>
      <c r="BB102" s="1">
        <v>0</v>
      </c>
      <c r="BC102" s="1">
        <v>0</v>
      </c>
      <c r="BD102" s="1">
        <v>0</v>
      </c>
      <c r="BE102" s="1">
        <v>0</v>
      </c>
      <c r="BF102" s="1">
        <v>0</v>
      </c>
      <c r="BG102" s="1">
        <v>0</v>
      </c>
      <c r="BH102" s="4">
        <v>-0.72199999999999998</v>
      </c>
      <c r="BI102" s="4">
        <v>30.597999999999999</v>
      </c>
      <c r="BJ102" s="4">
        <v>10.216431</v>
      </c>
      <c r="BK102" s="4">
        <v>-0.224857</v>
      </c>
      <c r="BL102" s="4">
        <v>10.125729</v>
      </c>
      <c r="BM102" s="4">
        <v>102.530394</v>
      </c>
      <c r="BN102" s="4">
        <v>0.99112199999999995</v>
      </c>
      <c r="BO102" s="4">
        <v>18.30875</v>
      </c>
      <c r="BP102" s="4">
        <v>0.58127799999999996</v>
      </c>
      <c r="BQ102" s="4">
        <v>1.9396880000000001</v>
      </c>
      <c r="BR102" s="4">
        <v>8.6876060000000006</v>
      </c>
      <c r="BS102" s="4">
        <v>7.9995000000000003</v>
      </c>
      <c r="BT102" s="4">
        <v>8.2933570000000003</v>
      </c>
      <c r="BU102" s="4">
        <v>10.216431</v>
      </c>
      <c r="BV102" s="4">
        <v>5.6253970000000004</v>
      </c>
      <c r="BW102" s="4">
        <v>1.159896</v>
      </c>
      <c r="BX102" s="4">
        <v>-0.210259</v>
      </c>
      <c r="BY102" s="4">
        <v>0.55062199999999994</v>
      </c>
      <c r="BZ102" s="4">
        <v>0.20618900000000001</v>
      </c>
      <c r="CA102" s="4">
        <v>-3.7377000000000001E-2</v>
      </c>
      <c r="CB102" s="4">
        <v>-0.31759999999999999</v>
      </c>
      <c r="CC102" s="4">
        <v>-0.157</v>
      </c>
      <c r="CD102" s="4">
        <v>-7.5999999999999998E-2</v>
      </c>
      <c r="CE102" s="4">
        <v>6.3E-2</v>
      </c>
      <c r="CF102" s="4">
        <v>0.14924999999999999</v>
      </c>
      <c r="CG102" s="4">
        <v>0.28599999999999998</v>
      </c>
      <c r="CH102" s="4">
        <v>4.8019999999999996</v>
      </c>
      <c r="CI102" s="4">
        <v>8.0685000000000002</v>
      </c>
      <c r="CJ102" s="4">
        <v>10.545999999999999</v>
      </c>
      <c r="CK102" s="4">
        <v>15.643499</v>
      </c>
      <c r="CL102" s="4">
        <v>18.457999999999998</v>
      </c>
      <c r="CM102" s="4">
        <v>22.042998999999998</v>
      </c>
      <c r="CN102" s="4">
        <v>27.116001000000001</v>
      </c>
      <c r="CO102" s="4">
        <v>28.474001000000001</v>
      </c>
      <c r="CP102" s="4">
        <v>29.699745</v>
      </c>
      <c r="CQ102" s="4">
        <v>0.34924699999999997</v>
      </c>
      <c r="CR102" s="4">
        <v>14.382446</v>
      </c>
      <c r="CS102" s="4">
        <v>16.880870999999999</v>
      </c>
      <c r="CT102" s="1">
        <v>1</v>
      </c>
      <c r="CU102" s="1">
        <v>49</v>
      </c>
      <c r="CV102" s="4">
        <v>16.051345999999999</v>
      </c>
      <c r="CW102" s="4">
        <v>1</v>
      </c>
      <c r="CX102" s="4">
        <v>11.280237</v>
      </c>
      <c r="CY102" s="4">
        <v>127.243746</v>
      </c>
      <c r="CZ102" s="4">
        <v>0.70276000000000005</v>
      </c>
      <c r="DA102" s="4">
        <v>15</v>
      </c>
      <c r="DB102" s="4">
        <v>0.76522199999999996</v>
      </c>
      <c r="DC102" s="4">
        <v>2.9159999999999999</v>
      </c>
      <c r="DD102" s="4">
        <v>9.1028420000000008</v>
      </c>
      <c r="DE102" s="4">
        <v>16.051345999999999</v>
      </c>
      <c r="DF102" s="4">
        <v>6.2829139999999999</v>
      </c>
      <c r="DG102" s="4">
        <v>1.0863229999999999</v>
      </c>
      <c r="DH102" s="4">
        <v>0.55802300000000005</v>
      </c>
      <c r="DI102" s="4">
        <v>0.391426</v>
      </c>
      <c r="DJ102" s="4">
        <v>0.172901</v>
      </c>
      <c r="DK102" s="4">
        <v>8.8816000000000006E-2</v>
      </c>
      <c r="DL102" s="4">
        <v>1</v>
      </c>
      <c r="DM102" s="4">
        <v>1</v>
      </c>
      <c r="DN102" s="4">
        <v>3</v>
      </c>
      <c r="DO102" s="4">
        <v>5</v>
      </c>
      <c r="DP102" s="4">
        <v>7</v>
      </c>
      <c r="DQ102" s="4">
        <v>9</v>
      </c>
      <c r="DR102" s="4">
        <v>11</v>
      </c>
      <c r="DS102" s="4">
        <v>14</v>
      </c>
      <c r="DT102" s="4">
        <v>17</v>
      </c>
      <c r="DU102" s="4">
        <v>20</v>
      </c>
      <c r="DV102" s="4">
        <v>22</v>
      </c>
      <c r="DW102" s="4">
        <v>25</v>
      </c>
      <c r="DX102" s="4">
        <v>34</v>
      </c>
      <c r="DY102" s="4">
        <v>39</v>
      </c>
      <c r="DZ102" s="4">
        <v>46</v>
      </c>
      <c r="EA102" s="4">
        <v>83.223684000000006</v>
      </c>
      <c r="EB102" s="4">
        <v>63.260218999999999</v>
      </c>
      <c r="EC102" s="4">
        <v>104.358553</v>
      </c>
      <c r="ED102" s="4">
        <v>1012</v>
      </c>
      <c r="EE102" s="4">
        <v>1269</v>
      </c>
      <c r="EF102" s="4">
        <v>56.990132000000003</v>
      </c>
      <c r="EG102" s="4">
        <v>100</v>
      </c>
      <c r="EH102" s="4">
        <v>41.226320999999999</v>
      </c>
      <c r="EI102" s="4">
        <v>97.607178000000005</v>
      </c>
      <c r="EJ102" s="4">
        <v>68.009867999999997</v>
      </c>
      <c r="EK102" s="4">
        <v>161.01973699999999</v>
      </c>
      <c r="EL102" s="4">
        <v>693</v>
      </c>
      <c r="EM102" s="4">
        <v>1216</v>
      </c>
      <c r="EN102" s="4">
        <v>827</v>
      </c>
      <c r="EO102" s="4">
        <v>1958</v>
      </c>
      <c r="EP102" s="4">
        <v>1216</v>
      </c>
      <c r="EQ102" s="4">
        <v>2006</v>
      </c>
      <c r="ER102" s="4">
        <v>33.446387000000001</v>
      </c>
    </row>
    <row r="103" spans="1:148" x14ac:dyDescent="0.2">
      <c r="A103" s="1">
        <v>2022</v>
      </c>
      <c r="B103" s="1" t="str">
        <f t="shared" si="2"/>
        <v>GN</v>
      </c>
      <c r="C103" s="1" t="s">
        <v>645</v>
      </c>
      <c r="D103" s="1" t="s">
        <v>645</v>
      </c>
      <c r="E103" s="1">
        <v>23820</v>
      </c>
      <c r="F103" s="1" t="s">
        <v>2082</v>
      </c>
      <c r="G103" s="1" t="s">
        <v>626</v>
      </c>
      <c r="H103" s="1" t="s">
        <v>639</v>
      </c>
      <c r="I103" s="1">
        <v>43.8</v>
      </c>
      <c r="J103" s="1">
        <v>43.8</v>
      </c>
      <c r="K103" s="1" t="s">
        <v>192</v>
      </c>
      <c r="L103" s="1">
        <v>1</v>
      </c>
      <c r="M103" s="1">
        <v>2015</v>
      </c>
      <c r="N103" s="1">
        <v>2</v>
      </c>
      <c r="O103" s="1">
        <v>2</v>
      </c>
      <c r="P103" s="1" t="str">
        <f t="shared" si="3"/>
        <v>Talhadia</v>
      </c>
      <c r="Q103" s="2">
        <v>42200</v>
      </c>
      <c r="R103" s="1" t="s">
        <v>306</v>
      </c>
      <c r="S103" s="1" t="s">
        <v>160</v>
      </c>
      <c r="T103" s="1" t="s">
        <v>2268</v>
      </c>
      <c r="U103" s="1" t="s">
        <v>192</v>
      </c>
      <c r="V103" s="1" t="s">
        <v>152</v>
      </c>
      <c r="W103" s="2">
        <v>44642</v>
      </c>
      <c r="X103" s="1" t="s">
        <v>628</v>
      </c>
      <c r="Y103" s="1">
        <v>185.52</v>
      </c>
      <c r="Z103" s="1">
        <v>21.2</v>
      </c>
      <c r="AA103" s="1">
        <v>21</v>
      </c>
      <c r="AB103" s="1">
        <v>14</v>
      </c>
      <c r="AC103" s="1">
        <v>1</v>
      </c>
      <c r="AD103" s="3">
        <v>296.8</v>
      </c>
      <c r="AE103" s="3">
        <v>277.04446894234002</v>
      </c>
      <c r="AF103" s="2">
        <v>44636</v>
      </c>
      <c r="AG103" s="1">
        <v>80</v>
      </c>
      <c r="AH103" s="3">
        <v>6.6694045174537999</v>
      </c>
      <c r="AI103" s="4">
        <v>29.061816232327601</v>
      </c>
      <c r="AJ103" s="4">
        <v>16.382608695652198</v>
      </c>
      <c r="AK103" s="4">
        <v>17.906471761989501</v>
      </c>
      <c r="AL103" s="1">
        <v>23</v>
      </c>
      <c r="AM103" s="5">
        <v>830.19163269369903</v>
      </c>
      <c r="AN103" s="4">
        <v>241.63237077733501</v>
      </c>
      <c r="AO103" s="4">
        <v>0.29105613844037098</v>
      </c>
      <c r="AP103" s="1" t="s">
        <v>160</v>
      </c>
      <c r="AQ103" s="1" t="s">
        <v>254</v>
      </c>
      <c r="AR103" s="1" t="s">
        <v>500</v>
      </c>
      <c r="AS103" s="1">
        <v>9.99</v>
      </c>
      <c r="AT103" s="4">
        <v>0.8293614410610054</v>
      </c>
      <c r="AU103" s="1" t="s">
        <v>646</v>
      </c>
      <c r="AV103" s="1" t="s">
        <v>647</v>
      </c>
      <c r="AW103" s="1">
        <v>1979</v>
      </c>
      <c r="AX103" s="1">
        <v>1067</v>
      </c>
      <c r="AY103" s="1">
        <v>786</v>
      </c>
      <c r="AZ103" s="1">
        <v>124</v>
      </c>
      <c r="BA103" s="1">
        <v>2</v>
      </c>
      <c r="BB103" s="1">
        <v>0</v>
      </c>
      <c r="BC103" s="1">
        <v>0</v>
      </c>
      <c r="BD103" s="1">
        <v>0</v>
      </c>
      <c r="BE103" s="1">
        <v>0</v>
      </c>
      <c r="BF103" s="1">
        <v>0</v>
      </c>
      <c r="BG103" s="1">
        <v>0</v>
      </c>
      <c r="BH103" s="4">
        <v>-0.55900000000000005</v>
      </c>
      <c r="BI103" s="4">
        <v>30.780999999999999</v>
      </c>
      <c r="BJ103" s="4">
        <v>12.636882</v>
      </c>
      <c r="BK103" s="4">
        <v>-6.1539999999999997E-2</v>
      </c>
      <c r="BL103" s="4">
        <v>12.612472</v>
      </c>
      <c r="BM103" s="4">
        <v>159.074455</v>
      </c>
      <c r="BN103" s="4">
        <v>0.99806799999999996</v>
      </c>
      <c r="BO103" s="4">
        <v>26.810998999999999</v>
      </c>
      <c r="BP103" s="4">
        <v>0.15631800000000001</v>
      </c>
      <c r="BQ103" s="4">
        <v>1.202388</v>
      </c>
      <c r="BR103" s="4">
        <v>12.062010000000001</v>
      </c>
      <c r="BS103" s="4">
        <v>11.13</v>
      </c>
      <c r="BT103" s="4">
        <v>11.128539999999999</v>
      </c>
      <c r="BU103" s="4">
        <v>12.636882</v>
      </c>
      <c r="BV103" s="4">
        <v>6.8272190000000004</v>
      </c>
      <c r="BW103" s="4">
        <v>0.70095300000000005</v>
      </c>
      <c r="BX103" s="4">
        <v>-1.256094</v>
      </c>
      <c r="BY103" s="4">
        <v>0.54026099999999999</v>
      </c>
      <c r="BZ103" s="4">
        <v>0.10267</v>
      </c>
      <c r="CA103" s="4">
        <v>-0.18398300000000001</v>
      </c>
      <c r="CB103" s="4">
        <v>-0.38988</v>
      </c>
      <c r="CC103" s="4">
        <v>-0.18110000000000001</v>
      </c>
      <c r="CD103" s="4">
        <v>-0.1032</v>
      </c>
      <c r="CE103" s="4">
        <v>8.9999999999999993E-3</v>
      </c>
      <c r="CF103" s="4">
        <v>5.1999999999999998E-2</v>
      </c>
      <c r="CG103" s="4">
        <v>0.10340000000000001</v>
      </c>
      <c r="CH103" s="4">
        <v>0.2702</v>
      </c>
      <c r="CI103" s="4">
        <v>11.067</v>
      </c>
      <c r="CJ103" s="4">
        <v>20.064800000000002</v>
      </c>
      <c r="CK103" s="4">
        <v>25.685199999999998</v>
      </c>
      <c r="CL103" s="4">
        <v>26.862998999999999</v>
      </c>
      <c r="CM103" s="4">
        <v>27.575800000000001</v>
      </c>
      <c r="CN103" s="4">
        <v>28.537201</v>
      </c>
      <c r="CO103" s="4">
        <v>29.092299000000001</v>
      </c>
      <c r="CP103" s="4">
        <v>30.045760999999999</v>
      </c>
      <c r="CQ103" s="4">
        <v>0.42105599999999999</v>
      </c>
      <c r="CR103" s="4">
        <v>17.851747</v>
      </c>
      <c r="CS103" s="4">
        <v>20.294815</v>
      </c>
      <c r="CT103" s="1">
        <v>1</v>
      </c>
      <c r="CU103" s="1">
        <v>58</v>
      </c>
      <c r="CV103" s="4">
        <v>14.691763999999999</v>
      </c>
      <c r="CW103" s="4">
        <v>1</v>
      </c>
      <c r="CX103" s="4">
        <v>11.059768999999999</v>
      </c>
      <c r="CY103" s="4">
        <v>122.31849099999999</v>
      </c>
      <c r="CZ103" s="4">
        <v>0.75278699999999998</v>
      </c>
      <c r="DA103" s="4">
        <v>15</v>
      </c>
      <c r="DB103" s="4">
        <v>0.88765899999999998</v>
      </c>
      <c r="DC103" s="4">
        <v>3.1759439999999999</v>
      </c>
      <c r="DD103" s="4">
        <v>8.93933</v>
      </c>
      <c r="DE103" s="4">
        <v>14.691763999999999</v>
      </c>
      <c r="DF103" s="4">
        <v>6.1017190000000001</v>
      </c>
      <c r="DG103" s="4">
        <v>1.2300489999999999</v>
      </c>
      <c r="DH103" s="4">
        <v>0.52513500000000002</v>
      </c>
      <c r="DI103" s="4">
        <v>0.41531600000000002</v>
      </c>
      <c r="DJ103" s="4">
        <v>0.20159099999999999</v>
      </c>
      <c r="DK103" s="4">
        <v>8.6063000000000001E-2</v>
      </c>
      <c r="DL103" s="4">
        <v>1</v>
      </c>
      <c r="DM103" s="4">
        <v>1</v>
      </c>
      <c r="DN103" s="4">
        <v>2</v>
      </c>
      <c r="DO103" s="4">
        <v>5</v>
      </c>
      <c r="DP103" s="4">
        <v>6</v>
      </c>
      <c r="DQ103" s="4">
        <v>7</v>
      </c>
      <c r="DR103" s="4">
        <v>9</v>
      </c>
      <c r="DS103" s="4">
        <v>12</v>
      </c>
      <c r="DT103" s="4">
        <v>15</v>
      </c>
      <c r="DU103" s="4">
        <v>19</v>
      </c>
      <c r="DV103" s="4">
        <v>21</v>
      </c>
      <c r="DW103" s="4">
        <v>23</v>
      </c>
      <c r="DX103" s="4">
        <v>31</v>
      </c>
      <c r="DY103" s="4">
        <v>38</v>
      </c>
      <c r="DZ103" s="4">
        <v>44</v>
      </c>
      <c r="EA103" s="4">
        <v>82.380505999999997</v>
      </c>
      <c r="EB103" s="4">
        <v>52.703386000000002</v>
      </c>
      <c r="EC103" s="4">
        <v>97.750703000000001</v>
      </c>
      <c r="ED103" s="4">
        <v>879</v>
      </c>
      <c r="EE103" s="4">
        <v>1043</v>
      </c>
      <c r="EF103" s="4">
        <v>78.912840000000003</v>
      </c>
      <c r="EG103" s="4">
        <v>99.343954999999994</v>
      </c>
      <c r="EH103" s="4">
        <v>48.812531999999997</v>
      </c>
      <c r="EI103" s="4">
        <v>86.407275999999996</v>
      </c>
      <c r="EJ103" s="4">
        <v>90.534208000000007</v>
      </c>
      <c r="EK103" s="4">
        <v>160.262418</v>
      </c>
      <c r="EL103" s="4">
        <v>842</v>
      </c>
      <c r="EM103" s="4">
        <v>1060</v>
      </c>
      <c r="EN103" s="4">
        <v>966</v>
      </c>
      <c r="EO103" s="4">
        <v>1710</v>
      </c>
      <c r="EP103" s="4">
        <v>1067</v>
      </c>
      <c r="EQ103" s="4">
        <v>1979</v>
      </c>
      <c r="ER103" s="4">
        <v>41.123621999999997</v>
      </c>
    </row>
    <row r="104" spans="1:148" x14ac:dyDescent="0.2">
      <c r="A104" s="1">
        <v>2022</v>
      </c>
      <c r="B104" s="1" t="str">
        <f t="shared" si="2"/>
        <v>GN</v>
      </c>
      <c r="C104" s="1" t="s">
        <v>648</v>
      </c>
      <c r="D104" s="1" t="s">
        <v>648</v>
      </c>
      <c r="E104" s="1">
        <v>23849</v>
      </c>
      <c r="F104" s="1" t="s">
        <v>2083</v>
      </c>
      <c r="G104" s="1" t="s">
        <v>649</v>
      </c>
      <c r="H104" s="1" t="s">
        <v>650</v>
      </c>
      <c r="I104" s="1">
        <v>37.979999999999997</v>
      </c>
      <c r="J104" s="1">
        <v>37.979999999999997</v>
      </c>
      <c r="K104" s="1" t="s">
        <v>264</v>
      </c>
      <c r="L104" s="1">
        <v>1</v>
      </c>
      <c r="M104" s="1">
        <v>2015</v>
      </c>
      <c r="N104" s="1">
        <v>1</v>
      </c>
      <c r="O104" s="1">
        <v>1</v>
      </c>
      <c r="P104" s="1" t="str">
        <f t="shared" si="3"/>
        <v>Alto fuste</v>
      </c>
      <c r="Q104" s="2">
        <v>42213</v>
      </c>
      <c r="R104" s="1" t="s">
        <v>169</v>
      </c>
      <c r="S104" s="1" t="s">
        <v>651</v>
      </c>
      <c r="T104" s="1" t="s">
        <v>2268</v>
      </c>
      <c r="U104" s="1" t="s">
        <v>266</v>
      </c>
      <c r="V104" s="1" t="s">
        <v>152</v>
      </c>
      <c r="W104" s="2">
        <v>44697</v>
      </c>
      <c r="X104" s="1" t="s">
        <v>652</v>
      </c>
      <c r="Y104" s="1">
        <v>223.71</v>
      </c>
      <c r="Z104" s="1">
        <v>19.7</v>
      </c>
      <c r="AA104" s="1">
        <v>4</v>
      </c>
      <c r="AB104" s="1">
        <v>15.3</v>
      </c>
      <c r="AC104" s="1">
        <v>0</v>
      </c>
      <c r="AD104" s="3">
        <v>301.41000000000003</v>
      </c>
      <c r="AE104" s="3">
        <v>300.67578038881402</v>
      </c>
      <c r="AF104" s="2">
        <v>44697</v>
      </c>
      <c r="AG104" s="1">
        <v>82</v>
      </c>
      <c r="AH104" s="3">
        <v>6.8008213552361401</v>
      </c>
      <c r="AI104" s="4">
        <v>30.6778117228417</v>
      </c>
      <c r="AJ104" s="4">
        <v>19.9275862068965</v>
      </c>
      <c r="AK104" s="4">
        <v>31.453537746486401</v>
      </c>
      <c r="AL104" s="1">
        <v>29</v>
      </c>
      <c r="AM104" s="5">
        <v>964.49404612832996</v>
      </c>
      <c r="AN104" s="4">
        <v>437.79927986876402</v>
      </c>
      <c r="AO104" s="4">
        <v>0.45391600044207397</v>
      </c>
      <c r="AP104" s="1" t="s">
        <v>651</v>
      </c>
      <c r="AQ104" s="1" t="s">
        <v>655</v>
      </c>
      <c r="AR104" s="1" t="s">
        <v>291</v>
      </c>
      <c r="AS104" s="1">
        <v>9</v>
      </c>
      <c r="AT104" s="4">
        <v>0.86804464151549698</v>
      </c>
      <c r="AU104" s="1" t="s">
        <v>653</v>
      </c>
      <c r="AV104" s="1" t="s">
        <v>654</v>
      </c>
      <c r="AW104" s="1">
        <v>4761</v>
      </c>
      <c r="AX104" s="1">
        <v>2685</v>
      </c>
      <c r="AY104" s="1">
        <v>1787</v>
      </c>
      <c r="AZ104" s="1">
        <v>263</v>
      </c>
      <c r="BA104" s="1">
        <v>26</v>
      </c>
      <c r="BB104" s="1">
        <v>0</v>
      </c>
      <c r="BC104" s="1">
        <v>0</v>
      </c>
      <c r="BD104" s="1">
        <v>0</v>
      </c>
      <c r="BE104" s="1">
        <v>0</v>
      </c>
      <c r="BF104" s="1">
        <v>0</v>
      </c>
      <c r="BG104" s="1">
        <v>0</v>
      </c>
      <c r="BH104" s="4">
        <v>-0.91500000000000004</v>
      </c>
      <c r="BI104" s="4">
        <v>37.953999000000003</v>
      </c>
      <c r="BJ104" s="4">
        <v>19.165095999999998</v>
      </c>
      <c r="BK104" s="4">
        <v>-0.29803200000000002</v>
      </c>
      <c r="BL104" s="4">
        <v>15.550371</v>
      </c>
      <c r="BM104" s="4">
        <v>241.81405100000001</v>
      </c>
      <c r="BN104" s="4">
        <v>0.81138999999999994</v>
      </c>
      <c r="BO104" s="4">
        <v>33.661000000000001</v>
      </c>
      <c r="BP104" s="4">
        <v>-0.27757100000000001</v>
      </c>
      <c r="BQ104" s="4">
        <v>1.2460599999999999</v>
      </c>
      <c r="BR104" s="4">
        <v>14.729227</v>
      </c>
      <c r="BS104" s="4">
        <v>9.5730000000000004</v>
      </c>
      <c r="BT104" s="4">
        <v>26.25403</v>
      </c>
      <c r="BU104" s="4">
        <v>19.165095999999998</v>
      </c>
      <c r="BV104" s="4">
        <v>8.3918160000000004</v>
      </c>
      <c r="BW104" s="4">
        <v>-0.76102499999999995</v>
      </c>
      <c r="BX104" s="4">
        <v>-1.4890559999999999</v>
      </c>
      <c r="BY104" s="4">
        <v>0.43786999999999998</v>
      </c>
      <c r="BZ104" s="4">
        <v>-9.0687000000000004E-2</v>
      </c>
      <c r="CA104" s="4">
        <v>-0.17744099999999999</v>
      </c>
      <c r="CB104" s="4">
        <v>-0.44919999999999999</v>
      </c>
      <c r="CC104" s="4">
        <v>-0.187</v>
      </c>
      <c r="CD104" s="4">
        <v>-8.2000000000000003E-2</v>
      </c>
      <c r="CE104" s="4">
        <v>3.9E-2</v>
      </c>
      <c r="CF104" s="4">
        <v>0.10199999999999999</v>
      </c>
      <c r="CG104" s="4">
        <v>0.17399999999999999</v>
      </c>
      <c r="CH104" s="4">
        <v>14.308999999999999</v>
      </c>
      <c r="CI104" s="4">
        <v>25.955998999999998</v>
      </c>
      <c r="CJ104" s="4">
        <v>31.718</v>
      </c>
      <c r="CK104" s="4">
        <v>33.279998999999997</v>
      </c>
      <c r="CL104" s="4">
        <v>33.762999999999998</v>
      </c>
      <c r="CM104" s="4">
        <v>34.207999999999998</v>
      </c>
      <c r="CN104" s="4">
        <v>35.243000000000002</v>
      </c>
      <c r="CO104" s="4">
        <v>35.976002000000001</v>
      </c>
      <c r="CP104" s="4">
        <v>36.830596999999997</v>
      </c>
      <c r="CQ104" s="4">
        <v>0.51661000000000001</v>
      </c>
      <c r="CR104" s="4">
        <v>24.679224999999999</v>
      </c>
      <c r="CS104" s="4">
        <v>27.097069999999999</v>
      </c>
      <c r="CT104" s="1">
        <v>1</v>
      </c>
      <c r="CU104" s="1">
        <v>55</v>
      </c>
      <c r="CV104" s="4">
        <v>17.092838</v>
      </c>
      <c r="CW104" s="4">
        <v>1</v>
      </c>
      <c r="CX104" s="4">
        <v>11.717051</v>
      </c>
      <c r="CY104" s="4">
        <v>137.28927899999999</v>
      </c>
      <c r="CZ104" s="4">
        <v>0.68549499999999997</v>
      </c>
      <c r="DA104" s="4">
        <v>20</v>
      </c>
      <c r="DB104" s="4">
        <v>0.403304</v>
      </c>
      <c r="DC104" s="4">
        <v>2.336112</v>
      </c>
      <c r="DD104" s="4">
        <v>10.007955000000001</v>
      </c>
      <c r="DE104" s="4">
        <v>17.092838</v>
      </c>
      <c r="DF104" s="4">
        <v>6.6641750000000002</v>
      </c>
      <c r="DG104" s="4">
        <v>0.61239900000000003</v>
      </c>
      <c r="DH104" s="4">
        <v>0.152062</v>
      </c>
      <c r="DI104" s="4">
        <v>0.38988099999999998</v>
      </c>
      <c r="DJ104" s="4">
        <v>9.1894000000000003E-2</v>
      </c>
      <c r="DK104" s="4">
        <v>2.2818000000000001E-2</v>
      </c>
      <c r="DL104" s="4">
        <v>1</v>
      </c>
      <c r="DM104" s="4">
        <v>1</v>
      </c>
      <c r="DN104" s="4">
        <v>2</v>
      </c>
      <c r="DO104" s="4">
        <v>5</v>
      </c>
      <c r="DP104" s="4">
        <v>6</v>
      </c>
      <c r="DQ104" s="4">
        <v>8</v>
      </c>
      <c r="DR104" s="4">
        <v>12</v>
      </c>
      <c r="DS104" s="4">
        <v>17</v>
      </c>
      <c r="DT104" s="4">
        <v>21</v>
      </c>
      <c r="DU104" s="4">
        <v>24</v>
      </c>
      <c r="DV104" s="4">
        <v>26</v>
      </c>
      <c r="DW104" s="4">
        <v>28</v>
      </c>
      <c r="DX104" s="4">
        <v>32</v>
      </c>
      <c r="DY104" s="4">
        <v>37</v>
      </c>
      <c r="DZ104" s="4">
        <v>46</v>
      </c>
      <c r="EA104" s="4">
        <v>94.264431999999999</v>
      </c>
      <c r="EB104" s="4">
        <v>63.411048000000001</v>
      </c>
      <c r="EC104" s="4">
        <v>112.43947900000001</v>
      </c>
      <c r="ED104" s="4">
        <v>2531</v>
      </c>
      <c r="EE104" s="4">
        <v>3019</v>
      </c>
      <c r="EF104" s="4">
        <v>90.689013000000003</v>
      </c>
      <c r="EG104" s="4">
        <v>100</v>
      </c>
      <c r="EH104" s="4">
        <v>55.954630999999999</v>
      </c>
      <c r="EI104" s="4">
        <v>97.353497000000004</v>
      </c>
      <c r="EJ104" s="4">
        <v>99.217877000000001</v>
      </c>
      <c r="EK104" s="4">
        <v>172.625698</v>
      </c>
      <c r="EL104" s="4">
        <v>2435</v>
      </c>
      <c r="EM104" s="4">
        <v>2685</v>
      </c>
      <c r="EN104" s="4">
        <v>2664</v>
      </c>
      <c r="EO104" s="4">
        <v>4635</v>
      </c>
      <c r="EP104" s="4">
        <v>2685</v>
      </c>
      <c r="EQ104" s="4">
        <v>4761</v>
      </c>
      <c r="ER104" s="4">
        <v>51.098300000000002</v>
      </c>
    </row>
    <row r="105" spans="1:148" x14ac:dyDescent="0.2">
      <c r="A105" s="1">
        <v>2022</v>
      </c>
      <c r="B105" s="1" t="str">
        <f t="shared" si="2"/>
        <v>GN</v>
      </c>
      <c r="C105" s="1" t="s">
        <v>656</v>
      </c>
      <c r="D105" s="1" t="s">
        <v>656</v>
      </c>
      <c r="E105" s="1">
        <v>23854</v>
      </c>
      <c r="F105" s="1" t="s">
        <v>2083</v>
      </c>
      <c r="G105" s="1" t="s">
        <v>649</v>
      </c>
      <c r="H105" s="1" t="s">
        <v>657</v>
      </c>
      <c r="I105" s="1">
        <v>28.11</v>
      </c>
      <c r="J105" s="1">
        <v>28.11</v>
      </c>
      <c r="K105" s="1" t="s">
        <v>264</v>
      </c>
      <c r="L105" s="1">
        <v>1</v>
      </c>
      <c r="M105" s="1">
        <v>2015</v>
      </c>
      <c r="N105" s="1">
        <v>1</v>
      </c>
      <c r="O105" s="1">
        <v>1</v>
      </c>
      <c r="P105" s="1" t="str">
        <f t="shared" si="3"/>
        <v>Alto fuste</v>
      </c>
      <c r="Q105" s="2">
        <v>42244</v>
      </c>
      <c r="R105" s="1" t="s">
        <v>169</v>
      </c>
      <c r="S105" s="1" t="s">
        <v>403</v>
      </c>
      <c r="T105" s="1" t="s">
        <v>2268</v>
      </c>
      <c r="U105" s="1" t="s">
        <v>266</v>
      </c>
      <c r="V105" s="1" t="s">
        <v>152</v>
      </c>
      <c r="W105" s="2">
        <v>44697</v>
      </c>
      <c r="X105" s="1" t="s">
        <v>652</v>
      </c>
      <c r="Y105" s="1">
        <v>223.71</v>
      </c>
      <c r="Z105" s="1">
        <v>20</v>
      </c>
      <c r="AA105" s="1">
        <v>13</v>
      </c>
      <c r="AB105" s="1">
        <v>15</v>
      </c>
      <c r="AC105" s="1">
        <v>0</v>
      </c>
      <c r="AD105" s="3">
        <v>300</v>
      </c>
      <c r="AE105" s="3">
        <v>292.31101943557098</v>
      </c>
      <c r="AF105" s="2">
        <v>44697</v>
      </c>
      <c r="AG105" s="1">
        <v>81</v>
      </c>
      <c r="AH105" s="3">
        <v>6.7159479808350504</v>
      </c>
      <c r="AI105" s="4">
        <v>28.069063299408199</v>
      </c>
      <c r="AJ105" s="4">
        <v>16.940625000000001</v>
      </c>
      <c r="AK105" s="4">
        <v>26.0440089029264</v>
      </c>
      <c r="AL105" s="1">
        <v>32</v>
      </c>
      <c r="AM105" s="5">
        <v>1094.7243816462801</v>
      </c>
      <c r="AN105" s="4">
        <v>341.62649053058902</v>
      </c>
      <c r="AO105" s="4">
        <v>0.312066211603727</v>
      </c>
      <c r="AP105" s="1" t="s">
        <v>403</v>
      </c>
      <c r="AQ105" s="1" t="s">
        <v>655</v>
      </c>
      <c r="AR105" s="1" t="s">
        <v>291</v>
      </c>
      <c r="AS105" s="1">
        <v>9</v>
      </c>
      <c r="AT105" s="4">
        <v>0.98525194348165213</v>
      </c>
      <c r="AU105" s="1" t="s">
        <v>658</v>
      </c>
      <c r="AV105" s="1" t="s">
        <v>659</v>
      </c>
      <c r="AW105" s="1">
        <v>5603</v>
      </c>
      <c r="AX105" s="1">
        <v>2996</v>
      </c>
      <c r="AY105" s="1">
        <v>1968</v>
      </c>
      <c r="AZ105" s="1">
        <v>572</v>
      </c>
      <c r="BA105" s="1">
        <v>67</v>
      </c>
      <c r="BB105" s="1">
        <v>0</v>
      </c>
      <c r="BC105" s="1">
        <v>0</v>
      </c>
      <c r="BD105" s="1">
        <v>0</v>
      </c>
      <c r="BE105" s="1">
        <v>0</v>
      </c>
      <c r="BF105" s="1">
        <v>0</v>
      </c>
      <c r="BG105" s="1">
        <v>0</v>
      </c>
      <c r="BH105" s="4">
        <v>-1.8460000000000001</v>
      </c>
      <c r="BI105" s="4">
        <v>32.182999000000002</v>
      </c>
      <c r="BJ105" s="4">
        <v>18.253129999999999</v>
      </c>
      <c r="BK105" s="4">
        <v>-0.22557099999999999</v>
      </c>
      <c r="BL105" s="4">
        <v>12.486587999999999</v>
      </c>
      <c r="BM105" s="4">
        <v>155.914883</v>
      </c>
      <c r="BN105" s="4">
        <v>0.68407899999999999</v>
      </c>
      <c r="BO105" s="4">
        <v>28.611501000000001</v>
      </c>
      <c r="BP105" s="4">
        <v>-0.57745800000000003</v>
      </c>
      <c r="BQ105" s="4">
        <v>1.6041030000000001</v>
      </c>
      <c r="BR105" s="4">
        <v>11.205468</v>
      </c>
      <c r="BS105" s="4">
        <v>6.1180000000000003</v>
      </c>
      <c r="BT105" s="4">
        <v>24.416571000000001</v>
      </c>
      <c r="BU105" s="4">
        <v>18.253129999999999</v>
      </c>
      <c r="BV105" s="4">
        <v>6.7311209999999999</v>
      </c>
      <c r="BW105" s="4">
        <v>-1.309601</v>
      </c>
      <c r="BX105" s="4">
        <v>-0.666767</v>
      </c>
      <c r="BY105" s="4">
        <v>0.36876500000000001</v>
      </c>
      <c r="BZ105" s="4">
        <v>-0.19455900000000001</v>
      </c>
      <c r="CA105" s="4">
        <v>-9.9057000000000006E-2</v>
      </c>
      <c r="CB105" s="4">
        <v>-0.44297999999999998</v>
      </c>
      <c r="CC105" s="4">
        <v>-0.16400000000000001</v>
      </c>
      <c r="CD105" s="4">
        <v>-5.0999999999999997E-2</v>
      </c>
      <c r="CE105" s="4">
        <v>0.113</v>
      </c>
      <c r="CF105" s="4">
        <v>0.23449999999999999</v>
      </c>
      <c r="CG105" s="4">
        <v>9.6717999999999993</v>
      </c>
      <c r="CH105" s="4">
        <v>19.301200999999999</v>
      </c>
      <c r="CI105" s="4">
        <v>24.190999999999999</v>
      </c>
      <c r="CJ105" s="4">
        <v>27.210198999999999</v>
      </c>
      <c r="CK105" s="4">
        <v>28.260200999999999</v>
      </c>
      <c r="CL105" s="4">
        <v>28.846001000000001</v>
      </c>
      <c r="CM105" s="4">
        <v>29.466598999999999</v>
      </c>
      <c r="CN105" s="4">
        <v>30.509001000000001</v>
      </c>
      <c r="CO105" s="4">
        <v>30.951799000000001</v>
      </c>
      <c r="CP105" s="4">
        <v>31.549918999999999</v>
      </c>
      <c r="CQ105" s="4">
        <v>0.59064700000000003</v>
      </c>
      <c r="CR105" s="4">
        <v>22.114787</v>
      </c>
      <c r="CS105" s="4">
        <v>23.80735</v>
      </c>
      <c r="CT105" s="1">
        <v>1</v>
      </c>
      <c r="CU105" s="1">
        <v>45</v>
      </c>
      <c r="CV105" s="4">
        <v>10.248081000000001</v>
      </c>
      <c r="CW105" s="4">
        <v>1</v>
      </c>
      <c r="CX105" s="4">
        <v>7.1054079999999997</v>
      </c>
      <c r="CY105" s="4">
        <v>50.486820000000002</v>
      </c>
      <c r="CZ105" s="4">
        <v>0.69333999999999996</v>
      </c>
      <c r="DA105" s="4">
        <v>11</v>
      </c>
      <c r="DB105" s="4">
        <v>0.82680900000000002</v>
      </c>
      <c r="DC105" s="4">
        <v>3.8385959999999999</v>
      </c>
      <c r="DD105" s="4">
        <v>5.8638479999999999</v>
      </c>
      <c r="DE105" s="4">
        <v>10.248081000000001</v>
      </c>
      <c r="DF105" s="4">
        <v>3.9454020000000001</v>
      </c>
      <c r="DG105" s="4">
        <v>0.57811299999999999</v>
      </c>
      <c r="DH105" s="4">
        <v>0.224332</v>
      </c>
      <c r="DI105" s="4">
        <v>0.38498900000000003</v>
      </c>
      <c r="DJ105" s="4">
        <v>0.14652799999999999</v>
      </c>
      <c r="DK105" s="4">
        <v>5.6859E-2</v>
      </c>
      <c r="DL105" s="4">
        <v>1</v>
      </c>
      <c r="DM105" s="4">
        <v>1</v>
      </c>
      <c r="DN105" s="4">
        <v>2</v>
      </c>
      <c r="DO105" s="4">
        <v>3</v>
      </c>
      <c r="DP105" s="4">
        <v>4</v>
      </c>
      <c r="DQ105" s="4">
        <v>5</v>
      </c>
      <c r="DR105" s="4">
        <v>7</v>
      </c>
      <c r="DS105" s="4">
        <v>9</v>
      </c>
      <c r="DT105" s="4">
        <v>12</v>
      </c>
      <c r="DU105" s="4">
        <v>14</v>
      </c>
      <c r="DV105" s="4">
        <v>15</v>
      </c>
      <c r="DW105" s="4">
        <v>16</v>
      </c>
      <c r="DX105" s="4">
        <v>20</v>
      </c>
      <c r="DY105" s="4">
        <v>22</v>
      </c>
      <c r="DZ105" s="4">
        <v>31</v>
      </c>
      <c r="EA105" s="4">
        <v>98.097463000000005</v>
      </c>
      <c r="EB105" s="4">
        <v>71.568802000000005</v>
      </c>
      <c r="EC105" s="4">
        <v>133.84512699999999</v>
      </c>
      <c r="ED105" s="4">
        <v>2939</v>
      </c>
      <c r="EE105" s="4">
        <v>4010</v>
      </c>
      <c r="EF105" s="4">
        <v>95.093457999999998</v>
      </c>
      <c r="EG105" s="4">
        <v>100</v>
      </c>
      <c r="EH105" s="4">
        <v>61.84187</v>
      </c>
      <c r="EI105" s="4">
        <v>96.448330999999996</v>
      </c>
      <c r="EJ105" s="4">
        <v>115.654206</v>
      </c>
      <c r="EK105" s="4">
        <v>180.37383199999999</v>
      </c>
      <c r="EL105" s="4">
        <v>2849</v>
      </c>
      <c r="EM105" s="4">
        <v>2996</v>
      </c>
      <c r="EN105" s="4">
        <v>3465</v>
      </c>
      <c r="EO105" s="4">
        <v>5404</v>
      </c>
      <c r="EP105" s="4">
        <v>2996</v>
      </c>
      <c r="EQ105" s="4">
        <v>5603</v>
      </c>
      <c r="ER105" s="4">
        <v>56.923605000000002</v>
      </c>
    </row>
    <row r="106" spans="1:148" x14ac:dyDescent="0.2">
      <c r="A106" s="1">
        <v>2022</v>
      </c>
      <c r="B106" s="1" t="str">
        <f t="shared" si="2"/>
        <v>GN</v>
      </c>
      <c r="C106" s="1" t="s">
        <v>660</v>
      </c>
      <c r="D106" s="1" t="s">
        <v>660</v>
      </c>
      <c r="E106" s="1">
        <v>23855</v>
      </c>
      <c r="F106" s="1" t="s">
        <v>2084</v>
      </c>
      <c r="G106" s="1" t="s">
        <v>661</v>
      </c>
      <c r="H106" s="1" t="s">
        <v>662</v>
      </c>
      <c r="I106" s="1">
        <v>23.27</v>
      </c>
      <c r="J106" s="1">
        <v>23.27</v>
      </c>
      <c r="K106" s="1" t="s">
        <v>264</v>
      </c>
      <c r="L106" s="1">
        <v>1</v>
      </c>
      <c r="M106" s="1">
        <v>2015</v>
      </c>
      <c r="N106" s="1">
        <v>1</v>
      </c>
      <c r="O106" s="1">
        <v>1</v>
      </c>
      <c r="P106" s="1" t="str">
        <f t="shared" si="3"/>
        <v>Alto fuste</v>
      </c>
      <c r="Q106" s="2">
        <v>42325</v>
      </c>
      <c r="R106" s="1" t="s">
        <v>169</v>
      </c>
      <c r="S106" s="1" t="s">
        <v>160</v>
      </c>
      <c r="T106" s="1" t="s">
        <v>2268</v>
      </c>
      <c r="U106" s="1" t="s">
        <v>266</v>
      </c>
      <c r="V106" s="1" t="s">
        <v>152</v>
      </c>
      <c r="W106" s="2">
        <v>44697</v>
      </c>
      <c r="X106" s="1" t="s">
        <v>663</v>
      </c>
      <c r="Y106" s="1">
        <v>218.15</v>
      </c>
      <c r="Z106" s="1">
        <v>22</v>
      </c>
      <c r="AA106" s="1">
        <v>15</v>
      </c>
      <c r="AB106" s="1">
        <v>12</v>
      </c>
      <c r="AC106" s="1">
        <v>1</v>
      </c>
      <c r="AD106" s="3">
        <v>264</v>
      </c>
      <c r="AE106" s="3">
        <v>254.96557973229</v>
      </c>
      <c r="AF106" s="2">
        <v>44697</v>
      </c>
      <c r="AG106" s="1">
        <v>78</v>
      </c>
      <c r="AH106" s="3">
        <v>6.4941820670773502</v>
      </c>
      <c r="AI106" s="4">
        <v>28.080281722763999</v>
      </c>
      <c r="AJ106" s="4">
        <v>15.35</v>
      </c>
      <c r="AK106" s="4">
        <v>22.3618873579594</v>
      </c>
      <c r="AL106" s="1">
        <v>30</v>
      </c>
      <c r="AM106" s="5">
        <v>1176.62941136994</v>
      </c>
      <c r="AN106" s="4">
        <v>291.49425394735601</v>
      </c>
      <c r="AO106" s="4">
        <v>0.24773667148772999</v>
      </c>
      <c r="AP106" s="1" t="s">
        <v>160</v>
      </c>
      <c r="AQ106" s="1" t="s">
        <v>655</v>
      </c>
      <c r="AR106" s="1" t="s">
        <v>275</v>
      </c>
      <c r="AS106" s="1">
        <v>9</v>
      </c>
      <c r="AT106" s="4">
        <v>1.058966470232946</v>
      </c>
      <c r="AU106" s="1" t="s">
        <v>664</v>
      </c>
      <c r="AV106" s="1" t="s">
        <v>665</v>
      </c>
      <c r="AW106" s="1">
        <v>2532</v>
      </c>
      <c r="AX106" s="1">
        <v>1387</v>
      </c>
      <c r="AY106" s="1">
        <v>1040</v>
      </c>
      <c r="AZ106" s="1">
        <v>101</v>
      </c>
      <c r="BA106" s="1">
        <v>4</v>
      </c>
      <c r="BB106" s="1">
        <v>0</v>
      </c>
      <c r="BC106" s="1">
        <v>0</v>
      </c>
      <c r="BD106" s="1">
        <v>0</v>
      </c>
      <c r="BE106" s="1">
        <v>0</v>
      </c>
      <c r="BF106" s="1">
        <v>0</v>
      </c>
      <c r="BG106" s="1">
        <v>0</v>
      </c>
      <c r="BH106" s="4">
        <v>-0.78700000000000003</v>
      </c>
      <c r="BI106" s="4">
        <v>32.512999999999998</v>
      </c>
      <c r="BJ106" s="4">
        <v>15.96175</v>
      </c>
      <c r="BK106" s="4">
        <v>-0.25842900000000002</v>
      </c>
      <c r="BL106" s="4">
        <v>13.582627</v>
      </c>
      <c r="BM106" s="4">
        <v>184.48776000000001</v>
      </c>
      <c r="BN106" s="4">
        <v>0.85094800000000004</v>
      </c>
      <c r="BO106" s="4">
        <v>28.271249000000001</v>
      </c>
      <c r="BP106" s="4">
        <v>-0.24517</v>
      </c>
      <c r="BQ106" s="4">
        <v>1.1622619999999999</v>
      </c>
      <c r="BR106" s="4">
        <v>13.113991</v>
      </c>
      <c r="BS106" s="4">
        <v>5.5934999999999997</v>
      </c>
      <c r="BT106" s="4">
        <v>25.332927999999999</v>
      </c>
      <c r="BU106" s="4">
        <v>15.96175</v>
      </c>
      <c r="BV106" s="4">
        <v>7.2054239999999998</v>
      </c>
      <c r="BW106" s="4">
        <v>-0.53490199999999999</v>
      </c>
      <c r="BX106" s="4">
        <v>-1.3621259999999999</v>
      </c>
      <c r="BY106" s="4">
        <v>0.45141799999999999</v>
      </c>
      <c r="BZ106" s="4">
        <v>-7.4235999999999996E-2</v>
      </c>
      <c r="CA106" s="4">
        <v>-0.18904199999999999</v>
      </c>
      <c r="CB106" s="4">
        <v>-0.42169000000000001</v>
      </c>
      <c r="CC106" s="4">
        <v>-0.18690000000000001</v>
      </c>
      <c r="CD106" s="4">
        <v>-9.3899999999999997E-2</v>
      </c>
      <c r="CE106" s="4">
        <v>2.3E-2</v>
      </c>
      <c r="CF106" s="4">
        <v>6.7000000000000004E-2</v>
      </c>
      <c r="CG106" s="4">
        <v>0.124</v>
      </c>
      <c r="CH106" s="4">
        <v>0.44640000000000002</v>
      </c>
      <c r="CI106" s="4">
        <v>25.074501000000001</v>
      </c>
      <c r="CJ106" s="4">
        <v>26.903199999999998</v>
      </c>
      <c r="CK106" s="4">
        <v>27.832999999999998</v>
      </c>
      <c r="CL106" s="4">
        <v>28.338249000000001</v>
      </c>
      <c r="CM106" s="4">
        <v>28.857800000000001</v>
      </c>
      <c r="CN106" s="4">
        <v>29.892599000000001</v>
      </c>
      <c r="CO106" s="4">
        <v>30.560449999999999</v>
      </c>
      <c r="CP106" s="4">
        <v>31.657938000000001</v>
      </c>
      <c r="CQ106" s="4">
        <v>0.502965</v>
      </c>
      <c r="CR106" s="4">
        <v>20.956917000000001</v>
      </c>
      <c r="CS106" s="4">
        <v>23.073067000000002</v>
      </c>
      <c r="CT106" s="1">
        <v>1</v>
      </c>
      <c r="CU106" s="1">
        <v>43</v>
      </c>
      <c r="CV106" s="4">
        <v>14.349921</v>
      </c>
      <c r="CW106" s="4">
        <v>1</v>
      </c>
      <c r="CX106" s="4">
        <v>9.4236930000000001</v>
      </c>
      <c r="CY106" s="4">
        <v>88.805993999999998</v>
      </c>
      <c r="CZ106" s="4">
        <v>0.65670700000000004</v>
      </c>
      <c r="DA106" s="4">
        <v>17</v>
      </c>
      <c r="DB106" s="4">
        <v>0.27727299999999999</v>
      </c>
      <c r="DC106" s="4">
        <v>2.1104080000000001</v>
      </c>
      <c r="DD106" s="4">
        <v>8.141508</v>
      </c>
      <c r="DE106" s="4">
        <v>14.349921</v>
      </c>
      <c r="DF106" s="4">
        <v>5.3862940000000004</v>
      </c>
      <c r="DG106" s="4">
        <v>0.35323199999999999</v>
      </c>
      <c r="DH106" s="4">
        <v>3.2749E-2</v>
      </c>
      <c r="DI106" s="4">
        <v>0.37535400000000002</v>
      </c>
      <c r="DJ106" s="4">
        <v>6.5579999999999999E-2</v>
      </c>
      <c r="DK106" s="4">
        <v>6.0800000000000003E-3</v>
      </c>
      <c r="DL106" s="4">
        <v>1</v>
      </c>
      <c r="DM106" s="4">
        <v>1</v>
      </c>
      <c r="DN106" s="4">
        <v>2</v>
      </c>
      <c r="DO106" s="4">
        <v>4</v>
      </c>
      <c r="DP106" s="4">
        <v>5</v>
      </c>
      <c r="DQ106" s="4">
        <v>7</v>
      </c>
      <c r="DR106" s="4">
        <v>10</v>
      </c>
      <c r="DS106" s="4">
        <v>14</v>
      </c>
      <c r="DT106" s="4">
        <v>18</v>
      </c>
      <c r="DU106" s="4">
        <v>20</v>
      </c>
      <c r="DV106" s="4">
        <v>22</v>
      </c>
      <c r="DW106" s="4">
        <v>23</v>
      </c>
      <c r="DX106" s="4">
        <v>27</v>
      </c>
      <c r="DY106" s="4">
        <v>30</v>
      </c>
      <c r="DZ106" s="4">
        <v>35</v>
      </c>
      <c r="EA106" s="4">
        <v>97.332372000000007</v>
      </c>
      <c r="EB106" s="4">
        <v>59.597155999999998</v>
      </c>
      <c r="EC106" s="4">
        <v>108.795963</v>
      </c>
      <c r="ED106" s="4">
        <v>1350</v>
      </c>
      <c r="EE106" s="4">
        <v>1509</v>
      </c>
      <c r="EF106" s="4">
        <v>93.727468999999999</v>
      </c>
      <c r="EG106" s="4">
        <v>100</v>
      </c>
      <c r="EH106" s="4">
        <v>55.766193000000001</v>
      </c>
      <c r="EI106" s="4">
        <v>96.998419999999996</v>
      </c>
      <c r="EJ106" s="4">
        <v>101.802451</v>
      </c>
      <c r="EK106" s="4">
        <v>177.07281900000001</v>
      </c>
      <c r="EL106" s="4">
        <v>1300</v>
      </c>
      <c r="EM106" s="4">
        <v>1387</v>
      </c>
      <c r="EN106" s="4">
        <v>1412</v>
      </c>
      <c r="EO106" s="4">
        <v>2456</v>
      </c>
      <c r="EP106" s="4">
        <v>1387</v>
      </c>
      <c r="EQ106" s="4">
        <v>2532</v>
      </c>
      <c r="ER106" s="4">
        <v>49.486950999999998</v>
      </c>
    </row>
    <row r="107" spans="1:148" x14ac:dyDescent="0.2">
      <c r="A107" s="1">
        <v>2022</v>
      </c>
      <c r="B107" s="1" t="str">
        <f t="shared" si="2"/>
        <v>GN</v>
      </c>
      <c r="C107" s="1" t="s">
        <v>666</v>
      </c>
      <c r="D107" s="1" t="s">
        <v>666</v>
      </c>
      <c r="E107" s="1">
        <v>23857</v>
      </c>
      <c r="F107" s="1" t="s">
        <v>2084</v>
      </c>
      <c r="G107" s="1" t="s">
        <v>661</v>
      </c>
      <c r="H107" s="1" t="s">
        <v>667</v>
      </c>
      <c r="I107" s="1">
        <v>41.35</v>
      </c>
      <c r="J107" s="1">
        <v>41.35</v>
      </c>
      <c r="K107" s="1" t="s">
        <v>264</v>
      </c>
      <c r="L107" s="1">
        <v>1</v>
      </c>
      <c r="M107" s="1">
        <v>2015</v>
      </c>
      <c r="N107" s="1">
        <v>1</v>
      </c>
      <c r="O107" s="1">
        <v>1</v>
      </c>
      <c r="P107" s="1" t="str">
        <f t="shared" si="3"/>
        <v>Alto fuste</v>
      </c>
      <c r="Q107" s="2">
        <v>42327</v>
      </c>
      <c r="R107" s="1" t="s">
        <v>169</v>
      </c>
      <c r="S107" s="1" t="s">
        <v>348</v>
      </c>
      <c r="T107" s="1" t="s">
        <v>2268</v>
      </c>
      <c r="U107" s="1" t="s">
        <v>266</v>
      </c>
      <c r="V107" s="1" t="s">
        <v>152</v>
      </c>
      <c r="W107" s="2">
        <v>44697</v>
      </c>
      <c r="X107" s="1" t="s">
        <v>663</v>
      </c>
      <c r="Y107" s="1">
        <v>218.15</v>
      </c>
      <c r="Z107" s="1">
        <v>22</v>
      </c>
      <c r="AA107" s="1">
        <v>12</v>
      </c>
      <c r="AB107" s="1">
        <v>12</v>
      </c>
      <c r="AC107" s="1">
        <v>5</v>
      </c>
      <c r="AD107" s="3">
        <v>264</v>
      </c>
      <c r="AE107" s="3">
        <v>257.24831980377502</v>
      </c>
      <c r="AF107" s="2">
        <v>44697</v>
      </c>
      <c r="AG107" s="1">
        <v>78</v>
      </c>
      <c r="AH107" s="3">
        <v>6.4887063655030799</v>
      </c>
      <c r="AI107" s="4">
        <v>30.318299231271499</v>
      </c>
      <c r="AJ107" s="4">
        <v>17.5814814814815</v>
      </c>
      <c r="AK107" s="4">
        <v>26.3286418268275</v>
      </c>
      <c r="AL107" s="1">
        <v>27</v>
      </c>
      <c r="AM107" s="5">
        <v>1049.56953734801</v>
      </c>
      <c r="AN107" s="4">
        <v>366.326813704519</v>
      </c>
      <c r="AO107" s="4">
        <v>0.34902576786873302</v>
      </c>
      <c r="AP107" s="1" t="s">
        <v>348</v>
      </c>
      <c r="AQ107" s="1" t="s">
        <v>655</v>
      </c>
      <c r="AR107" s="1" t="s">
        <v>291</v>
      </c>
      <c r="AS107" s="1">
        <v>9</v>
      </c>
      <c r="AT107" s="4">
        <v>0.9446125836132091</v>
      </c>
      <c r="AU107" s="1" t="s">
        <v>668</v>
      </c>
      <c r="AV107" s="1" t="s">
        <v>669</v>
      </c>
      <c r="AW107" s="1">
        <v>2889</v>
      </c>
      <c r="AX107" s="1">
        <v>1616</v>
      </c>
      <c r="AY107" s="1">
        <v>1100</v>
      </c>
      <c r="AZ107" s="1">
        <v>164</v>
      </c>
      <c r="BA107" s="1">
        <v>9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>
        <v>0</v>
      </c>
      <c r="BH107" s="4">
        <v>-1.4</v>
      </c>
      <c r="BI107" s="4">
        <v>33.692000999999998</v>
      </c>
      <c r="BJ107" s="4">
        <v>16.964109000000001</v>
      </c>
      <c r="BK107" s="4">
        <v>-0.285968</v>
      </c>
      <c r="BL107" s="4">
        <v>14.005309</v>
      </c>
      <c r="BM107" s="4">
        <v>196.14869400000001</v>
      </c>
      <c r="BN107" s="4">
        <v>0.82558500000000001</v>
      </c>
      <c r="BO107" s="4">
        <v>29.716000999999999</v>
      </c>
      <c r="BP107" s="4">
        <v>-0.30637799999999998</v>
      </c>
      <c r="BQ107" s="4">
        <v>1.2126650000000001</v>
      </c>
      <c r="BR107" s="4">
        <v>13.378133</v>
      </c>
      <c r="BS107" s="4">
        <v>6.6950000000000003</v>
      </c>
      <c r="BT107" s="4">
        <v>24.931968999999999</v>
      </c>
      <c r="BU107" s="4">
        <v>16.964109000000001</v>
      </c>
      <c r="BV107" s="4">
        <v>7.4479749999999996</v>
      </c>
      <c r="BW107" s="4">
        <v>-0.70885500000000001</v>
      </c>
      <c r="BX107" s="4">
        <v>-1.3533949999999999</v>
      </c>
      <c r="BY107" s="4">
        <v>0.43904300000000002</v>
      </c>
      <c r="BZ107" s="4">
        <v>-9.5173999999999995E-2</v>
      </c>
      <c r="CA107" s="4">
        <v>-0.18171300000000001</v>
      </c>
      <c r="CB107" s="4">
        <v>-0.38547999999999999</v>
      </c>
      <c r="CC107" s="4">
        <v>-0.192</v>
      </c>
      <c r="CD107" s="4">
        <v>-8.6999999999999994E-2</v>
      </c>
      <c r="CE107" s="4">
        <v>1.9E-2</v>
      </c>
      <c r="CF107" s="4">
        <v>6.7000000000000004E-2</v>
      </c>
      <c r="CG107" s="4">
        <v>0.128</v>
      </c>
      <c r="CH107" s="4">
        <v>15.832796999999999</v>
      </c>
      <c r="CI107" s="4">
        <v>24.646000000000001</v>
      </c>
      <c r="CJ107" s="4">
        <v>28.058001000000001</v>
      </c>
      <c r="CK107" s="4">
        <v>29.363600000000002</v>
      </c>
      <c r="CL107" s="4">
        <v>29.783000999999999</v>
      </c>
      <c r="CM107" s="4">
        <v>30.190598999999999</v>
      </c>
      <c r="CN107" s="4">
        <v>31.133400000000002</v>
      </c>
      <c r="CO107" s="4">
        <v>31.7118</v>
      </c>
      <c r="CP107" s="4">
        <v>32.546402</v>
      </c>
      <c r="CQ107" s="4">
        <v>0.52331300000000003</v>
      </c>
      <c r="CR107" s="4">
        <v>21.996858</v>
      </c>
      <c r="CS107" s="4">
        <v>24.112649999999999</v>
      </c>
      <c r="CT107" s="1">
        <v>1</v>
      </c>
      <c r="CU107" s="1">
        <v>48</v>
      </c>
      <c r="CV107" s="4">
        <v>14.564901000000001</v>
      </c>
      <c r="CW107" s="4">
        <v>1</v>
      </c>
      <c r="CX107" s="4">
        <v>9.9541550000000001</v>
      </c>
      <c r="CY107" s="4">
        <v>99.085207999999994</v>
      </c>
      <c r="CZ107" s="4">
        <v>0.68343399999999999</v>
      </c>
      <c r="DA107" s="4">
        <v>15</v>
      </c>
      <c r="DB107" s="4">
        <v>0.61229599999999995</v>
      </c>
      <c r="DC107" s="4">
        <v>2.8836430000000002</v>
      </c>
      <c r="DD107" s="4">
        <v>8.1601920000000003</v>
      </c>
      <c r="DE107" s="4">
        <v>14.564901000000001</v>
      </c>
      <c r="DF107" s="4">
        <v>5.5950230000000003</v>
      </c>
      <c r="DG107" s="4">
        <v>0.68819600000000003</v>
      </c>
      <c r="DH107" s="4">
        <v>0.38091799999999998</v>
      </c>
      <c r="DI107" s="4">
        <v>0.38414399999999999</v>
      </c>
      <c r="DJ107" s="4">
        <v>0.123002</v>
      </c>
      <c r="DK107" s="4">
        <v>6.8081000000000003E-2</v>
      </c>
      <c r="DL107" s="4">
        <v>1</v>
      </c>
      <c r="DM107" s="4">
        <v>1</v>
      </c>
      <c r="DN107" s="4">
        <v>2</v>
      </c>
      <c r="DO107" s="4">
        <v>5</v>
      </c>
      <c r="DP107" s="4">
        <v>6</v>
      </c>
      <c r="DQ107" s="4">
        <v>7</v>
      </c>
      <c r="DR107" s="4">
        <v>11</v>
      </c>
      <c r="DS107" s="4">
        <v>14</v>
      </c>
      <c r="DT107" s="4">
        <v>17</v>
      </c>
      <c r="DU107" s="4">
        <v>19</v>
      </c>
      <c r="DV107" s="4">
        <v>21</v>
      </c>
      <c r="DW107" s="4">
        <v>23</v>
      </c>
      <c r="DX107" s="4">
        <v>28</v>
      </c>
      <c r="DY107" s="4">
        <v>33</v>
      </c>
      <c r="DZ107" s="4">
        <v>41.120117</v>
      </c>
      <c r="EA107" s="4">
        <v>92.264850999999993</v>
      </c>
      <c r="EB107" s="4">
        <v>60.782277999999998</v>
      </c>
      <c r="EC107" s="4">
        <v>108.663366</v>
      </c>
      <c r="ED107" s="4">
        <v>1491</v>
      </c>
      <c r="EE107" s="4">
        <v>1756</v>
      </c>
      <c r="EF107" s="4">
        <v>91.398515000000003</v>
      </c>
      <c r="EG107" s="4">
        <v>100</v>
      </c>
      <c r="EH107" s="4">
        <v>59.397714999999998</v>
      </c>
      <c r="EI107" s="4">
        <v>97.577016</v>
      </c>
      <c r="EJ107" s="4">
        <v>106.188119</v>
      </c>
      <c r="EK107" s="4">
        <v>174.44306900000001</v>
      </c>
      <c r="EL107" s="4">
        <v>1477</v>
      </c>
      <c r="EM107" s="4">
        <v>1616</v>
      </c>
      <c r="EN107" s="4">
        <v>1716</v>
      </c>
      <c r="EO107" s="4">
        <v>2819</v>
      </c>
      <c r="EP107" s="4">
        <v>1616</v>
      </c>
      <c r="EQ107" s="4">
        <v>2889</v>
      </c>
      <c r="ER107" s="4">
        <v>51.133955999999998</v>
      </c>
    </row>
    <row r="108" spans="1:148" x14ac:dyDescent="0.2">
      <c r="A108" s="1">
        <v>2022</v>
      </c>
      <c r="B108" s="1" t="str">
        <f t="shared" si="2"/>
        <v>GN</v>
      </c>
      <c r="C108" s="1" t="s">
        <v>670</v>
      </c>
      <c r="D108" s="1" t="s">
        <v>670</v>
      </c>
      <c r="E108" s="1">
        <v>23858</v>
      </c>
      <c r="F108" s="1" t="s">
        <v>2084</v>
      </c>
      <c r="G108" s="1" t="s">
        <v>661</v>
      </c>
      <c r="H108" s="1" t="s">
        <v>671</v>
      </c>
      <c r="I108" s="1">
        <v>27.7</v>
      </c>
      <c r="J108" s="1">
        <v>27.7</v>
      </c>
      <c r="K108" s="1" t="s">
        <v>264</v>
      </c>
      <c r="L108" s="1">
        <v>1</v>
      </c>
      <c r="M108" s="1">
        <v>2015</v>
      </c>
      <c r="N108" s="1">
        <v>1</v>
      </c>
      <c r="O108" s="1">
        <v>1</v>
      </c>
      <c r="P108" s="1" t="str">
        <f t="shared" si="3"/>
        <v>Alto fuste</v>
      </c>
      <c r="Q108" s="2">
        <v>42328</v>
      </c>
      <c r="R108" s="1" t="s">
        <v>169</v>
      </c>
      <c r="S108" s="1" t="s">
        <v>651</v>
      </c>
      <c r="T108" s="1" t="s">
        <v>2268</v>
      </c>
      <c r="U108" s="1" t="s">
        <v>266</v>
      </c>
      <c r="V108" s="1" t="s">
        <v>152</v>
      </c>
      <c r="W108" s="2">
        <v>44697</v>
      </c>
      <c r="X108" s="1" t="s">
        <v>663</v>
      </c>
      <c r="Y108" s="1">
        <v>218.15</v>
      </c>
      <c r="Z108" s="1">
        <v>22</v>
      </c>
      <c r="AA108" s="1">
        <v>14</v>
      </c>
      <c r="AB108" s="1">
        <v>13.6</v>
      </c>
      <c r="AC108" s="1">
        <v>3</v>
      </c>
      <c r="AD108" s="3">
        <v>299.2</v>
      </c>
      <c r="AE108" s="3">
        <v>289.91461813584101</v>
      </c>
      <c r="AF108" s="2">
        <v>44697</v>
      </c>
      <c r="AG108" s="1">
        <v>78</v>
      </c>
      <c r="AH108" s="3">
        <v>6.4859685147159496</v>
      </c>
      <c r="AI108" s="4">
        <v>30.1093498674282</v>
      </c>
      <c r="AJ108" s="4">
        <v>18.25</v>
      </c>
      <c r="AK108" s="4">
        <v>18.535762415156</v>
      </c>
      <c r="AL108" s="1">
        <v>20</v>
      </c>
      <c r="AM108" s="5">
        <v>689.85828064140298</v>
      </c>
      <c r="AN108" s="4">
        <v>253.11108244017001</v>
      </c>
      <c r="AO108" s="4">
        <v>0.366903014057956</v>
      </c>
      <c r="AP108" s="1" t="s">
        <v>651</v>
      </c>
      <c r="AQ108" s="1" t="s">
        <v>655</v>
      </c>
      <c r="AR108" s="1" t="s">
        <v>291</v>
      </c>
      <c r="AS108" s="1">
        <v>9</v>
      </c>
      <c r="AT108" s="4">
        <v>0.62087245257726265</v>
      </c>
      <c r="AU108" s="1" t="s">
        <v>672</v>
      </c>
      <c r="AV108" s="1" t="s">
        <v>673</v>
      </c>
      <c r="AW108" s="1">
        <v>3493</v>
      </c>
      <c r="AX108" s="1">
        <v>1969</v>
      </c>
      <c r="AY108" s="1">
        <v>1405</v>
      </c>
      <c r="AZ108" s="1">
        <v>117</v>
      </c>
      <c r="BA108" s="1">
        <v>2</v>
      </c>
      <c r="BB108" s="1">
        <v>0</v>
      </c>
      <c r="BC108" s="1">
        <v>0</v>
      </c>
      <c r="BD108" s="1">
        <v>0</v>
      </c>
      <c r="BE108" s="1">
        <v>0</v>
      </c>
      <c r="BF108" s="1">
        <v>0</v>
      </c>
      <c r="BG108" s="1">
        <v>0</v>
      </c>
      <c r="BH108" s="4">
        <v>-1.2649999999999999</v>
      </c>
      <c r="BI108" s="4">
        <v>29.724001000000001</v>
      </c>
      <c r="BJ108" s="4">
        <v>14.423563</v>
      </c>
      <c r="BK108" s="4">
        <v>-0.28122200000000003</v>
      </c>
      <c r="BL108" s="4">
        <v>12.456652</v>
      </c>
      <c r="BM108" s="4">
        <v>155.16817</v>
      </c>
      <c r="BN108" s="4">
        <v>0.86363199999999996</v>
      </c>
      <c r="BO108" s="4">
        <v>25.800001000000002</v>
      </c>
      <c r="BP108" s="4">
        <v>-0.22608800000000001</v>
      </c>
      <c r="BQ108" s="4">
        <v>1.146738</v>
      </c>
      <c r="BR108" s="4">
        <v>12.0838</v>
      </c>
      <c r="BS108" s="4">
        <v>5.4580000000000002</v>
      </c>
      <c r="BT108" s="4">
        <v>22.698221</v>
      </c>
      <c r="BU108" s="4">
        <v>14.423563</v>
      </c>
      <c r="BV108" s="4">
        <v>6.604959</v>
      </c>
      <c r="BW108" s="4">
        <v>-0.41467700000000002</v>
      </c>
      <c r="BX108" s="4">
        <v>-1.2549459999999999</v>
      </c>
      <c r="BY108" s="4">
        <v>0.457928</v>
      </c>
      <c r="BZ108" s="4">
        <v>-6.2783000000000005E-2</v>
      </c>
      <c r="CA108" s="4">
        <v>-0.190001</v>
      </c>
      <c r="CB108" s="4">
        <v>-0.49915999999999999</v>
      </c>
      <c r="CC108" s="4">
        <v>-0.1908</v>
      </c>
      <c r="CD108" s="4">
        <v>-8.5000000000000006E-2</v>
      </c>
      <c r="CE108" s="4">
        <v>2.1000000000000001E-2</v>
      </c>
      <c r="CF108" s="4">
        <v>7.0000000000000007E-2</v>
      </c>
      <c r="CG108" s="4">
        <v>0.12859999999999999</v>
      </c>
      <c r="CH108" s="4">
        <v>0.36659999999999998</v>
      </c>
      <c r="CI108" s="4">
        <v>22.417000000000002</v>
      </c>
      <c r="CJ108" s="4">
        <v>24.503401</v>
      </c>
      <c r="CK108" s="4">
        <v>25.367198999999999</v>
      </c>
      <c r="CL108" s="4">
        <v>25.870000999999998</v>
      </c>
      <c r="CM108" s="4">
        <v>26.3612</v>
      </c>
      <c r="CN108" s="4">
        <v>27.340799000000001</v>
      </c>
      <c r="CO108" s="4">
        <v>28.045400999999998</v>
      </c>
      <c r="CP108" s="4">
        <v>28.985641000000001</v>
      </c>
      <c r="CQ108" s="4">
        <v>0.50626199999999999</v>
      </c>
      <c r="CR108" s="4">
        <v>19.056833999999998</v>
      </c>
      <c r="CS108" s="4">
        <v>21.011403999999999</v>
      </c>
      <c r="CT108" s="1">
        <v>1</v>
      </c>
      <c r="CU108" s="1">
        <v>55</v>
      </c>
      <c r="CV108" s="4">
        <v>14.362152999999999</v>
      </c>
      <c r="CW108" s="4">
        <v>1</v>
      </c>
      <c r="CX108" s="4">
        <v>9.6657019999999996</v>
      </c>
      <c r="CY108" s="4">
        <v>93.425794999999994</v>
      </c>
      <c r="CZ108" s="4">
        <v>0.67299799999999999</v>
      </c>
      <c r="DA108" s="4">
        <v>14</v>
      </c>
      <c r="DB108" s="4">
        <v>0.67104900000000001</v>
      </c>
      <c r="DC108" s="4">
        <v>3.3601260000000002</v>
      </c>
      <c r="DD108" s="4">
        <v>7.8282959999999999</v>
      </c>
      <c r="DE108" s="4">
        <v>14.362152999999999</v>
      </c>
      <c r="DF108" s="4">
        <v>5.4006530000000001</v>
      </c>
      <c r="DG108" s="4">
        <v>0.60027699999999995</v>
      </c>
      <c r="DH108" s="4">
        <v>0.42654500000000001</v>
      </c>
      <c r="DI108" s="4">
        <v>0.37603399999999998</v>
      </c>
      <c r="DJ108" s="4">
        <v>0.111149</v>
      </c>
      <c r="DK108" s="4">
        <v>7.8979999999999995E-2</v>
      </c>
      <c r="DL108" s="4">
        <v>1</v>
      </c>
      <c r="DM108" s="4">
        <v>1</v>
      </c>
      <c r="DN108" s="4">
        <v>2</v>
      </c>
      <c r="DO108" s="4">
        <v>5</v>
      </c>
      <c r="DP108" s="4">
        <v>6</v>
      </c>
      <c r="DQ108" s="4">
        <v>8</v>
      </c>
      <c r="DR108" s="4">
        <v>11</v>
      </c>
      <c r="DS108" s="4">
        <v>14</v>
      </c>
      <c r="DT108" s="4">
        <v>17</v>
      </c>
      <c r="DU108" s="4">
        <v>19</v>
      </c>
      <c r="DV108" s="4">
        <v>20</v>
      </c>
      <c r="DW108" s="4">
        <v>22</v>
      </c>
      <c r="DX108" s="4">
        <v>26</v>
      </c>
      <c r="DY108" s="4">
        <v>31</v>
      </c>
      <c r="DZ108" s="4">
        <v>43</v>
      </c>
      <c r="EA108" s="4">
        <v>94.870492999999996</v>
      </c>
      <c r="EB108" s="4">
        <v>58.517034000000002</v>
      </c>
      <c r="EC108" s="4">
        <v>103.80904</v>
      </c>
      <c r="ED108" s="4">
        <v>1868</v>
      </c>
      <c r="EE108" s="4">
        <v>2044</v>
      </c>
      <c r="EF108" s="4">
        <v>94.210258999999994</v>
      </c>
      <c r="EG108" s="4">
        <v>100</v>
      </c>
      <c r="EH108" s="4">
        <v>56.799312999999998</v>
      </c>
      <c r="EI108" s="4">
        <v>96.993988000000002</v>
      </c>
      <c r="EJ108" s="4">
        <v>100.761808</v>
      </c>
      <c r="EK108" s="4">
        <v>172.06703899999999</v>
      </c>
      <c r="EL108" s="4">
        <v>1855</v>
      </c>
      <c r="EM108" s="4">
        <v>1969</v>
      </c>
      <c r="EN108" s="4">
        <v>1984</v>
      </c>
      <c r="EO108" s="4">
        <v>3388</v>
      </c>
      <c r="EP108" s="4">
        <v>1969</v>
      </c>
      <c r="EQ108" s="4">
        <v>3493</v>
      </c>
      <c r="ER108" s="4">
        <v>48.859442000000001</v>
      </c>
    </row>
    <row r="109" spans="1:148" x14ac:dyDescent="0.2">
      <c r="A109" s="1">
        <v>2022</v>
      </c>
      <c r="B109" s="1" t="str">
        <f t="shared" si="2"/>
        <v>GN</v>
      </c>
      <c r="C109" s="1" t="s">
        <v>674</v>
      </c>
      <c r="D109" s="1" t="s">
        <v>674</v>
      </c>
      <c r="E109" s="1">
        <v>23938</v>
      </c>
      <c r="F109" s="1" t="s">
        <v>2085</v>
      </c>
      <c r="G109" s="1" t="s">
        <v>390</v>
      </c>
      <c r="H109" s="1" t="s">
        <v>675</v>
      </c>
      <c r="I109" s="1">
        <v>26.47</v>
      </c>
      <c r="J109" s="1">
        <v>26.47</v>
      </c>
      <c r="K109" s="1" t="s">
        <v>392</v>
      </c>
      <c r="L109" s="1">
        <v>1</v>
      </c>
      <c r="M109" s="1">
        <v>2015</v>
      </c>
      <c r="N109" s="1">
        <v>2</v>
      </c>
      <c r="O109" s="1">
        <v>2</v>
      </c>
      <c r="P109" s="1" t="str">
        <f t="shared" si="3"/>
        <v>Talhadia</v>
      </c>
      <c r="Q109" s="2">
        <v>42100</v>
      </c>
      <c r="R109" s="1" t="s">
        <v>169</v>
      </c>
      <c r="S109" s="1" t="s">
        <v>619</v>
      </c>
      <c r="T109" s="1" t="s">
        <v>2268</v>
      </c>
      <c r="U109" s="1" t="s">
        <v>266</v>
      </c>
      <c r="V109" s="1" t="s">
        <v>152</v>
      </c>
      <c r="W109" s="2">
        <v>44687</v>
      </c>
      <c r="X109" s="1" t="s">
        <v>393</v>
      </c>
      <c r="Y109" s="1">
        <v>159.44999999999999</v>
      </c>
      <c r="Z109" s="1">
        <v>21</v>
      </c>
      <c r="AA109" s="1">
        <v>17</v>
      </c>
      <c r="AB109" s="1">
        <v>15.1</v>
      </c>
      <c r="AC109" s="1">
        <v>7</v>
      </c>
      <c r="AD109" s="3">
        <v>317.10000000000002</v>
      </c>
      <c r="AE109" s="3">
        <v>300.98390154932002</v>
      </c>
      <c r="AF109" s="2">
        <v>44687</v>
      </c>
      <c r="AG109" s="1">
        <v>85</v>
      </c>
      <c r="AH109" s="3">
        <v>7.0828199863107502</v>
      </c>
      <c r="AI109" s="4">
        <v>27.431273007996499</v>
      </c>
      <c r="AJ109" s="4">
        <v>17.358620689655201</v>
      </c>
      <c r="AK109" s="4">
        <v>24.125016665772399</v>
      </c>
      <c r="AL109" s="1">
        <v>29</v>
      </c>
      <c r="AM109" s="5">
        <v>963.50668094612297</v>
      </c>
      <c r="AN109" s="4">
        <v>326.26773629414703</v>
      </c>
      <c r="AO109" s="4">
        <v>0.33862529730854202</v>
      </c>
      <c r="AP109" s="1" t="s">
        <v>619</v>
      </c>
      <c r="AQ109" s="1" t="s">
        <v>254</v>
      </c>
      <c r="AR109" s="1" t="s">
        <v>302</v>
      </c>
      <c r="AS109" s="1">
        <v>9</v>
      </c>
      <c r="AT109" s="4">
        <v>0.86715601285151067</v>
      </c>
      <c r="AU109" s="1" t="s">
        <v>676</v>
      </c>
      <c r="AV109" s="1" t="s">
        <v>677</v>
      </c>
      <c r="AW109" s="1">
        <v>2939</v>
      </c>
      <c r="AX109" s="1">
        <v>1633</v>
      </c>
      <c r="AY109" s="1">
        <v>1171</v>
      </c>
      <c r="AZ109" s="1">
        <v>128</v>
      </c>
      <c r="BA109" s="1">
        <v>7</v>
      </c>
      <c r="BB109" s="1">
        <v>0</v>
      </c>
      <c r="BC109" s="1">
        <v>0</v>
      </c>
      <c r="BD109" s="1">
        <v>0</v>
      </c>
      <c r="BE109" s="1">
        <v>0</v>
      </c>
      <c r="BF109" s="1">
        <v>0</v>
      </c>
      <c r="BG109" s="1">
        <v>0</v>
      </c>
      <c r="BH109" s="4">
        <v>-1.238</v>
      </c>
      <c r="BI109" s="4">
        <v>30.127001</v>
      </c>
      <c r="BJ109" s="4">
        <v>13.284557</v>
      </c>
      <c r="BK109" s="4">
        <v>-0.242286</v>
      </c>
      <c r="BL109" s="4">
        <v>13.050435</v>
      </c>
      <c r="BM109" s="4">
        <v>170.313852</v>
      </c>
      <c r="BN109" s="4">
        <v>0.98237600000000003</v>
      </c>
      <c r="BO109" s="4">
        <v>26.843999</v>
      </c>
      <c r="BP109" s="4">
        <v>2.147E-2</v>
      </c>
      <c r="BQ109" s="4">
        <v>1.0840639999999999</v>
      </c>
      <c r="BR109" s="4">
        <v>12.807803</v>
      </c>
      <c r="BS109" s="4">
        <v>12.721</v>
      </c>
      <c r="BT109" s="4">
        <v>12.692285999999999</v>
      </c>
      <c r="BU109" s="4">
        <v>13.284557</v>
      </c>
      <c r="BV109" s="4">
        <v>6.9269829999999999</v>
      </c>
      <c r="BW109" s="4">
        <v>0.26419399999999998</v>
      </c>
      <c r="BX109" s="4">
        <v>-1.4448730000000001</v>
      </c>
      <c r="BY109" s="4">
        <v>0.52143099999999998</v>
      </c>
      <c r="BZ109" s="4">
        <v>3.814E-2</v>
      </c>
      <c r="CA109" s="4">
        <v>-0.20858599999999999</v>
      </c>
      <c r="CB109" s="4">
        <v>-0.69381999999999999</v>
      </c>
      <c r="CC109" s="4">
        <v>-0.42920000000000003</v>
      </c>
      <c r="CD109" s="4">
        <v>-0.31440000000000001</v>
      </c>
      <c r="CE109" s="4">
        <v>-0.19</v>
      </c>
      <c r="CF109" s="4">
        <v>-0.13300000000000001</v>
      </c>
      <c r="CG109" s="4">
        <v>-7.3999999999999996E-2</v>
      </c>
      <c r="CH109" s="4">
        <v>8.2199999999999995E-2</v>
      </c>
      <c r="CI109" s="4">
        <v>12.45</v>
      </c>
      <c r="CJ109" s="4">
        <v>24.623802000000001</v>
      </c>
      <c r="CK109" s="4">
        <v>26.220400000000001</v>
      </c>
      <c r="CL109" s="4">
        <v>26.710999000000001</v>
      </c>
      <c r="CM109" s="4">
        <v>27.274000000000001</v>
      </c>
      <c r="CN109" s="4">
        <v>28.125601</v>
      </c>
      <c r="CO109" s="4">
        <v>28.650998999999999</v>
      </c>
      <c r="CP109" s="4">
        <v>29.370844000000002</v>
      </c>
      <c r="CQ109" s="4">
        <v>0.46301799999999999</v>
      </c>
      <c r="CR109" s="4">
        <v>18.620830999999999</v>
      </c>
      <c r="CS109" s="4">
        <v>20.936672999999999</v>
      </c>
      <c r="CT109" s="1">
        <v>1</v>
      </c>
      <c r="CU109" s="1">
        <v>60</v>
      </c>
      <c r="CV109" s="4">
        <v>18.733243000000002</v>
      </c>
      <c r="CW109" s="4">
        <v>1</v>
      </c>
      <c r="CX109" s="4">
        <v>12.910211</v>
      </c>
      <c r="CY109" s="4">
        <v>166.673541</v>
      </c>
      <c r="CZ109" s="4">
        <v>0.68915999999999999</v>
      </c>
      <c r="DA109" s="4">
        <v>22</v>
      </c>
      <c r="DB109" s="4">
        <v>0.31368499999999999</v>
      </c>
      <c r="DC109" s="4">
        <v>2.31778</v>
      </c>
      <c r="DD109" s="4">
        <v>11.100512999999999</v>
      </c>
      <c r="DE109" s="4">
        <v>18.733243000000002</v>
      </c>
      <c r="DF109" s="4">
        <v>7.3354150000000002</v>
      </c>
      <c r="DG109" s="4">
        <v>0.45477200000000001</v>
      </c>
      <c r="DH109" s="4">
        <v>0.10345699999999999</v>
      </c>
      <c r="DI109" s="4">
        <v>0.39157199999999998</v>
      </c>
      <c r="DJ109" s="4">
        <v>6.1996999999999997E-2</v>
      </c>
      <c r="DK109" s="4">
        <v>1.4104E-2</v>
      </c>
      <c r="DL109" s="4">
        <v>1</v>
      </c>
      <c r="DM109" s="4">
        <v>1</v>
      </c>
      <c r="DN109" s="4">
        <v>2</v>
      </c>
      <c r="DO109" s="4">
        <v>4</v>
      </c>
      <c r="DP109" s="4">
        <v>6</v>
      </c>
      <c r="DQ109" s="4">
        <v>8</v>
      </c>
      <c r="DR109" s="4">
        <v>14</v>
      </c>
      <c r="DS109" s="4">
        <v>19</v>
      </c>
      <c r="DT109" s="4">
        <v>24</v>
      </c>
      <c r="DU109" s="4">
        <v>27</v>
      </c>
      <c r="DV109" s="4">
        <v>28</v>
      </c>
      <c r="DW109" s="4">
        <v>30</v>
      </c>
      <c r="DX109" s="4">
        <v>35</v>
      </c>
      <c r="DY109" s="4">
        <v>39</v>
      </c>
      <c r="DZ109" s="4">
        <v>51</v>
      </c>
      <c r="EA109" s="4">
        <v>87.140232999999995</v>
      </c>
      <c r="EB109" s="4">
        <v>54.066009000000001</v>
      </c>
      <c r="EC109" s="4">
        <v>97.305572999999995</v>
      </c>
      <c r="ED109" s="4">
        <v>1423</v>
      </c>
      <c r="EE109" s="4">
        <v>1589</v>
      </c>
      <c r="EF109" s="4">
        <v>85.609307999999999</v>
      </c>
      <c r="EG109" s="4">
        <v>99.693815000000001</v>
      </c>
      <c r="EH109" s="4">
        <v>49.642735999999999</v>
      </c>
      <c r="EI109" s="4">
        <v>85.165021999999993</v>
      </c>
      <c r="EJ109" s="4">
        <v>89.344763999999998</v>
      </c>
      <c r="EK109" s="4">
        <v>153.27617900000001</v>
      </c>
      <c r="EL109" s="4">
        <v>1398</v>
      </c>
      <c r="EM109" s="4">
        <v>1628</v>
      </c>
      <c r="EN109" s="4">
        <v>1459</v>
      </c>
      <c r="EO109" s="4">
        <v>2503</v>
      </c>
      <c r="EP109" s="4">
        <v>1633</v>
      </c>
      <c r="EQ109" s="4">
        <v>2939</v>
      </c>
      <c r="ER109" s="4">
        <v>44.522888000000002</v>
      </c>
    </row>
    <row r="110" spans="1:148" x14ac:dyDescent="0.2">
      <c r="A110" s="1">
        <v>2022</v>
      </c>
      <c r="B110" s="1" t="str">
        <f t="shared" si="2"/>
        <v>RD</v>
      </c>
      <c r="C110" s="1" t="s">
        <v>678</v>
      </c>
      <c r="D110" s="1" t="s">
        <v>678</v>
      </c>
      <c r="E110" s="1">
        <v>24029</v>
      </c>
      <c r="F110" s="1" t="s">
        <v>2086</v>
      </c>
      <c r="G110" s="1" t="s">
        <v>679</v>
      </c>
      <c r="H110" s="1" t="s">
        <v>680</v>
      </c>
      <c r="I110" s="1">
        <v>13.09</v>
      </c>
      <c r="J110" s="1">
        <v>13.09</v>
      </c>
      <c r="K110" s="1" t="s">
        <v>495</v>
      </c>
      <c r="L110" s="1">
        <v>1</v>
      </c>
      <c r="M110" s="1">
        <v>2015</v>
      </c>
      <c r="N110" s="1">
        <v>2</v>
      </c>
      <c r="O110" s="1">
        <v>1</v>
      </c>
      <c r="P110" s="1" t="str">
        <f t="shared" si="3"/>
        <v>Alto fuste</v>
      </c>
      <c r="Q110" s="2">
        <v>42304</v>
      </c>
      <c r="R110" s="1" t="s">
        <v>169</v>
      </c>
      <c r="S110" s="1" t="s">
        <v>299</v>
      </c>
      <c r="T110" s="1" t="s">
        <v>2268</v>
      </c>
      <c r="U110" s="1" t="s">
        <v>495</v>
      </c>
      <c r="V110" s="1" t="s">
        <v>152</v>
      </c>
      <c r="W110" s="2">
        <v>44676</v>
      </c>
      <c r="X110" s="1" t="s">
        <v>681</v>
      </c>
      <c r="Y110" s="1">
        <v>56.34</v>
      </c>
      <c r="Z110" s="1">
        <v>21.2</v>
      </c>
      <c r="AA110" s="1">
        <v>8</v>
      </c>
      <c r="AB110" s="1">
        <v>16.100000000000001</v>
      </c>
      <c r="AC110" s="1">
        <v>10</v>
      </c>
      <c r="AD110" s="3">
        <v>341.32</v>
      </c>
      <c r="AE110" s="3">
        <v>332.86334361001002</v>
      </c>
      <c r="AF110" s="2">
        <v>44676</v>
      </c>
      <c r="AG110" s="1">
        <v>78</v>
      </c>
      <c r="AH110" s="3">
        <v>6.4941820670773502</v>
      </c>
      <c r="AI110" s="4">
        <v>30.673152673957699</v>
      </c>
      <c r="AJ110" s="4">
        <v>17.5787878787879</v>
      </c>
      <c r="AK110" s="4">
        <v>24.6262062792511</v>
      </c>
      <c r="AL110" s="1">
        <v>33</v>
      </c>
      <c r="AM110" s="5">
        <v>991.397840390125</v>
      </c>
      <c r="AN110" s="4">
        <v>335.84963864395002</v>
      </c>
      <c r="AO110" s="4">
        <v>0.33876373839163298</v>
      </c>
      <c r="AP110" s="1" t="s">
        <v>299</v>
      </c>
      <c r="AQ110" s="1" t="s">
        <v>156</v>
      </c>
      <c r="AR110" s="1" t="s">
        <v>275</v>
      </c>
      <c r="AS110" s="1">
        <v>9</v>
      </c>
      <c r="AT110" s="4">
        <v>0.89225805635111255</v>
      </c>
      <c r="AU110" s="1" t="s">
        <v>682</v>
      </c>
      <c r="AV110" s="1" t="s">
        <v>683</v>
      </c>
      <c r="AW110" s="1">
        <v>5015</v>
      </c>
      <c r="AX110" s="1">
        <v>2801</v>
      </c>
      <c r="AY110" s="1">
        <v>1710</v>
      </c>
      <c r="AZ110" s="1">
        <v>474</v>
      </c>
      <c r="BA110" s="1">
        <v>30</v>
      </c>
      <c r="BB110" s="1">
        <v>0</v>
      </c>
      <c r="BC110" s="1">
        <v>0</v>
      </c>
      <c r="BD110" s="1">
        <v>0</v>
      </c>
      <c r="BE110" s="1">
        <v>0</v>
      </c>
      <c r="BF110" s="1">
        <v>0</v>
      </c>
      <c r="BG110" s="1">
        <v>0</v>
      </c>
      <c r="BH110" s="4">
        <v>-0.91700000000000004</v>
      </c>
      <c r="BI110" s="4">
        <v>34.984000999999999</v>
      </c>
      <c r="BJ110" s="4">
        <v>19.861851999999999</v>
      </c>
      <c r="BK110" s="4">
        <v>-0.34714299999999998</v>
      </c>
      <c r="BL110" s="4">
        <v>13.409352999999999</v>
      </c>
      <c r="BM110" s="4">
        <v>179.810754</v>
      </c>
      <c r="BN110" s="4">
        <v>0.67513100000000004</v>
      </c>
      <c r="BO110" s="4">
        <v>30.9695</v>
      </c>
      <c r="BP110" s="4">
        <v>-0.62121700000000002</v>
      </c>
      <c r="BQ110" s="4">
        <v>1.6512260000000001</v>
      </c>
      <c r="BR110" s="4">
        <v>11.922184</v>
      </c>
      <c r="BS110" s="4">
        <v>6.1240019999999999</v>
      </c>
      <c r="BT110" s="4">
        <v>26.546143000000001</v>
      </c>
      <c r="BU110" s="4">
        <v>19.861851999999999</v>
      </c>
      <c r="BV110" s="4">
        <v>7.1813690000000001</v>
      </c>
      <c r="BW110" s="4">
        <v>-1.4873050000000001</v>
      </c>
      <c r="BX110" s="4">
        <v>-0.65629700000000002</v>
      </c>
      <c r="BY110" s="4">
        <v>0.361566</v>
      </c>
      <c r="BZ110" s="4">
        <v>-0.20710600000000001</v>
      </c>
      <c r="CA110" s="4">
        <v>-9.1388999999999998E-2</v>
      </c>
      <c r="CB110" s="4">
        <v>-0.39472000000000002</v>
      </c>
      <c r="CC110" s="4">
        <v>-0.14299999999999999</v>
      </c>
      <c r="CD110" s="4">
        <v>-2.9000000000000001E-2</v>
      </c>
      <c r="CE110" s="4">
        <v>0.13900000000000001</v>
      </c>
      <c r="CF110" s="4">
        <v>0.2555</v>
      </c>
      <c r="CG110" s="4">
        <v>13.898197</v>
      </c>
      <c r="CH110" s="4">
        <v>21.361000000000001</v>
      </c>
      <c r="CI110" s="4">
        <v>26.198999000000001</v>
      </c>
      <c r="CJ110" s="4">
        <v>29.325400999999999</v>
      </c>
      <c r="CK110" s="4">
        <v>30.694799</v>
      </c>
      <c r="CL110" s="4">
        <v>31.225000000000001</v>
      </c>
      <c r="CM110" s="4">
        <v>31.638200999999999</v>
      </c>
      <c r="CN110" s="4">
        <v>32.596600000000002</v>
      </c>
      <c r="CO110" s="4">
        <v>33.240901999999998</v>
      </c>
      <c r="CP110" s="4">
        <v>34.246861000000003</v>
      </c>
      <c r="CQ110" s="4">
        <v>0.57878200000000002</v>
      </c>
      <c r="CR110" s="4">
        <v>23.963891</v>
      </c>
      <c r="CS110" s="4">
        <v>25.737894000000001</v>
      </c>
      <c r="CT110" s="1">
        <v>1</v>
      </c>
      <c r="CU110" s="1">
        <v>44</v>
      </c>
      <c r="CV110" s="4">
        <v>11.236889</v>
      </c>
      <c r="CW110" s="4">
        <v>1</v>
      </c>
      <c r="CX110" s="4">
        <v>7.8279079999999999</v>
      </c>
      <c r="CY110" s="4">
        <v>61.276142</v>
      </c>
      <c r="CZ110" s="4">
        <v>0.69662599999999997</v>
      </c>
      <c r="DA110" s="4">
        <v>13</v>
      </c>
      <c r="DB110" s="4">
        <v>0.678898</v>
      </c>
      <c r="DC110" s="4">
        <v>3.0602719999999999</v>
      </c>
      <c r="DD110" s="4">
        <v>6.5343960000000001</v>
      </c>
      <c r="DE110" s="4">
        <v>11.236889</v>
      </c>
      <c r="DF110" s="4">
        <v>4.3882209999999997</v>
      </c>
      <c r="DG110" s="4">
        <v>0.61453000000000002</v>
      </c>
      <c r="DH110" s="4">
        <v>0.199654</v>
      </c>
      <c r="DI110" s="4">
        <v>0.39051900000000001</v>
      </c>
      <c r="DJ110" s="4">
        <v>0.140041</v>
      </c>
      <c r="DK110" s="4">
        <v>4.5497999999999997E-2</v>
      </c>
      <c r="DL110" s="4">
        <v>1</v>
      </c>
      <c r="DM110" s="4">
        <v>1</v>
      </c>
      <c r="DN110" s="4">
        <v>2</v>
      </c>
      <c r="DO110" s="4">
        <v>4</v>
      </c>
      <c r="DP110" s="4">
        <v>4</v>
      </c>
      <c r="DQ110" s="4">
        <v>5</v>
      </c>
      <c r="DR110" s="4">
        <v>8</v>
      </c>
      <c r="DS110" s="4">
        <v>10</v>
      </c>
      <c r="DT110" s="4">
        <v>13</v>
      </c>
      <c r="DU110" s="4">
        <v>16</v>
      </c>
      <c r="DV110" s="4">
        <v>17</v>
      </c>
      <c r="DW110" s="4">
        <v>18</v>
      </c>
      <c r="DX110" s="4">
        <v>22</v>
      </c>
      <c r="DY110" s="4">
        <v>25</v>
      </c>
      <c r="DZ110" s="4">
        <v>33</v>
      </c>
      <c r="EA110" s="4">
        <v>96.786861999999999</v>
      </c>
      <c r="EB110" s="4">
        <v>71.485543000000007</v>
      </c>
      <c r="EC110" s="4">
        <v>127.990004</v>
      </c>
      <c r="ED110" s="4">
        <v>2711</v>
      </c>
      <c r="EE110" s="4">
        <v>3585</v>
      </c>
      <c r="EF110" s="4">
        <v>94.109246999999996</v>
      </c>
      <c r="EG110" s="4">
        <v>99.964297999999999</v>
      </c>
      <c r="EH110" s="4">
        <v>63.629112999999997</v>
      </c>
      <c r="EI110" s="4">
        <v>98.524427000000003</v>
      </c>
      <c r="EJ110" s="4">
        <v>113.923599</v>
      </c>
      <c r="EK110" s="4">
        <v>176.401285</v>
      </c>
      <c r="EL110" s="4">
        <v>2636</v>
      </c>
      <c r="EM110" s="4">
        <v>2800</v>
      </c>
      <c r="EN110" s="4">
        <v>3191</v>
      </c>
      <c r="EO110" s="4">
        <v>4941</v>
      </c>
      <c r="EP110" s="4">
        <v>2801</v>
      </c>
      <c r="EQ110" s="4">
        <v>5015</v>
      </c>
      <c r="ER110" s="4">
        <v>57.089509999999997</v>
      </c>
    </row>
    <row r="111" spans="1:148" x14ac:dyDescent="0.2">
      <c r="A111" s="1">
        <v>2022</v>
      </c>
      <c r="B111" s="1" t="str">
        <f t="shared" si="2"/>
        <v>RD</v>
      </c>
      <c r="C111" s="1" t="s">
        <v>684</v>
      </c>
      <c r="D111" s="1" t="s">
        <v>684</v>
      </c>
      <c r="E111" s="1">
        <v>24030</v>
      </c>
      <c r="F111" s="1" t="s">
        <v>2086</v>
      </c>
      <c r="G111" s="1" t="s">
        <v>679</v>
      </c>
      <c r="H111" s="1" t="s">
        <v>685</v>
      </c>
      <c r="I111" s="1">
        <v>18.690000000000001</v>
      </c>
      <c r="J111" s="1">
        <v>18.690000000000001</v>
      </c>
      <c r="K111" s="1" t="s">
        <v>495</v>
      </c>
      <c r="L111" s="1">
        <v>1</v>
      </c>
      <c r="M111" s="1">
        <v>2015</v>
      </c>
      <c r="N111" s="1">
        <v>2</v>
      </c>
      <c r="O111" s="1">
        <v>1</v>
      </c>
      <c r="P111" s="1" t="str">
        <f t="shared" si="3"/>
        <v>Alto fuste</v>
      </c>
      <c r="Q111" s="2">
        <v>42305</v>
      </c>
      <c r="R111" s="1" t="s">
        <v>169</v>
      </c>
      <c r="S111" s="1" t="s">
        <v>442</v>
      </c>
      <c r="T111" s="1" t="s">
        <v>2268</v>
      </c>
      <c r="U111" s="1" t="s">
        <v>495</v>
      </c>
      <c r="V111" s="1" t="s">
        <v>152</v>
      </c>
      <c r="W111" s="2">
        <v>44676</v>
      </c>
      <c r="X111" s="1" t="s">
        <v>681</v>
      </c>
      <c r="Y111" s="1">
        <v>56.34</v>
      </c>
      <c r="Z111" s="1">
        <v>20.6</v>
      </c>
      <c r="AA111" s="1">
        <v>29</v>
      </c>
      <c r="AB111" s="1">
        <v>15</v>
      </c>
      <c r="AC111" s="1">
        <v>5</v>
      </c>
      <c r="AD111" s="3">
        <v>309</v>
      </c>
      <c r="AE111" s="3">
        <v>269.22907816553601</v>
      </c>
      <c r="AF111" s="2">
        <v>44676</v>
      </c>
      <c r="AG111" s="1">
        <v>78</v>
      </c>
      <c r="AH111" s="3">
        <v>6.4914442162902102</v>
      </c>
      <c r="AI111" s="4">
        <v>28.4230647704969</v>
      </c>
      <c r="AJ111" s="4">
        <v>16.566666666666698</v>
      </c>
      <c r="AK111" s="4">
        <v>19.5135194580938</v>
      </c>
      <c r="AL111" s="1">
        <v>24</v>
      </c>
      <c r="AM111" s="5">
        <v>891.43417061523996</v>
      </c>
      <c r="AN111" s="4">
        <v>246.19016555139501</v>
      </c>
      <c r="AO111" s="4">
        <v>0.27617313052009501</v>
      </c>
      <c r="AP111" s="1" t="s">
        <v>442</v>
      </c>
      <c r="AQ111" s="1" t="s">
        <v>156</v>
      </c>
      <c r="AR111" s="1" t="s">
        <v>564</v>
      </c>
      <c r="AS111" s="1">
        <v>9</v>
      </c>
      <c r="AT111" s="4">
        <v>0.80229075355371604</v>
      </c>
      <c r="AU111" s="1" t="s">
        <v>686</v>
      </c>
      <c r="AV111" s="1" t="s">
        <v>687</v>
      </c>
      <c r="AW111" s="1">
        <v>3318</v>
      </c>
      <c r="AX111" s="1">
        <v>2080</v>
      </c>
      <c r="AY111" s="1">
        <v>1158</v>
      </c>
      <c r="AZ111" s="1">
        <v>79</v>
      </c>
      <c r="BA111" s="1">
        <v>1</v>
      </c>
      <c r="BB111" s="1">
        <v>0</v>
      </c>
      <c r="BC111" s="1">
        <v>0</v>
      </c>
      <c r="BD111" s="1">
        <v>0</v>
      </c>
      <c r="BE111" s="1">
        <v>0</v>
      </c>
      <c r="BF111" s="1">
        <v>0</v>
      </c>
      <c r="BG111" s="1">
        <v>0</v>
      </c>
      <c r="BH111" s="4">
        <v>-0.64500000000000002</v>
      </c>
      <c r="BI111" s="4">
        <v>33.582000999999998</v>
      </c>
      <c r="BJ111" s="4">
        <v>16.738541000000001</v>
      </c>
      <c r="BK111" s="4">
        <v>-0.101714</v>
      </c>
      <c r="BL111" s="4">
        <v>14.360469</v>
      </c>
      <c r="BM111" s="4">
        <v>206.22306499999999</v>
      </c>
      <c r="BN111" s="4">
        <v>0.85792800000000002</v>
      </c>
      <c r="BO111" s="4">
        <v>29.420749000000001</v>
      </c>
      <c r="BP111" s="4">
        <v>-0.125001</v>
      </c>
      <c r="BQ111" s="4">
        <v>1.087615</v>
      </c>
      <c r="BR111" s="4">
        <v>14.070491000000001</v>
      </c>
      <c r="BS111" s="4">
        <v>7.3955000000000002</v>
      </c>
      <c r="BT111" s="4">
        <v>25.039214999999999</v>
      </c>
      <c r="BU111" s="4">
        <v>16.738541000000001</v>
      </c>
      <c r="BV111" s="4">
        <v>7.6062110000000001</v>
      </c>
      <c r="BW111" s="4">
        <v>-0.36814799999999998</v>
      </c>
      <c r="BX111" s="4">
        <v>-1.548602</v>
      </c>
      <c r="BY111" s="4">
        <v>0.45441300000000001</v>
      </c>
      <c r="BZ111" s="4">
        <v>-4.8401E-2</v>
      </c>
      <c r="CA111" s="4">
        <v>-0.203597</v>
      </c>
      <c r="CB111" s="4">
        <v>-0.24</v>
      </c>
      <c r="CC111" s="4">
        <v>-8.9999999999999993E-3</v>
      </c>
      <c r="CD111" s="4">
        <v>0.1787</v>
      </c>
      <c r="CE111" s="4">
        <v>0.76859999999999995</v>
      </c>
      <c r="CF111" s="4">
        <v>1.2024999999999999</v>
      </c>
      <c r="CG111" s="4">
        <v>1.5980000000000001</v>
      </c>
      <c r="CH111" s="4">
        <v>2.4388000000000001</v>
      </c>
      <c r="CI111" s="4">
        <v>24.9375</v>
      </c>
      <c r="CJ111" s="4">
        <v>29.444400999999999</v>
      </c>
      <c r="CK111" s="4">
        <v>30.254899999999999</v>
      </c>
      <c r="CL111" s="4">
        <v>30.623249000000001</v>
      </c>
      <c r="CM111" s="4">
        <v>30.986401000000001</v>
      </c>
      <c r="CN111" s="4">
        <v>31.637501</v>
      </c>
      <c r="CO111" s="4">
        <v>32.125599000000001</v>
      </c>
      <c r="CP111" s="4">
        <v>32.766486999999998</v>
      </c>
      <c r="CQ111" s="4">
        <v>0.50788999999999995</v>
      </c>
      <c r="CR111" s="4">
        <v>22.05311</v>
      </c>
      <c r="CS111" s="4">
        <v>24.481142999999999</v>
      </c>
      <c r="CT111" s="1">
        <v>1</v>
      </c>
      <c r="CU111" s="1">
        <v>52</v>
      </c>
      <c r="CV111" s="4">
        <v>15.53918</v>
      </c>
      <c r="CW111" s="4">
        <v>1</v>
      </c>
      <c r="CX111" s="4">
        <v>10.401068</v>
      </c>
      <c r="CY111" s="4">
        <v>108.182215</v>
      </c>
      <c r="CZ111" s="4">
        <v>0.66934499999999997</v>
      </c>
      <c r="DA111" s="4">
        <v>15</v>
      </c>
      <c r="DB111" s="4">
        <v>0.56199600000000005</v>
      </c>
      <c r="DC111" s="4">
        <v>2.7868300000000001</v>
      </c>
      <c r="DD111" s="4">
        <v>8.5105419999999992</v>
      </c>
      <c r="DE111" s="4">
        <v>15.53918</v>
      </c>
      <c r="DF111" s="4">
        <v>5.8570650000000004</v>
      </c>
      <c r="DG111" s="4">
        <v>0.65453700000000004</v>
      </c>
      <c r="DH111" s="4">
        <v>0.43715300000000001</v>
      </c>
      <c r="DI111" s="4">
        <v>0.37692199999999998</v>
      </c>
      <c r="DJ111" s="4">
        <v>0.111752</v>
      </c>
      <c r="DK111" s="4">
        <v>7.4636999999999995E-2</v>
      </c>
      <c r="DL111" s="4">
        <v>1</v>
      </c>
      <c r="DM111" s="4">
        <v>1</v>
      </c>
      <c r="DN111" s="4">
        <v>2</v>
      </c>
      <c r="DO111" s="4">
        <v>5</v>
      </c>
      <c r="DP111" s="4">
        <v>7</v>
      </c>
      <c r="DQ111" s="4">
        <v>8</v>
      </c>
      <c r="DR111" s="4">
        <v>12</v>
      </c>
      <c r="DS111" s="4">
        <v>15</v>
      </c>
      <c r="DT111" s="4">
        <v>18</v>
      </c>
      <c r="DU111" s="4">
        <v>20</v>
      </c>
      <c r="DV111" s="4">
        <v>22</v>
      </c>
      <c r="DW111" s="4">
        <v>23</v>
      </c>
      <c r="DX111" s="4">
        <v>30</v>
      </c>
      <c r="DY111" s="4">
        <v>36</v>
      </c>
      <c r="DZ111" s="4">
        <v>42</v>
      </c>
      <c r="EA111" s="4">
        <v>84.182692000000003</v>
      </c>
      <c r="EB111" s="4">
        <v>56.509945999999999</v>
      </c>
      <c r="EC111" s="4">
        <v>90.144231000000005</v>
      </c>
      <c r="ED111" s="4">
        <v>1751</v>
      </c>
      <c r="EE111" s="4">
        <v>1875</v>
      </c>
      <c r="EF111" s="4">
        <v>82.115385000000003</v>
      </c>
      <c r="EG111" s="4">
        <v>99.903846000000001</v>
      </c>
      <c r="EH111" s="4">
        <v>53.465943000000003</v>
      </c>
      <c r="EI111" s="4">
        <v>97.347800000000007</v>
      </c>
      <c r="EJ111" s="4">
        <v>85.288461999999996</v>
      </c>
      <c r="EK111" s="4">
        <v>155.28846200000001</v>
      </c>
      <c r="EL111" s="4">
        <v>1708</v>
      </c>
      <c r="EM111" s="4">
        <v>2078</v>
      </c>
      <c r="EN111" s="4">
        <v>1774</v>
      </c>
      <c r="EO111" s="4">
        <v>3230</v>
      </c>
      <c r="EP111" s="4">
        <v>2080</v>
      </c>
      <c r="EQ111" s="4">
        <v>3318</v>
      </c>
      <c r="ER111" s="4">
        <v>50.085054</v>
      </c>
    </row>
    <row r="112" spans="1:148" x14ac:dyDescent="0.2">
      <c r="A112" s="1">
        <v>2022</v>
      </c>
      <c r="B112" s="1" t="str">
        <f t="shared" si="2"/>
        <v>RD</v>
      </c>
      <c r="C112" s="1" t="s">
        <v>688</v>
      </c>
      <c r="D112" s="1" t="s">
        <v>688</v>
      </c>
      <c r="E112" s="1">
        <v>24031</v>
      </c>
      <c r="F112" s="1" t="s">
        <v>2086</v>
      </c>
      <c r="G112" s="1" t="s">
        <v>679</v>
      </c>
      <c r="H112" s="1" t="s">
        <v>689</v>
      </c>
      <c r="I112" s="1">
        <v>10.07</v>
      </c>
      <c r="J112" s="1">
        <v>10.07</v>
      </c>
      <c r="K112" s="1" t="s">
        <v>495</v>
      </c>
      <c r="L112" s="1">
        <v>1</v>
      </c>
      <c r="M112" s="1">
        <v>2015</v>
      </c>
      <c r="N112" s="1">
        <v>2</v>
      </c>
      <c r="O112" s="1">
        <v>1</v>
      </c>
      <c r="P112" s="1" t="str">
        <f t="shared" si="3"/>
        <v>Alto fuste</v>
      </c>
      <c r="Q112" s="2">
        <v>42305</v>
      </c>
      <c r="R112" s="1" t="s">
        <v>169</v>
      </c>
      <c r="S112" s="1" t="s">
        <v>287</v>
      </c>
      <c r="T112" s="1" t="s">
        <v>2268</v>
      </c>
      <c r="U112" s="1" t="s">
        <v>495</v>
      </c>
      <c r="V112" s="1" t="s">
        <v>152</v>
      </c>
      <c r="W112" s="2">
        <v>44676</v>
      </c>
      <c r="X112" s="1" t="s">
        <v>681</v>
      </c>
      <c r="Y112" s="1">
        <v>56.34</v>
      </c>
      <c r="Z112" s="1">
        <v>19.3</v>
      </c>
      <c r="AA112" s="1">
        <v>5</v>
      </c>
      <c r="AB112" s="1">
        <v>16.100000000000001</v>
      </c>
      <c r="AC112" s="1">
        <v>4</v>
      </c>
      <c r="AD112" s="3">
        <v>310.73</v>
      </c>
      <c r="AE112" s="3">
        <v>308.79353619453599</v>
      </c>
      <c r="AF112" s="2">
        <v>44676</v>
      </c>
      <c r="AG112" s="1">
        <v>78</v>
      </c>
      <c r="AH112" s="3">
        <v>6.4914442162902102</v>
      </c>
      <c r="AI112" s="4">
        <v>30.331377872070501</v>
      </c>
      <c r="AJ112" s="4">
        <v>19.218181818181801</v>
      </c>
      <c r="AK112" s="4">
        <v>21.028102558787399</v>
      </c>
      <c r="AL112" s="1">
        <v>22</v>
      </c>
      <c r="AM112" s="5">
        <v>712.450146175996</v>
      </c>
      <c r="AN112" s="4">
        <v>280.14448592078003</v>
      </c>
      <c r="AO112" s="4">
        <v>0.39321275660399202</v>
      </c>
      <c r="AP112" s="1" t="s">
        <v>287</v>
      </c>
      <c r="AQ112" s="1" t="s">
        <v>156</v>
      </c>
      <c r="AR112" s="1" t="s">
        <v>564</v>
      </c>
      <c r="AS112" s="1">
        <v>9</v>
      </c>
      <c r="AT112" s="4">
        <v>0.64120513155839642</v>
      </c>
      <c r="AU112" s="1" t="s">
        <v>690</v>
      </c>
      <c r="AV112" s="1" t="s">
        <v>691</v>
      </c>
      <c r="AW112" s="1">
        <v>1194</v>
      </c>
      <c r="AX112" s="1">
        <v>755</v>
      </c>
      <c r="AY112" s="1">
        <v>403</v>
      </c>
      <c r="AZ112" s="1">
        <v>36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4">
        <v>-0.58799999999999997</v>
      </c>
      <c r="BI112" s="4">
        <v>35.597999999999999</v>
      </c>
      <c r="BJ112" s="4">
        <v>19.203644000000001</v>
      </c>
      <c r="BK112" s="4">
        <v>-1.3618999999999999E-2</v>
      </c>
      <c r="BL112" s="4">
        <v>14.833124</v>
      </c>
      <c r="BM112" s="4">
        <v>220.02157500000001</v>
      </c>
      <c r="BN112" s="4">
        <v>0.77241199999999999</v>
      </c>
      <c r="BO112" s="4">
        <v>31.844999999999999</v>
      </c>
      <c r="BP112" s="4">
        <v>-0.44639299999999998</v>
      </c>
      <c r="BQ112" s="4">
        <v>1.306713</v>
      </c>
      <c r="BR112" s="4">
        <v>14.018015999999999</v>
      </c>
      <c r="BS112" s="4">
        <v>5.3049999999999997</v>
      </c>
      <c r="BT112" s="4">
        <v>27.862617</v>
      </c>
      <c r="BU112" s="4">
        <v>19.203644000000001</v>
      </c>
      <c r="BV112" s="4">
        <v>7.7949109999999999</v>
      </c>
      <c r="BW112" s="4">
        <v>-1.227541</v>
      </c>
      <c r="BX112" s="4">
        <v>-1.251036</v>
      </c>
      <c r="BY112" s="4">
        <v>0.40590799999999999</v>
      </c>
      <c r="BZ112" s="4">
        <v>-0.15748000000000001</v>
      </c>
      <c r="CA112" s="4">
        <v>-0.160494</v>
      </c>
      <c r="CB112" s="4">
        <v>-0.32989000000000002</v>
      </c>
      <c r="CC112" s="4">
        <v>-0.15670000000000001</v>
      </c>
      <c r="CD112" s="4">
        <v>-6.5699999999999995E-2</v>
      </c>
      <c r="CE112" s="4">
        <v>6.8599999999999994E-2</v>
      </c>
      <c r="CF112" s="4">
        <v>0.13725000000000001</v>
      </c>
      <c r="CG112" s="4">
        <v>0.2525</v>
      </c>
      <c r="CH112" s="4">
        <v>20.993807</v>
      </c>
      <c r="CI112" s="4">
        <v>27.848998999999999</v>
      </c>
      <c r="CJ112" s="4">
        <v>30.776399999999999</v>
      </c>
      <c r="CK112" s="4">
        <v>31.635200999999999</v>
      </c>
      <c r="CL112" s="4">
        <v>31.982250000000001</v>
      </c>
      <c r="CM112" s="4">
        <v>32.389598999999997</v>
      </c>
      <c r="CN112" s="4">
        <v>33.099097999999998</v>
      </c>
      <c r="CO112" s="4">
        <v>33.790050999999998</v>
      </c>
      <c r="CP112" s="4">
        <v>34.745350000000002</v>
      </c>
      <c r="CQ112" s="4">
        <v>0.54694200000000004</v>
      </c>
      <c r="CR112" s="4">
        <v>24.261434999999999</v>
      </c>
      <c r="CS112" s="4">
        <v>26.348033000000001</v>
      </c>
      <c r="CT112" s="1">
        <v>1</v>
      </c>
      <c r="CU112" s="1">
        <v>36</v>
      </c>
      <c r="CV112" s="4">
        <v>13.284757000000001</v>
      </c>
      <c r="CW112" s="4">
        <v>1</v>
      </c>
      <c r="CX112" s="4">
        <v>8.1694739999999992</v>
      </c>
      <c r="CY112" s="4">
        <v>66.740303999999995</v>
      </c>
      <c r="CZ112" s="4">
        <v>0.61495100000000003</v>
      </c>
      <c r="DA112" s="4">
        <v>13</v>
      </c>
      <c r="DB112" s="4">
        <v>0.231128</v>
      </c>
      <c r="DC112" s="4">
        <v>2.1920790000000001</v>
      </c>
      <c r="DD112" s="4">
        <v>6.8947159999999998</v>
      </c>
      <c r="DE112" s="4">
        <v>13.284757000000001</v>
      </c>
      <c r="DF112" s="4">
        <v>4.6778259999999996</v>
      </c>
      <c r="DG112" s="4">
        <v>0.22800500000000001</v>
      </c>
      <c r="DH112" s="4">
        <v>0.179953</v>
      </c>
      <c r="DI112" s="4">
        <v>0.35211999999999999</v>
      </c>
      <c r="DJ112" s="4">
        <v>4.8742000000000001E-2</v>
      </c>
      <c r="DK112" s="4">
        <v>3.8469000000000003E-2</v>
      </c>
      <c r="DL112" s="4">
        <v>1</v>
      </c>
      <c r="DM112" s="4">
        <v>1</v>
      </c>
      <c r="DN112" s="4">
        <v>2</v>
      </c>
      <c r="DO112" s="4">
        <v>5</v>
      </c>
      <c r="DP112" s="4">
        <v>6</v>
      </c>
      <c r="DQ112" s="4">
        <v>8</v>
      </c>
      <c r="DR112" s="4">
        <v>11</v>
      </c>
      <c r="DS112" s="4">
        <v>14</v>
      </c>
      <c r="DT112" s="4">
        <v>16</v>
      </c>
      <c r="DU112" s="4">
        <v>18</v>
      </c>
      <c r="DV112" s="4">
        <v>19</v>
      </c>
      <c r="DW112" s="4">
        <v>21</v>
      </c>
      <c r="DX112" s="4">
        <v>24.699950999999999</v>
      </c>
      <c r="DY112" s="4">
        <v>27</v>
      </c>
      <c r="DZ112" s="4">
        <v>32</v>
      </c>
      <c r="EA112" s="4">
        <v>89.536423999999997</v>
      </c>
      <c r="EB112" s="4">
        <v>63.484087000000002</v>
      </c>
      <c r="EC112" s="4">
        <v>100.397351</v>
      </c>
      <c r="ED112" s="4">
        <v>676</v>
      </c>
      <c r="EE112" s="4">
        <v>758</v>
      </c>
      <c r="EF112" s="4">
        <v>89.139072999999996</v>
      </c>
      <c r="EG112" s="4">
        <v>99.072847999999993</v>
      </c>
      <c r="EH112" s="4">
        <v>61.306533000000002</v>
      </c>
      <c r="EI112" s="4">
        <v>86.850921</v>
      </c>
      <c r="EJ112" s="4">
        <v>96.953642000000002</v>
      </c>
      <c r="EK112" s="4">
        <v>137.35099299999999</v>
      </c>
      <c r="EL112" s="4">
        <v>673</v>
      </c>
      <c r="EM112" s="4">
        <v>748</v>
      </c>
      <c r="EN112" s="4">
        <v>732</v>
      </c>
      <c r="EO112" s="4">
        <v>1037</v>
      </c>
      <c r="EP112" s="4">
        <v>755</v>
      </c>
      <c r="EQ112" s="4">
        <v>1194</v>
      </c>
      <c r="ER112" s="4">
        <v>54.332515000000001</v>
      </c>
    </row>
    <row r="113" spans="1:148" x14ac:dyDescent="0.2">
      <c r="A113" s="1">
        <v>2022</v>
      </c>
      <c r="B113" s="1" t="str">
        <f t="shared" si="2"/>
        <v>RD</v>
      </c>
      <c r="C113" s="1" t="s">
        <v>692</v>
      </c>
      <c r="D113" s="1" t="s">
        <v>692</v>
      </c>
      <c r="E113" s="1">
        <v>24044</v>
      </c>
      <c r="F113" s="1" t="s">
        <v>2087</v>
      </c>
      <c r="G113" s="1" t="s">
        <v>693</v>
      </c>
      <c r="H113" s="1" t="s">
        <v>694</v>
      </c>
      <c r="I113" s="1">
        <v>46.48</v>
      </c>
      <c r="J113" s="1">
        <v>46.48</v>
      </c>
      <c r="K113" s="1" t="s">
        <v>226</v>
      </c>
      <c r="L113" s="1">
        <v>1</v>
      </c>
      <c r="M113" s="1">
        <v>2015</v>
      </c>
      <c r="N113" s="1">
        <v>3</v>
      </c>
      <c r="O113" s="1">
        <v>1</v>
      </c>
      <c r="P113" s="1" t="str">
        <f t="shared" si="3"/>
        <v>Alto fuste</v>
      </c>
      <c r="Q113" s="2">
        <v>42214</v>
      </c>
      <c r="R113" s="1" t="s">
        <v>227</v>
      </c>
      <c r="S113" s="1" t="s">
        <v>238</v>
      </c>
      <c r="T113" s="1" t="s">
        <v>2268</v>
      </c>
      <c r="U113" s="1" t="s">
        <v>228</v>
      </c>
      <c r="V113" s="1" t="s">
        <v>152</v>
      </c>
      <c r="W113" s="2">
        <v>44627</v>
      </c>
      <c r="X113" s="1" t="s">
        <v>695</v>
      </c>
      <c r="Y113" s="1">
        <v>137.96</v>
      </c>
      <c r="Z113" s="1">
        <v>19.7</v>
      </c>
      <c r="AA113" s="1">
        <v>18</v>
      </c>
      <c r="AB113" s="1">
        <v>15.1</v>
      </c>
      <c r="AC113" s="1">
        <v>3</v>
      </c>
      <c r="AD113" s="3">
        <v>297.47000000000003</v>
      </c>
      <c r="AE113" s="3">
        <v>282.52306250816599</v>
      </c>
      <c r="AF113" s="2">
        <v>44627</v>
      </c>
      <c r="AG113" s="1">
        <v>80</v>
      </c>
      <c r="AH113" s="3">
        <v>6.6064339493497597</v>
      </c>
      <c r="AI113" s="4">
        <v>22.074035797521798</v>
      </c>
      <c r="AJ113" s="4">
        <v>13.494444444444399</v>
      </c>
      <c r="AK113" s="4">
        <v>19.1152809969728</v>
      </c>
      <c r="AL113" s="1">
        <v>36</v>
      </c>
      <c r="AM113" s="5">
        <v>1274.2322584358801</v>
      </c>
      <c r="AN113" s="4">
        <v>201.16512766184201</v>
      </c>
      <c r="AO113" s="4">
        <v>0.15787163315797201</v>
      </c>
      <c r="AP113" s="1" t="s">
        <v>238</v>
      </c>
      <c r="AQ113" s="1" t="s">
        <v>156</v>
      </c>
      <c r="AR113" s="1" t="s">
        <v>164</v>
      </c>
      <c r="AS113" s="1">
        <v>7.5</v>
      </c>
      <c r="AT113" s="4">
        <v>0.9556741938269101</v>
      </c>
      <c r="AU113" s="1" t="s">
        <v>696</v>
      </c>
      <c r="AV113" s="1" t="s">
        <v>697</v>
      </c>
      <c r="AW113" s="1">
        <v>5272</v>
      </c>
      <c r="AX113" s="1">
        <v>2862</v>
      </c>
      <c r="AY113" s="1">
        <v>1947</v>
      </c>
      <c r="AZ113" s="1">
        <v>438</v>
      </c>
      <c r="BA113" s="1">
        <v>25</v>
      </c>
      <c r="BB113" s="1">
        <v>0</v>
      </c>
      <c r="BC113" s="1">
        <v>0</v>
      </c>
      <c r="BD113" s="1">
        <v>0</v>
      </c>
      <c r="BE113" s="1">
        <v>0</v>
      </c>
      <c r="BF113" s="1">
        <v>0</v>
      </c>
      <c r="BG113" s="1">
        <v>0</v>
      </c>
      <c r="BH113" s="4">
        <v>-1.1000000000000001</v>
      </c>
      <c r="BI113" s="4">
        <v>29.17</v>
      </c>
      <c r="BJ113" s="4">
        <v>10.861559</v>
      </c>
      <c r="BK113" s="4">
        <v>-0.139048</v>
      </c>
      <c r="BL113" s="4">
        <v>9.9551540000000003</v>
      </c>
      <c r="BM113" s="4">
        <v>99.105090000000004</v>
      </c>
      <c r="BN113" s="4">
        <v>0.91654899999999995</v>
      </c>
      <c r="BO113" s="4">
        <v>20.07</v>
      </c>
      <c r="BP113" s="4">
        <v>3.0317E-2</v>
      </c>
      <c r="BQ113" s="4">
        <v>1.327942</v>
      </c>
      <c r="BR113" s="4">
        <v>9.3087979999999995</v>
      </c>
      <c r="BS113" s="4">
        <v>10.845000000000001</v>
      </c>
      <c r="BT113" s="4">
        <v>13.549047</v>
      </c>
      <c r="BU113" s="4">
        <v>10.861559</v>
      </c>
      <c r="BV113" s="4">
        <v>5.4969979999999996</v>
      </c>
      <c r="BW113" s="4">
        <v>0.349713</v>
      </c>
      <c r="BX113" s="4">
        <v>-0.74162899999999998</v>
      </c>
      <c r="BY113" s="4">
        <v>0.50609700000000002</v>
      </c>
      <c r="BZ113" s="4">
        <v>6.3618999999999995E-2</v>
      </c>
      <c r="CA113" s="4">
        <v>-0.13491500000000001</v>
      </c>
      <c r="CB113" s="4">
        <v>-0.44</v>
      </c>
      <c r="CC113" s="4">
        <v>-0.21</v>
      </c>
      <c r="CD113" s="4">
        <v>-0.1</v>
      </c>
      <c r="CE113" s="4">
        <v>0.02</v>
      </c>
      <c r="CF113" s="4">
        <v>0.08</v>
      </c>
      <c r="CG113" s="4">
        <v>0.13</v>
      </c>
      <c r="CH113" s="4">
        <v>0.31</v>
      </c>
      <c r="CI113" s="4">
        <v>13.41</v>
      </c>
      <c r="CJ113" s="4">
        <v>16.07</v>
      </c>
      <c r="CK113" s="4">
        <v>19.059999000000001</v>
      </c>
      <c r="CL113" s="4">
        <v>20.149999999999999</v>
      </c>
      <c r="CM113" s="4">
        <v>21.18</v>
      </c>
      <c r="CN113" s="4">
        <v>23.628997999999999</v>
      </c>
      <c r="CO113" s="4">
        <v>24.719999000000001</v>
      </c>
      <c r="CP113" s="4">
        <v>27.112901999999998</v>
      </c>
      <c r="CQ113" s="4">
        <v>0.39516200000000001</v>
      </c>
      <c r="CR113" s="4">
        <v>14.732948</v>
      </c>
      <c r="CS113" s="4">
        <v>16.558375000000002</v>
      </c>
      <c r="CT113" s="1">
        <v>1</v>
      </c>
      <c r="CU113" s="1">
        <v>42</v>
      </c>
      <c r="CV113" s="4">
        <v>9.702769</v>
      </c>
      <c r="CW113" s="4">
        <v>1</v>
      </c>
      <c r="CX113" s="4">
        <v>7.9843710000000003</v>
      </c>
      <c r="CY113" s="4">
        <v>63.750188000000001</v>
      </c>
      <c r="CZ113" s="4">
        <v>0.82289599999999996</v>
      </c>
      <c r="DA113" s="4">
        <v>9</v>
      </c>
      <c r="DB113" s="4">
        <v>1.3645229999999999</v>
      </c>
      <c r="DC113" s="4">
        <v>4.583113</v>
      </c>
      <c r="DD113" s="4">
        <v>6.077871</v>
      </c>
      <c r="DE113" s="4">
        <v>9.702769</v>
      </c>
      <c r="DF113" s="4">
        <v>4.1935650000000004</v>
      </c>
      <c r="DG113" s="4">
        <v>1.1849449999999999</v>
      </c>
      <c r="DH113" s="4">
        <v>0.62490800000000002</v>
      </c>
      <c r="DI113" s="4">
        <v>0.432203</v>
      </c>
      <c r="DJ113" s="4">
        <v>0.28256300000000001</v>
      </c>
      <c r="DK113" s="4">
        <v>0.14901600000000001</v>
      </c>
      <c r="DL113" s="4">
        <v>1</v>
      </c>
      <c r="DM113" s="4">
        <v>1</v>
      </c>
      <c r="DN113" s="4">
        <v>2</v>
      </c>
      <c r="DO113" s="4">
        <v>3</v>
      </c>
      <c r="DP113" s="4">
        <v>4</v>
      </c>
      <c r="DQ113" s="4">
        <v>5</v>
      </c>
      <c r="DR113" s="4">
        <v>6</v>
      </c>
      <c r="DS113" s="4">
        <v>8</v>
      </c>
      <c r="DT113" s="4">
        <v>9</v>
      </c>
      <c r="DU113" s="4">
        <v>11</v>
      </c>
      <c r="DV113" s="4">
        <v>13</v>
      </c>
      <c r="DW113" s="4">
        <v>15</v>
      </c>
      <c r="DX113" s="4">
        <v>21.899902000000001</v>
      </c>
      <c r="DY113" s="4">
        <v>27</v>
      </c>
      <c r="DZ113" s="4">
        <v>35</v>
      </c>
      <c r="EA113" s="4">
        <v>85.918937999999997</v>
      </c>
      <c r="EB113" s="4">
        <v>57.454476</v>
      </c>
      <c r="EC113" s="4">
        <v>105.83508</v>
      </c>
      <c r="ED113" s="4">
        <v>2459</v>
      </c>
      <c r="EE113" s="4">
        <v>3029</v>
      </c>
      <c r="EF113" s="4">
        <v>84.346610999999996</v>
      </c>
      <c r="EG113" s="4">
        <v>99.790356000000003</v>
      </c>
      <c r="EH113" s="4">
        <v>54.969650999999999</v>
      </c>
      <c r="EI113" s="4">
        <v>91.691958</v>
      </c>
      <c r="EJ113" s="4">
        <v>101.257862</v>
      </c>
      <c r="EK113" s="4">
        <v>168.90286499999999</v>
      </c>
      <c r="EL113" s="4">
        <v>2414</v>
      </c>
      <c r="EM113" s="4">
        <v>2856</v>
      </c>
      <c r="EN113" s="4">
        <v>2898</v>
      </c>
      <c r="EO113" s="4">
        <v>4834</v>
      </c>
      <c r="EP113" s="4">
        <v>2862</v>
      </c>
      <c r="EQ113" s="4">
        <v>5272</v>
      </c>
      <c r="ER113" s="4">
        <v>39.176383999999999</v>
      </c>
    </row>
    <row r="114" spans="1:148" x14ac:dyDescent="0.2">
      <c r="A114" s="1">
        <v>2022</v>
      </c>
      <c r="B114" s="1" t="str">
        <f t="shared" si="2"/>
        <v>RD</v>
      </c>
      <c r="C114" s="1" t="s">
        <v>698</v>
      </c>
      <c r="D114" s="1" t="s">
        <v>698</v>
      </c>
      <c r="E114" s="1">
        <v>24045</v>
      </c>
      <c r="F114" s="1" t="s">
        <v>2087</v>
      </c>
      <c r="G114" s="1" t="s">
        <v>693</v>
      </c>
      <c r="H114" s="1" t="s">
        <v>694</v>
      </c>
      <c r="I114" s="1">
        <v>46.48</v>
      </c>
      <c r="J114" s="1">
        <v>46.48</v>
      </c>
      <c r="K114" s="1" t="s">
        <v>226</v>
      </c>
      <c r="L114" s="1">
        <v>1</v>
      </c>
      <c r="M114" s="1">
        <v>2015</v>
      </c>
      <c r="N114" s="1">
        <v>3</v>
      </c>
      <c r="O114" s="1">
        <v>1</v>
      </c>
      <c r="P114" s="1" t="str">
        <f t="shared" si="3"/>
        <v>Alto fuste</v>
      </c>
      <c r="Q114" s="2">
        <v>42214</v>
      </c>
      <c r="R114" s="1" t="s">
        <v>227</v>
      </c>
      <c r="S114" s="1" t="s">
        <v>238</v>
      </c>
      <c r="T114" s="1" t="s">
        <v>2268</v>
      </c>
      <c r="U114" s="1" t="s">
        <v>228</v>
      </c>
      <c r="V114" s="1" t="s">
        <v>152</v>
      </c>
      <c r="W114" s="2">
        <v>44627</v>
      </c>
      <c r="X114" s="1" t="s">
        <v>695</v>
      </c>
      <c r="Y114" s="1">
        <v>137.96</v>
      </c>
      <c r="Z114" s="1">
        <v>19.399999999999999</v>
      </c>
      <c r="AA114" s="1">
        <v>22</v>
      </c>
      <c r="AB114" s="1">
        <v>15.1</v>
      </c>
      <c r="AC114" s="1">
        <v>4</v>
      </c>
      <c r="AD114" s="3">
        <v>292.94</v>
      </c>
      <c r="AE114" s="3">
        <v>270.94761190319002</v>
      </c>
      <c r="AF114" s="2">
        <v>44627</v>
      </c>
      <c r="AG114" s="1">
        <v>80</v>
      </c>
      <c r="AH114" s="3">
        <v>6.6064339493497597</v>
      </c>
      <c r="AI114" s="4">
        <v>21.2869369136356</v>
      </c>
      <c r="AJ114" s="4">
        <v>12.8472222222222</v>
      </c>
      <c r="AK114" s="4">
        <v>17.8364205081824</v>
      </c>
      <c r="AL114" s="1">
        <v>36</v>
      </c>
      <c r="AM114" s="5">
        <v>1328.67013468503</v>
      </c>
      <c r="AN114" s="4">
        <v>179.25534092964099</v>
      </c>
      <c r="AO114" s="4">
        <v>0.13491335151605099</v>
      </c>
      <c r="AP114" s="1" t="s">
        <v>238</v>
      </c>
      <c r="AQ114" s="1" t="s">
        <v>156</v>
      </c>
      <c r="AR114" s="1" t="s">
        <v>164</v>
      </c>
      <c r="AS114" s="1">
        <v>7.5</v>
      </c>
      <c r="AT114" s="4">
        <v>0.99650260101377253</v>
      </c>
      <c r="AU114" s="1" t="s">
        <v>699</v>
      </c>
      <c r="AV114" s="1" t="s">
        <v>700</v>
      </c>
      <c r="AW114" s="1">
        <v>3115</v>
      </c>
      <c r="AX114" s="1">
        <v>1694</v>
      </c>
      <c r="AY114" s="1">
        <v>1206</v>
      </c>
      <c r="AZ114" s="1">
        <v>205</v>
      </c>
      <c r="BA114" s="1">
        <v>10</v>
      </c>
      <c r="BB114" s="1">
        <v>0</v>
      </c>
      <c r="BC114" s="1">
        <v>0</v>
      </c>
      <c r="BD114" s="1">
        <v>0</v>
      </c>
      <c r="BE114" s="1">
        <v>0</v>
      </c>
      <c r="BF114" s="1">
        <v>0</v>
      </c>
      <c r="BG114" s="1">
        <v>0</v>
      </c>
      <c r="BH114" s="4">
        <v>-1.02</v>
      </c>
      <c r="BI114" s="4">
        <v>21.5</v>
      </c>
      <c r="BJ114" s="4">
        <v>10.062761</v>
      </c>
      <c r="BK114" s="4">
        <v>-0.30507899999999999</v>
      </c>
      <c r="BL114" s="4">
        <v>9.0949349999999995</v>
      </c>
      <c r="BM114" s="4">
        <v>82.717842000000005</v>
      </c>
      <c r="BN114" s="4">
        <v>0.90382099999999999</v>
      </c>
      <c r="BO114" s="4">
        <v>19.074999999999999</v>
      </c>
      <c r="BP114" s="4">
        <v>-0.113521</v>
      </c>
      <c r="BQ114" s="4">
        <v>1.137316</v>
      </c>
      <c r="BR114" s="4">
        <v>8.7915720000000004</v>
      </c>
      <c r="BS114" s="4">
        <v>6.3200010000000004</v>
      </c>
      <c r="BT114" s="4">
        <v>14.435079999999999</v>
      </c>
      <c r="BU114" s="4">
        <v>10.062761</v>
      </c>
      <c r="BV114" s="4">
        <v>4.8796350000000004</v>
      </c>
      <c r="BW114" s="4">
        <v>-5.0192000000000001E-2</v>
      </c>
      <c r="BX114" s="4">
        <v>-0.95350999999999997</v>
      </c>
      <c r="BY114" s="4">
        <v>0.48492000000000002</v>
      </c>
      <c r="BZ114" s="4">
        <v>-1.0286E-2</v>
      </c>
      <c r="CA114" s="4">
        <v>-0.195406</v>
      </c>
      <c r="CB114" s="4">
        <v>-0.34</v>
      </c>
      <c r="CC114" s="4">
        <v>-0.18</v>
      </c>
      <c r="CD114" s="4">
        <v>-0.1</v>
      </c>
      <c r="CE114" s="4">
        <v>0</v>
      </c>
      <c r="CF114" s="4">
        <v>0.05</v>
      </c>
      <c r="CG114" s="4">
        <v>0.1</v>
      </c>
      <c r="CH114" s="4">
        <v>0.23</v>
      </c>
      <c r="CI114" s="4">
        <v>14.13</v>
      </c>
      <c r="CJ114" s="4">
        <v>17.239999999999998</v>
      </c>
      <c r="CK114" s="4">
        <v>18.57</v>
      </c>
      <c r="CL114" s="4">
        <v>19.125</v>
      </c>
      <c r="CM114" s="4">
        <v>19.5</v>
      </c>
      <c r="CN114" s="4">
        <v>20.149999999999999</v>
      </c>
      <c r="CO114" s="4">
        <v>20.552999</v>
      </c>
      <c r="CP114" s="4">
        <v>21.098602</v>
      </c>
      <c r="CQ114" s="4">
        <v>0.49213000000000001</v>
      </c>
      <c r="CR114" s="4">
        <v>13.562832999999999</v>
      </c>
      <c r="CS114" s="4">
        <v>15.080861000000001</v>
      </c>
      <c r="CT114" s="1">
        <v>1</v>
      </c>
      <c r="CU114" s="1">
        <v>51</v>
      </c>
      <c r="CV114" s="4">
        <v>16.595506</v>
      </c>
      <c r="CW114" s="4">
        <v>1</v>
      </c>
      <c r="CX114" s="4">
        <v>11.63823</v>
      </c>
      <c r="CY114" s="4">
        <v>135.44840600000001</v>
      </c>
      <c r="CZ114" s="4">
        <v>0.70128800000000002</v>
      </c>
      <c r="DA114" s="4">
        <v>19</v>
      </c>
      <c r="DB114" s="4">
        <v>0.57151600000000002</v>
      </c>
      <c r="DC114" s="4">
        <v>2.396385</v>
      </c>
      <c r="DD114" s="4">
        <v>9.7946869999999997</v>
      </c>
      <c r="DE114" s="4">
        <v>16.595506</v>
      </c>
      <c r="DF114" s="4">
        <v>6.5789879999999998</v>
      </c>
      <c r="DG114" s="4">
        <v>0.96148400000000001</v>
      </c>
      <c r="DH114" s="4">
        <v>0.27365400000000001</v>
      </c>
      <c r="DI114" s="4">
        <v>0.39643200000000001</v>
      </c>
      <c r="DJ114" s="4">
        <v>0.146145</v>
      </c>
      <c r="DK114" s="4">
        <v>4.1595E-2</v>
      </c>
      <c r="DL114" s="4">
        <v>1</v>
      </c>
      <c r="DM114" s="4">
        <v>2</v>
      </c>
      <c r="DN114" s="4">
        <v>3</v>
      </c>
      <c r="DO114" s="4">
        <v>5</v>
      </c>
      <c r="DP114" s="4">
        <v>6</v>
      </c>
      <c r="DQ114" s="4">
        <v>8</v>
      </c>
      <c r="DR114" s="4">
        <v>11</v>
      </c>
      <c r="DS114" s="4">
        <v>15</v>
      </c>
      <c r="DT114" s="4">
        <v>18.400023999999998</v>
      </c>
      <c r="DU114" s="4">
        <v>23</v>
      </c>
      <c r="DV114" s="4">
        <v>25</v>
      </c>
      <c r="DW114" s="4">
        <v>27</v>
      </c>
      <c r="DX114" s="4">
        <v>34</v>
      </c>
      <c r="DY114" s="4">
        <v>39</v>
      </c>
      <c r="DZ114" s="4">
        <v>44</v>
      </c>
      <c r="EA114" s="4">
        <v>90.731994999999998</v>
      </c>
      <c r="EB114" s="4">
        <v>56.532905</v>
      </c>
      <c r="EC114" s="4">
        <v>103.955136</v>
      </c>
      <c r="ED114" s="4">
        <v>1537</v>
      </c>
      <c r="EE114" s="4">
        <v>1761</v>
      </c>
      <c r="EF114" s="4">
        <v>89.787485000000004</v>
      </c>
      <c r="EG114" s="4">
        <v>100</v>
      </c>
      <c r="EH114" s="4">
        <v>54.606741999999997</v>
      </c>
      <c r="EI114" s="4">
        <v>98.523274000000001</v>
      </c>
      <c r="EJ114" s="4">
        <v>100.413223</v>
      </c>
      <c r="EK114" s="4">
        <v>181.16883100000001</v>
      </c>
      <c r="EL114" s="4">
        <v>1521</v>
      </c>
      <c r="EM114" s="4">
        <v>1694</v>
      </c>
      <c r="EN114" s="4">
        <v>1701</v>
      </c>
      <c r="EO114" s="4">
        <v>3069</v>
      </c>
      <c r="EP114" s="4">
        <v>1694</v>
      </c>
      <c r="EQ114" s="4">
        <v>3115</v>
      </c>
      <c r="ER114" s="4">
        <v>46.812793999999997</v>
      </c>
    </row>
    <row r="115" spans="1:148" x14ac:dyDescent="0.2">
      <c r="A115" s="1">
        <v>2022</v>
      </c>
      <c r="B115" s="1" t="str">
        <f t="shared" si="2"/>
        <v>RD</v>
      </c>
      <c r="C115" s="1" t="s">
        <v>701</v>
      </c>
      <c r="D115" s="1" t="s">
        <v>701</v>
      </c>
      <c r="E115" s="1">
        <v>24200</v>
      </c>
      <c r="F115" s="1" t="s">
        <v>2088</v>
      </c>
      <c r="G115" s="1" t="s">
        <v>467</v>
      </c>
      <c r="H115" s="1" t="s">
        <v>702</v>
      </c>
      <c r="I115" s="1">
        <v>18.02</v>
      </c>
      <c r="J115" s="1">
        <v>18.02</v>
      </c>
      <c r="K115" s="1" t="s">
        <v>249</v>
      </c>
      <c r="L115" s="1">
        <v>1</v>
      </c>
      <c r="M115" s="1">
        <v>2015</v>
      </c>
      <c r="N115" s="1">
        <v>3</v>
      </c>
      <c r="O115" s="1">
        <v>1</v>
      </c>
      <c r="P115" s="1" t="str">
        <f t="shared" si="3"/>
        <v>Alto fuste</v>
      </c>
      <c r="Q115" s="2">
        <v>42076</v>
      </c>
      <c r="R115" s="1" t="s">
        <v>227</v>
      </c>
      <c r="S115" s="1" t="s">
        <v>163</v>
      </c>
      <c r="T115" s="1" t="s">
        <v>2268</v>
      </c>
      <c r="U115" s="1" t="s">
        <v>212</v>
      </c>
      <c r="V115" s="1" t="s">
        <v>152</v>
      </c>
      <c r="W115" s="2">
        <v>44641</v>
      </c>
      <c r="X115" s="1" t="s">
        <v>470</v>
      </c>
      <c r="Y115" s="1">
        <v>170.85</v>
      </c>
      <c r="Z115" s="1">
        <v>19.7</v>
      </c>
      <c r="AA115" s="1">
        <v>14</v>
      </c>
      <c r="AB115" s="1">
        <v>15.4</v>
      </c>
      <c r="AC115" s="1">
        <v>2</v>
      </c>
      <c r="AD115" s="3">
        <v>303.38</v>
      </c>
      <c r="AE115" s="3">
        <v>294.18899621219401</v>
      </c>
      <c r="AF115" s="2">
        <v>44641</v>
      </c>
      <c r="AG115" s="1">
        <v>84</v>
      </c>
      <c r="AH115" s="3">
        <v>7.0225872689938402</v>
      </c>
      <c r="AI115" s="4">
        <v>24.6118475336276</v>
      </c>
      <c r="AJ115" s="4">
        <v>14.592682926829299</v>
      </c>
      <c r="AK115" s="4">
        <v>23.905055838857901</v>
      </c>
      <c r="AL115" s="1">
        <v>41</v>
      </c>
      <c r="AM115" s="5">
        <v>1393.6619155676101</v>
      </c>
      <c r="AN115" s="4">
        <v>281.46607413274</v>
      </c>
      <c r="AO115" s="4">
        <v>0.20196151662657999</v>
      </c>
      <c r="AP115" s="1" t="s">
        <v>163</v>
      </c>
      <c r="AQ115" s="1" t="s">
        <v>156</v>
      </c>
      <c r="AR115" s="1" t="s">
        <v>705</v>
      </c>
      <c r="AS115" s="1">
        <v>7.5</v>
      </c>
      <c r="AT115" s="4">
        <v>1.0452464366757077</v>
      </c>
      <c r="AU115" s="1" t="s">
        <v>703</v>
      </c>
      <c r="AV115" s="1" t="s">
        <v>704</v>
      </c>
      <c r="AW115" s="1">
        <v>2681</v>
      </c>
      <c r="AX115" s="1">
        <v>1719</v>
      </c>
      <c r="AY115" s="1">
        <v>853</v>
      </c>
      <c r="AZ115" s="1">
        <v>108</v>
      </c>
      <c r="BA115" s="1">
        <v>1</v>
      </c>
      <c r="BB115" s="1">
        <v>0</v>
      </c>
      <c r="BC115" s="1">
        <v>0</v>
      </c>
      <c r="BD115" s="1">
        <v>0</v>
      </c>
      <c r="BE115" s="1">
        <v>0</v>
      </c>
      <c r="BF115" s="1">
        <v>0</v>
      </c>
      <c r="BG115" s="1">
        <v>0</v>
      </c>
      <c r="BH115" s="4">
        <v>-0.89700000000000002</v>
      </c>
      <c r="BI115" s="4">
        <v>27.579000000000001</v>
      </c>
      <c r="BJ115" s="4">
        <v>9.2760440000000006</v>
      </c>
      <c r="BK115" s="4">
        <v>7.0000000000000001E-3</v>
      </c>
      <c r="BL115" s="4">
        <v>10.770619</v>
      </c>
      <c r="BM115" s="4">
        <v>116.00623</v>
      </c>
      <c r="BN115" s="4">
        <v>1.161122</v>
      </c>
      <c r="BO115" s="4">
        <v>21.248999999999999</v>
      </c>
      <c r="BP115" s="4">
        <v>0.43301099999999998</v>
      </c>
      <c r="BQ115" s="4">
        <v>1.361515</v>
      </c>
      <c r="BR115" s="4">
        <v>10.243707000000001</v>
      </c>
      <c r="BS115" s="4">
        <v>0.35799999999999998</v>
      </c>
      <c r="BT115" s="4">
        <v>0.23499999999999999</v>
      </c>
      <c r="BU115" s="4">
        <v>9.2760440000000006</v>
      </c>
      <c r="BV115" s="4">
        <v>5.6672940000000001</v>
      </c>
      <c r="BW115" s="4">
        <v>1.3175060000000001</v>
      </c>
      <c r="BX115" s="4">
        <v>-0.77337100000000003</v>
      </c>
      <c r="BY115" s="4">
        <v>0.61095999999999995</v>
      </c>
      <c r="BZ115" s="4">
        <v>0.23247499999999999</v>
      </c>
      <c r="CA115" s="4">
        <v>-0.136462</v>
      </c>
      <c r="CB115" s="4">
        <v>-0.32900000000000001</v>
      </c>
      <c r="CC115" s="4">
        <v>-0.16500000000000001</v>
      </c>
      <c r="CD115" s="4">
        <v>-0.10299999999999999</v>
      </c>
      <c r="CE115" s="4">
        <v>-1.9E-2</v>
      </c>
      <c r="CF115" s="4">
        <v>1.0999999999999999E-2</v>
      </c>
      <c r="CG115" s="4">
        <v>3.9E-2</v>
      </c>
      <c r="CH115" s="4">
        <v>9.2999999999999999E-2</v>
      </c>
      <c r="CI115" s="4">
        <v>0.184</v>
      </c>
      <c r="CJ115" s="4">
        <v>13.034000000000001</v>
      </c>
      <c r="CK115" s="4">
        <v>19.635000000000002</v>
      </c>
      <c r="CL115" s="4">
        <v>21.26</v>
      </c>
      <c r="CM115" s="4">
        <v>22.763999999999999</v>
      </c>
      <c r="CN115" s="4">
        <v>24.58</v>
      </c>
      <c r="CO115" s="4">
        <v>25.577000000000002</v>
      </c>
      <c r="CP115" s="4">
        <v>26.409400999999999</v>
      </c>
      <c r="CQ115" s="4">
        <v>0.35725000000000001</v>
      </c>
      <c r="CR115" s="4">
        <v>14.212949999999999</v>
      </c>
      <c r="CS115" s="4">
        <v>16.589974999999999</v>
      </c>
      <c r="CT115" s="1">
        <v>1</v>
      </c>
      <c r="CU115" s="1">
        <v>55</v>
      </c>
      <c r="CV115" s="4">
        <v>20.037673000000002</v>
      </c>
      <c r="CW115" s="4">
        <v>1</v>
      </c>
      <c r="CX115" s="4">
        <v>15.027949</v>
      </c>
      <c r="CY115" s="4">
        <v>225.83925199999999</v>
      </c>
      <c r="CZ115" s="4">
        <v>0.74998500000000001</v>
      </c>
      <c r="DA115" s="4">
        <v>28</v>
      </c>
      <c r="DB115" s="4">
        <v>0.50692899999999996</v>
      </c>
      <c r="DC115" s="4">
        <v>1.865745</v>
      </c>
      <c r="DD115" s="4">
        <v>13.084311</v>
      </c>
      <c r="DE115" s="4">
        <v>20.037673000000002</v>
      </c>
      <c r="DF115" s="4">
        <v>8.4650759999999998</v>
      </c>
      <c r="DG115" s="4">
        <v>1.3302419999999999</v>
      </c>
      <c r="DH115" s="4">
        <v>-8.2046999999999995E-2</v>
      </c>
      <c r="DI115" s="4">
        <v>0.422458</v>
      </c>
      <c r="DJ115" s="4">
        <v>0.15714500000000001</v>
      </c>
      <c r="DK115" s="4">
        <v>-9.6919999999999992E-3</v>
      </c>
      <c r="DL115" s="4">
        <v>1</v>
      </c>
      <c r="DM115" s="4">
        <v>1</v>
      </c>
      <c r="DN115" s="4">
        <v>3</v>
      </c>
      <c r="DO115" s="4">
        <v>6</v>
      </c>
      <c r="DP115" s="4">
        <v>7</v>
      </c>
      <c r="DQ115" s="4">
        <v>9</v>
      </c>
      <c r="DR115" s="4">
        <v>12</v>
      </c>
      <c r="DS115" s="4">
        <v>15</v>
      </c>
      <c r="DT115" s="4">
        <v>20</v>
      </c>
      <c r="DU115" s="4">
        <v>30</v>
      </c>
      <c r="DV115" s="4">
        <v>35</v>
      </c>
      <c r="DW115" s="4">
        <v>38</v>
      </c>
      <c r="DX115" s="4">
        <v>43</v>
      </c>
      <c r="DY115" s="4">
        <v>46</v>
      </c>
      <c r="DZ115" s="4">
        <v>49</v>
      </c>
      <c r="EA115" s="4">
        <v>61.838278000000003</v>
      </c>
      <c r="EB115" s="4">
        <v>45.356209999999997</v>
      </c>
      <c r="EC115" s="4">
        <v>70.738802000000007</v>
      </c>
      <c r="ED115" s="4">
        <v>1063</v>
      </c>
      <c r="EE115" s="4">
        <v>1216</v>
      </c>
      <c r="EF115" s="4">
        <v>59.744036999999999</v>
      </c>
      <c r="EG115" s="4">
        <v>91.972076999999999</v>
      </c>
      <c r="EH115" s="4">
        <v>42.969040999999997</v>
      </c>
      <c r="EI115" s="4">
        <v>75.531518000000005</v>
      </c>
      <c r="EJ115" s="4">
        <v>67.015707000000006</v>
      </c>
      <c r="EK115" s="4">
        <v>117.801047</v>
      </c>
      <c r="EL115" s="4">
        <v>1027</v>
      </c>
      <c r="EM115" s="4">
        <v>1581</v>
      </c>
      <c r="EN115" s="4">
        <v>1152</v>
      </c>
      <c r="EO115" s="4">
        <v>2025</v>
      </c>
      <c r="EP115" s="4">
        <v>1719</v>
      </c>
      <c r="EQ115" s="4">
        <v>2681</v>
      </c>
      <c r="ER115" s="4">
        <v>34.220984999999999</v>
      </c>
    </row>
    <row r="116" spans="1:148" x14ac:dyDescent="0.2">
      <c r="A116" s="1">
        <v>2022</v>
      </c>
      <c r="B116" s="1" t="str">
        <f t="shared" si="2"/>
        <v>RD</v>
      </c>
      <c r="C116" s="1" t="s">
        <v>706</v>
      </c>
      <c r="D116" s="1" t="s">
        <v>706</v>
      </c>
      <c r="E116" s="1">
        <v>24207</v>
      </c>
      <c r="F116" s="1" t="s">
        <v>2088</v>
      </c>
      <c r="G116" s="1" t="s">
        <v>467</v>
      </c>
      <c r="H116" s="1" t="s">
        <v>707</v>
      </c>
      <c r="I116" s="1">
        <v>30.11</v>
      </c>
      <c r="J116" s="1">
        <v>30.11</v>
      </c>
      <c r="K116" s="1" t="s">
        <v>249</v>
      </c>
      <c r="L116" s="1">
        <v>1</v>
      </c>
      <c r="M116" s="1">
        <v>2015</v>
      </c>
      <c r="N116" s="1">
        <v>3</v>
      </c>
      <c r="O116" s="1">
        <v>1</v>
      </c>
      <c r="P116" s="1" t="str">
        <f t="shared" si="3"/>
        <v>Alto fuste</v>
      </c>
      <c r="Q116" s="2">
        <v>42045</v>
      </c>
      <c r="R116" s="1" t="s">
        <v>227</v>
      </c>
      <c r="S116" s="1" t="s">
        <v>484</v>
      </c>
      <c r="T116" s="1" t="s">
        <v>2268</v>
      </c>
      <c r="U116" s="1" t="s">
        <v>212</v>
      </c>
      <c r="V116" s="1" t="s">
        <v>152</v>
      </c>
      <c r="W116" s="2">
        <v>44641</v>
      </c>
      <c r="X116" s="1" t="s">
        <v>470</v>
      </c>
      <c r="Y116" s="1">
        <v>170.85</v>
      </c>
      <c r="Z116" s="1">
        <v>20.7</v>
      </c>
      <c r="AA116" s="1">
        <v>23</v>
      </c>
      <c r="AB116" s="1">
        <v>14.9</v>
      </c>
      <c r="AC116" s="1">
        <v>2</v>
      </c>
      <c r="AD116" s="3">
        <v>308.43</v>
      </c>
      <c r="AE116" s="3">
        <v>283.738360850123</v>
      </c>
      <c r="AF116" s="2">
        <v>44641</v>
      </c>
      <c r="AG116" s="1">
        <v>85</v>
      </c>
      <c r="AH116" s="3">
        <v>7.1074606433949397</v>
      </c>
      <c r="AI116" s="4">
        <v>24.1380397217143</v>
      </c>
      <c r="AJ116" s="4">
        <v>14.056410256410301</v>
      </c>
      <c r="AK116" s="4">
        <v>21.888692184498201</v>
      </c>
      <c r="AL116" s="1">
        <v>39</v>
      </c>
      <c r="AM116" s="5">
        <v>1374.50572009897</v>
      </c>
      <c r="AN116" s="4">
        <v>254.26970221008301</v>
      </c>
      <c r="AO116" s="4">
        <v>0.18498991927932801</v>
      </c>
      <c r="AP116" s="1" t="s">
        <v>484</v>
      </c>
      <c r="AQ116" s="1" t="s">
        <v>156</v>
      </c>
      <c r="AR116" s="1" t="s">
        <v>705</v>
      </c>
      <c r="AS116" s="1">
        <v>7.5</v>
      </c>
      <c r="AT116" s="4">
        <v>1.0308792900742276</v>
      </c>
      <c r="AU116" s="1" t="s">
        <v>708</v>
      </c>
      <c r="AV116" s="1" t="s">
        <v>709</v>
      </c>
      <c r="AW116" s="1">
        <v>4046</v>
      </c>
      <c r="AX116" s="1">
        <v>2106</v>
      </c>
      <c r="AY116" s="1">
        <v>1542</v>
      </c>
      <c r="AZ116" s="1">
        <v>362</v>
      </c>
      <c r="BA116" s="1">
        <v>36</v>
      </c>
      <c r="BB116" s="1">
        <v>0</v>
      </c>
      <c r="BC116" s="1">
        <v>0</v>
      </c>
      <c r="BD116" s="1">
        <v>0</v>
      </c>
      <c r="BE116" s="1">
        <v>0</v>
      </c>
      <c r="BF116" s="1">
        <v>0</v>
      </c>
      <c r="BG116" s="1">
        <v>0</v>
      </c>
      <c r="BH116" s="4">
        <v>-0.78800000000000003</v>
      </c>
      <c r="BI116" s="4">
        <v>27.344000000000001</v>
      </c>
      <c r="BJ116" s="4">
        <v>10.829124</v>
      </c>
      <c r="BK116" s="4">
        <v>-0.34145999999999999</v>
      </c>
      <c r="BL116" s="4">
        <v>10.880736000000001</v>
      </c>
      <c r="BM116" s="4">
        <v>118.390424</v>
      </c>
      <c r="BN116" s="4">
        <v>1.004766</v>
      </c>
      <c r="BO116" s="4">
        <v>22.059000999999999</v>
      </c>
      <c r="BP116" s="4">
        <v>0.184194</v>
      </c>
      <c r="BQ116" s="4">
        <v>1.2446699999999999</v>
      </c>
      <c r="BR116" s="4">
        <v>10.35622</v>
      </c>
      <c r="BS116" s="4">
        <v>9.0860000000000003</v>
      </c>
      <c r="BT116" s="4">
        <v>9.3534600000000001</v>
      </c>
      <c r="BU116" s="4">
        <v>10.829124</v>
      </c>
      <c r="BV116" s="4">
        <v>5.9167180000000004</v>
      </c>
      <c r="BW116" s="4">
        <v>0.70097200000000004</v>
      </c>
      <c r="BX116" s="4">
        <v>-1.001085</v>
      </c>
      <c r="BY116" s="4">
        <v>0.54637100000000005</v>
      </c>
      <c r="BZ116" s="4">
        <v>0.11847299999999999</v>
      </c>
      <c r="CA116" s="4">
        <v>-0.16919600000000001</v>
      </c>
      <c r="CB116" s="4">
        <v>-0.37755</v>
      </c>
      <c r="CC116" s="4">
        <v>-0.17899999999999999</v>
      </c>
      <c r="CD116" s="4">
        <v>-9.5000000000000001E-2</v>
      </c>
      <c r="CE116" s="4">
        <v>6.0000000000000001E-3</v>
      </c>
      <c r="CF116" s="4">
        <v>4.7E-2</v>
      </c>
      <c r="CG116" s="4">
        <v>8.4000000000000005E-2</v>
      </c>
      <c r="CH116" s="4">
        <v>0.19600000000000001</v>
      </c>
      <c r="CI116" s="4">
        <v>9.0120000000000005</v>
      </c>
      <c r="CJ116" s="4">
        <v>17.077000000000002</v>
      </c>
      <c r="CK116" s="4">
        <v>21.117000999999998</v>
      </c>
      <c r="CL116" s="4">
        <v>22.106000999999999</v>
      </c>
      <c r="CM116" s="4">
        <v>23.882000000000001</v>
      </c>
      <c r="CN116" s="4">
        <v>25.195499000000002</v>
      </c>
      <c r="CO116" s="4">
        <v>25.669001000000002</v>
      </c>
      <c r="CP116" s="4">
        <v>26.448049999999999</v>
      </c>
      <c r="CQ116" s="4">
        <v>0.41295100000000001</v>
      </c>
      <c r="CR116" s="4">
        <v>15.35028</v>
      </c>
      <c r="CS116" s="4">
        <v>17.492387000000001</v>
      </c>
      <c r="CT116" s="1">
        <v>1</v>
      </c>
      <c r="CU116" s="1">
        <v>53</v>
      </c>
      <c r="CV116" s="4">
        <v>12.920909999999999</v>
      </c>
      <c r="CW116" s="4">
        <v>1</v>
      </c>
      <c r="CX116" s="4">
        <v>11.224693</v>
      </c>
      <c r="CY116" s="4">
        <v>125.99374299999999</v>
      </c>
      <c r="CZ116" s="4">
        <v>0.86872300000000002</v>
      </c>
      <c r="DA116" s="4">
        <v>12</v>
      </c>
      <c r="DB116" s="4">
        <v>1.2339869999999999</v>
      </c>
      <c r="DC116" s="4">
        <v>3.714378</v>
      </c>
      <c r="DD116" s="4">
        <v>8.7786010000000001</v>
      </c>
      <c r="DE116" s="4">
        <v>12.920909999999999</v>
      </c>
      <c r="DF116" s="4">
        <v>5.9292930000000004</v>
      </c>
      <c r="DG116" s="4">
        <v>1.7836909999999999</v>
      </c>
      <c r="DH116" s="4">
        <v>0.75518200000000002</v>
      </c>
      <c r="DI116" s="4">
        <v>0.45889099999999999</v>
      </c>
      <c r="DJ116" s="4">
        <v>0.30082700000000001</v>
      </c>
      <c r="DK116" s="4">
        <v>0.12736500000000001</v>
      </c>
      <c r="DL116" s="4">
        <v>1</v>
      </c>
      <c r="DM116" s="4">
        <v>1</v>
      </c>
      <c r="DN116" s="4">
        <v>2</v>
      </c>
      <c r="DO116" s="4">
        <v>4</v>
      </c>
      <c r="DP116" s="4">
        <v>5</v>
      </c>
      <c r="DQ116" s="4">
        <v>5.5</v>
      </c>
      <c r="DR116" s="4">
        <v>7</v>
      </c>
      <c r="DS116" s="4">
        <v>9</v>
      </c>
      <c r="DT116" s="4">
        <v>12</v>
      </c>
      <c r="DU116" s="4">
        <v>15</v>
      </c>
      <c r="DV116" s="4">
        <v>17</v>
      </c>
      <c r="DW116" s="4">
        <v>21</v>
      </c>
      <c r="DX116" s="4">
        <v>32</v>
      </c>
      <c r="DY116" s="4">
        <v>38</v>
      </c>
      <c r="DZ116" s="4">
        <v>44</v>
      </c>
      <c r="EA116" s="4">
        <v>79.867046999999999</v>
      </c>
      <c r="EB116" s="4">
        <v>53.781512999999997</v>
      </c>
      <c r="EC116" s="4">
        <v>103.323837</v>
      </c>
      <c r="ED116" s="4">
        <v>1682</v>
      </c>
      <c r="EE116" s="4">
        <v>2176</v>
      </c>
      <c r="EF116" s="4">
        <v>76.210825999999997</v>
      </c>
      <c r="EG116" s="4">
        <v>100</v>
      </c>
      <c r="EH116" s="4">
        <v>48.245179999999998</v>
      </c>
      <c r="EI116" s="4">
        <v>98.739496000000003</v>
      </c>
      <c r="EJ116" s="4">
        <v>92.687558999999993</v>
      </c>
      <c r="EK116" s="4">
        <v>189.69610599999999</v>
      </c>
      <c r="EL116" s="4">
        <v>1605</v>
      </c>
      <c r="EM116" s="4">
        <v>2106</v>
      </c>
      <c r="EN116" s="4">
        <v>1952</v>
      </c>
      <c r="EO116" s="4">
        <v>3995</v>
      </c>
      <c r="EP116" s="4">
        <v>2106</v>
      </c>
      <c r="EQ116" s="4">
        <v>4046</v>
      </c>
      <c r="ER116" s="4">
        <v>39.992460000000001</v>
      </c>
    </row>
    <row r="117" spans="1:148" x14ac:dyDescent="0.2">
      <c r="A117" s="1">
        <v>2022</v>
      </c>
      <c r="B117" s="1" t="str">
        <f t="shared" si="2"/>
        <v>RD</v>
      </c>
      <c r="C117" s="1" t="s">
        <v>710</v>
      </c>
      <c r="D117" s="1" t="s">
        <v>710</v>
      </c>
      <c r="E117" s="1">
        <v>24208</v>
      </c>
      <c r="F117" s="1" t="s">
        <v>2088</v>
      </c>
      <c r="G117" s="1" t="s">
        <v>467</v>
      </c>
      <c r="H117" s="1" t="s">
        <v>707</v>
      </c>
      <c r="I117" s="1">
        <v>30.11</v>
      </c>
      <c r="J117" s="1">
        <v>30.11</v>
      </c>
      <c r="K117" s="1" t="s">
        <v>249</v>
      </c>
      <c r="L117" s="1">
        <v>1</v>
      </c>
      <c r="M117" s="1">
        <v>2015</v>
      </c>
      <c r="N117" s="1">
        <v>3</v>
      </c>
      <c r="O117" s="1">
        <v>1</v>
      </c>
      <c r="P117" s="1" t="str">
        <f t="shared" si="3"/>
        <v>Alto fuste</v>
      </c>
      <c r="Q117" s="2">
        <v>42045</v>
      </c>
      <c r="R117" s="1" t="s">
        <v>227</v>
      </c>
      <c r="S117" s="1" t="s">
        <v>484</v>
      </c>
      <c r="T117" s="1" t="s">
        <v>2268</v>
      </c>
      <c r="U117" s="1" t="s">
        <v>212</v>
      </c>
      <c r="V117" s="1" t="s">
        <v>152</v>
      </c>
      <c r="W117" s="2">
        <v>44641</v>
      </c>
      <c r="X117" s="1" t="s">
        <v>470</v>
      </c>
      <c r="Y117" s="1">
        <v>170.85</v>
      </c>
      <c r="Z117" s="1">
        <v>21.3</v>
      </c>
      <c r="AA117" s="1">
        <v>22</v>
      </c>
      <c r="AB117" s="1">
        <v>14.2</v>
      </c>
      <c r="AC117" s="1">
        <v>1</v>
      </c>
      <c r="AD117" s="3">
        <v>302.45999999999998</v>
      </c>
      <c r="AE117" s="3">
        <v>280.39331688678402</v>
      </c>
      <c r="AF117" s="2">
        <v>44641</v>
      </c>
      <c r="AG117" s="1">
        <v>85</v>
      </c>
      <c r="AH117" s="3">
        <v>7.1074606433949397</v>
      </c>
      <c r="AI117" s="4">
        <v>24.381875378146098</v>
      </c>
      <c r="AJ117" s="4">
        <v>13.466666666666701</v>
      </c>
      <c r="AK117" s="4">
        <v>21.740081632141599</v>
      </c>
      <c r="AL117" s="1">
        <v>42</v>
      </c>
      <c r="AM117" s="5">
        <v>1497.89590088406</v>
      </c>
      <c r="AN117" s="4">
        <v>257.26359185625103</v>
      </c>
      <c r="AO117" s="4">
        <v>0.17174998055900501</v>
      </c>
      <c r="AP117" s="1" t="s">
        <v>484</v>
      </c>
      <c r="AQ117" s="1" t="s">
        <v>156</v>
      </c>
      <c r="AR117" s="1" t="s">
        <v>705</v>
      </c>
      <c r="AS117" s="1">
        <v>7.5</v>
      </c>
      <c r="AT117" s="4">
        <v>1.1234219256630451</v>
      </c>
      <c r="AU117" s="1" t="s">
        <v>711</v>
      </c>
      <c r="AV117" s="1" t="s">
        <v>712</v>
      </c>
      <c r="AW117" s="1">
        <v>5944</v>
      </c>
      <c r="AX117" s="1">
        <v>2573</v>
      </c>
      <c r="AY117" s="1">
        <v>2543</v>
      </c>
      <c r="AZ117" s="1">
        <v>768</v>
      </c>
      <c r="BA117" s="1">
        <v>60</v>
      </c>
      <c r="BB117" s="1">
        <v>0</v>
      </c>
      <c r="BC117" s="1">
        <v>0</v>
      </c>
      <c r="BD117" s="1">
        <v>0</v>
      </c>
      <c r="BE117" s="1">
        <v>0</v>
      </c>
      <c r="BF117" s="1">
        <v>0</v>
      </c>
      <c r="BG117" s="1">
        <v>0</v>
      </c>
      <c r="BH117" s="4">
        <v>-0.99099999999999999</v>
      </c>
      <c r="BI117" s="4">
        <v>25.422001000000002</v>
      </c>
      <c r="BJ117" s="4">
        <v>8.8157949999999996</v>
      </c>
      <c r="BK117" s="4">
        <v>-0.15249199999999999</v>
      </c>
      <c r="BL117" s="4">
        <v>9.3080370000000006</v>
      </c>
      <c r="BM117" s="4">
        <v>86.639544000000001</v>
      </c>
      <c r="BN117" s="4">
        <v>1.055836</v>
      </c>
      <c r="BO117" s="4">
        <v>17.813500000000001</v>
      </c>
      <c r="BP117" s="4">
        <v>0.35268500000000003</v>
      </c>
      <c r="BQ117" s="4">
        <v>1.4272309999999999</v>
      </c>
      <c r="BR117" s="4">
        <v>8.6841019999999993</v>
      </c>
      <c r="BS117" s="4">
        <v>5.9550000000000001</v>
      </c>
      <c r="BT117" s="4">
        <v>6.0074920000000001</v>
      </c>
      <c r="BU117" s="4">
        <v>8.8157949999999996</v>
      </c>
      <c r="BV117" s="4">
        <v>5.0679439999999998</v>
      </c>
      <c r="BW117" s="4">
        <v>0.93509900000000001</v>
      </c>
      <c r="BX117" s="4">
        <v>-0.64509399999999995</v>
      </c>
      <c r="BY117" s="4">
        <v>0.57487100000000002</v>
      </c>
      <c r="BZ117" s="4">
        <v>0.18451200000000001</v>
      </c>
      <c r="CA117" s="4">
        <v>-0.12728900000000001</v>
      </c>
      <c r="CB117" s="4">
        <v>-0.36599999999999999</v>
      </c>
      <c r="CC117" s="4">
        <v>-0.16485</v>
      </c>
      <c r="CD117" s="4">
        <v>-8.2000000000000003E-2</v>
      </c>
      <c r="CE117" s="4">
        <v>2.8000000000000001E-2</v>
      </c>
      <c r="CF117" s="4">
        <v>7.9000000000000001E-2</v>
      </c>
      <c r="CG117" s="4">
        <v>0.13300000000000001</v>
      </c>
      <c r="CH117" s="4">
        <v>0.28299999999999997</v>
      </c>
      <c r="CI117" s="4">
        <v>5.8550000000000004</v>
      </c>
      <c r="CJ117" s="4">
        <v>12.439601</v>
      </c>
      <c r="CK117" s="4">
        <v>16.347000000000001</v>
      </c>
      <c r="CL117" s="4">
        <v>17.892499999999998</v>
      </c>
      <c r="CM117" s="4">
        <v>19.736999999999998</v>
      </c>
      <c r="CN117" s="4">
        <v>22.415001</v>
      </c>
      <c r="CO117" s="4">
        <v>23.114401000000001</v>
      </c>
      <c r="CP117" s="4">
        <v>23.992999999999999</v>
      </c>
      <c r="CQ117" s="4">
        <v>0.37128699999999998</v>
      </c>
      <c r="CR117" s="4">
        <v>12.819641000000001</v>
      </c>
      <c r="CS117" s="4">
        <v>14.828449000000001</v>
      </c>
      <c r="CT117" s="1">
        <v>1</v>
      </c>
      <c r="CU117" s="1">
        <v>51</v>
      </c>
      <c r="CV117" s="4">
        <v>10.445323</v>
      </c>
      <c r="CW117" s="4">
        <v>1</v>
      </c>
      <c r="CX117" s="4">
        <v>9.1042000000000005</v>
      </c>
      <c r="CY117" s="4">
        <v>82.88646</v>
      </c>
      <c r="CZ117" s="4">
        <v>0.87160499999999996</v>
      </c>
      <c r="DA117" s="4">
        <v>10</v>
      </c>
      <c r="DB117" s="4">
        <v>1.4605900000000001</v>
      </c>
      <c r="DC117" s="4">
        <v>4.7974300000000003</v>
      </c>
      <c r="DD117" s="4">
        <v>6.9055879999999998</v>
      </c>
      <c r="DE117" s="4">
        <v>10.445323</v>
      </c>
      <c r="DF117" s="4">
        <v>4.7166940000000004</v>
      </c>
      <c r="DG117" s="4">
        <v>1.475835</v>
      </c>
      <c r="DH117" s="4">
        <v>0.73178900000000002</v>
      </c>
      <c r="DI117" s="4">
        <v>0.45156000000000002</v>
      </c>
      <c r="DJ117" s="4">
        <v>0.31289600000000001</v>
      </c>
      <c r="DK117" s="4">
        <v>0.15514900000000001</v>
      </c>
      <c r="DL117" s="4">
        <v>1</v>
      </c>
      <c r="DM117" s="4">
        <v>1</v>
      </c>
      <c r="DN117" s="4">
        <v>2</v>
      </c>
      <c r="DO117" s="4">
        <v>3</v>
      </c>
      <c r="DP117" s="4">
        <v>4</v>
      </c>
      <c r="DQ117" s="4">
        <v>4</v>
      </c>
      <c r="DR117" s="4">
        <v>6</v>
      </c>
      <c r="DS117" s="4">
        <v>8</v>
      </c>
      <c r="DT117" s="4">
        <v>10</v>
      </c>
      <c r="DU117" s="4">
        <v>12</v>
      </c>
      <c r="DV117" s="4">
        <v>14</v>
      </c>
      <c r="DW117" s="4">
        <v>16</v>
      </c>
      <c r="DX117" s="4">
        <v>24</v>
      </c>
      <c r="DY117" s="4">
        <v>31</v>
      </c>
      <c r="DZ117" s="4">
        <v>39</v>
      </c>
      <c r="EA117" s="4">
        <v>83.793237000000005</v>
      </c>
      <c r="EB117" s="4">
        <v>51.228129000000003</v>
      </c>
      <c r="EC117" s="4">
        <v>118.344345</v>
      </c>
      <c r="ED117" s="4">
        <v>2156</v>
      </c>
      <c r="EE117" s="4">
        <v>3045</v>
      </c>
      <c r="EF117" s="4">
        <v>81.111542999999998</v>
      </c>
      <c r="EG117" s="4">
        <v>99.844538999999997</v>
      </c>
      <c r="EH117" s="4">
        <v>47.106326000000003</v>
      </c>
      <c r="EI117" s="4">
        <v>94.549125000000004</v>
      </c>
      <c r="EJ117" s="4">
        <v>108.82238599999999</v>
      </c>
      <c r="EK117" s="4">
        <v>218.42207500000001</v>
      </c>
      <c r="EL117" s="4">
        <v>2087</v>
      </c>
      <c r="EM117" s="4">
        <v>2569</v>
      </c>
      <c r="EN117" s="4">
        <v>2800</v>
      </c>
      <c r="EO117" s="4">
        <v>5620</v>
      </c>
      <c r="EP117" s="4">
        <v>2573</v>
      </c>
      <c r="EQ117" s="4">
        <v>5944</v>
      </c>
      <c r="ER117" s="4">
        <v>35.824390000000001</v>
      </c>
    </row>
    <row r="118" spans="1:148" x14ac:dyDescent="0.2">
      <c r="A118" s="1">
        <v>2022</v>
      </c>
      <c r="B118" s="1" t="str">
        <f t="shared" si="2"/>
        <v>RD</v>
      </c>
      <c r="C118" s="1" t="s">
        <v>713</v>
      </c>
      <c r="D118" s="1" t="s">
        <v>713</v>
      </c>
      <c r="E118" s="1">
        <v>24209</v>
      </c>
      <c r="F118" s="1" t="s">
        <v>2089</v>
      </c>
      <c r="G118" s="1" t="s">
        <v>208</v>
      </c>
      <c r="H118" s="1" t="s">
        <v>714</v>
      </c>
      <c r="I118" s="1">
        <v>18.18</v>
      </c>
      <c r="J118" s="1">
        <v>18.18</v>
      </c>
      <c r="K118" s="1" t="s">
        <v>210</v>
      </c>
      <c r="L118" s="1">
        <v>1</v>
      </c>
      <c r="M118" s="1">
        <v>2015</v>
      </c>
      <c r="N118" s="1">
        <v>2</v>
      </c>
      <c r="O118" s="1">
        <v>2</v>
      </c>
      <c r="P118" s="1" t="str">
        <f t="shared" si="3"/>
        <v>Talhadia</v>
      </c>
      <c r="Q118" s="2">
        <v>42353</v>
      </c>
      <c r="R118" s="1" t="s">
        <v>306</v>
      </c>
      <c r="S118" s="1" t="s">
        <v>163</v>
      </c>
      <c r="T118" s="1" t="s">
        <v>2268</v>
      </c>
      <c r="U118" s="1" t="s">
        <v>212</v>
      </c>
      <c r="V118" s="1" t="s">
        <v>152</v>
      </c>
      <c r="W118" s="2">
        <v>44693</v>
      </c>
      <c r="X118" s="1" t="s">
        <v>213</v>
      </c>
      <c r="Y118" s="1">
        <v>44.47</v>
      </c>
      <c r="Z118" s="1">
        <v>21</v>
      </c>
      <c r="AA118" s="1">
        <v>22</v>
      </c>
      <c r="AB118" s="1">
        <v>14.1</v>
      </c>
      <c r="AC118" s="1">
        <v>2</v>
      </c>
      <c r="AD118" s="3">
        <v>296.10000000000002</v>
      </c>
      <c r="AE118" s="3">
        <v>274.37189751134099</v>
      </c>
      <c r="AF118" s="2">
        <v>44693</v>
      </c>
      <c r="AG118" s="1">
        <v>77</v>
      </c>
      <c r="AH118" s="3">
        <v>6.4065708418891196</v>
      </c>
      <c r="AI118" s="4">
        <v>25.709020865482401</v>
      </c>
      <c r="AJ118" s="4">
        <v>16.8818181818182</v>
      </c>
      <c r="AK118" s="4">
        <v>18.844101255195302</v>
      </c>
      <c r="AL118" s="1">
        <v>22</v>
      </c>
      <c r="AM118" s="5">
        <v>801.83139015141501</v>
      </c>
      <c r="AN118" s="4">
        <v>221.08385030830999</v>
      </c>
      <c r="AO118" s="4">
        <v>0.27572361599183698</v>
      </c>
      <c r="AP118" s="1" t="s">
        <v>163</v>
      </c>
      <c r="AQ118" s="1" t="s">
        <v>254</v>
      </c>
      <c r="AR118" s="1" t="s">
        <v>242</v>
      </c>
      <c r="AS118" s="1">
        <v>9.99</v>
      </c>
      <c r="AT118" s="4">
        <v>0.80102955876126358</v>
      </c>
      <c r="AU118" s="1" t="s">
        <v>715</v>
      </c>
      <c r="AV118" s="1" t="s">
        <v>716</v>
      </c>
      <c r="AW118" s="1">
        <v>4467</v>
      </c>
      <c r="AX118" s="1">
        <v>2341</v>
      </c>
      <c r="AY118" s="1">
        <v>1722</v>
      </c>
      <c r="AZ118" s="1">
        <v>372</v>
      </c>
      <c r="BA118" s="1">
        <v>32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4">
        <v>-0.878</v>
      </c>
      <c r="BI118" s="4">
        <v>29.454999999999998</v>
      </c>
      <c r="BJ118" s="4">
        <v>12.489615000000001</v>
      </c>
      <c r="BK118" s="4">
        <v>-0.39652399999999999</v>
      </c>
      <c r="BL118" s="4">
        <v>10.970908</v>
      </c>
      <c r="BM118" s="4">
        <v>120.360822</v>
      </c>
      <c r="BN118" s="4">
        <v>0.87840200000000002</v>
      </c>
      <c r="BO118" s="4">
        <v>23.695499999999999</v>
      </c>
      <c r="BP118" s="4">
        <v>-6.5079999999999999E-3</v>
      </c>
      <c r="BQ118" s="4">
        <v>1.2342089999999999</v>
      </c>
      <c r="BR118" s="4">
        <v>10.399622000000001</v>
      </c>
      <c r="BS118" s="4">
        <v>11.099</v>
      </c>
      <c r="BT118" s="4">
        <v>15.245523</v>
      </c>
      <c r="BU118" s="4">
        <v>12.489615000000001</v>
      </c>
      <c r="BV118" s="4">
        <v>6.0734000000000004</v>
      </c>
      <c r="BW118" s="4">
        <v>0.152527</v>
      </c>
      <c r="BX118" s="4">
        <v>-0.99971500000000002</v>
      </c>
      <c r="BY118" s="4">
        <v>0.48627599999999999</v>
      </c>
      <c r="BZ118" s="4">
        <v>2.5114000000000001E-2</v>
      </c>
      <c r="CA118" s="4">
        <v>-0.164605</v>
      </c>
      <c r="CB118" s="4">
        <v>-0.38109999999999999</v>
      </c>
      <c r="CC118" s="4">
        <v>-0.12570000000000001</v>
      </c>
      <c r="CD118" s="4">
        <v>-1.9400000000000001E-2</v>
      </c>
      <c r="CE118" s="4">
        <v>0.151</v>
      </c>
      <c r="CF118" s="4">
        <v>0.28299999999999997</v>
      </c>
      <c r="CG118" s="4">
        <v>0.49540000000000001</v>
      </c>
      <c r="CH118" s="4">
        <v>3.2088000000000001</v>
      </c>
      <c r="CI118" s="4">
        <v>14.849</v>
      </c>
      <c r="CJ118" s="4">
        <v>19.203001</v>
      </c>
      <c r="CK118" s="4">
        <v>22.804399</v>
      </c>
      <c r="CL118" s="4">
        <v>23.9785</v>
      </c>
      <c r="CM118" s="4">
        <v>24.735800000000001</v>
      </c>
      <c r="CN118" s="4">
        <v>25.860800000000001</v>
      </c>
      <c r="CO118" s="4">
        <v>26.446100000000001</v>
      </c>
      <c r="CP118" s="4">
        <v>27.290116999999999</v>
      </c>
      <c r="CQ118" s="4">
        <v>0.440695</v>
      </c>
      <c r="CR118" s="4">
        <v>16.623007000000001</v>
      </c>
      <c r="CS118" s="4">
        <v>18.613074000000001</v>
      </c>
      <c r="CT118" s="1">
        <v>1</v>
      </c>
      <c r="CU118" s="1">
        <v>52</v>
      </c>
      <c r="CV118" s="4">
        <v>12.615402</v>
      </c>
      <c r="CW118" s="4">
        <v>1</v>
      </c>
      <c r="CX118" s="4">
        <v>9.9213799999999992</v>
      </c>
      <c r="CY118" s="4">
        <v>98.433779999999999</v>
      </c>
      <c r="CZ118" s="4">
        <v>0.78644999999999998</v>
      </c>
      <c r="DA118" s="4">
        <v>12</v>
      </c>
      <c r="DB118" s="4">
        <v>1.196787</v>
      </c>
      <c r="DC118" s="4">
        <v>4.1167670000000003</v>
      </c>
      <c r="DD118" s="4">
        <v>7.7322100000000002</v>
      </c>
      <c r="DE118" s="4">
        <v>12.615402</v>
      </c>
      <c r="DF118" s="4">
        <v>5.316535</v>
      </c>
      <c r="DG118" s="4">
        <v>1.3297019999999999</v>
      </c>
      <c r="DH118" s="4">
        <v>0.67646799999999996</v>
      </c>
      <c r="DI118" s="4">
        <v>0.42143199999999997</v>
      </c>
      <c r="DJ118" s="4">
        <v>0.25010700000000002</v>
      </c>
      <c r="DK118" s="4">
        <v>0.12723899999999999</v>
      </c>
      <c r="DL118" s="4">
        <v>1</v>
      </c>
      <c r="DM118" s="4">
        <v>1</v>
      </c>
      <c r="DN118" s="4">
        <v>2</v>
      </c>
      <c r="DO118" s="4">
        <v>4</v>
      </c>
      <c r="DP118" s="4">
        <v>5</v>
      </c>
      <c r="DQ118" s="4">
        <v>6</v>
      </c>
      <c r="DR118" s="4">
        <v>8</v>
      </c>
      <c r="DS118" s="4">
        <v>10</v>
      </c>
      <c r="DT118" s="4">
        <v>13</v>
      </c>
      <c r="DU118" s="4">
        <v>16</v>
      </c>
      <c r="DV118" s="4">
        <v>17</v>
      </c>
      <c r="DW118" s="4">
        <v>19</v>
      </c>
      <c r="DX118" s="4">
        <v>27</v>
      </c>
      <c r="DY118" s="4">
        <v>34</v>
      </c>
      <c r="DZ118" s="4">
        <v>43</v>
      </c>
      <c r="EA118" s="4">
        <v>86.971379999999996</v>
      </c>
      <c r="EB118" s="4">
        <v>60.465637000000001</v>
      </c>
      <c r="EC118" s="4">
        <v>115.378044</v>
      </c>
      <c r="ED118" s="4">
        <v>2036</v>
      </c>
      <c r="EE118" s="4">
        <v>2701</v>
      </c>
      <c r="EF118" s="4">
        <v>82.742418000000001</v>
      </c>
      <c r="EG118" s="4">
        <v>99.957283000000004</v>
      </c>
      <c r="EH118" s="4">
        <v>52.719946</v>
      </c>
      <c r="EI118" s="4">
        <v>99.059771999999995</v>
      </c>
      <c r="EJ118" s="4">
        <v>100.598035</v>
      </c>
      <c r="EK118" s="4">
        <v>189.02178599999999</v>
      </c>
      <c r="EL118" s="4">
        <v>1937</v>
      </c>
      <c r="EM118" s="4">
        <v>2340</v>
      </c>
      <c r="EN118" s="4">
        <v>2355</v>
      </c>
      <c r="EO118" s="4">
        <v>4425</v>
      </c>
      <c r="EP118" s="4">
        <v>2341</v>
      </c>
      <c r="EQ118" s="4">
        <v>4467</v>
      </c>
      <c r="ER118" s="4">
        <v>44.821295999999997</v>
      </c>
    </row>
    <row r="119" spans="1:148" x14ac:dyDescent="0.2">
      <c r="A119" s="1">
        <v>2022</v>
      </c>
      <c r="B119" s="1" t="str">
        <f t="shared" si="2"/>
        <v>RD</v>
      </c>
      <c r="C119" s="1" t="s">
        <v>717</v>
      </c>
      <c r="D119" s="1" t="s">
        <v>717</v>
      </c>
      <c r="E119" s="1">
        <v>24212</v>
      </c>
      <c r="F119" s="1" t="s">
        <v>2089</v>
      </c>
      <c r="G119" s="1" t="s">
        <v>208</v>
      </c>
      <c r="H119" s="1" t="s">
        <v>718</v>
      </c>
      <c r="I119" s="1">
        <v>12.66</v>
      </c>
      <c r="J119" s="1">
        <v>12.66</v>
      </c>
      <c r="K119" s="1" t="s">
        <v>210</v>
      </c>
      <c r="L119" s="1">
        <v>1</v>
      </c>
      <c r="M119" s="1">
        <v>2015</v>
      </c>
      <c r="N119" s="1">
        <v>2</v>
      </c>
      <c r="O119" s="1">
        <v>2</v>
      </c>
      <c r="P119" s="1" t="str">
        <f t="shared" si="3"/>
        <v>Talhadia</v>
      </c>
      <c r="Q119" s="2">
        <v>42353</v>
      </c>
      <c r="R119" s="1" t="s">
        <v>306</v>
      </c>
      <c r="S119" s="1" t="s">
        <v>719</v>
      </c>
      <c r="T119" s="1" t="s">
        <v>2268</v>
      </c>
      <c r="U119" s="1" t="s">
        <v>212</v>
      </c>
      <c r="V119" s="1" t="s">
        <v>152</v>
      </c>
      <c r="W119" s="2">
        <v>44693</v>
      </c>
      <c r="X119" s="1" t="s">
        <v>213</v>
      </c>
      <c r="Y119" s="1">
        <v>44.47</v>
      </c>
      <c r="Z119" s="1">
        <v>21.6</v>
      </c>
      <c r="AA119" s="1">
        <v>20</v>
      </c>
      <c r="AB119" s="1">
        <v>13.6</v>
      </c>
      <c r="AC119" s="1">
        <v>8</v>
      </c>
      <c r="AD119" s="3">
        <v>293.76</v>
      </c>
      <c r="AE119" s="3">
        <v>273.35766203490101</v>
      </c>
      <c r="AF119" s="2">
        <v>44693</v>
      </c>
      <c r="AG119" s="1">
        <v>77</v>
      </c>
      <c r="AH119" s="3">
        <v>6.4065708418891196</v>
      </c>
      <c r="AI119" s="4">
        <v>21.704829098859399</v>
      </c>
      <c r="AJ119" s="4">
        <v>14.0846153846154</v>
      </c>
      <c r="AK119" s="4">
        <v>15.9524304782593</v>
      </c>
      <c r="AL119" s="1">
        <v>26</v>
      </c>
      <c r="AM119" s="5">
        <v>951.13485411213696</v>
      </c>
      <c r="AN119" s="4">
        <v>162.29654065145701</v>
      </c>
      <c r="AO119" s="4">
        <v>0.17063462657244099</v>
      </c>
      <c r="AP119" s="1" t="s">
        <v>719</v>
      </c>
      <c r="AQ119" s="1" t="s">
        <v>254</v>
      </c>
      <c r="AR119" s="1" t="s">
        <v>722</v>
      </c>
      <c r="AS119" s="1">
        <v>9.99</v>
      </c>
      <c r="AT119" s="4">
        <v>0.95018371925802481</v>
      </c>
      <c r="AU119" s="1" t="s">
        <v>720</v>
      </c>
      <c r="AV119" s="1" t="s">
        <v>721</v>
      </c>
      <c r="AW119" s="1">
        <v>4850</v>
      </c>
      <c r="AX119" s="1">
        <v>2673</v>
      </c>
      <c r="AY119" s="1">
        <v>1713</v>
      </c>
      <c r="AZ119" s="1">
        <v>441</v>
      </c>
      <c r="BA119" s="1">
        <v>23</v>
      </c>
      <c r="BB119" s="1">
        <v>0</v>
      </c>
      <c r="BC119" s="1">
        <v>0</v>
      </c>
      <c r="BD119" s="1">
        <v>0</v>
      </c>
      <c r="BE119" s="1">
        <v>0</v>
      </c>
      <c r="BF119" s="1">
        <v>0</v>
      </c>
      <c r="BG119" s="1">
        <v>0</v>
      </c>
      <c r="BH119" s="4">
        <v>-1.407</v>
      </c>
      <c r="BI119" s="4">
        <v>26.164000000000001</v>
      </c>
      <c r="BJ119" s="4">
        <v>12.411004999999999</v>
      </c>
      <c r="BK119" s="4">
        <v>-9.4094999999999998E-2</v>
      </c>
      <c r="BL119" s="4">
        <v>9.8730539999999998</v>
      </c>
      <c r="BM119" s="4">
        <v>97.477198000000001</v>
      </c>
      <c r="BN119" s="4">
        <v>0.79550799999999999</v>
      </c>
      <c r="BO119" s="4">
        <v>21.297501</v>
      </c>
      <c r="BP119" s="4">
        <v>-0.23783299999999999</v>
      </c>
      <c r="BQ119" s="4">
        <v>1.347003</v>
      </c>
      <c r="BR119" s="4">
        <v>9.1295920000000006</v>
      </c>
      <c r="BS119" s="4">
        <v>7.8239999999999998</v>
      </c>
      <c r="BT119" s="4">
        <v>15.559595</v>
      </c>
      <c r="BU119" s="4">
        <v>12.411004999999999</v>
      </c>
      <c r="BV119" s="4">
        <v>5.469608</v>
      </c>
      <c r="BW119" s="4">
        <v>-0.31198599999999999</v>
      </c>
      <c r="BX119" s="4">
        <v>-0.74912900000000004</v>
      </c>
      <c r="BY119" s="4">
        <v>0.44070599999999999</v>
      </c>
      <c r="BZ119" s="4">
        <v>-5.704E-2</v>
      </c>
      <c r="CA119" s="4">
        <v>-0.136962</v>
      </c>
      <c r="CB119" s="4">
        <v>-0.43353000000000003</v>
      </c>
      <c r="CC119" s="4">
        <v>-0.18254999999999999</v>
      </c>
      <c r="CD119" s="4">
        <v>-7.6999999999999999E-2</v>
      </c>
      <c r="CE119" s="4">
        <v>7.2800000000000004E-2</v>
      </c>
      <c r="CF119" s="4">
        <v>0.14899999999999999</v>
      </c>
      <c r="CG119" s="4">
        <v>0.26869999999999999</v>
      </c>
      <c r="CH119" s="4">
        <v>10.157598</v>
      </c>
      <c r="CI119" s="4">
        <v>15.4655</v>
      </c>
      <c r="CJ119" s="4">
        <v>19.094798999999998</v>
      </c>
      <c r="CK119" s="4">
        <v>20.753299999999999</v>
      </c>
      <c r="CL119" s="4">
        <v>21.446501000000001</v>
      </c>
      <c r="CM119" s="4">
        <v>22.384799999999998</v>
      </c>
      <c r="CN119" s="4">
        <v>23.681999000000001</v>
      </c>
      <c r="CO119" s="4">
        <v>24.409549999999999</v>
      </c>
      <c r="CP119" s="4">
        <v>25.465548999999999</v>
      </c>
      <c r="CQ119" s="4">
        <v>0.50117900000000004</v>
      </c>
      <c r="CR119" s="4">
        <v>15.85844</v>
      </c>
      <c r="CS119" s="4">
        <v>17.447711999999999</v>
      </c>
      <c r="CT119" s="1">
        <v>1</v>
      </c>
      <c r="CU119" s="1">
        <v>41</v>
      </c>
      <c r="CV119" s="4">
        <v>9.5113400000000006</v>
      </c>
      <c r="CW119" s="4">
        <v>1</v>
      </c>
      <c r="CX119" s="4">
        <v>7.0416650000000001</v>
      </c>
      <c r="CY119" s="4">
        <v>49.585044000000003</v>
      </c>
      <c r="CZ119" s="4">
        <v>0.740344</v>
      </c>
      <c r="DA119" s="4">
        <v>10</v>
      </c>
      <c r="DB119" s="4">
        <v>1.1266879999999999</v>
      </c>
      <c r="DC119" s="4">
        <v>4.3037879999999999</v>
      </c>
      <c r="DD119" s="4">
        <v>5.5939699999999997</v>
      </c>
      <c r="DE119" s="4">
        <v>9.5113400000000006</v>
      </c>
      <c r="DF119" s="4">
        <v>3.8136169999999998</v>
      </c>
      <c r="DG119" s="4">
        <v>0.82975900000000002</v>
      </c>
      <c r="DH119" s="4">
        <v>0.40404899999999999</v>
      </c>
      <c r="DI119" s="4">
        <v>0.40095500000000001</v>
      </c>
      <c r="DJ119" s="4">
        <v>0.21757799999999999</v>
      </c>
      <c r="DK119" s="4">
        <v>0.105949</v>
      </c>
      <c r="DL119" s="4">
        <v>1</v>
      </c>
      <c r="DM119" s="4">
        <v>1</v>
      </c>
      <c r="DN119" s="4">
        <v>2</v>
      </c>
      <c r="DO119" s="4">
        <v>3</v>
      </c>
      <c r="DP119" s="4">
        <v>4</v>
      </c>
      <c r="DQ119" s="4">
        <v>5</v>
      </c>
      <c r="DR119" s="4">
        <v>6</v>
      </c>
      <c r="DS119" s="4">
        <v>8</v>
      </c>
      <c r="DT119" s="4">
        <v>10</v>
      </c>
      <c r="DU119" s="4">
        <v>12</v>
      </c>
      <c r="DV119" s="4">
        <v>14</v>
      </c>
      <c r="DW119" s="4">
        <v>15</v>
      </c>
      <c r="DX119" s="4">
        <v>19</v>
      </c>
      <c r="DY119" s="4">
        <v>23</v>
      </c>
      <c r="DZ119" s="4">
        <v>32</v>
      </c>
      <c r="EA119" s="4">
        <v>93.602694</v>
      </c>
      <c r="EB119" s="4">
        <v>65.319587999999996</v>
      </c>
      <c r="EC119" s="4">
        <v>118.518519</v>
      </c>
      <c r="ED119" s="4">
        <v>2502</v>
      </c>
      <c r="EE119" s="4">
        <v>3168</v>
      </c>
      <c r="EF119" s="4">
        <v>87.167975999999996</v>
      </c>
      <c r="EG119" s="4">
        <v>99.775532999999996</v>
      </c>
      <c r="EH119" s="4">
        <v>56.680411999999997</v>
      </c>
      <c r="EI119" s="4">
        <v>90.886598000000006</v>
      </c>
      <c r="EJ119" s="4">
        <v>102.84324700000001</v>
      </c>
      <c r="EK119" s="4">
        <v>164.908343</v>
      </c>
      <c r="EL119" s="4">
        <v>2330</v>
      </c>
      <c r="EM119" s="4">
        <v>2667</v>
      </c>
      <c r="EN119" s="4">
        <v>2749</v>
      </c>
      <c r="EO119" s="4">
        <v>4408</v>
      </c>
      <c r="EP119" s="4">
        <v>2673</v>
      </c>
      <c r="EQ119" s="4">
        <v>4850</v>
      </c>
      <c r="ER119" s="4">
        <v>47.853475000000003</v>
      </c>
    </row>
    <row r="120" spans="1:148" x14ac:dyDescent="0.2">
      <c r="A120" s="1">
        <v>2022</v>
      </c>
      <c r="B120" s="1" t="str">
        <f t="shared" si="2"/>
        <v>RD</v>
      </c>
      <c r="C120" s="1" t="s">
        <v>723</v>
      </c>
      <c r="D120" s="1" t="s">
        <v>723</v>
      </c>
      <c r="E120" s="1">
        <v>24215</v>
      </c>
      <c r="F120" s="1" t="s">
        <v>2090</v>
      </c>
      <c r="G120" s="1" t="s">
        <v>724</v>
      </c>
      <c r="H120" s="1" t="s">
        <v>725</v>
      </c>
      <c r="I120" s="1">
        <v>56.33</v>
      </c>
      <c r="J120" s="1">
        <v>56.33</v>
      </c>
      <c r="K120" s="1" t="s">
        <v>210</v>
      </c>
      <c r="L120" s="1">
        <v>1</v>
      </c>
      <c r="M120" s="1">
        <v>2015</v>
      </c>
      <c r="N120" s="1">
        <v>3</v>
      </c>
      <c r="O120" s="1">
        <v>1</v>
      </c>
      <c r="P120" s="1" t="str">
        <f t="shared" si="3"/>
        <v>Alto fuste</v>
      </c>
      <c r="Q120" s="2">
        <v>42146</v>
      </c>
      <c r="R120" s="1" t="s">
        <v>227</v>
      </c>
      <c r="S120" s="1" t="s">
        <v>484</v>
      </c>
      <c r="T120" s="1" t="s">
        <v>2268</v>
      </c>
      <c r="U120" s="1" t="s">
        <v>212</v>
      </c>
      <c r="V120" s="1" t="s">
        <v>152</v>
      </c>
      <c r="W120" s="2">
        <v>44798</v>
      </c>
      <c r="X120" s="1" t="s">
        <v>726</v>
      </c>
      <c r="Y120" s="1">
        <v>123.49</v>
      </c>
      <c r="Z120" s="1">
        <v>20.5</v>
      </c>
      <c r="AA120" s="1">
        <v>23</v>
      </c>
      <c r="AB120" s="1">
        <v>15.4</v>
      </c>
      <c r="AC120" s="1">
        <v>3</v>
      </c>
      <c r="AD120" s="3">
        <v>315.7</v>
      </c>
      <c r="AE120" s="3">
        <v>290.20512039937898</v>
      </c>
      <c r="AF120" s="2">
        <v>44798</v>
      </c>
      <c r="AG120" s="1">
        <v>87</v>
      </c>
      <c r="AH120" s="3">
        <v>7.2607802874743301</v>
      </c>
      <c r="AI120" s="4">
        <v>23.412562648164801</v>
      </c>
      <c r="AJ120" s="4">
        <v>13.178378378378399</v>
      </c>
      <c r="AK120" s="4">
        <v>17.961051661232201</v>
      </c>
      <c r="AL120" s="1">
        <v>37</v>
      </c>
      <c r="AM120" s="5">
        <v>1274.9602746181999</v>
      </c>
      <c r="AN120" s="4">
        <v>203.62546797262399</v>
      </c>
      <c r="AO120" s="4">
        <v>0.159711225538852</v>
      </c>
      <c r="AP120" s="1" t="s">
        <v>484</v>
      </c>
      <c r="AQ120" s="1" t="s">
        <v>156</v>
      </c>
      <c r="AR120" s="1" t="s">
        <v>282</v>
      </c>
      <c r="AS120" s="1">
        <v>7.5</v>
      </c>
      <c r="AT120" s="4">
        <v>0.95622020596364998</v>
      </c>
      <c r="AU120" s="1" t="s">
        <v>727</v>
      </c>
      <c r="AV120" s="1" t="s">
        <v>728</v>
      </c>
      <c r="AW120" s="1">
        <v>11140</v>
      </c>
      <c r="AX120" s="1">
        <v>5619</v>
      </c>
      <c r="AY120" s="1">
        <v>4766</v>
      </c>
      <c r="AZ120" s="1">
        <v>744</v>
      </c>
      <c r="BA120" s="1">
        <v>11</v>
      </c>
      <c r="BB120" s="1">
        <v>0</v>
      </c>
      <c r="BC120" s="1">
        <v>0</v>
      </c>
      <c r="BD120" s="1">
        <v>0</v>
      </c>
      <c r="BE120" s="1">
        <v>0</v>
      </c>
      <c r="BF120" s="1">
        <v>0</v>
      </c>
      <c r="BG120" s="1">
        <v>0</v>
      </c>
      <c r="BH120" s="4">
        <v>-1.1499999999999999</v>
      </c>
      <c r="BI120" s="4">
        <v>23.68</v>
      </c>
      <c r="BJ120" s="4">
        <v>7.2337990000000003</v>
      </c>
      <c r="BK120" s="4">
        <v>3.2381E-2</v>
      </c>
      <c r="BL120" s="4">
        <v>8.8870690000000003</v>
      </c>
      <c r="BM120" s="4">
        <v>78.979995000000002</v>
      </c>
      <c r="BN120" s="4">
        <v>1.228548</v>
      </c>
      <c r="BO120" s="4">
        <v>17.02</v>
      </c>
      <c r="BP120" s="4">
        <v>0.63270999999999999</v>
      </c>
      <c r="BQ120" s="4">
        <v>1.626574</v>
      </c>
      <c r="BR120" s="4">
        <v>8.2597140000000007</v>
      </c>
      <c r="BS120" s="4">
        <v>0.73</v>
      </c>
      <c r="BT120" s="4">
        <v>0.55761899999999998</v>
      </c>
      <c r="BU120" s="4">
        <v>7.2337990000000003</v>
      </c>
      <c r="BV120" s="4">
        <v>4.6357160000000004</v>
      </c>
      <c r="BW120" s="4">
        <v>1.3803319999999999</v>
      </c>
      <c r="BX120" s="4">
        <v>-0.38161299999999998</v>
      </c>
      <c r="BY120" s="4">
        <v>0.64084099999999999</v>
      </c>
      <c r="BZ120" s="4">
        <v>0.29776000000000002</v>
      </c>
      <c r="CA120" s="4">
        <v>-8.2320000000000004E-2</v>
      </c>
      <c r="CB120" s="4">
        <v>-0.38</v>
      </c>
      <c r="CC120" s="4">
        <v>-0.18</v>
      </c>
      <c r="CD120" s="4">
        <v>-0.09</v>
      </c>
      <c r="CE120" s="4">
        <v>0.02</v>
      </c>
      <c r="CF120" s="4">
        <v>7.0000000000000007E-2</v>
      </c>
      <c r="CG120" s="4">
        <v>0.12</v>
      </c>
      <c r="CH120" s="4">
        <v>0.23</v>
      </c>
      <c r="CI120" s="4">
        <v>0.55000000000000004</v>
      </c>
      <c r="CJ120" s="4">
        <v>7.3759959999999998</v>
      </c>
      <c r="CK120" s="4">
        <v>14.972998</v>
      </c>
      <c r="CL120" s="4">
        <v>17.09</v>
      </c>
      <c r="CM120" s="4">
        <v>18.379999000000002</v>
      </c>
      <c r="CN120" s="4">
        <v>21.190000999999999</v>
      </c>
      <c r="CO120" s="4">
        <v>22.1</v>
      </c>
      <c r="CP120" s="4">
        <v>22.98</v>
      </c>
      <c r="CQ120" s="4">
        <v>0.337648</v>
      </c>
      <c r="CR120" s="4">
        <v>11.458653999999999</v>
      </c>
      <c r="CS120" s="4">
        <v>13.637657000000001</v>
      </c>
      <c r="CT120" s="1">
        <v>1</v>
      </c>
      <c r="CU120" s="1">
        <v>51</v>
      </c>
      <c r="CV120" s="4">
        <v>12.383661999999999</v>
      </c>
      <c r="CW120" s="4">
        <v>1</v>
      </c>
      <c r="CX120" s="4">
        <v>10.100261</v>
      </c>
      <c r="CY120" s="4">
        <v>102.015282</v>
      </c>
      <c r="CZ120" s="4">
        <v>0.815612</v>
      </c>
      <c r="DA120" s="4">
        <v>15</v>
      </c>
      <c r="DB120" s="4">
        <v>0.94895600000000002</v>
      </c>
      <c r="DC120" s="4">
        <v>3.1173069999999998</v>
      </c>
      <c r="DD120" s="4">
        <v>8.3082779999999996</v>
      </c>
      <c r="DE120" s="4">
        <v>12.383661999999999</v>
      </c>
      <c r="DF120" s="4">
        <v>5.5252679999999996</v>
      </c>
      <c r="DG120" s="4">
        <v>1.3215539999999999</v>
      </c>
      <c r="DH120" s="4">
        <v>0.38816600000000001</v>
      </c>
      <c r="DI120" s="4">
        <v>0.44617400000000002</v>
      </c>
      <c r="DJ120" s="4">
        <v>0.23918400000000001</v>
      </c>
      <c r="DK120" s="4">
        <v>7.0252999999999996E-2</v>
      </c>
      <c r="DL120" s="4">
        <v>1</v>
      </c>
      <c r="DM120" s="4">
        <v>1</v>
      </c>
      <c r="DN120" s="4">
        <v>2</v>
      </c>
      <c r="DO120" s="4">
        <v>3</v>
      </c>
      <c r="DP120" s="4">
        <v>4</v>
      </c>
      <c r="DQ120" s="4">
        <v>5</v>
      </c>
      <c r="DR120" s="4">
        <v>7</v>
      </c>
      <c r="DS120" s="4">
        <v>9</v>
      </c>
      <c r="DT120" s="4">
        <v>13</v>
      </c>
      <c r="DU120" s="4">
        <v>16</v>
      </c>
      <c r="DV120" s="4">
        <v>19</v>
      </c>
      <c r="DW120" s="4">
        <v>21</v>
      </c>
      <c r="DX120" s="4">
        <v>28</v>
      </c>
      <c r="DY120" s="4">
        <v>33</v>
      </c>
      <c r="DZ120" s="4">
        <v>40</v>
      </c>
      <c r="EA120" s="4">
        <v>66.702259999999995</v>
      </c>
      <c r="EB120" s="4">
        <v>41.202872999999997</v>
      </c>
      <c r="EC120" s="4">
        <v>81.687133000000003</v>
      </c>
      <c r="ED120" s="4">
        <v>3748</v>
      </c>
      <c r="EE120" s="4">
        <v>4590</v>
      </c>
      <c r="EF120" s="4">
        <v>65.883609000000007</v>
      </c>
      <c r="EG120" s="4">
        <v>96.654208999999994</v>
      </c>
      <c r="EH120" s="4">
        <v>40.08079</v>
      </c>
      <c r="EI120" s="4">
        <v>78.464990999999998</v>
      </c>
      <c r="EJ120" s="4">
        <v>79.462537999999995</v>
      </c>
      <c r="EK120" s="4">
        <v>155.561488</v>
      </c>
      <c r="EL120" s="4">
        <v>3702</v>
      </c>
      <c r="EM120" s="4">
        <v>5431</v>
      </c>
      <c r="EN120" s="4">
        <v>4465</v>
      </c>
      <c r="EO120" s="4">
        <v>8741</v>
      </c>
      <c r="EP120" s="4">
        <v>5619</v>
      </c>
      <c r="EQ120" s="4">
        <v>11140</v>
      </c>
      <c r="ER120" s="4">
        <v>30.563521000000001</v>
      </c>
    </row>
    <row r="121" spans="1:148" x14ac:dyDescent="0.2">
      <c r="A121" s="1">
        <v>2022</v>
      </c>
      <c r="B121" s="1" t="str">
        <f t="shared" si="2"/>
        <v>RD</v>
      </c>
      <c r="C121" s="1" t="s">
        <v>729</v>
      </c>
      <c r="D121" s="1" t="s">
        <v>729</v>
      </c>
      <c r="E121" s="1">
        <v>24218</v>
      </c>
      <c r="F121" s="1" t="s">
        <v>2090</v>
      </c>
      <c r="G121" s="1" t="s">
        <v>724</v>
      </c>
      <c r="H121" s="1" t="s">
        <v>730</v>
      </c>
      <c r="I121" s="1">
        <v>41.01</v>
      </c>
      <c r="J121" s="1">
        <v>41.01</v>
      </c>
      <c r="K121" s="1" t="s">
        <v>210</v>
      </c>
      <c r="L121" s="1">
        <v>1</v>
      </c>
      <c r="M121" s="1">
        <v>2015</v>
      </c>
      <c r="N121" s="1">
        <v>3</v>
      </c>
      <c r="O121" s="1">
        <v>1</v>
      </c>
      <c r="P121" s="1" t="str">
        <f t="shared" si="3"/>
        <v>Alto fuste</v>
      </c>
      <c r="Q121" s="2">
        <v>42145</v>
      </c>
      <c r="R121" s="1" t="s">
        <v>227</v>
      </c>
      <c r="S121" s="1" t="s">
        <v>348</v>
      </c>
      <c r="T121" s="1" t="s">
        <v>2268</v>
      </c>
      <c r="U121" s="1" t="s">
        <v>212</v>
      </c>
      <c r="V121" s="1" t="s">
        <v>152</v>
      </c>
      <c r="W121" s="2">
        <v>44798</v>
      </c>
      <c r="X121" s="1" t="s">
        <v>726</v>
      </c>
      <c r="Y121" s="1">
        <v>123.49</v>
      </c>
      <c r="Z121" s="1">
        <v>20.3</v>
      </c>
      <c r="AA121" s="1">
        <v>3</v>
      </c>
      <c r="AB121" s="1">
        <v>14</v>
      </c>
      <c r="AC121" s="1">
        <v>3</v>
      </c>
      <c r="AD121" s="3">
        <v>284.2</v>
      </c>
      <c r="AE121" s="3">
        <v>283.42156133183198</v>
      </c>
      <c r="AF121" s="2">
        <v>44798</v>
      </c>
      <c r="AG121" s="1">
        <v>87</v>
      </c>
      <c r="AH121" s="3">
        <v>7.2635181382614604</v>
      </c>
      <c r="AI121" s="4">
        <v>26.6944067404641</v>
      </c>
      <c r="AJ121" s="4">
        <v>16.628571428571401</v>
      </c>
      <c r="AK121" s="4">
        <v>21.937544610946698</v>
      </c>
      <c r="AL121" s="1">
        <v>28</v>
      </c>
      <c r="AM121" s="5">
        <v>987.92766042303504</v>
      </c>
      <c r="AN121" s="4">
        <v>273.13962621030498</v>
      </c>
      <c r="AO121" s="4">
        <v>0.27647735472184898</v>
      </c>
      <c r="AP121" s="1" t="s">
        <v>348</v>
      </c>
      <c r="AQ121" s="1" t="s">
        <v>156</v>
      </c>
      <c r="AR121" s="1" t="s">
        <v>164</v>
      </c>
      <c r="AS121" s="1">
        <v>7.5</v>
      </c>
      <c r="AT121" s="4">
        <v>0.74094574531727631</v>
      </c>
      <c r="AU121" s="1" t="s">
        <v>731</v>
      </c>
      <c r="AV121" s="1" t="s">
        <v>732</v>
      </c>
      <c r="AW121" s="1">
        <v>5171</v>
      </c>
      <c r="AX121" s="1">
        <v>2574</v>
      </c>
      <c r="AY121" s="1">
        <v>2010</v>
      </c>
      <c r="AZ121" s="1">
        <v>534</v>
      </c>
      <c r="BA121" s="1">
        <v>53</v>
      </c>
      <c r="BB121" s="1">
        <v>0</v>
      </c>
      <c r="BC121" s="1">
        <v>0</v>
      </c>
      <c r="BD121" s="1">
        <v>0</v>
      </c>
      <c r="BE121" s="1">
        <v>0</v>
      </c>
      <c r="BF121" s="1">
        <v>0</v>
      </c>
      <c r="BG121" s="1">
        <v>0</v>
      </c>
      <c r="BH121" s="4">
        <v>-0.75</v>
      </c>
      <c r="BI121" s="4">
        <v>31.23</v>
      </c>
      <c r="BJ121" s="4">
        <v>12.096527</v>
      </c>
      <c r="BK121" s="4">
        <v>-0.24238100000000001</v>
      </c>
      <c r="BL121" s="4">
        <v>12.068871</v>
      </c>
      <c r="BM121" s="4">
        <v>145.65765500000001</v>
      </c>
      <c r="BN121" s="4">
        <v>0.99771399999999999</v>
      </c>
      <c r="BO121" s="4">
        <v>24.830000999999999</v>
      </c>
      <c r="BP121" s="4">
        <v>0.18645100000000001</v>
      </c>
      <c r="BQ121" s="4">
        <v>1.276348</v>
      </c>
      <c r="BR121" s="4">
        <v>11.472884000000001</v>
      </c>
      <c r="BS121" s="4">
        <v>11.26</v>
      </c>
      <c r="BT121" s="4">
        <v>11.492381</v>
      </c>
      <c r="BU121" s="4">
        <v>12.096527</v>
      </c>
      <c r="BV121" s="4">
        <v>6.5914640000000002</v>
      </c>
      <c r="BW121" s="4">
        <v>0.80512300000000003</v>
      </c>
      <c r="BX121" s="4">
        <v>-1.0392570000000001</v>
      </c>
      <c r="BY121" s="4">
        <v>0.54490499999999997</v>
      </c>
      <c r="BZ121" s="4">
        <v>0.122146</v>
      </c>
      <c r="CA121" s="4">
        <v>-0.157667</v>
      </c>
      <c r="CB121" s="4">
        <v>-0.37</v>
      </c>
      <c r="CC121" s="4">
        <v>-0.18</v>
      </c>
      <c r="CD121" s="4">
        <v>-0.1</v>
      </c>
      <c r="CE121" s="4">
        <v>-0.01</v>
      </c>
      <c r="CF121" s="4">
        <v>0.04</v>
      </c>
      <c r="CG121" s="4">
        <v>0.08</v>
      </c>
      <c r="CH121" s="4">
        <v>0.2</v>
      </c>
      <c r="CI121" s="4">
        <v>11.25</v>
      </c>
      <c r="CJ121" s="4">
        <v>18.620000999999998</v>
      </c>
      <c r="CK121" s="4">
        <v>22.84</v>
      </c>
      <c r="CL121" s="4">
        <v>24.870000999999998</v>
      </c>
      <c r="CM121" s="4">
        <v>26.290001</v>
      </c>
      <c r="CN121" s="4">
        <v>28.09</v>
      </c>
      <c r="CO121" s="4">
        <v>29.255001</v>
      </c>
      <c r="CP121" s="4">
        <v>30.245996000000002</v>
      </c>
      <c r="CQ121" s="4">
        <v>0.40170499999999998</v>
      </c>
      <c r="CR121" s="4">
        <v>17.086704000000001</v>
      </c>
      <c r="CS121" s="4">
        <v>19.471634999999999</v>
      </c>
      <c r="CT121" s="1">
        <v>1</v>
      </c>
      <c r="CU121" s="1">
        <v>46</v>
      </c>
      <c r="CV121" s="4">
        <v>11.993425</v>
      </c>
      <c r="CW121" s="4">
        <v>1</v>
      </c>
      <c r="CX121" s="4">
        <v>10.251742</v>
      </c>
      <c r="CY121" s="4">
        <v>105.09821599999999</v>
      </c>
      <c r="CZ121" s="4">
        <v>0.85477999999999998</v>
      </c>
      <c r="DA121" s="4">
        <v>14</v>
      </c>
      <c r="DB121" s="4">
        <v>1.0663210000000001</v>
      </c>
      <c r="DC121" s="4">
        <v>3.2520549999999999</v>
      </c>
      <c r="DD121" s="4">
        <v>8.3091500000000007</v>
      </c>
      <c r="DE121" s="4">
        <v>11.993425</v>
      </c>
      <c r="DF121" s="4">
        <v>5.5215709999999998</v>
      </c>
      <c r="DG121" s="4">
        <v>1.52512</v>
      </c>
      <c r="DH121" s="4">
        <v>0.492174</v>
      </c>
      <c r="DI121" s="4">
        <v>0.46038299999999999</v>
      </c>
      <c r="DJ121" s="4">
        <v>0.27621099999999998</v>
      </c>
      <c r="DK121" s="4">
        <v>8.9136999999999994E-2</v>
      </c>
      <c r="DL121" s="4">
        <v>1</v>
      </c>
      <c r="DM121" s="4">
        <v>1</v>
      </c>
      <c r="DN121" s="4">
        <v>2</v>
      </c>
      <c r="DO121" s="4">
        <v>3</v>
      </c>
      <c r="DP121" s="4">
        <v>4</v>
      </c>
      <c r="DQ121" s="4">
        <v>5</v>
      </c>
      <c r="DR121" s="4">
        <v>6</v>
      </c>
      <c r="DS121" s="4">
        <v>9</v>
      </c>
      <c r="DT121" s="4">
        <v>11</v>
      </c>
      <c r="DU121" s="4">
        <v>15</v>
      </c>
      <c r="DV121" s="4">
        <v>18</v>
      </c>
      <c r="DW121" s="4">
        <v>20</v>
      </c>
      <c r="DX121" s="4">
        <v>29</v>
      </c>
      <c r="DY121" s="4">
        <v>34</v>
      </c>
      <c r="DZ121" s="4">
        <v>40</v>
      </c>
      <c r="EA121" s="4">
        <v>81.973581999999993</v>
      </c>
      <c r="EB121" s="4">
        <v>54.631599000000001</v>
      </c>
      <c r="EC121" s="4">
        <v>109.75136000000001</v>
      </c>
      <c r="ED121" s="4">
        <v>2110</v>
      </c>
      <c r="EE121" s="4">
        <v>2825</v>
      </c>
      <c r="EF121" s="4">
        <v>79.098679000000004</v>
      </c>
      <c r="EG121" s="4">
        <v>100</v>
      </c>
      <c r="EH121" s="4">
        <v>49.622897000000002</v>
      </c>
      <c r="EI121" s="4">
        <v>97.292592999999997</v>
      </c>
      <c r="EJ121" s="4">
        <v>99.6892</v>
      </c>
      <c r="EK121" s="4">
        <v>195.454545</v>
      </c>
      <c r="EL121" s="4">
        <v>2036</v>
      </c>
      <c r="EM121" s="4">
        <v>2574</v>
      </c>
      <c r="EN121" s="4">
        <v>2566</v>
      </c>
      <c r="EO121" s="4">
        <v>5031</v>
      </c>
      <c r="EP121" s="4">
        <v>2574</v>
      </c>
      <c r="EQ121" s="4">
        <v>5171</v>
      </c>
      <c r="ER121" s="4">
        <v>39.051053000000003</v>
      </c>
    </row>
    <row r="122" spans="1:148" x14ac:dyDescent="0.2">
      <c r="A122" s="1">
        <v>2022</v>
      </c>
      <c r="B122" s="1" t="str">
        <f t="shared" si="2"/>
        <v>RD</v>
      </c>
      <c r="C122" s="1" t="s">
        <v>733</v>
      </c>
      <c r="D122" s="1" t="s">
        <v>733</v>
      </c>
      <c r="E122" s="1">
        <v>24219</v>
      </c>
      <c r="F122" s="1" t="s">
        <v>2090</v>
      </c>
      <c r="G122" s="1" t="s">
        <v>724</v>
      </c>
      <c r="H122" s="1" t="s">
        <v>734</v>
      </c>
      <c r="I122" s="1">
        <v>14.08</v>
      </c>
      <c r="J122" s="1">
        <v>14.08</v>
      </c>
      <c r="K122" s="1" t="s">
        <v>210</v>
      </c>
      <c r="L122" s="1">
        <v>1</v>
      </c>
      <c r="M122" s="1">
        <v>2015</v>
      </c>
      <c r="N122" s="1">
        <v>3</v>
      </c>
      <c r="O122" s="1">
        <v>1</v>
      </c>
      <c r="P122" s="1" t="str">
        <f t="shared" si="3"/>
        <v>Alto fuste</v>
      </c>
      <c r="Q122" s="2">
        <v>42180</v>
      </c>
      <c r="R122" s="1" t="s">
        <v>227</v>
      </c>
      <c r="S122" s="1" t="s">
        <v>484</v>
      </c>
      <c r="T122" s="1" t="s">
        <v>2268</v>
      </c>
      <c r="U122" s="1" t="s">
        <v>212</v>
      </c>
      <c r="V122" s="1" t="s">
        <v>152</v>
      </c>
      <c r="W122" s="2">
        <v>44798</v>
      </c>
      <c r="X122" s="1" t="s">
        <v>726</v>
      </c>
      <c r="Y122" s="1">
        <v>123.49</v>
      </c>
      <c r="Z122" s="1">
        <v>19.899999999999999</v>
      </c>
      <c r="AA122" s="1">
        <v>1</v>
      </c>
      <c r="AB122" s="1">
        <v>15.5</v>
      </c>
      <c r="AC122" s="1">
        <v>0</v>
      </c>
      <c r="AD122" s="3">
        <v>308.45</v>
      </c>
      <c r="AE122" s="3">
        <v>308.40302157098898</v>
      </c>
      <c r="AF122" s="2">
        <v>44798</v>
      </c>
      <c r="AG122" s="1">
        <v>86</v>
      </c>
      <c r="AH122" s="3">
        <v>7.1676933607118398</v>
      </c>
      <c r="AI122" s="4">
        <v>26.4888984068815</v>
      </c>
      <c r="AJ122" s="4">
        <v>15</v>
      </c>
      <c r="AK122" s="4">
        <v>23.048714524382</v>
      </c>
      <c r="AL122" s="1">
        <v>39</v>
      </c>
      <c r="AM122" s="5">
        <v>1264.57904988531</v>
      </c>
      <c r="AN122" s="4">
        <v>294.62237986680299</v>
      </c>
      <c r="AO122" s="4">
        <v>0.232980595316302</v>
      </c>
      <c r="AP122" s="1" t="s">
        <v>484</v>
      </c>
      <c r="AQ122" s="1" t="s">
        <v>156</v>
      </c>
      <c r="AR122" s="1" t="s">
        <v>737</v>
      </c>
      <c r="AS122" s="1">
        <v>7.5</v>
      </c>
      <c r="AT122" s="4">
        <v>0.94843428741398261</v>
      </c>
      <c r="AU122" s="1" t="s">
        <v>735</v>
      </c>
      <c r="AV122" s="1" t="s">
        <v>736</v>
      </c>
      <c r="AW122" s="1">
        <v>5216</v>
      </c>
      <c r="AX122" s="1">
        <v>2873</v>
      </c>
      <c r="AY122" s="1">
        <v>1952</v>
      </c>
      <c r="AZ122" s="1">
        <v>377</v>
      </c>
      <c r="BA122" s="1">
        <v>14</v>
      </c>
      <c r="BB122" s="1">
        <v>0</v>
      </c>
      <c r="BC122" s="1">
        <v>0</v>
      </c>
      <c r="BD122" s="1">
        <v>0</v>
      </c>
      <c r="BE122" s="1">
        <v>0</v>
      </c>
      <c r="BF122" s="1">
        <v>0</v>
      </c>
      <c r="BG122" s="1">
        <v>0</v>
      </c>
      <c r="BH122" s="4">
        <v>-0.93</v>
      </c>
      <c r="BI122" s="4">
        <v>27.700001</v>
      </c>
      <c r="BJ122" s="4">
        <v>12.016432</v>
      </c>
      <c r="BK122" s="4">
        <v>-2.1111000000000001E-2</v>
      </c>
      <c r="BL122" s="4">
        <v>11.252571</v>
      </c>
      <c r="BM122" s="4">
        <v>126.62035299999999</v>
      </c>
      <c r="BN122" s="4">
        <v>0.93643200000000004</v>
      </c>
      <c r="BO122" s="4">
        <v>23.315000000000001</v>
      </c>
      <c r="BP122" s="4">
        <v>4.9449999999999997E-3</v>
      </c>
      <c r="BQ122" s="4">
        <v>1.1849050000000001</v>
      </c>
      <c r="BR122" s="4">
        <v>10.783981000000001</v>
      </c>
      <c r="BS122" s="4">
        <v>11.670000999999999</v>
      </c>
      <c r="BT122" s="4">
        <v>14.551111000000001</v>
      </c>
      <c r="BU122" s="4">
        <v>12.016432</v>
      </c>
      <c r="BV122" s="4">
        <v>6.1208939999999998</v>
      </c>
      <c r="BW122" s="4">
        <v>0.28424899999999997</v>
      </c>
      <c r="BX122" s="4">
        <v>-1.0953599999999999</v>
      </c>
      <c r="BY122" s="4">
        <v>0.50937699999999997</v>
      </c>
      <c r="BZ122" s="4">
        <v>4.6439000000000001E-2</v>
      </c>
      <c r="CA122" s="4">
        <v>-0.178954</v>
      </c>
      <c r="CB122" s="4">
        <v>-0.45</v>
      </c>
      <c r="CC122" s="4">
        <v>-0.21</v>
      </c>
      <c r="CD122" s="4">
        <v>-0.12</v>
      </c>
      <c r="CE122" s="4">
        <v>0</v>
      </c>
      <c r="CF122" s="4">
        <v>0.05</v>
      </c>
      <c r="CG122" s="4">
        <v>0.11</v>
      </c>
      <c r="CH122" s="4">
        <v>0.25</v>
      </c>
      <c r="CI122" s="4">
        <v>14.53</v>
      </c>
      <c r="CJ122" s="4">
        <v>20.170000000000002</v>
      </c>
      <c r="CK122" s="4">
        <v>21.93</v>
      </c>
      <c r="CL122" s="4">
        <v>23.364999999999998</v>
      </c>
      <c r="CM122" s="4">
        <v>24.59</v>
      </c>
      <c r="CN122" s="4">
        <v>25.620000999999998</v>
      </c>
      <c r="CO122" s="4">
        <v>26.3325</v>
      </c>
      <c r="CP122" s="4">
        <v>27.138500000000001</v>
      </c>
      <c r="CQ122" s="4">
        <v>0.45219799999999999</v>
      </c>
      <c r="CR122" s="4">
        <v>16.461796</v>
      </c>
      <c r="CS122" s="4">
        <v>18.47486</v>
      </c>
      <c r="CT122" s="1">
        <v>1</v>
      </c>
      <c r="CU122" s="1">
        <v>40</v>
      </c>
      <c r="CV122" s="4">
        <v>8.9156440000000003</v>
      </c>
      <c r="CW122" s="4">
        <v>1</v>
      </c>
      <c r="CX122" s="4">
        <v>7.657667</v>
      </c>
      <c r="CY122" s="4">
        <v>58.639862999999998</v>
      </c>
      <c r="CZ122" s="4">
        <v>0.85890200000000005</v>
      </c>
      <c r="DA122" s="4">
        <v>9</v>
      </c>
      <c r="DB122" s="4">
        <v>1.474769</v>
      </c>
      <c r="DC122" s="4">
        <v>4.9892409999999998</v>
      </c>
      <c r="DD122" s="4">
        <v>5.807461</v>
      </c>
      <c r="DE122" s="4">
        <v>8.9156440000000003</v>
      </c>
      <c r="DF122" s="4">
        <v>3.973017</v>
      </c>
      <c r="DG122" s="4">
        <v>1.2067540000000001</v>
      </c>
      <c r="DH122" s="4">
        <v>0.60440099999999997</v>
      </c>
      <c r="DI122" s="4">
        <v>0.44562299999999999</v>
      </c>
      <c r="DJ122" s="4">
        <v>0.30373699999999998</v>
      </c>
      <c r="DK122" s="4">
        <v>0.15212600000000001</v>
      </c>
      <c r="DL122" s="4">
        <v>1</v>
      </c>
      <c r="DM122" s="4">
        <v>1</v>
      </c>
      <c r="DN122" s="4">
        <v>1</v>
      </c>
      <c r="DO122" s="4">
        <v>3</v>
      </c>
      <c r="DP122" s="4">
        <v>3</v>
      </c>
      <c r="DQ122" s="4">
        <v>4</v>
      </c>
      <c r="DR122" s="4">
        <v>5</v>
      </c>
      <c r="DS122" s="4">
        <v>7</v>
      </c>
      <c r="DT122" s="4">
        <v>8</v>
      </c>
      <c r="DU122" s="4">
        <v>11</v>
      </c>
      <c r="DV122" s="4">
        <v>12</v>
      </c>
      <c r="DW122" s="4">
        <v>14</v>
      </c>
      <c r="DX122" s="4">
        <v>20</v>
      </c>
      <c r="DY122" s="4">
        <v>26</v>
      </c>
      <c r="DZ122" s="4">
        <v>35</v>
      </c>
      <c r="EA122" s="4">
        <v>83.431952999999993</v>
      </c>
      <c r="EB122" s="4">
        <v>55.962423000000001</v>
      </c>
      <c r="EC122" s="4">
        <v>101.601114</v>
      </c>
      <c r="ED122" s="4">
        <v>2397</v>
      </c>
      <c r="EE122" s="4">
        <v>2919</v>
      </c>
      <c r="EF122" s="4">
        <v>80.891054999999994</v>
      </c>
      <c r="EG122" s="4">
        <v>98.955794999999995</v>
      </c>
      <c r="EH122" s="4">
        <v>52.453988000000003</v>
      </c>
      <c r="EI122" s="4">
        <v>82.131901999999997</v>
      </c>
      <c r="EJ122" s="4">
        <v>95.231465</v>
      </c>
      <c r="EK122" s="4">
        <v>149.112426</v>
      </c>
      <c r="EL122" s="4">
        <v>2324</v>
      </c>
      <c r="EM122" s="4">
        <v>2843</v>
      </c>
      <c r="EN122" s="4">
        <v>2736</v>
      </c>
      <c r="EO122" s="4">
        <v>4284</v>
      </c>
      <c r="EP122" s="4">
        <v>2873</v>
      </c>
      <c r="EQ122" s="4">
        <v>5216</v>
      </c>
      <c r="ER122" s="4">
        <v>43.382565999999997</v>
      </c>
    </row>
    <row r="123" spans="1:148" x14ac:dyDescent="0.2">
      <c r="A123" s="1">
        <v>2022</v>
      </c>
      <c r="B123" s="1" t="str">
        <f t="shared" si="2"/>
        <v>RD</v>
      </c>
      <c r="C123" s="1" t="s">
        <v>738</v>
      </c>
      <c r="D123" s="1" t="s">
        <v>738</v>
      </c>
      <c r="E123" s="1">
        <v>24370</v>
      </c>
      <c r="F123" s="1" t="s">
        <v>2091</v>
      </c>
      <c r="G123" s="1" t="s">
        <v>208</v>
      </c>
      <c r="H123" s="1" t="s">
        <v>739</v>
      </c>
      <c r="I123" s="1">
        <v>36.79</v>
      </c>
      <c r="J123" s="1">
        <v>36.79</v>
      </c>
      <c r="K123" s="1" t="s">
        <v>210</v>
      </c>
      <c r="L123" s="1">
        <v>1</v>
      </c>
      <c r="M123" s="1">
        <v>2016</v>
      </c>
      <c r="N123" s="1">
        <v>2</v>
      </c>
      <c r="O123" s="1">
        <v>2</v>
      </c>
      <c r="P123" s="1" t="str">
        <f t="shared" si="3"/>
        <v>Talhadia</v>
      </c>
      <c r="Q123" s="2">
        <v>42451</v>
      </c>
      <c r="R123" s="1" t="s">
        <v>169</v>
      </c>
      <c r="S123" s="1" t="s">
        <v>740</v>
      </c>
      <c r="T123" s="1" t="s">
        <v>2268</v>
      </c>
      <c r="U123" s="1" t="s">
        <v>212</v>
      </c>
      <c r="V123" s="1" t="s">
        <v>152</v>
      </c>
      <c r="W123" s="2">
        <v>44693</v>
      </c>
      <c r="X123" s="1" t="s">
        <v>213</v>
      </c>
      <c r="Y123" s="1">
        <v>99.39</v>
      </c>
      <c r="Z123" s="1">
        <v>20</v>
      </c>
      <c r="AA123" s="1">
        <v>2</v>
      </c>
      <c r="AB123" s="1">
        <v>16.2</v>
      </c>
      <c r="AC123" s="1">
        <v>0</v>
      </c>
      <c r="AD123" s="3">
        <v>324</v>
      </c>
      <c r="AE123" s="3">
        <v>323.80262795418702</v>
      </c>
      <c r="AF123" s="2">
        <v>44693</v>
      </c>
      <c r="AG123" s="1">
        <v>74</v>
      </c>
      <c r="AH123" s="3">
        <v>6.1382614647501699</v>
      </c>
      <c r="AI123" s="4">
        <v>22.120917271577401</v>
      </c>
      <c r="AJ123" s="4">
        <v>14.2357142857143</v>
      </c>
      <c r="AK123" s="4">
        <v>14.745039563057</v>
      </c>
      <c r="AL123" s="1">
        <v>28</v>
      </c>
      <c r="AM123" s="5">
        <v>864.72429754219195</v>
      </c>
      <c r="AN123" s="4">
        <v>152.70488356822401</v>
      </c>
      <c r="AO123" s="4">
        <v>0.17659372357438999</v>
      </c>
      <c r="AP123" s="1" t="s">
        <v>740</v>
      </c>
      <c r="AQ123" s="1" t="s">
        <v>254</v>
      </c>
      <c r="AR123" s="1" t="s">
        <v>743</v>
      </c>
      <c r="AS123" s="1">
        <v>9</v>
      </c>
      <c r="AT123" s="4">
        <v>0.77825186778797273</v>
      </c>
      <c r="AU123" s="1" t="s">
        <v>741</v>
      </c>
      <c r="AV123" s="1" t="s">
        <v>742</v>
      </c>
      <c r="AW123" s="1">
        <v>6706</v>
      </c>
      <c r="AX123" s="1">
        <v>3860</v>
      </c>
      <c r="AY123" s="1">
        <v>2332</v>
      </c>
      <c r="AZ123" s="1">
        <v>479</v>
      </c>
      <c r="BA123" s="1">
        <v>35</v>
      </c>
      <c r="BB123" s="1">
        <v>0</v>
      </c>
      <c r="BC123" s="1">
        <v>0</v>
      </c>
      <c r="BD123" s="1">
        <v>0</v>
      </c>
      <c r="BE123" s="1">
        <v>0</v>
      </c>
      <c r="BF123" s="1">
        <v>0</v>
      </c>
      <c r="BG123" s="1">
        <v>0</v>
      </c>
      <c r="BH123" s="4">
        <v>-1.002</v>
      </c>
      <c r="BI123" s="4">
        <v>27.766000999999999</v>
      </c>
      <c r="BJ123" s="4">
        <v>9.570843</v>
      </c>
      <c r="BK123" s="4">
        <v>-8.8730000000000003E-2</v>
      </c>
      <c r="BL123" s="4">
        <v>9.6871960000000001</v>
      </c>
      <c r="BM123" s="4">
        <v>93.841767000000004</v>
      </c>
      <c r="BN123" s="4">
        <v>1.012157</v>
      </c>
      <c r="BO123" s="4">
        <v>19.42775</v>
      </c>
      <c r="BP123" s="4">
        <v>0.25670599999999999</v>
      </c>
      <c r="BQ123" s="4">
        <v>1.3745879999999999</v>
      </c>
      <c r="BR123" s="4">
        <v>9.0968180000000007</v>
      </c>
      <c r="BS123" s="4">
        <v>8.6519999999999992</v>
      </c>
      <c r="BT123" s="4">
        <v>8.7237299999999998</v>
      </c>
      <c r="BU123" s="4">
        <v>9.570843</v>
      </c>
      <c r="BV123" s="4">
        <v>5.3057420000000004</v>
      </c>
      <c r="BW123" s="4">
        <v>0.77764200000000006</v>
      </c>
      <c r="BX123" s="4">
        <v>-0.70629200000000003</v>
      </c>
      <c r="BY123" s="4">
        <v>0.554365</v>
      </c>
      <c r="BZ123" s="4">
        <v>0.146566</v>
      </c>
      <c r="CA123" s="4">
        <v>-0.13311799999999999</v>
      </c>
      <c r="CB123" s="4">
        <v>-0.37695000000000001</v>
      </c>
      <c r="CC123" s="4">
        <v>-0.184</v>
      </c>
      <c r="CD123" s="4">
        <v>-9.9000000000000005E-2</v>
      </c>
      <c r="CE123" s="4">
        <v>1.4999999999999999E-2</v>
      </c>
      <c r="CF123" s="4">
        <v>6.0999999999999999E-2</v>
      </c>
      <c r="CG123" s="4">
        <v>0.114</v>
      </c>
      <c r="CH123" s="4">
        <v>0.29599999999999999</v>
      </c>
      <c r="CI123" s="4">
        <v>8.6349999999999998</v>
      </c>
      <c r="CJ123" s="4">
        <v>14.388</v>
      </c>
      <c r="CK123" s="4">
        <v>18.636500999999999</v>
      </c>
      <c r="CL123" s="4">
        <v>19.48875</v>
      </c>
      <c r="CM123" s="4">
        <v>20.122999</v>
      </c>
      <c r="CN123" s="4">
        <v>22.609501000000002</v>
      </c>
      <c r="CO123" s="4">
        <v>24.343499999999999</v>
      </c>
      <c r="CP123" s="4">
        <v>26.380253</v>
      </c>
      <c r="CQ123" s="4">
        <v>0.36752099999999999</v>
      </c>
      <c r="CR123" s="4">
        <v>13.617224999999999</v>
      </c>
      <c r="CS123" s="4">
        <v>15.610458</v>
      </c>
      <c r="CT123" s="1">
        <v>1</v>
      </c>
      <c r="CU123" s="1">
        <v>56</v>
      </c>
      <c r="CV123" s="4">
        <v>16.065761999999999</v>
      </c>
      <c r="CW123" s="4">
        <v>1</v>
      </c>
      <c r="CX123" s="4">
        <v>12.558920000000001</v>
      </c>
      <c r="CY123" s="4">
        <v>157.726473</v>
      </c>
      <c r="CZ123" s="4">
        <v>0.78171999999999997</v>
      </c>
      <c r="DA123" s="4">
        <v>18</v>
      </c>
      <c r="DB123" s="4">
        <v>0.83991899999999997</v>
      </c>
      <c r="DC123" s="4">
        <v>2.664085</v>
      </c>
      <c r="DD123" s="4">
        <v>10.372284000000001</v>
      </c>
      <c r="DE123" s="4">
        <v>16.065761999999999</v>
      </c>
      <c r="DF123" s="4">
        <v>6.9249700000000001</v>
      </c>
      <c r="DG123" s="4">
        <v>1.5637000000000001</v>
      </c>
      <c r="DH123" s="4">
        <v>0.44897100000000001</v>
      </c>
      <c r="DI123" s="4">
        <v>0.43103900000000001</v>
      </c>
      <c r="DJ123" s="4">
        <v>0.22580600000000001</v>
      </c>
      <c r="DK123" s="4">
        <v>6.4834000000000003E-2</v>
      </c>
      <c r="DL123" s="4">
        <v>1</v>
      </c>
      <c r="DM123" s="4">
        <v>1</v>
      </c>
      <c r="DN123" s="4">
        <v>3</v>
      </c>
      <c r="DO123" s="4">
        <v>5</v>
      </c>
      <c r="DP123" s="4">
        <v>6</v>
      </c>
      <c r="DQ123" s="4">
        <v>7</v>
      </c>
      <c r="DR123" s="4">
        <v>10</v>
      </c>
      <c r="DS123" s="4">
        <v>12</v>
      </c>
      <c r="DT123" s="4">
        <v>16</v>
      </c>
      <c r="DU123" s="4">
        <v>20</v>
      </c>
      <c r="DV123" s="4">
        <v>24</v>
      </c>
      <c r="DW123" s="4">
        <v>28</v>
      </c>
      <c r="DX123" s="4">
        <v>37</v>
      </c>
      <c r="DY123" s="4">
        <v>41</v>
      </c>
      <c r="DZ123" s="4">
        <v>47</v>
      </c>
      <c r="EA123" s="4">
        <v>75</v>
      </c>
      <c r="EB123" s="4">
        <v>53.220996</v>
      </c>
      <c r="EC123" s="4">
        <v>92.46114</v>
      </c>
      <c r="ED123" s="4">
        <v>2895</v>
      </c>
      <c r="EE123" s="4">
        <v>3569</v>
      </c>
      <c r="EF123" s="4">
        <v>71.813472000000004</v>
      </c>
      <c r="EG123" s="4">
        <v>99.196890999999994</v>
      </c>
      <c r="EH123" s="4">
        <v>49.105279000000003</v>
      </c>
      <c r="EI123" s="4">
        <v>89.144049999999993</v>
      </c>
      <c r="EJ123" s="4">
        <v>85.310880999999995</v>
      </c>
      <c r="EK123" s="4">
        <v>154.87046599999999</v>
      </c>
      <c r="EL123" s="4">
        <v>2772</v>
      </c>
      <c r="EM123" s="4">
        <v>3829</v>
      </c>
      <c r="EN123" s="4">
        <v>3293</v>
      </c>
      <c r="EO123" s="4">
        <v>5978</v>
      </c>
      <c r="EP123" s="4">
        <v>3860</v>
      </c>
      <c r="EQ123" s="4">
        <v>6706</v>
      </c>
      <c r="ER123" s="4">
        <v>35.361828000000003</v>
      </c>
    </row>
    <row r="124" spans="1:148" x14ac:dyDescent="0.2">
      <c r="A124" s="1">
        <v>2022</v>
      </c>
      <c r="B124" s="1" t="str">
        <f t="shared" si="2"/>
        <v>RD</v>
      </c>
      <c r="C124" s="1" t="s">
        <v>744</v>
      </c>
      <c r="D124" s="1" t="s">
        <v>744</v>
      </c>
      <c r="E124" s="1">
        <v>24393</v>
      </c>
      <c r="F124" s="1" t="s">
        <v>2091</v>
      </c>
      <c r="G124" s="1" t="s">
        <v>208</v>
      </c>
      <c r="H124" s="1" t="s">
        <v>745</v>
      </c>
      <c r="I124" s="1">
        <v>23.18</v>
      </c>
      <c r="J124" s="1">
        <v>23.18</v>
      </c>
      <c r="K124" s="1" t="s">
        <v>210</v>
      </c>
      <c r="L124" s="1">
        <v>1</v>
      </c>
      <c r="M124" s="1">
        <v>2016</v>
      </c>
      <c r="N124" s="1">
        <v>2</v>
      </c>
      <c r="O124" s="1">
        <v>2</v>
      </c>
      <c r="P124" s="1" t="str">
        <f t="shared" si="3"/>
        <v>Talhadia</v>
      </c>
      <c r="Q124" s="2">
        <v>42536</v>
      </c>
      <c r="R124" s="1" t="s">
        <v>746</v>
      </c>
      <c r="S124" s="1" t="s">
        <v>238</v>
      </c>
      <c r="T124" s="1" t="s">
        <v>2268</v>
      </c>
      <c r="U124" s="1" t="s">
        <v>212</v>
      </c>
      <c r="V124" s="1" t="s">
        <v>152</v>
      </c>
      <c r="W124" s="2">
        <v>44692</v>
      </c>
      <c r="X124" s="1" t="s">
        <v>213</v>
      </c>
      <c r="Y124" s="1">
        <v>99.39</v>
      </c>
      <c r="Z124" s="1">
        <v>21.4</v>
      </c>
      <c r="AA124" s="1">
        <v>8</v>
      </c>
      <c r="AB124" s="1">
        <v>14.8</v>
      </c>
      <c r="AC124" s="1">
        <v>0</v>
      </c>
      <c r="AD124" s="3">
        <v>316.72000000000003</v>
      </c>
      <c r="AE124" s="3">
        <v>313.63770273183002</v>
      </c>
      <c r="AF124" s="2">
        <v>44692</v>
      </c>
      <c r="AG124" s="1">
        <v>71</v>
      </c>
      <c r="AH124" s="3">
        <v>5.9028062970568103</v>
      </c>
      <c r="AI124" s="4">
        <v>23.3594215353835</v>
      </c>
      <c r="AJ124" s="4">
        <v>15.771428571428601</v>
      </c>
      <c r="AK124" s="4">
        <v>13.391682677874</v>
      </c>
      <c r="AL124" s="1">
        <v>21</v>
      </c>
      <c r="AM124" s="5">
        <v>669.56235864141797</v>
      </c>
      <c r="AN124" s="4">
        <v>138.29739839942701</v>
      </c>
      <c r="AO124" s="4">
        <v>0.20654894441802399</v>
      </c>
      <c r="AP124" s="1" t="s">
        <v>238</v>
      </c>
      <c r="AQ124" s="1" t="s">
        <v>254</v>
      </c>
      <c r="AR124" s="1" t="s">
        <v>743</v>
      </c>
      <c r="AS124" s="1">
        <v>7.5</v>
      </c>
      <c r="AT124" s="4">
        <v>0.50217176898106353</v>
      </c>
      <c r="AU124" s="1" t="s">
        <v>747</v>
      </c>
      <c r="AV124" s="1" t="s">
        <v>748</v>
      </c>
      <c r="AW124" s="1">
        <v>5055</v>
      </c>
      <c r="AX124" s="1">
        <v>2460</v>
      </c>
      <c r="AY124" s="1">
        <v>2081</v>
      </c>
      <c r="AZ124" s="1">
        <v>486</v>
      </c>
      <c r="BA124" s="1">
        <v>28</v>
      </c>
      <c r="BB124" s="1">
        <v>0</v>
      </c>
      <c r="BC124" s="1">
        <v>0</v>
      </c>
      <c r="BD124" s="1">
        <v>0</v>
      </c>
      <c r="BE124" s="1">
        <v>0</v>
      </c>
      <c r="BF124" s="1">
        <v>0</v>
      </c>
      <c r="BG124" s="1">
        <v>0</v>
      </c>
      <c r="BH124" s="4">
        <v>-1.254</v>
      </c>
      <c r="BI124" s="4">
        <v>24.841999000000001</v>
      </c>
      <c r="BJ124" s="4">
        <v>8.1338500000000007</v>
      </c>
      <c r="BK124" s="4">
        <v>-1.1332999999999999E-2</v>
      </c>
      <c r="BL124" s="4">
        <v>9.1811159999999994</v>
      </c>
      <c r="BM124" s="4">
        <v>84.292894000000004</v>
      </c>
      <c r="BN124" s="4">
        <v>1.128754</v>
      </c>
      <c r="BO124" s="4">
        <v>18.167000999999999</v>
      </c>
      <c r="BP124" s="4">
        <v>0.43781599999999998</v>
      </c>
      <c r="BQ124" s="4">
        <v>1.4538150000000001</v>
      </c>
      <c r="BR124" s="4">
        <v>8.5797050000000006</v>
      </c>
      <c r="BS124" s="4">
        <v>0.60299999999999998</v>
      </c>
      <c r="BT124" s="4">
        <v>0.38433299999999998</v>
      </c>
      <c r="BU124" s="4">
        <v>8.1338500000000007</v>
      </c>
      <c r="BV124" s="4">
        <v>4.9146020000000004</v>
      </c>
      <c r="BW124" s="4">
        <v>1.1060289999999999</v>
      </c>
      <c r="BX124" s="4">
        <v>-0.59814400000000001</v>
      </c>
      <c r="BY124" s="4">
        <v>0.60421599999999998</v>
      </c>
      <c r="BZ124" s="4">
        <v>0.22505</v>
      </c>
      <c r="CA124" s="4">
        <v>-0.121707</v>
      </c>
      <c r="CB124" s="4">
        <v>-0.41676000000000002</v>
      </c>
      <c r="CC124" s="4">
        <v>-0.20730000000000001</v>
      </c>
      <c r="CD124" s="4">
        <v>-0.1226</v>
      </c>
      <c r="CE124" s="4">
        <v>-2.5999999999999999E-2</v>
      </c>
      <c r="CF124" s="4">
        <v>1.15E-2</v>
      </c>
      <c r="CG124" s="4">
        <v>5.1999999999999998E-2</v>
      </c>
      <c r="CH124" s="4">
        <v>0.14299999999999999</v>
      </c>
      <c r="CI124" s="4">
        <v>0.308</v>
      </c>
      <c r="CJ124" s="4">
        <v>11.071598</v>
      </c>
      <c r="CK124" s="4">
        <v>15.851601</v>
      </c>
      <c r="CL124" s="4">
        <v>18.178501000000001</v>
      </c>
      <c r="CM124" s="4">
        <v>19.507000000000001</v>
      </c>
      <c r="CN124" s="4">
        <v>21.700201</v>
      </c>
      <c r="CO124" s="4">
        <v>22.3552</v>
      </c>
      <c r="CP124" s="4">
        <v>23.556958999999999</v>
      </c>
      <c r="CQ124" s="4">
        <v>0.35974299999999998</v>
      </c>
      <c r="CR124" s="4">
        <v>12.265224999999999</v>
      </c>
      <c r="CS124" s="4">
        <v>14.314904</v>
      </c>
      <c r="CT124" s="1">
        <v>1</v>
      </c>
      <c r="CU124" s="1">
        <v>54</v>
      </c>
      <c r="CV124" s="4">
        <v>15.308605</v>
      </c>
      <c r="CW124" s="4">
        <v>1</v>
      </c>
      <c r="CX124" s="4">
        <v>12.565165</v>
      </c>
      <c r="CY124" s="4">
        <v>157.883375</v>
      </c>
      <c r="CZ124" s="4">
        <v>0.82079100000000005</v>
      </c>
      <c r="DA124" s="4">
        <v>16</v>
      </c>
      <c r="DB124" s="4">
        <v>0.999942</v>
      </c>
      <c r="DC124" s="4">
        <v>3.0526490000000002</v>
      </c>
      <c r="DD124" s="4">
        <v>10.160519000000001</v>
      </c>
      <c r="DE124" s="4">
        <v>15.308605</v>
      </c>
      <c r="DF124" s="4">
        <v>6.8190549999999996</v>
      </c>
      <c r="DG124" s="4">
        <v>1.758378</v>
      </c>
      <c r="DH124" s="4">
        <v>0.61332699999999996</v>
      </c>
      <c r="DI124" s="4">
        <v>0.44543899999999997</v>
      </c>
      <c r="DJ124" s="4">
        <v>0.25786199999999998</v>
      </c>
      <c r="DK124" s="4">
        <v>8.9942999999999995E-2</v>
      </c>
      <c r="DL124" s="4">
        <v>1</v>
      </c>
      <c r="DM124" s="4">
        <v>1</v>
      </c>
      <c r="DN124" s="4">
        <v>2</v>
      </c>
      <c r="DO124" s="4">
        <v>5</v>
      </c>
      <c r="DP124" s="4">
        <v>6</v>
      </c>
      <c r="DQ124" s="4">
        <v>6</v>
      </c>
      <c r="DR124" s="4">
        <v>9</v>
      </c>
      <c r="DS124" s="4">
        <v>12</v>
      </c>
      <c r="DT124" s="4">
        <v>15</v>
      </c>
      <c r="DU124" s="4">
        <v>19</v>
      </c>
      <c r="DV124" s="4">
        <v>22</v>
      </c>
      <c r="DW124" s="4">
        <v>26</v>
      </c>
      <c r="DX124" s="4">
        <v>36</v>
      </c>
      <c r="DY124" s="4">
        <v>42</v>
      </c>
      <c r="DZ124" s="4">
        <v>48</v>
      </c>
      <c r="EA124" s="4">
        <v>76.829267999999999</v>
      </c>
      <c r="EB124" s="4">
        <v>47.576656999999997</v>
      </c>
      <c r="EC124" s="4">
        <v>97.764228000000003</v>
      </c>
      <c r="ED124" s="4">
        <v>1890</v>
      </c>
      <c r="EE124" s="4">
        <v>2405</v>
      </c>
      <c r="EF124" s="4">
        <v>74.756097999999994</v>
      </c>
      <c r="EG124" s="4">
        <v>96.951220000000006</v>
      </c>
      <c r="EH124" s="4">
        <v>44.846685999999998</v>
      </c>
      <c r="EI124" s="4">
        <v>78.120672999999996</v>
      </c>
      <c r="EJ124" s="4">
        <v>92.154471999999998</v>
      </c>
      <c r="EK124" s="4">
        <v>160.52845500000001</v>
      </c>
      <c r="EL124" s="4">
        <v>1839</v>
      </c>
      <c r="EM124" s="4">
        <v>2385</v>
      </c>
      <c r="EN124" s="4">
        <v>2267</v>
      </c>
      <c r="EO124" s="4">
        <v>3949</v>
      </c>
      <c r="EP124" s="4">
        <v>2460</v>
      </c>
      <c r="EQ124" s="4">
        <v>5055</v>
      </c>
      <c r="ER124" s="4">
        <v>33.639158000000002</v>
      </c>
    </row>
    <row r="125" spans="1:148" x14ac:dyDescent="0.2">
      <c r="A125" s="1">
        <v>2022</v>
      </c>
      <c r="B125" s="1" t="str">
        <f t="shared" si="2"/>
        <v>RD</v>
      </c>
      <c r="C125" s="1" t="s">
        <v>749</v>
      </c>
      <c r="D125" s="1" t="s">
        <v>749</v>
      </c>
      <c r="E125" s="1">
        <v>24425</v>
      </c>
      <c r="F125" s="1" t="s">
        <v>2092</v>
      </c>
      <c r="G125" s="1" t="s">
        <v>236</v>
      </c>
      <c r="H125" s="1" t="s">
        <v>750</v>
      </c>
      <c r="I125" s="1">
        <v>33.64</v>
      </c>
      <c r="J125" s="1">
        <v>33.64</v>
      </c>
      <c r="K125" s="1" t="s">
        <v>210</v>
      </c>
      <c r="L125" s="1">
        <v>1</v>
      </c>
      <c r="M125" s="1">
        <v>2016</v>
      </c>
      <c r="N125" s="1">
        <v>3</v>
      </c>
      <c r="O125" s="1">
        <v>1</v>
      </c>
      <c r="P125" s="1" t="str">
        <f t="shared" si="3"/>
        <v>Alto fuste</v>
      </c>
      <c r="Q125" s="2">
        <v>42548</v>
      </c>
      <c r="R125" s="1" t="s">
        <v>227</v>
      </c>
      <c r="S125" s="1" t="s">
        <v>163</v>
      </c>
      <c r="T125" s="1" t="s">
        <v>2268</v>
      </c>
      <c r="U125" s="1" t="s">
        <v>212</v>
      </c>
      <c r="V125" s="1" t="s">
        <v>152</v>
      </c>
      <c r="W125" s="2">
        <v>44823</v>
      </c>
      <c r="X125" s="1" t="s">
        <v>239</v>
      </c>
      <c r="Y125" s="1">
        <v>544.69000000000005</v>
      </c>
      <c r="Z125" s="1">
        <v>20.3</v>
      </c>
      <c r="AA125" s="1">
        <v>22</v>
      </c>
      <c r="AB125" s="1">
        <v>15</v>
      </c>
      <c r="AC125" s="1">
        <v>1</v>
      </c>
      <c r="AD125" s="3">
        <v>304.5</v>
      </c>
      <c r="AE125" s="3">
        <v>282.284483872333</v>
      </c>
      <c r="AF125" s="2">
        <v>44823</v>
      </c>
      <c r="AG125" s="1">
        <v>75</v>
      </c>
      <c r="AH125" s="3">
        <v>6.2286105407255299</v>
      </c>
      <c r="AI125" s="4">
        <v>22.968112443987799</v>
      </c>
      <c r="AJ125" s="4">
        <v>13.843243243243201</v>
      </c>
      <c r="AK125" s="4">
        <v>20.232223107094399</v>
      </c>
      <c r="AL125" s="1">
        <v>37</v>
      </c>
      <c r="AM125" s="5">
        <v>1310.7344581055199</v>
      </c>
      <c r="AN125" s="4">
        <v>218.975406309097</v>
      </c>
      <c r="AO125" s="4">
        <v>0.16706313392080499</v>
      </c>
      <c r="AP125" s="1" t="s">
        <v>163</v>
      </c>
      <c r="AQ125" s="1" t="s">
        <v>156</v>
      </c>
      <c r="AR125" s="1" t="s">
        <v>743</v>
      </c>
      <c r="AS125" s="1">
        <v>7.5</v>
      </c>
      <c r="AT125" s="4">
        <v>0.98305084357913997</v>
      </c>
      <c r="AU125" s="1" t="s">
        <v>751</v>
      </c>
      <c r="AV125" s="1" t="s">
        <v>752</v>
      </c>
      <c r="AW125" s="1">
        <v>7865</v>
      </c>
      <c r="AX125" s="1">
        <v>4501</v>
      </c>
      <c r="AY125" s="1">
        <v>2867</v>
      </c>
      <c r="AZ125" s="1">
        <v>481</v>
      </c>
      <c r="BA125" s="1">
        <v>16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>
        <v>0</v>
      </c>
      <c r="BH125" s="4">
        <v>-1.0229999999999999</v>
      </c>
      <c r="BI125" s="4">
        <v>25.922999999999998</v>
      </c>
      <c r="BJ125" s="4">
        <v>11.850962000000001</v>
      </c>
      <c r="BK125" s="4">
        <v>-0.167571</v>
      </c>
      <c r="BL125" s="4">
        <v>9.7636020000000006</v>
      </c>
      <c r="BM125" s="4">
        <v>95.327928</v>
      </c>
      <c r="BN125" s="4">
        <v>0.82386599999999999</v>
      </c>
      <c r="BO125" s="4">
        <v>21.401001000000001</v>
      </c>
      <c r="BP125" s="4">
        <v>-9.1470000000000006E-3</v>
      </c>
      <c r="BQ125" s="4">
        <v>1.2647299999999999</v>
      </c>
      <c r="BR125" s="4">
        <v>9.2503860000000007</v>
      </c>
      <c r="BS125" s="4">
        <v>10.585998999999999</v>
      </c>
      <c r="BT125" s="4">
        <v>10.985571</v>
      </c>
      <c r="BU125" s="4">
        <v>11.850962000000001</v>
      </c>
      <c r="BV125" s="4">
        <v>5.4513689999999997</v>
      </c>
      <c r="BW125" s="4">
        <v>-5.4929999999999996E-3</v>
      </c>
      <c r="BX125" s="4">
        <v>-0.80787799999999999</v>
      </c>
      <c r="BY125" s="4">
        <v>0.45999400000000001</v>
      </c>
      <c r="BZ125" s="4">
        <v>-1.008E-3</v>
      </c>
      <c r="CA125" s="4">
        <v>-0.148197</v>
      </c>
      <c r="CB125" s="4">
        <v>-0.36136000000000001</v>
      </c>
      <c r="CC125" s="4">
        <v>-0.1268</v>
      </c>
      <c r="CD125" s="4">
        <v>3.0000000000000001E-3</v>
      </c>
      <c r="CE125" s="4">
        <v>0.216</v>
      </c>
      <c r="CF125" s="4">
        <v>0.44800000000000001</v>
      </c>
      <c r="CG125" s="4">
        <v>3.1501999999999999</v>
      </c>
      <c r="CH125" s="4">
        <v>5.8221999999999996</v>
      </c>
      <c r="CI125" s="4">
        <v>10.818</v>
      </c>
      <c r="CJ125" s="4">
        <v>19.3508</v>
      </c>
      <c r="CK125" s="4">
        <v>21.3538</v>
      </c>
      <c r="CL125" s="4">
        <v>21.849001000000001</v>
      </c>
      <c r="CM125" s="4">
        <v>22.382401000000002</v>
      </c>
      <c r="CN125" s="4">
        <v>23.413800999999999</v>
      </c>
      <c r="CO125" s="4">
        <v>24.297799999999999</v>
      </c>
      <c r="CP125" s="4">
        <v>25.076440999999999</v>
      </c>
      <c r="CQ125" s="4">
        <v>0.477769</v>
      </c>
      <c r="CR125" s="4">
        <v>15.354514</v>
      </c>
      <c r="CS125" s="4">
        <v>17.150506</v>
      </c>
      <c r="CT125" s="1">
        <v>1</v>
      </c>
      <c r="CU125" s="1">
        <v>51</v>
      </c>
      <c r="CV125" s="4">
        <v>14.022759000000001</v>
      </c>
      <c r="CW125" s="4">
        <v>1</v>
      </c>
      <c r="CX125" s="4">
        <v>9.8643579999999993</v>
      </c>
      <c r="CY125" s="4">
        <v>97.30556</v>
      </c>
      <c r="CZ125" s="4">
        <v>0.70345299999999999</v>
      </c>
      <c r="DA125" s="4">
        <v>14</v>
      </c>
      <c r="DB125" s="4">
        <v>0.80949499999999996</v>
      </c>
      <c r="DC125" s="4">
        <v>3.2102050000000002</v>
      </c>
      <c r="DD125" s="4">
        <v>7.9904719999999996</v>
      </c>
      <c r="DE125" s="4">
        <v>14.022759000000001</v>
      </c>
      <c r="DF125" s="4">
        <v>5.4786349999999997</v>
      </c>
      <c r="DG125" s="4">
        <v>0.92712799999999995</v>
      </c>
      <c r="DH125" s="4">
        <v>0.46685900000000002</v>
      </c>
      <c r="DI125" s="4">
        <v>0.39069599999999999</v>
      </c>
      <c r="DJ125" s="4">
        <v>0.16922599999999999</v>
      </c>
      <c r="DK125" s="4">
        <v>8.5213999999999998E-2</v>
      </c>
      <c r="DL125" s="4">
        <v>1</v>
      </c>
      <c r="DM125" s="4">
        <v>1</v>
      </c>
      <c r="DN125" s="4">
        <v>3</v>
      </c>
      <c r="DO125" s="4">
        <v>5</v>
      </c>
      <c r="DP125" s="4">
        <v>6</v>
      </c>
      <c r="DQ125" s="4">
        <v>7</v>
      </c>
      <c r="DR125" s="4">
        <v>10</v>
      </c>
      <c r="DS125" s="4">
        <v>12</v>
      </c>
      <c r="DT125" s="4">
        <v>15</v>
      </c>
      <c r="DU125" s="4">
        <v>19</v>
      </c>
      <c r="DV125" s="4">
        <v>20</v>
      </c>
      <c r="DW125" s="4">
        <v>22</v>
      </c>
      <c r="DX125" s="4">
        <v>28</v>
      </c>
      <c r="DY125" s="4">
        <v>33.799804999999999</v>
      </c>
      <c r="DZ125" s="4">
        <v>41</v>
      </c>
      <c r="EA125" s="4">
        <v>90.579870999999997</v>
      </c>
      <c r="EB125" s="4">
        <v>70.247934000000001</v>
      </c>
      <c r="EC125" s="4">
        <v>122.7505</v>
      </c>
      <c r="ED125" s="4">
        <v>4077</v>
      </c>
      <c r="EE125" s="4">
        <v>5525</v>
      </c>
      <c r="EF125" s="4">
        <v>78.982448000000005</v>
      </c>
      <c r="EG125" s="4">
        <v>99.955565000000007</v>
      </c>
      <c r="EH125" s="4">
        <v>49.20534</v>
      </c>
      <c r="EI125" s="4">
        <v>96.325492999999994</v>
      </c>
      <c r="EJ125" s="4">
        <v>85.980892999999995</v>
      </c>
      <c r="EK125" s="4">
        <v>168.318152</v>
      </c>
      <c r="EL125" s="4">
        <v>3555</v>
      </c>
      <c r="EM125" s="4">
        <v>4499</v>
      </c>
      <c r="EN125" s="4">
        <v>3870</v>
      </c>
      <c r="EO125" s="4">
        <v>7576</v>
      </c>
      <c r="EP125" s="4">
        <v>4501</v>
      </c>
      <c r="EQ125" s="4">
        <v>7865</v>
      </c>
      <c r="ER125" s="4">
        <v>46.300269</v>
      </c>
    </row>
    <row r="126" spans="1:148" x14ac:dyDescent="0.2">
      <c r="A126" s="1">
        <v>2022</v>
      </c>
      <c r="B126" s="1" t="str">
        <f t="shared" si="2"/>
        <v>RD</v>
      </c>
      <c r="C126" s="1" t="s">
        <v>753</v>
      </c>
      <c r="D126" s="1" t="s">
        <v>753</v>
      </c>
      <c r="E126" s="1">
        <v>24432</v>
      </c>
      <c r="F126" s="1" t="s">
        <v>2092</v>
      </c>
      <c r="G126" s="1" t="s">
        <v>236</v>
      </c>
      <c r="H126" s="1" t="s">
        <v>754</v>
      </c>
      <c r="I126" s="1">
        <v>28.74</v>
      </c>
      <c r="J126" s="1">
        <v>28.74</v>
      </c>
      <c r="K126" s="1" t="s">
        <v>210</v>
      </c>
      <c r="L126" s="1">
        <v>1</v>
      </c>
      <c r="M126" s="1">
        <v>2016</v>
      </c>
      <c r="N126" s="1">
        <v>3</v>
      </c>
      <c r="O126" s="1">
        <v>1</v>
      </c>
      <c r="P126" s="1" t="str">
        <f t="shared" si="3"/>
        <v>Alto fuste</v>
      </c>
      <c r="Q126" s="2">
        <v>42639</v>
      </c>
      <c r="R126" s="1" t="s">
        <v>227</v>
      </c>
      <c r="S126" s="1" t="s">
        <v>755</v>
      </c>
      <c r="T126" s="1" t="s">
        <v>2268</v>
      </c>
      <c r="U126" s="1" t="s">
        <v>212</v>
      </c>
      <c r="V126" s="1" t="s">
        <v>152</v>
      </c>
      <c r="W126" s="2">
        <v>44816</v>
      </c>
      <c r="X126" s="1" t="s">
        <v>239</v>
      </c>
      <c r="Y126" s="1">
        <v>544.69000000000005</v>
      </c>
      <c r="Z126" s="1">
        <v>19.8</v>
      </c>
      <c r="AA126" s="1">
        <v>6</v>
      </c>
      <c r="AB126" s="1">
        <v>15</v>
      </c>
      <c r="AC126" s="1">
        <v>0</v>
      </c>
      <c r="AD126" s="3">
        <v>297</v>
      </c>
      <c r="AE126" s="3">
        <v>295.37300292437698</v>
      </c>
      <c r="AF126" s="2">
        <v>44816</v>
      </c>
      <c r="AG126" s="1">
        <v>72</v>
      </c>
      <c r="AH126" s="3">
        <v>5.9603011635865801</v>
      </c>
      <c r="AI126" s="4">
        <v>26.5576303896685</v>
      </c>
      <c r="AJ126" s="4">
        <v>14.0820512820513</v>
      </c>
      <c r="AK126" s="4">
        <v>20.908178344544901</v>
      </c>
      <c r="AL126" s="1">
        <v>39</v>
      </c>
      <c r="AM126" s="5">
        <v>1320.36440750765</v>
      </c>
      <c r="AN126" s="4">
        <v>269.171510691246</v>
      </c>
      <c r="AO126" s="4">
        <v>0.203861531832217</v>
      </c>
      <c r="AP126" s="1" t="s">
        <v>755</v>
      </c>
      <c r="AQ126" s="1" t="s">
        <v>156</v>
      </c>
      <c r="AR126" s="1" t="s">
        <v>242</v>
      </c>
      <c r="AS126" s="1">
        <v>7.5</v>
      </c>
      <c r="AT126" s="4">
        <v>0.99027330563073757</v>
      </c>
      <c r="AU126" s="1" t="s">
        <v>756</v>
      </c>
      <c r="AV126" s="1" t="s">
        <v>757</v>
      </c>
      <c r="AW126" s="1">
        <v>7823</v>
      </c>
      <c r="AX126" s="1">
        <v>4401</v>
      </c>
      <c r="AY126" s="1">
        <v>2798</v>
      </c>
      <c r="AZ126" s="1">
        <v>559</v>
      </c>
      <c r="BA126" s="1">
        <v>65</v>
      </c>
      <c r="BB126" s="1">
        <v>0</v>
      </c>
      <c r="BC126" s="1">
        <v>0</v>
      </c>
      <c r="BD126" s="1">
        <v>0</v>
      </c>
      <c r="BE126" s="1">
        <v>0</v>
      </c>
      <c r="BF126" s="1">
        <v>0</v>
      </c>
      <c r="BG126" s="1">
        <v>0</v>
      </c>
      <c r="BH126" s="4">
        <v>-0.89200000000000002</v>
      </c>
      <c r="BI126" s="4">
        <v>28.128</v>
      </c>
      <c r="BJ126" s="4">
        <v>14.176365000000001</v>
      </c>
      <c r="BK126" s="4">
        <v>2.9270000000000001E-2</v>
      </c>
      <c r="BL126" s="4">
        <v>11.612247</v>
      </c>
      <c r="BM126" s="4">
        <v>134.84428399999999</v>
      </c>
      <c r="BN126" s="4">
        <v>0.81912700000000005</v>
      </c>
      <c r="BO126" s="4">
        <v>25.18</v>
      </c>
      <c r="BP126" s="4">
        <v>-0.245921</v>
      </c>
      <c r="BQ126" s="4">
        <v>1.2384040000000001</v>
      </c>
      <c r="BR126" s="4">
        <v>10.947638</v>
      </c>
      <c r="BS126" s="4">
        <v>8.1089990000000007</v>
      </c>
      <c r="BT126" s="4">
        <v>18.150729999999999</v>
      </c>
      <c r="BU126" s="4">
        <v>14.176365000000001</v>
      </c>
      <c r="BV126" s="4">
        <v>6.2821569999999998</v>
      </c>
      <c r="BW126" s="4">
        <v>-0.50623799999999997</v>
      </c>
      <c r="BX126" s="4">
        <v>-1.144412</v>
      </c>
      <c r="BY126" s="4">
        <v>0.44314300000000001</v>
      </c>
      <c r="BZ126" s="4">
        <v>-8.0583000000000002E-2</v>
      </c>
      <c r="CA126" s="4">
        <v>-0.182169</v>
      </c>
      <c r="CB126" s="4">
        <v>-0.376</v>
      </c>
      <c r="CC126" s="4">
        <v>-0.14699999999999999</v>
      </c>
      <c r="CD126" s="4">
        <v>-6.0999999999999999E-2</v>
      </c>
      <c r="CE126" s="4">
        <v>5.4399999999999997E-2</v>
      </c>
      <c r="CF126" s="4">
        <v>0.115</v>
      </c>
      <c r="CG126" s="4">
        <v>0.20499999999999999</v>
      </c>
      <c r="CH126" s="4">
        <v>10.946</v>
      </c>
      <c r="CI126" s="4">
        <v>18.18</v>
      </c>
      <c r="CJ126" s="4">
        <v>24.030000999999999</v>
      </c>
      <c r="CK126" s="4">
        <v>24.879000000000001</v>
      </c>
      <c r="CL126" s="4">
        <v>25.295000000000002</v>
      </c>
      <c r="CM126" s="4">
        <v>25.663</v>
      </c>
      <c r="CN126" s="4">
        <v>26.320799000000001</v>
      </c>
      <c r="CO126" s="4">
        <v>26.719899999999999</v>
      </c>
      <c r="CP126" s="4">
        <v>27.297001000000002</v>
      </c>
      <c r="CQ126" s="4">
        <v>0.51924099999999995</v>
      </c>
      <c r="CR126" s="4">
        <v>18.324746999999999</v>
      </c>
      <c r="CS126" s="4">
        <v>20.163701</v>
      </c>
      <c r="CT126" s="1">
        <v>1</v>
      </c>
      <c r="CU126" s="1">
        <v>62</v>
      </c>
      <c r="CV126" s="4">
        <v>16.695640999999998</v>
      </c>
      <c r="CW126" s="4">
        <v>1</v>
      </c>
      <c r="CX126" s="4">
        <v>11.804306</v>
      </c>
      <c r="CY126" s="4">
        <v>139.34164200000001</v>
      </c>
      <c r="CZ126" s="4">
        <v>0.70702900000000002</v>
      </c>
      <c r="DA126" s="4">
        <v>17</v>
      </c>
      <c r="DB126" s="4">
        <v>0.78029000000000004</v>
      </c>
      <c r="DC126" s="4">
        <v>3.35202</v>
      </c>
      <c r="DD126" s="4">
        <v>9.635567</v>
      </c>
      <c r="DE126" s="4">
        <v>16.695640999999998</v>
      </c>
      <c r="DF126" s="4">
        <v>6.5622069999999999</v>
      </c>
      <c r="DG126" s="4">
        <v>0.96490200000000004</v>
      </c>
      <c r="DH126" s="4">
        <v>0.50193699999999997</v>
      </c>
      <c r="DI126" s="4">
        <v>0.39304899999999998</v>
      </c>
      <c r="DJ126" s="4">
        <v>0.147039</v>
      </c>
      <c r="DK126" s="4">
        <v>7.6489000000000001E-2</v>
      </c>
      <c r="DL126" s="4">
        <v>1</v>
      </c>
      <c r="DM126" s="4">
        <v>1</v>
      </c>
      <c r="DN126" s="4">
        <v>3</v>
      </c>
      <c r="DO126" s="4">
        <v>5</v>
      </c>
      <c r="DP126" s="4">
        <v>7</v>
      </c>
      <c r="DQ126" s="4">
        <v>8</v>
      </c>
      <c r="DR126" s="4">
        <v>12</v>
      </c>
      <c r="DS126" s="4">
        <v>15</v>
      </c>
      <c r="DT126" s="4">
        <v>19</v>
      </c>
      <c r="DU126" s="4">
        <v>23</v>
      </c>
      <c r="DV126" s="4">
        <v>24</v>
      </c>
      <c r="DW126" s="4">
        <v>26</v>
      </c>
      <c r="DX126" s="4">
        <v>31</v>
      </c>
      <c r="DY126" s="4">
        <v>39</v>
      </c>
      <c r="DZ126" s="4">
        <v>50</v>
      </c>
      <c r="EA126" s="4">
        <v>91.388321000000005</v>
      </c>
      <c r="EB126" s="4">
        <v>62.827559999999998</v>
      </c>
      <c r="EC126" s="4">
        <v>111.679164</v>
      </c>
      <c r="ED126" s="4">
        <v>4022</v>
      </c>
      <c r="EE126" s="4">
        <v>4915</v>
      </c>
      <c r="EF126" s="4">
        <v>87.775505999999993</v>
      </c>
      <c r="EG126" s="4">
        <v>98.591228999999998</v>
      </c>
      <c r="EH126" s="4">
        <v>56.091014000000001</v>
      </c>
      <c r="EI126" s="4">
        <v>82.385273999999995</v>
      </c>
      <c r="EJ126" s="4">
        <v>99.704612999999995</v>
      </c>
      <c r="EK126" s="4">
        <v>146.44399000000001</v>
      </c>
      <c r="EL126" s="4">
        <v>3863</v>
      </c>
      <c r="EM126" s="4">
        <v>4339</v>
      </c>
      <c r="EN126" s="4">
        <v>4388</v>
      </c>
      <c r="EO126" s="4">
        <v>6445</v>
      </c>
      <c r="EP126" s="4">
        <v>4401</v>
      </c>
      <c r="EQ126" s="4">
        <v>7823</v>
      </c>
      <c r="ER126" s="4">
        <v>50.977213999999996</v>
      </c>
    </row>
    <row r="127" spans="1:148" x14ac:dyDescent="0.2">
      <c r="A127" s="1">
        <v>2022</v>
      </c>
      <c r="B127" s="1" t="str">
        <f t="shared" si="2"/>
        <v>RD</v>
      </c>
      <c r="C127" s="1" t="s">
        <v>758</v>
      </c>
      <c r="D127" s="1" t="s">
        <v>758</v>
      </c>
      <c r="E127" s="1">
        <v>24436</v>
      </c>
      <c r="F127" s="1" t="s">
        <v>2093</v>
      </c>
      <c r="G127" s="1" t="s">
        <v>759</v>
      </c>
      <c r="H127" s="1" t="s">
        <v>760</v>
      </c>
      <c r="I127" s="1">
        <v>21.56</v>
      </c>
      <c r="J127" s="1">
        <v>21.56</v>
      </c>
      <c r="K127" s="1" t="s">
        <v>249</v>
      </c>
      <c r="L127" s="1">
        <v>1</v>
      </c>
      <c r="M127" s="1">
        <v>2016</v>
      </c>
      <c r="N127" s="1">
        <v>2</v>
      </c>
      <c r="O127" s="1">
        <v>1</v>
      </c>
      <c r="P127" s="1" t="str">
        <f t="shared" si="3"/>
        <v>Alto fuste</v>
      </c>
      <c r="Q127" s="2">
        <v>42704</v>
      </c>
      <c r="R127" s="1" t="s">
        <v>227</v>
      </c>
      <c r="S127" s="1" t="s">
        <v>761</v>
      </c>
      <c r="T127" s="1" t="s">
        <v>2268</v>
      </c>
      <c r="U127" s="1" t="s">
        <v>212</v>
      </c>
      <c r="V127" s="1" t="s">
        <v>152</v>
      </c>
      <c r="W127" s="2">
        <v>44686</v>
      </c>
      <c r="X127" s="1" t="s">
        <v>762</v>
      </c>
      <c r="Y127" s="1">
        <v>60.26</v>
      </c>
      <c r="Z127" s="1">
        <v>19.899999999999999</v>
      </c>
      <c r="AA127" s="1">
        <v>18</v>
      </c>
      <c r="AB127" s="1">
        <v>14.9</v>
      </c>
      <c r="AC127" s="1">
        <v>2</v>
      </c>
      <c r="AD127" s="3">
        <v>296.51</v>
      </c>
      <c r="AE127" s="3">
        <v>281.82598222594999</v>
      </c>
      <c r="AF127" s="2">
        <v>44686</v>
      </c>
      <c r="AG127" s="1">
        <v>66</v>
      </c>
      <c r="AH127" s="3">
        <v>5.4264202600958296</v>
      </c>
      <c r="AI127" s="4">
        <v>20.6287336550816</v>
      </c>
      <c r="AJ127" s="4">
        <v>13.0027777777778</v>
      </c>
      <c r="AK127" s="4">
        <v>17.823299657689201</v>
      </c>
      <c r="AL127" s="1">
        <v>36</v>
      </c>
      <c r="AM127" s="5">
        <v>1277.38399829784</v>
      </c>
      <c r="AN127" s="4">
        <v>177.41049655152901</v>
      </c>
      <c r="AO127" s="4">
        <v>0.13888579846619001</v>
      </c>
      <c r="AP127" s="1" t="s">
        <v>761</v>
      </c>
      <c r="AQ127" s="1" t="s">
        <v>156</v>
      </c>
      <c r="AR127" s="1" t="s">
        <v>291</v>
      </c>
      <c r="AS127" s="1">
        <v>7.5</v>
      </c>
      <c r="AT127" s="4">
        <v>0.95803799872338002</v>
      </c>
      <c r="AU127" s="1" t="s">
        <v>763</v>
      </c>
      <c r="AV127" s="1" t="s">
        <v>764</v>
      </c>
      <c r="AW127" s="1">
        <v>3536</v>
      </c>
      <c r="AX127" s="1">
        <v>1993</v>
      </c>
      <c r="AY127" s="1">
        <v>1278</v>
      </c>
      <c r="AZ127" s="1">
        <v>253</v>
      </c>
      <c r="BA127" s="1">
        <v>12</v>
      </c>
      <c r="BB127" s="1">
        <v>0</v>
      </c>
      <c r="BC127" s="1">
        <v>0</v>
      </c>
      <c r="BD127" s="1">
        <v>0</v>
      </c>
      <c r="BE127" s="1">
        <v>0</v>
      </c>
      <c r="BF127" s="1">
        <v>0</v>
      </c>
      <c r="BG127" s="1">
        <v>0</v>
      </c>
      <c r="BH127" s="4">
        <v>-0.85</v>
      </c>
      <c r="BI127" s="4">
        <v>27.92</v>
      </c>
      <c r="BJ127" s="4">
        <v>12.252817</v>
      </c>
      <c r="BK127" s="4">
        <v>6.3333E-2</v>
      </c>
      <c r="BL127" s="4">
        <v>10.266597000000001</v>
      </c>
      <c r="BM127" s="4">
        <v>105.403007</v>
      </c>
      <c r="BN127" s="4">
        <v>0.837897</v>
      </c>
      <c r="BO127" s="4">
        <v>21.732500999999999</v>
      </c>
      <c r="BP127" s="4">
        <v>-0.117104</v>
      </c>
      <c r="BQ127" s="4">
        <v>1.299015</v>
      </c>
      <c r="BR127" s="4">
        <v>9.5680309999999995</v>
      </c>
      <c r="BS127" s="4">
        <v>9.1850009999999997</v>
      </c>
      <c r="BT127" s="4">
        <v>15.121665999999999</v>
      </c>
      <c r="BU127" s="4">
        <v>12.252817</v>
      </c>
      <c r="BV127" s="4">
        <v>5.689146</v>
      </c>
      <c r="BW127" s="4">
        <v>-2.5340000000000001E-2</v>
      </c>
      <c r="BX127" s="4">
        <v>-0.82761899999999999</v>
      </c>
      <c r="BY127" s="4">
        <v>0.46431299999999998</v>
      </c>
      <c r="BZ127" s="4">
        <v>-4.4539999999999996E-3</v>
      </c>
      <c r="CA127" s="4">
        <v>-0.14547299999999999</v>
      </c>
      <c r="CB127" s="4">
        <v>-0.26</v>
      </c>
      <c r="CC127" s="4">
        <v>-0.03</v>
      </c>
      <c r="CD127" s="4">
        <v>7.0000000000000007E-2</v>
      </c>
      <c r="CE127" s="4">
        <v>0.21</v>
      </c>
      <c r="CF127" s="4">
        <v>0.28999999999999998</v>
      </c>
      <c r="CG127" s="4">
        <v>0.38</v>
      </c>
      <c r="CH127" s="4">
        <v>7.81</v>
      </c>
      <c r="CI127" s="4">
        <v>15.184998999999999</v>
      </c>
      <c r="CJ127" s="4">
        <v>18.579999999999998</v>
      </c>
      <c r="CK127" s="4">
        <v>20.82</v>
      </c>
      <c r="CL127" s="4">
        <v>22.022500999999998</v>
      </c>
      <c r="CM127" s="4">
        <v>23.27</v>
      </c>
      <c r="CN127" s="4">
        <v>24.469999000000001</v>
      </c>
      <c r="CO127" s="4">
        <v>25.32</v>
      </c>
      <c r="CP127" s="4">
        <v>26.722998</v>
      </c>
      <c r="CQ127" s="4">
        <v>0.45543299999999998</v>
      </c>
      <c r="CR127" s="4">
        <v>15.984515</v>
      </c>
      <c r="CS127" s="4">
        <v>17.743480000000002</v>
      </c>
      <c r="CT127" s="1">
        <v>1</v>
      </c>
      <c r="CU127" s="1">
        <v>46</v>
      </c>
      <c r="CV127" s="4">
        <v>10.539593</v>
      </c>
      <c r="CW127" s="4">
        <v>1</v>
      </c>
      <c r="CX127" s="4">
        <v>7.8025209999999996</v>
      </c>
      <c r="CY127" s="4">
        <v>60.879337</v>
      </c>
      <c r="CZ127" s="4">
        <v>0.74030600000000002</v>
      </c>
      <c r="DA127" s="4">
        <v>9</v>
      </c>
      <c r="DB127" s="4">
        <v>1.137202</v>
      </c>
      <c r="DC127" s="4">
        <v>4.1176839999999997</v>
      </c>
      <c r="DD127" s="4">
        <v>6.0904569999999998</v>
      </c>
      <c r="DE127" s="4">
        <v>10.539593</v>
      </c>
      <c r="DF127" s="4">
        <v>4.210858</v>
      </c>
      <c r="DG127" s="4">
        <v>0.94679000000000002</v>
      </c>
      <c r="DH127" s="4">
        <v>0.52832000000000001</v>
      </c>
      <c r="DI127" s="4">
        <v>0.39952799999999999</v>
      </c>
      <c r="DJ127" s="4">
        <v>0.22484499999999999</v>
      </c>
      <c r="DK127" s="4">
        <v>0.12546599999999999</v>
      </c>
      <c r="DL127" s="4">
        <v>1</v>
      </c>
      <c r="DM127" s="4">
        <v>1</v>
      </c>
      <c r="DN127" s="4">
        <v>2</v>
      </c>
      <c r="DO127" s="4">
        <v>4</v>
      </c>
      <c r="DP127" s="4">
        <v>5</v>
      </c>
      <c r="DQ127" s="4">
        <v>5</v>
      </c>
      <c r="DR127" s="4">
        <v>7</v>
      </c>
      <c r="DS127" s="4">
        <v>9</v>
      </c>
      <c r="DT127" s="4">
        <v>11</v>
      </c>
      <c r="DU127" s="4">
        <v>13</v>
      </c>
      <c r="DV127" s="4">
        <v>14</v>
      </c>
      <c r="DW127" s="4">
        <v>16</v>
      </c>
      <c r="DX127" s="4">
        <v>21</v>
      </c>
      <c r="DY127" s="4">
        <v>27</v>
      </c>
      <c r="DZ127" s="4">
        <v>35</v>
      </c>
      <c r="EA127" s="4">
        <v>86.954340000000002</v>
      </c>
      <c r="EB127" s="4">
        <v>61.877828000000001</v>
      </c>
      <c r="EC127" s="4">
        <v>109.784245</v>
      </c>
      <c r="ED127" s="4">
        <v>1733</v>
      </c>
      <c r="EE127" s="4">
        <v>2188</v>
      </c>
      <c r="EF127" s="4">
        <v>82.589061999999998</v>
      </c>
      <c r="EG127" s="4">
        <v>98.996487999999999</v>
      </c>
      <c r="EH127" s="4">
        <v>55.627828000000001</v>
      </c>
      <c r="EI127" s="4">
        <v>90.243212999999997</v>
      </c>
      <c r="EJ127" s="4">
        <v>98.695434000000006</v>
      </c>
      <c r="EK127" s="4">
        <v>160.11038600000001</v>
      </c>
      <c r="EL127" s="4">
        <v>1646</v>
      </c>
      <c r="EM127" s="4">
        <v>1973</v>
      </c>
      <c r="EN127" s="4">
        <v>1967</v>
      </c>
      <c r="EO127" s="4">
        <v>3191</v>
      </c>
      <c r="EP127" s="4">
        <v>1993</v>
      </c>
      <c r="EQ127" s="4">
        <v>3536</v>
      </c>
      <c r="ER127" s="4">
        <v>44.865307999999999</v>
      </c>
    </row>
    <row r="128" spans="1:148" x14ac:dyDescent="0.2">
      <c r="A128" s="1">
        <v>2022</v>
      </c>
      <c r="B128" s="1" t="str">
        <f t="shared" si="2"/>
        <v>RD</v>
      </c>
      <c r="C128" s="1" t="s">
        <v>765</v>
      </c>
      <c r="D128" s="1" t="s">
        <v>765</v>
      </c>
      <c r="E128" s="1">
        <v>24437</v>
      </c>
      <c r="F128" s="1" t="s">
        <v>2093</v>
      </c>
      <c r="G128" s="1" t="s">
        <v>759</v>
      </c>
      <c r="H128" s="1" t="s">
        <v>766</v>
      </c>
      <c r="I128" s="1">
        <v>34.770000000000003</v>
      </c>
      <c r="J128" s="1">
        <v>34.770000000000003</v>
      </c>
      <c r="K128" s="1" t="s">
        <v>249</v>
      </c>
      <c r="L128" s="1">
        <v>1</v>
      </c>
      <c r="M128" s="1">
        <v>2016</v>
      </c>
      <c r="N128" s="1">
        <v>2</v>
      </c>
      <c r="O128" s="1">
        <v>1</v>
      </c>
      <c r="P128" s="1" t="str">
        <f t="shared" si="3"/>
        <v>Alto fuste</v>
      </c>
      <c r="Q128" s="2">
        <v>42699</v>
      </c>
      <c r="R128" s="1" t="s">
        <v>227</v>
      </c>
      <c r="S128" s="1" t="s">
        <v>767</v>
      </c>
      <c r="T128" s="1" t="s">
        <v>2268</v>
      </c>
      <c r="U128" s="1" t="s">
        <v>212</v>
      </c>
      <c r="V128" s="1" t="s">
        <v>152</v>
      </c>
      <c r="W128" s="2">
        <v>44686</v>
      </c>
      <c r="X128" s="1" t="s">
        <v>762</v>
      </c>
      <c r="Y128" s="1">
        <v>60.26</v>
      </c>
      <c r="Z128" s="1">
        <v>20.5</v>
      </c>
      <c r="AA128" s="1">
        <v>15</v>
      </c>
      <c r="AB128" s="1">
        <v>15</v>
      </c>
      <c r="AC128" s="1">
        <v>2</v>
      </c>
      <c r="AD128" s="3">
        <v>307.5</v>
      </c>
      <c r="AE128" s="3">
        <v>296.84125369004698</v>
      </c>
      <c r="AF128" s="2">
        <v>44686</v>
      </c>
      <c r="AG128" s="1">
        <v>66</v>
      </c>
      <c r="AH128" s="3">
        <v>5.4401095140314899</v>
      </c>
      <c r="AI128" s="4">
        <v>22.8117070763603</v>
      </c>
      <c r="AJ128" s="4">
        <v>13.972727272727299</v>
      </c>
      <c r="AK128" s="4">
        <v>17.205105464145898</v>
      </c>
      <c r="AL128" s="1">
        <v>33</v>
      </c>
      <c r="AM128" s="5">
        <v>1111.70531689162</v>
      </c>
      <c r="AN128" s="4">
        <v>182.65867117447101</v>
      </c>
      <c r="AO128" s="4">
        <v>0.16430493620844899</v>
      </c>
      <c r="AP128" s="1" t="s">
        <v>767</v>
      </c>
      <c r="AQ128" s="1" t="s">
        <v>156</v>
      </c>
      <c r="AR128" s="1" t="s">
        <v>291</v>
      </c>
      <c r="AS128" s="1">
        <v>7.5</v>
      </c>
      <c r="AT128" s="4">
        <v>0.83377898766871505</v>
      </c>
      <c r="AU128" s="1" t="s">
        <v>768</v>
      </c>
      <c r="AV128" s="1" t="s">
        <v>769</v>
      </c>
      <c r="AW128" s="1">
        <v>3231</v>
      </c>
      <c r="AX128" s="1">
        <v>1894</v>
      </c>
      <c r="AY128" s="1">
        <v>1319</v>
      </c>
      <c r="AZ128" s="1">
        <v>17</v>
      </c>
      <c r="BA128" s="1">
        <v>1</v>
      </c>
      <c r="BB128" s="1">
        <v>0</v>
      </c>
      <c r="BC128" s="1">
        <v>0</v>
      </c>
      <c r="BD128" s="1">
        <v>0</v>
      </c>
      <c r="BE128" s="1">
        <v>0</v>
      </c>
      <c r="BF128" s="1">
        <v>0</v>
      </c>
      <c r="BG128" s="1">
        <v>0</v>
      </c>
      <c r="BH128" s="4">
        <v>-0.7</v>
      </c>
      <c r="BI128" s="4">
        <v>24.51</v>
      </c>
      <c r="BJ128" s="4">
        <v>11.156388</v>
      </c>
      <c r="BK128" s="4">
        <v>0.100317</v>
      </c>
      <c r="BL128" s="4">
        <v>10.706533</v>
      </c>
      <c r="BM128" s="4">
        <v>114.629853</v>
      </c>
      <c r="BN128" s="4">
        <v>0.959677</v>
      </c>
      <c r="BO128" s="4">
        <v>21.440000999999999</v>
      </c>
      <c r="BP128" s="4">
        <v>-1.7933000000000001E-2</v>
      </c>
      <c r="BQ128" s="4">
        <v>1.037031</v>
      </c>
      <c r="BR128" s="4">
        <v>10.639951</v>
      </c>
      <c r="BS128" s="4">
        <v>5.91</v>
      </c>
      <c r="BT128" s="4">
        <v>17.979683000000001</v>
      </c>
      <c r="BU128" s="4">
        <v>11.156388</v>
      </c>
      <c r="BV128" s="4">
        <v>5.5717780000000001</v>
      </c>
      <c r="BW128" s="4">
        <v>0.12573100000000001</v>
      </c>
      <c r="BX128" s="4">
        <v>-1.182458</v>
      </c>
      <c r="BY128" s="4">
        <v>0.49942500000000001</v>
      </c>
      <c r="BZ128" s="4">
        <v>2.2565999999999999E-2</v>
      </c>
      <c r="CA128" s="4">
        <v>-0.21222299999999999</v>
      </c>
      <c r="CB128" s="4">
        <v>-0.28999999999999998</v>
      </c>
      <c r="CC128" s="4">
        <v>-0.02</v>
      </c>
      <c r="CD128" s="4">
        <v>0.09</v>
      </c>
      <c r="CE128" s="4">
        <v>0.2</v>
      </c>
      <c r="CF128" s="4">
        <v>0.25</v>
      </c>
      <c r="CG128" s="4">
        <v>0.28999999999999998</v>
      </c>
      <c r="CH128" s="4">
        <v>0.4</v>
      </c>
      <c r="CI128" s="4">
        <v>18.079999999999998</v>
      </c>
      <c r="CJ128" s="4">
        <v>20.58</v>
      </c>
      <c r="CK128" s="4">
        <v>21.280000999999999</v>
      </c>
      <c r="CL128" s="4">
        <v>21.690000999999999</v>
      </c>
      <c r="CM128" s="4">
        <v>22.129999000000002</v>
      </c>
      <c r="CN128" s="4">
        <v>22.889999</v>
      </c>
      <c r="CO128" s="4">
        <v>23.34</v>
      </c>
      <c r="CP128" s="4">
        <v>23.943999999999999</v>
      </c>
      <c r="CQ128" s="4">
        <v>0.47030499999999997</v>
      </c>
      <c r="CR128" s="4">
        <v>15.461544999999999</v>
      </c>
      <c r="CS128" s="4">
        <v>17.326948999999999</v>
      </c>
      <c r="CT128" s="1">
        <v>1</v>
      </c>
      <c r="CU128" s="1">
        <v>47</v>
      </c>
      <c r="CV128" s="4">
        <v>14.76416</v>
      </c>
      <c r="CW128" s="4">
        <v>14.873016</v>
      </c>
      <c r="CX128" s="4">
        <v>9.7574660000000009</v>
      </c>
      <c r="CY128" s="4">
        <v>95.208139000000003</v>
      </c>
      <c r="CZ128" s="4">
        <v>0.66088899999999995</v>
      </c>
      <c r="DA128" s="4">
        <v>12.5</v>
      </c>
      <c r="DB128" s="4">
        <v>0.78893199999999997</v>
      </c>
      <c r="DC128" s="4">
        <v>3.325755</v>
      </c>
      <c r="DD128" s="4">
        <v>7.6039339999999997</v>
      </c>
      <c r="DE128" s="4">
        <v>14.76416</v>
      </c>
      <c r="DF128" s="4">
        <v>5.3897979999999999</v>
      </c>
      <c r="DG128" s="4">
        <v>0.77476999999999996</v>
      </c>
      <c r="DH128" s="4">
        <v>0.665856</v>
      </c>
      <c r="DI128" s="4">
        <v>0.36506</v>
      </c>
      <c r="DJ128" s="4">
        <v>0.14374799999999999</v>
      </c>
      <c r="DK128" s="4">
        <v>0.12354</v>
      </c>
      <c r="DL128" s="4">
        <v>1</v>
      </c>
      <c r="DM128" s="4">
        <v>1.5</v>
      </c>
      <c r="DN128" s="4">
        <v>3</v>
      </c>
      <c r="DO128" s="4">
        <v>6</v>
      </c>
      <c r="DP128" s="4">
        <v>7</v>
      </c>
      <c r="DQ128" s="4">
        <v>9</v>
      </c>
      <c r="DR128" s="4">
        <v>12</v>
      </c>
      <c r="DS128" s="4">
        <v>14</v>
      </c>
      <c r="DT128" s="4">
        <v>16</v>
      </c>
      <c r="DU128" s="4">
        <v>18</v>
      </c>
      <c r="DV128" s="4">
        <v>19.5</v>
      </c>
      <c r="DW128" s="4">
        <v>21</v>
      </c>
      <c r="DX128" s="4">
        <v>29</v>
      </c>
      <c r="DY128" s="4">
        <v>36</v>
      </c>
      <c r="DZ128" s="4">
        <v>41</v>
      </c>
      <c r="EA128" s="4">
        <v>87.011616000000004</v>
      </c>
      <c r="EB128" s="4">
        <v>51.624884000000002</v>
      </c>
      <c r="EC128" s="4">
        <v>88.067582000000002</v>
      </c>
      <c r="ED128" s="4">
        <v>1648</v>
      </c>
      <c r="EE128" s="4">
        <v>1668</v>
      </c>
      <c r="EF128" s="4">
        <v>86.483632999999998</v>
      </c>
      <c r="EG128" s="4">
        <v>99.419218999999998</v>
      </c>
      <c r="EH128" s="4">
        <v>50.913029999999999</v>
      </c>
      <c r="EI128" s="4">
        <v>89.043639999999996</v>
      </c>
      <c r="EJ128" s="4">
        <v>86.853221000000005</v>
      </c>
      <c r="EK128" s="4">
        <v>151.90073899999999</v>
      </c>
      <c r="EL128" s="4">
        <v>1638</v>
      </c>
      <c r="EM128" s="4">
        <v>1883</v>
      </c>
      <c r="EN128" s="4">
        <v>1645</v>
      </c>
      <c r="EO128" s="4">
        <v>2877</v>
      </c>
      <c r="EP128" s="4">
        <v>1894</v>
      </c>
      <c r="EQ128" s="4">
        <v>3231</v>
      </c>
      <c r="ER128" s="4">
        <v>45.569704000000002</v>
      </c>
    </row>
    <row r="129" spans="1:148" x14ac:dyDescent="0.2">
      <c r="A129" s="1">
        <v>2022</v>
      </c>
      <c r="B129" s="1" t="str">
        <f t="shared" si="2"/>
        <v>RD</v>
      </c>
      <c r="C129" s="1" t="s">
        <v>770</v>
      </c>
      <c r="D129" s="1" t="s">
        <v>770</v>
      </c>
      <c r="E129" s="1">
        <v>24438</v>
      </c>
      <c r="F129" s="1" t="s">
        <v>2093</v>
      </c>
      <c r="G129" s="1" t="s">
        <v>759</v>
      </c>
      <c r="H129" s="1" t="s">
        <v>766</v>
      </c>
      <c r="I129" s="1">
        <v>34.770000000000003</v>
      </c>
      <c r="J129" s="1">
        <v>34.770000000000003</v>
      </c>
      <c r="K129" s="1" t="s">
        <v>249</v>
      </c>
      <c r="L129" s="1">
        <v>1</v>
      </c>
      <c r="M129" s="1">
        <v>2016</v>
      </c>
      <c r="N129" s="1">
        <v>2</v>
      </c>
      <c r="O129" s="1">
        <v>1</v>
      </c>
      <c r="P129" s="1" t="str">
        <f t="shared" si="3"/>
        <v>Alto fuste</v>
      </c>
      <c r="Q129" s="2">
        <v>42699</v>
      </c>
      <c r="R129" s="1" t="s">
        <v>227</v>
      </c>
      <c r="S129" s="1" t="s">
        <v>767</v>
      </c>
      <c r="T129" s="1" t="s">
        <v>2268</v>
      </c>
      <c r="U129" s="1" t="s">
        <v>212</v>
      </c>
      <c r="V129" s="1" t="s">
        <v>152</v>
      </c>
      <c r="W129" s="2">
        <v>44686</v>
      </c>
      <c r="X129" s="1" t="s">
        <v>762</v>
      </c>
      <c r="Y129" s="1">
        <v>60.26</v>
      </c>
      <c r="Z129" s="1">
        <v>19.399999999999999</v>
      </c>
      <c r="AA129" s="1">
        <v>16</v>
      </c>
      <c r="AB129" s="1">
        <v>14.9</v>
      </c>
      <c r="AC129" s="1">
        <v>5</v>
      </c>
      <c r="AD129" s="3">
        <v>289.06</v>
      </c>
      <c r="AE129" s="3">
        <v>276.80495586533101</v>
      </c>
      <c r="AF129" s="2">
        <v>44686</v>
      </c>
      <c r="AG129" s="1">
        <v>66</v>
      </c>
      <c r="AH129" s="3">
        <v>5.4401095140314899</v>
      </c>
      <c r="AI129" s="4">
        <v>20.812063946692</v>
      </c>
      <c r="AJ129" s="4">
        <v>12.597297297297301</v>
      </c>
      <c r="AK129" s="4">
        <v>17.007736739946498</v>
      </c>
      <c r="AL129" s="1">
        <v>37</v>
      </c>
      <c r="AM129" s="5">
        <v>1336.6812701865399</v>
      </c>
      <c r="AN129" s="4">
        <v>167.60444441540901</v>
      </c>
      <c r="AO129" s="4">
        <v>0.12538848875470399</v>
      </c>
      <c r="AP129" s="1" t="s">
        <v>767</v>
      </c>
      <c r="AQ129" s="1" t="s">
        <v>156</v>
      </c>
      <c r="AR129" s="1" t="s">
        <v>291</v>
      </c>
      <c r="AS129" s="1">
        <v>7.5</v>
      </c>
      <c r="AT129" s="4">
        <v>1.002510952639905</v>
      </c>
      <c r="AU129" s="1" t="s">
        <v>771</v>
      </c>
      <c r="AV129" s="1" t="s">
        <v>772</v>
      </c>
      <c r="AW129" s="1">
        <v>2565</v>
      </c>
      <c r="AX129" s="1">
        <v>1403</v>
      </c>
      <c r="AY129" s="1">
        <v>1129</v>
      </c>
      <c r="AZ129" s="1">
        <v>33</v>
      </c>
      <c r="BA129" s="1">
        <v>0</v>
      </c>
      <c r="BB129" s="1">
        <v>0</v>
      </c>
      <c r="BC129" s="1">
        <v>0</v>
      </c>
      <c r="BD129" s="1">
        <v>0</v>
      </c>
      <c r="BE129" s="1">
        <v>0</v>
      </c>
      <c r="BF129" s="1">
        <v>0</v>
      </c>
      <c r="BG129" s="1">
        <v>0</v>
      </c>
      <c r="BH129" s="4">
        <v>-0.88</v>
      </c>
      <c r="BI129" s="4">
        <v>22.120000999999998</v>
      </c>
      <c r="BJ129" s="4">
        <v>9.5342140000000004</v>
      </c>
      <c r="BK129" s="4">
        <v>-0.51492099999999996</v>
      </c>
      <c r="BL129" s="4">
        <v>9.64724</v>
      </c>
      <c r="BM129" s="4">
        <v>93.069241000000005</v>
      </c>
      <c r="BN129" s="4">
        <v>1.0118549999999999</v>
      </c>
      <c r="BO129" s="4">
        <v>19.440000999999999</v>
      </c>
      <c r="BP129" s="4">
        <v>3.0821000000000001E-2</v>
      </c>
      <c r="BQ129" s="4">
        <v>1.0538270000000001</v>
      </c>
      <c r="BR129" s="4">
        <v>9.5378030000000003</v>
      </c>
      <c r="BS129" s="4">
        <v>9.7400009999999995</v>
      </c>
      <c r="BT129" s="4">
        <v>10.114921000000001</v>
      </c>
      <c r="BU129" s="4">
        <v>9.5342140000000004</v>
      </c>
      <c r="BV129" s="4">
        <v>5.0545660000000003</v>
      </c>
      <c r="BW129" s="4">
        <v>0.22260099999999999</v>
      </c>
      <c r="BX129" s="4">
        <v>-1.0595889999999999</v>
      </c>
      <c r="BY129" s="4">
        <v>0.53015000000000001</v>
      </c>
      <c r="BZ129" s="4">
        <v>4.4040000000000003E-2</v>
      </c>
      <c r="CA129" s="4">
        <v>-0.20963000000000001</v>
      </c>
      <c r="CB129" s="4">
        <v>-0.59719999999999995</v>
      </c>
      <c r="CC129" s="4">
        <v>-0.43</v>
      </c>
      <c r="CD129" s="4">
        <v>-0.32</v>
      </c>
      <c r="CE129" s="4">
        <v>-0.21</v>
      </c>
      <c r="CF129" s="4">
        <v>-0.15</v>
      </c>
      <c r="CG129" s="4">
        <v>-0.1</v>
      </c>
      <c r="CH129" s="4">
        <v>0.02</v>
      </c>
      <c r="CI129" s="4">
        <v>9.6</v>
      </c>
      <c r="CJ129" s="4">
        <v>18.173999999999999</v>
      </c>
      <c r="CK129" s="4">
        <v>18.948001999999999</v>
      </c>
      <c r="CL129" s="4">
        <v>19.290001</v>
      </c>
      <c r="CM129" s="4">
        <v>19.601998999999999</v>
      </c>
      <c r="CN129" s="4">
        <v>20.370000999999998</v>
      </c>
      <c r="CO129" s="4">
        <v>20.85</v>
      </c>
      <c r="CP129" s="4">
        <v>21.511606</v>
      </c>
      <c r="CQ129" s="4">
        <v>0.45279199999999997</v>
      </c>
      <c r="CR129" s="4">
        <v>13.562234</v>
      </c>
      <c r="CS129" s="4">
        <v>15.262518999999999</v>
      </c>
      <c r="CT129" s="1">
        <v>1</v>
      </c>
      <c r="CU129" s="1">
        <v>50</v>
      </c>
      <c r="CV129" s="4">
        <v>15.074854</v>
      </c>
      <c r="CW129" s="4">
        <v>17.333333</v>
      </c>
      <c r="CX129" s="4">
        <v>10.215571000000001</v>
      </c>
      <c r="CY129" s="4">
        <v>104.357889</v>
      </c>
      <c r="CZ129" s="4">
        <v>0.67765600000000004</v>
      </c>
      <c r="DA129" s="4">
        <v>13</v>
      </c>
      <c r="DB129" s="4">
        <v>0.96842399999999995</v>
      </c>
      <c r="DC129" s="4">
        <v>3.68899</v>
      </c>
      <c r="DD129" s="4">
        <v>7.917376</v>
      </c>
      <c r="DE129" s="4">
        <v>15.074854</v>
      </c>
      <c r="DF129" s="4">
        <v>5.5789629999999999</v>
      </c>
      <c r="DG129" s="4">
        <v>1.0125280000000001</v>
      </c>
      <c r="DH129" s="4">
        <v>0.73420600000000003</v>
      </c>
      <c r="DI129" s="4">
        <v>0.37008400000000002</v>
      </c>
      <c r="DJ129" s="4">
        <v>0.18149000000000001</v>
      </c>
      <c r="DK129" s="4">
        <v>0.131603</v>
      </c>
      <c r="DL129" s="4">
        <v>1</v>
      </c>
      <c r="DM129" s="4">
        <v>2</v>
      </c>
      <c r="DN129" s="4">
        <v>3</v>
      </c>
      <c r="DO129" s="4">
        <v>6</v>
      </c>
      <c r="DP129" s="4">
        <v>7</v>
      </c>
      <c r="DQ129" s="4">
        <v>9</v>
      </c>
      <c r="DR129" s="4">
        <v>11</v>
      </c>
      <c r="DS129" s="4">
        <v>14</v>
      </c>
      <c r="DT129" s="4">
        <v>16</v>
      </c>
      <c r="DU129" s="4">
        <v>19</v>
      </c>
      <c r="DV129" s="4">
        <v>20</v>
      </c>
      <c r="DW129" s="4">
        <v>22</v>
      </c>
      <c r="DX129" s="4">
        <v>29</v>
      </c>
      <c r="DY129" s="4">
        <v>38</v>
      </c>
      <c r="DZ129" s="4">
        <v>44</v>
      </c>
      <c r="EA129" s="4">
        <v>89.807554999999994</v>
      </c>
      <c r="EB129" s="4">
        <v>51.111111000000001</v>
      </c>
      <c r="EC129" s="4">
        <v>93.442622999999998</v>
      </c>
      <c r="ED129" s="4">
        <v>1260</v>
      </c>
      <c r="EE129" s="4">
        <v>1311</v>
      </c>
      <c r="EF129" s="4">
        <v>89.308623999999995</v>
      </c>
      <c r="EG129" s="4">
        <v>100</v>
      </c>
      <c r="EH129" s="4">
        <v>50.019492999999997</v>
      </c>
      <c r="EI129" s="4">
        <v>98.050681999999995</v>
      </c>
      <c r="EJ129" s="4">
        <v>91.446899999999999</v>
      </c>
      <c r="EK129" s="4">
        <v>179.25873100000001</v>
      </c>
      <c r="EL129" s="4">
        <v>1253</v>
      </c>
      <c r="EM129" s="4">
        <v>1403</v>
      </c>
      <c r="EN129" s="4">
        <v>1283</v>
      </c>
      <c r="EO129" s="4">
        <v>2515</v>
      </c>
      <c r="EP129" s="4">
        <v>1403</v>
      </c>
      <c r="EQ129" s="4">
        <v>2565</v>
      </c>
      <c r="ER129" s="4">
        <v>43.774965000000002</v>
      </c>
    </row>
    <row r="130" spans="1:148" x14ac:dyDescent="0.2">
      <c r="A130" s="1">
        <v>2022</v>
      </c>
      <c r="B130" s="1" t="str">
        <f t="shared" si="2"/>
        <v>RD</v>
      </c>
      <c r="C130" s="1" t="s">
        <v>773</v>
      </c>
      <c r="D130" s="1" t="s">
        <v>773</v>
      </c>
      <c r="E130" s="1">
        <v>24439</v>
      </c>
      <c r="F130" s="1" t="s">
        <v>2094</v>
      </c>
      <c r="G130" s="1" t="s">
        <v>774</v>
      </c>
      <c r="H130" s="1" t="s">
        <v>775</v>
      </c>
      <c r="I130" s="1">
        <v>43.26</v>
      </c>
      <c r="J130" s="1">
        <v>43.26</v>
      </c>
      <c r="K130" s="1" t="s">
        <v>249</v>
      </c>
      <c r="L130" s="1">
        <v>1</v>
      </c>
      <c r="M130" s="1">
        <v>2016</v>
      </c>
      <c r="N130" s="1">
        <v>2</v>
      </c>
      <c r="O130" s="1">
        <v>1</v>
      </c>
      <c r="P130" s="1" t="str">
        <f t="shared" si="3"/>
        <v>Alto fuste</v>
      </c>
      <c r="Q130" s="2">
        <v>42732</v>
      </c>
      <c r="R130" s="1" t="s">
        <v>227</v>
      </c>
      <c r="S130" s="1" t="s">
        <v>238</v>
      </c>
      <c r="T130" s="1" t="s">
        <v>2268</v>
      </c>
      <c r="U130" s="1" t="s">
        <v>212</v>
      </c>
      <c r="V130" s="1" t="s">
        <v>152</v>
      </c>
      <c r="W130" s="2">
        <v>44686</v>
      </c>
      <c r="X130" s="1" t="s">
        <v>776</v>
      </c>
      <c r="Y130" s="1">
        <v>45.1</v>
      </c>
      <c r="Z130" s="1">
        <v>20</v>
      </c>
      <c r="AA130" s="1">
        <v>14</v>
      </c>
      <c r="AB130" s="1">
        <v>15.2</v>
      </c>
      <c r="AC130" s="1">
        <v>2</v>
      </c>
      <c r="AD130" s="3">
        <v>304</v>
      </c>
      <c r="AE130" s="3">
        <v>294.79021309416299</v>
      </c>
      <c r="AF130" s="2">
        <v>44686</v>
      </c>
      <c r="AG130" s="1">
        <v>65</v>
      </c>
      <c r="AH130" s="3">
        <v>5.3497604380561299</v>
      </c>
      <c r="AI130" s="4">
        <v>20.537234219006798</v>
      </c>
      <c r="AJ130" s="4">
        <v>13.673809523809499</v>
      </c>
      <c r="AK130" s="4">
        <v>21.708427912209899</v>
      </c>
      <c r="AL130" s="1">
        <v>42</v>
      </c>
      <c r="AM130" s="5">
        <v>1424.7420075165201</v>
      </c>
      <c r="AN130" s="4">
        <v>208.303679470595</v>
      </c>
      <c r="AO130" s="4">
        <v>0.14620449061770199</v>
      </c>
      <c r="AP130" s="1" t="s">
        <v>238</v>
      </c>
      <c r="AQ130" s="1" t="s">
        <v>156</v>
      </c>
      <c r="AR130" s="1" t="s">
        <v>282</v>
      </c>
      <c r="AS130" s="1">
        <v>7.5</v>
      </c>
      <c r="AT130" s="4">
        <v>1.06855650563739</v>
      </c>
      <c r="AU130" s="1" t="s">
        <v>777</v>
      </c>
      <c r="AV130" s="1" t="s">
        <v>778</v>
      </c>
      <c r="AW130" s="1">
        <v>2514</v>
      </c>
      <c r="AX130" s="1">
        <v>1467</v>
      </c>
      <c r="AY130" s="1">
        <v>969</v>
      </c>
      <c r="AZ130" s="1">
        <v>76</v>
      </c>
      <c r="BA130" s="1">
        <v>2</v>
      </c>
      <c r="BB130" s="1">
        <v>0</v>
      </c>
      <c r="BC130" s="1">
        <v>0</v>
      </c>
      <c r="BD130" s="1">
        <v>0</v>
      </c>
      <c r="BE130" s="1">
        <v>0</v>
      </c>
      <c r="BF130" s="1">
        <v>0</v>
      </c>
      <c r="BG130" s="1">
        <v>0</v>
      </c>
      <c r="BH130" s="4">
        <v>-1.04</v>
      </c>
      <c r="BI130" s="4">
        <v>23.08</v>
      </c>
      <c r="BJ130" s="4">
        <v>11.26389</v>
      </c>
      <c r="BK130" s="4">
        <v>-0.27428599999999997</v>
      </c>
      <c r="BL130" s="4">
        <v>9.8731039999999997</v>
      </c>
      <c r="BM130" s="4">
        <v>97.478184999999996</v>
      </c>
      <c r="BN130" s="4">
        <v>0.87652699999999995</v>
      </c>
      <c r="BO130" s="4">
        <v>20.399999000000001</v>
      </c>
      <c r="BP130" s="4">
        <v>-0.201375</v>
      </c>
      <c r="BQ130" s="4">
        <v>1.1127290000000001</v>
      </c>
      <c r="BR130" s="4">
        <v>9.6211500000000001</v>
      </c>
      <c r="BS130" s="4">
        <v>3.34</v>
      </c>
      <c r="BT130" s="4">
        <v>18.764285999999998</v>
      </c>
      <c r="BU130" s="4">
        <v>11.26389</v>
      </c>
      <c r="BV130" s="4">
        <v>5.1817380000000002</v>
      </c>
      <c r="BW130" s="4">
        <v>-0.363647</v>
      </c>
      <c r="BX130" s="4">
        <v>-1.065685</v>
      </c>
      <c r="BY130" s="4">
        <v>0.46003100000000002</v>
      </c>
      <c r="BZ130" s="4">
        <v>-7.0179000000000005E-2</v>
      </c>
      <c r="CA130" s="4">
        <v>-0.20566200000000001</v>
      </c>
      <c r="CB130" s="4">
        <v>-0.45</v>
      </c>
      <c r="CC130" s="4">
        <v>-0.19</v>
      </c>
      <c r="CD130" s="4">
        <v>-0.1</v>
      </c>
      <c r="CE130" s="4">
        <v>0.02</v>
      </c>
      <c r="CF130" s="4">
        <v>0.06</v>
      </c>
      <c r="CG130" s="4">
        <v>0.11</v>
      </c>
      <c r="CH130" s="4">
        <v>0.29199999999999998</v>
      </c>
      <c r="CI130" s="4">
        <v>18.489999999999998</v>
      </c>
      <c r="CJ130" s="4">
        <v>19.850000000000001</v>
      </c>
      <c r="CK130" s="4">
        <v>20.27</v>
      </c>
      <c r="CL130" s="4">
        <v>20.459999</v>
      </c>
      <c r="CM130" s="4">
        <v>20.643999000000001</v>
      </c>
      <c r="CN130" s="4">
        <v>21.087</v>
      </c>
      <c r="CO130" s="4">
        <v>21.51</v>
      </c>
      <c r="CP130" s="4">
        <v>22.276104</v>
      </c>
      <c r="CQ130" s="4">
        <v>0.51011200000000001</v>
      </c>
      <c r="CR130" s="4">
        <v>14.977137000000001</v>
      </c>
      <c r="CS130" s="4">
        <v>16.543828000000001</v>
      </c>
      <c r="CT130" s="1">
        <v>1</v>
      </c>
      <c r="CU130" s="1">
        <v>54</v>
      </c>
      <c r="CV130" s="4">
        <v>14.848846</v>
      </c>
      <c r="CW130" s="4">
        <v>1</v>
      </c>
      <c r="CX130" s="4">
        <v>10.191805</v>
      </c>
      <c r="CY130" s="4">
        <v>103.87288599999999</v>
      </c>
      <c r="CZ130" s="4">
        <v>0.68637000000000004</v>
      </c>
      <c r="DA130" s="4">
        <v>15</v>
      </c>
      <c r="DB130" s="4">
        <v>0.72633300000000001</v>
      </c>
      <c r="DC130" s="4">
        <v>3.2690950000000001</v>
      </c>
      <c r="DD130" s="4">
        <v>8.2631499999999996</v>
      </c>
      <c r="DE130" s="4">
        <v>14.848846</v>
      </c>
      <c r="DF130" s="4">
        <v>5.6843380000000003</v>
      </c>
      <c r="DG130" s="4">
        <v>0.76004700000000003</v>
      </c>
      <c r="DH130" s="4">
        <v>0.46632800000000002</v>
      </c>
      <c r="DI130" s="4">
        <v>0.38281300000000001</v>
      </c>
      <c r="DJ130" s="4">
        <v>0.13370899999999999</v>
      </c>
      <c r="DK130" s="4">
        <v>8.2036999999999999E-2</v>
      </c>
      <c r="DL130" s="4">
        <v>1</v>
      </c>
      <c r="DM130" s="4">
        <v>1</v>
      </c>
      <c r="DN130" s="4">
        <v>2</v>
      </c>
      <c r="DO130" s="4">
        <v>5</v>
      </c>
      <c r="DP130" s="4">
        <v>6</v>
      </c>
      <c r="DQ130" s="4">
        <v>8</v>
      </c>
      <c r="DR130" s="4">
        <v>11</v>
      </c>
      <c r="DS130" s="4">
        <v>14</v>
      </c>
      <c r="DT130" s="4">
        <v>17</v>
      </c>
      <c r="DU130" s="4">
        <v>20</v>
      </c>
      <c r="DV130" s="4">
        <v>21</v>
      </c>
      <c r="DW130" s="4">
        <v>23</v>
      </c>
      <c r="DX130" s="4">
        <v>27</v>
      </c>
      <c r="DY130" s="4">
        <v>34</v>
      </c>
      <c r="DZ130" s="4">
        <v>44</v>
      </c>
      <c r="EA130" s="4">
        <v>93.047034999999994</v>
      </c>
      <c r="EB130" s="4">
        <v>57.955449000000002</v>
      </c>
      <c r="EC130" s="4">
        <v>99.318337</v>
      </c>
      <c r="ED130" s="4">
        <v>1365</v>
      </c>
      <c r="EE130" s="4">
        <v>1457</v>
      </c>
      <c r="EF130" s="4">
        <v>91.820041000000003</v>
      </c>
      <c r="EG130" s="4">
        <v>100</v>
      </c>
      <c r="EH130" s="4">
        <v>54.852823999999998</v>
      </c>
      <c r="EI130" s="4">
        <v>97.374701999999999</v>
      </c>
      <c r="EJ130" s="4">
        <v>94.001362999999998</v>
      </c>
      <c r="EK130" s="4">
        <v>166.87116599999999</v>
      </c>
      <c r="EL130" s="4">
        <v>1347</v>
      </c>
      <c r="EM130" s="4">
        <v>1467</v>
      </c>
      <c r="EN130" s="4">
        <v>1379</v>
      </c>
      <c r="EO130" s="4">
        <v>2448</v>
      </c>
      <c r="EP130" s="4">
        <v>1467</v>
      </c>
      <c r="EQ130" s="4">
        <v>2514</v>
      </c>
      <c r="ER130" s="4">
        <v>49.591461000000002</v>
      </c>
    </row>
    <row r="131" spans="1:148" x14ac:dyDescent="0.2">
      <c r="A131" s="1">
        <v>2022</v>
      </c>
      <c r="B131" s="1" t="str">
        <f t="shared" ref="B131:B194" si="4">LEFT(C131,2)</f>
        <v>RD</v>
      </c>
      <c r="C131" s="1" t="s">
        <v>779</v>
      </c>
      <c r="D131" s="1" t="s">
        <v>779</v>
      </c>
      <c r="E131" s="1">
        <v>24440</v>
      </c>
      <c r="F131" s="1" t="s">
        <v>2094</v>
      </c>
      <c r="G131" s="1" t="s">
        <v>774</v>
      </c>
      <c r="H131" s="1" t="s">
        <v>775</v>
      </c>
      <c r="I131" s="1">
        <v>43.26</v>
      </c>
      <c r="J131" s="1">
        <v>43.26</v>
      </c>
      <c r="K131" s="1" t="s">
        <v>249</v>
      </c>
      <c r="L131" s="1">
        <v>1</v>
      </c>
      <c r="M131" s="1">
        <v>2016</v>
      </c>
      <c r="N131" s="1">
        <v>2</v>
      </c>
      <c r="O131" s="1">
        <v>1</v>
      </c>
      <c r="P131" s="1" t="str">
        <f t="shared" ref="P131:P194" si="5">IF(MID(H131,12,1)="R","Talhadia","Alto fuste")</f>
        <v>Alto fuste</v>
      </c>
      <c r="Q131" s="2">
        <v>42732</v>
      </c>
      <c r="R131" s="1" t="s">
        <v>227</v>
      </c>
      <c r="S131" s="1" t="s">
        <v>238</v>
      </c>
      <c r="T131" s="1" t="s">
        <v>2268</v>
      </c>
      <c r="U131" s="1" t="s">
        <v>212</v>
      </c>
      <c r="V131" s="1" t="s">
        <v>152</v>
      </c>
      <c r="W131" s="2">
        <v>44686</v>
      </c>
      <c r="X131" s="1" t="s">
        <v>776</v>
      </c>
      <c r="Y131" s="1">
        <v>45.1</v>
      </c>
      <c r="Z131" s="1">
        <v>20.399999999999999</v>
      </c>
      <c r="AA131" s="1">
        <v>17</v>
      </c>
      <c r="AB131" s="1">
        <v>15.2</v>
      </c>
      <c r="AC131" s="1">
        <v>1</v>
      </c>
      <c r="AD131" s="3">
        <v>310.08</v>
      </c>
      <c r="AE131" s="3">
        <v>296.48581562467803</v>
      </c>
      <c r="AF131" s="2">
        <v>44686</v>
      </c>
      <c r="AG131" s="1">
        <v>65</v>
      </c>
      <c r="AH131" s="3">
        <v>5.3497604380561299</v>
      </c>
      <c r="AI131" s="4">
        <v>19.166672140106702</v>
      </c>
      <c r="AJ131" s="4">
        <v>12.715909090909101</v>
      </c>
      <c r="AK131" s="4">
        <v>19.7053243862598</v>
      </c>
      <c r="AL131" s="1">
        <v>44</v>
      </c>
      <c r="AM131" s="5">
        <v>1484.05075997631</v>
      </c>
      <c r="AN131" s="4">
        <v>177.71051156342301</v>
      </c>
      <c r="AO131" s="4">
        <v>0.11974692264990899</v>
      </c>
      <c r="AP131" s="1" t="s">
        <v>238</v>
      </c>
      <c r="AQ131" s="1" t="s">
        <v>156</v>
      </c>
      <c r="AR131" s="1" t="s">
        <v>282</v>
      </c>
      <c r="AS131" s="1">
        <v>7.5</v>
      </c>
      <c r="AT131" s="4">
        <v>1.1130380699822326</v>
      </c>
      <c r="AU131" s="1" t="s">
        <v>780</v>
      </c>
      <c r="AV131" s="1" t="s">
        <v>781</v>
      </c>
      <c r="AW131" s="1">
        <v>3157</v>
      </c>
      <c r="AX131" s="1">
        <v>1743</v>
      </c>
      <c r="AY131" s="1">
        <v>1285</v>
      </c>
      <c r="AZ131" s="1">
        <v>128</v>
      </c>
      <c r="BA131" s="1">
        <v>1</v>
      </c>
      <c r="BB131" s="1">
        <v>0</v>
      </c>
      <c r="BC131" s="1">
        <v>0</v>
      </c>
      <c r="BD131" s="1">
        <v>0</v>
      </c>
      <c r="BE131" s="1">
        <v>0</v>
      </c>
      <c r="BF131" s="1">
        <v>0</v>
      </c>
      <c r="BG131" s="1">
        <v>0</v>
      </c>
      <c r="BH131" s="4">
        <v>-0.92</v>
      </c>
      <c r="BI131" s="4">
        <v>23.74</v>
      </c>
      <c r="BJ131" s="4">
        <v>10.741201</v>
      </c>
      <c r="BK131" s="4">
        <v>-0.13714299999999999</v>
      </c>
      <c r="BL131" s="4">
        <v>9.7673389999999998</v>
      </c>
      <c r="BM131" s="4">
        <v>95.400918000000004</v>
      </c>
      <c r="BN131" s="4">
        <v>0.90933399999999998</v>
      </c>
      <c r="BO131" s="4">
        <v>19.86</v>
      </c>
      <c r="BP131" s="4">
        <v>-0.14041100000000001</v>
      </c>
      <c r="BQ131" s="4">
        <v>1.0989789999999999</v>
      </c>
      <c r="BR131" s="4">
        <v>9.5669799999999992</v>
      </c>
      <c r="BS131" s="4">
        <v>5.94</v>
      </c>
      <c r="BT131" s="4">
        <v>15.827143</v>
      </c>
      <c r="BU131" s="4">
        <v>10.741201</v>
      </c>
      <c r="BV131" s="4">
        <v>5.1581999999999999</v>
      </c>
      <c r="BW131" s="4">
        <v>-0.12995499999999999</v>
      </c>
      <c r="BX131" s="4">
        <v>-1.018087</v>
      </c>
      <c r="BY131" s="4">
        <v>0.48022599999999999</v>
      </c>
      <c r="BZ131" s="4">
        <v>-2.5194000000000001E-2</v>
      </c>
      <c r="CA131" s="4">
        <v>-0.19737199999999999</v>
      </c>
      <c r="CB131" s="4">
        <v>-0.44440000000000002</v>
      </c>
      <c r="CC131" s="4">
        <v>-0.21</v>
      </c>
      <c r="CD131" s="4">
        <v>-0.11</v>
      </c>
      <c r="CE131" s="4">
        <v>0</v>
      </c>
      <c r="CF131" s="4">
        <v>0.05</v>
      </c>
      <c r="CG131" s="4">
        <v>0.09</v>
      </c>
      <c r="CH131" s="4">
        <v>0.24</v>
      </c>
      <c r="CI131" s="4">
        <v>15.69</v>
      </c>
      <c r="CJ131" s="4">
        <v>19.030000999999999</v>
      </c>
      <c r="CK131" s="4">
        <v>19.59</v>
      </c>
      <c r="CL131" s="4">
        <v>19.91</v>
      </c>
      <c r="CM131" s="4">
        <v>20.248000999999999</v>
      </c>
      <c r="CN131" s="4">
        <v>21.049999</v>
      </c>
      <c r="CO131" s="4">
        <v>21.661999000000002</v>
      </c>
      <c r="CP131" s="4">
        <v>22.854400999999999</v>
      </c>
      <c r="CQ131" s="4">
        <v>0.47287899999999999</v>
      </c>
      <c r="CR131" s="4">
        <v>14.517028</v>
      </c>
      <c r="CS131" s="4">
        <v>16.110738000000001</v>
      </c>
      <c r="CT131" s="1">
        <v>1</v>
      </c>
      <c r="CU131" s="1">
        <v>49</v>
      </c>
      <c r="CV131" s="4">
        <v>14.504276000000001</v>
      </c>
      <c r="CW131" s="4">
        <v>1</v>
      </c>
      <c r="CX131" s="4">
        <v>9.8679039999999993</v>
      </c>
      <c r="CY131" s="4">
        <v>97.375535999999997</v>
      </c>
      <c r="CZ131" s="4">
        <v>0.68034399999999995</v>
      </c>
      <c r="DA131" s="4">
        <v>15</v>
      </c>
      <c r="DB131" s="4">
        <v>0.65251099999999995</v>
      </c>
      <c r="DC131" s="4">
        <v>2.9173689999999999</v>
      </c>
      <c r="DD131" s="4">
        <v>8.1480879999999996</v>
      </c>
      <c r="DE131" s="4">
        <v>14.504276000000001</v>
      </c>
      <c r="DF131" s="4">
        <v>5.5388060000000001</v>
      </c>
      <c r="DG131" s="4">
        <v>0.744116</v>
      </c>
      <c r="DH131" s="4">
        <v>0.359294</v>
      </c>
      <c r="DI131" s="4">
        <v>0.38187399999999999</v>
      </c>
      <c r="DJ131" s="4">
        <v>0.13434599999999999</v>
      </c>
      <c r="DK131" s="4">
        <v>6.4867999999999995E-2</v>
      </c>
      <c r="DL131" s="4">
        <v>1</v>
      </c>
      <c r="DM131" s="4">
        <v>1</v>
      </c>
      <c r="DN131" s="4">
        <v>3</v>
      </c>
      <c r="DO131" s="4">
        <v>5</v>
      </c>
      <c r="DP131" s="4">
        <v>6</v>
      </c>
      <c r="DQ131" s="4">
        <v>7</v>
      </c>
      <c r="DR131" s="4">
        <v>10</v>
      </c>
      <c r="DS131" s="4">
        <v>13</v>
      </c>
      <c r="DT131" s="4">
        <v>16</v>
      </c>
      <c r="DU131" s="4">
        <v>20</v>
      </c>
      <c r="DV131" s="4">
        <v>21</v>
      </c>
      <c r="DW131" s="4">
        <v>23</v>
      </c>
      <c r="DX131" s="4">
        <v>27</v>
      </c>
      <c r="DY131" s="4">
        <v>33</v>
      </c>
      <c r="DZ131" s="4">
        <v>41</v>
      </c>
      <c r="EA131" s="4">
        <v>92.541595000000001</v>
      </c>
      <c r="EB131" s="4">
        <v>55.432372999999998</v>
      </c>
      <c r="EC131" s="4">
        <v>100.401606</v>
      </c>
      <c r="ED131" s="4">
        <v>1613</v>
      </c>
      <c r="EE131" s="4">
        <v>1750</v>
      </c>
      <c r="EF131" s="4">
        <v>92.484223</v>
      </c>
      <c r="EG131" s="4">
        <v>99.885255000000001</v>
      </c>
      <c r="EH131" s="4">
        <v>55.210642999999997</v>
      </c>
      <c r="EI131" s="4">
        <v>91.796008999999998</v>
      </c>
      <c r="EJ131" s="4">
        <v>100</v>
      </c>
      <c r="EK131" s="4">
        <v>166.26506000000001</v>
      </c>
      <c r="EL131" s="4">
        <v>1612</v>
      </c>
      <c r="EM131" s="4">
        <v>1741</v>
      </c>
      <c r="EN131" s="4">
        <v>1743</v>
      </c>
      <c r="EO131" s="4">
        <v>2898</v>
      </c>
      <c r="EP131" s="4">
        <v>1743</v>
      </c>
      <c r="EQ131" s="4">
        <v>3157</v>
      </c>
      <c r="ER131" s="4">
        <v>46.148958999999998</v>
      </c>
    </row>
    <row r="132" spans="1:148" x14ac:dyDescent="0.2">
      <c r="A132" s="1">
        <v>2022</v>
      </c>
      <c r="B132" s="1" t="str">
        <f t="shared" si="4"/>
        <v>RD</v>
      </c>
      <c r="C132" s="1" t="s">
        <v>782</v>
      </c>
      <c r="D132" s="1" t="s">
        <v>782</v>
      </c>
      <c r="E132" s="1">
        <v>24459</v>
      </c>
      <c r="F132" s="1" t="s">
        <v>2095</v>
      </c>
      <c r="G132" s="1" t="s">
        <v>783</v>
      </c>
      <c r="H132" s="1" t="s">
        <v>784</v>
      </c>
      <c r="I132" s="1">
        <v>16.45</v>
      </c>
      <c r="J132" s="1">
        <v>16.45</v>
      </c>
      <c r="K132" s="1" t="s">
        <v>495</v>
      </c>
      <c r="L132" s="1">
        <v>1</v>
      </c>
      <c r="M132" s="1">
        <v>2016</v>
      </c>
      <c r="N132" s="1">
        <v>3</v>
      </c>
      <c r="O132" s="1">
        <v>1</v>
      </c>
      <c r="P132" s="1" t="str">
        <f t="shared" si="5"/>
        <v>Alto fuste</v>
      </c>
      <c r="Q132" s="2">
        <v>42660</v>
      </c>
      <c r="R132" s="1" t="s">
        <v>169</v>
      </c>
      <c r="S132" s="1" t="s">
        <v>299</v>
      </c>
      <c r="T132" s="1" t="s">
        <v>2268</v>
      </c>
      <c r="U132" s="1" t="s">
        <v>495</v>
      </c>
      <c r="V132" s="1" t="s">
        <v>152</v>
      </c>
      <c r="W132" s="2">
        <v>44676</v>
      </c>
      <c r="X132" s="1" t="s">
        <v>785</v>
      </c>
      <c r="Y132" s="1">
        <v>117.8</v>
      </c>
      <c r="Z132" s="1">
        <v>20.399999999999999</v>
      </c>
      <c r="AA132" s="1">
        <v>3</v>
      </c>
      <c r="AB132" s="1">
        <v>15.6</v>
      </c>
      <c r="AC132" s="1">
        <v>9</v>
      </c>
      <c r="AD132" s="3">
        <v>318.24</v>
      </c>
      <c r="AE132" s="3">
        <v>313.89117021976301</v>
      </c>
      <c r="AF132" s="2">
        <v>44676</v>
      </c>
      <c r="AG132" s="1">
        <v>66</v>
      </c>
      <c r="AH132" s="3">
        <v>5.5195071868583199</v>
      </c>
      <c r="AI132" s="4">
        <v>23.6868196607365</v>
      </c>
      <c r="AJ132" s="4">
        <v>15.2259259259259</v>
      </c>
      <c r="AK132" s="4">
        <v>16.962950732008299</v>
      </c>
      <c r="AL132" s="1">
        <v>27</v>
      </c>
      <c r="AM132" s="5">
        <v>860.17073946669598</v>
      </c>
      <c r="AN132" s="4">
        <v>189.48312891113099</v>
      </c>
      <c r="AO132" s="4">
        <v>0.22028548544747101</v>
      </c>
      <c r="AP132" s="1" t="s">
        <v>299</v>
      </c>
      <c r="AQ132" s="1" t="s">
        <v>156</v>
      </c>
      <c r="AR132" s="1" t="s">
        <v>275</v>
      </c>
      <c r="AS132" s="1">
        <v>9</v>
      </c>
      <c r="AT132" s="4">
        <v>0.7741536655200264</v>
      </c>
      <c r="AU132" s="1" t="s">
        <v>786</v>
      </c>
      <c r="AV132" s="1" t="s">
        <v>787</v>
      </c>
      <c r="AW132" s="1">
        <v>4545</v>
      </c>
      <c r="AX132" s="1">
        <v>2875</v>
      </c>
      <c r="AY132" s="1">
        <v>1485</v>
      </c>
      <c r="AZ132" s="1">
        <v>178</v>
      </c>
      <c r="BA132" s="1">
        <v>7</v>
      </c>
      <c r="BB132" s="1">
        <v>0</v>
      </c>
      <c r="BC132" s="1">
        <v>0</v>
      </c>
      <c r="BD132" s="1">
        <v>0</v>
      </c>
      <c r="BE132" s="1">
        <v>0</v>
      </c>
      <c r="BF132" s="1">
        <v>0</v>
      </c>
      <c r="BG132" s="1">
        <v>0</v>
      </c>
      <c r="BH132" s="4">
        <v>-0.74</v>
      </c>
      <c r="BI132" s="4">
        <v>32.955002</v>
      </c>
      <c r="BJ132" s="4">
        <v>17.882012</v>
      </c>
      <c r="BK132" s="4">
        <v>-0.20515900000000001</v>
      </c>
      <c r="BL132" s="4">
        <v>12.661498</v>
      </c>
      <c r="BM132" s="4">
        <v>160.31352200000001</v>
      </c>
      <c r="BN132" s="4">
        <v>0.70805799999999997</v>
      </c>
      <c r="BO132" s="4">
        <v>27.703001</v>
      </c>
      <c r="BP132" s="4">
        <v>-0.43469799999999997</v>
      </c>
      <c r="BQ132" s="4">
        <v>1.429406</v>
      </c>
      <c r="BR132" s="4">
        <v>11.684998</v>
      </c>
      <c r="BS132" s="4">
        <v>7.0640010000000002</v>
      </c>
      <c r="BT132" s="4">
        <v>23.694158999999999</v>
      </c>
      <c r="BU132" s="4">
        <v>17.882012</v>
      </c>
      <c r="BV132" s="4">
        <v>6.9141769999999996</v>
      </c>
      <c r="BW132" s="4">
        <v>-1.0750379999999999</v>
      </c>
      <c r="BX132" s="4">
        <v>-0.86061100000000001</v>
      </c>
      <c r="BY132" s="4">
        <v>0.38665500000000003</v>
      </c>
      <c r="BZ132" s="4">
        <v>-0.15548300000000001</v>
      </c>
      <c r="CA132" s="4">
        <v>-0.124471</v>
      </c>
      <c r="CB132" s="4">
        <v>-0.34555999999999998</v>
      </c>
      <c r="CC132" s="4">
        <v>-9.1800000000000007E-2</v>
      </c>
      <c r="CD132" s="4">
        <v>6.54E-2</v>
      </c>
      <c r="CE132" s="4">
        <v>0.59499999999999997</v>
      </c>
      <c r="CF132" s="4">
        <v>1.73</v>
      </c>
      <c r="CG132" s="4">
        <v>3.1818</v>
      </c>
      <c r="CH132" s="4">
        <v>18.143000000000001</v>
      </c>
      <c r="CI132" s="4">
        <v>23.489000000000001</v>
      </c>
      <c r="CJ132" s="4">
        <v>26.987998999999999</v>
      </c>
      <c r="CK132" s="4">
        <v>28.813798999999999</v>
      </c>
      <c r="CL132" s="4">
        <v>29.433001000000001</v>
      </c>
      <c r="CM132" s="4">
        <v>29.846201000000001</v>
      </c>
      <c r="CN132" s="4">
        <v>30.694799</v>
      </c>
      <c r="CO132" s="4">
        <v>31.179199000000001</v>
      </c>
      <c r="CP132" s="4">
        <v>31.866522</v>
      </c>
      <c r="CQ132" s="4">
        <v>0.55266400000000004</v>
      </c>
      <c r="CR132" s="4">
        <v>21.90992</v>
      </c>
      <c r="CS132" s="4">
        <v>23.772258999999998</v>
      </c>
      <c r="CT132" s="1">
        <v>1</v>
      </c>
      <c r="CU132" s="1">
        <v>31</v>
      </c>
      <c r="CV132" s="4">
        <v>6.9113309999999997</v>
      </c>
      <c r="CW132" s="4">
        <v>1</v>
      </c>
      <c r="CX132" s="4">
        <v>4.6935880000000001</v>
      </c>
      <c r="CY132" s="4">
        <v>22.029768000000001</v>
      </c>
      <c r="CZ132" s="4">
        <v>0.67911500000000002</v>
      </c>
      <c r="DA132" s="4">
        <v>7</v>
      </c>
      <c r="DB132" s="4">
        <v>0.92675200000000002</v>
      </c>
      <c r="DC132" s="4">
        <v>4.1196979999999996</v>
      </c>
      <c r="DD132" s="4">
        <v>3.7686850000000001</v>
      </c>
      <c r="DE132" s="4">
        <v>6.9113309999999997</v>
      </c>
      <c r="DF132" s="4">
        <v>2.5832099999999998</v>
      </c>
      <c r="DG132" s="4">
        <v>0.41451100000000002</v>
      </c>
      <c r="DH132" s="4">
        <v>0.21595600000000001</v>
      </c>
      <c r="DI132" s="4">
        <v>0.37376399999999999</v>
      </c>
      <c r="DJ132" s="4">
        <v>0.160464</v>
      </c>
      <c r="DK132" s="4">
        <v>8.3599999999999994E-2</v>
      </c>
      <c r="DL132" s="4">
        <v>1</v>
      </c>
      <c r="DM132" s="4">
        <v>1</v>
      </c>
      <c r="DN132" s="4">
        <v>1</v>
      </c>
      <c r="DO132" s="4">
        <v>2</v>
      </c>
      <c r="DP132" s="4">
        <v>3</v>
      </c>
      <c r="DQ132" s="4">
        <v>4</v>
      </c>
      <c r="DR132" s="4">
        <v>5</v>
      </c>
      <c r="DS132" s="4">
        <v>6</v>
      </c>
      <c r="DT132" s="4">
        <v>8</v>
      </c>
      <c r="DU132" s="4">
        <v>9</v>
      </c>
      <c r="DV132" s="4">
        <v>10</v>
      </c>
      <c r="DW132" s="4">
        <v>11</v>
      </c>
      <c r="DX132" s="4">
        <v>13</v>
      </c>
      <c r="DY132" s="4">
        <v>15</v>
      </c>
      <c r="DZ132" s="4">
        <v>20</v>
      </c>
      <c r="EA132" s="4">
        <v>92.069564999999997</v>
      </c>
      <c r="EB132" s="4">
        <v>70.495050000000006</v>
      </c>
      <c r="EC132" s="4">
        <v>111.443478</v>
      </c>
      <c r="ED132" s="4">
        <v>2647</v>
      </c>
      <c r="EE132" s="4">
        <v>3204</v>
      </c>
      <c r="EF132" s="4">
        <v>85.634782999999999</v>
      </c>
      <c r="EG132" s="4">
        <v>99.965216999999996</v>
      </c>
      <c r="EH132" s="4">
        <v>60.352035000000001</v>
      </c>
      <c r="EI132" s="4">
        <v>97.403739999999999</v>
      </c>
      <c r="EJ132" s="4">
        <v>95.408696000000006</v>
      </c>
      <c r="EK132" s="4">
        <v>153.982609</v>
      </c>
      <c r="EL132" s="4">
        <v>2462</v>
      </c>
      <c r="EM132" s="4">
        <v>2874</v>
      </c>
      <c r="EN132" s="4">
        <v>2743</v>
      </c>
      <c r="EO132" s="4">
        <v>4427</v>
      </c>
      <c r="EP132" s="4">
        <v>2875</v>
      </c>
      <c r="EQ132" s="4">
        <v>4545</v>
      </c>
      <c r="ER132" s="4">
        <v>55.158943999999998</v>
      </c>
    </row>
    <row r="133" spans="1:148" x14ac:dyDescent="0.2">
      <c r="A133" s="1">
        <v>2022</v>
      </c>
      <c r="B133" s="1" t="str">
        <f t="shared" si="4"/>
        <v>RD</v>
      </c>
      <c r="C133" s="1" t="s">
        <v>788</v>
      </c>
      <c r="D133" s="1" t="s">
        <v>788</v>
      </c>
      <c r="E133" s="1">
        <v>24460</v>
      </c>
      <c r="F133" s="1" t="s">
        <v>2095</v>
      </c>
      <c r="G133" s="1" t="s">
        <v>783</v>
      </c>
      <c r="H133" s="1" t="s">
        <v>789</v>
      </c>
      <c r="I133" s="1">
        <v>26.76</v>
      </c>
      <c r="J133" s="1">
        <v>26.76</v>
      </c>
      <c r="K133" s="1" t="s">
        <v>495</v>
      </c>
      <c r="L133" s="1">
        <v>1</v>
      </c>
      <c r="M133" s="1">
        <v>2016</v>
      </c>
      <c r="N133" s="1">
        <v>3</v>
      </c>
      <c r="O133" s="1">
        <v>1</v>
      </c>
      <c r="P133" s="1" t="str">
        <f t="shared" si="5"/>
        <v>Alto fuste</v>
      </c>
      <c r="Q133" s="2">
        <v>42678</v>
      </c>
      <c r="R133" s="1" t="s">
        <v>169</v>
      </c>
      <c r="S133" s="1" t="s">
        <v>299</v>
      </c>
      <c r="T133" s="1" t="s">
        <v>2268</v>
      </c>
      <c r="U133" s="1" t="s">
        <v>495</v>
      </c>
      <c r="V133" s="1" t="s">
        <v>152</v>
      </c>
      <c r="W133" s="2">
        <v>44676</v>
      </c>
      <c r="X133" s="1" t="s">
        <v>785</v>
      </c>
      <c r="Y133" s="1">
        <v>117.8</v>
      </c>
      <c r="Z133" s="1">
        <v>20.6</v>
      </c>
      <c r="AA133" s="1">
        <v>23</v>
      </c>
      <c r="AB133" s="1">
        <v>16</v>
      </c>
      <c r="AC133" s="1">
        <v>9</v>
      </c>
      <c r="AD133" s="3">
        <v>329.6</v>
      </c>
      <c r="AE133" s="3">
        <v>299.66306193686302</v>
      </c>
      <c r="AF133" s="2">
        <v>44676</v>
      </c>
      <c r="AG133" s="1">
        <v>65</v>
      </c>
      <c r="AH133" s="3">
        <v>5.47022587268994</v>
      </c>
      <c r="AI133" s="4">
        <v>25.744826500619201</v>
      </c>
      <c r="AJ133" s="4">
        <v>14.5428571428571</v>
      </c>
      <c r="AK133" s="4">
        <v>20.265665539576801</v>
      </c>
      <c r="AL133" s="1">
        <v>35</v>
      </c>
      <c r="AM133" s="5">
        <v>1167.9784546609999</v>
      </c>
      <c r="AN133" s="4">
        <v>239.615148905469</v>
      </c>
      <c r="AO133" s="4">
        <v>0.205153740592772</v>
      </c>
      <c r="AP133" s="1" t="s">
        <v>299</v>
      </c>
      <c r="AQ133" s="1" t="s">
        <v>156</v>
      </c>
      <c r="AR133" s="1" t="s">
        <v>275</v>
      </c>
      <c r="AS133" s="1">
        <v>9</v>
      </c>
      <c r="AT133" s="4">
        <v>1.0511806091948999</v>
      </c>
      <c r="AU133" s="1" t="s">
        <v>790</v>
      </c>
      <c r="AV133" s="1" t="s">
        <v>791</v>
      </c>
      <c r="AW133" s="1">
        <v>5441</v>
      </c>
      <c r="AX133" s="1">
        <v>2965</v>
      </c>
      <c r="AY133" s="1">
        <v>1921</v>
      </c>
      <c r="AZ133" s="1">
        <v>521</v>
      </c>
      <c r="BA133" s="1">
        <v>34</v>
      </c>
      <c r="BB133" s="1">
        <v>0</v>
      </c>
      <c r="BC133" s="1">
        <v>0</v>
      </c>
      <c r="BD133" s="1">
        <v>0</v>
      </c>
      <c r="BE133" s="1">
        <v>0</v>
      </c>
      <c r="BF133" s="1">
        <v>0</v>
      </c>
      <c r="BG133" s="1">
        <v>0</v>
      </c>
      <c r="BH133" s="4">
        <v>-1.1319999999999999</v>
      </c>
      <c r="BI133" s="4">
        <v>32.308998000000003</v>
      </c>
      <c r="BJ133" s="4">
        <v>18.526605</v>
      </c>
      <c r="BK133" s="4">
        <v>-7.0380999999999999E-2</v>
      </c>
      <c r="BL133" s="4">
        <v>12.27069</v>
      </c>
      <c r="BM133" s="4">
        <v>150.569828</v>
      </c>
      <c r="BN133" s="4">
        <v>0.66232800000000003</v>
      </c>
      <c r="BO133" s="4">
        <v>28.606000000000002</v>
      </c>
      <c r="BP133" s="4">
        <v>-0.63001099999999999</v>
      </c>
      <c r="BQ133" s="4">
        <v>1.6915279999999999</v>
      </c>
      <c r="BR133" s="4">
        <v>10.819813</v>
      </c>
      <c r="BS133" s="4">
        <v>5.9749999999999996</v>
      </c>
      <c r="BT133" s="4">
        <v>23.946380999999999</v>
      </c>
      <c r="BU133" s="4">
        <v>18.526605</v>
      </c>
      <c r="BV133" s="4">
        <v>6.5906399999999996</v>
      </c>
      <c r="BW133" s="4">
        <v>-1.411899</v>
      </c>
      <c r="BX133" s="4">
        <v>-0.58203199999999999</v>
      </c>
      <c r="BY133" s="4">
        <v>0.35573900000000003</v>
      </c>
      <c r="BZ133" s="4">
        <v>-0.214228</v>
      </c>
      <c r="CA133" s="4">
        <v>-8.8312000000000002E-2</v>
      </c>
      <c r="CB133" s="4">
        <v>-0.40179999999999999</v>
      </c>
      <c r="CC133" s="4">
        <v>-0.14199999999999999</v>
      </c>
      <c r="CD133" s="4">
        <v>-5.0000000000000001E-3</v>
      </c>
      <c r="CE133" s="4">
        <v>0.21299999999999999</v>
      </c>
      <c r="CF133" s="4">
        <v>0.41899999999999998</v>
      </c>
      <c r="CG133" s="4">
        <v>13.67</v>
      </c>
      <c r="CH133" s="4">
        <v>19.030999999999999</v>
      </c>
      <c r="CI133" s="4">
        <v>23.875999</v>
      </c>
      <c r="CJ133" s="4">
        <v>27.469999000000001</v>
      </c>
      <c r="CK133" s="4">
        <v>28.655000999999999</v>
      </c>
      <c r="CL133" s="4">
        <v>29.024999999999999</v>
      </c>
      <c r="CM133" s="4">
        <v>29.388999999999999</v>
      </c>
      <c r="CN133" s="4">
        <v>30.114000000000001</v>
      </c>
      <c r="CO133" s="4">
        <v>30.614000000000001</v>
      </c>
      <c r="CP133" s="4">
        <v>31.415602</v>
      </c>
      <c r="CQ133" s="4">
        <v>0.58785900000000002</v>
      </c>
      <c r="CR133" s="4">
        <v>22.221098999999999</v>
      </c>
      <c r="CS133" s="4">
        <v>23.847576</v>
      </c>
      <c r="CT133" s="1">
        <v>1</v>
      </c>
      <c r="CU133" s="1">
        <v>40</v>
      </c>
      <c r="CV133" s="4">
        <v>9.2696199999999997</v>
      </c>
      <c r="CW133" s="4">
        <v>1</v>
      </c>
      <c r="CX133" s="4">
        <v>6.2572229999999998</v>
      </c>
      <c r="CY133" s="4">
        <v>39.152842999999997</v>
      </c>
      <c r="CZ133" s="4">
        <v>0.67502499999999999</v>
      </c>
      <c r="DA133" s="4">
        <v>10</v>
      </c>
      <c r="DB133" s="4">
        <v>0.59449300000000005</v>
      </c>
      <c r="DC133" s="4">
        <v>2.9135499999999999</v>
      </c>
      <c r="DD133" s="4">
        <v>5.2604769999999998</v>
      </c>
      <c r="DE133" s="4">
        <v>9.2696199999999997</v>
      </c>
      <c r="DF133" s="4">
        <v>3.5260180000000001</v>
      </c>
      <c r="DG133" s="4">
        <v>0.43644100000000002</v>
      </c>
      <c r="DH133" s="4">
        <v>0.125834</v>
      </c>
      <c r="DI133" s="4">
        <v>0.380384</v>
      </c>
      <c r="DJ133" s="4">
        <v>0.123777</v>
      </c>
      <c r="DK133" s="4">
        <v>3.5687000000000003E-2</v>
      </c>
      <c r="DL133" s="4">
        <v>1</v>
      </c>
      <c r="DM133" s="4">
        <v>1</v>
      </c>
      <c r="DN133" s="4">
        <v>2</v>
      </c>
      <c r="DO133" s="4">
        <v>3</v>
      </c>
      <c r="DP133" s="4">
        <v>4</v>
      </c>
      <c r="DQ133" s="4">
        <v>5</v>
      </c>
      <c r="DR133" s="4">
        <v>7</v>
      </c>
      <c r="DS133" s="4">
        <v>8</v>
      </c>
      <c r="DT133" s="4">
        <v>11</v>
      </c>
      <c r="DU133" s="4">
        <v>13</v>
      </c>
      <c r="DV133" s="4">
        <v>14</v>
      </c>
      <c r="DW133" s="4">
        <v>15</v>
      </c>
      <c r="DX133" s="4">
        <v>18</v>
      </c>
      <c r="DY133" s="4">
        <v>20</v>
      </c>
      <c r="DZ133" s="4">
        <v>25</v>
      </c>
      <c r="EA133" s="4">
        <v>98.347386</v>
      </c>
      <c r="EB133" s="4">
        <v>72.523432999999997</v>
      </c>
      <c r="EC133" s="4">
        <v>133.08600300000001</v>
      </c>
      <c r="ED133" s="4">
        <v>2916</v>
      </c>
      <c r="EE133" s="4">
        <v>3946</v>
      </c>
      <c r="EF133" s="4">
        <v>95.008431999999999</v>
      </c>
      <c r="EG133" s="4">
        <v>99.966273000000001</v>
      </c>
      <c r="EH133" s="4">
        <v>61.551184999999997</v>
      </c>
      <c r="EI133" s="4">
        <v>92.740305000000006</v>
      </c>
      <c r="EJ133" s="4">
        <v>112.95109600000001</v>
      </c>
      <c r="EK133" s="4">
        <v>170.185497</v>
      </c>
      <c r="EL133" s="4">
        <v>2817</v>
      </c>
      <c r="EM133" s="4">
        <v>2964</v>
      </c>
      <c r="EN133" s="4">
        <v>3349</v>
      </c>
      <c r="EO133" s="4">
        <v>5046</v>
      </c>
      <c r="EP133" s="4">
        <v>2965</v>
      </c>
      <c r="EQ133" s="4">
        <v>5441</v>
      </c>
      <c r="ER133" s="4">
        <v>57.995443999999999</v>
      </c>
    </row>
    <row r="134" spans="1:148" x14ac:dyDescent="0.2">
      <c r="A134" s="1">
        <v>2022</v>
      </c>
      <c r="B134" s="1" t="str">
        <f t="shared" si="4"/>
        <v>RD</v>
      </c>
      <c r="C134" s="1" t="s">
        <v>792</v>
      </c>
      <c r="D134" s="1" t="s">
        <v>792</v>
      </c>
      <c r="E134" s="1">
        <v>24462</v>
      </c>
      <c r="F134" s="1" t="s">
        <v>2095</v>
      </c>
      <c r="G134" s="1" t="s">
        <v>783</v>
      </c>
      <c r="H134" s="1" t="s">
        <v>793</v>
      </c>
      <c r="I134" s="1">
        <v>15.06</v>
      </c>
      <c r="J134" s="1">
        <v>15.06</v>
      </c>
      <c r="K134" s="1" t="s">
        <v>495</v>
      </c>
      <c r="L134" s="1">
        <v>1</v>
      </c>
      <c r="M134" s="1">
        <v>2016</v>
      </c>
      <c r="N134" s="1">
        <v>3</v>
      </c>
      <c r="O134" s="1">
        <v>1</v>
      </c>
      <c r="P134" s="1" t="str">
        <f t="shared" si="5"/>
        <v>Alto fuste</v>
      </c>
      <c r="Q134" s="2">
        <v>42664</v>
      </c>
      <c r="R134" s="1" t="s">
        <v>169</v>
      </c>
      <c r="S134" s="1" t="s">
        <v>348</v>
      </c>
      <c r="T134" s="1" t="s">
        <v>2268</v>
      </c>
      <c r="U134" s="1" t="s">
        <v>495</v>
      </c>
      <c r="V134" s="1" t="s">
        <v>152</v>
      </c>
      <c r="W134" s="2">
        <v>44676</v>
      </c>
      <c r="X134" s="1" t="s">
        <v>785</v>
      </c>
      <c r="Y134" s="1">
        <v>117.8</v>
      </c>
      <c r="Z134" s="1">
        <v>18.5</v>
      </c>
      <c r="AA134" s="1">
        <v>1</v>
      </c>
      <c r="AB134" s="1">
        <v>15.6</v>
      </c>
      <c r="AC134" s="1">
        <v>6</v>
      </c>
      <c r="AD134" s="3">
        <v>288.60000000000002</v>
      </c>
      <c r="AE134" s="3">
        <v>286.97530461648199</v>
      </c>
      <c r="AF134" s="2">
        <v>44676</v>
      </c>
      <c r="AG134" s="1">
        <v>66</v>
      </c>
      <c r="AH134" s="3">
        <v>5.5085557837097898</v>
      </c>
      <c r="AI134" s="4">
        <v>27.156290273352699</v>
      </c>
      <c r="AJ134" s="4">
        <v>16.106060606060598</v>
      </c>
      <c r="AK134" s="4">
        <v>24.056517003949899</v>
      </c>
      <c r="AL134" s="1">
        <v>33</v>
      </c>
      <c r="AM134" s="5">
        <v>1149.9247311228301</v>
      </c>
      <c r="AN134" s="4">
        <v>292.866881085481</v>
      </c>
      <c r="AO134" s="4">
        <v>0.254683522459348</v>
      </c>
      <c r="AP134" s="1" t="s">
        <v>348</v>
      </c>
      <c r="AQ134" s="1" t="s">
        <v>156</v>
      </c>
      <c r="AR134" s="1" t="s">
        <v>796</v>
      </c>
      <c r="AS134" s="1">
        <v>9</v>
      </c>
      <c r="AT134" s="4">
        <v>1.0349322580105471</v>
      </c>
      <c r="AU134" s="1" t="s">
        <v>794</v>
      </c>
      <c r="AV134" s="1" t="s">
        <v>795</v>
      </c>
      <c r="AW134" s="1">
        <v>5433</v>
      </c>
      <c r="AX134" s="1">
        <v>2836</v>
      </c>
      <c r="AY134" s="1">
        <v>2356</v>
      </c>
      <c r="AZ134" s="1">
        <v>233</v>
      </c>
      <c r="BA134" s="1">
        <v>8</v>
      </c>
      <c r="BB134" s="1">
        <v>0</v>
      </c>
      <c r="BC134" s="1">
        <v>0</v>
      </c>
      <c r="BD134" s="1">
        <v>0</v>
      </c>
      <c r="BE134" s="1">
        <v>0</v>
      </c>
      <c r="BF134" s="1">
        <v>0</v>
      </c>
      <c r="BG134" s="1">
        <v>0</v>
      </c>
      <c r="BH134" s="4">
        <v>-1.2869999999999999</v>
      </c>
      <c r="BI134" s="4">
        <v>30.638999999999999</v>
      </c>
      <c r="BJ134" s="4">
        <v>14.067841</v>
      </c>
      <c r="BK134" s="4">
        <v>-0.273476</v>
      </c>
      <c r="BL134" s="4">
        <v>13.297777999999999</v>
      </c>
      <c r="BM134" s="4">
        <v>176.83089699999999</v>
      </c>
      <c r="BN134" s="4">
        <v>0.94526100000000002</v>
      </c>
      <c r="BO134" s="4">
        <v>27.314</v>
      </c>
      <c r="BP134" s="4">
        <v>-2.6772000000000001E-2</v>
      </c>
      <c r="BQ134" s="4">
        <v>1.0736479999999999</v>
      </c>
      <c r="BR134" s="4">
        <v>13.041520999999999</v>
      </c>
      <c r="BS134" s="4">
        <v>12.516999999999999</v>
      </c>
      <c r="BT134" s="4">
        <v>16.751476</v>
      </c>
      <c r="BU134" s="4">
        <v>14.067841</v>
      </c>
      <c r="BV134" s="4">
        <v>7.0078889999999996</v>
      </c>
      <c r="BW134" s="4">
        <v>3.9895E-2</v>
      </c>
      <c r="BX134" s="4">
        <v>-1.519898</v>
      </c>
      <c r="BY134" s="4">
        <v>0.49814999999999998</v>
      </c>
      <c r="BZ134" s="4">
        <v>5.6930000000000001E-3</v>
      </c>
      <c r="CA134" s="4">
        <v>-0.21688399999999999</v>
      </c>
      <c r="CB134" s="4">
        <v>-0.46899999999999997</v>
      </c>
      <c r="CC134" s="4">
        <v>-0.2024</v>
      </c>
      <c r="CD134" s="4">
        <v>-9.4E-2</v>
      </c>
      <c r="CE134" s="4">
        <v>3.5000000000000003E-2</v>
      </c>
      <c r="CF134" s="4">
        <v>8.7999999999999995E-2</v>
      </c>
      <c r="CG134" s="4">
        <v>0.14960000000000001</v>
      </c>
      <c r="CH134" s="4">
        <v>0.4</v>
      </c>
      <c r="CI134" s="4">
        <v>16.478000999999999</v>
      </c>
      <c r="CJ134" s="4">
        <v>26.499200999999999</v>
      </c>
      <c r="CK134" s="4">
        <v>27.115400000000001</v>
      </c>
      <c r="CL134" s="4">
        <v>27.402000000000001</v>
      </c>
      <c r="CM134" s="4">
        <v>27.730599999999999</v>
      </c>
      <c r="CN134" s="4">
        <v>28.447800000000001</v>
      </c>
      <c r="CO134" s="4">
        <v>28.957401000000001</v>
      </c>
      <c r="CP134" s="4">
        <v>29.684360999999999</v>
      </c>
      <c r="CQ134" s="4">
        <v>0.48095100000000002</v>
      </c>
      <c r="CR134" s="4">
        <v>19.357233999999998</v>
      </c>
      <c r="CS134" s="4">
        <v>21.674724000000001</v>
      </c>
      <c r="CT134" s="1">
        <v>1</v>
      </c>
      <c r="CU134" s="1">
        <v>60</v>
      </c>
      <c r="CV134" s="4">
        <v>17.131786999999999</v>
      </c>
      <c r="CW134" s="4">
        <v>1</v>
      </c>
      <c r="CX134" s="4">
        <v>11.155462</v>
      </c>
      <c r="CY134" s="4">
        <v>124.444337</v>
      </c>
      <c r="CZ134" s="4">
        <v>0.65115599999999996</v>
      </c>
      <c r="DA134" s="4">
        <v>18</v>
      </c>
      <c r="DB134" s="4">
        <v>0.46167900000000001</v>
      </c>
      <c r="DC134" s="4">
        <v>2.7365240000000002</v>
      </c>
      <c r="DD134" s="4">
        <v>9.3188779999999998</v>
      </c>
      <c r="DE134" s="4">
        <v>17.131786999999999</v>
      </c>
      <c r="DF134" s="4">
        <v>6.3064119999999999</v>
      </c>
      <c r="DG134" s="4">
        <v>0.51563499999999995</v>
      </c>
      <c r="DH134" s="4">
        <v>0.32290200000000002</v>
      </c>
      <c r="DI134" s="4">
        <v>0.36811199999999999</v>
      </c>
      <c r="DJ134" s="4">
        <v>8.1764000000000003E-2</v>
      </c>
      <c r="DK134" s="4">
        <v>5.1201999999999998E-2</v>
      </c>
      <c r="DL134" s="4">
        <v>1</v>
      </c>
      <c r="DM134" s="4">
        <v>2</v>
      </c>
      <c r="DN134" s="4">
        <v>3</v>
      </c>
      <c r="DO134" s="4">
        <v>6</v>
      </c>
      <c r="DP134" s="4">
        <v>7</v>
      </c>
      <c r="DQ134" s="4">
        <v>9</v>
      </c>
      <c r="DR134" s="4">
        <v>13</v>
      </c>
      <c r="DS134" s="4">
        <v>17</v>
      </c>
      <c r="DT134" s="4">
        <v>21</v>
      </c>
      <c r="DU134" s="4">
        <v>23</v>
      </c>
      <c r="DV134" s="4">
        <v>25</v>
      </c>
      <c r="DW134" s="4">
        <v>26</v>
      </c>
      <c r="DX134" s="4">
        <v>31</v>
      </c>
      <c r="DY134" s="4">
        <v>37</v>
      </c>
      <c r="DZ134" s="4">
        <v>46.680176000000003</v>
      </c>
      <c r="EA134" s="4">
        <v>94.922426000000002</v>
      </c>
      <c r="EB134" s="4">
        <v>54.739555000000003</v>
      </c>
      <c r="EC134" s="4">
        <v>104.86600799999999</v>
      </c>
      <c r="ED134" s="4">
        <v>2692</v>
      </c>
      <c r="EE134" s="4">
        <v>2974</v>
      </c>
      <c r="EF134" s="4">
        <v>93.265162000000004</v>
      </c>
      <c r="EG134" s="4">
        <v>99.964738999999994</v>
      </c>
      <c r="EH134" s="4">
        <v>51.168782999999998</v>
      </c>
      <c r="EI134" s="4">
        <v>96.466041000000004</v>
      </c>
      <c r="EJ134" s="4">
        <v>98.025388000000007</v>
      </c>
      <c r="EK134" s="4">
        <v>184.802539</v>
      </c>
      <c r="EL134" s="4">
        <v>2645</v>
      </c>
      <c r="EM134" s="4">
        <v>2835</v>
      </c>
      <c r="EN134" s="4">
        <v>2780</v>
      </c>
      <c r="EO134" s="4">
        <v>5241</v>
      </c>
      <c r="EP134" s="4">
        <v>2836</v>
      </c>
      <c r="EQ134" s="4">
        <v>5433</v>
      </c>
      <c r="ER134" s="4">
        <v>46.455387999999999</v>
      </c>
    </row>
    <row r="135" spans="1:148" x14ac:dyDescent="0.2">
      <c r="A135" s="1">
        <v>2022</v>
      </c>
      <c r="B135" s="1" t="str">
        <f t="shared" si="4"/>
        <v>RD</v>
      </c>
      <c r="C135" s="1" t="s">
        <v>797</v>
      </c>
      <c r="D135" s="1" t="s">
        <v>797</v>
      </c>
      <c r="E135" s="1">
        <v>24467</v>
      </c>
      <c r="F135" s="1" t="s">
        <v>2096</v>
      </c>
      <c r="G135" s="1" t="s">
        <v>798</v>
      </c>
      <c r="H135" s="1" t="s">
        <v>799</v>
      </c>
      <c r="I135" s="1">
        <v>18.829999999999998</v>
      </c>
      <c r="J135" s="1">
        <v>18.829999999999998</v>
      </c>
      <c r="K135" s="1" t="s">
        <v>495</v>
      </c>
      <c r="L135" s="1">
        <v>1</v>
      </c>
      <c r="M135" s="1">
        <v>2016</v>
      </c>
      <c r="N135" s="1">
        <v>2</v>
      </c>
      <c r="O135" s="1">
        <v>1</v>
      </c>
      <c r="P135" s="1" t="str">
        <f t="shared" si="5"/>
        <v>Alto fuste</v>
      </c>
      <c r="Q135" s="2">
        <v>42649</v>
      </c>
      <c r="R135" s="1" t="s">
        <v>169</v>
      </c>
      <c r="S135" s="1" t="s">
        <v>403</v>
      </c>
      <c r="T135" s="1" t="s">
        <v>2268</v>
      </c>
      <c r="U135" s="1" t="s">
        <v>495</v>
      </c>
      <c r="V135" s="1" t="s">
        <v>152</v>
      </c>
      <c r="W135" s="2">
        <v>44697</v>
      </c>
      <c r="X135" s="1" t="s">
        <v>800</v>
      </c>
      <c r="Y135" s="1">
        <v>36.68</v>
      </c>
      <c r="Z135" s="1">
        <v>19.5</v>
      </c>
      <c r="AA135" s="1">
        <v>23</v>
      </c>
      <c r="AB135" s="1">
        <v>16.100000000000001</v>
      </c>
      <c r="AC135" s="1">
        <v>3</v>
      </c>
      <c r="AD135" s="3">
        <v>313.95</v>
      </c>
      <c r="AE135" s="3">
        <v>288.59644456567997</v>
      </c>
      <c r="AF135" s="2">
        <v>44697</v>
      </c>
      <c r="AG135" s="1">
        <v>67</v>
      </c>
      <c r="AH135" s="3">
        <v>5.6071184120465398</v>
      </c>
      <c r="AI135" s="4">
        <v>24.795656065539902</v>
      </c>
      <c r="AJ135" s="4">
        <v>15.473076923076899</v>
      </c>
      <c r="AK135" s="4">
        <v>17.364779497998398</v>
      </c>
      <c r="AL135" s="1">
        <v>26</v>
      </c>
      <c r="AM135" s="5">
        <v>900.91199976938196</v>
      </c>
      <c r="AN135" s="4">
        <v>192.702833977821</v>
      </c>
      <c r="AO135" s="4">
        <v>0.21389751055280601</v>
      </c>
      <c r="AP135" s="1" t="s">
        <v>403</v>
      </c>
      <c r="AQ135" s="1" t="s">
        <v>156</v>
      </c>
      <c r="AR135" s="1" t="s">
        <v>164</v>
      </c>
      <c r="AS135" s="1">
        <v>9</v>
      </c>
      <c r="AT135" s="4">
        <v>0.81082079979244381</v>
      </c>
      <c r="AU135" s="1" t="s">
        <v>801</v>
      </c>
      <c r="AV135" s="1" t="s">
        <v>802</v>
      </c>
      <c r="AW135" s="1">
        <v>3202</v>
      </c>
      <c r="AX135" s="1">
        <v>1739</v>
      </c>
      <c r="AY135" s="1">
        <v>1409</v>
      </c>
      <c r="AZ135" s="1">
        <v>54</v>
      </c>
      <c r="BA135" s="1">
        <v>0</v>
      </c>
      <c r="BB135" s="1">
        <v>0</v>
      </c>
      <c r="BC135" s="1">
        <v>0</v>
      </c>
      <c r="BD135" s="1">
        <v>0</v>
      </c>
      <c r="BE135" s="1">
        <v>0</v>
      </c>
      <c r="BF135" s="1">
        <v>0</v>
      </c>
      <c r="BG135" s="1">
        <v>0</v>
      </c>
      <c r="BH135" s="4">
        <v>-1.1359999999999999</v>
      </c>
      <c r="BI135" s="4">
        <v>25.055</v>
      </c>
      <c r="BJ135" s="4">
        <v>11.056430000000001</v>
      </c>
      <c r="BK135" s="4">
        <v>-0.30453999999999998</v>
      </c>
      <c r="BL135" s="4">
        <v>11.218362000000001</v>
      </c>
      <c r="BM135" s="4">
        <v>125.851652</v>
      </c>
      <c r="BN135" s="4">
        <v>1.0146459999999999</v>
      </c>
      <c r="BO135" s="4">
        <v>22.610751</v>
      </c>
      <c r="BP135" s="4">
        <v>4.0323999999999999E-2</v>
      </c>
      <c r="BQ135" s="4">
        <v>1.0312250000000001</v>
      </c>
      <c r="BR135" s="4">
        <v>11.155328000000001</v>
      </c>
      <c r="BS135" s="4">
        <v>2.8155000000000001</v>
      </c>
      <c r="BT135" s="4">
        <v>2.03254</v>
      </c>
      <c r="BU135" s="4">
        <v>11.056430000000001</v>
      </c>
      <c r="BV135" s="4">
        <v>5.8227969999999996</v>
      </c>
      <c r="BW135" s="4">
        <v>0.22058</v>
      </c>
      <c r="BX135" s="4">
        <v>-1.268492</v>
      </c>
      <c r="BY135" s="4">
        <v>0.52664299999999997</v>
      </c>
      <c r="BZ135" s="4">
        <v>3.7881999999999999E-2</v>
      </c>
      <c r="CA135" s="4">
        <v>-0.21784899999999999</v>
      </c>
      <c r="CB135" s="4">
        <v>-0.67296999999999996</v>
      </c>
      <c r="CC135" s="4">
        <v>-0.43090000000000001</v>
      </c>
      <c r="CD135" s="4">
        <v>-0.31900000000000001</v>
      </c>
      <c r="CE135" s="4">
        <v>-0.185</v>
      </c>
      <c r="CF135" s="4">
        <v>-0.123</v>
      </c>
      <c r="CG135" s="4">
        <v>-4.6699999999999998E-2</v>
      </c>
      <c r="CH135" s="4">
        <v>0.21340000000000001</v>
      </c>
      <c r="CI135" s="4">
        <v>1.728</v>
      </c>
      <c r="CJ135" s="4">
        <v>21.580601000000001</v>
      </c>
      <c r="CK135" s="4">
        <v>22.215401</v>
      </c>
      <c r="CL135" s="4">
        <v>22.487750999999999</v>
      </c>
      <c r="CM135" s="4">
        <v>22.7698</v>
      </c>
      <c r="CN135" s="4">
        <v>23.366399999999999</v>
      </c>
      <c r="CO135" s="4">
        <v>23.772849999999998</v>
      </c>
      <c r="CP135" s="4">
        <v>24.412849000000001</v>
      </c>
      <c r="CQ135" s="4">
        <v>0.46551999999999999</v>
      </c>
      <c r="CR135" s="4">
        <v>15.749825</v>
      </c>
      <c r="CS135" s="4">
        <v>17.738613999999998</v>
      </c>
      <c r="CT135" s="1">
        <v>1</v>
      </c>
      <c r="CU135" s="1">
        <v>78</v>
      </c>
      <c r="CV135" s="4">
        <v>19.347283000000001</v>
      </c>
      <c r="CW135" s="4">
        <v>1</v>
      </c>
      <c r="CX135" s="4">
        <v>12.927015000000001</v>
      </c>
      <c r="CY135" s="4">
        <v>167.10772299999999</v>
      </c>
      <c r="CZ135" s="4">
        <v>0.668157</v>
      </c>
      <c r="DA135" s="4">
        <v>19</v>
      </c>
      <c r="DB135" s="4">
        <v>0.63769699999999996</v>
      </c>
      <c r="DC135" s="4">
        <v>3.3229630000000001</v>
      </c>
      <c r="DD135" s="4">
        <v>10.489528999999999</v>
      </c>
      <c r="DE135" s="4">
        <v>19.347283000000001</v>
      </c>
      <c r="DF135" s="4">
        <v>7.2126590000000004</v>
      </c>
      <c r="DG135" s="4">
        <v>0.70354399999999995</v>
      </c>
      <c r="DH135" s="4">
        <v>0.59930000000000005</v>
      </c>
      <c r="DI135" s="4">
        <v>0.37280000000000002</v>
      </c>
      <c r="DJ135" s="4">
        <v>9.7543000000000005E-2</v>
      </c>
      <c r="DK135" s="4">
        <v>8.3089999999999997E-2</v>
      </c>
      <c r="DL135" s="4">
        <v>1</v>
      </c>
      <c r="DM135" s="4">
        <v>2</v>
      </c>
      <c r="DN135" s="4">
        <v>3</v>
      </c>
      <c r="DO135" s="4">
        <v>6</v>
      </c>
      <c r="DP135" s="4">
        <v>8</v>
      </c>
      <c r="DQ135" s="4">
        <v>10</v>
      </c>
      <c r="DR135" s="4">
        <v>15</v>
      </c>
      <c r="DS135" s="4">
        <v>19</v>
      </c>
      <c r="DT135" s="4">
        <v>23</v>
      </c>
      <c r="DU135" s="4">
        <v>26</v>
      </c>
      <c r="DV135" s="4">
        <v>27</v>
      </c>
      <c r="DW135" s="4">
        <v>29</v>
      </c>
      <c r="DX135" s="4">
        <v>35</v>
      </c>
      <c r="DY135" s="4">
        <v>44</v>
      </c>
      <c r="DZ135" s="4">
        <v>55.989989999999999</v>
      </c>
      <c r="EA135" s="4">
        <v>90.569293000000002</v>
      </c>
      <c r="EB135" s="4">
        <v>49.968769999999999</v>
      </c>
      <c r="EC135" s="4">
        <v>92.006900999999999</v>
      </c>
      <c r="ED135" s="4">
        <v>1575</v>
      </c>
      <c r="EE135" s="4">
        <v>1600</v>
      </c>
      <c r="EF135" s="4">
        <v>90.396780000000007</v>
      </c>
      <c r="EG135" s="4">
        <v>99.827487000000005</v>
      </c>
      <c r="EH135" s="4">
        <v>49.188006999999999</v>
      </c>
      <c r="EI135" s="4">
        <v>88.881949000000006</v>
      </c>
      <c r="EJ135" s="4">
        <v>90.569293000000002</v>
      </c>
      <c r="EK135" s="4">
        <v>163.657274</v>
      </c>
      <c r="EL135" s="4">
        <v>1572</v>
      </c>
      <c r="EM135" s="4">
        <v>1736</v>
      </c>
      <c r="EN135" s="4">
        <v>1575</v>
      </c>
      <c r="EO135" s="4">
        <v>2846</v>
      </c>
      <c r="EP135" s="4">
        <v>1739</v>
      </c>
      <c r="EQ135" s="4">
        <v>3202</v>
      </c>
      <c r="ER135" s="4">
        <v>44.647610999999998</v>
      </c>
    </row>
    <row r="136" spans="1:148" x14ac:dyDescent="0.2">
      <c r="A136" s="1">
        <v>2022</v>
      </c>
      <c r="B136" s="1" t="str">
        <f t="shared" si="4"/>
        <v>RD</v>
      </c>
      <c r="C136" s="1" t="s">
        <v>803</v>
      </c>
      <c r="D136" s="1" t="s">
        <v>803</v>
      </c>
      <c r="E136" s="1">
        <v>24468</v>
      </c>
      <c r="F136" s="1" t="s">
        <v>2096</v>
      </c>
      <c r="G136" s="1" t="s">
        <v>798</v>
      </c>
      <c r="H136" s="1" t="s">
        <v>799</v>
      </c>
      <c r="I136" s="1">
        <v>18.829999999999998</v>
      </c>
      <c r="J136" s="1">
        <v>18.829999999999998</v>
      </c>
      <c r="K136" s="1" t="s">
        <v>495</v>
      </c>
      <c r="L136" s="1">
        <v>1</v>
      </c>
      <c r="M136" s="1">
        <v>2016</v>
      </c>
      <c r="N136" s="1">
        <v>2</v>
      </c>
      <c r="O136" s="1">
        <v>1</v>
      </c>
      <c r="P136" s="1" t="str">
        <f t="shared" si="5"/>
        <v>Alto fuste</v>
      </c>
      <c r="Q136" s="2">
        <v>42649</v>
      </c>
      <c r="R136" s="1" t="s">
        <v>169</v>
      </c>
      <c r="S136" s="1" t="s">
        <v>403</v>
      </c>
      <c r="T136" s="1" t="s">
        <v>2268</v>
      </c>
      <c r="U136" s="1" t="s">
        <v>495</v>
      </c>
      <c r="V136" s="1" t="s">
        <v>152</v>
      </c>
      <c r="W136" s="2">
        <v>44697</v>
      </c>
      <c r="X136" s="1" t="s">
        <v>800</v>
      </c>
      <c r="Y136" s="1">
        <v>36.68</v>
      </c>
      <c r="Z136" s="1">
        <v>19.3</v>
      </c>
      <c r="AA136" s="1">
        <v>16</v>
      </c>
      <c r="AB136" s="1">
        <v>15.6</v>
      </c>
      <c r="AC136" s="1">
        <v>8</v>
      </c>
      <c r="AD136" s="3">
        <v>301.08</v>
      </c>
      <c r="AE136" s="3">
        <v>286.600088261873</v>
      </c>
      <c r="AF136" s="2">
        <v>44697</v>
      </c>
      <c r="AG136" s="1">
        <v>67</v>
      </c>
      <c r="AH136" s="3">
        <v>5.6071184120465398</v>
      </c>
      <c r="AI136" s="4">
        <v>23.900116495264399</v>
      </c>
      <c r="AJ136" s="4">
        <v>15.529166666666701</v>
      </c>
      <c r="AK136" s="4">
        <v>16.339757074666299</v>
      </c>
      <c r="AL136" s="1">
        <v>24</v>
      </c>
      <c r="AM136" s="5">
        <v>837.40378956445602</v>
      </c>
      <c r="AN136" s="4">
        <v>174.649184242763</v>
      </c>
      <c r="AO136" s="4">
        <v>0.20856029841183299</v>
      </c>
      <c r="AP136" s="1" t="s">
        <v>403</v>
      </c>
      <c r="AQ136" s="1" t="s">
        <v>156</v>
      </c>
      <c r="AR136" s="1" t="s">
        <v>164</v>
      </c>
      <c r="AS136" s="1">
        <v>9</v>
      </c>
      <c r="AT136" s="4">
        <v>0.75366341060801045</v>
      </c>
      <c r="AU136" s="1" t="s">
        <v>804</v>
      </c>
      <c r="AV136" s="1" t="s">
        <v>805</v>
      </c>
      <c r="AW136" s="1">
        <v>2668</v>
      </c>
      <c r="AX136" s="1">
        <v>1477</v>
      </c>
      <c r="AY136" s="1">
        <v>1151</v>
      </c>
      <c r="AZ136" s="1">
        <v>39</v>
      </c>
      <c r="BA136" s="1">
        <v>1</v>
      </c>
      <c r="BB136" s="1">
        <v>0</v>
      </c>
      <c r="BC136" s="1">
        <v>0</v>
      </c>
      <c r="BD136" s="1">
        <v>0</v>
      </c>
      <c r="BE136" s="1">
        <v>0</v>
      </c>
      <c r="BF136" s="1">
        <v>0</v>
      </c>
      <c r="BG136" s="1">
        <v>0</v>
      </c>
      <c r="BH136" s="4">
        <v>-1.0720000000000001</v>
      </c>
      <c r="BI136" s="4">
        <v>25.469000000000001</v>
      </c>
      <c r="BJ136" s="4">
        <v>11.732991999999999</v>
      </c>
      <c r="BK136" s="4">
        <v>-0.22942899999999999</v>
      </c>
      <c r="BL136" s="4">
        <v>11.407633000000001</v>
      </c>
      <c r="BM136" s="4">
        <v>130.13410099999999</v>
      </c>
      <c r="BN136" s="4">
        <v>0.97226999999999997</v>
      </c>
      <c r="BO136" s="4">
        <v>23.113999</v>
      </c>
      <c r="BP136" s="4">
        <v>-2.7049E-2</v>
      </c>
      <c r="BQ136" s="4">
        <v>1.0406359999999999</v>
      </c>
      <c r="BR136" s="4">
        <v>11.286153000000001</v>
      </c>
      <c r="BS136" s="4">
        <v>8.8925000000000001</v>
      </c>
      <c r="BT136" s="4">
        <v>16.076429000000001</v>
      </c>
      <c r="BU136" s="4">
        <v>11.732991999999999</v>
      </c>
      <c r="BV136" s="4">
        <v>5.9386780000000003</v>
      </c>
      <c r="BW136" s="4">
        <v>5.5328000000000002E-2</v>
      </c>
      <c r="BX136" s="4">
        <v>-1.305002</v>
      </c>
      <c r="BY136" s="4">
        <v>0.50615200000000005</v>
      </c>
      <c r="BZ136" s="4">
        <v>9.3159999999999996E-3</v>
      </c>
      <c r="CA136" s="4">
        <v>-0.219746</v>
      </c>
      <c r="CB136" s="4">
        <v>-0.48798999999999998</v>
      </c>
      <c r="CC136" s="4">
        <v>-0.29799999999999999</v>
      </c>
      <c r="CD136" s="4">
        <v>-0.218</v>
      </c>
      <c r="CE136" s="4">
        <v>-8.8999999999999996E-2</v>
      </c>
      <c r="CF136" s="4">
        <v>-2.5999999999999999E-2</v>
      </c>
      <c r="CG136" s="4">
        <v>3.5000000000000003E-2</v>
      </c>
      <c r="CH136" s="4">
        <v>0.21379999999999999</v>
      </c>
      <c r="CI136" s="4">
        <v>15.847</v>
      </c>
      <c r="CJ136" s="4">
        <v>22.113201</v>
      </c>
      <c r="CK136" s="4">
        <v>22.804200999999999</v>
      </c>
      <c r="CL136" s="4">
        <v>23.087999</v>
      </c>
      <c r="CM136" s="4">
        <v>23.371200999999999</v>
      </c>
      <c r="CN136" s="4">
        <v>23.956301</v>
      </c>
      <c r="CO136" s="4">
        <v>24.386299000000001</v>
      </c>
      <c r="CP136" s="4">
        <v>24.86599</v>
      </c>
      <c r="CQ136" s="4">
        <v>0.48246099999999997</v>
      </c>
      <c r="CR136" s="4">
        <v>16.363019999999999</v>
      </c>
      <c r="CS136" s="4">
        <v>18.325285000000001</v>
      </c>
      <c r="CT136" s="1">
        <v>1</v>
      </c>
      <c r="CU136" s="1">
        <v>59</v>
      </c>
      <c r="CV136" s="4">
        <v>18.604572999999998</v>
      </c>
      <c r="CW136" s="4">
        <v>2.8412700000000002</v>
      </c>
      <c r="CX136" s="4">
        <v>12.400694</v>
      </c>
      <c r="CY136" s="4">
        <v>153.77721199999999</v>
      </c>
      <c r="CZ136" s="4">
        <v>0.66654000000000002</v>
      </c>
      <c r="DA136" s="4">
        <v>20</v>
      </c>
      <c r="DB136" s="4">
        <v>0.52221200000000001</v>
      </c>
      <c r="DC136" s="4">
        <v>2.7268430000000001</v>
      </c>
      <c r="DD136" s="4">
        <v>10.380557</v>
      </c>
      <c r="DE136" s="4">
        <v>18.604572999999998</v>
      </c>
      <c r="DF136" s="4">
        <v>6.9976089999999997</v>
      </c>
      <c r="DG136" s="4">
        <v>0.70960100000000004</v>
      </c>
      <c r="DH136" s="4">
        <v>0.35606700000000002</v>
      </c>
      <c r="DI136" s="4">
        <v>0.37612299999999999</v>
      </c>
      <c r="DJ136" s="4">
        <v>0.101406</v>
      </c>
      <c r="DK136" s="4">
        <v>5.0883999999999999E-2</v>
      </c>
      <c r="DL136" s="4">
        <v>1</v>
      </c>
      <c r="DM136" s="4">
        <v>2</v>
      </c>
      <c r="DN136" s="4">
        <v>3</v>
      </c>
      <c r="DO136" s="4">
        <v>6</v>
      </c>
      <c r="DP136" s="4">
        <v>7</v>
      </c>
      <c r="DQ136" s="4">
        <v>9</v>
      </c>
      <c r="DR136" s="4">
        <v>13</v>
      </c>
      <c r="DS136" s="4">
        <v>19</v>
      </c>
      <c r="DT136" s="4">
        <v>22</v>
      </c>
      <c r="DU136" s="4">
        <v>26</v>
      </c>
      <c r="DV136" s="4">
        <v>27</v>
      </c>
      <c r="DW136" s="4">
        <v>29</v>
      </c>
      <c r="DX136" s="4">
        <v>33</v>
      </c>
      <c r="DY136" s="4">
        <v>42</v>
      </c>
      <c r="DZ136" s="4">
        <v>52</v>
      </c>
      <c r="EA136" s="4">
        <v>91.130669999999995</v>
      </c>
      <c r="EB136" s="4">
        <v>52.248876000000003</v>
      </c>
      <c r="EC136" s="4">
        <v>94.380500999999995</v>
      </c>
      <c r="ED136" s="4">
        <v>1346</v>
      </c>
      <c r="EE136" s="4">
        <v>1394</v>
      </c>
      <c r="EF136" s="4">
        <v>90.318213</v>
      </c>
      <c r="EG136" s="4">
        <v>99.796886000000001</v>
      </c>
      <c r="EH136" s="4">
        <v>51.161918999999997</v>
      </c>
      <c r="EI136" s="4">
        <v>91.041978999999998</v>
      </c>
      <c r="EJ136" s="4">
        <v>92.417062000000001</v>
      </c>
      <c r="EK136" s="4">
        <v>164.45497599999999</v>
      </c>
      <c r="EL136" s="4">
        <v>1334</v>
      </c>
      <c r="EM136" s="4">
        <v>1474</v>
      </c>
      <c r="EN136" s="4">
        <v>1365</v>
      </c>
      <c r="EO136" s="4">
        <v>2429</v>
      </c>
      <c r="EP136" s="4">
        <v>1477</v>
      </c>
      <c r="EQ136" s="4">
        <v>2668</v>
      </c>
      <c r="ER136" s="4">
        <v>46.322519</v>
      </c>
    </row>
    <row r="137" spans="1:148" x14ac:dyDescent="0.2">
      <c r="A137" s="1">
        <v>2022</v>
      </c>
      <c r="B137" s="1" t="str">
        <f t="shared" si="4"/>
        <v>RD</v>
      </c>
      <c r="C137" s="1" t="s">
        <v>806</v>
      </c>
      <c r="D137" s="1" t="s">
        <v>806</v>
      </c>
      <c r="E137" s="1">
        <v>24470</v>
      </c>
      <c r="F137" s="1" t="s">
        <v>2097</v>
      </c>
      <c r="G137" s="1" t="s">
        <v>807</v>
      </c>
      <c r="H137" s="1" t="s">
        <v>808</v>
      </c>
      <c r="I137" s="1">
        <v>23.37</v>
      </c>
      <c r="J137" s="1">
        <v>23.37</v>
      </c>
      <c r="K137" s="1" t="s">
        <v>495</v>
      </c>
      <c r="L137" s="1">
        <v>1</v>
      </c>
      <c r="M137" s="1">
        <v>2016</v>
      </c>
      <c r="N137" s="1">
        <v>1</v>
      </c>
      <c r="O137" s="1">
        <v>2</v>
      </c>
      <c r="P137" s="1" t="str">
        <f t="shared" si="5"/>
        <v>Talhadia</v>
      </c>
      <c r="Q137" s="2">
        <v>42674</v>
      </c>
      <c r="R137" s="1" t="s">
        <v>227</v>
      </c>
      <c r="S137" s="1" t="s">
        <v>160</v>
      </c>
      <c r="T137" s="1" t="s">
        <v>2268</v>
      </c>
      <c r="U137" s="1" t="s">
        <v>495</v>
      </c>
      <c r="V137" s="1" t="s">
        <v>152</v>
      </c>
      <c r="W137" s="2">
        <v>44676</v>
      </c>
      <c r="X137" s="1" t="s">
        <v>809</v>
      </c>
      <c r="Y137" s="1">
        <v>38.049999999999997</v>
      </c>
      <c r="Z137" s="1">
        <v>20.2</v>
      </c>
      <c r="AA137" s="1">
        <v>11</v>
      </c>
      <c r="AB137" s="1">
        <v>16.2</v>
      </c>
      <c r="AC137" s="1">
        <v>2</v>
      </c>
      <c r="AD137" s="3">
        <v>327.24</v>
      </c>
      <c r="AE137" s="3">
        <v>321.03199628833698</v>
      </c>
      <c r="AF137" s="2">
        <v>44676</v>
      </c>
      <c r="AG137" s="1">
        <v>66</v>
      </c>
      <c r="AH137" s="3">
        <v>5.48117727583847</v>
      </c>
      <c r="AI137" s="4">
        <v>23.671768423463</v>
      </c>
      <c r="AJ137" s="4">
        <v>15.296428571428599</v>
      </c>
      <c r="AK137" s="4">
        <v>17.528413232936899</v>
      </c>
      <c r="AL137" s="1">
        <v>28</v>
      </c>
      <c r="AM137" s="5">
        <v>872.18720637589195</v>
      </c>
      <c r="AN137" s="4">
        <v>197.30433192450101</v>
      </c>
      <c r="AO137" s="4">
        <v>0.22621786983592501</v>
      </c>
      <c r="AP137" s="1" t="s">
        <v>160</v>
      </c>
      <c r="AQ137" s="1" t="s">
        <v>254</v>
      </c>
      <c r="AR137" s="1" t="s">
        <v>275</v>
      </c>
      <c r="AS137" s="1">
        <v>7.5</v>
      </c>
      <c r="AT137" s="4">
        <v>0.65414040478191904</v>
      </c>
      <c r="AU137" s="1" t="s">
        <v>810</v>
      </c>
      <c r="AV137" s="1" t="s">
        <v>811</v>
      </c>
      <c r="AW137" s="1">
        <v>2476</v>
      </c>
      <c r="AX137" s="1">
        <v>1472</v>
      </c>
      <c r="AY137" s="1">
        <v>979</v>
      </c>
      <c r="AZ137" s="1">
        <v>24</v>
      </c>
      <c r="BA137" s="1">
        <v>1</v>
      </c>
      <c r="BB137" s="1">
        <v>0</v>
      </c>
      <c r="BC137" s="1">
        <v>0</v>
      </c>
      <c r="BD137" s="1">
        <v>0</v>
      </c>
      <c r="BE137" s="1">
        <v>0</v>
      </c>
      <c r="BF137" s="1">
        <v>0</v>
      </c>
      <c r="BG137" s="1">
        <v>0</v>
      </c>
      <c r="BH137" s="4">
        <v>-0.94799999999999995</v>
      </c>
      <c r="BI137" s="4">
        <v>24.853999999999999</v>
      </c>
      <c r="BJ137" s="4">
        <v>10.74666</v>
      </c>
      <c r="BK137" s="4">
        <v>-0.128889</v>
      </c>
      <c r="BL137" s="4">
        <v>10.900867</v>
      </c>
      <c r="BM137" s="4">
        <v>118.828902</v>
      </c>
      <c r="BN137" s="4">
        <v>1.0143489999999999</v>
      </c>
      <c r="BO137" s="4">
        <v>21.9635</v>
      </c>
      <c r="BP137" s="4">
        <v>4.4687999999999999E-2</v>
      </c>
      <c r="BQ137" s="4">
        <v>1.039282</v>
      </c>
      <c r="BR137" s="4">
        <v>10.805467999999999</v>
      </c>
      <c r="BS137" s="4">
        <v>7.2195</v>
      </c>
      <c r="BT137" s="4">
        <v>6.7593889999999996</v>
      </c>
      <c r="BU137" s="4">
        <v>10.74666</v>
      </c>
      <c r="BV137" s="4">
        <v>5.669619</v>
      </c>
      <c r="BW137" s="4">
        <v>0.253249</v>
      </c>
      <c r="BX137" s="4">
        <v>-1.218593</v>
      </c>
      <c r="BY137" s="4">
        <v>0.52756999999999998</v>
      </c>
      <c r="BZ137" s="4">
        <v>4.4667999999999999E-2</v>
      </c>
      <c r="CA137" s="4">
        <v>-0.21493399999999999</v>
      </c>
      <c r="CB137" s="4">
        <v>-0.61875000000000002</v>
      </c>
      <c r="CC137" s="4">
        <v>-0.38800000000000001</v>
      </c>
      <c r="CD137" s="4">
        <v>-0.2505</v>
      </c>
      <c r="CE137" s="4">
        <v>-0.13800000000000001</v>
      </c>
      <c r="CF137" s="4">
        <v>-8.5000000000000006E-2</v>
      </c>
      <c r="CG137" s="4">
        <v>-2.1000000000000001E-2</v>
      </c>
      <c r="CH137" s="4">
        <v>0.159</v>
      </c>
      <c r="CI137" s="4">
        <v>6.6304999999999996</v>
      </c>
      <c r="CJ137" s="4">
        <v>20.853000999999999</v>
      </c>
      <c r="CK137" s="4">
        <v>21.569500000000001</v>
      </c>
      <c r="CL137" s="4">
        <v>21.878499999999999</v>
      </c>
      <c r="CM137" s="4">
        <v>22.143999000000001</v>
      </c>
      <c r="CN137" s="4">
        <v>22.824501000000001</v>
      </c>
      <c r="CO137" s="4">
        <v>23.264250000000001</v>
      </c>
      <c r="CP137" s="4">
        <v>24.063499</v>
      </c>
      <c r="CQ137" s="4">
        <v>0.45324599999999998</v>
      </c>
      <c r="CR137" s="4">
        <v>15.305934000000001</v>
      </c>
      <c r="CS137" s="4">
        <v>17.245000999999998</v>
      </c>
      <c r="CT137" s="1">
        <v>1</v>
      </c>
      <c r="CU137" s="1">
        <v>71</v>
      </c>
      <c r="CV137" s="4">
        <v>22.911954999999999</v>
      </c>
      <c r="CW137" s="4">
        <v>1</v>
      </c>
      <c r="CX137" s="4">
        <v>16.010133</v>
      </c>
      <c r="CY137" s="4">
        <v>256.324366</v>
      </c>
      <c r="CZ137" s="4">
        <v>0.69876799999999994</v>
      </c>
      <c r="DA137" s="4">
        <v>23</v>
      </c>
      <c r="DB137" s="4">
        <v>0.60607699999999998</v>
      </c>
      <c r="DC137" s="4">
        <v>2.6960419999999998</v>
      </c>
      <c r="DD137" s="4">
        <v>12.981757</v>
      </c>
      <c r="DE137" s="4">
        <v>22.911954999999999</v>
      </c>
      <c r="DF137" s="4">
        <v>8.9954160000000005</v>
      </c>
      <c r="DG137" s="4">
        <v>1.1857040000000001</v>
      </c>
      <c r="DH137" s="4">
        <v>0.66795000000000004</v>
      </c>
      <c r="DI137" s="4">
        <v>0.39260800000000001</v>
      </c>
      <c r="DJ137" s="4">
        <v>0.13181200000000001</v>
      </c>
      <c r="DK137" s="4">
        <v>7.4255000000000002E-2</v>
      </c>
      <c r="DL137" s="4">
        <v>1</v>
      </c>
      <c r="DM137" s="4">
        <v>2</v>
      </c>
      <c r="DN137" s="4">
        <v>3</v>
      </c>
      <c r="DO137" s="4">
        <v>7</v>
      </c>
      <c r="DP137" s="4">
        <v>9</v>
      </c>
      <c r="DQ137" s="4">
        <v>11</v>
      </c>
      <c r="DR137" s="4">
        <v>17</v>
      </c>
      <c r="DS137" s="4">
        <v>22</v>
      </c>
      <c r="DT137" s="4">
        <v>26</v>
      </c>
      <c r="DU137" s="4">
        <v>30</v>
      </c>
      <c r="DV137" s="4">
        <v>32</v>
      </c>
      <c r="DW137" s="4">
        <v>35</v>
      </c>
      <c r="DX137" s="4">
        <v>48</v>
      </c>
      <c r="DY137" s="4">
        <v>55</v>
      </c>
      <c r="DZ137" s="4">
        <v>62.25</v>
      </c>
      <c r="EA137" s="4">
        <v>82.8125</v>
      </c>
      <c r="EB137" s="4">
        <v>50.080775000000003</v>
      </c>
      <c r="EC137" s="4">
        <v>84.239130000000003</v>
      </c>
      <c r="ED137" s="4">
        <v>1219</v>
      </c>
      <c r="EE137" s="4">
        <v>1240</v>
      </c>
      <c r="EF137" s="4">
        <v>81.793477999999993</v>
      </c>
      <c r="EG137" s="4">
        <v>96.671195999999995</v>
      </c>
      <c r="EH137" s="4">
        <v>49.111469999999997</v>
      </c>
      <c r="EI137" s="4">
        <v>78.998384000000001</v>
      </c>
      <c r="EJ137" s="4">
        <v>82.608695999999995</v>
      </c>
      <c r="EK137" s="4">
        <v>132.88043500000001</v>
      </c>
      <c r="EL137" s="4">
        <v>1204</v>
      </c>
      <c r="EM137" s="4">
        <v>1423</v>
      </c>
      <c r="EN137" s="4">
        <v>1216</v>
      </c>
      <c r="EO137" s="4">
        <v>1956</v>
      </c>
      <c r="EP137" s="4">
        <v>1472</v>
      </c>
      <c r="EQ137" s="4">
        <v>2476</v>
      </c>
      <c r="ER137" s="4">
        <v>43.977840999999998</v>
      </c>
    </row>
    <row r="138" spans="1:148" x14ac:dyDescent="0.2">
      <c r="A138" s="1">
        <v>2022</v>
      </c>
      <c r="B138" s="1" t="str">
        <f t="shared" si="4"/>
        <v>RD</v>
      </c>
      <c r="C138" s="1" t="s">
        <v>812</v>
      </c>
      <c r="D138" s="1" t="s">
        <v>812</v>
      </c>
      <c r="E138" s="1">
        <v>24471</v>
      </c>
      <c r="F138" s="1" t="s">
        <v>2097</v>
      </c>
      <c r="G138" s="1" t="s">
        <v>807</v>
      </c>
      <c r="H138" s="1" t="s">
        <v>808</v>
      </c>
      <c r="I138" s="1">
        <v>23.37</v>
      </c>
      <c r="J138" s="1">
        <v>23.37</v>
      </c>
      <c r="K138" s="1" t="s">
        <v>495</v>
      </c>
      <c r="L138" s="1">
        <v>1</v>
      </c>
      <c r="M138" s="1">
        <v>2016</v>
      </c>
      <c r="N138" s="1">
        <v>1</v>
      </c>
      <c r="O138" s="1">
        <v>2</v>
      </c>
      <c r="P138" s="1" t="str">
        <f t="shared" si="5"/>
        <v>Talhadia</v>
      </c>
      <c r="Q138" s="2">
        <v>42674</v>
      </c>
      <c r="R138" s="1" t="s">
        <v>227</v>
      </c>
      <c r="S138" s="1" t="s">
        <v>160</v>
      </c>
      <c r="T138" s="1" t="s">
        <v>2268</v>
      </c>
      <c r="U138" s="1" t="s">
        <v>495</v>
      </c>
      <c r="V138" s="1" t="s">
        <v>152</v>
      </c>
      <c r="W138" s="2">
        <v>44676</v>
      </c>
      <c r="X138" s="1" t="s">
        <v>809</v>
      </c>
      <c r="Y138" s="1">
        <v>38.049999999999997</v>
      </c>
      <c r="Z138" s="1">
        <v>20.7</v>
      </c>
      <c r="AA138" s="1">
        <v>1</v>
      </c>
      <c r="AB138" s="1">
        <v>15.7</v>
      </c>
      <c r="AC138" s="1">
        <v>5</v>
      </c>
      <c r="AD138" s="3">
        <v>324.99</v>
      </c>
      <c r="AE138" s="3">
        <v>323.70400573483801</v>
      </c>
      <c r="AF138" s="2">
        <v>44676</v>
      </c>
      <c r="AG138" s="1">
        <v>66</v>
      </c>
      <c r="AH138" s="3">
        <v>5.48117727583847</v>
      </c>
      <c r="AI138" s="4">
        <v>26.293039388478501</v>
      </c>
      <c r="AJ138" s="4">
        <v>15.554285714285699</v>
      </c>
      <c r="AK138" s="4">
        <v>21.929976691761301</v>
      </c>
      <c r="AL138" s="1">
        <v>35</v>
      </c>
      <c r="AM138" s="5">
        <v>1081.2346890965</v>
      </c>
      <c r="AN138" s="4">
        <v>281.11424260778603</v>
      </c>
      <c r="AO138" s="4">
        <v>0.25999373257501501</v>
      </c>
      <c r="AP138" s="1" t="s">
        <v>160</v>
      </c>
      <c r="AQ138" s="1" t="s">
        <v>254</v>
      </c>
      <c r="AR138" s="1" t="s">
        <v>275</v>
      </c>
      <c r="AS138" s="1">
        <v>7.5</v>
      </c>
      <c r="AT138" s="4">
        <v>0.81092601682237508</v>
      </c>
      <c r="AU138" s="1" t="s">
        <v>813</v>
      </c>
      <c r="AV138" s="1" t="s">
        <v>814</v>
      </c>
      <c r="AW138" s="1">
        <v>3948</v>
      </c>
      <c r="AX138" s="1">
        <v>2115</v>
      </c>
      <c r="AY138" s="1">
        <v>1490</v>
      </c>
      <c r="AZ138" s="1">
        <v>325</v>
      </c>
      <c r="BA138" s="1">
        <v>18</v>
      </c>
      <c r="BB138" s="1">
        <v>0</v>
      </c>
      <c r="BC138" s="1">
        <v>0</v>
      </c>
      <c r="BD138" s="1">
        <v>0</v>
      </c>
      <c r="BE138" s="1">
        <v>0</v>
      </c>
      <c r="BF138" s="1">
        <v>0</v>
      </c>
      <c r="BG138" s="1">
        <v>0</v>
      </c>
      <c r="BH138" s="4">
        <v>-1.1950000000000001</v>
      </c>
      <c r="BI138" s="4">
        <v>31.801000999999999</v>
      </c>
      <c r="BJ138" s="4">
        <v>14.429841</v>
      </c>
      <c r="BK138" s="4">
        <v>-0.147508</v>
      </c>
      <c r="BL138" s="4">
        <v>11.914260000000001</v>
      </c>
      <c r="BM138" s="4">
        <v>141.94958199999999</v>
      </c>
      <c r="BN138" s="4">
        <v>0.82566799999999996</v>
      </c>
      <c r="BO138" s="4">
        <v>25.46875</v>
      </c>
      <c r="BP138" s="4">
        <v>-0.177732</v>
      </c>
      <c r="BQ138" s="4">
        <v>1.304468</v>
      </c>
      <c r="BR138" s="4">
        <v>11.083639</v>
      </c>
      <c r="BS138" s="4">
        <v>9.5229999999999997</v>
      </c>
      <c r="BT138" s="4">
        <v>18.594009</v>
      </c>
      <c r="BU138" s="4">
        <v>14.429841</v>
      </c>
      <c r="BV138" s="4">
        <v>6.5905079999999998</v>
      </c>
      <c r="BW138" s="4">
        <v>-0.20553399999999999</v>
      </c>
      <c r="BX138" s="4">
        <v>-0.96351799999999999</v>
      </c>
      <c r="BY138" s="4">
        <v>0.45672800000000002</v>
      </c>
      <c r="BZ138" s="4">
        <v>-3.1185999999999998E-2</v>
      </c>
      <c r="CA138" s="4">
        <v>-0.14619799999999999</v>
      </c>
      <c r="CB138" s="4">
        <v>-0.49912000000000001</v>
      </c>
      <c r="CC138" s="4">
        <v>-0.23865</v>
      </c>
      <c r="CD138" s="4">
        <v>-0.1013</v>
      </c>
      <c r="CE138" s="4">
        <v>0.09</v>
      </c>
      <c r="CF138" s="4">
        <v>0.188</v>
      </c>
      <c r="CG138" s="4">
        <v>0.33500000000000002</v>
      </c>
      <c r="CH138" s="4">
        <v>11.328799999999999</v>
      </c>
      <c r="CI138" s="4">
        <v>18.446498999999999</v>
      </c>
      <c r="CJ138" s="4">
        <v>22.3992</v>
      </c>
      <c r="CK138" s="4">
        <v>24.729599</v>
      </c>
      <c r="CL138" s="4">
        <v>25.656749999999999</v>
      </c>
      <c r="CM138" s="4">
        <v>26.665201</v>
      </c>
      <c r="CN138" s="4">
        <v>28.2423</v>
      </c>
      <c r="CO138" s="4">
        <v>29.147247</v>
      </c>
      <c r="CP138" s="4">
        <v>30.508901999999999</v>
      </c>
      <c r="CQ138" s="4">
        <v>0.47353699999999999</v>
      </c>
      <c r="CR138" s="4">
        <v>18.711866000000001</v>
      </c>
      <c r="CS138" s="4">
        <v>20.682637</v>
      </c>
      <c r="CT138" s="1">
        <v>1</v>
      </c>
      <c r="CU138" s="1">
        <v>45</v>
      </c>
      <c r="CV138" s="4">
        <v>12.033688</v>
      </c>
      <c r="CW138" s="4">
        <v>1</v>
      </c>
      <c r="CX138" s="4">
        <v>8.7842500000000001</v>
      </c>
      <c r="CY138" s="4">
        <v>77.163039999999995</v>
      </c>
      <c r="CZ138" s="4">
        <v>0.72997199999999995</v>
      </c>
      <c r="DA138" s="4">
        <v>13</v>
      </c>
      <c r="DB138" s="4">
        <v>0.84505699999999995</v>
      </c>
      <c r="DC138" s="4">
        <v>3.188545</v>
      </c>
      <c r="DD138" s="4">
        <v>7.1998730000000002</v>
      </c>
      <c r="DE138" s="4">
        <v>12.033688</v>
      </c>
      <c r="DF138" s="4">
        <v>4.8663069999999999</v>
      </c>
      <c r="DG138" s="4">
        <v>0.91643200000000002</v>
      </c>
      <c r="DH138" s="4">
        <v>0.350103</v>
      </c>
      <c r="DI138" s="4">
        <v>0.40439000000000003</v>
      </c>
      <c r="DJ138" s="4">
        <v>0.18832199999999999</v>
      </c>
      <c r="DK138" s="4">
        <v>7.1943999999999994E-2</v>
      </c>
      <c r="DL138" s="4">
        <v>1</v>
      </c>
      <c r="DM138" s="4">
        <v>1</v>
      </c>
      <c r="DN138" s="4">
        <v>2</v>
      </c>
      <c r="DO138" s="4">
        <v>4</v>
      </c>
      <c r="DP138" s="4">
        <v>5</v>
      </c>
      <c r="DQ138" s="4">
        <v>6</v>
      </c>
      <c r="DR138" s="4">
        <v>8</v>
      </c>
      <c r="DS138" s="4">
        <v>10</v>
      </c>
      <c r="DT138" s="4">
        <v>13</v>
      </c>
      <c r="DU138" s="4">
        <v>16</v>
      </c>
      <c r="DV138" s="4">
        <v>18</v>
      </c>
      <c r="DW138" s="4">
        <v>20</v>
      </c>
      <c r="DX138" s="4">
        <v>24</v>
      </c>
      <c r="DY138" s="4">
        <v>29</v>
      </c>
      <c r="DZ138" s="4">
        <v>37</v>
      </c>
      <c r="EA138" s="4">
        <v>93.522458999999998</v>
      </c>
      <c r="EB138" s="4">
        <v>62.892603999999999</v>
      </c>
      <c r="EC138" s="4">
        <v>117.39952700000001</v>
      </c>
      <c r="ED138" s="4">
        <v>1978</v>
      </c>
      <c r="EE138" s="4">
        <v>2483</v>
      </c>
      <c r="EF138" s="4">
        <v>89.834514999999996</v>
      </c>
      <c r="EG138" s="4">
        <v>99.716312000000002</v>
      </c>
      <c r="EH138" s="4">
        <v>55.775075999999999</v>
      </c>
      <c r="EI138" s="4">
        <v>91.919959000000006</v>
      </c>
      <c r="EJ138" s="4">
        <v>104.11347499999999</v>
      </c>
      <c r="EK138" s="4">
        <v>171.583924</v>
      </c>
      <c r="EL138" s="4">
        <v>1900</v>
      </c>
      <c r="EM138" s="4">
        <v>2109</v>
      </c>
      <c r="EN138" s="4">
        <v>2202</v>
      </c>
      <c r="EO138" s="4">
        <v>3629</v>
      </c>
      <c r="EP138" s="4">
        <v>2115</v>
      </c>
      <c r="EQ138" s="4">
        <v>3948</v>
      </c>
      <c r="ER138" s="4">
        <v>46.377057999999998</v>
      </c>
    </row>
    <row r="139" spans="1:148" x14ac:dyDescent="0.2">
      <c r="A139" s="1">
        <v>2022</v>
      </c>
      <c r="B139" s="1" t="str">
        <f t="shared" si="4"/>
        <v>RD</v>
      </c>
      <c r="C139" s="1" t="s">
        <v>815</v>
      </c>
      <c r="D139" s="1" t="s">
        <v>815</v>
      </c>
      <c r="E139" s="1">
        <v>24472</v>
      </c>
      <c r="F139" s="1" t="s">
        <v>2097</v>
      </c>
      <c r="G139" s="1" t="s">
        <v>807</v>
      </c>
      <c r="H139" s="1" t="s">
        <v>816</v>
      </c>
      <c r="I139" s="1">
        <v>14.68</v>
      </c>
      <c r="J139" s="1">
        <v>14.68</v>
      </c>
      <c r="K139" s="1" t="s">
        <v>495</v>
      </c>
      <c r="L139" s="1">
        <v>1</v>
      </c>
      <c r="M139" s="1">
        <v>2016</v>
      </c>
      <c r="N139" s="1">
        <v>1</v>
      </c>
      <c r="O139" s="1">
        <v>2</v>
      </c>
      <c r="P139" s="1" t="str">
        <f t="shared" si="5"/>
        <v>Talhadia</v>
      </c>
      <c r="Q139" s="2">
        <v>42674</v>
      </c>
      <c r="R139" s="1" t="s">
        <v>227</v>
      </c>
      <c r="S139" s="1" t="s">
        <v>150</v>
      </c>
      <c r="T139" s="1" t="s">
        <v>2268</v>
      </c>
      <c r="U139" s="1" t="s">
        <v>495</v>
      </c>
      <c r="V139" s="1" t="s">
        <v>152</v>
      </c>
      <c r="W139" s="2">
        <v>44676</v>
      </c>
      <c r="X139" s="1" t="s">
        <v>809</v>
      </c>
      <c r="Y139" s="1">
        <v>38.049999999999997</v>
      </c>
      <c r="Z139" s="1">
        <v>20.5</v>
      </c>
      <c r="AA139" s="1">
        <v>1</v>
      </c>
      <c r="AB139" s="1">
        <v>15.4</v>
      </c>
      <c r="AC139" s="1">
        <v>4</v>
      </c>
      <c r="AD139" s="3">
        <v>315.7</v>
      </c>
      <c r="AE139" s="3">
        <v>314.88300515479102</v>
      </c>
      <c r="AF139" s="2">
        <v>44676</v>
      </c>
      <c r="AG139" s="1">
        <v>66</v>
      </c>
      <c r="AH139" s="3">
        <v>5.48117727583847</v>
      </c>
      <c r="AI139" s="4">
        <v>23.137656122966298</v>
      </c>
      <c r="AJ139" s="4">
        <v>15.739393939393899</v>
      </c>
      <c r="AK139" s="4">
        <v>22.729487280314299</v>
      </c>
      <c r="AL139" s="1">
        <v>33</v>
      </c>
      <c r="AM139" s="5">
        <v>1048.0082906912601</v>
      </c>
      <c r="AN139" s="4">
        <v>251.611358306754</v>
      </c>
      <c r="AO139" s="4">
        <v>0.240085274650636</v>
      </c>
      <c r="AP139" s="1" t="s">
        <v>150</v>
      </c>
      <c r="AQ139" s="1" t="s">
        <v>254</v>
      </c>
      <c r="AR139" s="1" t="s">
        <v>275</v>
      </c>
      <c r="AS139" s="1">
        <v>7.5</v>
      </c>
      <c r="AT139" s="4">
        <v>0.78600621801844506</v>
      </c>
      <c r="AU139" s="1" t="s">
        <v>817</v>
      </c>
      <c r="AV139" s="1" t="s">
        <v>818</v>
      </c>
      <c r="AW139" s="1">
        <v>3109</v>
      </c>
      <c r="AX139" s="1">
        <v>1783</v>
      </c>
      <c r="AY139" s="1">
        <v>1028</v>
      </c>
      <c r="AZ139" s="1">
        <v>272</v>
      </c>
      <c r="BA139" s="1">
        <v>26</v>
      </c>
      <c r="BB139" s="1">
        <v>0</v>
      </c>
      <c r="BC139" s="1">
        <v>0</v>
      </c>
      <c r="BD139" s="1">
        <v>0</v>
      </c>
      <c r="BE139" s="1">
        <v>0</v>
      </c>
      <c r="BF139" s="1">
        <v>0</v>
      </c>
      <c r="BG139" s="1">
        <v>0</v>
      </c>
      <c r="BH139" s="4">
        <v>-0.92700000000000005</v>
      </c>
      <c r="BI139" s="4">
        <v>33.172001000000002</v>
      </c>
      <c r="BJ139" s="4">
        <v>16.911149999999999</v>
      </c>
      <c r="BK139" s="4">
        <v>-0.38574599999999998</v>
      </c>
      <c r="BL139" s="4">
        <v>10.566362</v>
      </c>
      <c r="BM139" s="4">
        <v>111.647998</v>
      </c>
      <c r="BN139" s="4">
        <v>0.62481600000000004</v>
      </c>
      <c r="BO139" s="4">
        <v>16.204999999999998</v>
      </c>
      <c r="BP139" s="4">
        <v>-0.59379700000000002</v>
      </c>
      <c r="BQ139" s="4">
        <v>1.955193</v>
      </c>
      <c r="BR139" s="4">
        <v>8.9024099999999997</v>
      </c>
      <c r="BS139" s="4">
        <v>6.4370000000000003</v>
      </c>
      <c r="BT139" s="4">
        <v>20.356746999999999</v>
      </c>
      <c r="BU139" s="4">
        <v>16.911149999999999</v>
      </c>
      <c r="BV139" s="4">
        <v>5.8399539999999996</v>
      </c>
      <c r="BW139" s="4">
        <v>-0.92625000000000002</v>
      </c>
      <c r="BX139" s="4">
        <v>-1.5526E-2</v>
      </c>
      <c r="BY139" s="4">
        <v>0.34533199999999997</v>
      </c>
      <c r="BZ139" s="4">
        <v>-0.158606</v>
      </c>
      <c r="CA139" s="4">
        <v>-2.6589999999999999E-3</v>
      </c>
      <c r="CB139" s="4">
        <v>-0.39560000000000001</v>
      </c>
      <c r="CC139" s="4">
        <v>-0.1444</v>
      </c>
      <c r="CD139" s="4">
        <v>-0.01</v>
      </c>
      <c r="CE139" s="4">
        <v>0.28360000000000002</v>
      </c>
      <c r="CF139" s="4">
        <v>9.2609999999999992</v>
      </c>
      <c r="CG139" s="4">
        <v>13.704599999999999</v>
      </c>
      <c r="CH139" s="4">
        <v>17.556601000000001</v>
      </c>
      <c r="CI139" s="4">
        <v>19.971001000000001</v>
      </c>
      <c r="CJ139" s="4">
        <v>22.1812</v>
      </c>
      <c r="CK139" s="4">
        <v>24.450001</v>
      </c>
      <c r="CL139" s="4">
        <v>25.466000000000001</v>
      </c>
      <c r="CM139" s="4">
        <v>26.440999999999999</v>
      </c>
      <c r="CN139" s="4">
        <v>28.141999999999999</v>
      </c>
      <c r="CO139" s="4">
        <v>29.969000000000001</v>
      </c>
      <c r="CP139" s="4">
        <v>32.308715999999997</v>
      </c>
      <c r="CQ139" s="4">
        <v>0.52312800000000004</v>
      </c>
      <c r="CR139" s="4">
        <v>19.939886000000001</v>
      </c>
      <c r="CS139" s="4">
        <v>21.398686999999999</v>
      </c>
      <c r="CT139" s="1">
        <v>1</v>
      </c>
      <c r="CU139" s="1">
        <v>39</v>
      </c>
      <c r="CV139" s="4">
        <v>8.1373429999999995</v>
      </c>
      <c r="CW139" s="4">
        <v>1</v>
      </c>
      <c r="CX139" s="4">
        <v>5.7720630000000002</v>
      </c>
      <c r="CY139" s="4">
        <v>33.316716</v>
      </c>
      <c r="CZ139" s="4">
        <v>0.70933000000000002</v>
      </c>
      <c r="DA139" s="4">
        <v>7</v>
      </c>
      <c r="DB139" s="4">
        <v>1.051372</v>
      </c>
      <c r="DC139" s="4">
        <v>4.04549</v>
      </c>
      <c r="DD139" s="4">
        <v>4.5734199999999996</v>
      </c>
      <c r="DE139" s="4">
        <v>8.1373429999999995</v>
      </c>
      <c r="DF139" s="4">
        <v>3.1438679999999999</v>
      </c>
      <c r="DG139" s="4">
        <v>0.64931300000000003</v>
      </c>
      <c r="DH139" s="4">
        <v>0.33999200000000002</v>
      </c>
      <c r="DI139" s="4">
        <v>0.386351</v>
      </c>
      <c r="DJ139" s="4">
        <v>0.20653299999999999</v>
      </c>
      <c r="DK139" s="4">
        <v>0.10814500000000001</v>
      </c>
      <c r="DL139" s="4">
        <v>1</v>
      </c>
      <c r="DM139" s="4">
        <v>1</v>
      </c>
      <c r="DN139" s="4">
        <v>2</v>
      </c>
      <c r="DO139" s="4">
        <v>3</v>
      </c>
      <c r="DP139" s="4">
        <v>4</v>
      </c>
      <c r="DQ139" s="4">
        <v>4</v>
      </c>
      <c r="DR139" s="4">
        <v>6</v>
      </c>
      <c r="DS139" s="4">
        <v>7</v>
      </c>
      <c r="DT139" s="4">
        <v>8</v>
      </c>
      <c r="DU139" s="4">
        <v>10</v>
      </c>
      <c r="DV139" s="4">
        <v>11</v>
      </c>
      <c r="DW139" s="4">
        <v>13</v>
      </c>
      <c r="DX139" s="4">
        <v>16</v>
      </c>
      <c r="DY139" s="4">
        <v>19</v>
      </c>
      <c r="DZ139" s="4">
        <v>26</v>
      </c>
      <c r="EA139" s="4">
        <v>98.149186999999998</v>
      </c>
      <c r="EB139" s="4">
        <v>76.455451999999994</v>
      </c>
      <c r="EC139" s="4">
        <v>133.314638</v>
      </c>
      <c r="ED139" s="4">
        <v>1750</v>
      </c>
      <c r="EE139" s="4">
        <v>2377</v>
      </c>
      <c r="EF139" s="4">
        <v>91.026359999999997</v>
      </c>
      <c r="EG139" s="4">
        <v>100</v>
      </c>
      <c r="EH139" s="4">
        <v>62.592472999999998</v>
      </c>
      <c r="EI139" s="4">
        <v>98.874235999999996</v>
      </c>
      <c r="EJ139" s="4">
        <v>109.141896</v>
      </c>
      <c r="EK139" s="4">
        <v>172.406057</v>
      </c>
      <c r="EL139" s="4">
        <v>1623</v>
      </c>
      <c r="EM139" s="4">
        <v>1783</v>
      </c>
      <c r="EN139" s="4">
        <v>1946</v>
      </c>
      <c r="EO139" s="4">
        <v>3074</v>
      </c>
      <c r="EP139" s="4">
        <v>1783</v>
      </c>
      <c r="EQ139" s="4">
        <v>3109</v>
      </c>
      <c r="ER139" s="4">
        <v>51.406373000000002</v>
      </c>
    </row>
    <row r="140" spans="1:148" x14ac:dyDescent="0.2">
      <c r="A140" s="1">
        <v>2022</v>
      </c>
      <c r="B140" s="1" t="str">
        <f t="shared" si="4"/>
        <v>RD</v>
      </c>
      <c r="C140" s="1" t="s">
        <v>819</v>
      </c>
      <c r="D140" s="1" t="s">
        <v>819</v>
      </c>
      <c r="E140" s="1">
        <v>24509</v>
      </c>
      <c r="F140" s="1" t="s">
        <v>2098</v>
      </c>
      <c r="G140" s="1" t="s">
        <v>820</v>
      </c>
      <c r="H140" s="1" t="s">
        <v>821</v>
      </c>
      <c r="I140" s="1">
        <v>39.090000000000003</v>
      </c>
      <c r="J140" s="1">
        <v>39.090000000000003</v>
      </c>
      <c r="K140" s="1" t="s">
        <v>226</v>
      </c>
      <c r="L140" s="1">
        <v>1</v>
      </c>
      <c r="M140" s="1">
        <v>2016</v>
      </c>
      <c r="N140" s="1">
        <v>2</v>
      </c>
      <c r="O140" s="1">
        <v>2</v>
      </c>
      <c r="P140" s="1" t="str">
        <f t="shared" si="5"/>
        <v>Talhadia</v>
      </c>
      <c r="Q140" s="2">
        <v>42719</v>
      </c>
      <c r="R140" s="1" t="s">
        <v>227</v>
      </c>
      <c r="S140" s="1" t="s">
        <v>822</v>
      </c>
      <c r="T140" s="1" t="s">
        <v>2268</v>
      </c>
      <c r="U140" s="1" t="s">
        <v>228</v>
      </c>
      <c r="V140" s="1" t="s">
        <v>152</v>
      </c>
      <c r="W140" s="2">
        <v>44637</v>
      </c>
      <c r="X140" s="1" t="s">
        <v>823</v>
      </c>
      <c r="Y140" s="1">
        <v>65.28</v>
      </c>
      <c r="Z140" s="1">
        <v>21.1</v>
      </c>
      <c r="AA140" s="1">
        <v>12</v>
      </c>
      <c r="AB140" s="1">
        <v>14.9</v>
      </c>
      <c r="AC140" s="1">
        <v>0</v>
      </c>
      <c r="AD140" s="3">
        <v>314.39</v>
      </c>
      <c r="AE140" s="3">
        <v>307.51982419470102</v>
      </c>
      <c r="AF140" s="2">
        <v>44636</v>
      </c>
      <c r="AG140" s="1">
        <v>63</v>
      </c>
      <c r="AH140" s="3">
        <v>5.2484599589322398</v>
      </c>
      <c r="AI140" s="4">
        <v>23.104589093038001</v>
      </c>
      <c r="AJ140" s="4">
        <v>14.806451612903199</v>
      </c>
      <c r="AK140" s="4">
        <v>17.9571054254986</v>
      </c>
      <c r="AL140" s="1">
        <v>31</v>
      </c>
      <c r="AM140" s="5">
        <v>1008.06509242711</v>
      </c>
      <c r="AN140" s="4">
        <v>188.48402447274299</v>
      </c>
      <c r="AO140" s="4">
        <v>0.18697604538505699</v>
      </c>
      <c r="AP140" s="1" t="s">
        <v>822</v>
      </c>
      <c r="AQ140" s="1" t="s">
        <v>254</v>
      </c>
      <c r="AR140" s="1" t="s">
        <v>375</v>
      </c>
      <c r="AS140" s="1">
        <v>7.5</v>
      </c>
      <c r="AT140" s="4">
        <v>0.75604881932033252</v>
      </c>
      <c r="AU140" s="1" t="s">
        <v>824</v>
      </c>
      <c r="AV140" s="1" t="s">
        <v>825</v>
      </c>
      <c r="AW140" s="1">
        <v>2364</v>
      </c>
      <c r="AX140" s="1">
        <v>1348</v>
      </c>
      <c r="AY140" s="1">
        <v>855</v>
      </c>
      <c r="AZ140" s="1">
        <v>154</v>
      </c>
      <c r="BA140" s="1">
        <v>7</v>
      </c>
      <c r="BB140" s="1">
        <v>0</v>
      </c>
      <c r="BC140" s="1">
        <v>0</v>
      </c>
      <c r="BD140" s="1">
        <v>0</v>
      </c>
      <c r="BE140" s="1">
        <v>0</v>
      </c>
      <c r="BF140" s="1">
        <v>0</v>
      </c>
      <c r="BG140" s="1">
        <v>0</v>
      </c>
      <c r="BH140" s="4">
        <v>-0.85</v>
      </c>
      <c r="BI140" s="4">
        <v>27.129999000000002</v>
      </c>
      <c r="BJ140" s="4">
        <v>8.3036209999999997</v>
      </c>
      <c r="BK140" s="4">
        <v>-0.40587299999999998</v>
      </c>
      <c r="BL140" s="4">
        <v>9.3628730000000004</v>
      </c>
      <c r="BM140" s="4">
        <v>87.663385000000005</v>
      </c>
      <c r="BN140" s="4">
        <v>1.1275649999999999</v>
      </c>
      <c r="BO140" s="4">
        <v>16.949998999999998</v>
      </c>
      <c r="BP140" s="4">
        <v>0.50888299999999997</v>
      </c>
      <c r="BQ140" s="4">
        <v>1.647305</v>
      </c>
      <c r="BR140" s="4">
        <v>8.5884450000000001</v>
      </c>
      <c r="BS140" s="4">
        <v>0.74</v>
      </c>
      <c r="BT140" s="4">
        <v>0.78087300000000004</v>
      </c>
      <c r="BU140" s="4">
        <v>8.3036209999999997</v>
      </c>
      <c r="BV140" s="4">
        <v>5.0446600000000004</v>
      </c>
      <c r="BW140" s="4">
        <v>1.234327</v>
      </c>
      <c r="BX140" s="4">
        <v>-0.44819799999999999</v>
      </c>
      <c r="BY140" s="4">
        <v>0.60752499999999998</v>
      </c>
      <c r="BZ140" s="4">
        <v>0.24468000000000001</v>
      </c>
      <c r="CA140" s="4">
        <v>-8.8845999999999994E-2</v>
      </c>
      <c r="CB140" s="4">
        <v>-0.37</v>
      </c>
      <c r="CC140" s="4">
        <v>-0.21</v>
      </c>
      <c r="CD140" s="4">
        <v>-0.11</v>
      </c>
      <c r="CE140" s="4">
        <v>-0.02</v>
      </c>
      <c r="CF140" s="4">
        <v>0.01</v>
      </c>
      <c r="CG140" s="4">
        <v>0.05</v>
      </c>
      <c r="CH140" s="4">
        <v>0.13</v>
      </c>
      <c r="CI140" s="4">
        <v>0.375</v>
      </c>
      <c r="CJ140" s="4">
        <v>10.934001</v>
      </c>
      <c r="CK140" s="4">
        <v>15.552999</v>
      </c>
      <c r="CL140" s="4">
        <v>16.959999</v>
      </c>
      <c r="CM140" s="4">
        <v>18.903998999999999</v>
      </c>
      <c r="CN140" s="4">
        <v>22.521000000000001</v>
      </c>
      <c r="CO140" s="4">
        <v>24.41</v>
      </c>
      <c r="CP140" s="4">
        <v>26.044806000000001</v>
      </c>
      <c r="CQ140" s="4">
        <v>0.32714900000000002</v>
      </c>
      <c r="CR140" s="4">
        <v>12.51305</v>
      </c>
      <c r="CS140" s="4">
        <v>14.694386</v>
      </c>
      <c r="CT140" s="1">
        <v>1</v>
      </c>
      <c r="CU140" s="1">
        <v>47</v>
      </c>
      <c r="CV140" s="4">
        <v>12.206853000000001</v>
      </c>
      <c r="CW140" s="4">
        <v>1</v>
      </c>
      <c r="CX140" s="4">
        <v>11.264373000000001</v>
      </c>
      <c r="CY140" s="4">
        <v>126.886098</v>
      </c>
      <c r="CZ140" s="4">
        <v>0.92279100000000003</v>
      </c>
      <c r="DA140" s="4">
        <v>14.25</v>
      </c>
      <c r="DB140" s="4">
        <v>1.087629</v>
      </c>
      <c r="DC140" s="4">
        <v>2.9906069999999998</v>
      </c>
      <c r="DD140" s="4">
        <v>9.2258879999999994</v>
      </c>
      <c r="DE140" s="4">
        <v>12.206853000000001</v>
      </c>
      <c r="DF140" s="4">
        <v>5.9758399999999998</v>
      </c>
      <c r="DG140" s="4">
        <v>1.8767739999999999</v>
      </c>
      <c r="DH140" s="4">
        <v>0.50550799999999996</v>
      </c>
      <c r="DI140" s="4">
        <v>0.48954799999999998</v>
      </c>
      <c r="DJ140" s="4">
        <v>0.31406000000000001</v>
      </c>
      <c r="DK140" s="4">
        <v>8.4592000000000001E-2</v>
      </c>
      <c r="DL140" s="4">
        <v>1</v>
      </c>
      <c r="DM140" s="4">
        <v>1</v>
      </c>
      <c r="DN140" s="4">
        <v>2</v>
      </c>
      <c r="DO140" s="4">
        <v>3</v>
      </c>
      <c r="DP140" s="4">
        <v>4</v>
      </c>
      <c r="DQ140" s="4">
        <v>4</v>
      </c>
      <c r="DR140" s="4">
        <v>6</v>
      </c>
      <c r="DS140" s="4">
        <v>8</v>
      </c>
      <c r="DT140" s="4">
        <v>10</v>
      </c>
      <c r="DU140" s="4">
        <v>14</v>
      </c>
      <c r="DV140" s="4">
        <v>18.25</v>
      </c>
      <c r="DW140" s="4">
        <v>23</v>
      </c>
      <c r="DX140" s="4">
        <v>32</v>
      </c>
      <c r="DY140" s="4">
        <v>36</v>
      </c>
      <c r="DZ140" s="4">
        <v>41</v>
      </c>
      <c r="EA140" s="4">
        <v>70.994065000000006</v>
      </c>
      <c r="EB140" s="4">
        <v>48.773266</v>
      </c>
      <c r="EC140" s="4">
        <v>85.534125000000003</v>
      </c>
      <c r="ED140" s="4">
        <v>957</v>
      </c>
      <c r="EE140" s="4">
        <v>1153</v>
      </c>
      <c r="EF140" s="4">
        <v>67.136499000000001</v>
      </c>
      <c r="EG140" s="4">
        <v>100</v>
      </c>
      <c r="EH140" s="4">
        <v>45.304569000000001</v>
      </c>
      <c r="EI140" s="4">
        <v>99.238579000000001</v>
      </c>
      <c r="EJ140" s="4">
        <v>79.451038999999994</v>
      </c>
      <c r="EK140" s="4">
        <v>174.035608</v>
      </c>
      <c r="EL140" s="4">
        <v>905</v>
      </c>
      <c r="EM140" s="4">
        <v>1348</v>
      </c>
      <c r="EN140" s="4">
        <v>1071</v>
      </c>
      <c r="EO140" s="4">
        <v>2346</v>
      </c>
      <c r="EP140" s="4">
        <v>1348</v>
      </c>
      <c r="EQ140" s="4">
        <v>2364</v>
      </c>
      <c r="ER140" s="4">
        <v>30.931664999999999</v>
      </c>
    </row>
    <row r="141" spans="1:148" x14ac:dyDescent="0.2">
      <c r="A141" s="1">
        <v>2022</v>
      </c>
      <c r="B141" s="1" t="str">
        <f t="shared" si="4"/>
        <v>RD</v>
      </c>
      <c r="C141" s="1" t="s">
        <v>826</v>
      </c>
      <c r="D141" s="1" t="s">
        <v>826</v>
      </c>
      <c r="E141" s="1">
        <v>24511</v>
      </c>
      <c r="F141" s="1" t="s">
        <v>2098</v>
      </c>
      <c r="G141" s="1" t="s">
        <v>820</v>
      </c>
      <c r="H141" s="1" t="s">
        <v>821</v>
      </c>
      <c r="I141" s="1">
        <v>39.090000000000003</v>
      </c>
      <c r="J141" s="1">
        <v>39.090000000000003</v>
      </c>
      <c r="K141" s="1" t="s">
        <v>226</v>
      </c>
      <c r="L141" s="1">
        <v>1</v>
      </c>
      <c r="M141" s="1">
        <v>2016</v>
      </c>
      <c r="N141" s="1">
        <v>2</v>
      </c>
      <c r="O141" s="1">
        <v>2</v>
      </c>
      <c r="P141" s="1" t="str">
        <f t="shared" si="5"/>
        <v>Talhadia</v>
      </c>
      <c r="Q141" s="2">
        <v>42719</v>
      </c>
      <c r="R141" s="1" t="s">
        <v>227</v>
      </c>
      <c r="S141" s="1" t="s">
        <v>822</v>
      </c>
      <c r="T141" s="1" t="s">
        <v>2268</v>
      </c>
      <c r="U141" s="1" t="s">
        <v>228</v>
      </c>
      <c r="V141" s="1" t="s">
        <v>152</v>
      </c>
      <c r="W141" s="2">
        <v>44637</v>
      </c>
      <c r="X141" s="1" t="s">
        <v>823</v>
      </c>
      <c r="Y141" s="1">
        <v>65.28</v>
      </c>
      <c r="Z141" s="1">
        <v>19.100000000000001</v>
      </c>
      <c r="AA141" s="1">
        <v>16</v>
      </c>
      <c r="AB141" s="1">
        <v>15.4</v>
      </c>
      <c r="AC141" s="1">
        <v>8</v>
      </c>
      <c r="AD141" s="3">
        <v>294.14</v>
      </c>
      <c r="AE141" s="3">
        <v>279.99385532532</v>
      </c>
      <c r="AF141" s="2">
        <v>44637</v>
      </c>
      <c r="AG141" s="1">
        <v>63</v>
      </c>
      <c r="AH141" s="3">
        <v>5.2511978097193701</v>
      </c>
      <c r="AI141" s="4">
        <v>22.816749540602299</v>
      </c>
      <c r="AJ141" s="4">
        <v>13.3222222222222</v>
      </c>
      <c r="AK141" s="4">
        <v>13.6583457493709</v>
      </c>
      <c r="AL141" s="1">
        <v>27</v>
      </c>
      <c r="AM141" s="5">
        <v>964.30687625730798</v>
      </c>
      <c r="AN141" s="4">
        <v>140.71380757727599</v>
      </c>
      <c r="AO141" s="4">
        <v>0.14592222770765401</v>
      </c>
      <c r="AP141" s="1" t="s">
        <v>822</v>
      </c>
      <c r="AQ141" s="1" t="s">
        <v>254</v>
      </c>
      <c r="AR141" s="1" t="s">
        <v>375</v>
      </c>
      <c r="AS141" s="1">
        <v>7.5</v>
      </c>
      <c r="AT141" s="4">
        <v>0.723230157192981</v>
      </c>
      <c r="AU141" s="1" t="s">
        <v>827</v>
      </c>
      <c r="AV141" s="1" t="s">
        <v>828</v>
      </c>
      <c r="AW141" s="1">
        <v>4045</v>
      </c>
      <c r="AX141" s="1">
        <v>2326</v>
      </c>
      <c r="AY141" s="1">
        <v>1576</v>
      </c>
      <c r="AZ141" s="1">
        <v>142</v>
      </c>
      <c r="BA141" s="1">
        <v>1</v>
      </c>
      <c r="BB141" s="1">
        <v>0</v>
      </c>
      <c r="BC141" s="1">
        <v>0</v>
      </c>
      <c r="BD141" s="1">
        <v>0</v>
      </c>
      <c r="BE141" s="1">
        <v>0</v>
      </c>
      <c r="BF141" s="1">
        <v>0</v>
      </c>
      <c r="BG141" s="1">
        <v>0</v>
      </c>
      <c r="BH141" s="4">
        <v>-0.94</v>
      </c>
      <c r="BI141" s="4">
        <v>22.700001</v>
      </c>
      <c r="BJ141" s="4">
        <v>5.0124849999999999</v>
      </c>
      <c r="BK141" s="4">
        <v>-0.189524</v>
      </c>
      <c r="BL141" s="4">
        <v>7.6122699999999996</v>
      </c>
      <c r="BM141" s="4">
        <v>57.946662000000003</v>
      </c>
      <c r="BN141" s="4">
        <v>1.518662</v>
      </c>
      <c r="BO141" s="4">
        <v>12.98</v>
      </c>
      <c r="BP141" s="4">
        <v>1.0013000000000001</v>
      </c>
      <c r="BQ141" s="4">
        <v>2.2214450000000001</v>
      </c>
      <c r="BR141" s="4">
        <v>6.7860170000000002</v>
      </c>
      <c r="BS141" s="4">
        <v>0.21</v>
      </c>
      <c r="BT141" s="4">
        <v>0.29952400000000001</v>
      </c>
      <c r="BU141" s="4">
        <v>5.0124849999999999</v>
      </c>
      <c r="BV141" s="4">
        <v>3.6663429999999999</v>
      </c>
      <c r="BW141" s="4">
        <v>1.6280539999999999</v>
      </c>
      <c r="BX141" s="4">
        <v>0.144287</v>
      </c>
      <c r="BY141" s="4">
        <v>0.73144200000000004</v>
      </c>
      <c r="BZ141" s="4">
        <v>0.444054</v>
      </c>
      <c r="CA141" s="4">
        <v>3.9354E-2</v>
      </c>
      <c r="CB141" s="4">
        <v>-0.41120000000000001</v>
      </c>
      <c r="CC141" s="4">
        <v>-0.22</v>
      </c>
      <c r="CD141" s="4">
        <v>-0.14000000000000001</v>
      </c>
      <c r="CE141" s="4">
        <v>-0.06</v>
      </c>
      <c r="CF141" s="4">
        <v>-0.03</v>
      </c>
      <c r="CG141" s="4">
        <v>-0.01</v>
      </c>
      <c r="CH141" s="4">
        <v>0.05</v>
      </c>
      <c r="CI141" s="4">
        <v>0.11</v>
      </c>
      <c r="CJ141" s="4">
        <v>0.2</v>
      </c>
      <c r="CK141" s="4">
        <v>8.1560039999999994</v>
      </c>
      <c r="CL141" s="4">
        <v>12.95</v>
      </c>
      <c r="CM141" s="4">
        <v>14.821999999999999</v>
      </c>
      <c r="CN141" s="4">
        <v>18.149999999999999</v>
      </c>
      <c r="CO141" s="4">
        <v>19.638000000000002</v>
      </c>
      <c r="CP141" s="4">
        <v>21.058001999999998</v>
      </c>
      <c r="CQ141" s="4">
        <v>0.25179699999999999</v>
      </c>
      <c r="CR141" s="4">
        <v>9.1135800000000007</v>
      </c>
      <c r="CS141" s="4">
        <v>11.288935</v>
      </c>
      <c r="CT141" s="1">
        <v>1</v>
      </c>
      <c r="CU141" s="1">
        <v>49</v>
      </c>
      <c r="CV141" s="4">
        <v>18.697403999999999</v>
      </c>
      <c r="CW141" s="4">
        <v>1</v>
      </c>
      <c r="CX141" s="4">
        <v>12.631207</v>
      </c>
      <c r="CY141" s="4">
        <v>159.54738399999999</v>
      </c>
      <c r="CZ141" s="4">
        <v>0.67555900000000002</v>
      </c>
      <c r="DA141" s="4">
        <v>23</v>
      </c>
      <c r="DB141" s="4">
        <v>0.328899</v>
      </c>
      <c r="DC141" s="4">
        <v>1.8148420000000001</v>
      </c>
      <c r="DD141" s="4">
        <v>11.010859</v>
      </c>
      <c r="DE141" s="4">
        <v>18.697403999999999</v>
      </c>
      <c r="DF141" s="4">
        <v>7.2204620000000004</v>
      </c>
      <c r="DG141" s="4">
        <v>0.71172500000000005</v>
      </c>
      <c r="DH141" s="4">
        <v>-8.5521E-2</v>
      </c>
      <c r="DI141" s="4">
        <v>0.38617499999999999</v>
      </c>
      <c r="DJ141" s="4">
        <v>9.8571000000000006E-2</v>
      </c>
      <c r="DK141" s="4">
        <v>-1.1844E-2</v>
      </c>
      <c r="DL141" s="4">
        <v>1</v>
      </c>
      <c r="DM141" s="4">
        <v>2</v>
      </c>
      <c r="DN141" s="4">
        <v>3</v>
      </c>
      <c r="DO141" s="4">
        <v>6</v>
      </c>
      <c r="DP141" s="4">
        <v>8</v>
      </c>
      <c r="DQ141" s="4">
        <v>9</v>
      </c>
      <c r="DR141" s="4">
        <v>12</v>
      </c>
      <c r="DS141" s="4">
        <v>16</v>
      </c>
      <c r="DT141" s="4">
        <v>20</v>
      </c>
      <c r="DU141" s="4">
        <v>28</v>
      </c>
      <c r="DV141" s="4">
        <v>31</v>
      </c>
      <c r="DW141" s="4">
        <v>33</v>
      </c>
      <c r="DX141" s="4">
        <v>37</v>
      </c>
      <c r="DY141" s="4">
        <v>40</v>
      </c>
      <c r="DZ141" s="4">
        <v>43</v>
      </c>
      <c r="EA141" s="4">
        <v>50.429923000000002</v>
      </c>
      <c r="EB141" s="4">
        <v>31.990110999999999</v>
      </c>
      <c r="EC141" s="4">
        <v>55.631985999999998</v>
      </c>
      <c r="ED141" s="4">
        <v>1173</v>
      </c>
      <c r="EE141" s="4">
        <v>1294</v>
      </c>
      <c r="EF141" s="4">
        <v>49.699053999999997</v>
      </c>
      <c r="EG141" s="4">
        <v>99.699054000000004</v>
      </c>
      <c r="EH141" s="4">
        <v>31.149567000000001</v>
      </c>
      <c r="EI141" s="4">
        <v>93.374536000000006</v>
      </c>
      <c r="EJ141" s="4">
        <v>54.170248999999998</v>
      </c>
      <c r="EK141" s="4">
        <v>162.38177099999999</v>
      </c>
      <c r="EL141" s="4">
        <v>1156</v>
      </c>
      <c r="EM141" s="4">
        <v>2319</v>
      </c>
      <c r="EN141" s="4">
        <v>1260</v>
      </c>
      <c r="EO141" s="4">
        <v>3777</v>
      </c>
      <c r="EP141" s="4">
        <v>2326</v>
      </c>
      <c r="EQ141" s="4">
        <v>4045</v>
      </c>
      <c r="ER141" s="4">
        <v>22.958693</v>
      </c>
    </row>
    <row r="142" spans="1:148" x14ac:dyDescent="0.2">
      <c r="A142" s="1">
        <v>2022</v>
      </c>
      <c r="B142" s="1" t="str">
        <f t="shared" si="4"/>
        <v>RD</v>
      </c>
      <c r="C142" s="1" t="s">
        <v>829</v>
      </c>
      <c r="D142" s="1" t="s">
        <v>829</v>
      </c>
      <c r="E142" s="1">
        <v>24541</v>
      </c>
      <c r="F142" s="1" t="s">
        <v>2099</v>
      </c>
      <c r="G142" s="1" t="s">
        <v>346</v>
      </c>
      <c r="H142" s="1" t="s">
        <v>830</v>
      </c>
      <c r="I142" s="1">
        <v>48.55</v>
      </c>
      <c r="J142" s="1">
        <v>48.55</v>
      </c>
      <c r="K142" s="1" t="s">
        <v>226</v>
      </c>
      <c r="L142" s="1">
        <v>1</v>
      </c>
      <c r="M142" s="1">
        <v>2016</v>
      </c>
      <c r="N142" s="1">
        <v>3</v>
      </c>
      <c r="O142" s="1">
        <v>1</v>
      </c>
      <c r="P142" s="1" t="str">
        <f t="shared" si="5"/>
        <v>Alto fuste</v>
      </c>
      <c r="Q142" s="2">
        <v>42572</v>
      </c>
      <c r="R142" s="1" t="s">
        <v>227</v>
      </c>
      <c r="S142" s="1" t="s">
        <v>163</v>
      </c>
      <c r="T142" s="1" t="s">
        <v>2268</v>
      </c>
      <c r="U142" s="1" t="s">
        <v>228</v>
      </c>
      <c r="V142" s="1" t="s">
        <v>152</v>
      </c>
      <c r="W142" s="2">
        <v>44680</v>
      </c>
      <c r="X142" s="1" t="s">
        <v>349</v>
      </c>
      <c r="Y142" s="1">
        <v>463.32</v>
      </c>
      <c r="Z142" s="1">
        <v>20.6</v>
      </c>
      <c r="AA142" s="1">
        <v>12</v>
      </c>
      <c r="AB142" s="1">
        <v>15.8</v>
      </c>
      <c r="AC142" s="1">
        <v>2</v>
      </c>
      <c r="AD142" s="3">
        <v>325.48</v>
      </c>
      <c r="AE142" s="3">
        <v>318.173540219362</v>
      </c>
      <c r="AF142" s="2">
        <v>44680</v>
      </c>
      <c r="AG142" s="1">
        <v>69</v>
      </c>
      <c r="AH142" s="3">
        <v>5.7713894592744701</v>
      </c>
      <c r="AI142" s="4">
        <v>19.2733509247917</v>
      </c>
      <c r="AJ142" s="4">
        <v>13.0838709677419</v>
      </c>
      <c r="AK142" s="4">
        <v>13.2959564804476</v>
      </c>
      <c r="AL142" s="1">
        <v>31</v>
      </c>
      <c r="AM142" s="5">
        <v>974.31106240409804</v>
      </c>
      <c r="AN142" s="4">
        <v>115.587871433641</v>
      </c>
      <c r="AO142" s="4">
        <v>0.11863549116278101</v>
      </c>
      <c r="AP142" s="1" t="s">
        <v>163</v>
      </c>
      <c r="AQ142" s="1" t="s">
        <v>156</v>
      </c>
      <c r="AR142" s="1" t="s">
        <v>282</v>
      </c>
      <c r="AS142" s="1">
        <v>7.5</v>
      </c>
      <c r="AT142" s="4">
        <v>0.73073329680307353</v>
      </c>
      <c r="AU142" s="1" t="s">
        <v>831</v>
      </c>
      <c r="AV142" s="1" t="s">
        <v>832</v>
      </c>
      <c r="AW142" s="1">
        <v>5240</v>
      </c>
      <c r="AX142" s="1">
        <v>3357</v>
      </c>
      <c r="AY142" s="1">
        <v>1667</v>
      </c>
      <c r="AZ142" s="1">
        <v>214</v>
      </c>
      <c r="BA142" s="1">
        <v>2</v>
      </c>
      <c r="BB142" s="1">
        <v>0</v>
      </c>
      <c r="BC142" s="1">
        <v>0</v>
      </c>
      <c r="BD142" s="1">
        <v>0</v>
      </c>
      <c r="BE142" s="1">
        <v>0</v>
      </c>
      <c r="BF142" s="1">
        <v>0</v>
      </c>
      <c r="BG142" s="1">
        <v>0</v>
      </c>
      <c r="BH142" s="4">
        <v>-0.86</v>
      </c>
      <c r="BI142" s="4">
        <v>23.780000999999999</v>
      </c>
      <c r="BJ142" s="4">
        <v>8.6357330000000001</v>
      </c>
      <c r="BK142" s="4">
        <v>-7.7778E-2</v>
      </c>
      <c r="BL142" s="4">
        <v>9.0927570000000006</v>
      </c>
      <c r="BM142" s="4">
        <v>82.678236999999996</v>
      </c>
      <c r="BN142" s="4">
        <v>1.0529230000000001</v>
      </c>
      <c r="BO142" s="4">
        <v>18.942499999999999</v>
      </c>
      <c r="BP142" s="4">
        <v>0.27695599999999998</v>
      </c>
      <c r="BQ142" s="4">
        <v>1.2798419999999999</v>
      </c>
      <c r="BR142" s="4">
        <v>8.6334669999999996</v>
      </c>
      <c r="BS142" s="4">
        <v>5.15</v>
      </c>
      <c r="BT142" s="4">
        <v>5.0677779999999997</v>
      </c>
      <c r="BU142" s="4">
        <v>8.6357330000000001</v>
      </c>
      <c r="BV142" s="4">
        <v>4.9074099999999996</v>
      </c>
      <c r="BW142" s="4">
        <v>0.76356199999999996</v>
      </c>
      <c r="BX142" s="4">
        <v>-0.78833200000000003</v>
      </c>
      <c r="BY142" s="4">
        <v>0.568268</v>
      </c>
      <c r="BZ142" s="4">
        <v>0.15559400000000001</v>
      </c>
      <c r="CA142" s="4">
        <v>-0.16064100000000001</v>
      </c>
      <c r="CB142" s="4">
        <v>-0.34</v>
      </c>
      <c r="CC142" s="4">
        <v>-0.17050000000000001</v>
      </c>
      <c r="CD142" s="4">
        <v>-0.1</v>
      </c>
      <c r="CE142" s="4">
        <v>0</v>
      </c>
      <c r="CF142" s="4">
        <v>0.03</v>
      </c>
      <c r="CG142" s="4">
        <v>0.06</v>
      </c>
      <c r="CH142" s="4">
        <v>0.14000000000000001</v>
      </c>
      <c r="CI142" s="4">
        <v>4.99</v>
      </c>
      <c r="CJ142" s="4">
        <v>12.809995000000001</v>
      </c>
      <c r="CK142" s="4">
        <v>17.402999999999999</v>
      </c>
      <c r="CL142" s="4">
        <v>18.9725</v>
      </c>
      <c r="CM142" s="4">
        <v>19.73</v>
      </c>
      <c r="CN142" s="4">
        <v>20.6</v>
      </c>
      <c r="CO142" s="4">
        <v>21.219999000000001</v>
      </c>
      <c r="CP142" s="4">
        <v>22.706098999999998</v>
      </c>
      <c r="CQ142" s="4">
        <v>0.38537900000000003</v>
      </c>
      <c r="CR142" s="4">
        <v>12.539471000000001</v>
      </c>
      <c r="CS142" s="4">
        <v>14.412451000000001</v>
      </c>
      <c r="CT142" s="1">
        <v>1</v>
      </c>
      <c r="CU142" s="1">
        <v>49</v>
      </c>
      <c r="CV142" s="4">
        <v>16.61355</v>
      </c>
      <c r="CW142" s="4">
        <v>1</v>
      </c>
      <c r="CX142" s="4">
        <v>12.464743</v>
      </c>
      <c r="CY142" s="4">
        <v>155.369811</v>
      </c>
      <c r="CZ142" s="4">
        <v>0.75027600000000005</v>
      </c>
      <c r="DA142" s="4">
        <v>19</v>
      </c>
      <c r="DB142" s="4">
        <v>0.69786400000000004</v>
      </c>
      <c r="DC142" s="4">
        <v>2.2213400000000001</v>
      </c>
      <c r="DD142" s="4">
        <v>10.502461</v>
      </c>
      <c r="DE142" s="4">
        <v>16.61355</v>
      </c>
      <c r="DF142" s="4">
        <v>6.9255959999999996</v>
      </c>
      <c r="DG142" s="4">
        <v>1.3983190000000001</v>
      </c>
      <c r="DH142" s="4">
        <v>0.25925799999999999</v>
      </c>
      <c r="DI142" s="4">
        <v>0.41686400000000001</v>
      </c>
      <c r="DJ142" s="4">
        <v>0.201906</v>
      </c>
      <c r="DK142" s="4">
        <v>3.7435000000000003E-2</v>
      </c>
      <c r="DL142" s="4">
        <v>1</v>
      </c>
      <c r="DM142" s="4">
        <v>2</v>
      </c>
      <c r="DN142" s="4">
        <v>3</v>
      </c>
      <c r="DO142" s="4">
        <v>5</v>
      </c>
      <c r="DP142" s="4">
        <v>7</v>
      </c>
      <c r="DQ142" s="4">
        <v>8</v>
      </c>
      <c r="DR142" s="4">
        <v>10</v>
      </c>
      <c r="DS142" s="4">
        <v>13</v>
      </c>
      <c r="DT142" s="4">
        <v>16</v>
      </c>
      <c r="DU142" s="4">
        <v>21</v>
      </c>
      <c r="DV142" s="4">
        <v>26</v>
      </c>
      <c r="DW142" s="4">
        <v>31</v>
      </c>
      <c r="DX142" s="4">
        <v>37</v>
      </c>
      <c r="DY142" s="4">
        <v>40</v>
      </c>
      <c r="DZ142" s="4">
        <v>44</v>
      </c>
      <c r="EA142" s="4">
        <v>66.249628000000001</v>
      </c>
      <c r="EB142" s="4">
        <v>51.431297999999998</v>
      </c>
      <c r="EC142" s="4">
        <v>80.280011999999999</v>
      </c>
      <c r="ED142" s="4">
        <v>2224</v>
      </c>
      <c r="EE142" s="4">
        <v>2695</v>
      </c>
      <c r="EF142" s="4">
        <v>62.079236999999999</v>
      </c>
      <c r="EG142" s="4">
        <v>98.987190999999996</v>
      </c>
      <c r="EH142" s="4">
        <v>46.622137000000002</v>
      </c>
      <c r="EI142" s="4">
        <v>87.652671999999995</v>
      </c>
      <c r="EJ142" s="4">
        <v>72.773309999999995</v>
      </c>
      <c r="EK142" s="4">
        <v>136.81858800000001</v>
      </c>
      <c r="EL142" s="4">
        <v>2084</v>
      </c>
      <c r="EM142" s="4">
        <v>3323</v>
      </c>
      <c r="EN142" s="4">
        <v>2443</v>
      </c>
      <c r="EO142" s="4">
        <v>4593</v>
      </c>
      <c r="EP142" s="4">
        <v>3357</v>
      </c>
      <c r="EQ142" s="4">
        <v>5240</v>
      </c>
      <c r="ER142" s="4">
        <v>37.131101999999998</v>
      </c>
    </row>
    <row r="143" spans="1:148" x14ac:dyDescent="0.2">
      <c r="A143" s="1">
        <v>2022</v>
      </c>
      <c r="B143" s="1" t="str">
        <f t="shared" si="4"/>
        <v>RD</v>
      </c>
      <c r="C143" s="1" t="s">
        <v>833</v>
      </c>
      <c r="D143" s="1" t="s">
        <v>833</v>
      </c>
      <c r="E143" s="1">
        <v>24542</v>
      </c>
      <c r="F143" s="1" t="s">
        <v>2099</v>
      </c>
      <c r="G143" s="1" t="s">
        <v>346</v>
      </c>
      <c r="H143" s="1" t="s">
        <v>830</v>
      </c>
      <c r="I143" s="1">
        <v>48.55</v>
      </c>
      <c r="J143" s="1">
        <v>48.55</v>
      </c>
      <c r="K143" s="1" t="s">
        <v>226</v>
      </c>
      <c r="L143" s="1">
        <v>1</v>
      </c>
      <c r="M143" s="1">
        <v>2016</v>
      </c>
      <c r="N143" s="1">
        <v>3</v>
      </c>
      <c r="O143" s="1">
        <v>1</v>
      </c>
      <c r="P143" s="1" t="str">
        <f t="shared" si="5"/>
        <v>Alto fuste</v>
      </c>
      <c r="Q143" s="2">
        <v>42572</v>
      </c>
      <c r="R143" s="1" t="s">
        <v>227</v>
      </c>
      <c r="S143" s="1" t="s">
        <v>163</v>
      </c>
      <c r="T143" s="1" t="s">
        <v>2268</v>
      </c>
      <c r="U143" s="1" t="s">
        <v>228</v>
      </c>
      <c r="V143" s="1" t="s">
        <v>152</v>
      </c>
      <c r="W143" s="2">
        <v>44680</v>
      </c>
      <c r="X143" s="1" t="s">
        <v>349</v>
      </c>
      <c r="Y143" s="1">
        <v>463.32</v>
      </c>
      <c r="Z143" s="1">
        <v>18.899999999999999</v>
      </c>
      <c r="AA143" s="1">
        <v>8</v>
      </c>
      <c r="AB143" s="1">
        <v>15</v>
      </c>
      <c r="AC143" s="1">
        <v>2</v>
      </c>
      <c r="AD143" s="3">
        <v>283.5</v>
      </c>
      <c r="AE143" s="3">
        <v>280.56997765793301</v>
      </c>
      <c r="AF143" s="2">
        <v>44676</v>
      </c>
      <c r="AG143" s="1">
        <v>69</v>
      </c>
      <c r="AH143" s="3">
        <v>5.7604380561259401</v>
      </c>
      <c r="AI143" s="4">
        <v>22.4353719701373</v>
      </c>
      <c r="AJ143" s="4">
        <v>14.5448275862069</v>
      </c>
      <c r="AK143" s="4">
        <v>17.4562362822276</v>
      </c>
      <c r="AL143" s="1">
        <v>29</v>
      </c>
      <c r="AM143" s="5">
        <v>1033.61023307192</v>
      </c>
      <c r="AN143" s="4">
        <v>178.166173899737</v>
      </c>
      <c r="AO143" s="4">
        <v>0.17237268769120201</v>
      </c>
      <c r="AP143" s="1" t="s">
        <v>163</v>
      </c>
      <c r="AQ143" s="1" t="s">
        <v>156</v>
      </c>
      <c r="AR143" s="1" t="s">
        <v>282</v>
      </c>
      <c r="AS143" s="1">
        <v>7.5</v>
      </c>
      <c r="AT143" s="4">
        <v>0.77520767480394004</v>
      </c>
      <c r="AU143" s="1" t="s">
        <v>834</v>
      </c>
      <c r="AV143" s="1" t="s">
        <v>835</v>
      </c>
      <c r="AW143" s="1">
        <v>856</v>
      </c>
      <c r="AX143" s="1">
        <v>481</v>
      </c>
      <c r="AY143" s="1">
        <v>313</v>
      </c>
      <c r="AZ143" s="1">
        <v>59</v>
      </c>
      <c r="BA143" s="1">
        <v>3</v>
      </c>
      <c r="BB143" s="1">
        <v>0</v>
      </c>
      <c r="BC143" s="1">
        <v>0</v>
      </c>
      <c r="BD143" s="1">
        <v>0</v>
      </c>
      <c r="BE143" s="1">
        <v>0</v>
      </c>
      <c r="BF143" s="1">
        <v>0</v>
      </c>
      <c r="BG143" s="1">
        <v>0</v>
      </c>
      <c r="BH143" s="4">
        <v>-0.88</v>
      </c>
      <c r="BI143" s="4">
        <v>25.1</v>
      </c>
      <c r="BJ143" s="4">
        <v>8.582103</v>
      </c>
      <c r="BK143" s="4">
        <v>-5.5238000000000002E-2</v>
      </c>
      <c r="BL143" s="4">
        <v>9.0571909999999995</v>
      </c>
      <c r="BM143" s="4">
        <v>82.032708</v>
      </c>
      <c r="BN143" s="4">
        <v>1.055358</v>
      </c>
      <c r="BO143" s="4">
        <v>16.657499999999999</v>
      </c>
      <c r="BP143" s="4">
        <v>0.39188200000000001</v>
      </c>
      <c r="BQ143" s="4">
        <v>1.5472539999999999</v>
      </c>
      <c r="BR143" s="4">
        <v>8.3510969999999993</v>
      </c>
      <c r="BS143" s="4">
        <v>6.43</v>
      </c>
      <c r="BT143" s="4">
        <v>6.395238</v>
      </c>
      <c r="BU143" s="4">
        <v>8.582103</v>
      </c>
      <c r="BV143" s="4">
        <v>4.9577499999999999</v>
      </c>
      <c r="BW143" s="4">
        <v>0.96269199999999999</v>
      </c>
      <c r="BX143" s="4">
        <v>-0.52833200000000002</v>
      </c>
      <c r="BY143" s="4">
        <v>0.577685</v>
      </c>
      <c r="BZ143" s="4">
        <v>0.19417899999999999</v>
      </c>
      <c r="CA143" s="4">
        <v>-0.106567</v>
      </c>
      <c r="CB143" s="4">
        <v>-0.39900000000000002</v>
      </c>
      <c r="CC143" s="4">
        <v>-0.19</v>
      </c>
      <c r="CD143" s="4">
        <v>-0.105</v>
      </c>
      <c r="CE143" s="4">
        <v>-0.01</v>
      </c>
      <c r="CF143" s="4">
        <v>0.03</v>
      </c>
      <c r="CG143" s="4">
        <v>7.0000000000000007E-2</v>
      </c>
      <c r="CH143" s="4">
        <v>0.15</v>
      </c>
      <c r="CI143" s="4">
        <v>6.34</v>
      </c>
      <c r="CJ143" s="4">
        <v>12.06</v>
      </c>
      <c r="CK143" s="4">
        <v>15.14</v>
      </c>
      <c r="CL143" s="4">
        <v>16.6875</v>
      </c>
      <c r="CM143" s="4">
        <v>18.23</v>
      </c>
      <c r="CN143" s="4">
        <v>22.73</v>
      </c>
      <c r="CO143" s="4">
        <v>23.24</v>
      </c>
      <c r="CP143" s="4">
        <v>24.088000999999998</v>
      </c>
      <c r="CQ143" s="4">
        <v>0.364207</v>
      </c>
      <c r="CR143" s="4">
        <v>12.473547</v>
      </c>
      <c r="CS143" s="4">
        <v>14.474367000000001</v>
      </c>
      <c r="CT143" s="1">
        <v>1</v>
      </c>
      <c r="CU143" s="1">
        <v>61</v>
      </c>
      <c r="CV143" s="4">
        <v>17.654205999999999</v>
      </c>
      <c r="CW143" s="4">
        <v>1</v>
      </c>
      <c r="CX143" s="4">
        <v>14.172688000000001</v>
      </c>
      <c r="CY143" s="4">
        <v>200.865082</v>
      </c>
      <c r="CZ143" s="4">
        <v>0.80279400000000001</v>
      </c>
      <c r="DA143" s="4">
        <v>19</v>
      </c>
      <c r="DB143" s="4">
        <v>0.973858</v>
      </c>
      <c r="DC143" s="4">
        <v>3.0046819999999999</v>
      </c>
      <c r="DD143" s="4">
        <v>11.347847</v>
      </c>
      <c r="DE143" s="4">
        <v>17.654205999999999</v>
      </c>
      <c r="DF143" s="4">
        <v>7.716634</v>
      </c>
      <c r="DG143" s="4">
        <v>1.9022319999999999</v>
      </c>
      <c r="DH143" s="4">
        <v>0.72711199999999998</v>
      </c>
      <c r="DI143" s="4">
        <v>0.43709900000000002</v>
      </c>
      <c r="DJ143" s="4">
        <v>0.24651100000000001</v>
      </c>
      <c r="DK143" s="4">
        <v>9.4227000000000005E-2</v>
      </c>
      <c r="DL143" s="4">
        <v>1</v>
      </c>
      <c r="DM143" s="4">
        <v>1</v>
      </c>
      <c r="DN143" s="4">
        <v>3</v>
      </c>
      <c r="DO143" s="4">
        <v>5</v>
      </c>
      <c r="DP143" s="4">
        <v>6</v>
      </c>
      <c r="DQ143" s="4">
        <v>8</v>
      </c>
      <c r="DR143" s="4">
        <v>11</v>
      </c>
      <c r="DS143" s="4">
        <v>14</v>
      </c>
      <c r="DT143" s="4">
        <v>17</v>
      </c>
      <c r="DU143" s="4">
        <v>22</v>
      </c>
      <c r="DV143" s="4">
        <v>25</v>
      </c>
      <c r="DW143" s="4">
        <v>29</v>
      </c>
      <c r="DX143" s="4">
        <v>42</v>
      </c>
      <c r="DY143" s="4">
        <v>48</v>
      </c>
      <c r="DZ143" s="4">
        <v>52.450012000000001</v>
      </c>
      <c r="EA143" s="4">
        <v>75.259874999999994</v>
      </c>
      <c r="EB143" s="4">
        <v>52.803738000000003</v>
      </c>
      <c r="EC143" s="4">
        <v>93.970894000000001</v>
      </c>
      <c r="ED143" s="4">
        <v>362</v>
      </c>
      <c r="EE143" s="4">
        <v>452</v>
      </c>
      <c r="EF143" s="4">
        <v>69.646569999999997</v>
      </c>
      <c r="EG143" s="4">
        <v>98.128898000000007</v>
      </c>
      <c r="EH143" s="4">
        <v>46.144860000000001</v>
      </c>
      <c r="EI143" s="4">
        <v>85.514019000000005</v>
      </c>
      <c r="EJ143" s="4">
        <v>82.120581999999999</v>
      </c>
      <c r="EK143" s="4">
        <v>152.182952</v>
      </c>
      <c r="EL143" s="4">
        <v>335</v>
      </c>
      <c r="EM143" s="4">
        <v>472</v>
      </c>
      <c r="EN143" s="4">
        <v>395</v>
      </c>
      <c r="EO143" s="4">
        <v>732</v>
      </c>
      <c r="EP143" s="4">
        <v>481</v>
      </c>
      <c r="EQ143" s="4">
        <v>856</v>
      </c>
      <c r="ER143" s="4">
        <v>34.727392999999999</v>
      </c>
    </row>
    <row r="144" spans="1:148" x14ac:dyDescent="0.2">
      <c r="A144" s="1">
        <v>2022</v>
      </c>
      <c r="B144" s="1" t="str">
        <f t="shared" si="4"/>
        <v>GN</v>
      </c>
      <c r="C144" s="1" t="s">
        <v>836</v>
      </c>
      <c r="D144" s="1" t="s">
        <v>836</v>
      </c>
      <c r="E144" s="1">
        <v>24648</v>
      </c>
      <c r="F144" s="1" t="s">
        <v>2100</v>
      </c>
      <c r="G144" s="1" t="s">
        <v>837</v>
      </c>
      <c r="H144" s="1" t="s">
        <v>838</v>
      </c>
      <c r="I144" s="1">
        <v>25.02</v>
      </c>
      <c r="J144" s="1">
        <v>25.02</v>
      </c>
      <c r="K144" s="1" t="s">
        <v>192</v>
      </c>
      <c r="L144" s="1">
        <v>1</v>
      </c>
      <c r="M144" s="1">
        <v>2016</v>
      </c>
      <c r="N144" s="1">
        <v>3</v>
      </c>
      <c r="O144" s="1">
        <v>1</v>
      </c>
      <c r="P144" s="1" t="str">
        <f t="shared" si="5"/>
        <v>Alto fuste</v>
      </c>
      <c r="Q144" s="2">
        <v>42710</v>
      </c>
      <c r="R144" s="1" t="s">
        <v>169</v>
      </c>
      <c r="S144" s="1" t="s">
        <v>442</v>
      </c>
      <c r="T144" s="1" t="s">
        <v>2268</v>
      </c>
      <c r="U144" s="1" t="s">
        <v>192</v>
      </c>
      <c r="V144" s="1" t="s">
        <v>152</v>
      </c>
      <c r="W144" s="2">
        <v>44690</v>
      </c>
      <c r="X144" s="1" t="s">
        <v>839</v>
      </c>
      <c r="Y144" s="1">
        <v>309.26</v>
      </c>
      <c r="Z144" s="1">
        <v>20</v>
      </c>
      <c r="AA144" s="1">
        <v>19</v>
      </c>
      <c r="AB144" s="1">
        <v>14.3</v>
      </c>
      <c r="AC144" s="1">
        <v>4</v>
      </c>
      <c r="AD144" s="3">
        <v>286</v>
      </c>
      <c r="AE144" s="3">
        <v>269.75958720303601</v>
      </c>
      <c r="AF144" s="2">
        <v>44690</v>
      </c>
      <c r="AG144" s="1">
        <v>65</v>
      </c>
      <c r="AH144" s="3">
        <v>5.4209445585215601</v>
      </c>
      <c r="AI144" s="4">
        <v>28.730671003086499</v>
      </c>
      <c r="AJ144" s="4">
        <v>15.4416666666667</v>
      </c>
      <c r="AK144" s="4">
        <v>16.7960053334637</v>
      </c>
      <c r="AL144" s="1">
        <v>24</v>
      </c>
      <c r="AM144" s="5">
        <v>889.68107672615497</v>
      </c>
      <c r="AN144" s="4">
        <v>216.999556345287</v>
      </c>
      <c r="AO144" s="4">
        <v>0.24390712809561099</v>
      </c>
      <c r="AP144" s="1" t="s">
        <v>442</v>
      </c>
      <c r="AQ144" s="1" t="s">
        <v>156</v>
      </c>
      <c r="AR144" s="1" t="s">
        <v>842</v>
      </c>
      <c r="AS144" s="1">
        <v>9</v>
      </c>
      <c r="AT144" s="4">
        <v>0.8007129690535395</v>
      </c>
      <c r="AU144" s="1" t="s">
        <v>840</v>
      </c>
      <c r="AV144" s="1" t="s">
        <v>841</v>
      </c>
      <c r="AW144" s="1">
        <v>1625</v>
      </c>
      <c r="AX144" s="1">
        <v>1625</v>
      </c>
      <c r="AY144" s="1">
        <v>0</v>
      </c>
      <c r="AZ144" s="1">
        <v>0</v>
      </c>
      <c r="BA144" s="1">
        <v>0</v>
      </c>
      <c r="BB144" s="1">
        <v>0</v>
      </c>
      <c r="BC144" s="1">
        <v>0</v>
      </c>
      <c r="BD144" s="1">
        <v>0</v>
      </c>
      <c r="BE144" s="1">
        <v>0</v>
      </c>
      <c r="BF144" s="1">
        <v>0</v>
      </c>
      <c r="BG144" s="1">
        <v>0</v>
      </c>
      <c r="BH144" s="4">
        <v>-0.25</v>
      </c>
      <c r="BI144" s="4">
        <v>31.132999000000002</v>
      </c>
      <c r="BJ144" s="4">
        <v>24.366589999999999</v>
      </c>
      <c r="BK144" s="4">
        <v>27.645999</v>
      </c>
      <c r="BL144" s="4">
        <v>7.5828319999999998</v>
      </c>
      <c r="BM144" s="4">
        <v>57.499339999999997</v>
      </c>
      <c r="BN144" s="4">
        <v>0.31119799999999997</v>
      </c>
      <c r="BO144" s="4">
        <v>5.2569999999999997</v>
      </c>
      <c r="BP144" s="4">
        <v>-2.0461049999999998</v>
      </c>
      <c r="BQ144" s="4">
        <v>6.3266249999999999</v>
      </c>
      <c r="BR144" s="4">
        <v>5.4349949999999998</v>
      </c>
      <c r="BS144" s="4">
        <v>1.363998</v>
      </c>
      <c r="BT144" s="4">
        <v>1.346001</v>
      </c>
      <c r="BU144" s="4">
        <v>24.366589999999999</v>
      </c>
      <c r="BV144" s="4">
        <v>3.437646</v>
      </c>
      <c r="BW144" s="4">
        <v>-1.7061660000000001</v>
      </c>
      <c r="BX144" s="4">
        <v>0.94522099999999998</v>
      </c>
      <c r="BY144" s="4">
        <v>0.14108000000000001</v>
      </c>
      <c r="BZ144" s="4">
        <v>-0.49631799999999998</v>
      </c>
      <c r="CA144" s="4">
        <v>0.27496199999999998</v>
      </c>
      <c r="CB144" s="4">
        <v>7.0480000000000001E-2</v>
      </c>
      <c r="CC144" s="4">
        <v>4.2175989999999999</v>
      </c>
      <c r="CD144" s="4">
        <v>13.768800000000001</v>
      </c>
      <c r="CE144" s="4">
        <v>21.481000999999999</v>
      </c>
      <c r="CF144" s="4">
        <v>23.285999</v>
      </c>
      <c r="CG144" s="4">
        <v>25.729800999999998</v>
      </c>
      <c r="CH144" s="4">
        <v>26.966200000000001</v>
      </c>
      <c r="CI144" s="4">
        <v>27.589001</v>
      </c>
      <c r="CJ144" s="4">
        <v>27.981401000000002</v>
      </c>
      <c r="CK144" s="4">
        <v>28.318398999999999</v>
      </c>
      <c r="CL144" s="4">
        <v>28.542998999999998</v>
      </c>
      <c r="CM144" s="4">
        <v>28.795197999999999</v>
      </c>
      <c r="CN144" s="4">
        <v>29.540001</v>
      </c>
      <c r="CO144" s="4">
        <v>30.0488</v>
      </c>
      <c r="CP144" s="4">
        <v>30.659279000000002</v>
      </c>
      <c r="CQ144" s="4">
        <v>0.78439300000000001</v>
      </c>
      <c r="CR144" s="4">
        <v>25.518516000000002</v>
      </c>
      <c r="CS144" s="4">
        <v>26.098348999999999</v>
      </c>
      <c r="CT144" s="1">
        <v>1</v>
      </c>
      <c r="CU144" s="1">
        <v>54</v>
      </c>
      <c r="CV144" s="4">
        <v>16.111384999999999</v>
      </c>
      <c r="CW144" s="4">
        <v>14.460317</v>
      </c>
      <c r="CX144" s="4">
        <v>9.1788749999999997</v>
      </c>
      <c r="CY144" s="4">
        <v>84.251748000000006</v>
      </c>
      <c r="CZ144" s="4">
        <v>0.56971400000000005</v>
      </c>
      <c r="DA144" s="4">
        <v>13</v>
      </c>
      <c r="DB144" s="4">
        <v>0.49488599999999999</v>
      </c>
      <c r="DC144" s="4">
        <v>3.3471109999999999</v>
      </c>
      <c r="DD144" s="4">
        <v>7.2878129999999999</v>
      </c>
      <c r="DE144" s="4">
        <v>16.111384999999999</v>
      </c>
      <c r="DF144" s="4">
        <v>5.1470580000000004</v>
      </c>
      <c r="DG144" s="4">
        <v>0.32897999999999999</v>
      </c>
      <c r="DH144" s="4">
        <v>0.57620800000000005</v>
      </c>
      <c r="DI144" s="4">
        <v>0.319467</v>
      </c>
      <c r="DJ144" s="4">
        <v>6.3916000000000001E-2</v>
      </c>
      <c r="DK144" s="4">
        <v>0.11194900000000001</v>
      </c>
      <c r="DL144" s="4">
        <v>1</v>
      </c>
      <c r="DM144" s="4">
        <v>2</v>
      </c>
      <c r="DN144" s="4">
        <v>4</v>
      </c>
      <c r="DO144" s="4">
        <v>7</v>
      </c>
      <c r="DP144" s="4">
        <v>9</v>
      </c>
      <c r="DQ144" s="4">
        <v>11</v>
      </c>
      <c r="DR144" s="4">
        <v>14</v>
      </c>
      <c r="DS144" s="4">
        <v>16</v>
      </c>
      <c r="DT144" s="4">
        <v>18</v>
      </c>
      <c r="DU144" s="4">
        <v>20</v>
      </c>
      <c r="DV144" s="4">
        <v>22</v>
      </c>
      <c r="DW144" s="4">
        <v>23.199950999999999</v>
      </c>
      <c r="DX144" s="4">
        <v>28</v>
      </c>
      <c r="DY144" s="4">
        <v>31</v>
      </c>
      <c r="DZ144" s="4">
        <v>43</v>
      </c>
      <c r="EA144" s="4">
        <v>95.384614999999997</v>
      </c>
      <c r="EB144" s="4">
        <v>95.384614999999997</v>
      </c>
      <c r="EC144" s="4">
        <v>95.384614999999997</v>
      </c>
      <c r="ED144" s="4">
        <v>1550</v>
      </c>
      <c r="EE144" s="4">
        <v>1550</v>
      </c>
      <c r="EF144" s="4">
        <v>72.492307999999994</v>
      </c>
      <c r="EG144" s="4">
        <v>48.923076999999999</v>
      </c>
      <c r="EH144" s="4">
        <v>72.492307999999994</v>
      </c>
      <c r="EI144" s="4">
        <v>48.923076999999999</v>
      </c>
      <c r="EJ144" s="4">
        <v>72.492307999999994</v>
      </c>
      <c r="EK144" s="4">
        <v>48.923076999999999</v>
      </c>
      <c r="EL144" s="4">
        <v>1178</v>
      </c>
      <c r="EM144" s="4">
        <v>795</v>
      </c>
      <c r="EN144" s="4">
        <v>1178</v>
      </c>
      <c r="EO144" s="4">
        <v>795</v>
      </c>
      <c r="EP144" s="4">
        <v>1625</v>
      </c>
      <c r="EQ144" s="4">
        <v>1625</v>
      </c>
      <c r="ER144" s="4">
        <v>78.510930999999999</v>
      </c>
    </row>
    <row r="145" spans="1:148" x14ac:dyDescent="0.2">
      <c r="A145" s="1">
        <v>2022</v>
      </c>
      <c r="B145" s="1" t="str">
        <f t="shared" si="4"/>
        <v>GN</v>
      </c>
      <c r="C145" s="1" t="s">
        <v>843</v>
      </c>
      <c r="D145" s="1" t="s">
        <v>843</v>
      </c>
      <c r="E145" s="1">
        <v>24649</v>
      </c>
      <c r="F145" s="1" t="s">
        <v>2100</v>
      </c>
      <c r="G145" s="1" t="s">
        <v>837</v>
      </c>
      <c r="H145" s="1" t="s">
        <v>844</v>
      </c>
      <c r="I145" s="1">
        <v>52.14</v>
      </c>
      <c r="J145" s="1">
        <v>52.14</v>
      </c>
      <c r="K145" s="1" t="s">
        <v>192</v>
      </c>
      <c r="L145" s="1">
        <v>1</v>
      </c>
      <c r="M145" s="1">
        <v>2016</v>
      </c>
      <c r="N145" s="1">
        <v>3</v>
      </c>
      <c r="O145" s="1">
        <v>1</v>
      </c>
      <c r="P145" s="1" t="str">
        <f t="shared" si="5"/>
        <v>Alto fuste</v>
      </c>
      <c r="Q145" s="2">
        <v>42702</v>
      </c>
      <c r="R145" s="1" t="s">
        <v>169</v>
      </c>
      <c r="S145" s="1" t="s">
        <v>299</v>
      </c>
      <c r="T145" s="1" t="s">
        <v>2268</v>
      </c>
      <c r="U145" s="1" t="s">
        <v>192</v>
      </c>
      <c r="V145" s="1" t="s">
        <v>152</v>
      </c>
      <c r="W145" s="2">
        <v>44690</v>
      </c>
      <c r="X145" s="1" t="s">
        <v>839</v>
      </c>
      <c r="Y145" s="1">
        <v>309.26</v>
      </c>
      <c r="Z145" s="1">
        <v>19.3</v>
      </c>
      <c r="AA145" s="1">
        <v>13</v>
      </c>
      <c r="AB145" s="1">
        <v>15.4</v>
      </c>
      <c r="AC145" s="1">
        <v>5</v>
      </c>
      <c r="AD145" s="3">
        <v>297.22000000000003</v>
      </c>
      <c r="AE145" s="3">
        <v>288.50024658230802</v>
      </c>
      <c r="AF145" s="2">
        <v>44690</v>
      </c>
      <c r="AG145" s="1">
        <v>66</v>
      </c>
      <c r="AH145" s="3">
        <v>5.4428473648186202</v>
      </c>
      <c r="AI145" s="4">
        <v>27.159624475081301</v>
      </c>
      <c r="AJ145" s="4">
        <v>16.6551724137931</v>
      </c>
      <c r="AK145" s="4">
        <v>22.301913067039798</v>
      </c>
      <c r="AL145" s="1">
        <v>29</v>
      </c>
      <c r="AM145" s="5">
        <v>1005.19844761126</v>
      </c>
      <c r="AN145" s="4">
        <v>271.16599306503002</v>
      </c>
      <c r="AO145" s="4">
        <v>0.269763640910336</v>
      </c>
      <c r="AP145" s="1" t="s">
        <v>299</v>
      </c>
      <c r="AQ145" s="1" t="s">
        <v>156</v>
      </c>
      <c r="AR145" s="1" t="s">
        <v>291</v>
      </c>
      <c r="AS145" s="1">
        <v>9</v>
      </c>
      <c r="AT145" s="4">
        <v>0.90467860285013402</v>
      </c>
      <c r="AU145" s="1" t="s">
        <v>845</v>
      </c>
      <c r="AV145" s="1" t="s">
        <v>846</v>
      </c>
      <c r="AW145" s="1">
        <v>1611</v>
      </c>
      <c r="AX145" s="1">
        <v>1611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0</v>
      </c>
      <c r="BF145" s="1">
        <v>0</v>
      </c>
      <c r="BG145" s="1">
        <v>0</v>
      </c>
      <c r="BH145" s="4">
        <v>-0.439</v>
      </c>
      <c r="BI145" s="4">
        <v>30.339001</v>
      </c>
      <c r="BJ145" s="4">
        <v>24.623479</v>
      </c>
      <c r="BK145" s="4">
        <v>27.407762999999999</v>
      </c>
      <c r="BL145" s="4">
        <v>7.9593879999999997</v>
      </c>
      <c r="BM145" s="4">
        <v>63.351855999999998</v>
      </c>
      <c r="BN145" s="4">
        <v>0.32324399999999998</v>
      </c>
      <c r="BO145" s="4">
        <v>2.028</v>
      </c>
      <c r="BP145" s="4">
        <v>-2.3940760000000001</v>
      </c>
      <c r="BQ145" s="4">
        <v>7.4055629999999999</v>
      </c>
      <c r="BR145" s="4">
        <v>5.2207090000000003</v>
      </c>
      <c r="BS145" s="4">
        <v>0.95099999999999996</v>
      </c>
      <c r="BT145" s="4">
        <v>1.011763</v>
      </c>
      <c r="BU145" s="4">
        <v>24.623479</v>
      </c>
      <c r="BV145" s="4">
        <v>3.1845379999999999</v>
      </c>
      <c r="BW145" s="4">
        <v>-1.8904240000000001</v>
      </c>
      <c r="BX145" s="4">
        <v>1.2051149999999999</v>
      </c>
      <c r="BY145" s="4">
        <v>0.129329</v>
      </c>
      <c r="BZ145" s="4">
        <v>-0.59362599999999999</v>
      </c>
      <c r="CA145" s="4">
        <v>0.37842700000000001</v>
      </c>
      <c r="CB145" s="4">
        <v>-0.2054</v>
      </c>
      <c r="CC145" s="4">
        <v>-2.0500000000000001E-2</v>
      </c>
      <c r="CD145" s="4">
        <v>14.414</v>
      </c>
      <c r="CE145" s="4">
        <v>25.249001</v>
      </c>
      <c r="CF145" s="4">
        <v>26.334499000000001</v>
      </c>
      <c r="CG145" s="4">
        <v>26.725999999999999</v>
      </c>
      <c r="CH145" s="4">
        <v>27.236000000000001</v>
      </c>
      <c r="CI145" s="4">
        <v>27.580998999999998</v>
      </c>
      <c r="CJ145" s="4">
        <v>27.867999999999999</v>
      </c>
      <c r="CK145" s="4">
        <v>28.164000000000001</v>
      </c>
      <c r="CL145" s="4">
        <v>28.362499</v>
      </c>
      <c r="CM145" s="4">
        <v>28.584</v>
      </c>
      <c r="CN145" s="4">
        <v>29.091999000000001</v>
      </c>
      <c r="CO145" s="4">
        <v>29.372001999999998</v>
      </c>
      <c r="CP145" s="4">
        <v>29.813299000000001</v>
      </c>
      <c r="CQ145" s="4">
        <v>0.81429799999999997</v>
      </c>
      <c r="CR145" s="4">
        <v>25.877175999999999</v>
      </c>
      <c r="CS145" s="4">
        <v>26.400153</v>
      </c>
      <c r="CT145" s="1">
        <v>1</v>
      </c>
      <c r="CU145" s="1">
        <v>66</v>
      </c>
      <c r="CV145" s="4">
        <v>22.570453000000001</v>
      </c>
      <c r="CW145" s="4">
        <v>22.666667</v>
      </c>
      <c r="CX145" s="4">
        <v>10.985217</v>
      </c>
      <c r="CY145" s="4">
        <v>120.67500200000001</v>
      </c>
      <c r="CZ145" s="4">
        <v>0.48670799999999997</v>
      </c>
      <c r="DA145" s="4">
        <v>12</v>
      </c>
      <c r="DB145" s="4">
        <v>0.39722299999999999</v>
      </c>
      <c r="DC145" s="4">
        <v>3.8719990000000002</v>
      </c>
      <c r="DD145" s="4">
        <v>8.2644249999999992</v>
      </c>
      <c r="DE145" s="4">
        <v>22.570453000000001</v>
      </c>
      <c r="DF145" s="4">
        <v>6.0180509999999998</v>
      </c>
      <c r="DG145" s="4">
        <v>8.8303999999999994E-2</v>
      </c>
      <c r="DH145" s="4">
        <v>1.085658</v>
      </c>
      <c r="DI145" s="4">
        <v>0.26663399999999998</v>
      </c>
      <c r="DJ145" s="4">
        <v>1.4673E-2</v>
      </c>
      <c r="DK145" s="4">
        <v>0.1804</v>
      </c>
      <c r="DL145" s="4">
        <v>1</v>
      </c>
      <c r="DM145" s="4">
        <v>4</v>
      </c>
      <c r="DN145" s="4">
        <v>7</v>
      </c>
      <c r="DO145" s="4">
        <v>14</v>
      </c>
      <c r="DP145" s="4">
        <v>16</v>
      </c>
      <c r="DQ145" s="4">
        <v>18</v>
      </c>
      <c r="DR145" s="4">
        <v>21</v>
      </c>
      <c r="DS145" s="4">
        <v>23</v>
      </c>
      <c r="DT145" s="4">
        <v>25</v>
      </c>
      <c r="DU145" s="4">
        <v>27</v>
      </c>
      <c r="DV145" s="4">
        <v>28</v>
      </c>
      <c r="DW145" s="4">
        <v>30</v>
      </c>
      <c r="DX145" s="4">
        <v>34</v>
      </c>
      <c r="DY145" s="4">
        <v>42.5</v>
      </c>
      <c r="DZ145" s="4">
        <v>54</v>
      </c>
      <c r="EA145" s="4">
        <v>92.240843999999996</v>
      </c>
      <c r="EB145" s="4">
        <v>92.240843999999996</v>
      </c>
      <c r="EC145" s="4">
        <v>92.240843999999996</v>
      </c>
      <c r="ED145" s="4">
        <v>1486</v>
      </c>
      <c r="EE145" s="4">
        <v>1486</v>
      </c>
      <c r="EF145" s="4">
        <v>81.067660000000004</v>
      </c>
      <c r="EG145" s="4">
        <v>54.748603000000003</v>
      </c>
      <c r="EH145" s="4">
        <v>81.067660000000004</v>
      </c>
      <c r="EI145" s="4">
        <v>54.748603000000003</v>
      </c>
      <c r="EJ145" s="4">
        <v>81.067660000000004</v>
      </c>
      <c r="EK145" s="4">
        <v>54.748603000000003</v>
      </c>
      <c r="EL145" s="4">
        <v>1306</v>
      </c>
      <c r="EM145" s="4">
        <v>882</v>
      </c>
      <c r="EN145" s="4">
        <v>1306</v>
      </c>
      <c r="EO145" s="4">
        <v>882</v>
      </c>
      <c r="EP145" s="4">
        <v>1611</v>
      </c>
      <c r="EQ145" s="4">
        <v>1611</v>
      </c>
      <c r="ER145" s="4">
        <v>81.680719999999994</v>
      </c>
    </row>
    <row r="146" spans="1:148" x14ac:dyDescent="0.2">
      <c r="A146" s="1">
        <v>2022</v>
      </c>
      <c r="B146" s="1" t="str">
        <f t="shared" si="4"/>
        <v>GN</v>
      </c>
      <c r="C146" s="1" t="s">
        <v>847</v>
      </c>
      <c r="D146" s="1" t="s">
        <v>847</v>
      </c>
      <c r="E146" s="1">
        <v>24650</v>
      </c>
      <c r="F146" s="1" t="s">
        <v>2100</v>
      </c>
      <c r="G146" s="1" t="s">
        <v>837</v>
      </c>
      <c r="H146" s="1" t="s">
        <v>844</v>
      </c>
      <c r="I146" s="1">
        <v>52.14</v>
      </c>
      <c r="J146" s="1">
        <v>52.14</v>
      </c>
      <c r="K146" s="1" t="s">
        <v>192</v>
      </c>
      <c r="L146" s="1">
        <v>1</v>
      </c>
      <c r="M146" s="1">
        <v>2016</v>
      </c>
      <c r="N146" s="1">
        <v>3</v>
      </c>
      <c r="O146" s="1">
        <v>1</v>
      </c>
      <c r="P146" s="1" t="str">
        <f t="shared" si="5"/>
        <v>Alto fuste</v>
      </c>
      <c r="Q146" s="2">
        <v>42702</v>
      </c>
      <c r="R146" s="1" t="s">
        <v>169</v>
      </c>
      <c r="S146" s="1" t="s">
        <v>299</v>
      </c>
      <c r="T146" s="1" t="s">
        <v>2268</v>
      </c>
      <c r="U146" s="1" t="s">
        <v>192</v>
      </c>
      <c r="V146" s="1" t="s">
        <v>152</v>
      </c>
      <c r="W146" s="2">
        <v>44690</v>
      </c>
      <c r="X146" s="1" t="s">
        <v>839</v>
      </c>
      <c r="Y146" s="1">
        <v>309.26</v>
      </c>
      <c r="Z146" s="1">
        <v>19.600000000000001</v>
      </c>
      <c r="AA146" s="1">
        <v>5</v>
      </c>
      <c r="AB146" s="1">
        <v>15.7</v>
      </c>
      <c r="AC146" s="1">
        <v>2</v>
      </c>
      <c r="AD146" s="3">
        <v>307.72000000000003</v>
      </c>
      <c r="AE146" s="3">
        <v>306.36229110887302</v>
      </c>
      <c r="AF146" s="2">
        <v>44690</v>
      </c>
      <c r="AG146" s="1">
        <v>66</v>
      </c>
      <c r="AH146" s="3">
        <v>5.4428473648186202</v>
      </c>
      <c r="AI146" s="4">
        <v>25.375405276652401</v>
      </c>
      <c r="AJ146" s="4">
        <v>15.593548387096799</v>
      </c>
      <c r="AK146" s="4">
        <v>20.120716814869699</v>
      </c>
      <c r="AL146" s="1">
        <v>31</v>
      </c>
      <c r="AM146" s="5">
        <v>1011.8738793797399</v>
      </c>
      <c r="AN146" s="4">
        <v>234.572071440461</v>
      </c>
      <c r="AO146" s="4">
        <v>0.23181947495694699</v>
      </c>
      <c r="AP146" s="1" t="s">
        <v>299</v>
      </c>
      <c r="AQ146" s="1" t="s">
        <v>156</v>
      </c>
      <c r="AR146" s="1" t="s">
        <v>291</v>
      </c>
      <c r="AS146" s="1">
        <v>9</v>
      </c>
      <c r="AT146" s="4">
        <v>0.91068649144176594</v>
      </c>
      <c r="AU146" s="1" t="s">
        <v>848</v>
      </c>
      <c r="AV146" s="1" t="s">
        <v>849</v>
      </c>
      <c r="AW146" s="1">
        <v>1478</v>
      </c>
      <c r="AX146" s="1">
        <v>1478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4">
        <v>-0.126</v>
      </c>
      <c r="BI146" s="4">
        <v>31.201000000000001</v>
      </c>
      <c r="BJ146" s="4">
        <v>23.476227000000002</v>
      </c>
      <c r="BK146" s="4">
        <v>26.228459999999998</v>
      </c>
      <c r="BL146" s="4">
        <v>7.5610410000000003</v>
      </c>
      <c r="BM146" s="4">
        <v>57.169347000000002</v>
      </c>
      <c r="BN146" s="4">
        <v>0.32207200000000002</v>
      </c>
      <c r="BO146" s="4">
        <v>3.4547500000000002</v>
      </c>
      <c r="BP146" s="4">
        <v>-1.938712</v>
      </c>
      <c r="BQ146" s="4">
        <v>5.819979</v>
      </c>
      <c r="BR146" s="4">
        <v>5.5557550000000004</v>
      </c>
      <c r="BS146" s="4">
        <v>1.285501</v>
      </c>
      <c r="BT146" s="4">
        <v>1.4655400000000001</v>
      </c>
      <c r="BU146" s="4">
        <v>23.476227000000002</v>
      </c>
      <c r="BV146" s="4">
        <v>3.4420730000000002</v>
      </c>
      <c r="BW146" s="4">
        <v>-1.6899979999999999</v>
      </c>
      <c r="BX146" s="4">
        <v>0.94338200000000005</v>
      </c>
      <c r="BY146" s="4">
        <v>0.14662</v>
      </c>
      <c r="BZ146" s="4">
        <v>-0.49098199999999997</v>
      </c>
      <c r="CA146" s="4">
        <v>0.27407399999999998</v>
      </c>
      <c r="CB146" s="4">
        <v>-1.592E-2</v>
      </c>
      <c r="CC146" s="4">
        <v>0.27434999999999998</v>
      </c>
      <c r="CD146" s="4">
        <v>11.1677</v>
      </c>
      <c r="CE146" s="4">
        <v>19.5886</v>
      </c>
      <c r="CF146" s="4">
        <v>24.21125</v>
      </c>
      <c r="CG146" s="4">
        <v>25.491199000000002</v>
      </c>
      <c r="CH146" s="4">
        <v>26.028798999999999</v>
      </c>
      <c r="CI146" s="4">
        <v>26.512001000000001</v>
      </c>
      <c r="CJ146" s="4">
        <v>26.953199000000001</v>
      </c>
      <c r="CK146" s="4">
        <v>27.425901</v>
      </c>
      <c r="CL146" s="4">
        <v>27.666</v>
      </c>
      <c r="CM146" s="4">
        <v>27.955400000000001</v>
      </c>
      <c r="CN146" s="4">
        <v>28.598202000000001</v>
      </c>
      <c r="CO146" s="4">
        <v>29.250450000000001</v>
      </c>
      <c r="CP146" s="4">
        <v>29.90296</v>
      </c>
      <c r="CQ146" s="4">
        <v>0.75341499999999995</v>
      </c>
      <c r="CR146" s="4">
        <v>24.663007</v>
      </c>
      <c r="CS146" s="4">
        <v>25.26371</v>
      </c>
      <c r="CT146" s="1">
        <v>1</v>
      </c>
      <c r="CU146" s="1">
        <v>56</v>
      </c>
      <c r="CV146" s="4">
        <v>16.420839000000001</v>
      </c>
      <c r="CW146" s="4">
        <v>16.714286000000001</v>
      </c>
      <c r="CX146" s="4">
        <v>9.8788269999999994</v>
      </c>
      <c r="CY146" s="4">
        <v>97.591223999999997</v>
      </c>
      <c r="CZ146" s="4">
        <v>0.601603</v>
      </c>
      <c r="DA146" s="4">
        <v>14</v>
      </c>
      <c r="DB146" s="4">
        <v>0.73371200000000003</v>
      </c>
      <c r="DC146" s="4">
        <v>3.8308270000000002</v>
      </c>
      <c r="DD146" s="4">
        <v>7.7989350000000002</v>
      </c>
      <c r="DE146" s="4">
        <v>16.420839000000001</v>
      </c>
      <c r="DF146" s="4">
        <v>5.4762779999999998</v>
      </c>
      <c r="DG146" s="4">
        <v>0.55101500000000003</v>
      </c>
      <c r="DH146" s="4">
        <v>0.63463000000000003</v>
      </c>
      <c r="DI146" s="4">
        <v>0.33349600000000001</v>
      </c>
      <c r="DJ146" s="4">
        <v>0.100619</v>
      </c>
      <c r="DK146" s="4">
        <v>0.115887</v>
      </c>
      <c r="DL146" s="4">
        <v>1</v>
      </c>
      <c r="DM146" s="4">
        <v>2</v>
      </c>
      <c r="DN146" s="4">
        <v>4</v>
      </c>
      <c r="DO146" s="4">
        <v>8</v>
      </c>
      <c r="DP146" s="4">
        <v>9</v>
      </c>
      <c r="DQ146" s="4">
        <v>10</v>
      </c>
      <c r="DR146" s="4">
        <v>13</v>
      </c>
      <c r="DS146" s="4">
        <v>16</v>
      </c>
      <c r="DT146" s="4">
        <v>18</v>
      </c>
      <c r="DU146" s="4">
        <v>21</v>
      </c>
      <c r="DV146" s="4">
        <v>23</v>
      </c>
      <c r="DW146" s="4">
        <v>24</v>
      </c>
      <c r="DX146" s="4">
        <v>28</v>
      </c>
      <c r="DY146" s="4">
        <v>33</v>
      </c>
      <c r="DZ146" s="4">
        <v>47.229979999999998</v>
      </c>
      <c r="EA146" s="4">
        <v>94.587280000000007</v>
      </c>
      <c r="EB146" s="4">
        <v>94.587280000000007</v>
      </c>
      <c r="EC146" s="4">
        <v>94.587280000000007</v>
      </c>
      <c r="ED146" s="4">
        <v>1398</v>
      </c>
      <c r="EE146" s="4">
        <v>1398</v>
      </c>
      <c r="EF146" s="4">
        <v>76.184032000000002</v>
      </c>
      <c r="EG146" s="4">
        <v>56.292287000000002</v>
      </c>
      <c r="EH146" s="4">
        <v>76.184032000000002</v>
      </c>
      <c r="EI146" s="4">
        <v>56.292287000000002</v>
      </c>
      <c r="EJ146" s="4">
        <v>76.184032000000002</v>
      </c>
      <c r="EK146" s="4">
        <v>56.292287000000002</v>
      </c>
      <c r="EL146" s="4">
        <v>1126</v>
      </c>
      <c r="EM146" s="4">
        <v>832</v>
      </c>
      <c r="EN146" s="4">
        <v>1126</v>
      </c>
      <c r="EO146" s="4">
        <v>832</v>
      </c>
      <c r="EP146" s="4">
        <v>1478</v>
      </c>
      <c r="EQ146" s="4">
        <v>1478</v>
      </c>
      <c r="ER146" s="4">
        <v>77.471473000000003</v>
      </c>
    </row>
    <row r="147" spans="1:148" x14ac:dyDescent="0.2">
      <c r="A147" s="1">
        <v>2022</v>
      </c>
      <c r="B147" s="1" t="str">
        <f t="shared" si="4"/>
        <v>GN</v>
      </c>
      <c r="C147" s="1" t="s">
        <v>850</v>
      </c>
      <c r="D147" s="1" t="s">
        <v>850</v>
      </c>
      <c r="E147" s="1">
        <v>24662</v>
      </c>
      <c r="F147" s="1" t="s">
        <v>2101</v>
      </c>
      <c r="G147" s="1" t="s">
        <v>837</v>
      </c>
      <c r="H147" s="1" t="s">
        <v>851</v>
      </c>
      <c r="I147" s="1">
        <v>35.729999999999997</v>
      </c>
      <c r="J147" s="1">
        <v>35.729999999999997</v>
      </c>
      <c r="K147" s="1" t="s">
        <v>192</v>
      </c>
      <c r="L147" s="1">
        <v>1</v>
      </c>
      <c r="M147" s="1">
        <v>2016</v>
      </c>
      <c r="N147" s="1">
        <v>3</v>
      </c>
      <c r="O147" s="1">
        <v>2</v>
      </c>
      <c r="P147" s="1" t="str">
        <f t="shared" si="5"/>
        <v>Talhadia</v>
      </c>
      <c r="Q147" s="2">
        <v>42611</v>
      </c>
      <c r="R147" s="1" t="s">
        <v>306</v>
      </c>
      <c r="S147" s="1" t="s">
        <v>193</v>
      </c>
      <c r="T147" s="1" t="s">
        <v>2268</v>
      </c>
      <c r="U147" s="1" t="s">
        <v>192</v>
      </c>
      <c r="V147" s="1" t="s">
        <v>152</v>
      </c>
      <c r="W147" s="2">
        <v>44692</v>
      </c>
      <c r="X147" s="1" t="s">
        <v>839</v>
      </c>
      <c r="Y147" s="1">
        <v>200.66</v>
      </c>
      <c r="Z147" s="1">
        <v>19</v>
      </c>
      <c r="AA147" s="1">
        <v>31</v>
      </c>
      <c r="AB147" s="1">
        <v>16.8</v>
      </c>
      <c r="AC147" s="1">
        <v>5</v>
      </c>
      <c r="AD147" s="3">
        <v>319.2</v>
      </c>
      <c r="AE147" s="3">
        <v>272.56664209158902</v>
      </c>
      <c r="AF147" s="2">
        <v>44692</v>
      </c>
      <c r="AG147" s="1">
        <v>69</v>
      </c>
      <c r="AH147" s="3">
        <v>5.6974674880218998</v>
      </c>
      <c r="AI147" s="4">
        <v>22.754977180798701</v>
      </c>
      <c r="AJ147" s="4">
        <v>15.4391304347826</v>
      </c>
      <c r="AK147" s="4">
        <v>16.6502024432322</v>
      </c>
      <c r="AL147" s="1">
        <v>23</v>
      </c>
      <c r="AM147" s="5">
        <v>843.83033167615099</v>
      </c>
      <c r="AN147" s="4">
        <v>175.46973716376399</v>
      </c>
      <c r="AO147" s="4">
        <v>0.20794433498878601</v>
      </c>
      <c r="AP147" s="1" t="s">
        <v>193</v>
      </c>
      <c r="AQ147" s="1" t="s">
        <v>254</v>
      </c>
      <c r="AR147" s="1" t="s">
        <v>164</v>
      </c>
      <c r="AS147" s="1">
        <v>9.99</v>
      </c>
      <c r="AT147" s="4">
        <v>0.84298650134447484</v>
      </c>
      <c r="AU147" s="1" t="s">
        <v>852</v>
      </c>
      <c r="AV147" s="1" t="s">
        <v>853</v>
      </c>
      <c r="AW147" s="1">
        <v>1747</v>
      </c>
      <c r="AX147" s="1">
        <v>1747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0</v>
      </c>
      <c r="BF147" s="1">
        <v>0</v>
      </c>
      <c r="BG147" s="1">
        <v>0</v>
      </c>
      <c r="BH147" s="4">
        <v>-0.434</v>
      </c>
      <c r="BI147" s="4">
        <v>27.225999999999999</v>
      </c>
      <c r="BJ147" s="4">
        <v>19.381170000000001</v>
      </c>
      <c r="BK147" s="4">
        <v>18.445048</v>
      </c>
      <c r="BL147" s="4">
        <v>4.1254419999999996</v>
      </c>
      <c r="BM147" s="4">
        <v>17.019271</v>
      </c>
      <c r="BN147" s="4">
        <v>0.21285799999999999</v>
      </c>
      <c r="BO147" s="4">
        <v>4.7714999999999996</v>
      </c>
      <c r="BP147" s="4">
        <v>-1.0749660000000001</v>
      </c>
      <c r="BQ147" s="4">
        <v>4.8871760000000002</v>
      </c>
      <c r="BR147" s="4">
        <v>3.1222059999999998</v>
      </c>
      <c r="BS147" s="4">
        <v>2.425001</v>
      </c>
      <c r="BT147" s="4">
        <v>2.890047</v>
      </c>
      <c r="BU147" s="4">
        <v>19.381170000000001</v>
      </c>
      <c r="BV147" s="4">
        <v>2.23299</v>
      </c>
      <c r="BW147" s="4">
        <v>-0.36583700000000002</v>
      </c>
      <c r="BX147" s="4">
        <v>0.35669099999999998</v>
      </c>
      <c r="BY147" s="4">
        <v>0.115214</v>
      </c>
      <c r="BZ147" s="4">
        <v>-0.16383300000000001</v>
      </c>
      <c r="CA147" s="4">
        <v>0.15973699999999999</v>
      </c>
      <c r="CB147" s="4">
        <v>7.0273599999999998</v>
      </c>
      <c r="CC147" s="4">
        <v>11.353300000000001</v>
      </c>
      <c r="CD147" s="4">
        <v>14.180799</v>
      </c>
      <c r="CE147" s="4">
        <v>16.628401</v>
      </c>
      <c r="CF147" s="4">
        <v>17.560001</v>
      </c>
      <c r="CG147" s="4">
        <v>18.187398999999999</v>
      </c>
      <c r="CH147" s="4">
        <v>18.954999999999998</v>
      </c>
      <c r="CI147" s="4">
        <v>19.899999999999999</v>
      </c>
      <c r="CJ147" s="4">
        <v>20.785800999999999</v>
      </c>
      <c r="CK147" s="4">
        <v>21.830400000000001</v>
      </c>
      <c r="CL147" s="4">
        <v>22.331500999999999</v>
      </c>
      <c r="CM147" s="4">
        <v>22.8218</v>
      </c>
      <c r="CN147" s="4">
        <v>23.975200999999998</v>
      </c>
      <c r="CO147" s="4">
        <v>24.771099</v>
      </c>
      <c r="CP147" s="4">
        <v>26.320667</v>
      </c>
      <c r="CQ147" s="4">
        <v>0.71638400000000002</v>
      </c>
      <c r="CR147" s="4">
        <v>19.815128000000001</v>
      </c>
      <c r="CS147" s="4">
        <v>20.160129999999999</v>
      </c>
      <c r="CT147" s="1">
        <v>1</v>
      </c>
      <c r="CU147" s="1">
        <v>36</v>
      </c>
      <c r="CV147" s="4">
        <v>16.228964000000001</v>
      </c>
      <c r="CW147" s="4">
        <v>21</v>
      </c>
      <c r="CX147" s="4">
        <v>6.8720270000000001</v>
      </c>
      <c r="CY147" s="4">
        <v>47.224750999999998</v>
      </c>
      <c r="CZ147" s="4">
        <v>0.42344199999999999</v>
      </c>
      <c r="DA147" s="4">
        <v>10</v>
      </c>
      <c r="DB147" s="4">
        <v>-0.142319</v>
      </c>
      <c r="DC147" s="4">
        <v>2.3377979999999998</v>
      </c>
      <c r="DD147" s="4">
        <v>5.6888629999999996</v>
      </c>
      <c r="DE147" s="4">
        <v>16.228964000000001</v>
      </c>
      <c r="DF147" s="4">
        <v>3.9286110000000001</v>
      </c>
      <c r="DG147" s="4">
        <v>-0.148733</v>
      </c>
      <c r="DH147" s="4">
        <v>0.29861300000000002</v>
      </c>
      <c r="DI147" s="4">
        <v>0.24207400000000001</v>
      </c>
      <c r="DJ147" s="4">
        <v>-3.7858999999999997E-2</v>
      </c>
      <c r="DK147" s="4">
        <v>7.6009999999999994E-2</v>
      </c>
      <c r="DL147" s="4">
        <v>1</v>
      </c>
      <c r="DM147" s="4">
        <v>4</v>
      </c>
      <c r="DN147" s="4">
        <v>7</v>
      </c>
      <c r="DO147" s="4">
        <v>10</v>
      </c>
      <c r="DP147" s="4">
        <v>11</v>
      </c>
      <c r="DQ147" s="4">
        <v>12.799988000000001</v>
      </c>
      <c r="DR147" s="4">
        <v>15</v>
      </c>
      <c r="DS147" s="4">
        <v>17</v>
      </c>
      <c r="DT147" s="4">
        <v>19</v>
      </c>
      <c r="DU147" s="4">
        <v>21</v>
      </c>
      <c r="DV147" s="4">
        <v>21</v>
      </c>
      <c r="DW147" s="4">
        <v>22</v>
      </c>
      <c r="DX147" s="4">
        <v>25</v>
      </c>
      <c r="DY147" s="4">
        <v>27</v>
      </c>
      <c r="DZ147" s="4">
        <v>30</v>
      </c>
      <c r="EA147" s="4">
        <v>99.656554</v>
      </c>
      <c r="EB147" s="4">
        <v>99.656554</v>
      </c>
      <c r="EC147" s="4">
        <v>99.656554</v>
      </c>
      <c r="ED147" s="4">
        <v>1741</v>
      </c>
      <c r="EE147" s="4">
        <v>1741</v>
      </c>
      <c r="EF147" s="4">
        <v>54.436176000000003</v>
      </c>
      <c r="EG147" s="4">
        <v>67.429879999999997</v>
      </c>
      <c r="EH147" s="4">
        <v>54.436176000000003</v>
      </c>
      <c r="EI147" s="4">
        <v>67.429879999999997</v>
      </c>
      <c r="EJ147" s="4">
        <v>54.436176000000003</v>
      </c>
      <c r="EK147" s="4">
        <v>67.429879999999997</v>
      </c>
      <c r="EL147" s="4">
        <v>951</v>
      </c>
      <c r="EM147" s="4">
        <v>1178</v>
      </c>
      <c r="EN147" s="4">
        <v>951</v>
      </c>
      <c r="EO147" s="4">
        <v>1178</v>
      </c>
      <c r="EP147" s="4">
        <v>1747</v>
      </c>
      <c r="EQ147" s="4">
        <v>1747</v>
      </c>
      <c r="ER147" s="4">
        <v>72.623219000000006</v>
      </c>
    </row>
    <row r="148" spans="1:148" x14ac:dyDescent="0.2">
      <c r="A148" s="1">
        <v>2022</v>
      </c>
      <c r="B148" s="1" t="str">
        <f t="shared" si="4"/>
        <v>GN</v>
      </c>
      <c r="C148" s="1" t="s">
        <v>854</v>
      </c>
      <c r="D148" s="1" t="s">
        <v>854</v>
      </c>
      <c r="E148" s="1">
        <v>24663</v>
      </c>
      <c r="F148" s="1" t="s">
        <v>2101</v>
      </c>
      <c r="G148" s="1" t="s">
        <v>837</v>
      </c>
      <c r="H148" s="1" t="s">
        <v>851</v>
      </c>
      <c r="I148" s="1">
        <v>35.729999999999997</v>
      </c>
      <c r="J148" s="1">
        <v>35.729999999999997</v>
      </c>
      <c r="K148" s="1" t="s">
        <v>192</v>
      </c>
      <c r="L148" s="1">
        <v>1</v>
      </c>
      <c r="M148" s="1">
        <v>2016</v>
      </c>
      <c r="N148" s="1">
        <v>3</v>
      </c>
      <c r="O148" s="1">
        <v>2</v>
      </c>
      <c r="P148" s="1" t="str">
        <f t="shared" si="5"/>
        <v>Talhadia</v>
      </c>
      <c r="Q148" s="2">
        <v>42611</v>
      </c>
      <c r="R148" s="1" t="s">
        <v>306</v>
      </c>
      <c r="S148" s="1" t="s">
        <v>193</v>
      </c>
      <c r="T148" s="1" t="s">
        <v>2268</v>
      </c>
      <c r="U148" s="1" t="s">
        <v>192</v>
      </c>
      <c r="V148" s="1" t="s">
        <v>152</v>
      </c>
      <c r="W148" s="2">
        <v>44692</v>
      </c>
      <c r="X148" s="1" t="s">
        <v>839</v>
      </c>
      <c r="Y148" s="1">
        <v>200.66</v>
      </c>
      <c r="Z148" s="1">
        <v>19.899999999999999</v>
      </c>
      <c r="AA148" s="1">
        <v>19</v>
      </c>
      <c r="AB148" s="1">
        <v>16.8</v>
      </c>
      <c r="AC148" s="1">
        <v>1</v>
      </c>
      <c r="AD148" s="3">
        <v>334.32</v>
      </c>
      <c r="AE148" s="3">
        <v>316.05762575447</v>
      </c>
      <c r="AF148" s="2">
        <v>44692</v>
      </c>
      <c r="AG148" s="1">
        <v>69</v>
      </c>
      <c r="AH148" s="3">
        <v>5.6974674880218998</v>
      </c>
      <c r="AI148" s="4">
        <v>20.215395306933502</v>
      </c>
      <c r="AJ148" s="4">
        <v>15.7785714285714</v>
      </c>
      <c r="AK148" s="4">
        <v>18.220449858253499</v>
      </c>
      <c r="AL148" s="1">
        <v>28</v>
      </c>
      <c r="AM148" s="5">
        <v>885.91439403369498</v>
      </c>
      <c r="AN148" s="4">
        <v>165.499108853157</v>
      </c>
      <c r="AO148" s="4">
        <v>0.18681162645932001</v>
      </c>
      <c r="AP148" s="1" t="s">
        <v>193</v>
      </c>
      <c r="AQ148" s="1" t="s">
        <v>254</v>
      </c>
      <c r="AR148" s="1" t="s">
        <v>164</v>
      </c>
      <c r="AS148" s="1">
        <v>9.99</v>
      </c>
      <c r="AT148" s="4">
        <v>0.88502847963966125</v>
      </c>
      <c r="AU148" s="1" t="s">
        <v>855</v>
      </c>
      <c r="AV148" s="1" t="s">
        <v>856</v>
      </c>
      <c r="AW148" s="1">
        <v>1163</v>
      </c>
      <c r="AX148" s="1">
        <v>1163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0</v>
      </c>
      <c r="BG148" s="1">
        <v>0</v>
      </c>
      <c r="BH148" s="4">
        <v>-0.42</v>
      </c>
      <c r="BI148" s="4">
        <v>24.802</v>
      </c>
      <c r="BJ148" s="4">
        <v>19.040552000000002</v>
      </c>
      <c r="BK148" s="4">
        <v>17.996064000000001</v>
      </c>
      <c r="BL148" s="4">
        <v>4.1887049999999997</v>
      </c>
      <c r="BM148" s="4">
        <v>17.545252000000001</v>
      </c>
      <c r="BN148" s="4">
        <v>0.21998899999999999</v>
      </c>
      <c r="BO148" s="4">
        <v>3.9525009999999998</v>
      </c>
      <c r="BP148" s="4">
        <v>-2.5763630000000002</v>
      </c>
      <c r="BQ148" s="4">
        <v>12.096866</v>
      </c>
      <c r="BR148" s="4">
        <v>2.6832259999999999</v>
      </c>
      <c r="BS148" s="4">
        <v>1.9569989999999999</v>
      </c>
      <c r="BT148" s="4">
        <v>2.2439360000000002</v>
      </c>
      <c r="BU148" s="4">
        <v>19.040552000000002</v>
      </c>
      <c r="BV148" s="4">
        <v>1.9639310000000001</v>
      </c>
      <c r="BW148" s="4">
        <v>-0.498913</v>
      </c>
      <c r="BX148" s="4">
        <v>0.48510399999999998</v>
      </c>
      <c r="BY148" s="4">
        <v>0.103145</v>
      </c>
      <c r="BZ148" s="4">
        <v>-0.25403799999999999</v>
      </c>
      <c r="CA148" s="4">
        <v>0.247007</v>
      </c>
      <c r="CB148" s="4">
        <v>-0.17118</v>
      </c>
      <c r="CC148" s="4">
        <v>12.8667</v>
      </c>
      <c r="CD148" s="4">
        <v>15.9208</v>
      </c>
      <c r="CE148" s="4">
        <v>17.416201000000001</v>
      </c>
      <c r="CF148" s="4">
        <v>17.772499</v>
      </c>
      <c r="CG148" s="4">
        <v>18.094000000000001</v>
      </c>
      <c r="CH148" s="4">
        <v>18.870199</v>
      </c>
      <c r="CI148" s="4">
        <v>19.525998999999999</v>
      </c>
      <c r="CJ148" s="4">
        <v>20.278400000000001</v>
      </c>
      <c r="CK148" s="4">
        <v>21.330998999999998</v>
      </c>
      <c r="CL148" s="4">
        <v>21.725000000000001</v>
      </c>
      <c r="CM148" s="4">
        <v>22.177999</v>
      </c>
      <c r="CN148" s="4">
        <v>22.871600999999998</v>
      </c>
      <c r="CO148" s="4">
        <v>23.374200999999999</v>
      </c>
      <c r="CP148" s="4">
        <v>24.314819</v>
      </c>
      <c r="CQ148" s="4">
        <v>0.77157100000000001</v>
      </c>
      <c r="CR148" s="4">
        <v>19.495456000000001</v>
      </c>
      <c r="CS148" s="4">
        <v>19.759774</v>
      </c>
      <c r="CT148" s="1">
        <v>1</v>
      </c>
      <c r="CU148" s="1">
        <v>40</v>
      </c>
      <c r="CV148" s="4">
        <v>11.656922</v>
      </c>
      <c r="CW148" s="4">
        <v>14</v>
      </c>
      <c r="CX148" s="4">
        <v>5.4684290000000004</v>
      </c>
      <c r="CY148" s="4">
        <v>29.903711000000001</v>
      </c>
      <c r="CZ148" s="4">
        <v>0.46911399999999998</v>
      </c>
      <c r="DA148" s="4">
        <v>7</v>
      </c>
      <c r="DB148" s="4">
        <v>0.45728400000000002</v>
      </c>
      <c r="DC148" s="4">
        <v>3.7000609999999998</v>
      </c>
      <c r="DD148" s="4">
        <v>4.4007129999999997</v>
      </c>
      <c r="DE148" s="4">
        <v>11.656922</v>
      </c>
      <c r="DF148" s="4">
        <v>3.0695389999999998</v>
      </c>
      <c r="DG148" s="4">
        <v>0.155614</v>
      </c>
      <c r="DH148" s="4">
        <v>0.31500600000000001</v>
      </c>
      <c r="DI148" s="4">
        <v>0.26332299999999997</v>
      </c>
      <c r="DJ148" s="4">
        <v>5.0695999999999998E-2</v>
      </c>
      <c r="DK148" s="4">
        <v>0.10262300000000001</v>
      </c>
      <c r="DL148" s="4">
        <v>1</v>
      </c>
      <c r="DM148" s="4">
        <v>3</v>
      </c>
      <c r="DN148" s="4">
        <v>5</v>
      </c>
      <c r="DO148" s="4">
        <v>7</v>
      </c>
      <c r="DP148" s="4">
        <v>8</v>
      </c>
      <c r="DQ148" s="4">
        <v>8</v>
      </c>
      <c r="DR148" s="4">
        <v>10</v>
      </c>
      <c r="DS148" s="4">
        <v>12</v>
      </c>
      <c r="DT148" s="4">
        <v>13</v>
      </c>
      <c r="DU148" s="4">
        <v>14</v>
      </c>
      <c r="DV148" s="4">
        <v>15</v>
      </c>
      <c r="DW148" s="4">
        <v>16</v>
      </c>
      <c r="DX148" s="4">
        <v>19</v>
      </c>
      <c r="DY148" s="4">
        <v>21</v>
      </c>
      <c r="DZ148" s="4">
        <v>24</v>
      </c>
      <c r="EA148" s="4">
        <v>97.334479999999999</v>
      </c>
      <c r="EB148" s="4">
        <v>97.334479999999999</v>
      </c>
      <c r="EC148" s="4">
        <v>97.334479999999999</v>
      </c>
      <c r="ED148" s="4">
        <v>1132</v>
      </c>
      <c r="EE148" s="4">
        <v>1132</v>
      </c>
      <c r="EF148" s="4">
        <v>56.835769999999997</v>
      </c>
      <c r="EG148" s="4">
        <v>71.453137999999996</v>
      </c>
      <c r="EH148" s="4">
        <v>56.835769999999997</v>
      </c>
      <c r="EI148" s="4">
        <v>71.453137999999996</v>
      </c>
      <c r="EJ148" s="4">
        <v>56.835769999999997</v>
      </c>
      <c r="EK148" s="4">
        <v>71.453137999999996</v>
      </c>
      <c r="EL148" s="4">
        <v>661</v>
      </c>
      <c r="EM148" s="4">
        <v>831</v>
      </c>
      <c r="EN148" s="4">
        <v>661</v>
      </c>
      <c r="EO148" s="4">
        <v>831</v>
      </c>
      <c r="EP148" s="4">
        <v>1163</v>
      </c>
      <c r="EQ148" s="4">
        <v>1163</v>
      </c>
      <c r="ER148" s="4">
        <v>77.354787999999999</v>
      </c>
    </row>
    <row r="149" spans="1:148" x14ac:dyDescent="0.2">
      <c r="A149" s="1">
        <v>2022</v>
      </c>
      <c r="B149" s="1" t="str">
        <f t="shared" si="4"/>
        <v>GN</v>
      </c>
      <c r="C149" s="1" t="s">
        <v>857</v>
      </c>
      <c r="D149" s="1" t="s">
        <v>857</v>
      </c>
      <c r="E149" s="1">
        <v>24664</v>
      </c>
      <c r="F149" s="1" t="s">
        <v>2101</v>
      </c>
      <c r="G149" s="1" t="s">
        <v>837</v>
      </c>
      <c r="H149" s="1" t="s">
        <v>851</v>
      </c>
      <c r="I149" s="1">
        <v>35.729999999999997</v>
      </c>
      <c r="J149" s="1">
        <v>35.729999999999997</v>
      </c>
      <c r="K149" s="1" t="s">
        <v>192</v>
      </c>
      <c r="L149" s="1">
        <v>1</v>
      </c>
      <c r="M149" s="1">
        <v>2016</v>
      </c>
      <c r="N149" s="1">
        <v>3</v>
      </c>
      <c r="O149" s="1">
        <v>2</v>
      </c>
      <c r="P149" s="1" t="str">
        <f t="shared" si="5"/>
        <v>Talhadia</v>
      </c>
      <c r="Q149" s="2">
        <v>42611</v>
      </c>
      <c r="R149" s="1" t="s">
        <v>306</v>
      </c>
      <c r="S149" s="1" t="s">
        <v>193</v>
      </c>
      <c r="T149" s="1" t="s">
        <v>2268</v>
      </c>
      <c r="U149" s="1" t="s">
        <v>192</v>
      </c>
      <c r="V149" s="1" t="s">
        <v>152</v>
      </c>
      <c r="W149" s="2">
        <v>44692</v>
      </c>
      <c r="X149" s="1" t="s">
        <v>839</v>
      </c>
      <c r="Y149" s="1">
        <v>200.66</v>
      </c>
      <c r="Z149" s="1">
        <v>20.5</v>
      </c>
      <c r="AA149" s="1">
        <v>10</v>
      </c>
      <c r="AB149" s="1">
        <v>13.8</v>
      </c>
      <c r="AC149" s="1">
        <v>5</v>
      </c>
      <c r="AD149" s="3">
        <v>282.89999999999998</v>
      </c>
      <c r="AE149" s="3">
        <v>277.54194817366601</v>
      </c>
      <c r="AF149" s="2">
        <v>44692</v>
      </c>
      <c r="AG149" s="1">
        <v>69</v>
      </c>
      <c r="AH149" s="3">
        <v>5.6974674880218998</v>
      </c>
      <c r="AI149" s="4">
        <v>25.172967250969801</v>
      </c>
      <c r="AJ149" s="4">
        <v>15.310344827586199</v>
      </c>
      <c r="AK149" s="4">
        <v>20.462486660760899</v>
      </c>
      <c r="AL149" s="1">
        <v>29</v>
      </c>
      <c r="AM149" s="5">
        <v>1044.8870951159399</v>
      </c>
      <c r="AN149" s="4">
        <v>245.257343950636</v>
      </c>
      <c r="AO149" s="4">
        <v>0.234721382910201</v>
      </c>
      <c r="AP149" s="1" t="s">
        <v>193</v>
      </c>
      <c r="AQ149" s="1" t="s">
        <v>254</v>
      </c>
      <c r="AR149" s="1" t="s">
        <v>164</v>
      </c>
      <c r="AS149" s="1">
        <v>9.99</v>
      </c>
      <c r="AT149" s="4">
        <v>1.0438422080208241</v>
      </c>
      <c r="AU149" s="1" t="s">
        <v>858</v>
      </c>
      <c r="AV149" s="1" t="s">
        <v>859</v>
      </c>
      <c r="AW149" s="1">
        <v>1719</v>
      </c>
      <c r="AX149" s="1">
        <v>1719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0</v>
      </c>
      <c r="BG149" s="1">
        <v>0</v>
      </c>
      <c r="BH149" s="4">
        <v>1.845</v>
      </c>
      <c r="BI149" s="4">
        <v>22.335999999999999</v>
      </c>
      <c r="BJ149" s="4">
        <v>15.788373999999999</v>
      </c>
      <c r="BK149" s="4">
        <v>18.432953000000001</v>
      </c>
      <c r="BL149" s="4">
        <v>3.2811240000000002</v>
      </c>
      <c r="BM149" s="4">
        <v>10.765777</v>
      </c>
      <c r="BN149" s="4">
        <v>0.207819</v>
      </c>
      <c r="BO149" s="4">
        <v>4.7434979999999998</v>
      </c>
      <c r="BP149" s="4">
        <v>-0.929925</v>
      </c>
      <c r="BQ149" s="4">
        <v>4.0837599999999998</v>
      </c>
      <c r="BR149" s="4">
        <v>2.618093</v>
      </c>
      <c r="BS149" s="4">
        <v>1.9489989999999999</v>
      </c>
      <c r="BT149" s="4">
        <v>2.0659519999999998</v>
      </c>
      <c r="BU149" s="4">
        <v>15.788373999999999</v>
      </c>
      <c r="BV149" s="4">
        <v>1.797601</v>
      </c>
      <c r="BW149" s="4">
        <v>-0.30535000000000001</v>
      </c>
      <c r="BX149" s="4">
        <v>0.20838999999999999</v>
      </c>
      <c r="BY149" s="4">
        <v>0.113856</v>
      </c>
      <c r="BZ149" s="4">
        <v>-0.16986499999999999</v>
      </c>
      <c r="CA149" s="4">
        <v>0.115926</v>
      </c>
      <c r="CB149" s="4">
        <v>5.1012000000000004</v>
      </c>
      <c r="CC149" s="4">
        <v>10.146501000000001</v>
      </c>
      <c r="CD149" s="4">
        <v>11.330199</v>
      </c>
      <c r="CE149" s="4">
        <v>12.8064</v>
      </c>
      <c r="CF149" s="4">
        <v>13.412001</v>
      </c>
      <c r="CG149" s="4">
        <v>14.323399999999999</v>
      </c>
      <c r="CH149" s="4">
        <v>15.789599000000001</v>
      </c>
      <c r="CI149" s="4">
        <v>16.576000000000001</v>
      </c>
      <c r="CJ149" s="4">
        <v>17.1248</v>
      </c>
      <c r="CK149" s="4">
        <v>17.874199000000001</v>
      </c>
      <c r="CL149" s="4">
        <v>18.155498999999999</v>
      </c>
      <c r="CM149" s="4">
        <v>18.505600000000001</v>
      </c>
      <c r="CN149" s="4">
        <v>19.254999000000002</v>
      </c>
      <c r="CO149" s="4">
        <v>20.0944</v>
      </c>
      <c r="CP149" s="4">
        <v>21.165517999999999</v>
      </c>
      <c r="CQ149" s="4">
        <v>0.68046300000000004</v>
      </c>
      <c r="CR149" s="4">
        <v>16.125516000000001</v>
      </c>
      <c r="CS149" s="4">
        <v>16.401809</v>
      </c>
      <c r="CT149" s="1">
        <v>1</v>
      </c>
      <c r="CU149" s="1">
        <v>50</v>
      </c>
      <c r="CV149" s="4">
        <v>20.208842000000001</v>
      </c>
      <c r="CW149" s="4">
        <v>23.555555999999999</v>
      </c>
      <c r="CX149" s="4">
        <v>8.2283340000000003</v>
      </c>
      <c r="CY149" s="4">
        <v>67.705485999999993</v>
      </c>
      <c r="CZ149" s="4">
        <v>0.407165</v>
      </c>
      <c r="DA149" s="4">
        <v>11</v>
      </c>
      <c r="DB149" s="4">
        <v>-5.7090000000000002E-2</v>
      </c>
      <c r="DC149" s="4">
        <v>2.8413729999999999</v>
      </c>
      <c r="DD149" s="4">
        <v>6.6081219999999998</v>
      </c>
      <c r="DE149" s="4">
        <v>20.208842000000001</v>
      </c>
      <c r="DF149" s="4">
        <v>4.6507899999999998</v>
      </c>
      <c r="DG149" s="4">
        <v>-0.13450599999999999</v>
      </c>
      <c r="DH149" s="4">
        <v>0.53937400000000002</v>
      </c>
      <c r="DI149" s="4">
        <v>0.23013600000000001</v>
      </c>
      <c r="DJ149" s="4">
        <v>-2.8920999999999999E-2</v>
      </c>
      <c r="DK149" s="4">
        <v>0.11597499999999999</v>
      </c>
      <c r="DL149" s="4">
        <v>2</v>
      </c>
      <c r="DM149" s="4">
        <v>6</v>
      </c>
      <c r="DN149" s="4">
        <v>9</v>
      </c>
      <c r="DO149" s="4">
        <v>13</v>
      </c>
      <c r="DP149" s="4">
        <v>15</v>
      </c>
      <c r="DQ149" s="4">
        <v>16</v>
      </c>
      <c r="DR149" s="4">
        <v>18</v>
      </c>
      <c r="DS149" s="4">
        <v>21</v>
      </c>
      <c r="DT149" s="4">
        <v>23</v>
      </c>
      <c r="DU149" s="4">
        <v>25</v>
      </c>
      <c r="DV149" s="4">
        <v>26</v>
      </c>
      <c r="DW149" s="4">
        <v>27</v>
      </c>
      <c r="DX149" s="4">
        <v>30</v>
      </c>
      <c r="DY149" s="4">
        <v>33</v>
      </c>
      <c r="DZ149" s="4">
        <v>39</v>
      </c>
      <c r="EA149" s="4">
        <v>99.825479999999999</v>
      </c>
      <c r="EB149" s="4">
        <v>99.825479999999999</v>
      </c>
      <c r="EC149" s="4">
        <v>99.825479999999999</v>
      </c>
      <c r="ED149" s="4">
        <v>1716</v>
      </c>
      <c r="EE149" s="4">
        <v>1716</v>
      </c>
      <c r="EF149" s="4">
        <v>60.034903999999997</v>
      </c>
      <c r="EG149" s="4">
        <v>21.116928000000001</v>
      </c>
      <c r="EH149" s="4">
        <v>60.034903999999997</v>
      </c>
      <c r="EI149" s="4">
        <v>21.116928000000001</v>
      </c>
      <c r="EJ149" s="4">
        <v>60.034903999999997</v>
      </c>
      <c r="EK149" s="4">
        <v>21.116928000000001</v>
      </c>
      <c r="EL149" s="4">
        <v>1032</v>
      </c>
      <c r="EM149" s="4">
        <v>363</v>
      </c>
      <c r="EN149" s="4">
        <v>1032</v>
      </c>
      <c r="EO149" s="4">
        <v>363</v>
      </c>
      <c r="EP149" s="4">
        <v>1719</v>
      </c>
      <c r="EQ149" s="4">
        <v>1719</v>
      </c>
      <c r="ER149" s="4">
        <v>73.567957000000007</v>
      </c>
    </row>
    <row r="150" spans="1:148" x14ac:dyDescent="0.2">
      <c r="A150" s="1">
        <v>2022</v>
      </c>
      <c r="B150" s="1" t="str">
        <f t="shared" si="4"/>
        <v>GN</v>
      </c>
      <c r="C150" s="1" t="s">
        <v>860</v>
      </c>
      <c r="D150" s="1" t="s">
        <v>860</v>
      </c>
      <c r="E150" s="1">
        <v>24832</v>
      </c>
      <c r="F150" s="1" t="s">
        <v>2102</v>
      </c>
      <c r="G150" s="1" t="s">
        <v>861</v>
      </c>
      <c r="H150" s="1" t="s">
        <v>862</v>
      </c>
      <c r="I150" s="1">
        <v>28.21</v>
      </c>
      <c r="J150" s="1">
        <v>28.21</v>
      </c>
      <c r="K150" s="1" t="s">
        <v>266</v>
      </c>
      <c r="L150" s="1">
        <v>1</v>
      </c>
      <c r="M150" s="1">
        <v>2016</v>
      </c>
      <c r="N150" s="1">
        <v>3</v>
      </c>
      <c r="O150" s="1">
        <v>1</v>
      </c>
      <c r="P150" s="1" t="str">
        <f t="shared" si="5"/>
        <v>Alto fuste</v>
      </c>
      <c r="Q150" s="2">
        <v>42649</v>
      </c>
      <c r="R150" s="1" t="s">
        <v>169</v>
      </c>
      <c r="S150" s="1" t="s">
        <v>651</v>
      </c>
      <c r="T150" s="1" t="s">
        <v>2268</v>
      </c>
      <c r="U150" s="1" t="s">
        <v>266</v>
      </c>
      <c r="V150" s="1" t="s">
        <v>152</v>
      </c>
      <c r="W150" s="2">
        <v>44645</v>
      </c>
      <c r="X150" s="1" t="s">
        <v>863</v>
      </c>
      <c r="Y150" s="1">
        <v>267</v>
      </c>
      <c r="Z150" s="1">
        <v>20.399999999999999</v>
      </c>
      <c r="AA150" s="1">
        <v>10</v>
      </c>
      <c r="AB150" s="1">
        <v>14.9</v>
      </c>
      <c r="AC150" s="1">
        <v>3</v>
      </c>
      <c r="AD150" s="3">
        <v>303.95999999999998</v>
      </c>
      <c r="AE150" s="3">
        <v>298.93192657250802</v>
      </c>
      <c r="AF150" s="2">
        <v>44645</v>
      </c>
      <c r="AG150" s="1">
        <v>65</v>
      </c>
      <c r="AH150" s="3">
        <v>5.4647501711156696</v>
      </c>
      <c r="AI150" s="4">
        <v>29.819396411981401</v>
      </c>
      <c r="AJ150" s="4">
        <v>17.321212121212099</v>
      </c>
      <c r="AK150" s="4">
        <v>26.3943368009813</v>
      </c>
      <c r="AL150" s="1">
        <v>33</v>
      </c>
      <c r="AM150" s="5">
        <v>1103.93026192857</v>
      </c>
      <c r="AN150" s="4">
        <v>348.96716948633099</v>
      </c>
      <c r="AO150" s="4">
        <v>0.31611341904577001</v>
      </c>
      <c r="AP150" s="1" t="s">
        <v>651</v>
      </c>
      <c r="AQ150" s="1" t="s">
        <v>156</v>
      </c>
      <c r="AR150" s="1" t="s">
        <v>164</v>
      </c>
      <c r="AS150" s="1">
        <v>9</v>
      </c>
      <c r="AT150" s="4">
        <v>0.99353723573571295</v>
      </c>
      <c r="AU150" s="1" t="s">
        <v>864</v>
      </c>
      <c r="AV150" s="1" t="s">
        <v>865</v>
      </c>
      <c r="AW150" s="1">
        <v>3558</v>
      </c>
      <c r="AX150" s="1">
        <v>1915</v>
      </c>
      <c r="AY150" s="1">
        <v>1415</v>
      </c>
      <c r="AZ150" s="1">
        <v>222</v>
      </c>
      <c r="BA150" s="1">
        <v>6</v>
      </c>
      <c r="BB150" s="1">
        <v>0</v>
      </c>
      <c r="BC150" s="1">
        <v>0</v>
      </c>
      <c r="BD150" s="1">
        <v>0</v>
      </c>
      <c r="BE150" s="1">
        <v>0</v>
      </c>
      <c r="BF150" s="1">
        <v>0</v>
      </c>
      <c r="BG150" s="1">
        <v>0</v>
      </c>
      <c r="BH150" s="4">
        <v>-0.92400000000000004</v>
      </c>
      <c r="BI150" s="4">
        <v>31.617000999999998</v>
      </c>
      <c r="BJ150" s="4">
        <v>15.51301</v>
      </c>
      <c r="BK150" s="4">
        <v>0.10904800000000001</v>
      </c>
      <c r="BL150" s="4">
        <v>13.677967000000001</v>
      </c>
      <c r="BM150" s="4">
        <v>187.08677700000001</v>
      </c>
      <c r="BN150" s="4">
        <v>0.88170899999999996</v>
      </c>
      <c r="BO150" s="4">
        <v>28.434000999999999</v>
      </c>
      <c r="BP150" s="4">
        <v>-0.158775</v>
      </c>
      <c r="BQ150" s="4">
        <v>1.1062810000000001</v>
      </c>
      <c r="BR150" s="4">
        <v>13.33798</v>
      </c>
      <c r="BS150" s="4">
        <v>5.755001</v>
      </c>
      <c r="BT150" s="4">
        <v>24.538951999999998</v>
      </c>
      <c r="BU150" s="4">
        <v>15.51301</v>
      </c>
      <c r="BV150" s="4">
        <v>7.2143040000000003</v>
      </c>
      <c r="BW150" s="4">
        <v>-0.36573099999999997</v>
      </c>
      <c r="BX150" s="4">
        <v>-1.5191520000000001</v>
      </c>
      <c r="BY150" s="4">
        <v>0.46504899999999999</v>
      </c>
      <c r="BZ150" s="4">
        <v>-5.0694999999999997E-2</v>
      </c>
      <c r="CA150" s="4">
        <v>-0.21057500000000001</v>
      </c>
      <c r="CB150" s="4">
        <v>-0.29343000000000002</v>
      </c>
      <c r="CC150" s="4">
        <v>-0.08</v>
      </c>
      <c r="CD150" s="4">
        <v>1.47E-2</v>
      </c>
      <c r="CE150" s="4">
        <v>0.12740000000000001</v>
      </c>
      <c r="CF150" s="4">
        <v>0.17599999999999999</v>
      </c>
      <c r="CG150" s="4">
        <v>0.2281</v>
      </c>
      <c r="CH150" s="4">
        <v>0.40760000000000002</v>
      </c>
      <c r="CI150" s="4">
        <v>24.647998999999999</v>
      </c>
      <c r="CJ150" s="4">
        <v>27.541799999999999</v>
      </c>
      <c r="CK150" s="4">
        <v>28.273599999999998</v>
      </c>
      <c r="CL150" s="4">
        <v>28.610001</v>
      </c>
      <c r="CM150" s="4">
        <v>28.906599</v>
      </c>
      <c r="CN150" s="4">
        <v>29.549600999999999</v>
      </c>
      <c r="CO150" s="4">
        <v>30.035150999999999</v>
      </c>
      <c r="CP150" s="4">
        <v>30.785999</v>
      </c>
      <c r="CQ150" s="4">
        <v>0.50511700000000004</v>
      </c>
      <c r="CR150" s="4">
        <v>20.680610999999999</v>
      </c>
      <c r="CS150" s="4">
        <v>22.914269999999998</v>
      </c>
      <c r="CT150" s="1">
        <v>1</v>
      </c>
      <c r="CU150" s="1">
        <v>59</v>
      </c>
      <c r="CV150" s="4">
        <v>15.068016</v>
      </c>
      <c r="CW150" s="4">
        <v>1</v>
      </c>
      <c r="CX150" s="4">
        <v>10.151612999999999</v>
      </c>
      <c r="CY150" s="4">
        <v>103.05525400000001</v>
      </c>
      <c r="CZ150" s="4">
        <v>0.67371899999999996</v>
      </c>
      <c r="DA150" s="4">
        <v>16</v>
      </c>
      <c r="DB150" s="4">
        <v>0.64509099999999997</v>
      </c>
      <c r="DC150" s="4">
        <v>3.406536</v>
      </c>
      <c r="DD150" s="4">
        <v>8.3283850000000008</v>
      </c>
      <c r="DE150" s="4">
        <v>15.068016</v>
      </c>
      <c r="DF150" s="4">
        <v>5.6693129999999998</v>
      </c>
      <c r="DG150" s="4">
        <v>0.54877600000000004</v>
      </c>
      <c r="DH150" s="4">
        <v>0.38479400000000002</v>
      </c>
      <c r="DI150" s="4">
        <v>0.37624800000000003</v>
      </c>
      <c r="DJ150" s="4">
        <v>9.6797999999999995E-2</v>
      </c>
      <c r="DK150" s="4">
        <v>6.7873000000000003E-2</v>
      </c>
      <c r="DL150" s="4">
        <v>1</v>
      </c>
      <c r="DM150" s="4">
        <v>1</v>
      </c>
      <c r="DN150" s="4">
        <v>2</v>
      </c>
      <c r="DO150" s="4">
        <v>5</v>
      </c>
      <c r="DP150" s="4">
        <v>6</v>
      </c>
      <c r="DQ150" s="4">
        <v>8</v>
      </c>
      <c r="DR150" s="4">
        <v>11</v>
      </c>
      <c r="DS150" s="4">
        <v>15</v>
      </c>
      <c r="DT150" s="4">
        <v>18</v>
      </c>
      <c r="DU150" s="4">
        <v>21</v>
      </c>
      <c r="DV150" s="4">
        <v>22</v>
      </c>
      <c r="DW150" s="4">
        <v>23</v>
      </c>
      <c r="DX150" s="4">
        <v>27</v>
      </c>
      <c r="DY150" s="4">
        <v>32</v>
      </c>
      <c r="DZ150" s="4">
        <v>44.429932000000001</v>
      </c>
      <c r="EA150" s="4">
        <v>96.187989999999999</v>
      </c>
      <c r="EB150" s="4">
        <v>58.038224</v>
      </c>
      <c r="EC150" s="4">
        <v>107.832898</v>
      </c>
      <c r="ED150" s="4">
        <v>1842</v>
      </c>
      <c r="EE150" s="4">
        <v>2065</v>
      </c>
      <c r="EF150" s="4">
        <v>94.516970999999998</v>
      </c>
      <c r="EG150" s="4">
        <v>99.843342000000007</v>
      </c>
      <c r="EH150" s="4">
        <v>53.513210000000001</v>
      </c>
      <c r="EI150" s="4">
        <v>81.703203999999999</v>
      </c>
      <c r="EJ150" s="4">
        <v>99.425586999999993</v>
      </c>
      <c r="EK150" s="4">
        <v>151.80156700000001</v>
      </c>
      <c r="EL150" s="4">
        <v>1810</v>
      </c>
      <c r="EM150" s="4">
        <v>1912</v>
      </c>
      <c r="EN150" s="4">
        <v>1904</v>
      </c>
      <c r="EO150" s="4">
        <v>2907</v>
      </c>
      <c r="EP150" s="4">
        <v>1915</v>
      </c>
      <c r="EQ150" s="4">
        <v>3558</v>
      </c>
      <c r="ER150" s="4">
        <v>49.47119</v>
      </c>
    </row>
    <row r="151" spans="1:148" x14ac:dyDescent="0.2">
      <c r="A151" s="1">
        <v>2022</v>
      </c>
      <c r="B151" s="1" t="str">
        <f t="shared" si="4"/>
        <v>GN</v>
      </c>
      <c r="C151" s="1" t="s">
        <v>866</v>
      </c>
      <c r="D151" s="1" t="s">
        <v>866</v>
      </c>
      <c r="E151" s="1">
        <v>24843</v>
      </c>
      <c r="F151" s="1" t="s">
        <v>2102</v>
      </c>
      <c r="G151" s="1" t="s">
        <v>861</v>
      </c>
      <c r="H151" s="1" t="s">
        <v>867</v>
      </c>
      <c r="I151" s="1">
        <v>35.549999999999997</v>
      </c>
      <c r="J151" s="1">
        <v>35.549999999999997</v>
      </c>
      <c r="K151" s="1" t="s">
        <v>266</v>
      </c>
      <c r="L151" s="1">
        <v>1</v>
      </c>
      <c r="M151" s="1">
        <v>2016</v>
      </c>
      <c r="N151" s="1">
        <v>4</v>
      </c>
      <c r="O151" s="1">
        <v>1</v>
      </c>
      <c r="P151" s="1" t="str">
        <f t="shared" si="5"/>
        <v>Alto fuste</v>
      </c>
      <c r="Q151" s="2">
        <v>42648</v>
      </c>
      <c r="R151" s="1" t="s">
        <v>169</v>
      </c>
      <c r="S151" s="1" t="s">
        <v>160</v>
      </c>
      <c r="T151" s="1" t="s">
        <v>2268</v>
      </c>
      <c r="U151" s="1" t="s">
        <v>266</v>
      </c>
      <c r="V151" s="1" t="s">
        <v>152</v>
      </c>
      <c r="W151" s="2">
        <v>44652</v>
      </c>
      <c r="X151" s="1" t="s">
        <v>863</v>
      </c>
      <c r="Y151" s="1">
        <v>267</v>
      </c>
      <c r="Z151" s="1">
        <v>20.100000000000001</v>
      </c>
      <c r="AA151" s="1">
        <v>13</v>
      </c>
      <c r="AB151" s="1">
        <v>15</v>
      </c>
      <c r="AC151" s="1">
        <v>1</v>
      </c>
      <c r="AD151" s="3">
        <v>301.5</v>
      </c>
      <c r="AE151" s="3">
        <v>293.727831546728</v>
      </c>
      <c r="AF151" s="2">
        <v>44652</v>
      </c>
      <c r="AG151" s="1">
        <v>66</v>
      </c>
      <c r="AH151" s="3">
        <v>5.4866529774127297</v>
      </c>
      <c r="AI151" s="4">
        <v>26.598401682429099</v>
      </c>
      <c r="AJ151" s="4">
        <v>14.894117647058801</v>
      </c>
      <c r="AK151" s="4">
        <v>20.431465985210401</v>
      </c>
      <c r="AL151" s="1">
        <v>34</v>
      </c>
      <c r="AM151" s="5">
        <v>1157.5341642281901</v>
      </c>
      <c r="AN151" s="4">
        <v>243.74063805509201</v>
      </c>
      <c r="AO151" s="4">
        <v>0.21056885022275901</v>
      </c>
      <c r="AP151" s="1" t="s">
        <v>160</v>
      </c>
      <c r="AQ151" s="1" t="s">
        <v>156</v>
      </c>
      <c r="AR151" s="1" t="s">
        <v>270</v>
      </c>
      <c r="AS151" s="1">
        <v>9</v>
      </c>
      <c r="AT151" s="4">
        <v>1.0417807478053711</v>
      </c>
      <c r="AU151" s="1" t="s">
        <v>868</v>
      </c>
      <c r="AV151" s="1" t="s">
        <v>869</v>
      </c>
      <c r="AW151" s="1">
        <v>2654</v>
      </c>
      <c r="AX151" s="1">
        <v>1419</v>
      </c>
      <c r="AY151" s="1">
        <v>1189</v>
      </c>
      <c r="AZ151" s="1">
        <v>46</v>
      </c>
      <c r="BA151" s="1">
        <v>0</v>
      </c>
      <c r="BB151" s="1">
        <v>0</v>
      </c>
      <c r="BC151" s="1">
        <v>0</v>
      </c>
      <c r="BD151" s="1">
        <v>0</v>
      </c>
      <c r="BE151" s="1">
        <v>0</v>
      </c>
      <c r="BF151" s="1">
        <v>0</v>
      </c>
      <c r="BG151" s="1">
        <v>0</v>
      </c>
      <c r="BH151" s="4">
        <v>-0.78500000000000003</v>
      </c>
      <c r="BI151" s="4">
        <v>27.673999999999999</v>
      </c>
      <c r="BJ151" s="4">
        <v>12.427137999999999</v>
      </c>
      <c r="BK151" s="4">
        <v>-0.33327000000000001</v>
      </c>
      <c r="BL151" s="4">
        <v>12.285546</v>
      </c>
      <c r="BM151" s="4">
        <v>150.934651</v>
      </c>
      <c r="BN151" s="4">
        <v>0.98860599999999998</v>
      </c>
      <c r="BO151" s="4">
        <v>24.793500000000002</v>
      </c>
      <c r="BP151" s="4">
        <v>1.5344999999999999E-2</v>
      </c>
      <c r="BQ151" s="4">
        <v>1.038889</v>
      </c>
      <c r="BR151" s="4">
        <v>12.195558</v>
      </c>
      <c r="BS151" s="4">
        <v>9.8680000000000003</v>
      </c>
      <c r="BT151" s="4">
        <v>9.8087700000000009</v>
      </c>
      <c r="BU151" s="4">
        <v>12.427137999999999</v>
      </c>
      <c r="BV151" s="4">
        <v>6.3875979999999997</v>
      </c>
      <c r="BW151" s="4">
        <v>0.23036699999999999</v>
      </c>
      <c r="BX151" s="4">
        <v>-1.391543</v>
      </c>
      <c r="BY151" s="4">
        <v>0.51400400000000002</v>
      </c>
      <c r="BZ151" s="4">
        <v>3.6065E-2</v>
      </c>
      <c r="CA151" s="4">
        <v>-0.21785099999999999</v>
      </c>
      <c r="CB151" s="4">
        <v>-0.34488000000000002</v>
      </c>
      <c r="CC151" s="4">
        <v>-0.14935000000000001</v>
      </c>
      <c r="CD151" s="4">
        <v>-7.6999999999999999E-2</v>
      </c>
      <c r="CE151" s="4">
        <v>1.1599999999999999E-2</v>
      </c>
      <c r="CF151" s="4">
        <v>5.0999999999999997E-2</v>
      </c>
      <c r="CG151" s="4">
        <v>8.6999999999999994E-2</v>
      </c>
      <c r="CH151" s="4">
        <v>0.17599999999999999</v>
      </c>
      <c r="CI151" s="4">
        <v>9.4755000000000003</v>
      </c>
      <c r="CJ151" s="4">
        <v>23.5166</v>
      </c>
      <c r="CK151" s="4">
        <v>24.512498999999998</v>
      </c>
      <c r="CL151" s="4">
        <v>24.8445</v>
      </c>
      <c r="CM151" s="4">
        <v>25.182400000000001</v>
      </c>
      <c r="CN151" s="4">
        <v>25.937099</v>
      </c>
      <c r="CO151" s="4">
        <v>26.45335</v>
      </c>
      <c r="CP151" s="4">
        <v>27.162168999999999</v>
      </c>
      <c r="CQ151" s="4">
        <v>0.464252</v>
      </c>
      <c r="CR151" s="4">
        <v>17.473165999999999</v>
      </c>
      <c r="CS151" s="4">
        <v>19.637246999999999</v>
      </c>
      <c r="CT151" s="1">
        <v>1</v>
      </c>
      <c r="CU151" s="1">
        <v>59</v>
      </c>
      <c r="CV151" s="4">
        <v>18.230972000000001</v>
      </c>
      <c r="CW151" s="4">
        <v>7.4444439999999998</v>
      </c>
      <c r="CX151" s="4">
        <v>11.641384</v>
      </c>
      <c r="CY151" s="4">
        <v>135.52182999999999</v>
      </c>
      <c r="CZ151" s="4">
        <v>0.63854999999999995</v>
      </c>
      <c r="DA151" s="4">
        <v>16</v>
      </c>
      <c r="DB151" s="4">
        <v>0.71502500000000002</v>
      </c>
      <c r="DC151" s="4">
        <v>3.2703880000000001</v>
      </c>
      <c r="DD151" s="4">
        <v>9.4520739999999996</v>
      </c>
      <c r="DE151" s="4">
        <v>18.230972000000001</v>
      </c>
      <c r="DF151" s="4">
        <v>6.4935669999999996</v>
      </c>
      <c r="DG151" s="4">
        <v>0.83211800000000002</v>
      </c>
      <c r="DH151" s="4">
        <v>0.57265900000000003</v>
      </c>
      <c r="DI151" s="4">
        <v>0.35618300000000003</v>
      </c>
      <c r="DJ151" s="4">
        <v>0.12814500000000001</v>
      </c>
      <c r="DK151" s="4">
        <v>8.8189000000000003E-2</v>
      </c>
      <c r="DL151" s="4">
        <v>1</v>
      </c>
      <c r="DM151" s="4">
        <v>3</v>
      </c>
      <c r="DN151" s="4">
        <v>4</v>
      </c>
      <c r="DO151" s="4">
        <v>7</v>
      </c>
      <c r="DP151" s="4">
        <v>9</v>
      </c>
      <c r="DQ151" s="4">
        <v>10</v>
      </c>
      <c r="DR151" s="4">
        <v>14</v>
      </c>
      <c r="DS151" s="4">
        <v>17</v>
      </c>
      <c r="DT151" s="4">
        <v>21</v>
      </c>
      <c r="DU151" s="4">
        <v>24</v>
      </c>
      <c r="DV151" s="4">
        <v>25</v>
      </c>
      <c r="DW151" s="4">
        <v>27</v>
      </c>
      <c r="DX151" s="4">
        <v>33</v>
      </c>
      <c r="DY151" s="4">
        <v>40</v>
      </c>
      <c r="DZ151" s="4">
        <v>51</v>
      </c>
      <c r="EA151" s="4">
        <v>92.529950999999997</v>
      </c>
      <c r="EB151" s="4">
        <v>51.318764000000002</v>
      </c>
      <c r="EC151" s="4">
        <v>95.983086999999998</v>
      </c>
      <c r="ED151" s="4">
        <v>1313</v>
      </c>
      <c r="EE151" s="4">
        <v>1362</v>
      </c>
      <c r="EF151" s="4">
        <v>91.754756999999998</v>
      </c>
      <c r="EG151" s="4">
        <v>100</v>
      </c>
      <c r="EH151" s="4">
        <v>49.811605</v>
      </c>
      <c r="EI151" s="4">
        <v>98.907309999999995</v>
      </c>
      <c r="EJ151" s="4">
        <v>93.164199999999994</v>
      </c>
      <c r="EK151" s="4">
        <v>184.989429</v>
      </c>
      <c r="EL151" s="4">
        <v>1302</v>
      </c>
      <c r="EM151" s="4">
        <v>1419</v>
      </c>
      <c r="EN151" s="4">
        <v>1322</v>
      </c>
      <c r="EO151" s="4">
        <v>2625</v>
      </c>
      <c r="EP151" s="4">
        <v>1419</v>
      </c>
      <c r="EQ151" s="4">
        <v>2654</v>
      </c>
      <c r="ER151" s="4">
        <v>44.789791999999998</v>
      </c>
    </row>
    <row r="152" spans="1:148" x14ac:dyDescent="0.2">
      <c r="A152" s="1">
        <v>2022</v>
      </c>
      <c r="B152" s="1" t="str">
        <f t="shared" si="4"/>
        <v>GN</v>
      </c>
      <c r="C152" s="1" t="s">
        <v>870</v>
      </c>
      <c r="D152" s="1" t="s">
        <v>870</v>
      </c>
      <c r="E152" s="1">
        <v>24844</v>
      </c>
      <c r="F152" s="1" t="s">
        <v>2102</v>
      </c>
      <c r="G152" s="1" t="s">
        <v>861</v>
      </c>
      <c r="H152" s="1" t="s">
        <v>867</v>
      </c>
      <c r="I152" s="1">
        <v>35.549999999999997</v>
      </c>
      <c r="J152" s="1">
        <v>35.549999999999997</v>
      </c>
      <c r="K152" s="1" t="s">
        <v>266</v>
      </c>
      <c r="L152" s="1">
        <v>1</v>
      </c>
      <c r="M152" s="1">
        <v>2016</v>
      </c>
      <c r="N152" s="1">
        <v>4</v>
      </c>
      <c r="O152" s="1">
        <v>1</v>
      </c>
      <c r="P152" s="1" t="str">
        <f t="shared" si="5"/>
        <v>Alto fuste</v>
      </c>
      <c r="Q152" s="2">
        <v>42648</v>
      </c>
      <c r="R152" s="1" t="s">
        <v>169</v>
      </c>
      <c r="S152" s="1" t="s">
        <v>160</v>
      </c>
      <c r="T152" s="1" t="s">
        <v>2268</v>
      </c>
      <c r="U152" s="1" t="s">
        <v>266</v>
      </c>
      <c r="V152" s="1" t="s">
        <v>152</v>
      </c>
      <c r="W152" s="2">
        <v>44652</v>
      </c>
      <c r="X152" s="1" t="s">
        <v>863</v>
      </c>
      <c r="Y152" s="1">
        <v>267</v>
      </c>
      <c r="Z152" s="1">
        <v>21</v>
      </c>
      <c r="AA152" s="1">
        <v>11</v>
      </c>
      <c r="AB152" s="1">
        <v>14.9</v>
      </c>
      <c r="AC152" s="1">
        <v>0</v>
      </c>
      <c r="AD152" s="3">
        <v>312.89999999999998</v>
      </c>
      <c r="AE152" s="3">
        <v>307.15114570077401</v>
      </c>
      <c r="AF152" s="2">
        <v>44652</v>
      </c>
      <c r="AG152" s="1">
        <v>66</v>
      </c>
      <c r="AH152" s="3">
        <v>5.4866529774127297</v>
      </c>
      <c r="AI152" s="4">
        <v>28.235784634321401</v>
      </c>
      <c r="AJ152" s="4">
        <v>15.7032258064516</v>
      </c>
      <c r="AK152" s="4">
        <v>19.715350936962899</v>
      </c>
      <c r="AL152" s="1">
        <v>31</v>
      </c>
      <c r="AM152" s="5">
        <v>1009.27508928129</v>
      </c>
      <c r="AN152" s="4">
        <v>248.25489493415699</v>
      </c>
      <c r="AO152" s="4">
        <v>0.24597346904790801</v>
      </c>
      <c r="AP152" s="1" t="s">
        <v>160</v>
      </c>
      <c r="AQ152" s="1" t="s">
        <v>156</v>
      </c>
      <c r="AR152" s="1" t="s">
        <v>270</v>
      </c>
      <c r="AS152" s="1">
        <v>9</v>
      </c>
      <c r="AT152" s="4">
        <v>0.90834758035316099</v>
      </c>
      <c r="AU152" s="1" t="s">
        <v>871</v>
      </c>
      <c r="AV152" s="1" t="s">
        <v>872</v>
      </c>
      <c r="AW152" s="1">
        <v>3849</v>
      </c>
      <c r="AX152" s="1">
        <v>2123</v>
      </c>
      <c r="AY152" s="1">
        <v>1558</v>
      </c>
      <c r="AZ152" s="1">
        <v>165</v>
      </c>
      <c r="BA152" s="1">
        <v>3</v>
      </c>
      <c r="BB152" s="1">
        <v>0</v>
      </c>
      <c r="BC152" s="1">
        <v>0</v>
      </c>
      <c r="BD152" s="1">
        <v>0</v>
      </c>
      <c r="BE152" s="1">
        <v>0</v>
      </c>
      <c r="BF152" s="1">
        <v>0</v>
      </c>
      <c r="BG152" s="1">
        <v>0</v>
      </c>
      <c r="BH152" s="4">
        <v>-1.1779999999999999</v>
      </c>
      <c r="BI152" s="4">
        <v>31.233000000000001</v>
      </c>
      <c r="BJ152" s="4">
        <v>13.538061000000001</v>
      </c>
      <c r="BK152" s="4">
        <v>-0.14907899999999999</v>
      </c>
      <c r="BL152" s="4">
        <v>12.565193000000001</v>
      </c>
      <c r="BM152" s="4">
        <v>157.884064</v>
      </c>
      <c r="BN152" s="4">
        <v>0.92813800000000002</v>
      </c>
      <c r="BO152" s="4">
        <v>25.809000000000001</v>
      </c>
      <c r="BP152" s="4">
        <v>-7.9749E-2</v>
      </c>
      <c r="BQ152" s="4">
        <v>1.087936</v>
      </c>
      <c r="BR152" s="4">
        <v>12.32039</v>
      </c>
      <c r="BS152" s="4">
        <v>8.8550000000000004</v>
      </c>
      <c r="BT152" s="4">
        <v>19.274080000000001</v>
      </c>
      <c r="BU152" s="4">
        <v>13.538061000000001</v>
      </c>
      <c r="BV152" s="4">
        <v>6.6455900000000003</v>
      </c>
      <c r="BW152" s="4">
        <v>-4.2674999999999998E-2</v>
      </c>
      <c r="BX152" s="4">
        <v>-1.3755390000000001</v>
      </c>
      <c r="BY152" s="4">
        <v>0.49088199999999999</v>
      </c>
      <c r="BZ152" s="4">
        <v>-6.4219999999999998E-3</v>
      </c>
      <c r="CA152" s="4">
        <v>-0.206985</v>
      </c>
      <c r="CB152" s="4">
        <v>-0.46800000000000003</v>
      </c>
      <c r="CC152" s="4">
        <v>-0.21360000000000001</v>
      </c>
      <c r="CD152" s="4">
        <v>-0.12</v>
      </c>
      <c r="CE152" s="4">
        <v>-2E-3</v>
      </c>
      <c r="CF152" s="4">
        <v>4.4999999999999998E-2</v>
      </c>
      <c r="CG152" s="4">
        <v>9.6000000000000002E-2</v>
      </c>
      <c r="CH152" s="4">
        <v>0.23300000000000001</v>
      </c>
      <c r="CI152" s="4">
        <v>19.125</v>
      </c>
      <c r="CJ152" s="4">
        <v>24.457201000000001</v>
      </c>
      <c r="CK152" s="4">
        <v>25.517600999999999</v>
      </c>
      <c r="CL152" s="4">
        <v>25.853999999999999</v>
      </c>
      <c r="CM152" s="4">
        <v>26.152199</v>
      </c>
      <c r="CN152" s="4">
        <v>26.998199</v>
      </c>
      <c r="CO152" s="4">
        <v>27.559000000000001</v>
      </c>
      <c r="CP152" s="4">
        <v>29.071719999999999</v>
      </c>
      <c r="CQ152" s="4">
        <v>0.45404499999999998</v>
      </c>
      <c r="CR152" s="4">
        <v>18.469491999999999</v>
      </c>
      <c r="CS152" s="4">
        <v>20.593648000000002</v>
      </c>
      <c r="CT152" s="1">
        <v>1</v>
      </c>
      <c r="CU152" s="1">
        <v>58</v>
      </c>
      <c r="CV152" s="4">
        <v>14.467914</v>
      </c>
      <c r="CW152" s="4">
        <v>1</v>
      </c>
      <c r="CX152" s="4">
        <v>9.8441369999999999</v>
      </c>
      <c r="CY152" s="4">
        <v>96.907038999999997</v>
      </c>
      <c r="CZ152" s="4">
        <v>0.68041200000000002</v>
      </c>
      <c r="DA152" s="4">
        <v>15</v>
      </c>
      <c r="DB152" s="4">
        <v>0.63039000000000001</v>
      </c>
      <c r="DC152" s="4">
        <v>3.0041359999999999</v>
      </c>
      <c r="DD152" s="4">
        <v>8.1131729999999997</v>
      </c>
      <c r="DE152" s="4">
        <v>14.467914</v>
      </c>
      <c r="DF152" s="4">
        <v>5.5295969999999999</v>
      </c>
      <c r="DG152" s="4">
        <v>0.67462</v>
      </c>
      <c r="DH152" s="4">
        <v>0.35882700000000001</v>
      </c>
      <c r="DI152" s="4">
        <v>0.38219700000000001</v>
      </c>
      <c r="DJ152" s="4">
        <v>0.122002</v>
      </c>
      <c r="DK152" s="4">
        <v>6.4892000000000005E-2</v>
      </c>
      <c r="DL152" s="4">
        <v>1</v>
      </c>
      <c r="DM152" s="4">
        <v>1</v>
      </c>
      <c r="DN152" s="4">
        <v>2</v>
      </c>
      <c r="DO152" s="4">
        <v>5</v>
      </c>
      <c r="DP152" s="4">
        <v>6</v>
      </c>
      <c r="DQ152" s="4">
        <v>7</v>
      </c>
      <c r="DR152" s="4">
        <v>10</v>
      </c>
      <c r="DS152" s="4">
        <v>14</v>
      </c>
      <c r="DT152" s="4">
        <v>17</v>
      </c>
      <c r="DU152" s="4">
        <v>20</v>
      </c>
      <c r="DV152" s="4">
        <v>21</v>
      </c>
      <c r="DW152" s="4">
        <v>23</v>
      </c>
      <c r="DX152" s="4">
        <v>27</v>
      </c>
      <c r="DY152" s="4">
        <v>32</v>
      </c>
      <c r="DZ152" s="4">
        <v>42</v>
      </c>
      <c r="EA152" s="4">
        <v>91.097504000000001</v>
      </c>
      <c r="EB152" s="4">
        <v>55.520915000000002</v>
      </c>
      <c r="EC152" s="4">
        <v>100.65944399999999</v>
      </c>
      <c r="ED152" s="4">
        <v>1934</v>
      </c>
      <c r="EE152" s="4">
        <v>2137</v>
      </c>
      <c r="EF152" s="4">
        <v>88.977862000000002</v>
      </c>
      <c r="EG152" s="4">
        <v>100</v>
      </c>
      <c r="EH152" s="4">
        <v>52.351260000000003</v>
      </c>
      <c r="EI152" s="4">
        <v>91.997922000000003</v>
      </c>
      <c r="EJ152" s="4">
        <v>94.912858999999997</v>
      </c>
      <c r="EK152" s="4">
        <v>166.79227499999999</v>
      </c>
      <c r="EL152" s="4">
        <v>1889</v>
      </c>
      <c r="EM152" s="4">
        <v>2123</v>
      </c>
      <c r="EN152" s="4">
        <v>2015</v>
      </c>
      <c r="EO152" s="4">
        <v>3541</v>
      </c>
      <c r="EP152" s="4">
        <v>2123</v>
      </c>
      <c r="EQ152" s="4">
        <v>3849</v>
      </c>
      <c r="ER152" s="4">
        <v>45.666581999999998</v>
      </c>
    </row>
    <row r="153" spans="1:148" x14ac:dyDescent="0.2">
      <c r="A153" s="1">
        <v>2022</v>
      </c>
      <c r="B153" s="1" t="str">
        <f t="shared" si="4"/>
        <v>GN</v>
      </c>
      <c r="C153" s="1" t="s">
        <v>873</v>
      </c>
      <c r="D153" s="1" t="s">
        <v>873</v>
      </c>
      <c r="E153" s="1">
        <v>24847</v>
      </c>
      <c r="F153" s="1" t="s">
        <v>2103</v>
      </c>
      <c r="G153" s="1" t="s">
        <v>861</v>
      </c>
      <c r="H153" s="1" t="s">
        <v>874</v>
      </c>
      <c r="I153" s="1">
        <v>45.88</v>
      </c>
      <c r="J153" s="1">
        <v>45.88</v>
      </c>
      <c r="K153" s="1" t="s">
        <v>266</v>
      </c>
      <c r="L153" s="1">
        <v>1</v>
      </c>
      <c r="M153" s="1">
        <v>2016</v>
      </c>
      <c r="N153" s="1">
        <v>3</v>
      </c>
      <c r="O153" s="1">
        <v>2</v>
      </c>
      <c r="P153" s="1" t="str">
        <f t="shared" si="5"/>
        <v>Talhadia</v>
      </c>
      <c r="Q153" s="2">
        <v>42471</v>
      </c>
      <c r="R153" s="1" t="s">
        <v>169</v>
      </c>
      <c r="S153" s="1" t="s">
        <v>150</v>
      </c>
      <c r="T153" s="1" t="s">
        <v>2268</v>
      </c>
      <c r="U153" s="1" t="s">
        <v>266</v>
      </c>
      <c r="V153" s="1" t="s">
        <v>152</v>
      </c>
      <c r="W153" s="2">
        <v>44652</v>
      </c>
      <c r="X153" s="1" t="s">
        <v>863</v>
      </c>
      <c r="Y153" s="1">
        <v>252.19</v>
      </c>
      <c r="Z153" s="1">
        <v>19.8</v>
      </c>
      <c r="AA153" s="1">
        <v>8</v>
      </c>
      <c r="AB153" s="1">
        <v>15.3</v>
      </c>
      <c r="AC153" s="1">
        <v>1</v>
      </c>
      <c r="AD153" s="3">
        <v>302.94</v>
      </c>
      <c r="AE153" s="3">
        <v>299.94611853905701</v>
      </c>
      <c r="AF153" s="2">
        <v>44652</v>
      </c>
      <c r="AG153" s="1">
        <v>72</v>
      </c>
      <c r="AH153" s="3">
        <v>5.9712525667351102</v>
      </c>
      <c r="AI153" s="4">
        <v>24.092002079514199</v>
      </c>
      <c r="AJ153" s="4">
        <v>16.862962962963</v>
      </c>
      <c r="AK153" s="4">
        <v>20.664421699738899</v>
      </c>
      <c r="AL153" s="1">
        <v>27</v>
      </c>
      <c r="AM153" s="5">
        <v>900.16167342016399</v>
      </c>
      <c r="AN153" s="4">
        <v>241.631889656928</v>
      </c>
      <c r="AO153" s="4">
        <v>0.26843165710316003</v>
      </c>
      <c r="AP153" s="1" t="s">
        <v>150</v>
      </c>
      <c r="AQ153" s="1" t="s">
        <v>254</v>
      </c>
      <c r="AR153" s="1" t="s">
        <v>270</v>
      </c>
      <c r="AS153" s="1">
        <v>9</v>
      </c>
      <c r="AT153" s="4">
        <v>0.81014550607814761</v>
      </c>
      <c r="AU153" s="1" t="s">
        <v>875</v>
      </c>
      <c r="AV153" s="1" t="s">
        <v>876</v>
      </c>
      <c r="AW153" s="1">
        <v>3498</v>
      </c>
      <c r="AX153" s="1">
        <v>1862</v>
      </c>
      <c r="AY153" s="1">
        <v>1478</v>
      </c>
      <c r="AZ153" s="1">
        <v>153</v>
      </c>
      <c r="BA153" s="1">
        <v>5</v>
      </c>
      <c r="BB153" s="1">
        <v>0</v>
      </c>
      <c r="BC153" s="1">
        <v>0</v>
      </c>
      <c r="BD153" s="1">
        <v>0</v>
      </c>
      <c r="BE153" s="1">
        <v>0</v>
      </c>
      <c r="BF153" s="1">
        <v>0</v>
      </c>
      <c r="BG153" s="1">
        <v>0</v>
      </c>
      <c r="BH153" s="4">
        <v>-1.5309999999999999</v>
      </c>
      <c r="BI153" s="4">
        <v>26.405999999999999</v>
      </c>
      <c r="BJ153" s="4">
        <v>12.021558000000001</v>
      </c>
      <c r="BK153" s="4">
        <v>-0.20066700000000001</v>
      </c>
      <c r="BL153" s="4">
        <v>10.391835</v>
      </c>
      <c r="BM153" s="4">
        <v>107.990244</v>
      </c>
      <c r="BN153" s="4">
        <v>0.86443300000000001</v>
      </c>
      <c r="BO153" s="4">
        <v>21.519748</v>
      </c>
      <c r="BP153" s="4">
        <v>-0.191333</v>
      </c>
      <c r="BQ153" s="4">
        <v>1.1916629999999999</v>
      </c>
      <c r="BR153" s="4">
        <v>9.9646519999999992</v>
      </c>
      <c r="BS153" s="4">
        <v>5.9305000000000003</v>
      </c>
      <c r="BT153" s="4">
        <v>18.428667000000001</v>
      </c>
      <c r="BU153" s="4">
        <v>12.021558000000001</v>
      </c>
      <c r="BV153" s="4">
        <v>5.6140210000000002</v>
      </c>
      <c r="BW153" s="4">
        <v>-0.23231299999999999</v>
      </c>
      <c r="BX153" s="4">
        <v>-0.95113700000000001</v>
      </c>
      <c r="BY153" s="4">
        <v>0.46699600000000002</v>
      </c>
      <c r="BZ153" s="4">
        <v>-4.1381000000000001E-2</v>
      </c>
      <c r="CA153" s="4">
        <v>-0.16942199999999999</v>
      </c>
      <c r="CB153" s="4">
        <v>-0.57708999999999999</v>
      </c>
      <c r="CC153" s="4">
        <v>-0.317</v>
      </c>
      <c r="CD153" s="4">
        <v>-0.21299999999999999</v>
      </c>
      <c r="CE153" s="4">
        <v>-7.5999999999999998E-2</v>
      </c>
      <c r="CF153" s="4">
        <v>-1.6750000000000001E-2</v>
      </c>
      <c r="CG153" s="4">
        <v>4.8099999999999997E-2</v>
      </c>
      <c r="CH153" s="4">
        <v>3.463203</v>
      </c>
      <c r="CI153" s="4">
        <v>18.228000999999999</v>
      </c>
      <c r="CJ153" s="4">
        <v>19.882999000000002</v>
      </c>
      <c r="CK153" s="4">
        <v>20.794001000000002</v>
      </c>
      <c r="CL153" s="4">
        <v>21.502998000000002</v>
      </c>
      <c r="CM153" s="4">
        <v>22.121200999999999</v>
      </c>
      <c r="CN153" s="4">
        <v>23.376301000000002</v>
      </c>
      <c r="CO153" s="4">
        <v>24.2743</v>
      </c>
      <c r="CP153" s="4">
        <v>25.449209</v>
      </c>
      <c r="CQ153" s="4">
        <v>0.48511100000000001</v>
      </c>
      <c r="CR153" s="4">
        <v>15.889532000000001</v>
      </c>
      <c r="CS153" s="4">
        <v>17.561620999999999</v>
      </c>
      <c r="CT153" s="1">
        <v>1</v>
      </c>
      <c r="CU153" s="1">
        <v>46</v>
      </c>
      <c r="CV153" s="4">
        <v>11.323899000000001</v>
      </c>
      <c r="CW153" s="4">
        <v>1</v>
      </c>
      <c r="CX153" s="4">
        <v>7.4595859999999998</v>
      </c>
      <c r="CY153" s="4">
        <v>55.645417000000002</v>
      </c>
      <c r="CZ153" s="4">
        <v>0.65874699999999997</v>
      </c>
      <c r="DA153" s="4">
        <v>12</v>
      </c>
      <c r="DB153" s="4">
        <v>0.52007700000000001</v>
      </c>
      <c r="DC153" s="4">
        <v>2.9075359999999999</v>
      </c>
      <c r="DD153" s="4">
        <v>6.2438190000000002</v>
      </c>
      <c r="DE153" s="4">
        <v>11.323899000000001</v>
      </c>
      <c r="DF153" s="4">
        <v>4.2143309999999996</v>
      </c>
      <c r="DG153" s="4">
        <v>0.40352500000000002</v>
      </c>
      <c r="DH153" s="4">
        <v>0.18782599999999999</v>
      </c>
      <c r="DI153" s="4">
        <v>0.37216300000000002</v>
      </c>
      <c r="DJ153" s="4">
        <v>9.5751000000000003E-2</v>
      </c>
      <c r="DK153" s="4">
        <v>4.4568000000000003E-2</v>
      </c>
      <c r="DL153" s="4">
        <v>1</v>
      </c>
      <c r="DM153" s="4">
        <v>1</v>
      </c>
      <c r="DN153" s="4">
        <v>2</v>
      </c>
      <c r="DO153" s="4">
        <v>4</v>
      </c>
      <c r="DP153" s="4">
        <v>5</v>
      </c>
      <c r="DQ153" s="4">
        <v>6</v>
      </c>
      <c r="DR153" s="4">
        <v>8</v>
      </c>
      <c r="DS153" s="4">
        <v>11</v>
      </c>
      <c r="DT153" s="4">
        <v>13</v>
      </c>
      <c r="DU153" s="4">
        <v>15</v>
      </c>
      <c r="DV153" s="4">
        <v>17</v>
      </c>
      <c r="DW153" s="4">
        <v>18</v>
      </c>
      <c r="DX153" s="4">
        <v>21</v>
      </c>
      <c r="DY153" s="4">
        <v>24</v>
      </c>
      <c r="DZ153" s="4">
        <v>30.030028999999999</v>
      </c>
      <c r="EA153" s="4">
        <v>98.549946000000006</v>
      </c>
      <c r="EB153" s="4">
        <v>60.062893000000003</v>
      </c>
      <c r="EC153" s="4">
        <v>112.835661</v>
      </c>
      <c r="ED153" s="4">
        <v>1835</v>
      </c>
      <c r="EE153" s="4">
        <v>2101</v>
      </c>
      <c r="EF153" s="4">
        <v>97.099892999999994</v>
      </c>
      <c r="EG153" s="4">
        <v>99.946293999999995</v>
      </c>
      <c r="EH153" s="4">
        <v>55.688965000000003</v>
      </c>
      <c r="EI153" s="4">
        <v>89.422527000000002</v>
      </c>
      <c r="EJ153" s="4">
        <v>104.61869</v>
      </c>
      <c r="EK153" s="4">
        <v>167.99140700000001</v>
      </c>
      <c r="EL153" s="4">
        <v>1808</v>
      </c>
      <c r="EM153" s="4">
        <v>1861</v>
      </c>
      <c r="EN153" s="4">
        <v>1948</v>
      </c>
      <c r="EO153" s="4">
        <v>3128</v>
      </c>
      <c r="EP153" s="4">
        <v>1862</v>
      </c>
      <c r="EQ153" s="4">
        <v>3498</v>
      </c>
      <c r="ER153" s="4">
        <v>46.472096999999998</v>
      </c>
    </row>
    <row r="154" spans="1:148" x14ac:dyDescent="0.2">
      <c r="A154" s="1">
        <v>2022</v>
      </c>
      <c r="B154" s="1" t="str">
        <f t="shared" si="4"/>
        <v>GN</v>
      </c>
      <c r="C154" s="1" t="s">
        <v>877</v>
      </c>
      <c r="D154" s="1" t="s">
        <v>877</v>
      </c>
      <c r="E154" s="1">
        <v>24848</v>
      </c>
      <c r="F154" s="1" t="s">
        <v>2103</v>
      </c>
      <c r="G154" s="1" t="s">
        <v>861</v>
      </c>
      <c r="H154" s="1" t="s">
        <v>874</v>
      </c>
      <c r="I154" s="1">
        <v>45.88</v>
      </c>
      <c r="J154" s="1">
        <v>45.88</v>
      </c>
      <c r="K154" s="1" t="s">
        <v>266</v>
      </c>
      <c r="L154" s="1">
        <v>1</v>
      </c>
      <c r="M154" s="1">
        <v>2016</v>
      </c>
      <c r="N154" s="1">
        <v>3</v>
      </c>
      <c r="O154" s="1">
        <v>2</v>
      </c>
      <c r="P154" s="1" t="str">
        <f t="shared" si="5"/>
        <v>Talhadia</v>
      </c>
      <c r="Q154" s="2">
        <v>42471</v>
      </c>
      <c r="R154" s="1" t="s">
        <v>169</v>
      </c>
      <c r="S154" s="1" t="s">
        <v>150</v>
      </c>
      <c r="T154" s="1" t="s">
        <v>2268</v>
      </c>
      <c r="U154" s="1" t="s">
        <v>266</v>
      </c>
      <c r="V154" s="1" t="s">
        <v>152</v>
      </c>
      <c r="W154" s="2">
        <v>44652</v>
      </c>
      <c r="X154" s="1" t="s">
        <v>863</v>
      </c>
      <c r="Y154" s="1">
        <v>252.19</v>
      </c>
      <c r="Z154" s="1">
        <v>19.100000000000001</v>
      </c>
      <c r="AA154" s="1">
        <v>5</v>
      </c>
      <c r="AB154" s="1">
        <v>15.3</v>
      </c>
      <c r="AC154" s="1">
        <v>2</v>
      </c>
      <c r="AD154" s="3">
        <v>292.23</v>
      </c>
      <c r="AE154" s="3">
        <v>290.94063541773602</v>
      </c>
      <c r="AF154" s="2">
        <v>44652</v>
      </c>
      <c r="AG154" s="1">
        <v>72</v>
      </c>
      <c r="AH154" s="3">
        <v>5.9712525667351102</v>
      </c>
      <c r="AI154" s="4">
        <v>24.987624457225301</v>
      </c>
      <c r="AJ154" s="4">
        <v>18.079310344827601</v>
      </c>
      <c r="AK154" s="4">
        <v>26.126080302638499</v>
      </c>
      <c r="AL154" s="1">
        <v>29</v>
      </c>
      <c r="AM154" s="5">
        <v>996.76691632852999</v>
      </c>
      <c r="AN154" s="4">
        <v>314.24940876888502</v>
      </c>
      <c r="AO154" s="4">
        <v>0.31526869885126602</v>
      </c>
      <c r="AP154" s="1" t="s">
        <v>150</v>
      </c>
      <c r="AQ154" s="1" t="s">
        <v>254</v>
      </c>
      <c r="AR154" s="1" t="s">
        <v>270</v>
      </c>
      <c r="AS154" s="1">
        <v>9</v>
      </c>
      <c r="AT154" s="4">
        <v>0.89709022469567701</v>
      </c>
      <c r="AU154" s="1" t="s">
        <v>878</v>
      </c>
      <c r="AV154" s="1" t="s">
        <v>879</v>
      </c>
      <c r="AW154" s="1">
        <v>2558</v>
      </c>
      <c r="AX154" s="1">
        <v>1189</v>
      </c>
      <c r="AY154" s="1">
        <v>1166</v>
      </c>
      <c r="AZ154" s="1">
        <v>181</v>
      </c>
      <c r="BA154" s="1">
        <v>22</v>
      </c>
      <c r="BB154" s="1">
        <v>0</v>
      </c>
      <c r="BC154" s="1">
        <v>0</v>
      </c>
      <c r="BD154" s="1">
        <v>0</v>
      </c>
      <c r="BE154" s="1">
        <v>0</v>
      </c>
      <c r="BF154" s="1">
        <v>0</v>
      </c>
      <c r="BG154" s="1">
        <v>0</v>
      </c>
      <c r="BH154" s="4">
        <v>-0.83899999999999997</v>
      </c>
      <c r="BI154" s="4">
        <v>26.882000000000001</v>
      </c>
      <c r="BJ154" s="4">
        <v>10.637655000000001</v>
      </c>
      <c r="BK154" s="4">
        <v>-0.39898400000000001</v>
      </c>
      <c r="BL154" s="4">
        <v>10.699346</v>
      </c>
      <c r="BM154" s="4">
        <v>114.475999</v>
      </c>
      <c r="BN154" s="4">
        <v>1.0057990000000001</v>
      </c>
      <c r="BO154" s="4">
        <v>21.107250000000001</v>
      </c>
      <c r="BP154" s="4">
        <v>6.898E-2</v>
      </c>
      <c r="BQ154" s="4">
        <v>1.0992109999999999</v>
      </c>
      <c r="BR154" s="4">
        <v>10.521889</v>
      </c>
      <c r="BS154" s="4">
        <v>10.984999999999999</v>
      </c>
      <c r="BT154" s="4">
        <v>11.504984</v>
      </c>
      <c r="BU154" s="4">
        <v>10.637655000000001</v>
      </c>
      <c r="BV154" s="4">
        <v>5.6520109999999999</v>
      </c>
      <c r="BW154" s="4">
        <v>0.421074</v>
      </c>
      <c r="BX154" s="4">
        <v>-1.0582050000000001</v>
      </c>
      <c r="BY154" s="4">
        <v>0.53132100000000004</v>
      </c>
      <c r="BZ154" s="4">
        <v>7.4499999999999997E-2</v>
      </c>
      <c r="CA154" s="4">
        <v>-0.187226</v>
      </c>
      <c r="CB154" s="4">
        <v>-0.44857999999999998</v>
      </c>
      <c r="CC154" s="4">
        <v>-0.24115</v>
      </c>
      <c r="CD154" s="4">
        <v>-0.14899999999999999</v>
      </c>
      <c r="CE154" s="4">
        <v>-2.4E-2</v>
      </c>
      <c r="CF154" s="4">
        <v>2.5250000000000002E-2</v>
      </c>
      <c r="CG154" s="4">
        <v>7.3999999999999996E-2</v>
      </c>
      <c r="CH154" s="4">
        <v>0.18479999999999999</v>
      </c>
      <c r="CI154" s="4">
        <v>11.106</v>
      </c>
      <c r="CJ154" s="4">
        <v>19.918998999999999</v>
      </c>
      <c r="CK154" s="4">
        <v>20.861799000000001</v>
      </c>
      <c r="CL154" s="4">
        <v>21.1325</v>
      </c>
      <c r="CM154" s="4">
        <v>21.542400000000001</v>
      </c>
      <c r="CN154" s="4">
        <v>22.946501000000001</v>
      </c>
      <c r="CO154" s="4">
        <v>24.363444999999999</v>
      </c>
      <c r="CP154" s="4">
        <v>25.981877999999998</v>
      </c>
      <c r="CQ154" s="4">
        <v>0.41400599999999999</v>
      </c>
      <c r="CR154" s="4">
        <v>15.086118000000001</v>
      </c>
      <c r="CS154" s="4">
        <v>17.031136</v>
      </c>
      <c r="CT154" s="1">
        <v>1</v>
      </c>
      <c r="CU154" s="1">
        <v>42</v>
      </c>
      <c r="CV154" s="4">
        <v>11.70993</v>
      </c>
      <c r="CW154" s="4">
        <v>3.6031749999999998</v>
      </c>
      <c r="CX154" s="4">
        <v>7.7083310000000003</v>
      </c>
      <c r="CY154" s="4">
        <v>59.418368000000001</v>
      </c>
      <c r="CZ154" s="4">
        <v>0.658273</v>
      </c>
      <c r="DA154" s="4">
        <v>13</v>
      </c>
      <c r="DB154" s="4">
        <v>0.41580899999999998</v>
      </c>
      <c r="DC154" s="4">
        <v>2.396496</v>
      </c>
      <c r="DD154" s="4">
        <v>6.6646890000000001</v>
      </c>
      <c r="DE154" s="4">
        <v>11.70993</v>
      </c>
      <c r="DF154" s="4">
        <v>4.3796520000000001</v>
      </c>
      <c r="DG154" s="4">
        <v>0.41086699999999998</v>
      </c>
      <c r="DH154" s="4">
        <v>3.6269000000000003E-2</v>
      </c>
      <c r="DI154" s="4">
        <v>0.37401200000000001</v>
      </c>
      <c r="DJ154" s="4">
        <v>9.3812999999999994E-2</v>
      </c>
      <c r="DK154" s="4">
        <v>8.2810000000000002E-3</v>
      </c>
      <c r="DL154" s="4">
        <v>1</v>
      </c>
      <c r="DM154" s="4">
        <v>1</v>
      </c>
      <c r="DN154" s="4">
        <v>2</v>
      </c>
      <c r="DO154" s="4">
        <v>4</v>
      </c>
      <c r="DP154" s="4">
        <v>5</v>
      </c>
      <c r="DQ154" s="4">
        <v>6</v>
      </c>
      <c r="DR154" s="4">
        <v>8</v>
      </c>
      <c r="DS154" s="4">
        <v>11</v>
      </c>
      <c r="DT154" s="4">
        <v>14</v>
      </c>
      <c r="DU154" s="4">
        <v>17</v>
      </c>
      <c r="DV154" s="4">
        <v>18</v>
      </c>
      <c r="DW154" s="4">
        <v>19</v>
      </c>
      <c r="DX154" s="4">
        <v>22</v>
      </c>
      <c r="DY154" s="4">
        <v>24</v>
      </c>
      <c r="DZ154" s="4">
        <v>29</v>
      </c>
      <c r="EA154" s="4">
        <v>98.233810000000005</v>
      </c>
      <c r="EB154" s="4">
        <v>50.625489000000002</v>
      </c>
      <c r="EC154" s="4">
        <v>108.915055</v>
      </c>
      <c r="ED154" s="4">
        <v>1168</v>
      </c>
      <c r="EE154" s="4">
        <v>1295</v>
      </c>
      <c r="EF154" s="4">
        <v>98.149705999999995</v>
      </c>
      <c r="EG154" s="4">
        <v>100</v>
      </c>
      <c r="EH154" s="4">
        <v>50.234558</v>
      </c>
      <c r="EI154" s="4">
        <v>98.279905999999997</v>
      </c>
      <c r="EJ154" s="4">
        <v>108.074012</v>
      </c>
      <c r="EK154" s="4">
        <v>211.43818300000001</v>
      </c>
      <c r="EL154" s="4">
        <v>1167</v>
      </c>
      <c r="EM154" s="4">
        <v>1189</v>
      </c>
      <c r="EN154" s="4">
        <v>1285</v>
      </c>
      <c r="EO154" s="4">
        <v>2514</v>
      </c>
      <c r="EP154" s="4">
        <v>1189</v>
      </c>
      <c r="EQ154" s="4">
        <v>2558</v>
      </c>
      <c r="ER154" s="4">
        <v>40.084366000000003</v>
      </c>
    </row>
    <row r="155" spans="1:148" x14ac:dyDescent="0.2">
      <c r="A155" s="1">
        <v>2022</v>
      </c>
      <c r="B155" s="1" t="str">
        <f t="shared" si="4"/>
        <v>GN</v>
      </c>
      <c r="C155" s="1" t="s">
        <v>880</v>
      </c>
      <c r="D155" s="1" t="s">
        <v>880</v>
      </c>
      <c r="E155" s="1">
        <v>24849</v>
      </c>
      <c r="F155" s="1" t="s">
        <v>2103</v>
      </c>
      <c r="G155" s="1" t="s">
        <v>861</v>
      </c>
      <c r="H155" s="1" t="s">
        <v>874</v>
      </c>
      <c r="I155" s="1">
        <v>45.88</v>
      </c>
      <c r="J155" s="1">
        <v>45.88</v>
      </c>
      <c r="K155" s="1" t="s">
        <v>266</v>
      </c>
      <c r="L155" s="1">
        <v>1</v>
      </c>
      <c r="M155" s="1">
        <v>2016</v>
      </c>
      <c r="N155" s="1">
        <v>3</v>
      </c>
      <c r="O155" s="1">
        <v>2</v>
      </c>
      <c r="P155" s="1" t="str">
        <f t="shared" si="5"/>
        <v>Talhadia</v>
      </c>
      <c r="Q155" s="2">
        <v>42471</v>
      </c>
      <c r="R155" s="1" t="s">
        <v>169</v>
      </c>
      <c r="S155" s="1" t="s">
        <v>150</v>
      </c>
      <c r="T155" s="1" t="s">
        <v>2268</v>
      </c>
      <c r="U155" s="1" t="s">
        <v>266</v>
      </c>
      <c r="V155" s="1" t="s">
        <v>152</v>
      </c>
      <c r="W155" s="2">
        <v>44652</v>
      </c>
      <c r="X155" s="1" t="s">
        <v>863</v>
      </c>
      <c r="Y155" s="1">
        <v>252.19</v>
      </c>
      <c r="Z155" s="1">
        <v>21</v>
      </c>
      <c r="AA155" s="1">
        <v>2</v>
      </c>
      <c r="AB155" s="1">
        <v>16</v>
      </c>
      <c r="AC155" s="1">
        <v>3</v>
      </c>
      <c r="AD155" s="3">
        <v>336</v>
      </c>
      <c r="AE155" s="3">
        <v>335.33512206568702</v>
      </c>
      <c r="AF155" s="2">
        <v>44652</v>
      </c>
      <c r="AG155" s="1">
        <v>72</v>
      </c>
      <c r="AH155" s="3">
        <v>5.9712525667351102</v>
      </c>
      <c r="AI155" s="4">
        <v>20.237578719944899</v>
      </c>
      <c r="AJ155" s="4">
        <v>14.2344827586207</v>
      </c>
      <c r="AK155" s="4">
        <v>14.721359070123601</v>
      </c>
      <c r="AL155" s="1">
        <v>29</v>
      </c>
      <c r="AM155" s="5">
        <v>864.806520156852</v>
      </c>
      <c r="AN155" s="4">
        <v>151.41982037957001</v>
      </c>
      <c r="AO155" s="4">
        <v>0.17509097913843999</v>
      </c>
      <c r="AP155" s="1" t="s">
        <v>150</v>
      </c>
      <c r="AQ155" s="1" t="s">
        <v>254</v>
      </c>
      <c r="AR155" s="1" t="s">
        <v>270</v>
      </c>
      <c r="AS155" s="1">
        <v>9</v>
      </c>
      <c r="AT155" s="4">
        <v>0.77832586814116678</v>
      </c>
      <c r="AU155" s="1" t="s">
        <v>881</v>
      </c>
      <c r="AV155" s="1" t="s">
        <v>882</v>
      </c>
      <c r="AW155" s="1">
        <v>3045</v>
      </c>
      <c r="AX155" s="1">
        <v>1669</v>
      </c>
      <c r="AY155" s="1">
        <v>1315</v>
      </c>
      <c r="AZ155" s="1">
        <v>59</v>
      </c>
      <c r="BA155" s="1">
        <v>2</v>
      </c>
      <c r="BB155" s="1">
        <v>0</v>
      </c>
      <c r="BC155" s="1">
        <v>0</v>
      </c>
      <c r="BD155" s="1">
        <v>0</v>
      </c>
      <c r="BE155" s="1">
        <v>0</v>
      </c>
      <c r="BF155" s="1">
        <v>0</v>
      </c>
      <c r="BG155" s="1">
        <v>0</v>
      </c>
      <c r="BH155" s="4">
        <v>-0.89</v>
      </c>
      <c r="BI155" s="4">
        <v>23.516000999999999</v>
      </c>
      <c r="BJ155" s="4">
        <v>9.7296150000000008</v>
      </c>
      <c r="BK155" s="4">
        <v>-0.115206</v>
      </c>
      <c r="BL155" s="4">
        <v>9.1159719999999993</v>
      </c>
      <c r="BM155" s="4">
        <v>83.100947000000005</v>
      </c>
      <c r="BN155" s="4">
        <v>0.93693000000000004</v>
      </c>
      <c r="BO155" s="4">
        <v>18.454000000000001</v>
      </c>
      <c r="BP155" s="4">
        <v>-8.2102999999999995E-2</v>
      </c>
      <c r="BQ155" s="4">
        <v>1.1007039999999999</v>
      </c>
      <c r="BR155" s="4">
        <v>8.9600080000000002</v>
      </c>
      <c r="BS155" s="4">
        <v>5.4190009999999997</v>
      </c>
      <c r="BT155" s="4">
        <v>15.435206000000001</v>
      </c>
      <c r="BU155" s="4">
        <v>9.7296150000000008</v>
      </c>
      <c r="BV155" s="4">
        <v>4.8465249999999997</v>
      </c>
      <c r="BW155" s="4">
        <v>3.3487999999999997E-2</v>
      </c>
      <c r="BX155" s="4">
        <v>-0.91772299999999996</v>
      </c>
      <c r="BY155" s="4">
        <v>0.49812099999999998</v>
      </c>
      <c r="BZ155" s="4">
        <v>6.9100000000000003E-3</v>
      </c>
      <c r="CA155" s="4">
        <v>-0.189357</v>
      </c>
      <c r="CB155" s="4">
        <v>-0.47499999999999998</v>
      </c>
      <c r="CC155" s="4">
        <v>-0.28499999999999998</v>
      </c>
      <c r="CD155" s="4">
        <v>-0.18360000000000001</v>
      </c>
      <c r="CE155" s="4">
        <v>-8.2199999999999995E-2</v>
      </c>
      <c r="CF155" s="4">
        <v>-3.1E-2</v>
      </c>
      <c r="CG155" s="4">
        <v>2.1999999999999999E-2</v>
      </c>
      <c r="CH155" s="4">
        <v>0.15659999999999999</v>
      </c>
      <c r="CI155" s="4">
        <v>15.32</v>
      </c>
      <c r="CJ155" s="4">
        <v>16.805201</v>
      </c>
      <c r="CK155" s="4">
        <v>17.846201000000001</v>
      </c>
      <c r="CL155" s="4">
        <v>18.422999999999998</v>
      </c>
      <c r="CM155" s="4">
        <v>18.938998999999999</v>
      </c>
      <c r="CN155" s="4">
        <v>19.9056</v>
      </c>
      <c r="CO155" s="4">
        <v>20.460201000000001</v>
      </c>
      <c r="CP155" s="4">
        <v>21.397562000000001</v>
      </c>
      <c r="CQ155" s="4">
        <v>0.43512299999999998</v>
      </c>
      <c r="CR155" s="4">
        <v>13.331882</v>
      </c>
      <c r="CS155" s="4">
        <v>14.863507</v>
      </c>
      <c r="CT155" s="1">
        <v>1</v>
      </c>
      <c r="CU155" s="1">
        <v>51</v>
      </c>
      <c r="CV155" s="4">
        <v>14.397373</v>
      </c>
      <c r="CW155" s="4">
        <v>2.5873020000000002</v>
      </c>
      <c r="CX155" s="4">
        <v>9.4196089999999995</v>
      </c>
      <c r="CY155" s="4">
        <v>88.729033999999999</v>
      </c>
      <c r="CZ155" s="4">
        <v>0.65425900000000003</v>
      </c>
      <c r="DA155" s="4">
        <v>15</v>
      </c>
      <c r="DB155" s="4">
        <v>0.65141199999999999</v>
      </c>
      <c r="DC155" s="4">
        <v>3.3517459999999999</v>
      </c>
      <c r="DD155" s="4">
        <v>7.7290840000000003</v>
      </c>
      <c r="DE155" s="4">
        <v>14.397373</v>
      </c>
      <c r="DF155" s="4">
        <v>5.2648590000000004</v>
      </c>
      <c r="DG155" s="4">
        <v>0.54159800000000002</v>
      </c>
      <c r="DH155" s="4">
        <v>0.35756599999999999</v>
      </c>
      <c r="DI155" s="4">
        <v>0.36568200000000001</v>
      </c>
      <c r="DJ155" s="4">
        <v>0.10287</v>
      </c>
      <c r="DK155" s="4">
        <v>6.7916000000000004E-2</v>
      </c>
      <c r="DL155" s="4">
        <v>1</v>
      </c>
      <c r="DM155" s="4">
        <v>2</v>
      </c>
      <c r="DN155" s="4">
        <v>3</v>
      </c>
      <c r="DO155" s="4">
        <v>5</v>
      </c>
      <c r="DP155" s="4">
        <v>6</v>
      </c>
      <c r="DQ155" s="4">
        <v>8</v>
      </c>
      <c r="DR155" s="4">
        <v>11</v>
      </c>
      <c r="DS155" s="4">
        <v>14</v>
      </c>
      <c r="DT155" s="4">
        <v>17</v>
      </c>
      <c r="DU155" s="4">
        <v>19</v>
      </c>
      <c r="DV155" s="4">
        <v>21</v>
      </c>
      <c r="DW155" s="4">
        <v>22</v>
      </c>
      <c r="DX155" s="4">
        <v>26</v>
      </c>
      <c r="DY155" s="4">
        <v>30</v>
      </c>
      <c r="DZ155" s="4">
        <v>43</v>
      </c>
      <c r="EA155" s="4">
        <v>96.105452</v>
      </c>
      <c r="EB155" s="4">
        <v>54.942529</v>
      </c>
      <c r="EC155" s="4">
        <v>100.239664</v>
      </c>
      <c r="ED155" s="4">
        <v>1604</v>
      </c>
      <c r="EE155" s="4">
        <v>1673</v>
      </c>
      <c r="EF155" s="4">
        <v>95.326543000000001</v>
      </c>
      <c r="EG155" s="4">
        <v>100</v>
      </c>
      <c r="EH155" s="4">
        <v>53.431856000000003</v>
      </c>
      <c r="EI155" s="4">
        <v>83.349754000000004</v>
      </c>
      <c r="EJ155" s="4">
        <v>97.483523000000005</v>
      </c>
      <c r="EK155" s="4">
        <v>152.067106</v>
      </c>
      <c r="EL155" s="4">
        <v>1591</v>
      </c>
      <c r="EM155" s="4">
        <v>1669</v>
      </c>
      <c r="EN155" s="4">
        <v>1627</v>
      </c>
      <c r="EO155" s="4">
        <v>2538</v>
      </c>
      <c r="EP155" s="4">
        <v>1669</v>
      </c>
      <c r="EQ155" s="4">
        <v>3045</v>
      </c>
      <c r="ER155" s="4">
        <v>44.622127999999996</v>
      </c>
    </row>
    <row r="156" spans="1:148" x14ac:dyDescent="0.2">
      <c r="A156" s="1">
        <v>2022</v>
      </c>
      <c r="B156" s="1" t="str">
        <f t="shared" si="4"/>
        <v>GN</v>
      </c>
      <c r="C156" s="1" t="s">
        <v>883</v>
      </c>
      <c r="D156" s="1" t="s">
        <v>883</v>
      </c>
      <c r="E156" s="1">
        <v>24882</v>
      </c>
      <c r="F156" s="1" t="s">
        <v>2104</v>
      </c>
      <c r="G156" s="1" t="s">
        <v>390</v>
      </c>
      <c r="H156" s="1" t="s">
        <v>884</v>
      </c>
      <c r="I156" s="1">
        <v>16.86</v>
      </c>
      <c r="J156" s="1">
        <v>16.86</v>
      </c>
      <c r="K156" s="1" t="s">
        <v>392</v>
      </c>
      <c r="L156" s="1">
        <v>1</v>
      </c>
      <c r="M156" s="1">
        <v>2016</v>
      </c>
      <c r="N156" s="1">
        <v>2</v>
      </c>
      <c r="O156" s="1">
        <v>2</v>
      </c>
      <c r="P156" s="1" t="str">
        <f t="shared" si="5"/>
        <v>Talhadia</v>
      </c>
      <c r="Q156" s="2">
        <v>42732</v>
      </c>
      <c r="R156" s="1" t="s">
        <v>169</v>
      </c>
      <c r="S156" s="1" t="s">
        <v>348</v>
      </c>
      <c r="T156" s="1" t="s">
        <v>2268</v>
      </c>
      <c r="U156" s="1" t="s">
        <v>266</v>
      </c>
      <c r="V156" s="1" t="s">
        <v>152</v>
      </c>
      <c r="W156" s="2">
        <v>44686</v>
      </c>
      <c r="X156" s="1" t="s">
        <v>393</v>
      </c>
      <c r="Y156" s="1">
        <v>37.65</v>
      </c>
      <c r="Z156" s="1">
        <v>18.899999999999999</v>
      </c>
      <c r="AA156" s="1">
        <v>20</v>
      </c>
      <c r="AB156" s="1">
        <v>15.1</v>
      </c>
      <c r="AC156" s="1">
        <v>4</v>
      </c>
      <c r="AD156" s="3">
        <v>285.39</v>
      </c>
      <c r="AE156" s="3">
        <v>267.525606780229</v>
      </c>
      <c r="AF156" s="2">
        <v>44686</v>
      </c>
      <c r="AG156" s="1">
        <v>65</v>
      </c>
      <c r="AH156" s="3">
        <v>5.3497604380561299</v>
      </c>
      <c r="AI156" s="4">
        <v>24.434534281875699</v>
      </c>
      <c r="AJ156" s="4">
        <v>15.984210526315801</v>
      </c>
      <c r="AK156" s="4">
        <v>15.300469782906401</v>
      </c>
      <c r="AL156" s="1">
        <v>19</v>
      </c>
      <c r="AM156" s="5">
        <v>710.21238784100399</v>
      </c>
      <c r="AN156" s="4">
        <v>188.30891856602801</v>
      </c>
      <c r="AO156" s="4">
        <v>0.26514451421844998</v>
      </c>
      <c r="AP156" s="1" t="s">
        <v>348</v>
      </c>
      <c r="AQ156" s="1" t="s">
        <v>254</v>
      </c>
      <c r="AR156" s="1" t="s">
        <v>302</v>
      </c>
      <c r="AS156" s="1">
        <v>9</v>
      </c>
      <c r="AT156" s="4">
        <v>0.63919114905690355</v>
      </c>
      <c r="AU156" s="1" t="s">
        <v>885</v>
      </c>
      <c r="AV156" s="1" t="s">
        <v>886</v>
      </c>
      <c r="AW156" s="1">
        <v>3566</v>
      </c>
      <c r="AX156" s="1">
        <v>2179</v>
      </c>
      <c r="AY156" s="1">
        <v>1248</v>
      </c>
      <c r="AZ156" s="1">
        <v>134</v>
      </c>
      <c r="BA156" s="1">
        <v>5</v>
      </c>
      <c r="BB156" s="1">
        <v>0</v>
      </c>
      <c r="BC156" s="1">
        <v>0</v>
      </c>
      <c r="BD156" s="1">
        <v>0</v>
      </c>
      <c r="BE156" s="1">
        <v>0</v>
      </c>
      <c r="BF156" s="1">
        <v>0</v>
      </c>
      <c r="BG156" s="1">
        <v>0</v>
      </c>
      <c r="BH156" s="4">
        <v>-1.167</v>
      </c>
      <c r="BI156" s="4">
        <v>31.74</v>
      </c>
      <c r="BJ156" s="4">
        <v>13.605736</v>
      </c>
      <c r="BK156" s="4">
        <v>-0.122333</v>
      </c>
      <c r="BL156" s="4">
        <v>11.725625000000001</v>
      </c>
      <c r="BM156" s="4">
        <v>137.490285</v>
      </c>
      <c r="BN156" s="4">
        <v>0.861815</v>
      </c>
      <c r="BO156" s="4">
        <v>24.920501000000002</v>
      </c>
      <c r="BP156" s="4">
        <v>-7.4737999999999999E-2</v>
      </c>
      <c r="BQ156" s="4">
        <v>1.1995389999999999</v>
      </c>
      <c r="BR156" s="4">
        <v>11.226573999999999</v>
      </c>
      <c r="BS156" s="4">
        <v>10.109500000000001</v>
      </c>
      <c r="BT156" s="4">
        <v>17.712333999999998</v>
      </c>
      <c r="BU156" s="4">
        <v>13.605736</v>
      </c>
      <c r="BV156" s="4">
        <v>6.4280039999999996</v>
      </c>
      <c r="BW156" s="4">
        <v>2.0745E-2</v>
      </c>
      <c r="BX156" s="4">
        <v>-1.087731</v>
      </c>
      <c r="BY156" s="4">
        <v>0.47244799999999998</v>
      </c>
      <c r="BZ156" s="4">
        <v>3.2269999999999998E-3</v>
      </c>
      <c r="CA156" s="4">
        <v>-0.16921800000000001</v>
      </c>
      <c r="CB156" s="4">
        <v>-0.21715000000000001</v>
      </c>
      <c r="CC156" s="4">
        <v>2.3E-2</v>
      </c>
      <c r="CD156" s="4">
        <v>0.13400000000000001</v>
      </c>
      <c r="CE156" s="4">
        <v>0.315</v>
      </c>
      <c r="CF156" s="4">
        <v>0.41125</v>
      </c>
      <c r="CG156" s="4">
        <v>0.61350000000000005</v>
      </c>
      <c r="CH156" s="4">
        <v>2.5720000000000001</v>
      </c>
      <c r="CI156" s="4">
        <v>17.59</v>
      </c>
      <c r="CJ156" s="4">
        <v>21.625999</v>
      </c>
      <c r="CK156" s="4">
        <v>24.515498999999998</v>
      </c>
      <c r="CL156" s="4">
        <v>25.331751000000001</v>
      </c>
      <c r="CM156" s="4">
        <v>26.018999000000001</v>
      </c>
      <c r="CN156" s="4">
        <v>27.165500999999999</v>
      </c>
      <c r="CO156" s="4">
        <v>28.022751</v>
      </c>
      <c r="CP156" s="4">
        <v>29.439152</v>
      </c>
      <c r="CQ156" s="4">
        <v>0.44892399999999999</v>
      </c>
      <c r="CR156" s="4">
        <v>17.960172</v>
      </c>
      <c r="CS156" s="4">
        <v>20.007142000000002</v>
      </c>
      <c r="CT156" s="1">
        <v>1</v>
      </c>
      <c r="CU156" s="1">
        <v>39</v>
      </c>
      <c r="CV156" s="4">
        <v>10.617499</v>
      </c>
      <c r="CW156" s="4">
        <v>1</v>
      </c>
      <c r="CX156" s="4">
        <v>7.3155729999999997</v>
      </c>
      <c r="CY156" s="4">
        <v>53.517606999999998</v>
      </c>
      <c r="CZ156" s="4">
        <v>0.68901100000000004</v>
      </c>
      <c r="DA156" s="4">
        <v>9</v>
      </c>
      <c r="DB156" s="4">
        <v>1.044872</v>
      </c>
      <c r="DC156" s="4">
        <v>3.8919280000000001</v>
      </c>
      <c r="DD156" s="4">
        <v>5.6045299999999996</v>
      </c>
      <c r="DE156" s="4">
        <v>10.617499</v>
      </c>
      <c r="DF156" s="4">
        <v>3.9664579999999998</v>
      </c>
      <c r="DG156" s="4">
        <v>0.78436399999999995</v>
      </c>
      <c r="DH156" s="4">
        <v>0.57003099999999995</v>
      </c>
      <c r="DI156" s="4">
        <v>0.37357699999999999</v>
      </c>
      <c r="DJ156" s="4">
        <v>0.19774900000000001</v>
      </c>
      <c r="DK156" s="4">
        <v>0.14371300000000001</v>
      </c>
      <c r="DL156" s="4">
        <v>1</v>
      </c>
      <c r="DM156" s="4">
        <v>1</v>
      </c>
      <c r="DN156" s="4">
        <v>2</v>
      </c>
      <c r="DO156" s="4">
        <v>4</v>
      </c>
      <c r="DP156" s="4">
        <v>5</v>
      </c>
      <c r="DQ156" s="4">
        <v>6</v>
      </c>
      <c r="DR156" s="4">
        <v>8</v>
      </c>
      <c r="DS156" s="4">
        <v>9</v>
      </c>
      <c r="DT156" s="4">
        <v>11</v>
      </c>
      <c r="DU156" s="4">
        <v>13</v>
      </c>
      <c r="DV156" s="4">
        <v>14</v>
      </c>
      <c r="DW156" s="4">
        <v>15</v>
      </c>
      <c r="DX156" s="4">
        <v>21</v>
      </c>
      <c r="DY156" s="4">
        <v>26</v>
      </c>
      <c r="DZ156" s="4">
        <v>32</v>
      </c>
      <c r="EA156" s="4">
        <v>84.625974999999997</v>
      </c>
      <c r="EB156" s="4">
        <v>58.104318999999997</v>
      </c>
      <c r="EC156" s="4">
        <v>95.089490999999995</v>
      </c>
      <c r="ED156" s="4">
        <v>1844</v>
      </c>
      <c r="EE156" s="4">
        <v>2072</v>
      </c>
      <c r="EF156" s="4">
        <v>82.42313</v>
      </c>
      <c r="EG156" s="4">
        <v>99.954106999999993</v>
      </c>
      <c r="EH156" s="4">
        <v>54.374648999999998</v>
      </c>
      <c r="EI156" s="4">
        <v>98.149186999999998</v>
      </c>
      <c r="EJ156" s="4">
        <v>88.985772999999995</v>
      </c>
      <c r="EK156" s="4">
        <v>160.62414000000001</v>
      </c>
      <c r="EL156" s="4">
        <v>1796</v>
      </c>
      <c r="EM156" s="4">
        <v>2178</v>
      </c>
      <c r="EN156" s="4">
        <v>1939</v>
      </c>
      <c r="EO156" s="4">
        <v>3500</v>
      </c>
      <c r="EP156" s="4">
        <v>2179</v>
      </c>
      <c r="EQ156" s="4">
        <v>3566</v>
      </c>
      <c r="ER156" s="4">
        <v>45.218480999999997</v>
      </c>
    </row>
    <row r="157" spans="1:148" x14ac:dyDescent="0.2">
      <c r="A157" s="1">
        <v>2022</v>
      </c>
      <c r="B157" s="1" t="str">
        <f t="shared" si="4"/>
        <v>GN</v>
      </c>
      <c r="C157" s="1" t="s">
        <v>887</v>
      </c>
      <c r="D157" s="1" t="s">
        <v>887</v>
      </c>
      <c r="E157" s="1">
        <v>24883</v>
      </c>
      <c r="F157" s="1" t="s">
        <v>2104</v>
      </c>
      <c r="G157" s="1" t="s">
        <v>390</v>
      </c>
      <c r="H157" s="1" t="s">
        <v>884</v>
      </c>
      <c r="I157" s="1">
        <v>16.86</v>
      </c>
      <c r="J157" s="1">
        <v>16.86</v>
      </c>
      <c r="K157" s="1" t="s">
        <v>392</v>
      </c>
      <c r="L157" s="1">
        <v>1</v>
      </c>
      <c r="M157" s="1">
        <v>2016</v>
      </c>
      <c r="N157" s="1">
        <v>2</v>
      </c>
      <c r="O157" s="1">
        <v>2</v>
      </c>
      <c r="P157" s="1" t="str">
        <f t="shared" si="5"/>
        <v>Talhadia</v>
      </c>
      <c r="Q157" s="2">
        <v>42732</v>
      </c>
      <c r="R157" s="1" t="s">
        <v>169</v>
      </c>
      <c r="S157" s="1" t="s">
        <v>348</v>
      </c>
      <c r="T157" s="1" t="s">
        <v>2268</v>
      </c>
      <c r="U157" s="1" t="s">
        <v>266</v>
      </c>
      <c r="V157" s="1" t="s">
        <v>152</v>
      </c>
      <c r="W157" s="2">
        <v>44686</v>
      </c>
      <c r="X157" s="1" t="s">
        <v>393</v>
      </c>
      <c r="Y157" s="1">
        <v>37.65</v>
      </c>
      <c r="Z157" s="1">
        <v>20.5</v>
      </c>
      <c r="AA157" s="1">
        <v>12</v>
      </c>
      <c r="AB157" s="1">
        <v>15.2</v>
      </c>
      <c r="AC157" s="1">
        <v>6</v>
      </c>
      <c r="AD157" s="3">
        <v>311.60000000000002</v>
      </c>
      <c r="AE157" s="3">
        <v>303.12111653716198</v>
      </c>
      <c r="AF157" s="2">
        <v>44686</v>
      </c>
      <c r="AG157" s="1">
        <v>65</v>
      </c>
      <c r="AH157" s="3">
        <v>5.3497604380561299</v>
      </c>
      <c r="AI157" s="4">
        <v>27.159207103882999</v>
      </c>
      <c r="AJ157" s="4">
        <v>15.218518518518501</v>
      </c>
      <c r="AK157" s="4">
        <v>17.1066769752155</v>
      </c>
      <c r="AL157" s="1">
        <v>27</v>
      </c>
      <c r="AM157" s="5">
        <v>890.73306104327003</v>
      </c>
      <c r="AN157" s="4">
        <v>228.026256549648</v>
      </c>
      <c r="AO157" s="4">
        <v>0.25599842031525399</v>
      </c>
      <c r="AP157" s="1" t="s">
        <v>348</v>
      </c>
      <c r="AQ157" s="1" t="s">
        <v>254</v>
      </c>
      <c r="AR157" s="1" t="s">
        <v>302</v>
      </c>
      <c r="AS157" s="1">
        <v>9</v>
      </c>
      <c r="AT157" s="4">
        <v>0.80165975493894304</v>
      </c>
      <c r="AU157" s="1" t="s">
        <v>888</v>
      </c>
      <c r="AV157" s="1" t="s">
        <v>889</v>
      </c>
      <c r="AW157" s="1">
        <v>1688</v>
      </c>
      <c r="AX157" s="1">
        <v>949</v>
      </c>
      <c r="AY157" s="1">
        <v>685</v>
      </c>
      <c r="AZ157" s="1">
        <v>54</v>
      </c>
      <c r="BA157" s="1">
        <v>0</v>
      </c>
      <c r="BB157" s="1">
        <v>0</v>
      </c>
      <c r="BC157" s="1">
        <v>0</v>
      </c>
      <c r="BD157" s="1">
        <v>0</v>
      </c>
      <c r="BE157" s="1">
        <v>0</v>
      </c>
      <c r="BF157" s="1">
        <v>0</v>
      </c>
      <c r="BG157" s="1">
        <v>0</v>
      </c>
      <c r="BH157" s="4">
        <v>-0.71499999999999997</v>
      </c>
      <c r="BI157" s="4">
        <v>29.915001</v>
      </c>
      <c r="BJ157" s="4">
        <v>11.086517000000001</v>
      </c>
      <c r="BK157" s="4">
        <v>-0.22880900000000001</v>
      </c>
      <c r="BL157" s="4">
        <v>11.80776</v>
      </c>
      <c r="BM157" s="4">
        <v>139.423194</v>
      </c>
      <c r="BN157" s="4">
        <v>1.065056</v>
      </c>
      <c r="BO157" s="4">
        <v>24.189252</v>
      </c>
      <c r="BP157" s="4">
        <v>0.284306</v>
      </c>
      <c r="BQ157" s="4">
        <v>1.197427</v>
      </c>
      <c r="BR157" s="4">
        <v>11.499252</v>
      </c>
      <c r="BS157" s="4">
        <v>2.262</v>
      </c>
      <c r="BT157" s="4">
        <v>2.3658090000000001</v>
      </c>
      <c r="BU157" s="4">
        <v>11.086517000000001</v>
      </c>
      <c r="BV157" s="4">
        <v>6.2661800000000003</v>
      </c>
      <c r="BW157" s="4">
        <v>0.99839800000000001</v>
      </c>
      <c r="BX157" s="4">
        <v>-1.063326</v>
      </c>
      <c r="BY157" s="4">
        <v>0.56520700000000001</v>
      </c>
      <c r="BZ157" s="4">
        <v>0.159331</v>
      </c>
      <c r="CA157" s="4">
        <v>-0.16969300000000001</v>
      </c>
      <c r="CB157" s="4">
        <v>-0.34065000000000001</v>
      </c>
      <c r="CC157" s="4">
        <v>-9.8599999999999993E-2</v>
      </c>
      <c r="CD157" s="4">
        <v>2.47E-2</v>
      </c>
      <c r="CE157" s="4">
        <v>0.155</v>
      </c>
      <c r="CF157" s="4">
        <v>0.214</v>
      </c>
      <c r="CG157" s="4">
        <v>0.309</v>
      </c>
      <c r="CH157" s="4">
        <v>0.58160000000000001</v>
      </c>
      <c r="CI157" s="4">
        <v>2.137</v>
      </c>
      <c r="CJ157" s="4">
        <v>18.779800000000002</v>
      </c>
      <c r="CK157" s="4">
        <v>22.973101</v>
      </c>
      <c r="CL157" s="4">
        <v>24.403251999999998</v>
      </c>
      <c r="CM157" s="4">
        <v>25.197001</v>
      </c>
      <c r="CN157" s="4">
        <v>26.436001000000001</v>
      </c>
      <c r="CO157" s="4">
        <v>27.19125</v>
      </c>
      <c r="CP157" s="4">
        <v>28.547688999999998</v>
      </c>
      <c r="CQ157" s="4">
        <v>0.385293</v>
      </c>
      <c r="CR157" s="4">
        <v>16.194179999999999</v>
      </c>
      <c r="CS157" s="4">
        <v>18.628827000000001</v>
      </c>
      <c r="CT157" s="1">
        <v>1</v>
      </c>
      <c r="CU157" s="1">
        <v>45</v>
      </c>
      <c r="CV157" s="4">
        <v>12.462085</v>
      </c>
      <c r="CW157" s="4">
        <v>9.3809520000000006</v>
      </c>
      <c r="CX157" s="4">
        <v>8.5820969999999992</v>
      </c>
      <c r="CY157" s="4">
        <v>73.652384999999995</v>
      </c>
      <c r="CZ157" s="4">
        <v>0.68865699999999996</v>
      </c>
      <c r="DA157" s="4">
        <v>11</v>
      </c>
      <c r="DB157" s="4">
        <v>0.89533499999999999</v>
      </c>
      <c r="DC157" s="4">
        <v>3.2708659999999998</v>
      </c>
      <c r="DD157" s="4">
        <v>6.715732</v>
      </c>
      <c r="DE157" s="4">
        <v>12.462085</v>
      </c>
      <c r="DF157" s="4">
        <v>4.7156929999999999</v>
      </c>
      <c r="DG157" s="4">
        <v>0.901003</v>
      </c>
      <c r="DH157" s="4">
        <v>0.57896199999999998</v>
      </c>
      <c r="DI157" s="4">
        <v>0.37840299999999999</v>
      </c>
      <c r="DJ157" s="4">
        <v>0.19106500000000001</v>
      </c>
      <c r="DK157" s="4">
        <v>0.12277299999999999</v>
      </c>
      <c r="DL157" s="4">
        <v>1</v>
      </c>
      <c r="DM157" s="4">
        <v>1</v>
      </c>
      <c r="DN157" s="4">
        <v>3</v>
      </c>
      <c r="DO157" s="4">
        <v>5</v>
      </c>
      <c r="DP157" s="4">
        <v>6</v>
      </c>
      <c r="DQ157" s="4">
        <v>7</v>
      </c>
      <c r="DR157" s="4">
        <v>9</v>
      </c>
      <c r="DS157" s="4">
        <v>11</v>
      </c>
      <c r="DT157" s="4">
        <v>13</v>
      </c>
      <c r="DU157" s="4">
        <v>15</v>
      </c>
      <c r="DV157" s="4">
        <v>17</v>
      </c>
      <c r="DW157" s="4">
        <v>19</v>
      </c>
      <c r="DX157" s="4">
        <v>26</v>
      </c>
      <c r="DY157" s="4">
        <v>31</v>
      </c>
      <c r="DZ157" s="4">
        <v>35</v>
      </c>
      <c r="EA157" s="4">
        <v>77.976817999999994</v>
      </c>
      <c r="EB157" s="4">
        <v>46.445498000000001</v>
      </c>
      <c r="EC157" s="4">
        <v>82.613276999999997</v>
      </c>
      <c r="ED157" s="4">
        <v>740</v>
      </c>
      <c r="EE157" s="4">
        <v>784</v>
      </c>
      <c r="EF157" s="4">
        <v>77.449946999999995</v>
      </c>
      <c r="EG157" s="4">
        <v>100</v>
      </c>
      <c r="EH157" s="4">
        <v>45.201422000000001</v>
      </c>
      <c r="EI157" s="4">
        <v>97.748814999999993</v>
      </c>
      <c r="EJ157" s="4">
        <v>80.400420999999994</v>
      </c>
      <c r="EK157" s="4">
        <v>173.86722900000001</v>
      </c>
      <c r="EL157" s="4">
        <v>735</v>
      </c>
      <c r="EM157" s="4">
        <v>949</v>
      </c>
      <c r="EN157" s="4">
        <v>763</v>
      </c>
      <c r="EO157" s="4">
        <v>1650</v>
      </c>
      <c r="EP157" s="4">
        <v>949</v>
      </c>
      <c r="EQ157" s="4">
        <v>1688</v>
      </c>
      <c r="ER157" s="4">
        <v>37.927416999999998</v>
      </c>
    </row>
    <row r="158" spans="1:148" x14ac:dyDescent="0.2">
      <c r="A158" s="1">
        <v>2022</v>
      </c>
      <c r="B158" s="1" t="str">
        <f t="shared" si="4"/>
        <v>GN</v>
      </c>
      <c r="C158" s="1" t="s">
        <v>890</v>
      </c>
      <c r="D158" s="1" t="s">
        <v>890</v>
      </c>
      <c r="E158" s="1">
        <v>24887</v>
      </c>
      <c r="F158" s="1" t="s">
        <v>2104</v>
      </c>
      <c r="G158" s="1" t="s">
        <v>390</v>
      </c>
      <c r="H158" s="1" t="s">
        <v>891</v>
      </c>
      <c r="I158" s="1">
        <v>20.79</v>
      </c>
      <c r="J158" s="1">
        <v>20.79</v>
      </c>
      <c r="K158" s="1" t="s">
        <v>392</v>
      </c>
      <c r="L158" s="1">
        <v>1</v>
      </c>
      <c r="M158" s="1">
        <v>2016</v>
      </c>
      <c r="N158" s="1">
        <v>2</v>
      </c>
      <c r="O158" s="1">
        <v>2</v>
      </c>
      <c r="P158" s="1" t="str">
        <f t="shared" si="5"/>
        <v>Talhadia</v>
      </c>
      <c r="Q158" s="2">
        <v>42732</v>
      </c>
      <c r="R158" s="1" t="s">
        <v>169</v>
      </c>
      <c r="S158" s="1" t="s">
        <v>348</v>
      </c>
      <c r="T158" s="1" t="s">
        <v>2268</v>
      </c>
      <c r="U158" s="1" t="s">
        <v>266</v>
      </c>
      <c r="V158" s="1" t="s">
        <v>152</v>
      </c>
      <c r="W158" s="2">
        <v>44686</v>
      </c>
      <c r="X158" s="1" t="s">
        <v>393</v>
      </c>
      <c r="Y158" s="1">
        <v>37.65</v>
      </c>
      <c r="Z158" s="1">
        <v>21.5</v>
      </c>
      <c r="AA158" s="1">
        <v>18</v>
      </c>
      <c r="AB158" s="1">
        <v>14.7</v>
      </c>
      <c r="AC158" s="1">
        <v>0</v>
      </c>
      <c r="AD158" s="3">
        <v>316.05</v>
      </c>
      <c r="AE158" s="3">
        <v>300.58141197508297</v>
      </c>
      <c r="AF158" s="2">
        <v>44686</v>
      </c>
      <c r="AG158" s="1">
        <v>65</v>
      </c>
      <c r="AH158" s="3">
        <v>5.3497604380561299</v>
      </c>
      <c r="AI158" s="4">
        <v>23.7263469205405</v>
      </c>
      <c r="AJ158" s="4">
        <v>16.237500000000001</v>
      </c>
      <c r="AK158" s="4">
        <v>17.286752383817401</v>
      </c>
      <c r="AL158" s="1">
        <v>24</v>
      </c>
      <c r="AM158" s="5">
        <v>798.45256705326403</v>
      </c>
      <c r="AN158" s="4">
        <v>202.23300967754599</v>
      </c>
      <c r="AO158" s="4">
        <v>0.25328118165353097</v>
      </c>
      <c r="AP158" s="1" t="s">
        <v>348</v>
      </c>
      <c r="AQ158" s="1" t="s">
        <v>254</v>
      </c>
      <c r="AR158" s="1" t="s">
        <v>611</v>
      </c>
      <c r="AS158" s="1">
        <v>9</v>
      </c>
      <c r="AT158" s="4">
        <v>0.71860731034793768</v>
      </c>
      <c r="AU158" s="1" t="s">
        <v>892</v>
      </c>
      <c r="AV158" s="1" t="s">
        <v>893</v>
      </c>
      <c r="AW158" s="1">
        <v>3499</v>
      </c>
      <c r="AX158" s="1">
        <v>2150</v>
      </c>
      <c r="AY158" s="1">
        <v>1278</v>
      </c>
      <c r="AZ158" s="1">
        <v>71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0</v>
      </c>
      <c r="BG158" s="1">
        <v>0</v>
      </c>
      <c r="BH158" s="4">
        <v>-0.92900000000000005</v>
      </c>
      <c r="BI158" s="4">
        <v>26.280999999999999</v>
      </c>
      <c r="BJ158" s="4">
        <v>11.027466</v>
      </c>
      <c r="BK158" s="4">
        <v>-6.5189999999999998E-2</v>
      </c>
      <c r="BL158" s="4">
        <v>10.421408</v>
      </c>
      <c r="BM158" s="4">
        <v>108.605739</v>
      </c>
      <c r="BN158" s="4">
        <v>0.94504100000000002</v>
      </c>
      <c r="BO158" s="4">
        <v>20.986499999999999</v>
      </c>
      <c r="BP158" s="4">
        <v>-7.1299999999999998E-4</v>
      </c>
      <c r="BQ158" s="4">
        <v>1.104708</v>
      </c>
      <c r="BR158" s="4">
        <v>10.226070999999999</v>
      </c>
      <c r="BS158" s="4">
        <v>9.3469999999999995</v>
      </c>
      <c r="BT158" s="4">
        <v>15.364190000000001</v>
      </c>
      <c r="BU158" s="4">
        <v>11.027466</v>
      </c>
      <c r="BV158" s="4">
        <v>5.5596690000000004</v>
      </c>
      <c r="BW158" s="4">
        <v>0.23088900000000001</v>
      </c>
      <c r="BX158" s="4">
        <v>-1.0445880000000001</v>
      </c>
      <c r="BY158" s="4">
        <v>0.504166</v>
      </c>
      <c r="BZ158" s="4">
        <v>4.1529000000000003E-2</v>
      </c>
      <c r="CA158" s="4">
        <v>-0.187887</v>
      </c>
      <c r="CB158" s="4">
        <v>-0.32701999999999998</v>
      </c>
      <c r="CC158" s="4">
        <v>-7.1199999999999999E-2</v>
      </c>
      <c r="CD158" s="4">
        <v>3.1E-2</v>
      </c>
      <c r="CE158" s="4">
        <v>0.182</v>
      </c>
      <c r="CF158" s="4">
        <v>0.25700000000000001</v>
      </c>
      <c r="CG158" s="4">
        <v>0.32540000000000002</v>
      </c>
      <c r="CH158" s="4">
        <v>0.56520000000000004</v>
      </c>
      <c r="CI158" s="4">
        <v>15.298999999999999</v>
      </c>
      <c r="CJ158" s="4">
        <v>19.4648</v>
      </c>
      <c r="CK158" s="4">
        <v>20.733999000000001</v>
      </c>
      <c r="CL158" s="4">
        <v>21.243500000000001</v>
      </c>
      <c r="CM158" s="4">
        <v>21.789999000000002</v>
      </c>
      <c r="CN158" s="4">
        <v>22.909400999999999</v>
      </c>
      <c r="CO158" s="4">
        <v>23.908701000000001</v>
      </c>
      <c r="CP158" s="4">
        <v>25.269079000000001</v>
      </c>
      <c r="CQ158" s="4">
        <v>0.43941400000000003</v>
      </c>
      <c r="CR158" s="4">
        <v>15.171673999999999</v>
      </c>
      <c r="CS158" s="4">
        <v>17.021996000000001</v>
      </c>
      <c r="CT158" s="1">
        <v>1</v>
      </c>
      <c r="CU158" s="1">
        <v>46</v>
      </c>
      <c r="CV158" s="4">
        <v>12.71649</v>
      </c>
      <c r="CW158" s="4">
        <v>11.714286</v>
      </c>
      <c r="CX158" s="4">
        <v>8.9549850000000006</v>
      </c>
      <c r="CY158" s="4">
        <v>80.191755000000001</v>
      </c>
      <c r="CZ158" s="4">
        <v>0.70420300000000002</v>
      </c>
      <c r="DA158" s="4">
        <v>10</v>
      </c>
      <c r="DB158" s="4">
        <v>1.014597</v>
      </c>
      <c r="DC158" s="4">
        <v>3.7127189999999999</v>
      </c>
      <c r="DD158" s="4">
        <v>6.8093190000000003</v>
      </c>
      <c r="DE158" s="4">
        <v>12.71649</v>
      </c>
      <c r="DF158" s="4">
        <v>4.858562</v>
      </c>
      <c r="DG158" s="4">
        <v>0.95647800000000005</v>
      </c>
      <c r="DH158" s="4">
        <v>0.69867100000000004</v>
      </c>
      <c r="DI158" s="4">
        <v>0.38206800000000002</v>
      </c>
      <c r="DJ158" s="4">
        <v>0.19686400000000001</v>
      </c>
      <c r="DK158" s="4">
        <v>0.14380200000000001</v>
      </c>
      <c r="DL158" s="4">
        <v>1</v>
      </c>
      <c r="DM158" s="4">
        <v>1</v>
      </c>
      <c r="DN158" s="4">
        <v>2</v>
      </c>
      <c r="DO158" s="4">
        <v>5</v>
      </c>
      <c r="DP158" s="4">
        <v>6</v>
      </c>
      <c r="DQ158" s="4">
        <v>7</v>
      </c>
      <c r="DR158" s="4">
        <v>10</v>
      </c>
      <c r="DS158" s="4">
        <v>12</v>
      </c>
      <c r="DT158" s="4">
        <v>13</v>
      </c>
      <c r="DU158" s="4">
        <v>15</v>
      </c>
      <c r="DV158" s="4">
        <v>16</v>
      </c>
      <c r="DW158" s="4">
        <v>18</v>
      </c>
      <c r="DX158" s="4">
        <v>27</v>
      </c>
      <c r="DY158" s="4">
        <v>32</v>
      </c>
      <c r="DZ158" s="4">
        <v>38</v>
      </c>
      <c r="EA158" s="4">
        <v>81.674419</v>
      </c>
      <c r="EB158" s="4">
        <v>52.986567999999998</v>
      </c>
      <c r="EC158" s="4">
        <v>86.232557999999997</v>
      </c>
      <c r="ED158" s="4">
        <v>1756</v>
      </c>
      <c r="EE158" s="4">
        <v>1854</v>
      </c>
      <c r="EF158" s="4">
        <v>81.209301999999994</v>
      </c>
      <c r="EG158" s="4">
        <v>99.860465000000005</v>
      </c>
      <c r="EH158" s="4">
        <v>51.843384</v>
      </c>
      <c r="EI158" s="4">
        <v>94.712774999999993</v>
      </c>
      <c r="EJ158" s="4">
        <v>84.372093000000007</v>
      </c>
      <c r="EK158" s="4">
        <v>154.139535</v>
      </c>
      <c r="EL158" s="4">
        <v>1746</v>
      </c>
      <c r="EM158" s="4">
        <v>2147</v>
      </c>
      <c r="EN158" s="4">
        <v>1814</v>
      </c>
      <c r="EO158" s="4">
        <v>3314</v>
      </c>
      <c r="EP158" s="4">
        <v>2150</v>
      </c>
      <c r="EQ158" s="4">
        <v>3499</v>
      </c>
      <c r="ER158" s="4">
        <v>42.615371000000003</v>
      </c>
    </row>
    <row r="159" spans="1:148" x14ac:dyDescent="0.2">
      <c r="A159" s="1">
        <v>2022</v>
      </c>
      <c r="B159" s="1" t="str">
        <f t="shared" si="4"/>
        <v>GN</v>
      </c>
      <c r="C159" s="1" t="s">
        <v>894</v>
      </c>
      <c r="D159" s="1" t="s">
        <v>894</v>
      </c>
      <c r="E159" s="1">
        <v>24903</v>
      </c>
      <c r="F159" s="1" t="s">
        <v>2105</v>
      </c>
      <c r="G159" s="1" t="s">
        <v>895</v>
      </c>
      <c r="H159" s="1" t="s">
        <v>896</v>
      </c>
      <c r="I159" s="1">
        <v>26.97</v>
      </c>
      <c r="J159" s="1">
        <v>26.97</v>
      </c>
      <c r="K159" s="1" t="s">
        <v>266</v>
      </c>
      <c r="L159" s="1">
        <v>1</v>
      </c>
      <c r="M159" s="1">
        <v>2016</v>
      </c>
      <c r="N159" s="1">
        <v>3</v>
      </c>
      <c r="O159" s="1">
        <v>1</v>
      </c>
      <c r="P159" s="1" t="str">
        <f t="shared" si="5"/>
        <v>Alto fuste</v>
      </c>
      <c r="Q159" s="2">
        <v>42478</v>
      </c>
      <c r="R159" s="1" t="s">
        <v>169</v>
      </c>
      <c r="S159" s="1" t="s">
        <v>299</v>
      </c>
      <c r="T159" s="1" t="s">
        <v>2268</v>
      </c>
      <c r="U159" s="1" t="s">
        <v>266</v>
      </c>
      <c r="V159" s="1" t="s">
        <v>152</v>
      </c>
      <c r="W159" s="2">
        <v>44685</v>
      </c>
      <c r="X159" s="1" t="s">
        <v>897</v>
      </c>
      <c r="Y159" s="1">
        <v>163.71</v>
      </c>
      <c r="Z159" s="1">
        <v>18.7</v>
      </c>
      <c r="AA159" s="1">
        <v>12</v>
      </c>
      <c r="AB159" s="1">
        <v>15.3</v>
      </c>
      <c r="AC159" s="1">
        <v>1</v>
      </c>
      <c r="AD159" s="3">
        <v>286.11</v>
      </c>
      <c r="AE159" s="3">
        <v>279.81518634595699</v>
      </c>
      <c r="AF159" s="2">
        <v>44685</v>
      </c>
      <c r="AG159" s="1">
        <v>73</v>
      </c>
      <c r="AH159" s="3">
        <v>6.0424366872005502</v>
      </c>
      <c r="AI159" s="4">
        <v>28.547874573806201</v>
      </c>
      <c r="AJ159" s="4">
        <v>15.526666666666699</v>
      </c>
      <c r="AK159" s="4">
        <v>20.632508148269601</v>
      </c>
      <c r="AL159" s="1">
        <v>30</v>
      </c>
      <c r="AM159" s="5">
        <v>1072.1362336248801</v>
      </c>
      <c r="AN159" s="4">
        <v>264.90819115843902</v>
      </c>
      <c r="AO159" s="4">
        <v>0.24708444957856299</v>
      </c>
      <c r="AP159" s="1" t="s">
        <v>299</v>
      </c>
      <c r="AQ159" s="1" t="s">
        <v>156</v>
      </c>
      <c r="AR159" s="1" t="s">
        <v>291</v>
      </c>
      <c r="AS159" s="1">
        <v>9</v>
      </c>
      <c r="AT159" s="4">
        <v>0.96492261026239212</v>
      </c>
      <c r="AU159" s="1" t="s">
        <v>898</v>
      </c>
      <c r="AV159" s="1" t="s">
        <v>899</v>
      </c>
      <c r="AW159" s="1">
        <v>2859</v>
      </c>
      <c r="AX159" s="1">
        <v>1519</v>
      </c>
      <c r="AY159" s="1">
        <v>1273</v>
      </c>
      <c r="AZ159" s="1">
        <v>66</v>
      </c>
      <c r="BA159" s="1">
        <v>1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4">
        <v>-0.91300000000000003</v>
      </c>
      <c r="BI159" s="4">
        <v>31.1</v>
      </c>
      <c r="BJ159" s="4">
        <v>14.883046999999999</v>
      </c>
      <c r="BK159" s="4">
        <v>0.103286</v>
      </c>
      <c r="BL159" s="4">
        <v>13.250432999999999</v>
      </c>
      <c r="BM159" s="4">
        <v>175.57397599999999</v>
      </c>
      <c r="BN159" s="4">
        <v>0.89030399999999998</v>
      </c>
      <c r="BO159" s="4">
        <v>26.972999999999999</v>
      </c>
      <c r="BP159" s="4">
        <v>-0.17988999999999999</v>
      </c>
      <c r="BQ159" s="4">
        <v>1.0812679999999999</v>
      </c>
      <c r="BR159" s="4">
        <v>13.016438000000001</v>
      </c>
      <c r="BS159" s="4">
        <v>3.7709999999999999</v>
      </c>
      <c r="BT159" s="4">
        <v>25.199715000000001</v>
      </c>
      <c r="BU159" s="4">
        <v>14.883046999999999</v>
      </c>
      <c r="BV159" s="4">
        <v>6.8945350000000003</v>
      </c>
      <c r="BW159" s="4">
        <v>-0.39286500000000002</v>
      </c>
      <c r="BX159" s="4">
        <v>-1.4403619999999999</v>
      </c>
      <c r="BY159" s="4">
        <v>0.46324799999999999</v>
      </c>
      <c r="BZ159" s="4">
        <v>-5.6981999999999998E-2</v>
      </c>
      <c r="CA159" s="4">
        <v>-0.20891399999999999</v>
      </c>
      <c r="CB159" s="4">
        <v>-0.32519999999999999</v>
      </c>
      <c r="CC159" s="4">
        <v>-9.8100000000000007E-2</v>
      </c>
      <c r="CD159" s="4">
        <v>-2.2000000000000001E-3</v>
      </c>
      <c r="CE159" s="4">
        <v>0.10299999999999999</v>
      </c>
      <c r="CF159" s="4">
        <v>0.14799999999999999</v>
      </c>
      <c r="CG159" s="4">
        <v>0.19400000000000001</v>
      </c>
      <c r="CH159" s="4">
        <v>0.35020000000000001</v>
      </c>
      <c r="CI159" s="4">
        <v>25.302999</v>
      </c>
      <c r="CJ159" s="4">
        <v>26.247001999999998</v>
      </c>
      <c r="CK159" s="4">
        <v>26.787001</v>
      </c>
      <c r="CL159" s="4">
        <v>27.120999999999999</v>
      </c>
      <c r="CM159" s="4">
        <v>27.440000999999999</v>
      </c>
      <c r="CN159" s="4">
        <v>28.209</v>
      </c>
      <c r="CO159" s="4">
        <v>28.739601</v>
      </c>
      <c r="CP159" s="4">
        <v>29.703796000000001</v>
      </c>
      <c r="CQ159" s="4">
        <v>0.49342599999999998</v>
      </c>
      <c r="CR159" s="4">
        <v>19.925301999999999</v>
      </c>
      <c r="CS159" s="4">
        <v>22.045902999999999</v>
      </c>
      <c r="CT159" s="1">
        <v>1</v>
      </c>
      <c r="CU159" s="1">
        <v>49</v>
      </c>
      <c r="CV159" s="4">
        <v>14.411333000000001</v>
      </c>
      <c r="CW159" s="4">
        <v>2.5238100000000001</v>
      </c>
      <c r="CX159" s="4">
        <v>8.6962639999999993</v>
      </c>
      <c r="CY159" s="4">
        <v>75.625007999999994</v>
      </c>
      <c r="CZ159" s="4">
        <v>0.60343199999999997</v>
      </c>
      <c r="DA159" s="4">
        <v>14</v>
      </c>
      <c r="DB159" s="4">
        <v>0.27912300000000001</v>
      </c>
      <c r="DC159" s="4">
        <v>2.3576830000000002</v>
      </c>
      <c r="DD159" s="4">
        <v>7.3788980000000004</v>
      </c>
      <c r="DE159" s="4">
        <v>14.411333000000001</v>
      </c>
      <c r="DF159" s="4">
        <v>4.9702900000000003</v>
      </c>
      <c r="DG159" s="4">
        <v>0.25762299999999999</v>
      </c>
      <c r="DH159" s="4">
        <v>0.14832899999999999</v>
      </c>
      <c r="DI159" s="4">
        <v>0.34488799999999997</v>
      </c>
      <c r="DJ159" s="4">
        <v>5.1832999999999997E-2</v>
      </c>
      <c r="DK159" s="4">
        <v>2.9843000000000001E-2</v>
      </c>
      <c r="DL159" s="4">
        <v>1</v>
      </c>
      <c r="DM159" s="4">
        <v>2</v>
      </c>
      <c r="DN159" s="4">
        <v>3</v>
      </c>
      <c r="DO159" s="4">
        <v>5</v>
      </c>
      <c r="DP159" s="4">
        <v>7</v>
      </c>
      <c r="DQ159" s="4">
        <v>8</v>
      </c>
      <c r="DR159" s="4">
        <v>11</v>
      </c>
      <c r="DS159" s="4">
        <v>14</v>
      </c>
      <c r="DT159" s="4">
        <v>17</v>
      </c>
      <c r="DU159" s="4">
        <v>20</v>
      </c>
      <c r="DV159" s="4">
        <v>21</v>
      </c>
      <c r="DW159" s="4">
        <v>23</v>
      </c>
      <c r="DX159" s="4">
        <v>26</v>
      </c>
      <c r="DY159" s="4">
        <v>28</v>
      </c>
      <c r="DZ159" s="4">
        <v>34.419922</v>
      </c>
      <c r="EA159" s="4">
        <v>99.210007000000004</v>
      </c>
      <c r="EB159" s="4">
        <v>56.383350999999998</v>
      </c>
      <c r="EC159" s="4">
        <v>106.122449</v>
      </c>
      <c r="ED159" s="4">
        <v>1507</v>
      </c>
      <c r="EE159" s="4">
        <v>1612</v>
      </c>
      <c r="EF159" s="4">
        <v>99.078340999999995</v>
      </c>
      <c r="EG159" s="4">
        <v>100</v>
      </c>
      <c r="EH159" s="4">
        <v>54.914306000000003</v>
      </c>
      <c r="EI159" s="4">
        <v>79.958027000000001</v>
      </c>
      <c r="EJ159" s="4">
        <v>103.357472</v>
      </c>
      <c r="EK159" s="4">
        <v>150.49374599999999</v>
      </c>
      <c r="EL159" s="4">
        <v>1505</v>
      </c>
      <c r="EM159" s="4">
        <v>1519</v>
      </c>
      <c r="EN159" s="4">
        <v>1570</v>
      </c>
      <c r="EO159" s="4">
        <v>2286</v>
      </c>
      <c r="EP159" s="4">
        <v>1519</v>
      </c>
      <c r="EQ159" s="4">
        <v>2859</v>
      </c>
      <c r="ER159" s="4">
        <v>49.181472999999997</v>
      </c>
    </row>
    <row r="160" spans="1:148" x14ac:dyDescent="0.2">
      <c r="A160" s="1">
        <v>2022</v>
      </c>
      <c r="B160" s="1" t="str">
        <f t="shared" si="4"/>
        <v>GN</v>
      </c>
      <c r="C160" s="1" t="s">
        <v>900</v>
      </c>
      <c r="D160" s="1" t="s">
        <v>900</v>
      </c>
      <c r="E160" s="1">
        <v>24904</v>
      </c>
      <c r="F160" s="1" t="s">
        <v>2105</v>
      </c>
      <c r="G160" s="1" t="s">
        <v>895</v>
      </c>
      <c r="H160" s="1" t="s">
        <v>901</v>
      </c>
      <c r="I160" s="1">
        <v>36.83</v>
      </c>
      <c r="J160" s="1">
        <v>36.83</v>
      </c>
      <c r="K160" s="1" t="s">
        <v>266</v>
      </c>
      <c r="L160" s="1">
        <v>1</v>
      </c>
      <c r="M160" s="1">
        <v>2016</v>
      </c>
      <c r="N160" s="1">
        <v>3</v>
      </c>
      <c r="O160" s="1">
        <v>1</v>
      </c>
      <c r="P160" s="1" t="str">
        <f t="shared" si="5"/>
        <v>Alto fuste</v>
      </c>
      <c r="Q160" s="2">
        <v>42461</v>
      </c>
      <c r="R160" s="1" t="s">
        <v>169</v>
      </c>
      <c r="S160" s="1" t="s">
        <v>163</v>
      </c>
      <c r="T160" s="1" t="s">
        <v>2268</v>
      </c>
      <c r="U160" s="1" t="s">
        <v>266</v>
      </c>
      <c r="V160" s="1" t="s">
        <v>152</v>
      </c>
      <c r="W160" s="2">
        <v>44685</v>
      </c>
      <c r="X160" s="1" t="s">
        <v>897</v>
      </c>
      <c r="Y160" s="1">
        <v>163.71</v>
      </c>
      <c r="Z160" s="1">
        <v>20.3</v>
      </c>
      <c r="AA160" s="1">
        <v>6</v>
      </c>
      <c r="AB160" s="1">
        <v>15.3</v>
      </c>
      <c r="AC160" s="1">
        <v>0</v>
      </c>
      <c r="AD160" s="3">
        <v>310.58999999999997</v>
      </c>
      <c r="AE160" s="3">
        <v>308.88855548243203</v>
      </c>
      <c r="AF160" s="2">
        <v>44685</v>
      </c>
      <c r="AG160" s="1">
        <v>73</v>
      </c>
      <c r="AH160" s="3">
        <v>6.08898015058179</v>
      </c>
      <c r="AI160" s="4">
        <v>28.7534266033508</v>
      </c>
      <c r="AJ160" s="4">
        <v>17.937142857142899</v>
      </c>
      <c r="AK160" s="4">
        <v>29.223996564474199</v>
      </c>
      <c r="AL160" s="1">
        <v>35</v>
      </c>
      <c r="AM160" s="5">
        <v>1133.0947482122101</v>
      </c>
      <c r="AN160" s="4">
        <v>371.96566716828897</v>
      </c>
      <c r="AO160" s="4">
        <v>0.32827410748763403</v>
      </c>
      <c r="AP160" s="1" t="s">
        <v>163</v>
      </c>
      <c r="AQ160" s="1" t="s">
        <v>156</v>
      </c>
      <c r="AR160" s="1" t="s">
        <v>291</v>
      </c>
      <c r="AS160" s="1">
        <v>9</v>
      </c>
      <c r="AT160" s="4">
        <v>1.0197852733909891</v>
      </c>
      <c r="AU160" s="1" t="s">
        <v>902</v>
      </c>
      <c r="AV160" s="1" t="s">
        <v>903</v>
      </c>
      <c r="AW160" s="1">
        <v>3247</v>
      </c>
      <c r="AX160" s="1">
        <v>2052</v>
      </c>
      <c r="AY160" s="1">
        <v>985</v>
      </c>
      <c r="AZ160" s="1">
        <v>196</v>
      </c>
      <c r="BA160" s="1">
        <v>14</v>
      </c>
      <c r="BB160" s="1">
        <v>0</v>
      </c>
      <c r="BC160" s="1">
        <v>0</v>
      </c>
      <c r="BD160" s="1">
        <v>0</v>
      </c>
      <c r="BE160" s="1">
        <v>0</v>
      </c>
      <c r="BF160" s="1">
        <v>0</v>
      </c>
      <c r="BG160" s="1">
        <v>0</v>
      </c>
      <c r="BH160" s="4">
        <v>-0.70399999999999996</v>
      </c>
      <c r="BI160" s="4">
        <v>32.805999999999997</v>
      </c>
      <c r="BJ160" s="4">
        <v>18.902094999999999</v>
      </c>
      <c r="BK160" s="4">
        <v>-0.172095</v>
      </c>
      <c r="BL160" s="4">
        <v>13.02022</v>
      </c>
      <c r="BM160" s="4">
        <v>169.52614</v>
      </c>
      <c r="BN160" s="4">
        <v>0.68882399999999999</v>
      </c>
      <c r="BO160" s="4">
        <v>28.6675</v>
      </c>
      <c r="BP160" s="4">
        <v>-0.65903599999999996</v>
      </c>
      <c r="BQ160" s="4">
        <v>1.5605150000000001</v>
      </c>
      <c r="BR160" s="4">
        <v>11.974786</v>
      </c>
      <c r="BS160" s="4">
        <v>2.8390010000000001</v>
      </c>
      <c r="BT160" s="4">
        <v>27.475093999999999</v>
      </c>
      <c r="BU160" s="4">
        <v>18.902094999999999</v>
      </c>
      <c r="BV160" s="4">
        <v>6.713959</v>
      </c>
      <c r="BW160" s="4">
        <v>-1.6747099999999999</v>
      </c>
      <c r="BX160" s="4">
        <v>-0.66228200000000004</v>
      </c>
      <c r="BY160" s="4">
        <v>0.35519699999999998</v>
      </c>
      <c r="BZ160" s="4">
        <v>-0.24943699999999999</v>
      </c>
      <c r="CA160" s="4">
        <v>-9.8641999999999994E-2</v>
      </c>
      <c r="CB160" s="4">
        <v>-0.41154000000000002</v>
      </c>
      <c r="CC160" s="4">
        <v>-0.14499999999999999</v>
      </c>
      <c r="CD160" s="4">
        <v>-1.9E-2</v>
      </c>
      <c r="CE160" s="4">
        <v>0.16400000000000001</v>
      </c>
      <c r="CF160" s="4">
        <v>0.29699999999999999</v>
      </c>
      <c r="CG160" s="4">
        <v>0.76539999999999997</v>
      </c>
      <c r="CH160" s="4">
        <v>24.832602000000001</v>
      </c>
      <c r="CI160" s="4">
        <v>27.302999</v>
      </c>
      <c r="CJ160" s="4">
        <v>28.040001</v>
      </c>
      <c r="CK160" s="4">
        <v>28.638200999999999</v>
      </c>
      <c r="CL160" s="4">
        <v>28.964500000000001</v>
      </c>
      <c r="CM160" s="4">
        <v>29.280999999999999</v>
      </c>
      <c r="CN160" s="4">
        <v>30.1464</v>
      </c>
      <c r="CO160" s="4">
        <v>30.7561</v>
      </c>
      <c r="CP160" s="4">
        <v>31.714843999999999</v>
      </c>
      <c r="CQ160" s="4">
        <v>0.58508199999999999</v>
      </c>
      <c r="CR160" s="4">
        <v>22.951321</v>
      </c>
      <c r="CS160" s="4">
        <v>24.612431999999998</v>
      </c>
      <c r="CT160" s="1">
        <v>1</v>
      </c>
      <c r="CU160" s="1">
        <v>43</v>
      </c>
      <c r="CV160" s="4">
        <v>12.622729</v>
      </c>
      <c r="CW160" s="4">
        <v>1</v>
      </c>
      <c r="CX160" s="4">
        <v>7.9464249999999996</v>
      </c>
      <c r="CY160" s="4">
        <v>63.145668999999998</v>
      </c>
      <c r="CZ160" s="4">
        <v>0.62953300000000001</v>
      </c>
      <c r="DA160" s="4">
        <v>13</v>
      </c>
      <c r="DB160" s="4">
        <v>0.28120000000000001</v>
      </c>
      <c r="DC160" s="4">
        <v>2.4978660000000001</v>
      </c>
      <c r="DD160" s="4">
        <v>6.6897070000000003</v>
      </c>
      <c r="DE160" s="4">
        <v>12.622729</v>
      </c>
      <c r="DF160" s="4">
        <v>4.5200750000000003</v>
      </c>
      <c r="DG160" s="4">
        <v>0.19522900000000001</v>
      </c>
      <c r="DH160" s="4">
        <v>0.16348699999999999</v>
      </c>
      <c r="DI160" s="4">
        <v>0.35809000000000002</v>
      </c>
      <c r="DJ160" s="4">
        <v>4.3191E-2</v>
      </c>
      <c r="DK160" s="4">
        <v>3.6169E-2</v>
      </c>
      <c r="DL160" s="4">
        <v>1</v>
      </c>
      <c r="DM160" s="4">
        <v>1</v>
      </c>
      <c r="DN160" s="4">
        <v>2</v>
      </c>
      <c r="DO160" s="4">
        <v>4</v>
      </c>
      <c r="DP160" s="4">
        <v>5</v>
      </c>
      <c r="DQ160" s="4">
        <v>7</v>
      </c>
      <c r="DR160" s="4">
        <v>10</v>
      </c>
      <c r="DS160" s="4">
        <v>13</v>
      </c>
      <c r="DT160" s="4">
        <v>15</v>
      </c>
      <c r="DU160" s="4">
        <v>17</v>
      </c>
      <c r="DV160" s="4">
        <v>18</v>
      </c>
      <c r="DW160" s="4">
        <v>20</v>
      </c>
      <c r="DX160" s="4">
        <v>23</v>
      </c>
      <c r="DY160" s="4">
        <v>25</v>
      </c>
      <c r="DZ160" s="4">
        <v>33</v>
      </c>
      <c r="EA160" s="4">
        <v>97.612086000000005</v>
      </c>
      <c r="EB160" s="4">
        <v>69.541115000000005</v>
      </c>
      <c r="EC160" s="4">
        <v>110.03898599999999</v>
      </c>
      <c r="ED160" s="4">
        <v>2003</v>
      </c>
      <c r="EE160" s="4">
        <v>2258</v>
      </c>
      <c r="EF160" s="4">
        <v>95.955166000000006</v>
      </c>
      <c r="EG160" s="4">
        <v>100</v>
      </c>
      <c r="EH160" s="4">
        <v>64.459501000000003</v>
      </c>
      <c r="EI160" s="4">
        <v>95.749922999999995</v>
      </c>
      <c r="EJ160" s="4">
        <v>101.998051</v>
      </c>
      <c r="EK160" s="4">
        <v>151.51072099999999</v>
      </c>
      <c r="EL160" s="4">
        <v>1969</v>
      </c>
      <c r="EM160" s="4">
        <v>2052</v>
      </c>
      <c r="EN160" s="4">
        <v>2093</v>
      </c>
      <c r="EO160" s="4">
        <v>3109</v>
      </c>
      <c r="EP160" s="4">
        <v>2052</v>
      </c>
      <c r="EQ160" s="4">
        <v>3247</v>
      </c>
      <c r="ER160" s="4">
        <v>58.674706999999998</v>
      </c>
    </row>
    <row r="161" spans="1:148" x14ac:dyDescent="0.2">
      <c r="A161" s="1">
        <v>2022</v>
      </c>
      <c r="B161" s="1" t="str">
        <f t="shared" si="4"/>
        <v>GN</v>
      </c>
      <c r="C161" s="1" t="s">
        <v>904</v>
      </c>
      <c r="D161" s="1" t="s">
        <v>904</v>
      </c>
      <c r="E161" s="1">
        <v>24905</v>
      </c>
      <c r="F161" s="1" t="s">
        <v>2105</v>
      </c>
      <c r="G161" s="1" t="s">
        <v>895</v>
      </c>
      <c r="H161" s="1" t="s">
        <v>901</v>
      </c>
      <c r="I161" s="1">
        <v>36.83</v>
      </c>
      <c r="J161" s="1">
        <v>36.83</v>
      </c>
      <c r="K161" s="1" t="s">
        <v>266</v>
      </c>
      <c r="L161" s="1">
        <v>1</v>
      </c>
      <c r="M161" s="1">
        <v>2016</v>
      </c>
      <c r="N161" s="1">
        <v>3</v>
      </c>
      <c r="O161" s="1">
        <v>1</v>
      </c>
      <c r="P161" s="1" t="str">
        <f t="shared" si="5"/>
        <v>Alto fuste</v>
      </c>
      <c r="Q161" s="2">
        <v>42461</v>
      </c>
      <c r="R161" s="1" t="s">
        <v>169</v>
      </c>
      <c r="S161" s="1" t="s">
        <v>163</v>
      </c>
      <c r="T161" s="1" t="s">
        <v>2268</v>
      </c>
      <c r="U161" s="1" t="s">
        <v>266</v>
      </c>
      <c r="V161" s="1" t="s">
        <v>152</v>
      </c>
      <c r="W161" s="2">
        <v>44685</v>
      </c>
      <c r="X161" s="1" t="s">
        <v>897</v>
      </c>
      <c r="Y161" s="1">
        <v>163.71</v>
      </c>
      <c r="Z161" s="1">
        <v>20.2</v>
      </c>
      <c r="AA161" s="1">
        <v>8</v>
      </c>
      <c r="AB161" s="1">
        <v>15</v>
      </c>
      <c r="AC161" s="1">
        <v>0</v>
      </c>
      <c r="AD161" s="3">
        <v>303</v>
      </c>
      <c r="AE161" s="3">
        <v>300.05122482869598</v>
      </c>
      <c r="AF161" s="2">
        <v>44685</v>
      </c>
      <c r="AG161" s="1">
        <v>73</v>
      </c>
      <c r="AH161" s="3">
        <v>6.08898015058179</v>
      </c>
      <c r="AI161" s="4">
        <v>29.520184959365199</v>
      </c>
      <c r="AJ161" s="4">
        <v>16.640625</v>
      </c>
      <c r="AK161" s="4">
        <v>23.4236684209726</v>
      </c>
      <c r="AL161" s="1">
        <v>32</v>
      </c>
      <c r="AM161" s="5">
        <v>1066.4845650361599</v>
      </c>
      <c r="AN161" s="4">
        <v>306.81718757475397</v>
      </c>
      <c r="AO161" s="4">
        <v>0.28769022790718901</v>
      </c>
      <c r="AP161" s="1" t="s">
        <v>163</v>
      </c>
      <c r="AQ161" s="1" t="s">
        <v>156</v>
      </c>
      <c r="AR161" s="1" t="s">
        <v>291</v>
      </c>
      <c r="AS161" s="1">
        <v>9</v>
      </c>
      <c r="AT161" s="4">
        <v>0.95983610853254397</v>
      </c>
      <c r="AU161" s="1" t="s">
        <v>905</v>
      </c>
      <c r="AV161" s="1" t="s">
        <v>906</v>
      </c>
      <c r="AW161" s="1">
        <v>3297</v>
      </c>
      <c r="AX161" s="1">
        <v>1852</v>
      </c>
      <c r="AY161" s="1">
        <v>1331</v>
      </c>
      <c r="AZ161" s="1">
        <v>111</v>
      </c>
      <c r="BA161" s="1">
        <v>3</v>
      </c>
      <c r="BB161" s="1">
        <v>0</v>
      </c>
      <c r="BC161" s="1">
        <v>0</v>
      </c>
      <c r="BD161" s="1">
        <v>0</v>
      </c>
      <c r="BE161" s="1">
        <v>0</v>
      </c>
      <c r="BF161" s="1">
        <v>0</v>
      </c>
      <c r="BG161" s="1">
        <v>0</v>
      </c>
      <c r="BH161" s="4">
        <v>-1.0409999999999999</v>
      </c>
      <c r="BI161" s="4">
        <v>29.844000000000001</v>
      </c>
      <c r="BJ161" s="4">
        <v>14.058253000000001</v>
      </c>
      <c r="BK161" s="4">
        <v>-6.0524000000000001E-2</v>
      </c>
      <c r="BL161" s="4">
        <v>12.872643</v>
      </c>
      <c r="BM161" s="4">
        <v>165.70494199999999</v>
      </c>
      <c r="BN161" s="4">
        <v>0.91566400000000003</v>
      </c>
      <c r="BO161" s="4">
        <v>26.251000000000001</v>
      </c>
      <c r="BP161" s="4">
        <v>-0.12284100000000001</v>
      </c>
      <c r="BQ161" s="4">
        <v>1.063102</v>
      </c>
      <c r="BR161" s="4">
        <v>12.707857000000001</v>
      </c>
      <c r="BS161" s="4">
        <v>4.8579999999999997</v>
      </c>
      <c r="BT161" s="4">
        <v>23.468525</v>
      </c>
      <c r="BU161" s="4">
        <v>14.058253000000001</v>
      </c>
      <c r="BV161" s="4">
        <v>6.7198130000000003</v>
      </c>
      <c r="BW161" s="4">
        <v>-0.188197</v>
      </c>
      <c r="BX161" s="4">
        <v>-1.4340649999999999</v>
      </c>
      <c r="BY161" s="4">
        <v>0.47799799999999998</v>
      </c>
      <c r="BZ161" s="4">
        <v>-2.8006E-2</v>
      </c>
      <c r="CA161" s="4">
        <v>-0.21340899999999999</v>
      </c>
      <c r="CB161" s="4">
        <v>-0.3342</v>
      </c>
      <c r="CC161" s="4">
        <v>-9.7199999999999995E-2</v>
      </c>
      <c r="CD161" s="4">
        <v>-7.0000000000000001E-3</v>
      </c>
      <c r="CE161" s="4">
        <v>9.2999999999999999E-2</v>
      </c>
      <c r="CF161" s="4">
        <v>0.13500000000000001</v>
      </c>
      <c r="CG161" s="4">
        <v>0.17699999999999999</v>
      </c>
      <c r="CH161" s="4">
        <v>0.29799999999999999</v>
      </c>
      <c r="CI161" s="4">
        <v>23.408000999999999</v>
      </c>
      <c r="CJ161" s="4">
        <v>25.130600000000001</v>
      </c>
      <c r="CK161" s="4">
        <v>26.014999</v>
      </c>
      <c r="CL161" s="4">
        <v>26.385999999999999</v>
      </c>
      <c r="CM161" s="4">
        <v>26.761998999999999</v>
      </c>
      <c r="CN161" s="4">
        <v>27.4282</v>
      </c>
      <c r="CO161" s="4">
        <v>27.880998999999999</v>
      </c>
      <c r="CP161" s="4">
        <v>28.657080000000001</v>
      </c>
      <c r="CQ161" s="4">
        <v>0.48888599999999999</v>
      </c>
      <c r="CR161" s="4">
        <v>19.060146</v>
      </c>
      <c r="CS161" s="4">
        <v>21.181260999999999</v>
      </c>
      <c r="CT161" s="1">
        <v>1</v>
      </c>
      <c r="CU161" s="1">
        <v>90</v>
      </c>
      <c r="CV161" s="4">
        <v>21.905975000000002</v>
      </c>
      <c r="CW161" s="4">
        <v>1</v>
      </c>
      <c r="CX161" s="4">
        <v>15.926207</v>
      </c>
      <c r="CY161" s="4">
        <v>253.644069</v>
      </c>
      <c r="CZ161" s="4">
        <v>0.72702599999999995</v>
      </c>
      <c r="DA161" s="4">
        <v>22</v>
      </c>
      <c r="DB161" s="4">
        <v>0.937998</v>
      </c>
      <c r="DC161" s="4">
        <v>3.9406789999999998</v>
      </c>
      <c r="DD161" s="4">
        <v>12.56118</v>
      </c>
      <c r="DE161" s="4">
        <v>21.905975000000002</v>
      </c>
      <c r="DF161" s="4">
        <v>8.75535</v>
      </c>
      <c r="DG161" s="4">
        <v>1.440323</v>
      </c>
      <c r="DH161" s="4">
        <v>0.91329700000000003</v>
      </c>
      <c r="DI161" s="4">
        <v>0.39967900000000001</v>
      </c>
      <c r="DJ161" s="4">
        <v>0.16450799999999999</v>
      </c>
      <c r="DK161" s="4">
        <v>0.104313</v>
      </c>
      <c r="DL161" s="4">
        <v>1</v>
      </c>
      <c r="DM161" s="4">
        <v>2</v>
      </c>
      <c r="DN161" s="4">
        <v>3</v>
      </c>
      <c r="DO161" s="4">
        <v>7</v>
      </c>
      <c r="DP161" s="4">
        <v>9</v>
      </c>
      <c r="DQ161" s="4">
        <v>11</v>
      </c>
      <c r="DR161" s="4">
        <v>16</v>
      </c>
      <c r="DS161" s="4">
        <v>20</v>
      </c>
      <c r="DT161" s="4">
        <v>24</v>
      </c>
      <c r="DU161" s="4">
        <v>28.199950999999999</v>
      </c>
      <c r="DV161" s="4">
        <v>31</v>
      </c>
      <c r="DW161" s="4">
        <v>34</v>
      </c>
      <c r="DX161" s="4">
        <v>43</v>
      </c>
      <c r="DY161" s="4">
        <v>51</v>
      </c>
      <c r="DZ161" s="4">
        <v>71</v>
      </c>
      <c r="EA161" s="4">
        <v>91.846652000000006</v>
      </c>
      <c r="EB161" s="4">
        <v>55.141036999999997</v>
      </c>
      <c r="EC161" s="4">
        <v>98.164147</v>
      </c>
      <c r="ED161" s="4">
        <v>1701</v>
      </c>
      <c r="EE161" s="4">
        <v>1818</v>
      </c>
      <c r="EF161" s="4">
        <v>90.982720999999998</v>
      </c>
      <c r="EG161" s="4">
        <v>100</v>
      </c>
      <c r="EH161" s="4">
        <v>53.472853999999998</v>
      </c>
      <c r="EI161" s="4">
        <v>93.691233999999994</v>
      </c>
      <c r="EJ161" s="4">
        <v>95.194383999999999</v>
      </c>
      <c r="EK161" s="4">
        <v>166.79265699999999</v>
      </c>
      <c r="EL161" s="4">
        <v>1685</v>
      </c>
      <c r="EM161" s="4">
        <v>1852</v>
      </c>
      <c r="EN161" s="4">
        <v>1763</v>
      </c>
      <c r="EO161" s="4">
        <v>3089</v>
      </c>
      <c r="EP161" s="4">
        <v>1852</v>
      </c>
      <c r="EQ161" s="4">
        <v>3297</v>
      </c>
      <c r="ER161" s="4">
        <v>48.101806000000003</v>
      </c>
    </row>
    <row r="162" spans="1:148" x14ac:dyDescent="0.2">
      <c r="A162" s="1">
        <v>2022</v>
      </c>
      <c r="B162" s="1" t="str">
        <f t="shared" si="4"/>
        <v>NE</v>
      </c>
      <c r="C162" s="1" t="s">
        <v>907</v>
      </c>
      <c r="D162" s="1" t="s">
        <v>907</v>
      </c>
      <c r="E162" s="1">
        <v>24931</v>
      </c>
      <c r="F162" s="1" t="s">
        <v>2106</v>
      </c>
      <c r="G162" s="1" t="s">
        <v>908</v>
      </c>
      <c r="H162" s="1" t="s">
        <v>909</v>
      </c>
      <c r="I162" s="1">
        <v>33.14</v>
      </c>
      <c r="J162" s="1">
        <v>33.14</v>
      </c>
      <c r="K162" s="1" t="s">
        <v>148</v>
      </c>
      <c r="L162" s="1">
        <v>1</v>
      </c>
      <c r="M162" s="1">
        <v>2016</v>
      </c>
      <c r="N162" s="1">
        <v>3</v>
      </c>
      <c r="O162" s="1">
        <v>1</v>
      </c>
      <c r="P162" s="1" t="str">
        <f t="shared" si="5"/>
        <v>Alto fuste</v>
      </c>
      <c r="Q162" s="2">
        <v>42690</v>
      </c>
      <c r="R162" s="1" t="s">
        <v>169</v>
      </c>
      <c r="S162" s="1" t="s">
        <v>651</v>
      </c>
      <c r="T162" s="1" t="s">
        <v>2268</v>
      </c>
      <c r="U162" s="1" t="s">
        <v>151</v>
      </c>
      <c r="V162" s="1" t="s">
        <v>152</v>
      </c>
      <c r="W162" s="2">
        <v>44637</v>
      </c>
      <c r="X162" s="1" t="s">
        <v>910</v>
      </c>
      <c r="Y162" s="1">
        <v>33.99</v>
      </c>
      <c r="Z162" s="1">
        <v>19.399999999999999</v>
      </c>
      <c r="AA162" s="1">
        <v>28</v>
      </c>
      <c r="AB162" s="1">
        <v>15</v>
      </c>
      <c r="AC162" s="1">
        <v>1</v>
      </c>
      <c r="AD162" s="3">
        <v>291</v>
      </c>
      <c r="AE162" s="3">
        <v>256.89861665819001</v>
      </c>
      <c r="AF162" s="2">
        <v>44637</v>
      </c>
      <c r="AG162" s="1">
        <v>64</v>
      </c>
      <c r="AH162" s="3">
        <v>5.3305954825462001</v>
      </c>
      <c r="AI162" s="4">
        <v>29.6769873916131</v>
      </c>
      <c r="AJ162" s="4">
        <v>18.54</v>
      </c>
      <c r="AK162" s="4">
        <v>31.840378090240598</v>
      </c>
      <c r="AL162" s="1">
        <v>30</v>
      </c>
      <c r="AM162" s="5">
        <v>1167.77584831902</v>
      </c>
      <c r="AN162" s="4">
        <v>407.15715150348399</v>
      </c>
      <c r="AO162" s="4">
        <v>0.34866036327911298</v>
      </c>
      <c r="AP162" s="1" t="s">
        <v>651</v>
      </c>
      <c r="AQ162" s="1" t="s">
        <v>156</v>
      </c>
      <c r="AR162" s="1" t="s">
        <v>500</v>
      </c>
      <c r="AS162" s="1">
        <v>9</v>
      </c>
      <c r="AT162" s="4">
        <v>1.050998263487118</v>
      </c>
      <c r="AU162" s="1" t="s">
        <v>911</v>
      </c>
      <c r="AV162" s="1" t="s">
        <v>912</v>
      </c>
      <c r="AW162" s="1">
        <v>6263</v>
      </c>
      <c r="AX162" s="1">
        <v>3577</v>
      </c>
      <c r="AY162" s="1">
        <v>2558</v>
      </c>
      <c r="AZ162" s="1">
        <v>128</v>
      </c>
      <c r="BA162" s="1">
        <v>0</v>
      </c>
      <c r="BB162" s="1">
        <v>0</v>
      </c>
      <c r="BC162" s="1">
        <v>0</v>
      </c>
      <c r="BD162" s="1">
        <v>0</v>
      </c>
      <c r="BE162" s="1">
        <v>0</v>
      </c>
      <c r="BF162" s="1">
        <v>0</v>
      </c>
      <c r="BG162" s="1">
        <v>0</v>
      </c>
      <c r="BH162" s="4">
        <v>-0.97</v>
      </c>
      <c r="BI162" s="4">
        <v>32.789000999999999</v>
      </c>
      <c r="BJ162" s="4">
        <v>15.464598000000001</v>
      </c>
      <c r="BK162" s="4">
        <v>-0.434143</v>
      </c>
      <c r="BL162" s="4">
        <v>14.034235000000001</v>
      </c>
      <c r="BM162" s="4">
        <v>196.95975100000001</v>
      </c>
      <c r="BN162" s="4">
        <v>0.90750699999999995</v>
      </c>
      <c r="BO162" s="4">
        <v>28.647500000000001</v>
      </c>
      <c r="BP162" s="4">
        <v>-0.140513</v>
      </c>
      <c r="BQ162" s="4">
        <v>1.0800700000000001</v>
      </c>
      <c r="BR162" s="4">
        <v>13.786163999999999</v>
      </c>
      <c r="BS162" s="4">
        <v>5.6280000000000001</v>
      </c>
      <c r="BT162" s="4">
        <v>25.946141999999998</v>
      </c>
      <c r="BU162" s="4">
        <v>15.464598000000001</v>
      </c>
      <c r="BV162" s="4">
        <v>7.3615329999999997</v>
      </c>
      <c r="BW162" s="4">
        <v>-0.24611</v>
      </c>
      <c r="BX162" s="4">
        <v>-1.524329</v>
      </c>
      <c r="BY162" s="4">
        <v>0.47602499999999998</v>
      </c>
      <c r="BZ162" s="4">
        <v>-3.3432000000000003E-2</v>
      </c>
      <c r="CA162" s="4">
        <v>-0.207067</v>
      </c>
      <c r="CB162" s="4">
        <v>-0.39800000000000002</v>
      </c>
      <c r="CC162" s="4">
        <v>-0.184</v>
      </c>
      <c r="CD162" s="4">
        <v>-0.09</v>
      </c>
      <c r="CE162" s="4">
        <v>1.4E-2</v>
      </c>
      <c r="CF162" s="4">
        <v>6.4000000000000001E-2</v>
      </c>
      <c r="CG162" s="4">
        <v>0.107</v>
      </c>
      <c r="CH162" s="4">
        <v>0.27300000000000002</v>
      </c>
      <c r="CI162" s="4">
        <v>25.511998999999999</v>
      </c>
      <c r="CJ162" s="4">
        <v>27.314999</v>
      </c>
      <c r="CK162" s="4">
        <v>28.273001000000001</v>
      </c>
      <c r="CL162" s="4">
        <v>28.711500000000001</v>
      </c>
      <c r="CM162" s="4">
        <v>29.135999999999999</v>
      </c>
      <c r="CN162" s="4">
        <v>30.173999999999999</v>
      </c>
      <c r="CO162" s="4">
        <v>30.695999</v>
      </c>
      <c r="CP162" s="4">
        <v>31.700001</v>
      </c>
      <c r="CQ162" s="4">
        <v>0.486821</v>
      </c>
      <c r="CR162" s="4">
        <v>20.882577999999999</v>
      </c>
      <c r="CS162" s="4">
        <v>23.174672000000001</v>
      </c>
      <c r="CT162" s="1">
        <v>1</v>
      </c>
      <c r="CU162" s="1">
        <v>76</v>
      </c>
      <c r="CV162" s="4">
        <v>24.343446</v>
      </c>
      <c r="CW162" s="4">
        <v>1</v>
      </c>
      <c r="CX162" s="4">
        <v>16.447462999999999</v>
      </c>
      <c r="CY162" s="4">
        <v>270.51904300000001</v>
      </c>
      <c r="CZ162" s="4">
        <v>0.67564199999999996</v>
      </c>
      <c r="DA162" s="4">
        <v>27</v>
      </c>
      <c r="DB162" s="4">
        <v>0.31494100000000003</v>
      </c>
      <c r="DC162" s="4">
        <v>2.3094709999999998</v>
      </c>
      <c r="DD162" s="4">
        <v>14.086373999999999</v>
      </c>
      <c r="DE162" s="4">
        <v>24.343446</v>
      </c>
      <c r="DF162" s="4">
        <v>9.3509200000000003</v>
      </c>
      <c r="DG162" s="4">
        <v>0.58135899999999996</v>
      </c>
      <c r="DH162" s="4">
        <v>0.22326499999999999</v>
      </c>
      <c r="DI162" s="4">
        <v>0.38412499999999999</v>
      </c>
      <c r="DJ162" s="4">
        <v>6.2170999999999997E-2</v>
      </c>
      <c r="DK162" s="4">
        <v>2.3876000000000001E-2</v>
      </c>
      <c r="DL162" s="4">
        <v>1</v>
      </c>
      <c r="DM162" s="4">
        <v>2</v>
      </c>
      <c r="DN162" s="4">
        <v>3</v>
      </c>
      <c r="DO162" s="4">
        <v>7</v>
      </c>
      <c r="DP162" s="4">
        <v>9</v>
      </c>
      <c r="DQ162" s="4">
        <v>11</v>
      </c>
      <c r="DR162" s="4">
        <v>18</v>
      </c>
      <c r="DS162" s="4">
        <v>25</v>
      </c>
      <c r="DT162" s="4">
        <v>31</v>
      </c>
      <c r="DU162" s="4">
        <v>34</v>
      </c>
      <c r="DV162" s="4">
        <v>36</v>
      </c>
      <c r="DW162" s="4">
        <v>38</v>
      </c>
      <c r="DX162" s="4">
        <v>44</v>
      </c>
      <c r="DY162" s="4">
        <v>53</v>
      </c>
      <c r="DZ162" s="4">
        <v>64</v>
      </c>
      <c r="EA162" s="4">
        <v>93.737769</v>
      </c>
      <c r="EB162" s="4">
        <v>55.771993999999999</v>
      </c>
      <c r="EC162" s="4">
        <v>97.651662999999999</v>
      </c>
      <c r="ED162" s="4">
        <v>3353</v>
      </c>
      <c r="EE162" s="4">
        <v>3493</v>
      </c>
      <c r="EF162" s="4">
        <v>92.116298999999998</v>
      </c>
      <c r="EG162" s="4">
        <v>100</v>
      </c>
      <c r="EH162" s="4">
        <v>53.376975999999999</v>
      </c>
      <c r="EI162" s="4">
        <v>99.265528000000003</v>
      </c>
      <c r="EJ162" s="4">
        <v>93.458205000000007</v>
      </c>
      <c r="EK162" s="4">
        <v>173.80486400000001</v>
      </c>
      <c r="EL162" s="4">
        <v>3295</v>
      </c>
      <c r="EM162" s="4">
        <v>3577</v>
      </c>
      <c r="EN162" s="4">
        <v>3343</v>
      </c>
      <c r="EO162" s="4">
        <v>6217</v>
      </c>
      <c r="EP162" s="4">
        <v>3577</v>
      </c>
      <c r="EQ162" s="4">
        <v>6263</v>
      </c>
      <c r="ER162" s="4">
        <v>47.832431999999997</v>
      </c>
    </row>
    <row r="163" spans="1:148" x14ac:dyDescent="0.2">
      <c r="A163" s="1">
        <v>2022</v>
      </c>
      <c r="B163" s="1" t="str">
        <f t="shared" si="4"/>
        <v>NE</v>
      </c>
      <c r="C163" s="1" t="s">
        <v>913</v>
      </c>
      <c r="D163" s="1" t="s">
        <v>913</v>
      </c>
      <c r="E163" s="1">
        <v>24932</v>
      </c>
      <c r="F163" s="1" t="s">
        <v>2106</v>
      </c>
      <c r="G163" s="1" t="s">
        <v>908</v>
      </c>
      <c r="H163" s="1" t="s">
        <v>909</v>
      </c>
      <c r="I163" s="1">
        <v>33.14</v>
      </c>
      <c r="J163" s="1">
        <v>33.14</v>
      </c>
      <c r="K163" s="1" t="s">
        <v>148</v>
      </c>
      <c r="L163" s="1">
        <v>1</v>
      </c>
      <c r="M163" s="1">
        <v>2016</v>
      </c>
      <c r="N163" s="1">
        <v>3</v>
      </c>
      <c r="O163" s="1">
        <v>1</v>
      </c>
      <c r="P163" s="1" t="str">
        <f t="shared" si="5"/>
        <v>Alto fuste</v>
      </c>
      <c r="Q163" s="2">
        <v>42690</v>
      </c>
      <c r="R163" s="1" t="s">
        <v>169</v>
      </c>
      <c r="S163" s="1" t="s">
        <v>651</v>
      </c>
      <c r="T163" s="1" t="s">
        <v>2268</v>
      </c>
      <c r="U163" s="1" t="s">
        <v>151</v>
      </c>
      <c r="V163" s="1" t="s">
        <v>152</v>
      </c>
      <c r="W163" s="2">
        <v>44637</v>
      </c>
      <c r="X163" s="1" t="s">
        <v>910</v>
      </c>
      <c r="Y163" s="1">
        <v>33.99</v>
      </c>
      <c r="Z163" s="1">
        <v>21.6</v>
      </c>
      <c r="AA163" s="1">
        <v>12</v>
      </c>
      <c r="AB163" s="1">
        <v>15</v>
      </c>
      <c r="AC163" s="1">
        <v>5</v>
      </c>
      <c r="AD163" s="3">
        <v>324</v>
      </c>
      <c r="AE163" s="3">
        <v>315.71384703190603</v>
      </c>
      <c r="AF163" s="2">
        <v>44637</v>
      </c>
      <c r="AG163" s="1">
        <v>64</v>
      </c>
      <c r="AH163" s="3">
        <v>5.3305954825462001</v>
      </c>
      <c r="AI163" s="4">
        <v>28.536351264734801</v>
      </c>
      <c r="AJ163" s="4">
        <v>17.4892857142857</v>
      </c>
      <c r="AK163" s="4">
        <v>21.6213342700886</v>
      </c>
      <c r="AL163" s="1">
        <v>28</v>
      </c>
      <c r="AM163" s="5">
        <v>886.87906036539198</v>
      </c>
      <c r="AN163" s="4">
        <v>268.43066235688298</v>
      </c>
      <c r="AO163" s="4">
        <v>0.302668846692907</v>
      </c>
      <c r="AP163" s="1" t="s">
        <v>651</v>
      </c>
      <c r="AQ163" s="1" t="s">
        <v>156</v>
      </c>
      <c r="AR163" s="1" t="s">
        <v>500</v>
      </c>
      <c r="AS163" s="1">
        <v>9</v>
      </c>
      <c r="AT163" s="4">
        <v>0.79819115432885279</v>
      </c>
      <c r="AU163" s="1" t="s">
        <v>914</v>
      </c>
      <c r="AV163" s="1" t="s">
        <v>915</v>
      </c>
      <c r="AW163" s="1">
        <v>6663</v>
      </c>
      <c r="AX163" s="1">
        <v>4203</v>
      </c>
      <c r="AY163" s="1">
        <v>2194</v>
      </c>
      <c r="AZ163" s="1">
        <v>258</v>
      </c>
      <c r="BA163" s="1">
        <v>8</v>
      </c>
      <c r="BB163" s="1">
        <v>0</v>
      </c>
      <c r="BC163" s="1">
        <v>0</v>
      </c>
      <c r="BD163" s="1">
        <v>0</v>
      </c>
      <c r="BE163" s="1">
        <v>0</v>
      </c>
      <c r="BF163" s="1">
        <v>0</v>
      </c>
      <c r="BG163" s="1">
        <v>0</v>
      </c>
      <c r="BH163" s="4">
        <v>-1.01</v>
      </c>
      <c r="BI163" s="4">
        <v>32.682999000000002</v>
      </c>
      <c r="BJ163" s="4">
        <v>17.213512999999999</v>
      </c>
      <c r="BK163" s="4">
        <v>-0.47519</v>
      </c>
      <c r="BL163" s="4">
        <v>13.479384</v>
      </c>
      <c r="BM163" s="4">
        <v>181.693806</v>
      </c>
      <c r="BN163" s="4">
        <v>0.78307000000000004</v>
      </c>
      <c r="BO163" s="4">
        <v>28.504999999999999</v>
      </c>
      <c r="BP163" s="4">
        <v>-0.40856300000000001</v>
      </c>
      <c r="BQ163" s="4">
        <v>1.2538229999999999</v>
      </c>
      <c r="BR163" s="4">
        <v>12.961710999999999</v>
      </c>
      <c r="BS163" s="4">
        <v>3.8580000000000001</v>
      </c>
      <c r="BT163" s="4">
        <v>26.756191000000001</v>
      </c>
      <c r="BU163" s="4">
        <v>17.213512999999999</v>
      </c>
      <c r="BV163" s="4">
        <v>7.0599020000000001</v>
      </c>
      <c r="BW163" s="4">
        <v>-1.0683819999999999</v>
      </c>
      <c r="BX163" s="4">
        <v>-1.13534</v>
      </c>
      <c r="BY163" s="4">
        <v>0.41013699999999997</v>
      </c>
      <c r="BZ163" s="4">
        <v>-0.15133099999999999</v>
      </c>
      <c r="CA163" s="4">
        <v>-0.16081500000000001</v>
      </c>
      <c r="CB163" s="4">
        <v>-0.47299999999999998</v>
      </c>
      <c r="CC163" s="4">
        <v>-0.1709</v>
      </c>
      <c r="CD163" s="4">
        <v>-5.6599999999999998E-2</v>
      </c>
      <c r="CE163" s="4">
        <v>7.5999999999999998E-2</v>
      </c>
      <c r="CF163" s="4">
        <v>0.14099999999999999</v>
      </c>
      <c r="CG163" s="4">
        <v>0.23</v>
      </c>
      <c r="CH163" s="4">
        <v>16.155203</v>
      </c>
      <c r="CI163" s="4">
        <v>26.280999999999999</v>
      </c>
      <c r="CJ163" s="4">
        <v>27.451799000000001</v>
      </c>
      <c r="CK163" s="4">
        <v>28.247799000000001</v>
      </c>
      <c r="CL163" s="4">
        <v>28.646000000000001</v>
      </c>
      <c r="CM163" s="4">
        <v>29.045000000000002</v>
      </c>
      <c r="CN163" s="4">
        <v>29.8888</v>
      </c>
      <c r="CO163" s="4">
        <v>30.683900999999999</v>
      </c>
      <c r="CP163" s="4">
        <v>31.676000999999999</v>
      </c>
      <c r="CQ163" s="4">
        <v>0.54086900000000004</v>
      </c>
      <c r="CR163" s="4">
        <v>21.862560999999999</v>
      </c>
      <c r="CS163" s="4">
        <v>23.800032000000002</v>
      </c>
      <c r="CT163" s="1">
        <v>1</v>
      </c>
      <c r="CU163" s="1">
        <v>60</v>
      </c>
      <c r="CV163" s="4">
        <v>21.040372000000001</v>
      </c>
      <c r="CW163" s="4">
        <v>1</v>
      </c>
      <c r="CX163" s="4">
        <v>13.302432</v>
      </c>
      <c r="CY163" s="4">
        <v>176.954689</v>
      </c>
      <c r="CZ163" s="4">
        <v>0.63223399999999996</v>
      </c>
      <c r="DA163" s="4">
        <v>22</v>
      </c>
      <c r="DB163" s="4">
        <v>0.194163</v>
      </c>
      <c r="DC163" s="4">
        <v>2.2111830000000001</v>
      </c>
      <c r="DD163" s="4">
        <v>11.247925</v>
      </c>
      <c r="DE163" s="4">
        <v>21.040372000000001</v>
      </c>
      <c r="DF163" s="4">
        <v>7.6078469999999996</v>
      </c>
      <c r="DG163" s="4">
        <v>0.26809300000000003</v>
      </c>
      <c r="DH163" s="4">
        <v>0.26136100000000001</v>
      </c>
      <c r="DI163" s="4">
        <v>0.36158299999999999</v>
      </c>
      <c r="DJ163" s="4">
        <v>3.5238999999999999E-2</v>
      </c>
      <c r="DK163" s="4">
        <v>3.4354000000000003E-2</v>
      </c>
      <c r="DL163" s="4">
        <v>1</v>
      </c>
      <c r="DM163" s="4">
        <v>1</v>
      </c>
      <c r="DN163" s="4">
        <v>3</v>
      </c>
      <c r="DO163" s="4">
        <v>6</v>
      </c>
      <c r="DP163" s="4">
        <v>9</v>
      </c>
      <c r="DQ163" s="4">
        <v>12</v>
      </c>
      <c r="DR163" s="4">
        <v>17</v>
      </c>
      <c r="DS163" s="4">
        <v>22</v>
      </c>
      <c r="DT163" s="4">
        <v>26</v>
      </c>
      <c r="DU163" s="4">
        <v>29</v>
      </c>
      <c r="DV163" s="4">
        <v>31</v>
      </c>
      <c r="DW163" s="4">
        <v>33</v>
      </c>
      <c r="DX163" s="4">
        <v>38</v>
      </c>
      <c r="DY163" s="4">
        <v>43</v>
      </c>
      <c r="DZ163" s="4">
        <v>52</v>
      </c>
      <c r="EA163" s="4">
        <v>92.576730999999995</v>
      </c>
      <c r="EB163" s="4">
        <v>64.055229999999995</v>
      </c>
      <c r="EC163" s="4">
        <v>101.546514</v>
      </c>
      <c r="ED163" s="4">
        <v>3891</v>
      </c>
      <c r="EE163" s="4">
        <v>4268</v>
      </c>
      <c r="EF163" s="4">
        <v>90.720913999999993</v>
      </c>
      <c r="EG163" s="4">
        <v>100</v>
      </c>
      <c r="EH163" s="4">
        <v>59.852919</v>
      </c>
      <c r="EI163" s="4">
        <v>99.009455000000003</v>
      </c>
      <c r="EJ163" s="4">
        <v>94.884606000000005</v>
      </c>
      <c r="EK163" s="4">
        <v>156.959315</v>
      </c>
      <c r="EL163" s="4">
        <v>3813</v>
      </c>
      <c r="EM163" s="4">
        <v>4203</v>
      </c>
      <c r="EN163" s="4">
        <v>3988</v>
      </c>
      <c r="EO163" s="4">
        <v>6597</v>
      </c>
      <c r="EP163" s="4">
        <v>4203</v>
      </c>
      <c r="EQ163" s="4">
        <v>6663</v>
      </c>
      <c r="ER163" s="4">
        <v>53.411316999999997</v>
      </c>
    </row>
    <row r="164" spans="1:148" x14ac:dyDescent="0.2">
      <c r="A164" s="1">
        <v>2022</v>
      </c>
      <c r="B164" s="1" t="str">
        <f t="shared" si="4"/>
        <v>NE</v>
      </c>
      <c r="C164" s="1" t="s">
        <v>916</v>
      </c>
      <c r="D164" s="1" t="s">
        <v>916</v>
      </c>
      <c r="E164" s="1">
        <v>24933</v>
      </c>
      <c r="F164" s="1" t="s">
        <v>2106</v>
      </c>
      <c r="G164" s="1" t="s">
        <v>908</v>
      </c>
      <c r="H164" s="1" t="s">
        <v>909</v>
      </c>
      <c r="I164" s="1">
        <v>33.14</v>
      </c>
      <c r="J164" s="1">
        <v>33.14</v>
      </c>
      <c r="K164" s="1" t="s">
        <v>148</v>
      </c>
      <c r="L164" s="1">
        <v>1</v>
      </c>
      <c r="M164" s="1">
        <v>2016</v>
      </c>
      <c r="N164" s="1">
        <v>3</v>
      </c>
      <c r="O164" s="1">
        <v>1</v>
      </c>
      <c r="P164" s="1" t="str">
        <f t="shared" si="5"/>
        <v>Alto fuste</v>
      </c>
      <c r="Q164" s="2">
        <v>42690</v>
      </c>
      <c r="R164" s="1" t="s">
        <v>169</v>
      </c>
      <c r="S164" s="1" t="s">
        <v>651</v>
      </c>
      <c r="T164" s="1" t="s">
        <v>2268</v>
      </c>
      <c r="U164" s="1" t="s">
        <v>151</v>
      </c>
      <c r="V164" s="1" t="s">
        <v>152</v>
      </c>
      <c r="W164" s="2">
        <v>44637</v>
      </c>
      <c r="X164" s="1" t="s">
        <v>910</v>
      </c>
      <c r="Y164" s="1">
        <v>33.99</v>
      </c>
      <c r="Z164" s="1">
        <v>19.8</v>
      </c>
      <c r="AA164" s="1">
        <v>21</v>
      </c>
      <c r="AB164" s="1">
        <v>14</v>
      </c>
      <c r="AC164" s="1">
        <v>0</v>
      </c>
      <c r="AD164" s="3">
        <v>277.2</v>
      </c>
      <c r="AE164" s="3">
        <v>258.78849422502401</v>
      </c>
      <c r="AF164" s="2">
        <v>44637</v>
      </c>
      <c r="AG164" s="1">
        <v>64</v>
      </c>
      <c r="AH164" s="3">
        <v>5.3305954825462001</v>
      </c>
      <c r="AI164" s="4">
        <v>28.668707742810199</v>
      </c>
      <c r="AJ164" s="4">
        <v>17.057692307692299</v>
      </c>
      <c r="AK164" s="4">
        <v>23.550701112516801</v>
      </c>
      <c r="AL164" s="1">
        <v>26</v>
      </c>
      <c r="AM164" s="5">
        <v>1004.6814514633</v>
      </c>
      <c r="AN164" s="4">
        <v>299.02378978460098</v>
      </c>
      <c r="AO164" s="4">
        <v>0.29763044729160498</v>
      </c>
      <c r="AP164" s="1" t="s">
        <v>651</v>
      </c>
      <c r="AQ164" s="1" t="s">
        <v>156</v>
      </c>
      <c r="AR164" s="1" t="s">
        <v>500</v>
      </c>
      <c r="AS164" s="1">
        <v>9</v>
      </c>
      <c r="AT164" s="4">
        <v>0.90421330631697006</v>
      </c>
      <c r="AU164" s="1" t="s">
        <v>917</v>
      </c>
      <c r="AV164" s="1" t="s">
        <v>918</v>
      </c>
      <c r="AW164" s="1">
        <v>9161</v>
      </c>
      <c r="AX164" s="1">
        <v>6065</v>
      </c>
      <c r="AY164" s="1">
        <v>2879</v>
      </c>
      <c r="AZ164" s="1">
        <v>212</v>
      </c>
      <c r="BA164" s="1">
        <v>5</v>
      </c>
      <c r="BB164" s="1">
        <v>0</v>
      </c>
      <c r="BC164" s="1">
        <v>0</v>
      </c>
      <c r="BD164" s="1">
        <v>0</v>
      </c>
      <c r="BE164" s="1">
        <v>0</v>
      </c>
      <c r="BF164" s="1">
        <v>0</v>
      </c>
      <c r="BG164" s="1">
        <v>0</v>
      </c>
      <c r="BH164" s="4">
        <v>-1.1850000000000001</v>
      </c>
      <c r="BI164" s="4">
        <v>32.498001000000002</v>
      </c>
      <c r="BJ164" s="4">
        <v>16.846685999999998</v>
      </c>
      <c r="BK164" s="4">
        <v>-0.115698</v>
      </c>
      <c r="BL164" s="4">
        <v>13.52862</v>
      </c>
      <c r="BM164" s="4">
        <v>183.02355299999999</v>
      </c>
      <c r="BN164" s="4">
        <v>0.80304299999999995</v>
      </c>
      <c r="BO164" s="4">
        <v>28.147998999999999</v>
      </c>
      <c r="BP164" s="4">
        <v>-0.38376300000000002</v>
      </c>
      <c r="BQ164" s="4">
        <v>1.2184820000000001</v>
      </c>
      <c r="BR164" s="4">
        <v>13.074949</v>
      </c>
      <c r="BS164" s="4">
        <v>3.772999</v>
      </c>
      <c r="BT164" s="4">
        <v>26.288698</v>
      </c>
      <c r="BU164" s="4">
        <v>16.846685999999998</v>
      </c>
      <c r="BV164" s="4">
        <v>7.0514700000000001</v>
      </c>
      <c r="BW164" s="4">
        <v>-0.97313300000000003</v>
      </c>
      <c r="BX164" s="4">
        <v>-1.182803</v>
      </c>
      <c r="BY164" s="4">
        <v>0.41856700000000002</v>
      </c>
      <c r="BZ164" s="4">
        <v>-0.13800399999999999</v>
      </c>
      <c r="CA164" s="4">
        <v>-0.167738</v>
      </c>
      <c r="CB164" s="4">
        <v>-0.48220000000000002</v>
      </c>
      <c r="CC164" s="4">
        <v>-0.17799999999999999</v>
      </c>
      <c r="CD164" s="4">
        <v>-8.2000000000000003E-2</v>
      </c>
      <c r="CE164" s="4">
        <v>4.8000000000000001E-2</v>
      </c>
      <c r="CF164" s="4">
        <v>0.11</v>
      </c>
      <c r="CG164" s="4">
        <v>0.16800000000000001</v>
      </c>
      <c r="CH164" s="4">
        <v>14.93</v>
      </c>
      <c r="CI164" s="4">
        <v>26.172999999999998</v>
      </c>
      <c r="CJ164" s="4">
        <v>27.160999</v>
      </c>
      <c r="CK164" s="4">
        <v>27.903998999999999</v>
      </c>
      <c r="CL164" s="4">
        <v>28.257999000000002</v>
      </c>
      <c r="CM164" s="4">
        <v>28.669001000000002</v>
      </c>
      <c r="CN164" s="4">
        <v>29.75</v>
      </c>
      <c r="CO164" s="4">
        <v>30.448</v>
      </c>
      <c r="CP164" s="4">
        <v>31.417998999999998</v>
      </c>
      <c r="CQ164" s="4">
        <v>0.53533500000000001</v>
      </c>
      <c r="CR164" s="4">
        <v>21.605888</v>
      </c>
      <c r="CS164" s="4">
        <v>23.561574</v>
      </c>
      <c r="CT164" s="1">
        <v>1</v>
      </c>
      <c r="CU164" s="1">
        <v>58</v>
      </c>
      <c r="CV164" s="4">
        <v>17.944329</v>
      </c>
      <c r="CW164" s="4">
        <v>1</v>
      </c>
      <c r="CX164" s="4">
        <v>11.466639000000001</v>
      </c>
      <c r="CY164" s="4">
        <v>131.4838</v>
      </c>
      <c r="CZ164" s="4">
        <v>0.63901200000000002</v>
      </c>
      <c r="DA164" s="4">
        <v>18</v>
      </c>
      <c r="DB164" s="4">
        <v>0.41355599999999998</v>
      </c>
      <c r="DC164" s="4">
        <v>2.6667179999999999</v>
      </c>
      <c r="DD164" s="4">
        <v>9.3961319999999997</v>
      </c>
      <c r="DE164" s="4">
        <v>17.944329</v>
      </c>
      <c r="DF164" s="4">
        <v>6.4949490000000001</v>
      </c>
      <c r="DG164" s="4">
        <v>0.47536099999999998</v>
      </c>
      <c r="DH164" s="4">
        <v>0.458899</v>
      </c>
      <c r="DI164" s="4">
        <v>0.36194999999999999</v>
      </c>
      <c r="DJ164" s="4">
        <v>7.3189000000000004E-2</v>
      </c>
      <c r="DK164" s="4">
        <v>7.0654999999999996E-2</v>
      </c>
      <c r="DL164" s="4">
        <v>1</v>
      </c>
      <c r="DM164" s="4">
        <v>1</v>
      </c>
      <c r="DN164" s="4">
        <v>3</v>
      </c>
      <c r="DO164" s="4">
        <v>6</v>
      </c>
      <c r="DP164" s="4">
        <v>8</v>
      </c>
      <c r="DQ164" s="4">
        <v>11</v>
      </c>
      <c r="DR164" s="4">
        <v>14</v>
      </c>
      <c r="DS164" s="4">
        <v>18</v>
      </c>
      <c r="DT164" s="4">
        <v>21</v>
      </c>
      <c r="DU164" s="4">
        <v>24</v>
      </c>
      <c r="DV164" s="4">
        <v>26</v>
      </c>
      <c r="DW164" s="4">
        <v>27</v>
      </c>
      <c r="DX164" s="4">
        <v>32</v>
      </c>
      <c r="DY164" s="4">
        <v>39</v>
      </c>
      <c r="DZ164" s="4">
        <v>47</v>
      </c>
      <c r="EA164" s="4">
        <v>89.579554999999999</v>
      </c>
      <c r="EB164" s="4">
        <v>62.187533999999999</v>
      </c>
      <c r="EC164" s="4">
        <v>93.932399000000004</v>
      </c>
      <c r="ED164" s="4">
        <v>5433</v>
      </c>
      <c r="EE164" s="4">
        <v>5697</v>
      </c>
      <c r="EF164" s="4">
        <v>88.029678000000004</v>
      </c>
      <c r="EG164" s="4">
        <v>100</v>
      </c>
      <c r="EH164" s="4">
        <v>59.709639000000003</v>
      </c>
      <c r="EI164" s="4">
        <v>91.856784000000005</v>
      </c>
      <c r="EJ164" s="4">
        <v>90.189612999999994</v>
      </c>
      <c r="EK164" s="4">
        <v>138.74690799999999</v>
      </c>
      <c r="EL164" s="4">
        <v>5339</v>
      </c>
      <c r="EM164" s="4">
        <v>6065</v>
      </c>
      <c r="EN164" s="4">
        <v>5470</v>
      </c>
      <c r="EO164" s="4">
        <v>8415</v>
      </c>
      <c r="EP164" s="4">
        <v>6065</v>
      </c>
      <c r="EQ164" s="4">
        <v>9161</v>
      </c>
      <c r="ER164" s="4">
        <v>52.687918000000003</v>
      </c>
    </row>
    <row r="165" spans="1:148" x14ac:dyDescent="0.2">
      <c r="A165" s="1">
        <v>2022</v>
      </c>
      <c r="B165" s="1" t="str">
        <f t="shared" si="4"/>
        <v>NE</v>
      </c>
      <c r="C165" s="1" t="s">
        <v>919</v>
      </c>
      <c r="D165" s="1" t="s">
        <v>919</v>
      </c>
      <c r="E165" s="1">
        <v>24950</v>
      </c>
      <c r="F165" s="1" t="s">
        <v>2107</v>
      </c>
      <c r="G165" s="1" t="s">
        <v>920</v>
      </c>
      <c r="H165" s="1" t="s">
        <v>921</v>
      </c>
      <c r="I165" s="1">
        <v>12.71</v>
      </c>
      <c r="J165" s="1">
        <v>12.71</v>
      </c>
      <c r="K165" s="1" t="s">
        <v>434</v>
      </c>
      <c r="L165" s="1">
        <v>1</v>
      </c>
      <c r="M165" s="1">
        <v>2016</v>
      </c>
      <c r="N165" s="1">
        <v>4</v>
      </c>
      <c r="O165" s="1">
        <v>1</v>
      </c>
      <c r="P165" s="1" t="str">
        <f t="shared" si="5"/>
        <v>Alto fuste</v>
      </c>
      <c r="Q165" s="2">
        <v>42628</v>
      </c>
      <c r="R165" s="1" t="s">
        <v>169</v>
      </c>
      <c r="S165" s="1" t="s">
        <v>651</v>
      </c>
      <c r="T165" s="1" t="s">
        <v>2268</v>
      </c>
      <c r="U165" s="1" t="s">
        <v>151</v>
      </c>
      <c r="V165" s="1" t="s">
        <v>152</v>
      </c>
      <c r="W165" s="2">
        <v>44593</v>
      </c>
      <c r="X165" s="1" t="s">
        <v>922</v>
      </c>
      <c r="Y165" s="1">
        <v>173.34</v>
      </c>
      <c r="Z165" s="1">
        <v>19</v>
      </c>
      <c r="AA165" s="1">
        <v>31</v>
      </c>
      <c r="AB165" s="1">
        <v>16.2</v>
      </c>
      <c r="AC165" s="1">
        <v>5</v>
      </c>
      <c r="AD165" s="3">
        <v>307.8</v>
      </c>
      <c r="AE165" s="3">
        <v>262.83211915974601</v>
      </c>
      <c r="AF165" s="2">
        <v>44593</v>
      </c>
      <c r="AG165" s="1">
        <v>65</v>
      </c>
      <c r="AH165" s="3">
        <v>5.37987679671458</v>
      </c>
      <c r="AI165" s="4">
        <v>26.491709384592699</v>
      </c>
      <c r="AJ165" s="4">
        <v>16.655999999999999</v>
      </c>
      <c r="AK165" s="4">
        <v>21.314679067011099</v>
      </c>
      <c r="AL165" s="1">
        <v>25</v>
      </c>
      <c r="AM165" s="5">
        <v>951.17750752545203</v>
      </c>
      <c r="AN165" s="4">
        <v>253.75892040428701</v>
      </c>
      <c r="AO165" s="4">
        <v>0.26678397922219199</v>
      </c>
      <c r="AP165" s="1" t="s">
        <v>651</v>
      </c>
      <c r="AQ165" s="1" t="s">
        <v>156</v>
      </c>
      <c r="AR165" s="1" t="s">
        <v>925</v>
      </c>
      <c r="AS165" s="1">
        <v>9</v>
      </c>
      <c r="AT165" s="4">
        <v>0.8560597567729068</v>
      </c>
      <c r="AU165" s="1" t="s">
        <v>923</v>
      </c>
      <c r="AV165" s="1" t="s">
        <v>924</v>
      </c>
      <c r="AW165" s="1">
        <v>6399</v>
      </c>
      <c r="AX165" s="1">
        <v>4180</v>
      </c>
      <c r="AY165" s="1">
        <v>2011</v>
      </c>
      <c r="AZ165" s="1">
        <v>204</v>
      </c>
      <c r="BA165" s="1">
        <v>4</v>
      </c>
      <c r="BB165" s="1">
        <v>0</v>
      </c>
      <c r="BC165" s="1">
        <v>0</v>
      </c>
      <c r="BD165" s="1">
        <v>0</v>
      </c>
      <c r="BE165" s="1">
        <v>0</v>
      </c>
      <c r="BF165" s="1">
        <v>0</v>
      </c>
      <c r="BG165" s="1">
        <v>0</v>
      </c>
      <c r="BH165" s="4">
        <v>-1.0289999999999999</v>
      </c>
      <c r="BI165" s="4">
        <v>31.368998999999999</v>
      </c>
      <c r="BJ165" s="4">
        <v>16.565712000000001</v>
      </c>
      <c r="BK165" s="4">
        <v>-4.9200000000000003E-4</v>
      </c>
      <c r="BL165" s="4">
        <v>12.817767999999999</v>
      </c>
      <c r="BM165" s="4">
        <v>164.295177</v>
      </c>
      <c r="BN165" s="4">
        <v>0.77375300000000002</v>
      </c>
      <c r="BO165" s="4">
        <v>27.323001000000001</v>
      </c>
      <c r="BP165" s="4">
        <v>-0.43061100000000002</v>
      </c>
      <c r="BQ165" s="4">
        <v>1.2957430000000001</v>
      </c>
      <c r="BR165" s="4">
        <v>12.195057</v>
      </c>
      <c r="BS165" s="4">
        <v>4.2300009999999997</v>
      </c>
      <c r="BT165" s="4">
        <v>24.866491</v>
      </c>
      <c r="BU165" s="4">
        <v>16.565712000000001</v>
      </c>
      <c r="BV165" s="4">
        <v>6.7488049999999999</v>
      </c>
      <c r="BW165" s="4">
        <v>-1.034292</v>
      </c>
      <c r="BX165" s="4">
        <v>-1.045177</v>
      </c>
      <c r="BY165" s="4">
        <v>0.40739599999999998</v>
      </c>
      <c r="BZ165" s="4">
        <v>-0.153256</v>
      </c>
      <c r="CA165" s="4">
        <v>-0.15486900000000001</v>
      </c>
      <c r="CB165" s="4">
        <v>-0.39710000000000001</v>
      </c>
      <c r="CC165" s="4">
        <v>-0.16900000000000001</v>
      </c>
      <c r="CD165" s="4">
        <v>-7.5999999999999998E-2</v>
      </c>
      <c r="CE165" s="4">
        <v>5.8000000000000003E-2</v>
      </c>
      <c r="CF165" s="4">
        <v>0.127</v>
      </c>
      <c r="CG165" s="4">
        <v>0.216</v>
      </c>
      <c r="CH165" s="4">
        <v>16.343</v>
      </c>
      <c r="CI165" s="4">
        <v>24.865998999999999</v>
      </c>
      <c r="CJ165" s="4">
        <v>26.129999000000002</v>
      </c>
      <c r="CK165" s="4">
        <v>27.038</v>
      </c>
      <c r="CL165" s="4">
        <v>27.450001</v>
      </c>
      <c r="CM165" s="4">
        <v>27.894400000000001</v>
      </c>
      <c r="CN165" s="4">
        <v>28.896001999999999</v>
      </c>
      <c r="CO165" s="4">
        <v>29.443000999999999</v>
      </c>
      <c r="CP165" s="4">
        <v>30.305420000000002</v>
      </c>
      <c r="CQ165" s="4">
        <v>0.54308000000000001</v>
      </c>
      <c r="CR165" s="4">
        <v>20.944983000000001</v>
      </c>
      <c r="CS165" s="4">
        <v>22.768338</v>
      </c>
      <c r="CT165" s="1">
        <v>1</v>
      </c>
      <c r="CU165" s="1">
        <v>59</v>
      </c>
      <c r="CV165" s="4">
        <v>21.040163</v>
      </c>
      <c r="CW165" s="4">
        <v>1</v>
      </c>
      <c r="CX165" s="4">
        <v>12.761100000000001</v>
      </c>
      <c r="CY165" s="4">
        <v>162.84568300000001</v>
      </c>
      <c r="CZ165" s="4">
        <v>0.60651100000000002</v>
      </c>
      <c r="DA165" s="4">
        <v>21</v>
      </c>
      <c r="DB165" s="4">
        <v>1.7239000000000001E-2</v>
      </c>
      <c r="DC165" s="4">
        <v>2.1174909999999998</v>
      </c>
      <c r="DD165" s="4">
        <v>10.739426</v>
      </c>
      <c r="DE165" s="4">
        <v>21.040163</v>
      </c>
      <c r="DF165" s="4">
        <v>7.2910709999999996</v>
      </c>
      <c r="DG165" s="4">
        <v>-6.1571000000000001E-2</v>
      </c>
      <c r="DH165" s="4">
        <v>0.27544400000000002</v>
      </c>
      <c r="DI165" s="4">
        <v>0.34653099999999998</v>
      </c>
      <c r="DJ165" s="4">
        <v>-8.4449999999999994E-3</v>
      </c>
      <c r="DK165" s="4">
        <v>3.7777999999999999E-2</v>
      </c>
      <c r="DL165" s="4">
        <v>1</v>
      </c>
      <c r="DM165" s="4">
        <v>1</v>
      </c>
      <c r="DN165" s="4">
        <v>3</v>
      </c>
      <c r="DO165" s="4">
        <v>6</v>
      </c>
      <c r="DP165" s="4">
        <v>9</v>
      </c>
      <c r="DQ165" s="4">
        <v>13</v>
      </c>
      <c r="DR165" s="4">
        <v>19</v>
      </c>
      <c r="DS165" s="4">
        <v>23</v>
      </c>
      <c r="DT165" s="4">
        <v>26</v>
      </c>
      <c r="DU165" s="4">
        <v>29</v>
      </c>
      <c r="DV165" s="4">
        <v>30</v>
      </c>
      <c r="DW165" s="4">
        <v>32</v>
      </c>
      <c r="DX165" s="4">
        <v>37</v>
      </c>
      <c r="DY165" s="4">
        <v>42</v>
      </c>
      <c r="DZ165" s="4">
        <v>49</v>
      </c>
      <c r="EA165" s="4">
        <v>91.770335000000003</v>
      </c>
      <c r="EB165" s="4">
        <v>64.150649000000001</v>
      </c>
      <c r="EC165" s="4">
        <v>98.205742000000001</v>
      </c>
      <c r="ED165" s="4">
        <v>3836</v>
      </c>
      <c r="EE165" s="4">
        <v>4105</v>
      </c>
      <c r="EF165" s="4">
        <v>89.473684000000006</v>
      </c>
      <c r="EG165" s="4">
        <v>99.808611999999997</v>
      </c>
      <c r="EH165" s="4">
        <v>59.884357000000001</v>
      </c>
      <c r="EI165" s="4">
        <v>84.810126999999994</v>
      </c>
      <c r="EJ165" s="4">
        <v>91.674640999999994</v>
      </c>
      <c r="EK165" s="4">
        <v>129.832536</v>
      </c>
      <c r="EL165" s="4">
        <v>3740</v>
      </c>
      <c r="EM165" s="4">
        <v>4172</v>
      </c>
      <c r="EN165" s="4">
        <v>3832</v>
      </c>
      <c r="EO165" s="4">
        <v>5427</v>
      </c>
      <c r="EP165" s="4">
        <v>4180</v>
      </c>
      <c r="EQ165" s="4">
        <v>6399</v>
      </c>
      <c r="ER165" s="4">
        <v>53.765799999999999</v>
      </c>
    </row>
    <row r="166" spans="1:148" x14ac:dyDescent="0.2">
      <c r="A166" s="1">
        <v>2022</v>
      </c>
      <c r="B166" s="1" t="str">
        <f t="shared" si="4"/>
        <v>NE</v>
      </c>
      <c r="C166" s="1" t="s">
        <v>926</v>
      </c>
      <c r="D166" s="1" t="s">
        <v>926</v>
      </c>
      <c r="E166" s="1">
        <v>24959</v>
      </c>
      <c r="F166" s="1" t="s">
        <v>2108</v>
      </c>
      <c r="G166" s="1" t="s">
        <v>920</v>
      </c>
      <c r="H166" s="1" t="s">
        <v>927</v>
      </c>
      <c r="I166" s="1">
        <v>16.64</v>
      </c>
      <c r="J166" s="1">
        <v>16.64</v>
      </c>
      <c r="K166" s="1" t="s">
        <v>434</v>
      </c>
      <c r="L166" s="1">
        <v>1</v>
      </c>
      <c r="M166" s="1">
        <v>2016</v>
      </c>
      <c r="N166" s="1">
        <v>3</v>
      </c>
      <c r="O166" s="1">
        <v>2</v>
      </c>
      <c r="P166" s="1" t="str">
        <f t="shared" si="5"/>
        <v>Talhadia</v>
      </c>
      <c r="Q166" s="2">
        <v>42613</v>
      </c>
      <c r="R166" s="1" t="s">
        <v>149</v>
      </c>
      <c r="S166" s="1" t="s">
        <v>150</v>
      </c>
      <c r="T166" s="1" t="s">
        <v>2268</v>
      </c>
      <c r="U166" s="1" t="s">
        <v>151</v>
      </c>
      <c r="V166" s="1" t="s">
        <v>152</v>
      </c>
      <c r="W166" s="2">
        <v>44593</v>
      </c>
      <c r="X166" s="1" t="s">
        <v>922</v>
      </c>
      <c r="Y166" s="1">
        <v>185.43</v>
      </c>
      <c r="Z166" s="1">
        <v>19.8</v>
      </c>
      <c r="AA166" s="1">
        <v>33</v>
      </c>
      <c r="AB166" s="1">
        <v>15.4</v>
      </c>
      <c r="AC166" s="1">
        <v>0</v>
      </c>
      <c r="AD166" s="3">
        <v>304.92</v>
      </c>
      <c r="AE166" s="3">
        <v>255.727429577919</v>
      </c>
      <c r="AF166" s="2">
        <v>44593</v>
      </c>
      <c r="AG166" s="1">
        <v>66</v>
      </c>
      <c r="AH166" s="3">
        <v>5.4209445585215601</v>
      </c>
      <c r="AI166" s="4">
        <v>25.252692527356999</v>
      </c>
      <c r="AJ166" s="4">
        <v>16.242307692307701</v>
      </c>
      <c r="AK166" s="4">
        <v>21.645948201721801</v>
      </c>
      <c r="AL166" s="1">
        <v>26</v>
      </c>
      <c r="AM166" s="5">
        <v>1016.70751717613</v>
      </c>
      <c r="AN166" s="4">
        <v>229.325892564132</v>
      </c>
      <c r="AO166" s="4">
        <v>0.22555738861956701</v>
      </c>
      <c r="AP166" s="1" t="s">
        <v>150</v>
      </c>
      <c r="AQ166" s="1" t="s">
        <v>254</v>
      </c>
      <c r="AR166" s="1" t="s">
        <v>925</v>
      </c>
      <c r="AS166" s="1">
        <v>9.99</v>
      </c>
      <c r="AT166" s="4">
        <v>1.0156908096589539</v>
      </c>
      <c r="AU166" s="1" t="s">
        <v>928</v>
      </c>
      <c r="AV166" s="1" t="s">
        <v>929</v>
      </c>
      <c r="AW166" s="1">
        <v>3918</v>
      </c>
      <c r="AX166" s="1">
        <v>2353</v>
      </c>
      <c r="AY166" s="1">
        <v>1433</v>
      </c>
      <c r="AZ166" s="1">
        <v>130</v>
      </c>
      <c r="BA166" s="1">
        <v>2</v>
      </c>
      <c r="BB166" s="1">
        <v>0</v>
      </c>
      <c r="BC166" s="1">
        <v>0</v>
      </c>
      <c r="BD166" s="1">
        <v>0</v>
      </c>
      <c r="BE166" s="1">
        <v>0</v>
      </c>
      <c r="BF166" s="1">
        <v>0</v>
      </c>
      <c r="BG166" s="1">
        <v>0</v>
      </c>
      <c r="BH166" s="4">
        <v>-1.095</v>
      </c>
      <c r="BI166" s="4">
        <v>27.839001</v>
      </c>
      <c r="BJ166" s="4">
        <v>15.004201</v>
      </c>
      <c r="BK166" s="4">
        <v>-0.17646000000000001</v>
      </c>
      <c r="BL166" s="4">
        <v>11.755473</v>
      </c>
      <c r="BM166" s="4">
        <v>138.19114300000001</v>
      </c>
      <c r="BN166" s="4">
        <v>0.78347900000000004</v>
      </c>
      <c r="BO166" s="4">
        <v>24.817748999999999</v>
      </c>
      <c r="BP166" s="4">
        <v>-0.43159799999999998</v>
      </c>
      <c r="BQ166" s="4">
        <v>1.263614</v>
      </c>
      <c r="BR166" s="4">
        <v>11.266507000000001</v>
      </c>
      <c r="BS166" s="4">
        <v>3.2334999999999998</v>
      </c>
      <c r="BT166" s="4">
        <v>23.144960000000001</v>
      </c>
      <c r="BU166" s="4">
        <v>15.004201</v>
      </c>
      <c r="BV166" s="4">
        <v>6.1250770000000001</v>
      </c>
      <c r="BW166" s="4">
        <v>-0.97174799999999995</v>
      </c>
      <c r="BX166" s="4">
        <v>-0.98607800000000001</v>
      </c>
      <c r="BY166" s="4">
        <v>0.40822399999999998</v>
      </c>
      <c r="BZ166" s="4">
        <v>-0.15865099999999999</v>
      </c>
      <c r="CA166" s="4">
        <v>-0.16098999999999999</v>
      </c>
      <c r="CB166" s="4">
        <v>-0.48798000000000002</v>
      </c>
      <c r="CC166" s="4">
        <v>-0.21515000000000001</v>
      </c>
      <c r="CD166" s="4">
        <v>-6.4299999999999996E-2</v>
      </c>
      <c r="CE166" s="4">
        <v>0.09</v>
      </c>
      <c r="CF166" s="4">
        <v>0.16600000000000001</v>
      </c>
      <c r="CG166" s="4">
        <v>0.26200000000000001</v>
      </c>
      <c r="CH166" s="4">
        <v>17.0686</v>
      </c>
      <c r="CI166" s="4">
        <v>22.968499999999999</v>
      </c>
      <c r="CJ166" s="4">
        <v>23.807199000000001</v>
      </c>
      <c r="CK166" s="4">
        <v>24.643699999999999</v>
      </c>
      <c r="CL166" s="4">
        <v>24.983749</v>
      </c>
      <c r="CM166" s="4">
        <v>25.294398999999999</v>
      </c>
      <c r="CN166" s="4">
        <v>26.0473</v>
      </c>
      <c r="CO166" s="4">
        <v>26.508299000000001</v>
      </c>
      <c r="CP166" s="4">
        <v>27.113222</v>
      </c>
      <c r="CQ166" s="4">
        <v>0.55641099999999999</v>
      </c>
      <c r="CR166" s="4">
        <v>19.059956</v>
      </c>
      <c r="CS166" s="4">
        <v>20.720119</v>
      </c>
      <c r="CT166" s="1">
        <v>1</v>
      </c>
      <c r="CU166" s="1">
        <v>46</v>
      </c>
      <c r="CV166" s="4">
        <v>17.740939000000001</v>
      </c>
      <c r="CW166" s="4">
        <v>1.714286</v>
      </c>
      <c r="CX166" s="4">
        <v>11.515959000000001</v>
      </c>
      <c r="CY166" s="4">
        <v>132.617323</v>
      </c>
      <c r="CZ166" s="4">
        <v>0.64911799999999997</v>
      </c>
      <c r="DA166" s="4">
        <v>22</v>
      </c>
      <c r="DB166" s="4">
        <v>4.3298000000000003E-2</v>
      </c>
      <c r="DC166" s="4">
        <v>1.720121</v>
      </c>
      <c r="DD166" s="4">
        <v>10.217098999999999</v>
      </c>
      <c r="DE166" s="4">
        <v>17.740939000000001</v>
      </c>
      <c r="DF166" s="4">
        <v>6.6118779999999999</v>
      </c>
      <c r="DG166" s="4">
        <v>8.2327999999999998E-2</v>
      </c>
      <c r="DH166" s="4">
        <v>-0.208481</v>
      </c>
      <c r="DI166" s="4">
        <v>0.37269000000000002</v>
      </c>
      <c r="DJ166" s="4">
        <v>1.2452E-2</v>
      </c>
      <c r="DK166" s="4">
        <v>-3.1531000000000003E-2</v>
      </c>
      <c r="DL166" s="4">
        <v>1</v>
      </c>
      <c r="DM166" s="4">
        <v>1</v>
      </c>
      <c r="DN166" s="4">
        <v>2</v>
      </c>
      <c r="DO166" s="4">
        <v>5</v>
      </c>
      <c r="DP166" s="4">
        <v>6</v>
      </c>
      <c r="DQ166" s="4">
        <v>8</v>
      </c>
      <c r="DR166" s="4">
        <v>13</v>
      </c>
      <c r="DS166" s="4">
        <v>19</v>
      </c>
      <c r="DT166" s="4">
        <v>23</v>
      </c>
      <c r="DU166" s="4">
        <v>26</v>
      </c>
      <c r="DV166" s="4">
        <v>28</v>
      </c>
      <c r="DW166" s="4">
        <v>29</v>
      </c>
      <c r="DX166" s="4">
        <v>32</v>
      </c>
      <c r="DY166" s="4">
        <v>35</v>
      </c>
      <c r="DZ166" s="4">
        <v>40</v>
      </c>
      <c r="EA166" s="4">
        <v>98.257543999999996</v>
      </c>
      <c r="EB166" s="4">
        <v>62.889229</v>
      </c>
      <c r="EC166" s="4">
        <v>104.717382</v>
      </c>
      <c r="ED166" s="4">
        <v>2312</v>
      </c>
      <c r="EE166" s="4">
        <v>2464</v>
      </c>
      <c r="EF166" s="4">
        <v>97.832554000000002</v>
      </c>
      <c r="EG166" s="4">
        <v>100</v>
      </c>
      <c r="EH166" s="4">
        <v>61.000509999999998</v>
      </c>
      <c r="EI166" s="4">
        <v>93.950995000000006</v>
      </c>
      <c r="EJ166" s="4">
        <v>101.572461</v>
      </c>
      <c r="EK166" s="4">
        <v>156.43858900000001</v>
      </c>
      <c r="EL166" s="4">
        <v>2302</v>
      </c>
      <c r="EM166" s="4">
        <v>2353</v>
      </c>
      <c r="EN166" s="4">
        <v>2390</v>
      </c>
      <c r="EO166" s="4">
        <v>3681</v>
      </c>
      <c r="EP166" s="4">
        <v>2353</v>
      </c>
      <c r="EQ166" s="4">
        <v>3918</v>
      </c>
      <c r="ER166" s="4">
        <v>54.381537999999999</v>
      </c>
    </row>
    <row r="167" spans="1:148" x14ac:dyDescent="0.2">
      <c r="A167" s="1">
        <v>2022</v>
      </c>
      <c r="B167" s="1" t="str">
        <f t="shared" si="4"/>
        <v>NE</v>
      </c>
      <c r="C167" s="1" t="s">
        <v>930</v>
      </c>
      <c r="D167" s="1" t="s">
        <v>930</v>
      </c>
      <c r="E167" s="1">
        <v>24961</v>
      </c>
      <c r="F167" s="1" t="s">
        <v>2108</v>
      </c>
      <c r="G167" s="1" t="s">
        <v>920</v>
      </c>
      <c r="H167" s="1" t="s">
        <v>931</v>
      </c>
      <c r="I167" s="1">
        <v>14.89</v>
      </c>
      <c r="J167" s="1">
        <v>14.89</v>
      </c>
      <c r="K167" s="1" t="s">
        <v>434</v>
      </c>
      <c r="L167" s="1">
        <v>1</v>
      </c>
      <c r="M167" s="1">
        <v>2016</v>
      </c>
      <c r="N167" s="1">
        <v>3</v>
      </c>
      <c r="O167" s="1">
        <v>2</v>
      </c>
      <c r="P167" s="1" t="str">
        <f t="shared" si="5"/>
        <v>Talhadia</v>
      </c>
      <c r="Q167" s="2">
        <v>42612</v>
      </c>
      <c r="R167" s="1" t="s">
        <v>306</v>
      </c>
      <c r="S167" s="1" t="s">
        <v>619</v>
      </c>
      <c r="T167" s="1" t="s">
        <v>2268</v>
      </c>
      <c r="U167" s="1" t="s">
        <v>151</v>
      </c>
      <c r="V167" s="1" t="s">
        <v>152</v>
      </c>
      <c r="W167" s="2">
        <v>44593</v>
      </c>
      <c r="X167" s="1" t="s">
        <v>922</v>
      </c>
      <c r="Y167" s="1">
        <v>185.43</v>
      </c>
      <c r="Z167" s="1">
        <v>20</v>
      </c>
      <c r="AA167" s="1">
        <v>19</v>
      </c>
      <c r="AB167" s="1">
        <v>15.4</v>
      </c>
      <c r="AC167" s="1">
        <v>9</v>
      </c>
      <c r="AD167" s="3">
        <v>308</v>
      </c>
      <c r="AE167" s="3">
        <v>287.634323264155</v>
      </c>
      <c r="AF167" s="2">
        <v>44593</v>
      </c>
      <c r="AG167" s="1">
        <v>66</v>
      </c>
      <c r="AH167" s="3">
        <v>5.4236824093086904</v>
      </c>
      <c r="AI167" s="4">
        <v>28.1536723167732</v>
      </c>
      <c r="AJ167" s="4">
        <v>17.023809523809501</v>
      </c>
      <c r="AK167" s="4">
        <v>16.9299459537804</v>
      </c>
      <c r="AL167" s="1">
        <v>21</v>
      </c>
      <c r="AM167" s="5">
        <v>730.09367455476502</v>
      </c>
      <c r="AN167" s="4">
        <v>204.662753623664</v>
      </c>
      <c r="AO167" s="4">
        <v>0.28032396493295803</v>
      </c>
      <c r="AP167" s="1" t="s">
        <v>619</v>
      </c>
      <c r="AQ167" s="1" t="s">
        <v>254</v>
      </c>
      <c r="AR167" s="1" t="s">
        <v>934</v>
      </c>
      <c r="AS167" s="1">
        <v>9.99</v>
      </c>
      <c r="AT167" s="4">
        <v>0.72936358088021025</v>
      </c>
      <c r="AU167" s="1" t="s">
        <v>932</v>
      </c>
      <c r="AV167" s="1" t="s">
        <v>933</v>
      </c>
      <c r="AW167" s="1">
        <v>5108</v>
      </c>
      <c r="AX167" s="1">
        <v>2671</v>
      </c>
      <c r="AY167" s="1">
        <v>1924</v>
      </c>
      <c r="AZ167" s="1">
        <v>474</v>
      </c>
      <c r="BA167" s="1">
        <v>39</v>
      </c>
      <c r="BB167" s="1">
        <v>0</v>
      </c>
      <c r="BC167" s="1">
        <v>0</v>
      </c>
      <c r="BD167" s="1">
        <v>0</v>
      </c>
      <c r="BE167" s="1">
        <v>0</v>
      </c>
      <c r="BF167" s="1">
        <v>0</v>
      </c>
      <c r="BG167" s="1">
        <v>0</v>
      </c>
      <c r="BH167" s="4">
        <v>-1.171</v>
      </c>
      <c r="BI167" s="4">
        <v>33.050998999999997</v>
      </c>
      <c r="BJ167" s="4">
        <v>13.223223000000001</v>
      </c>
      <c r="BK167" s="4">
        <v>-8.4586999999999996E-2</v>
      </c>
      <c r="BL167" s="4">
        <v>12.588438999999999</v>
      </c>
      <c r="BM167" s="4">
        <v>158.46879000000001</v>
      </c>
      <c r="BN167" s="4">
        <v>0.95199500000000004</v>
      </c>
      <c r="BO167" s="4">
        <v>27.346250999999999</v>
      </c>
      <c r="BP167" s="4">
        <v>0.14771100000000001</v>
      </c>
      <c r="BQ167" s="4">
        <v>1.3053300000000001</v>
      </c>
      <c r="BR167" s="4">
        <v>11.671422</v>
      </c>
      <c r="BS167" s="4">
        <v>12.5945</v>
      </c>
      <c r="BT167" s="4">
        <v>12.687087</v>
      </c>
      <c r="BU167" s="4">
        <v>13.223223000000001</v>
      </c>
      <c r="BV167" s="4">
        <v>6.9479090000000001</v>
      </c>
      <c r="BW167" s="4">
        <v>0.63903200000000004</v>
      </c>
      <c r="BX167" s="4">
        <v>-1.1121479999999999</v>
      </c>
      <c r="BY167" s="4">
        <v>0.52543200000000001</v>
      </c>
      <c r="BZ167" s="4">
        <v>9.1975000000000001E-2</v>
      </c>
      <c r="CA167" s="4">
        <v>-0.16006899999999999</v>
      </c>
      <c r="CB167" s="4">
        <v>-0.44792999999999999</v>
      </c>
      <c r="CC167" s="4">
        <v>-0.18565000000000001</v>
      </c>
      <c r="CD167" s="4">
        <v>-9.8000000000000004E-2</v>
      </c>
      <c r="CE167" s="4">
        <v>1.4999999999999999E-2</v>
      </c>
      <c r="CF167" s="4">
        <v>6.9000000000000006E-2</v>
      </c>
      <c r="CG167" s="4">
        <v>0.1201</v>
      </c>
      <c r="CH167" s="4">
        <v>0.31519999999999998</v>
      </c>
      <c r="CI167" s="4">
        <v>12.602499999999999</v>
      </c>
      <c r="CJ167" s="4">
        <v>18.923999999999999</v>
      </c>
      <c r="CK167" s="4">
        <v>25.9757</v>
      </c>
      <c r="CL167" s="4">
        <v>27.415251000000001</v>
      </c>
      <c r="CM167" s="4">
        <v>28.306598999999999</v>
      </c>
      <c r="CN167" s="4">
        <v>29.555201</v>
      </c>
      <c r="CO167" s="4">
        <v>30.233650000000001</v>
      </c>
      <c r="CP167" s="4">
        <v>31.479020999999999</v>
      </c>
      <c r="CQ167" s="4">
        <v>0.42061300000000001</v>
      </c>
      <c r="CR167" s="4">
        <v>18.256270000000001</v>
      </c>
      <c r="CS167" s="4">
        <v>20.717223000000001</v>
      </c>
      <c r="CT167" s="1">
        <v>1</v>
      </c>
      <c r="CU167" s="1">
        <v>57</v>
      </c>
      <c r="CV167" s="4">
        <v>12.8148</v>
      </c>
      <c r="CW167" s="4">
        <v>1</v>
      </c>
      <c r="CX167" s="4">
        <v>11.054618</v>
      </c>
      <c r="CY167" s="4">
        <v>122.204582</v>
      </c>
      <c r="CZ167" s="4">
        <v>0.862645</v>
      </c>
      <c r="DA167" s="4">
        <v>13</v>
      </c>
      <c r="DB167" s="4">
        <v>1.4472</v>
      </c>
      <c r="DC167" s="4">
        <v>4.9217329999999997</v>
      </c>
      <c r="DD167" s="4">
        <v>8.3507029999999993</v>
      </c>
      <c r="DE167" s="4">
        <v>12.8148</v>
      </c>
      <c r="DF167" s="4">
        <v>5.7627790000000001</v>
      </c>
      <c r="DG167" s="4">
        <v>1.6697919999999999</v>
      </c>
      <c r="DH167" s="4">
        <v>0.86095999999999995</v>
      </c>
      <c r="DI167" s="4">
        <v>0.44969700000000001</v>
      </c>
      <c r="DJ167" s="4">
        <v>0.28975499999999998</v>
      </c>
      <c r="DK167" s="4">
        <v>0.14940000000000001</v>
      </c>
      <c r="DL167" s="4">
        <v>1</v>
      </c>
      <c r="DM167" s="4">
        <v>1</v>
      </c>
      <c r="DN167" s="4">
        <v>2</v>
      </c>
      <c r="DO167" s="4">
        <v>4</v>
      </c>
      <c r="DP167" s="4">
        <v>4</v>
      </c>
      <c r="DQ167" s="4">
        <v>5</v>
      </c>
      <c r="DR167" s="4">
        <v>8</v>
      </c>
      <c r="DS167" s="4">
        <v>10</v>
      </c>
      <c r="DT167" s="4">
        <v>12</v>
      </c>
      <c r="DU167" s="4">
        <v>15</v>
      </c>
      <c r="DV167" s="4">
        <v>17</v>
      </c>
      <c r="DW167" s="4">
        <v>20</v>
      </c>
      <c r="DX167" s="4">
        <v>28</v>
      </c>
      <c r="DY167" s="4">
        <v>39.649901999999997</v>
      </c>
      <c r="DZ167" s="4">
        <v>48</v>
      </c>
      <c r="EA167" s="4">
        <v>81.280418999999995</v>
      </c>
      <c r="EB167" s="4">
        <v>57.889584999999997</v>
      </c>
      <c r="EC167" s="4">
        <v>110.7076</v>
      </c>
      <c r="ED167" s="4">
        <v>2171</v>
      </c>
      <c r="EE167" s="4">
        <v>2957</v>
      </c>
      <c r="EF167" s="4">
        <v>75.215275000000005</v>
      </c>
      <c r="EG167" s="4">
        <v>99.588168999999994</v>
      </c>
      <c r="EH167" s="4">
        <v>49.119028999999998</v>
      </c>
      <c r="EI167" s="4">
        <v>88.919342</v>
      </c>
      <c r="EJ167" s="4">
        <v>93.934855999999996</v>
      </c>
      <c r="EK167" s="4">
        <v>170.04867100000001</v>
      </c>
      <c r="EL167" s="4">
        <v>2009</v>
      </c>
      <c r="EM167" s="4">
        <v>2660</v>
      </c>
      <c r="EN167" s="4">
        <v>2509</v>
      </c>
      <c r="EO167" s="4">
        <v>4542</v>
      </c>
      <c r="EP167" s="4">
        <v>2671</v>
      </c>
      <c r="EQ167" s="4">
        <v>5108</v>
      </c>
      <c r="ER167" s="4">
        <v>41.049140000000001</v>
      </c>
    </row>
    <row r="168" spans="1:148" x14ac:dyDescent="0.2">
      <c r="A168" s="1">
        <v>2022</v>
      </c>
      <c r="B168" s="1" t="str">
        <f t="shared" si="4"/>
        <v>NE</v>
      </c>
      <c r="C168" s="1" t="s">
        <v>935</v>
      </c>
      <c r="D168" s="1" t="s">
        <v>935</v>
      </c>
      <c r="E168" s="1">
        <v>24967</v>
      </c>
      <c r="F168" s="1" t="s">
        <v>2108</v>
      </c>
      <c r="G168" s="1" t="s">
        <v>920</v>
      </c>
      <c r="H168" s="1" t="s">
        <v>936</v>
      </c>
      <c r="I168" s="1">
        <v>17.38</v>
      </c>
      <c r="J168" s="1">
        <v>17.38</v>
      </c>
      <c r="K168" s="1" t="s">
        <v>434</v>
      </c>
      <c r="L168" s="1">
        <v>1</v>
      </c>
      <c r="M168" s="1">
        <v>2016</v>
      </c>
      <c r="N168" s="1">
        <v>2</v>
      </c>
      <c r="O168" s="1">
        <v>2</v>
      </c>
      <c r="P168" s="1" t="str">
        <f t="shared" si="5"/>
        <v>Talhadia</v>
      </c>
      <c r="Q168" s="2">
        <v>42675</v>
      </c>
      <c r="R168" s="1" t="s">
        <v>169</v>
      </c>
      <c r="S168" s="1" t="s">
        <v>348</v>
      </c>
      <c r="T168" s="1" t="s">
        <v>2268</v>
      </c>
      <c r="U168" s="1" t="s">
        <v>151</v>
      </c>
      <c r="V168" s="1" t="s">
        <v>152</v>
      </c>
      <c r="W168" s="2">
        <v>44588</v>
      </c>
      <c r="X168" s="1" t="s">
        <v>922</v>
      </c>
      <c r="Y168" s="1">
        <v>185.43</v>
      </c>
      <c r="Z168" s="1">
        <v>19.399999999999999</v>
      </c>
      <c r="AA168" s="1">
        <v>26</v>
      </c>
      <c r="AB168" s="1">
        <v>13.5</v>
      </c>
      <c r="AC168" s="1">
        <v>2</v>
      </c>
      <c r="AD168" s="3">
        <v>261.89999999999998</v>
      </c>
      <c r="AE168" s="3">
        <v>235.25076496317499</v>
      </c>
      <c r="AF168" s="2">
        <v>44588</v>
      </c>
      <c r="AG168" s="1">
        <v>62</v>
      </c>
      <c r="AH168" s="3">
        <v>5.2375085557837098</v>
      </c>
      <c r="AI168" s="4">
        <v>22.7725597077511</v>
      </c>
      <c r="AJ168" s="4">
        <v>15.51</v>
      </c>
      <c r="AK168" s="4">
        <v>16.944914450890401</v>
      </c>
      <c r="AL168" s="1">
        <v>20</v>
      </c>
      <c r="AM168" s="5">
        <v>850.15664043135803</v>
      </c>
      <c r="AN168" s="4">
        <v>163.96202104127599</v>
      </c>
      <c r="AO168" s="4">
        <v>0.192860954374342</v>
      </c>
      <c r="AP168" s="1" t="s">
        <v>348</v>
      </c>
      <c r="AQ168" s="1" t="s">
        <v>254</v>
      </c>
      <c r="AR168" s="1" t="s">
        <v>939</v>
      </c>
      <c r="AS168" s="1">
        <v>9</v>
      </c>
      <c r="AT168" s="4">
        <v>0.7651409763882222</v>
      </c>
      <c r="AU168" s="1" t="s">
        <v>937</v>
      </c>
      <c r="AV168" s="1" t="s">
        <v>938</v>
      </c>
      <c r="AW168" s="1">
        <v>3922</v>
      </c>
      <c r="AX168" s="1">
        <v>1923</v>
      </c>
      <c r="AY168" s="1">
        <v>1673</v>
      </c>
      <c r="AZ168" s="1">
        <v>310</v>
      </c>
      <c r="BA168" s="1">
        <v>16</v>
      </c>
      <c r="BB168" s="1">
        <v>0</v>
      </c>
      <c r="BC168" s="1">
        <v>0</v>
      </c>
      <c r="BD168" s="1">
        <v>0</v>
      </c>
      <c r="BE168" s="1">
        <v>0</v>
      </c>
      <c r="BF168" s="1">
        <v>0</v>
      </c>
      <c r="BG168" s="1">
        <v>0</v>
      </c>
      <c r="BH168" s="4">
        <v>-1.496</v>
      </c>
      <c r="BI168" s="4">
        <v>31.264999</v>
      </c>
      <c r="BJ168" s="4">
        <v>11.719260999999999</v>
      </c>
      <c r="BK168" s="4">
        <v>-0.45596799999999998</v>
      </c>
      <c r="BL168" s="4">
        <v>12.180688999999999</v>
      </c>
      <c r="BM168" s="4">
        <v>148.36918800000001</v>
      </c>
      <c r="BN168" s="4">
        <v>1.0393730000000001</v>
      </c>
      <c r="BO168" s="4">
        <v>24.81775</v>
      </c>
      <c r="BP168" s="4">
        <v>0.22961999999999999</v>
      </c>
      <c r="BQ168" s="4">
        <v>1.254883</v>
      </c>
      <c r="BR168" s="4">
        <v>11.705016000000001</v>
      </c>
      <c r="BS168" s="4">
        <v>6.6980000000000004</v>
      </c>
      <c r="BT168" s="4">
        <v>6.8514679999999997</v>
      </c>
      <c r="BU168" s="4">
        <v>11.719260999999999</v>
      </c>
      <c r="BV168" s="4">
        <v>6.5687150000000001</v>
      </c>
      <c r="BW168" s="4">
        <v>0.95344200000000001</v>
      </c>
      <c r="BX168" s="4">
        <v>-1.050052</v>
      </c>
      <c r="BY168" s="4">
        <v>0.56050599999999995</v>
      </c>
      <c r="BZ168" s="4">
        <v>0.145149</v>
      </c>
      <c r="CA168" s="4">
        <v>-0.159857</v>
      </c>
      <c r="CB168" s="4">
        <v>-0.46937000000000001</v>
      </c>
      <c r="CC168" s="4">
        <v>-0.20494999999999999</v>
      </c>
      <c r="CD168" s="4">
        <v>-0.1</v>
      </c>
      <c r="CE168" s="4">
        <v>1.7000000000000001E-2</v>
      </c>
      <c r="CF168" s="4">
        <v>6.4250000000000002E-2</v>
      </c>
      <c r="CG168" s="4">
        <v>0.109</v>
      </c>
      <c r="CH168" s="4">
        <v>0.22900000000000001</v>
      </c>
      <c r="CI168" s="4">
        <v>6.3955000000000002</v>
      </c>
      <c r="CJ168" s="4">
        <v>19.115601000000002</v>
      </c>
      <c r="CK168" s="4">
        <v>22.018498999999998</v>
      </c>
      <c r="CL168" s="4">
        <v>24.882000000000001</v>
      </c>
      <c r="CM168" s="4">
        <v>26.165600000000001</v>
      </c>
      <c r="CN168" s="4">
        <v>28.171199999999999</v>
      </c>
      <c r="CO168" s="4">
        <v>28.861149000000001</v>
      </c>
      <c r="CP168" s="4">
        <v>29.934011000000002</v>
      </c>
      <c r="CQ168" s="4">
        <v>0.40338400000000002</v>
      </c>
      <c r="CR168" s="4">
        <v>16.901847</v>
      </c>
      <c r="CS168" s="4">
        <v>19.344950000000001</v>
      </c>
      <c r="CT168" s="1">
        <v>1</v>
      </c>
      <c r="CU168" s="1">
        <v>43</v>
      </c>
      <c r="CV168" s="4">
        <v>10.45232</v>
      </c>
      <c r="CW168" s="4">
        <v>1</v>
      </c>
      <c r="CX168" s="4">
        <v>7.761584</v>
      </c>
      <c r="CY168" s="4">
        <v>60.242179</v>
      </c>
      <c r="CZ168" s="4">
        <v>0.74256999999999995</v>
      </c>
      <c r="DA168" s="4">
        <v>11</v>
      </c>
      <c r="DB168" s="4">
        <v>0.95490900000000001</v>
      </c>
      <c r="DC168" s="4">
        <v>3.770349</v>
      </c>
      <c r="DD168" s="4">
        <v>6.2279499999999999</v>
      </c>
      <c r="DE168" s="4">
        <v>10.45232</v>
      </c>
      <c r="DF168" s="4">
        <v>4.2624219999999999</v>
      </c>
      <c r="DG168" s="4">
        <v>0.79371400000000003</v>
      </c>
      <c r="DH168" s="4">
        <v>0.38040000000000002</v>
      </c>
      <c r="DI168" s="4">
        <v>0.40779700000000002</v>
      </c>
      <c r="DJ168" s="4">
        <v>0.18621199999999999</v>
      </c>
      <c r="DK168" s="4">
        <v>8.9245000000000005E-2</v>
      </c>
      <c r="DL168" s="4">
        <v>1</v>
      </c>
      <c r="DM168" s="4">
        <v>1</v>
      </c>
      <c r="DN168" s="4">
        <v>1</v>
      </c>
      <c r="DO168" s="4">
        <v>3</v>
      </c>
      <c r="DP168" s="4">
        <v>4</v>
      </c>
      <c r="DQ168" s="4">
        <v>5</v>
      </c>
      <c r="DR168" s="4">
        <v>7</v>
      </c>
      <c r="DS168" s="4">
        <v>9</v>
      </c>
      <c r="DT168" s="4">
        <v>11</v>
      </c>
      <c r="DU168" s="4">
        <v>14</v>
      </c>
      <c r="DV168" s="4">
        <v>15</v>
      </c>
      <c r="DW168" s="4">
        <v>16</v>
      </c>
      <c r="DX168" s="4">
        <v>21</v>
      </c>
      <c r="DY168" s="4">
        <v>25</v>
      </c>
      <c r="DZ168" s="4">
        <v>35</v>
      </c>
      <c r="EA168" s="4">
        <v>87.831513000000001</v>
      </c>
      <c r="EB168" s="4">
        <v>50.968893000000001</v>
      </c>
      <c r="EC168" s="4">
        <v>103.952158</v>
      </c>
      <c r="ED168" s="4">
        <v>1689</v>
      </c>
      <c r="EE168" s="4">
        <v>1999</v>
      </c>
      <c r="EF168" s="4">
        <v>86.427457000000004</v>
      </c>
      <c r="EG168" s="4">
        <v>100</v>
      </c>
      <c r="EH168" s="4">
        <v>47.705252000000002</v>
      </c>
      <c r="EI168" s="4">
        <v>98.929118000000003</v>
      </c>
      <c r="EJ168" s="4">
        <v>97.295891999999995</v>
      </c>
      <c r="EK168" s="4">
        <v>201.76807099999999</v>
      </c>
      <c r="EL168" s="4">
        <v>1662</v>
      </c>
      <c r="EM168" s="4">
        <v>1923</v>
      </c>
      <c r="EN168" s="4">
        <v>1871</v>
      </c>
      <c r="EO168" s="4">
        <v>3880</v>
      </c>
      <c r="EP168" s="4">
        <v>1923</v>
      </c>
      <c r="EQ168" s="4">
        <v>3922</v>
      </c>
      <c r="ER168" s="4">
        <v>38.182277999999997</v>
      </c>
    </row>
    <row r="169" spans="1:148" x14ac:dyDescent="0.2">
      <c r="A169" s="1">
        <v>2022</v>
      </c>
      <c r="B169" s="1" t="str">
        <f t="shared" si="4"/>
        <v>NE</v>
      </c>
      <c r="C169" s="1" t="s">
        <v>940</v>
      </c>
      <c r="D169" s="1" t="s">
        <v>940</v>
      </c>
      <c r="E169" s="1">
        <v>24968</v>
      </c>
      <c r="F169" s="1" t="s">
        <v>2107</v>
      </c>
      <c r="G169" s="1" t="s">
        <v>920</v>
      </c>
      <c r="H169" s="1" t="s">
        <v>941</v>
      </c>
      <c r="I169" s="1">
        <v>21.21</v>
      </c>
      <c r="J169" s="1">
        <v>21.21</v>
      </c>
      <c r="K169" s="1" t="s">
        <v>434</v>
      </c>
      <c r="L169" s="1">
        <v>1</v>
      </c>
      <c r="M169" s="1">
        <v>2016</v>
      </c>
      <c r="N169" s="1">
        <v>3</v>
      </c>
      <c r="O169" s="1">
        <v>1</v>
      </c>
      <c r="P169" s="1" t="str">
        <f t="shared" si="5"/>
        <v>Alto fuste</v>
      </c>
      <c r="Q169" s="2">
        <v>42611</v>
      </c>
      <c r="R169" s="1" t="s">
        <v>169</v>
      </c>
      <c r="S169" s="1" t="s">
        <v>651</v>
      </c>
      <c r="T169" s="1" t="s">
        <v>2268</v>
      </c>
      <c r="U169" s="1" t="s">
        <v>151</v>
      </c>
      <c r="V169" s="1" t="s">
        <v>152</v>
      </c>
      <c r="W169" s="2">
        <v>44593</v>
      </c>
      <c r="X169" s="1" t="s">
        <v>922</v>
      </c>
      <c r="Y169" s="1">
        <v>173.34</v>
      </c>
      <c r="Z169" s="1">
        <v>19.3</v>
      </c>
      <c r="AA169" s="1">
        <v>25</v>
      </c>
      <c r="AB169" s="1">
        <v>14.7</v>
      </c>
      <c r="AC169" s="1">
        <v>1</v>
      </c>
      <c r="AD169" s="3">
        <v>283.70999999999998</v>
      </c>
      <c r="AE169" s="3">
        <v>257.08942033165999</v>
      </c>
      <c r="AF169" s="2">
        <v>44593</v>
      </c>
      <c r="AG169" s="1">
        <v>66</v>
      </c>
      <c r="AH169" s="3">
        <v>5.4264202600958296</v>
      </c>
      <c r="AI169" s="4">
        <v>26.716842792487402</v>
      </c>
      <c r="AJ169" s="4">
        <v>16.838709677419399</v>
      </c>
      <c r="AK169" s="4">
        <v>27.140151701327</v>
      </c>
      <c r="AL169" s="1">
        <v>31</v>
      </c>
      <c r="AM169" s="5">
        <v>1205.8061339128001</v>
      </c>
      <c r="AN169" s="4">
        <v>319.29740504751697</v>
      </c>
      <c r="AO169" s="4">
        <v>0.26479995089377201</v>
      </c>
      <c r="AP169" s="1" t="s">
        <v>651</v>
      </c>
      <c r="AQ169" s="1" t="s">
        <v>156</v>
      </c>
      <c r="AR169" s="1" t="s">
        <v>925</v>
      </c>
      <c r="AS169" s="1">
        <v>9</v>
      </c>
      <c r="AT169" s="4">
        <v>1.08522552052152</v>
      </c>
      <c r="AU169" s="1" t="s">
        <v>942</v>
      </c>
      <c r="AV169" s="1" t="s">
        <v>943</v>
      </c>
      <c r="AW169" s="1">
        <v>4974</v>
      </c>
      <c r="AX169" s="1">
        <v>2810</v>
      </c>
      <c r="AY169" s="1">
        <v>2031</v>
      </c>
      <c r="AZ169" s="1">
        <v>133</v>
      </c>
      <c r="BA169" s="1">
        <v>0</v>
      </c>
      <c r="BB169" s="1">
        <v>0</v>
      </c>
      <c r="BC169" s="1">
        <v>0</v>
      </c>
      <c r="BD169" s="1">
        <v>0</v>
      </c>
      <c r="BE169" s="1">
        <v>0</v>
      </c>
      <c r="BF169" s="1">
        <v>0</v>
      </c>
      <c r="BG169" s="1">
        <v>0</v>
      </c>
      <c r="BH169" s="4">
        <v>-1.083</v>
      </c>
      <c r="BI169" s="4">
        <v>31.719999000000001</v>
      </c>
      <c r="BJ169" s="4">
        <v>14.395865000000001</v>
      </c>
      <c r="BK169" s="4">
        <v>-4.1634999999999998E-2</v>
      </c>
      <c r="BL169" s="4">
        <v>13.825106</v>
      </c>
      <c r="BM169" s="4">
        <v>191.13355300000001</v>
      </c>
      <c r="BN169" s="4">
        <v>0.96035300000000001</v>
      </c>
      <c r="BO169" s="4">
        <v>28.062999999999999</v>
      </c>
      <c r="BP169" s="4">
        <v>-1.2555999999999999E-2</v>
      </c>
      <c r="BQ169" s="4">
        <v>1.063841</v>
      </c>
      <c r="BR169" s="4">
        <v>13.584209</v>
      </c>
      <c r="BS169" s="4">
        <v>14.632</v>
      </c>
      <c r="BT169" s="4">
        <v>14.978635000000001</v>
      </c>
      <c r="BU169" s="4">
        <v>14.395865000000001</v>
      </c>
      <c r="BV169" s="4">
        <v>7.2661239999999996</v>
      </c>
      <c r="BW169" s="4">
        <v>0.14952699999999999</v>
      </c>
      <c r="BX169" s="4">
        <v>-1.5349139999999999</v>
      </c>
      <c r="BY169" s="4">
        <v>0.50473699999999999</v>
      </c>
      <c r="BZ169" s="4">
        <v>2.0579E-2</v>
      </c>
      <c r="CA169" s="4">
        <v>-0.21124200000000001</v>
      </c>
      <c r="CB169" s="4">
        <v>-0.51500000000000001</v>
      </c>
      <c r="CC169" s="4">
        <v>-0.21035000000000001</v>
      </c>
      <c r="CD169" s="4">
        <v>-9.2999999999999999E-2</v>
      </c>
      <c r="CE169" s="4">
        <v>3.2000000000000001E-2</v>
      </c>
      <c r="CF169" s="4">
        <v>8.6249999999999993E-2</v>
      </c>
      <c r="CG169" s="4">
        <v>0.14099999999999999</v>
      </c>
      <c r="CH169" s="4">
        <v>0.30620000000000003</v>
      </c>
      <c r="CI169" s="4">
        <v>14.936999999999999</v>
      </c>
      <c r="CJ169" s="4">
        <v>26.752001</v>
      </c>
      <c r="CK169" s="4">
        <v>27.735299999999999</v>
      </c>
      <c r="CL169" s="4">
        <v>28.149249999999999</v>
      </c>
      <c r="CM169" s="4">
        <v>28.545200000000001</v>
      </c>
      <c r="CN169" s="4">
        <v>29.584</v>
      </c>
      <c r="CO169" s="4">
        <v>30.380699</v>
      </c>
      <c r="CP169" s="4">
        <v>31.123349999999999</v>
      </c>
      <c r="CQ169" s="4">
        <v>0.47187299999999999</v>
      </c>
      <c r="CR169" s="4">
        <v>19.958358</v>
      </c>
      <c r="CS169" s="4">
        <v>22.375889000000001</v>
      </c>
      <c r="CT169" s="1">
        <v>1</v>
      </c>
      <c r="CU169" s="1">
        <v>52</v>
      </c>
      <c r="CV169" s="4">
        <v>16.281665</v>
      </c>
      <c r="CW169" s="4">
        <v>1</v>
      </c>
      <c r="CX169" s="4">
        <v>11.332872999999999</v>
      </c>
      <c r="CY169" s="4">
        <v>128.434021</v>
      </c>
      <c r="CZ169" s="4">
        <v>0.69605099999999998</v>
      </c>
      <c r="DA169" s="4">
        <v>19</v>
      </c>
      <c r="DB169" s="4">
        <v>0.42111999999999999</v>
      </c>
      <c r="DC169" s="4">
        <v>2.2483580000000001</v>
      </c>
      <c r="DD169" s="4">
        <v>9.6636100000000003</v>
      </c>
      <c r="DE169" s="4">
        <v>16.281665</v>
      </c>
      <c r="DF169" s="4">
        <v>6.4522740000000001</v>
      </c>
      <c r="DG169" s="4">
        <v>0.67922899999999997</v>
      </c>
      <c r="DH169" s="4">
        <v>0.14459900000000001</v>
      </c>
      <c r="DI169" s="4">
        <v>0.396291</v>
      </c>
      <c r="DJ169" s="4">
        <v>0.10527</v>
      </c>
      <c r="DK169" s="4">
        <v>2.2411E-2</v>
      </c>
      <c r="DL169" s="4">
        <v>1</v>
      </c>
      <c r="DM169" s="4">
        <v>1</v>
      </c>
      <c r="DN169" s="4">
        <v>2</v>
      </c>
      <c r="DO169" s="4">
        <v>5</v>
      </c>
      <c r="DP169" s="4">
        <v>6</v>
      </c>
      <c r="DQ169" s="4">
        <v>8</v>
      </c>
      <c r="DR169" s="4">
        <v>11</v>
      </c>
      <c r="DS169" s="4">
        <v>15</v>
      </c>
      <c r="DT169" s="4">
        <v>19</v>
      </c>
      <c r="DU169" s="4">
        <v>23</v>
      </c>
      <c r="DV169" s="4">
        <v>25</v>
      </c>
      <c r="DW169" s="4">
        <v>27</v>
      </c>
      <c r="DX169" s="4">
        <v>32</v>
      </c>
      <c r="DY169" s="4">
        <v>37</v>
      </c>
      <c r="DZ169" s="4">
        <v>43</v>
      </c>
      <c r="EA169" s="4">
        <v>89.217082000000005</v>
      </c>
      <c r="EB169" s="4">
        <v>53.256936000000003</v>
      </c>
      <c r="EC169" s="4">
        <v>94.270463000000007</v>
      </c>
      <c r="ED169" s="4">
        <v>2507</v>
      </c>
      <c r="EE169" s="4">
        <v>2649</v>
      </c>
      <c r="EF169" s="4">
        <v>86.725978999999995</v>
      </c>
      <c r="EG169" s="4">
        <v>99.893237999999997</v>
      </c>
      <c r="EH169" s="4">
        <v>50.361882000000001</v>
      </c>
      <c r="EI169" s="4">
        <v>86.389223999999999</v>
      </c>
      <c r="EJ169" s="4">
        <v>89.145906999999994</v>
      </c>
      <c r="EK169" s="4">
        <v>152.918149</v>
      </c>
      <c r="EL169" s="4">
        <v>2437</v>
      </c>
      <c r="EM169" s="4">
        <v>2807</v>
      </c>
      <c r="EN169" s="4">
        <v>2505</v>
      </c>
      <c r="EO169" s="4">
        <v>4297</v>
      </c>
      <c r="EP169" s="4">
        <v>2810</v>
      </c>
      <c r="EQ169" s="4">
        <v>4974</v>
      </c>
      <c r="ER169" s="4">
        <v>45.367916000000001</v>
      </c>
    </row>
    <row r="170" spans="1:148" x14ac:dyDescent="0.2">
      <c r="A170" s="1">
        <v>2022</v>
      </c>
      <c r="B170" s="1" t="str">
        <f t="shared" si="4"/>
        <v>NE</v>
      </c>
      <c r="C170" s="1" t="s">
        <v>944</v>
      </c>
      <c r="D170" s="1" t="s">
        <v>944</v>
      </c>
      <c r="E170" s="1">
        <v>24969</v>
      </c>
      <c r="F170" s="1" t="s">
        <v>2107</v>
      </c>
      <c r="G170" s="1" t="s">
        <v>920</v>
      </c>
      <c r="H170" s="1" t="s">
        <v>945</v>
      </c>
      <c r="I170" s="1">
        <v>27.55</v>
      </c>
      <c r="J170" s="1">
        <v>27.55</v>
      </c>
      <c r="K170" s="1" t="s">
        <v>434</v>
      </c>
      <c r="L170" s="1">
        <v>1</v>
      </c>
      <c r="M170" s="1">
        <v>2016</v>
      </c>
      <c r="N170" s="1">
        <v>4</v>
      </c>
      <c r="O170" s="1">
        <v>1</v>
      </c>
      <c r="P170" s="1" t="str">
        <f t="shared" si="5"/>
        <v>Alto fuste</v>
      </c>
      <c r="Q170" s="2">
        <v>42613</v>
      </c>
      <c r="R170" s="1" t="s">
        <v>169</v>
      </c>
      <c r="S170" s="1" t="s">
        <v>403</v>
      </c>
      <c r="T170" s="1" t="s">
        <v>2268</v>
      </c>
      <c r="U170" s="1" t="s">
        <v>151</v>
      </c>
      <c r="V170" s="1" t="s">
        <v>152</v>
      </c>
      <c r="W170" s="2">
        <v>44593</v>
      </c>
      <c r="X170" s="1" t="s">
        <v>922</v>
      </c>
      <c r="Y170" s="1">
        <v>173.34</v>
      </c>
      <c r="Z170" s="1">
        <v>19.399999999999999</v>
      </c>
      <c r="AA170" s="1">
        <v>15</v>
      </c>
      <c r="AB170" s="1">
        <v>13.4</v>
      </c>
      <c r="AC170" s="1">
        <v>12</v>
      </c>
      <c r="AD170" s="3">
        <v>259.95999999999998</v>
      </c>
      <c r="AE170" s="3">
        <v>245.614894941404</v>
      </c>
      <c r="AF170" s="2">
        <v>44593</v>
      </c>
      <c r="AG170" s="1">
        <v>66</v>
      </c>
      <c r="AH170" s="3">
        <v>5.4209445585215601</v>
      </c>
      <c r="AI170" s="4">
        <v>23.389793130608499</v>
      </c>
      <c r="AJ170" s="4">
        <v>14.803333333333301</v>
      </c>
      <c r="AK170" s="4">
        <v>21.3142408240473</v>
      </c>
      <c r="AL170" s="1">
        <v>30</v>
      </c>
      <c r="AM170" s="5">
        <v>1221.42429542626</v>
      </c>
      <c r="AN170" s="4">
        <v>222.00942003375499</v>
      </c>
      <c r="AO170" s="4">
        <v>0.18176273459197501</v>
      </c>
      <c r="AP170" s="1" t="s">
        <v>403</v>
      </c>
      <c r="AQ170" s="1" t="s">
        <v>156</v>
      </c>
      <c r="AR170" s="1" t="s">
        <v>925</v>
      </c>
      <c r="AS170" s="1">
        <v>9</v>
      </c>
      <c r="AT170" s="4">
        <v>1.0992818658836341</v>
      </c>
      <c r="AU170" s="1" t="s">
        <v>946</v>
      </c>
      <c r="AV170" s="1" t="s">
        <v>947</v>
      </c>
      <c r="AW170" s="1">
        <v>9128</v>
      </c>
      <c r="AX170" s="1">
        <v>5539</v>
      </c>
      <c r="AY170" s="1">
        <v>3273</v>
      </c>
      <c r="AZ170" s="1">
        <v>302</v>
      </c>
      <c r="BA170" s="1">
        <v>14</v>
      </c>
      <c r="BB170" s="1">
        <v>0</v>
      </c>
      <c r="BC170" s="1">
        <v>0</v>
      </c>
      <c r="BD170" s="1">
        <v>0</v>
      </c>
      <c r="BE170" s="1">
        <v>0</v>
      </c>
      <c r="BF170" s="1">
        <v>0</v>
      </c>
      <c r="BG170" s="1">
        <v>0</v>
      </c>
      <c r="BH170" s="4">
        <v>-1.0620000000000001</v>
      </c>
      <c r="BI170" s="4">
        <v>29.960999999999999</v>
      </c>
      <c r="BJ170" s="4">
        <v>15.177092999999999</v>
      </c>
      <c r="BK170" s="4">
        <v>-7.7143000000000003E-2</v>
      </c>
      <c r="BL170" s="4">
        <v>12.436548</v>
      </c>
      <c r="BM170" s="4">
        <v>154.66772399999999</v>
      </c>
      <c r="BN170" s="4">
        <v>0.81942899999999996</v>
      </c>
      <c r="BO170" s="4">
        <v>25.757000999999999</v>
      </c>
      <c r="BP170" s="4">
        <v>-0.34400999999999998</v>
      </c>
      <c r="BQ170" s="4">
        <v>1.1760699999999999</v>
      </c>
      <c r="BR170" s="4">
        <v>12.073062</v>
      </c>
      <c r="BS170" s="4">
        <v>2.802</v>
      </c>
      <c r="BT170" s="4">
        <v>24.419142000000001</v>
      </c>
      <c r="BU170" s="4">
        <v>15.177092999999999</v>
      </c>
      <c r="BV170" s="4">
        <v>6.4516450000000001</v>
      </c>
      <c r="BW170" s="4">
        <v>-0.84051699999999996</v>
      </c>
      <c r="BX170" s="4">
        <v>-1.1771640000000001</v>
      </c>
      <c r="BY170" s="4">
        <v>0.425091</v>
      </c>
      <c r="BZ170" s="4">
        <v>-0.13028000000000001</v>
      </c>
      <c r="CA170" s="4">
        <v>-0.18245900000000001</v>
      </c>
      <c r="CB170" s="4">
        <v>-0.42099999999999999</v>
      </c>
      <c r="CC170" s="4">
        <v>-0.16600000000000001</v>
      </c>
      <c r="CD170" s="4">
        <v>-5.1999999999999998E-2</v>
      </c>
      <c r="CE170" s="4">
        <v>9.8000000000000004E-2</v>
      </c>
      <c r="CF170" s="4">
        <v>0.16900000000000001</v>
      </c>
      <c r="CG170" s="4">
        <v>0.24099999999999999</v>
      </c>
      <c r="CH170" s="4">
        <v>8.0484059999999999</v>
      </c>
      <c r="CI170" s="4">
        <v>24.341999000000001</v>
      </c>
      <c r="CJ170" s="4">
        <v>25.040001</v>
      </c>
      <c r="CK170" s="4">
        <v>25.636900000000001</v>
      </c>
      <c r="CL170" s="4">
        <v>25.926000999999999</v>
      </c>
      <c r="CM170" s="4">
        <v>26.2486</v>
      </c>
      <c r="CN170" s="4">
        <v>26.879999000000002</v>
      </c>
      <c r="CO170" s="4">
        <v>27.271999000000001</v>
      </c>
      <c r="CP170" s="4">
        <v>28.760764999999999</v>
      </c>
      <c r="CQ170" s="4">
        <v>0.52345299999999995</v>
      </c>
      <c r="CR170" s="4">
        <v>19.621288</v>
      </c>
      <c r="CS170" s="4">
        <v>21.454746</v>
      </c>
      <c r="CT170" s="1">
        <v>1</v>
      </c>
      <c r="CU170" s="1">
        <v>57</v>
      </c>
      <c r="CV170" s="4">
        <v>14.839286</v>
      </c>
      <c r="CW170" s="4">
        <v>1</v>
      </c>
      <c r="CX170" s="4">
        <v>9.7263040000000007</v>
      </c>
      <c r="CY170" s="4">
        <v>94.600989999999996</v>
      </c>
      <c r="CZ170" s="4">
        <v>0.655443</v>
      </c>
      <c r="DA170" s="4">
        <v>15</v>
      </c>
      <c r="DB170" s="4">
        <v>0.44138899999999998</v>
      </c>
      <c r="DC170" s="4">
        <v>2.8403</v>
      </c>
      <c r="DD170" s="4">
        <v>8.050179</v>
      </c>
      <c r="DE170" s="4">
        <v>14.839286</v>
      </c>
      <c r="DF170" s="4">
        <v>5.4905809999999997</v>
      </c>
      <c r="DG170" s="4">
        <v>0.39102599999999998</v>
      </c>
      <c r="DH170" s="4">
        <v>0.30974600000000002</v>
      </c>
      <c r="DI170" s="4">
        <v>0.37000300000000003</v>
      </c>
      <c r="DJ170" s="4">
        <v>7.1218000000000004E-2</v>
      </c>
      <c r="DK170" s="4">
        <v>5.6413999999999999E-2</v>
      </c>
      <c r="DL170" s="4">
        <v>1</v>
      </c>
      <c r="DM170" s="4">
        <v>1</v>
      </c>
      <c r="DN170" s="4">
        <v>2</v>
      </c>
      <c r="DO170" s="4">
        <v>4</v>
      </c>
      <c r="DP170" s="4">
        <v>6</v>
      </c>
      <c r="DQ170" s="4">
        <v>8</v>
      </c>
      <c r="DR170" s="4">
        <v>12</v>
      </c>
      <c r="DS170" s="4">
        <v>15</v>
      </c>
      <c r="DT170" s="4">
        <v>18</v>
      </c>
      <c r="DU170" s="4">
        <v>20</v>
      </c>
      <c r="DV170" s="4">
        <v>21</v>
      </c>
      <c r="DW170" s="4">
        <v>23</v>
      </c>
      <c r="DX170" s="4">
        <v>27</v>
      </c>
      <c r="DY170" s="4">
        <v>31</v>
      </c>
      <c r="DZ170" s="4">
        <v>41</v>
      </c>
      <c r="EA170" s="4">
        <v>94.782452000000006</v>
      </c>
      <c r="EB170" s="4">
        <v>60.659509</v>
      </c>
      <c r="EC170" s="4">
        <v>99.963892000000001</v>
      </c>
      <c r="ED170" s="4">
        <v>5250</v>
      </c>
      <c r="EE170" s="4">
        <v>5537</v>
      </c>
      <c r="EF170" s="4">
        <v>93.933922999999993</v>
      </c>
      <c r="EG170" s="4">
        <v>100</v>
      </c>
      <c r="EH170" s="4">
        <v>58.764242000000003</v>
      </c>
      <c r="EI170" s="4">
        <v>91.257669000000007</v>
      </c>
      <c r="EJ170" s="4">
        <v>96.840585000000004</v>
      </c>
      <c r="EK170" s="4">
        <v>150.38815700000001</v>
      </c>
      <c r="EL170" s="4">
        <v>5203</v>
      </c>
      <c r="EM170" s="4">
        <v>5539</v>
      </c>
      <c r="EN170" s="4">
        <v>5364</v>
      </c>
      <c r="EO170" s="4">
        <v>8330</v>
      </c>
      <c r="EP170" s="4">
        <v>5539</v>
      </c>
      <c r="EQ170" s="4">
        <v>9128</v>
      </c>
      <c r="ER170" s="4">
        <v>51.836382</v>
      </c>
    </row>
    <row r="171" spans="1:148" x14ac:dyDescent="0.2">
      <c r="A171" s="1">
        <v>2022</v>
      </c>
      <c r="B171" s="1" t="str">
        <f t="shared" si="4"/>
        <v>NE</v>
      </c>
      <c r="C171" s="1" t="s">
        <v>948</v>
      </c>
      <c r="D171" s="1" t="s">
        <v>948</v>
      </c>
      <c r="E171" s="1">
        <v>24983</v>
      </c>
      <c r="F171" s="1" t="s">
        <v>2109</v>
      </c>
      <c r="G171" s="1" t="s">
        <v>949</v>
      </c>
      <c r="H171" s="1" t="s">
        <v>950</v>
      </c>
      <c r="I171" s="1">
        <v>27.11</v>
      </c>
      <c r="J171" s="1">
        <v>27.11</v>
      </c>
      <c r="K171" s="1" t="s">
        <v>434</v>
      </c>
      <c r="L171" s="1">
        <v>1</v>
      </c>
      <c r="M171" s="1">
        <v>2016</v>
      </c>
      <c r="N171" s="1">
        <v>3</v>
      </c>
      <c r="O171" s="1">
        <v>2</v>
      </c>
      <c r="P171" s="1" t="str">
        <f t="shared" si="5"/>
        <v>Talhadia</v>
      </c>
      <c r="Q171" s="2">
        <v>42576</v>
      </c>
      <c r="R171" s="1" t="s">
        <v>306</v>
      </c>
      <c r="S171" s="1" t="s">
        <v>619</v>
      </c>
      <c r="T171" s="1" t="s">
        <v>2268</v>
      </c>
      <c r="U171" s="1" t="s">
        <v>151</v>
      </c>
      <c r="V171" s="1" t="s">
        <v>152</v>
      </c>
      <c r="W171" s="2">
        <v>44683</v>
      </c>
      <c r="X171" s="1" t="s">
        <v>951</v>
      </c>
      <c r="Y171" s="1">
        <v>148.69999999999999</v>
      </c>
      <c r="Z171" s="1">
        <v>20.6</v>
      </c>
      <c r="AA171" s="1">
        <v>26</v>
      </c>
      <c r="AB171" s="1">
        <v>13.6</v>
      </c>
      <c r="AC171" s="1">
        <v>10</v>
      </c>
      <c r="AD171" s="3">
        <v>280.16000000000003</v>
      </c>
      <c r="AE171" s="3">
        <v>247.98063893908201</v>
      </c>
      <c r="AF171" s="2">
        <v>44683</v>
      </c>
      <c r="AG171" s="1">
        <v>70</v>
      </c>
      <c r="AH171" s="3">
        <v>5.7686516084873398</v>
      </c>
      <c r="AI171" s="4">
        <v>24.933536361435898</v>
      </c>
      <c r="AJ171" s="4">
        <v>16.690000000000001</v>
      </c>
      <c r="AK171" s="4">
        <v>18.264783446262499</v>
      </c>
      <c r="AL171" s="1">
        <v>20</v>
      </c>
      <c r="AM171" s="5">
        <v>806.51457652357703</v>
      </c>
      <c r="AN171" s="4">
        <v>192.36142974702699</v>
      </c>
      <c r="AO171" s="4">
        <v>0.23850955127951501</v>
      </c>
      <c r="AP171" s="1" t="s">
        <v>619</v>
      </c>
      <c r="AQ171" s="1" t="s">
        <v>254</v>
      </c>
      <c r="AR171" s="1" t="s">
        <v>302</v>
      </c>
      <c r="AS171" s="1">
        <v>9.99</v>
      </c>
      <c r="AT171" s="4">
        <v>0.80570806194705347</v>
      </c>
      <c r="AU171" s="1" t="s">
        <v>952</v>
      </c>
      <c r="AV171" s="1" t="s">
        <v>953</v>
      </c>
      <c r="AW171" s="1">
        <v>913</v>
      </c>
      <c r="AX171" s="1">
        <v>557</v>
      </c>
      <c r="AY171" s="1">
        <v>316</v>
      </c>
      <c r="AZ171" s="1">
        <v>39</v>
      </c>
      <c r="BA171" s="1">
        <v>1</v>
      </c>
      <c r="BB171" s="1">
        <v>0</v>
      </c>
      <c r="BC171" s="1">
        <v>0</v>
      </c>
      <c r="BD171" s="1">
        <v>0</v>
      </c>
      <c r="BE171" s="1">
        <v>0</v>
      </c>
      <c r="BF171" s="1">
        <v>0</v>
      </c>
      <c r="BG171" s="1">
        <v>0</v>
      </c>
      <c r="BH171" s="4">
        <v>-0.624</v>
      </c>
      <c r="BI171" s="4">
        <v>28.823</v>
      </c>
      <c r="BJ171" s="4">
        <v>14.103406</v>
      </c>
      <c r="BK171" s="4">
        <v>-0.156587</v>
      </c>
      <c r="BL171" s="4">
        <v>12.092676000000001</v>
      </c>
      <c r="BM171" s="4">
        <v>146.23280199999999</v>
      </c>
      <c r="BN171" s="4">
        <v>0.857429</v>
      </c>
      <c r="BO171" s="4">
        <v>25.373999999999999</v>
      </c>
      <c r="BP171" s="4">
        <v>-0.20301</v>
      </c>
      <c r="BQ171" s="4">
        <v>1.1574610000000001</v>
      </c>
      <c r="BR171" s="4">
        <v>11.684806</v>
      </c>
      <c r="BS171" s="4">
        <v>6.5079989999999999</v>
      </c>
      <c r="BT171" s="4">
        <v>20.961587999999999</v>
      </c>
      <c r="BU171" s="4">
        <v>14.103406</v>
      </c>
      <c r="BV171" s="4">
        <v>6.4723220000000001</v>
      </c>
      <c r="BW171" s="4">
        <v>-0.38807399999999997</v>
      </c>
      <c r="BX171" s="4">
        <v>-1.243452</v>
      </c>
      <c r="BY171" s="4">
        <v>0.45891900000000002</v>
      </c>
      <c r="BZ171" s="4">
        <v>-5.9958999999999998E-2</v>
      </c>
      <c r="CA171" s="4">
        <v>-0.19211800000000001</v>
      </c>
      <c r="CB171" s="4">
        <v>-0.51903999999999995</v>
      </c>
      <c r="CC171" s="4">
        <v>-0.17799999999999999</v>
      </c>
      <c r="CD171" s="4">
        <v>-8.9800000000000005E-2</v>
      </c>
      <c r="CE171" s="4">
        <v>3.4799999999999998E-2</v>
      </c>
      <c r="CF171" s="4">
        <v>8.4000000000000005E-2</v>
      </c>
      <c r="CG171" s="4">
        <v>0.14560000000000001</v>
      </c>
      <c r="CH171" s="4">
        <v>4.2595980000000004</v>
      </c>
      <c r="CI171" s="4">
        <v>20.805</v>
      </c>
      <c r="CJ171" s="4">
        <v>24.075199000000001</v>
      </c>
      <c r="CK171" s="4">
        <v>25.093800000000002</v>
      </c>
      <c r="CL171" s="4">
        <v>25.457999999999998</v>
      </c>
      <c r="CM171" s="4">
        <v>25.895599000000001</v>
      </c>
      <c r="CN171" s="4">
        <v>26.7302</v>
      </c>
      <c r="CO171" s="4">
        <v>27.348801000000002</v>
      </c>
      <c r="CP171" s="4">
        <v>28.251080000000002</v>
      </c>
      <c r="CQ171" s="4">
        <v>0.50013300000000005</v>
      </c>
      <c r="CR171" s="4">
        <v>18.573602000000001</v>
      </c>
      <c r="CS171" s="4">
        <v>20.509423999999999</v>
      </c>
      <c r="CT171" s="1">
        <v>1</v>
      </c>
      <c r="CU171" s="1">
        <v>67</v>
      </c>
      <c r="CV171" s="4">
        <v>20.844469</v>
      </c>
      <c r="CW171" s="4">
        <v>1</v>
      </c>
      <c r="CX171" s="4">
        <v>14.632332999999999</v>
      </c>
      <c r="CY171" s="4">
        <v>214.10516899999999</v>
      </c>
      <c r="CZ171" s="4">
        <v>0.70197699999999996</v>
      </c>
      <c r="DA171" s="4">
        <v>20</v>
      </c>
      <c r="DB171" s="4">
        <v>0.67039599999999999</v>
      </c>
      <c r="DC171" s="4">
        <v>3.0463559999999998</v>
      </c>
      <c r="DD171" s="4">
        <v>11.659656</v>
      </c>
      <c r="DE171" s="4">
        <v>20.844469</v>
      </c>
      <c r="DF171" s="4">
        <v>8.1529919999999994</v>
      </c>
      <c r="DG171" s="4">
        <v>1.0242979999999999</v>
      </c>
      <c r="DH171" s="4">
        <v>0.75041899999999995</v>
      </c>
      <c r="DI171" s="4">
        <v>0.39113500000000001</v>
      </c>
      <c r="DJ171" s="4">
        <v>0.125635</v>
      </c>
      <c r="DK171" s="4">
        <v>9.2041999999999999E-2</v>
      </c>
      <c r="DL171" s="4">
        <v>1</v>
      </c>
      <c r="DM171" s="4">
        <v>1</v>
      </c>
      <c r="DN171" s="4">
        <v>3</v>
      </c>
      <c r="DO171" s="4">
        <v>6</v>
      </c>
      <c r="DP171" s="4">
        <v>8</v>
      </c>
      <c r="DQ171" s="4">
        <v>10</v>
      </c>
      <c r="DR171" s="4">
        <v>17</v>
      </c>
      <c r="DS171" s="4">
        <v>21</v>
      </c>
      <c r="DT171" s="4">
        <v>24</v>
      </c>
      <c r="DU171" s="4">
        <v>27</v>
      </c>
      <c r="DV171" s="4">
        <v>28</v>
      </c>
      <c r="DW171" s="4">
        <v>30.599976000000002</v>
      </c>
      <c r="DX171" s="4">
        <v>39</v>
      </c>
      <c r="DY171" s="4">
        <v>51</v>
      </c>
      <c r="DZ171" s="4">
        <v>59.880004999999997</v>
      </c>
      <c r="EA171" s="4">
        <v>87.432675000000003</v>
      </c>
      <c r="EB171" s="4">
        <v>60.240963999999998</v>
      </c>
      <c r="EC171" s="4">
        <v>98.743268</v>
      </c>
      <c r="ED171" s="4">
        <v>487</v>
      </c>
      <c r="EE171" s="4">
        <v>550</v>
      </c>
      <c r="EF171" s="4">
        <v>86.175943000000004</v>
      </c>
      <c r="EG171" s="4">
        <v>99.820466999999994</v>
      </c>
      <c r="EH171" s="4">
        <v>55.312157999999997</v>
      </c>
      <c r="EI171" s="4">
        <v>93.866375000000005</v>
      </c>
      <c r="EJ171" s="4">
        <v>90.664272999999994</v>
      </c>
      <c r="EK171" s="4">
        <v>153.85996399999999</v>
      </c>
      <c r="EL171" s="4">
        <v>480</v>
      </c>
      <c r="EM171" s="4">
        <v>556</v>
      </c>
      <c r="EN171" s="4">
        <v>505</v>
      </c>
      <c r="EO171" s="4">
        <v>857</v>
      </c>
      <c r="EP171" s="4">
        <v>557</v>
      </c>
      <c r="EQ171" s="4">
        <v>913</v>
      </c>
      <c r="ER171" s="4">
        <v>49.045482999999997</v>
      </c>
    </row>
    <row r="172" spans="1:148" x14ac:dyDescent="0.2">
      <c r="A172" s="1">
        <v>2022</v>
      </c>
      <c r="B172" s="1" t="str">
        <f t="shared" si="4"/>
        <v>NE</v>
      </c>
      <c r="C172" s="1" t="s">
        <v>954</v>
      </c>
      <c r="D172" s="1" t="s">
        <v>954</v>
      </c>
      <c r="E172" s="1">
        <v>24984</v>
      </c>
      <c r="F172" s="1" t="s">
        <v>2109</v>
      </c>
      <c r="G172" s="1" t="s">
        <v>949</v>
      </c>
      <c r="H172" s="1" t="s">
        <v>950</v>
      </c>
      <c r="I172" s="1">
        <v>27.11</v>
      </c>
      <c r="J172" s="1">
        <v>27.11</v>
      </c>
      <c r="K172" s="1" t="s">
        <v>434</v>
      </c>
      <c r="L172" s="1">
        <v>1</v>
      </c>
      <c r="M172" s="1">
        <v>2016</v>
      </c>
      <c r="N172" s="1">
        <v>3</v>
      </c>
      <c r="O172" s="1">
        <v>2</v>
      </c>
      <c r="P172" s="1" t="str">
        <f t="shared" si="5"/>
        <v>Talhadia</v>
      </c>
      <c r="Q172" s="2">
        <v>42576</v>
      </c>
      <c r="R172" s="1" t="s">
        <v>306</v>
      </c>
      <c r="S172" s="1" t="s">
        <v>619</v>
      </c>
      <c r="T172" s="1" t="s">
        <v>2268</v>
      </c>
      <c r="U172" s="1" t="s">
        <v>151</v>
      </c>
      <c r="V172" s="1" t="s">
        <v>152</v>
      </c>
      <c r="W172" s="2">
        <v>44683</v>
      </c>
      <c r="X172" s="1" t="s">
        <v>951</v>
      </c>
      <c r="Y172" s="1">
        <v>148.69999999999999</v>
      </c>
      <c r="Z172" s="1">
        <v>20</v>
      </c>
      <c r="AA172" s="1">
        <v>22</v>
      </c>
      <c r="AB172" s="1">
        <v>13.7</v>
      </c>
      <c r="AC172" s="1">
        <v>10</v>
      </c>
      <c r="AD172" s="3">
        <v>274</v>
      </c>
      <c r="AE172" s="3">
        <v>250.18881047396201</v>
      </c>
      <c r="AF172" s="2">
        <v>44683</v>
      </c>
      <c r="AG172" s="1">
        <v>70</v>
      </c>
      <c r="AH172" s="3">
        <v>5.7686516084873398</v>
      </c>
      <c r="AI172" s="4">
        <v>24.4948491833917</v>
      </c>
      <c r="AJ172" s="4">
        <v>15.777272727272701</v>
      </c>
      <c r="AK172" s="4">
        <v>17.451216417153098</v>
      </c>
      <c r="AL172" s="1">
        <v>22</v>
      </c>
      <c r="AM172" s="5">
        <v>879.33588869633502</v>
      </c>
      <c r="AN172" s="4">
        <v>176.85867304878801</v>
      </c>
      <c r="AO172" s="4">
        <v>0.20112755014581599</v>
      </c>
      <c r="AP172" s="1" t="s">
        <v>619</v>
      </c>
      <c r="AQ172" s="1" t="s">
        <v>254</v>
      </c>
      <c r="AR172" s="1" t="s">
        <v>302</v>
      </c>
      <c r="AS172" s="1">
        <v>9.99</v>
      </c>
      <c r="AT172" s="4">
        <v>0.87845655280763868</v>
      </c>
      <c r="AU172" s="1" t="s">
        <v>955</v>
      </c>
      <c r="AV172" s="1" t="s">
        <v>956</v>
      </c>
      <c r="AW172" s="1">
        <v>3325</v>
      </c>
      <c r="AX172" s="1">
        <v>2129</v>
      </c>
      <c r="AY172" s="1">
        <v>1129</v>
      </c>
      <c r="AZ172" s="1">
        <v>66</v>
      </c>
      <c r="BA172" s="1">
        <v>1</v>
      </c>
      <c r="BB172" s="1">
        <v>0</v>
      </c>
      <c r="BC172" s="1">
        <v>0</v>
      </c>
      <c r="BD172" s="1">
        <v>0</v>
      </c>
      <c r="BE172" s="1">
        <v>0</v>
      </c>
      <c r="BF172" s="1">
        <v>0</v>
      </c>
      <c r="BG172" s="1">
        <v>0</v>
      </c>
      <c r="BH172" s="4">
        <v>-1.401</v>
      </c>
      <c r="BI172" s="4">
        <v>26.858999000000001</v>
      </c>
      <c r="BJ172" s="4">
        <v>13.417887</v>
      </c>
      <c r="BK172" s="4">
        <v>-5.5286000000000002E-2</v>
      </c>
      <c r="BL172" s="4">
        <v>11.293298</v>
      </c>
      <c r="BM172" s="4">
        <v>127.53857000000001</v>
      </c>
      <c r="BN172" s="4">
        <v>0.84165999999999996</v>
      </c>
      <c r="BO172" s="4">
        <v>23.427</v>
      </c>
      <c r="BP172" s="4">
        <v>-0.29625800000000002</v>
      </c>
      <c r="BQ172" s="4">
        <v>1.159332</v>
      </c>
      <c r="BR172" s="4">
        <v>10.983836999999999</v>
      </c>
      <c r="BS172" s="4">
        <v>3.9349989999999999</v>
      </c>
      <c r="BT172" s="4">
        <v>21.013286999999998</v>
      </c>
      <c r="BU172" s="4">
        <v>13.417887</v>
      </c>
      <c r="BV172" s="4">
        <v>5.9269689999999997</v>
      </c>
      <c r="BW172" s="4">
        <v>-0.57502200000000003</v>
      </c>
      <c r="BX172" s="4">
        <v>-1.0970530000000001</v>
      </c>
      <c r="BY172" s="4">
        <v>0.44172099999999997</v>
      </c>
      <c r="BZ172" s="4">
        <v>-9.7017999999999993E-2</v>
      </c>
      <c r="CA172" s="4">
        <v>-0.18509500000000001</v>
      </c>
      <c r="CB172" s="4">
        <v>-0.50004000000000004</v>
      </c>
      <c r="CC172" s="4">
        <v>-0.20399999999999999</v>
      </c>
      <c r="CD172" s="4">
        <v>-9.9000000000000005E-2</v>
      </c>
      <c r="CE172" s="4">
        <v>3.6799999999999999E-2</v>
      </c>
      <c r="CF172" s="4">
        <v>9.4E-2</v>
      </c>
      <c r="CG172" s="4">
        <v>0.1472</v>
      </c>
      <c r="CH172" s="4">
        <v>0.51619999999999999</v>
      </c>
      <c r="CI172" s="4">
        <v>20.957999999999998</v>
      </c>
      <c r="CJ172" s="4">
        <v>22.3584</v>
      </c>
      <c r="CK172" s="4">
        <v>23.158200999999998</v>
      </c>
      <c r="CL172" s="4">
        <v>23.521000000000001</v>
      </c>
      <c r="CM172" s="4">
        <v>23.8368</v>
      </c>
      <c r="CN172" s="4">
        <v>24.563801000000002</v>
      </c>
      <c r="CO172" s="4">
        <v>25.184200000000001</v>
      </c>
      <c r="CP172" s="4">
        <v>25.933278999999999</v>
      </c>
      <c r="CQ172" s="4">
        <v>0.52437699999999998</v>
      </c>
      <c r="CR172" s="4">
        <v>17.536816000000002</v>
      </c>
      <c r="CS172" s="4">
        <v>19.239367999999999</v>
      </c>
      <c r="CT172" s="1">
        <v>1</v>
      </c>
      <c r="CU172" s="1">
        <v>62</v>
      </c>
      <c r="CV172" s="4">
        <v>16.607519</v>
      </c>
      <c r="CW172" s="4">
        <v>1</v>
      </c>
      <c r="CX172" s="4">
        <v>10.628855</v>
      </c>
      <c r="CY172" s="4">
        <v>112.972567</v>
      </c>
      <c r="CZ172" s="4">
        <v>0.64000299999999999</v>
      </c>
      <c r="DA172" s="4">
        <v>14</v>
      </c>
      <c r="DB172" s="4">
        <v>0.69436799999999999</v>
      </c>
      <c r="DC172" s="4">
        <v>3.3810899999999999</v>
      </c>
      <c r="DD172" s="4">
        <v>8.2848980000000001</v>
      </c>
      <c r="DE172" s="4">
        <v>16.607519</v>
      </c>
      <c r="DF172" s="4">
        <v>5.9001010000000003</v>
      </c>
      <c r="DG172" s="4">
        <v>0.66988499999999995</v>
      </c>
      <c r="DH172" s="4">
        <v>0.72677999999999998</v>
      </c>
      <c r="DI172" s="4">
        <v>0.355267</v>
      </c>
      <c r="DJ172" s="4">
        <v>0.113538</v>
      </c>
      <c r="DK172" s="4">
        <v>0.123181</v>
      </c>
      <c r="DL172" s="4">
        <v>1</v>
      </c>
      <c r="DM172" s="4">
        <v>2</v>
      </c>
      <c r="DN172" s="4">
        <v>3</v>
      </c>
      <c r="DO172" s="4">
        <v>6</v>
      </c>
      <c r="DP172" s="4">
        <v>8</v>
      </c>
      <c r="DQ172" s="4">
        <v>11</v>
      </c>
      <c r="DR172" s="4">
        <v>14</v>
      </c>
      <c r="DS172" s="4">
        <v>16</v>
      </c>
      <c r="DT172" s="4">
        <v>18</v>
      </c>
      <c r="DU172" s="4">
        <v>21</v>
      </c>
      <c r="DV172" s="4">
        <v>22</v>
      </c>
      <c r="DW172" s="4">
        <v>24</v>
      </c>
      <c r="DX172" s="4">
        <v>30</v>
      </c>
      <c r="DY172" s="4">
        <v>38</v>
      </c>
      <c r="DZ172" s="4">
        <v>46</v>
      </c>
      <c r="EA172" s="4">
        <v>88.445278999999999</v>
      </c>
      <c r="EB172" s="4">
        <v>59.368420999999998</v>
      </c>
      <c r="EC172" s="4">
        <v>92.719587000000004</v>
      </c>
      <c r="ED172" s="4">
        <v>1883</v>
      </c>
      <c r="EE172" s="4">
        <v>1974</v>
      </c>
      <c r="EF172" s="4">
        <v>87.975575000000006</v>
      </c>
      <c r="EG172" s="4">
        <v>99.530296000000007</v>
      </c>
      <c r="EH172" s="4">
        <v>58.195489000000002</v>
      </c>
      <c r="EI172" s="4">
        <v>87.278194999999997</v>
      </c>
      <c r="EJ172" s="4">
        <v>90.887741000000005</v>
      </c>
      <c r="EK172" s="4">
        <v>136.30812599999999</v>
      </c>
      <c r="EL172" s="4">
        <v>1873</v>
      </c>
      <c r="EM172" s="4">
        <v>2119</v>
      </c>
      <c r="EN172" s="4">
        <v>1935</v>
      </c>
      <c r="EO172" s="4">
        <v>2902</v>
      </c>
      <c r="EP172" s="4">
        <v>2129</v>
      </c>
      <c r="EQ172" s="4">
        <v>3325</v>
      </c>
      <c r="ER172" s="4">
        <v>50.826217</v>
      </c>
    </row>
    <row r="173" spans="1:148" x14ac:dyDescent="0.2">
      <c r="A173" s="1">
        <v>2022</v>
      </c>
      <c r="B173" s="1" t="str">
        <f t="shared" si="4"/>
        <v>NE</v>
      </c>
      <c r="C173" s="1" t="s">
        <v>957</v>
      </c>
      <c r="D173" s="1" t="s">
        <v>957</v>
      </c>
      <c r="E173" s="1">
        <v>24985</v>
      </c>
      <c r="F173" s="1" t="s">
        <v>2109</v>
      </c>
      <c r="G173" s="1" t="s">
        <v>949</v>
      </c>
      <c r="H173" s="1" t="s">
        <v>950</v>
      </c>
      <c r="I173" s="1">
        <v>27.11</v>
      </c>
      <c r="J173" s="1">
        <v>27.11</v>
      </c>
      <c r="K173" s="1" t="s">
        <v>434</v>
      </c>
      <c r="L173" s="1">
        <v>1</v>
      </c>
      <c r="M173" s="1">
        <v>2016</v>
      </c>
      <c r="N173" s="1">
        <v>3</v>
      </c>
      <c r="O173" s="1">
        <v>2</v>
      </c>
      <c r="P173" s="1" t="str">
        <f t="shared" si="5"/>
        <v>Talhadia</v>
      </c>
      <c r="Q173" s="2">
        <v>42576</v>
      </c>
      <c r="R173" s="1" t="s">
        <v>306</v>
      </c>
      <c r="S173" s="1" t="s">
        <v>619</v>
      </c>
      <c r="T173" s="1" t="s">
        <v>2268</v>
      </c>
      <c r="U173" s="1" t="s">
        <v>151</v>
      </c>
      <c r="V173" s="1" t="s">
        <v>152</v>
      </c>
      <c r="W173" s="2">
        <v>44683</v>
      </c>
      <c r="X173" s="1" t="s">
        <v>951</v>
      </c>
      <c r="Y173" s="1">
        <v>148.69999999999999</v>
      </c>
      <c r="Z173" s="1">
        <v>19.2</v>
      </c>
      <c r="AA173" s="1">
        <v>20</v>
      </c>
      <c r="AB173" s="1">
        <v>14.1</v>
      </c>
      <c r="AC173" s="1">
        <v>5</v>
      </c>
      <c r="AD173" s="3">
        <v>270.72000000000003</v>
      </c>
      <c r="AE173" s="3">
        <v>253.425541899769</v>
      </c>
      <c r="AF173" s="2">
        <v>44683</v>
      </c>
      <c r="AG173" s="1">
        <v>70</v>
      </c>
      <c r="AH173" s="3">
        <v>5.7686516084873398</v>
      </c>
      <c r="AI173" s="4">
        <v>26.4988908183695</v>
      </c>
      <c r="AJ173" s="4">
        <v>17.695454545454499</v>
      </c>
      <c r="AK173" s="4">
        <v>21.9163815810419</v>
      </c>
      <c r="AL173" s="1">
        <v>22</v>
      </c>
      <c r="AM173" s="5">
        <v>868.10507871779896</v>
      </c>
      <c r="AN173" s="4">
        <v>245.420598877522</v>
      </c>
      <c r="AO173" s="4">
        <v>0.28270840119955398</v>
      </c>
      <c r="AP173" s="1" t="s">
        <v>619</v>
      </c>
      <c r="AQ173" s="1" t="s">
        <v>254</v>
      </c>
      <c r="AR173" s="1" t="s">
        <v>302</v>
      </c>
      <c r="AS173" s="1">
        <v>9.99</v>
      </c>
      <c r="AT173" s="4">
        <v>0.86723697363908114</v>
      </c>
      <c r="AU173" s="1" t="s">
        <v>958</v>
      </c>
      <c r="AV173" s="1" t="s">
        <v>959</v>
      </c>
      <c r="AW173" s="1">
        <v>8078</v>
      </c>
      <c r="AX173" s="1">
        <v>4627</v>
      </c>
      <c r="AY173" s="1">
        <v>2774</v>
      </c>
      <c r="AZ173" s="1">
        <v>625</v>
      </c>
      <c r="BA173" s="1">
        <v>52</v>
      </c>
      <c r="BB173" s="1">
        <v>0</v>
      </c>
      <c r="BC173" s="1">
        <v>0</v>
      </c>
      <c r="BD173" s="1">
        <v>0</v>
      </c>
      <c r="BE173" s="1">
        <v>0</v>
      </c>
      <c r="BF173" s="1">
        <v>0</v>
      </c>
      <c r="BG173" s="1">
        <v>0</v>
      </c>
      <c r="BH173" s="4">
        <v>-0.92</v>
      </c>
      <c r="BI173" s="4">
        <v>31.01</v>
      </c>
      <c r="BJ173" s="4">
        <v>16.335196</v>
      </c>
      <c r="BK173" s="4">
        <v>9.3650999999999998E-2</v>
      </c>
      <c r="BL173" s="4">
        <v>12.106965000000001</v>
      </c>
      <c r="BM173" s="4">
        <v>146.57860299999999</v>
      </c>
      <c r="BN173" s="4">
        <v>0.74115799999999998</v>
      </c>
      <c r="BO173" s="4">
        <v>26.656749999999999</v>
      </c>
      <c r="BP173" s="4">
        <v>-0.40554899999999999</v>
      </c>
      <c r="BQ173" s="4">
        <v>1.3566400000000001</v>
      </c>
      <c r="BR173" s="4">
        <v>11.345127</v>
      </c>
      <c r="BS173" s="4">
        <v>5.1429999999999998</v>
      </c>
      <c r="BT173" s="4">
        <v>23.454350000000002</v>
      </c>
      <c r="BU173" s="4">
        <v>16.335196</v>
      </c>
      <c r="BV173" s="4">
        <v>6.5402089999999999</v>
      </c>
      <c r="BW173" s="4">
        <v>-0.97492000000000001</v>
      </c>
      <c r="BX173" s="4">
        <v>-0.93762999999999996</v>
      </c>
      <c r="BY173" s="4">
        <v>0.40037499999999998</v>
      </c>
      <c r="BZ173" s="4">
        <v>-0.149065</v>
      </c>
      <c r="CA173" s="4">
        <v>-0.14336399999999999</v>
      </c>
      <c r="CB173" s="4">
        <v>-0.40222999999999998</v>
      </c>
      <c r="CC173" s="4">
        <v>-0.12</v>
      </c>
      <c r="CD173" s="4">
        <v>6.0000000000000001E-3</v>
      </c>
      <c r="CE173" s="4">
        <v>0.19800000000000001</v>
      </c>
      <c r="CF173" s="4">
        <v>0.34599999999999997</v>
      </c>
      <c r="CG173" s="4">
        <v>1.4258010000000001</v>
      </c>
      <c r="CH173" s="4">
        <v>14.5586</v>
      </c>
      <c r="CI173" s="4">
        <v>23.547999999999998</v>
      </c>
      <c r="CJ173" s="4">
        <v>25.740400000000001</v>
      </c>
      <c r="CK173" s="4">
        <v>26.614999999999998</v>
      </c>
      <c r="CL173" s="4">
        <v>27.002749999999999</v>
      </c>
      <c r="CM173" s="4">
        <v>27.417998999999998</v>
      </c>
      <c r="CN173" s="4">
        <v>28.337599000000001</v>
      </c>
      <c r="CO173" s="4">
        <v>28.98715</v>
      </c>
      <c r="CP173" s="4">
        <v>29.802999</v>
      </c>
      <c r="CQ173" s="4">
        <v>0.54040699999999997</v>
      </c>
      <c r="CR173" s="4">
        <v>20.332218000000001</v>
      </c>
      <c r="CS173" s="4">
        <v>22.118865</v>
      </c>
      <c r="CT173" s="1">
        <v>1</v>
      </c>
      <c r="CU173" s="1">
        <v>56</v>
      </c>
      <c r="CV173" s="4">
        <v>15.179252</v>
      </c>
      <c r="CW173" s="4">
        <v>1</v>
      </c>
      <c r="CX173" s="4">
        <v>10.302004</v>
      </c>
      <c r="CY173" s="4">
        <v>106.131292</v>
      </c>
      <c r="CZ173" s="4">
        <v>0.67869000000000002</v>
      </c>
      <c r="DA173" s="4">
        <v>16</v>
      </c>
      <c r="DB173" s="4">
        <v>0.64419000000000004</v>
      </c>
      <c r="DC173" s="4">
        <v>3.006154</v>
      </c>
      <c r="DD173" s="4">
        <v>8.4762109999999993</v>
      </c>
      <c r="DE173" s="4">
        <v>15.179252</v>
      </c>
      <c r="DF173" s="4">
        <v>5.7874650000000001</v>
      </c>
      <c r="DG173" s="4">
        <v>0.74302400000000002</v>
      </c>
      <c r="DH173" s="4">
        <v>0.349134</v>
      </c>
      <c r="DI173" s="4">
        <v>0.38127499999999998</v>
      </c>
      <c r="DJ173" s="4">
        <v>0.128385</v>
      </c>
      <c r="DK173" s="4">
        <v>6.0325999999999998E-2</v>
      </c>
      <c r="DL173" s="4">
        <v>1</v>
      </c>
      <c r="DM173" s="4">
        <v>2</v>
      </c>
      <c r="DN173" s="4">
        <v>3</v>
      </c>
      <c r="DO173" s="4">
        <v>5</v>
      </c>
      <c r="DP173" s="4">
        <v>6</v>
      </c>
      <c r="DQ173" s="4">
        <v>8</v>
      </c>
      <c r="DR173" s="4">
        <v>11</v>
      </c>
      <c r="DS173" s="4">
        <v>14</v>
      </c>
      <c r="DT173" s="4">
        <v>17</v>
      </c>
      <c r="DU173" s="4">
        <v>21</v>
      </c>
      <c r="DV173" s="4">
        <v>22</v>
      </c>
      <c r="DW173" s="4">
        <v>24</v>
      </c>
      <c r="DX173" s="4">
        <v>29</v>
      </c>
      <c r="DY173" s="4">
        <v>33</v>
      </c>
      <c r="DZ173" s="4">
        <v>45</v>
      </c>
      <c r="EA173" s="4">
        <v>97.147180000000006</v>
      </c>
      <c r="EB173" s="4">
        <v>68.878434999999996</v>
      </c>
      <c r="EC173" s="4">
        <v>120.250702</v>
      </c>
      <c r="ED173" s="4">
        <v>4495</v>
      </c>
      <c r="EE173" s="4">
        <v>5564</v>
      </c>
      <c r="EF173" s="4">
        <v>94.877891000000005</v>
      </c>
      <c r="EG173" s="4">
        <v>99.719040000000007</v>
      </c>
      <c r="EH173" s="4">
        <v>58.219856</v>
      </c>
      <c r="EI173" s="4">
        <v>85.553354999999996</v>
      </c>
      <c r="EJ173" s="4">
        <v>101.642533</v>
      </c>
      <c r="EK173" s="4">
        <v>149.362438</v>
      </c>
      <c r="EL173" s="4">
        <v>4390</v>
      </c>
      <c r="EM173" s="4">
        <v>4614</v>
      </c>
      <c r="EN173" s="4">
        <v>4703</v>
      </c>
      <c r="EO173" s="4">
        <v>6911</v>
      </c>
      <c r="EP173" s="4">
        <v>4627</v>
      </c>
      <c r="EQ173" s="4">
        <v>8078</v>
      </c>
      <c r="ER173" s="4">
        <v>53.882179000000001</v>
      </c>
    </row>
    <row r="174" spans="1:148" x14ac:dyDescent="0.2">
      <c r="A174" s="1">
        <v>2022</v>
      </c>
      <c r="B174" s="1" t="str">
        <f t="shared" si="4"/>
        <v>NE</v>
      </c>
      <c r="C174" s="1" t="s">
        <v>960</v>
      </c>
      <c r="D174" s="1" t="s">
        <v>960</v>
      </c>
      <c r="E174" s="1">
        <v>25061</v>
      </c>
      <c r="F174" s="1" t="s">
        <v>2110</v>
      </c>
      <c r="G174" s="1" t="s">
        <v>284</v>
      </c>
      <c r="H174" s="1" t="s">
        <v>961</v>
      </c>
      <c r="I174" s="1">
        <v>40.799999999999997</v>
      </c>
      <c r="J174" s="1">
        <v>40.799999999999997</v>
      </c>
      <c r="K174" s="1" t="s">
        <v>286</v>
      </c>
      <c r="L174" s="1">
        <v>1</v>
      </c>
      <c r="M174" s="1">
        <v>2016</v>
      </c>
      <c r="N174" s="1">
        <v>3</v>
      </c>
      <c r="O174" s="1">
        <v>1</v>
      </c>
      <c r="P174" s="1" t="str">
        <f t="shared" si="5"/>
        <v>Alto fuste</v>
      </c>
      <c r="Q174" s="2">
        <v>42597</v>
      </c>
      <c r="R174" s="1" t="s">
        <v>169</v>
      </c>
      <c r="S174" s="1" t="s">
        <v>163</v>
      </c>
      <c r="T174" s="1" t="s">
        <v>2268</v>
      </c>
      <c r="U174" s="1" t="s">
        <v>170</v>
      </c>
      <c r="V174" s="1" t="s">
        <v>152</v>
      </c>
      <c r="W174" s="2">
        <v>44746</v>
      </c>
      <c r="X174" s="1" t="s">
        <v>288</v>
      </c>
      <c r="Y174" s="1">
        <v>122.64</v>
      </c>
      <c r="Z174" s="1">
        <v>20.9</v>
      </c>
      <c r="AA174" s="1">
        <v>15</v>
      </c>
      <c r="AB174" s="1">
        <v>15.3</v>
      </c>
      <c r="AC174" s="1">
        <v>1</v>
      </c>
      <c r="AD174" s="3">
        <v>319.77</v>
      </c>
      <c r="AE174" s="3">
        <v>308.82705845073599</v>
      </c>
      <c r="AF174" s="2">
        <v>44746</v>
      </c>
      <c r="AG174" s="1">
        <v>71</v>
      </c>
      <c r="AH174" s="3">
        <v>5.8836413415468902</v>
      </c>
      <c r="AI174" s="4">
        <v>27.1651376526635</v>
      </c>
      <c r="AJ174" s="4">
        <v>17.783999999999999</v>
      </c>
      <c r="AK174" s="4">
        <v>20.331485114968199</v>
      </c>
      <c r="AL174" s="1">
        <v>25</v>
      </c>
      <c r="AM174" s="5">
        <v>809.51455890604905</v>
      </c>
      <c r="AN174" s="4">
        <v>241.36432981736601</v>
      </c>
      <c r="AO174" s="4">
        <v>0.29815934396972199</v>
      </c>
      <c r="AP174" s="1" t="s">
        <v>163</v>
      </c>
      <c r="AQ174" s="1" t="s">
        <v>156</v>
      </c>
      <c r="AR174" s="1" t="s">
        <v>291</v>
      </c>
      <c r="AS174" s="1">
        <v>9</v>
      </c>
      <c r="AT174" s="4">
        <v>0.72856310301544414</v>
      </c>
      <c r="AU174" s="1" t="s">
        <v>962</v>
      </c>
      <c r="AV174" s="1" t="s">
        <v>963</v>
      </c>
      <c r="AW174" s="1">
        <v>5740</v>
      </c>
      <c r="AX174" s="1">
        <v>2769</v>
      </c>
      <c r="AY174" s="1">
        <v>2473</v>
      </c>
      <c r="AZ174" s="1">
        <v>480</v>
      </c>
      <c r="BA174" s="1">
        <v>18</v>
      </c>
      <c r="BB174" s="1">
        <v>0</v>
      </c>
      <c r="BC174" s="1">
        <v>0</v>
      </c>
      <c r="BD174" s="1">
        <v>0</v>
      </c>
      <c r="BE174" s="1">
        <v>0</v>
      </c>
      <c r="BF174" s="1">
        <v>0</v>
      </c>
      <c r="BG174" s="1">
        <v>0</v>
      </c>
      <c r="BH174" s="4">
        <v>-0.89</v>
      </c>
      <c r="BI174" s="4">
        <v>30.68</v>
      </c>
      <c r="BJ174" s="4">
        <v>11.957207</v>
      </c>
      <c r="BK174" s="4">
        <v>-0.38888899999999998</v>
      </c>
      <c r="BL174" s="4">
        <v>12.498564</v>
      </c>
      <c r="BM174" s="4">
        <v>156.214101</v>
      </c>
      <c r="BN174" s="4">
        <v>1.045275</v>
      </c>
      <c r="BO174" s="4">
        <v>25.87</v>
      </c>
      <c r="BP174" s="4">
        <v>0.21610399999999999</v>
      </c>
      <c r="BQ174" s="4">
        <v>1.1803760000000001</v>
      </c>
      <c r="BR174" s="4">
        <v>12.047929</v>
      </c>
      <c r="BS174" s="4">
        <v>7.41</v>
      </c>
      <c r="BT174" s="4">
        <v>7.6088889999999996</v>
      </c>
      <c r="BU174" s="4">
        <v>11.957207</v>
      </c>
      <c r="BV174" s="4">
        <v>6.6617949999999997</v>
      </c>
      <c r="BW174" s="4">
        <v>0.84153699999999998</v>
      </c>
      <c r="BX174" s="4">
        <v>-1.24566</v>
      </c>
      <c r="BY174" s="4">
        <v>0.55713599999999996</v>
      </c>
      <c r="BZ174" s="4">
        <v>0.12632299999999999</v>
      </c>
      <c r="CA174" s="4">
        <v>-0.18698600000000001</v>
      </c>
      <c r="CB174" s="4">
        <v>-0.42</v>
      </c>
      <c r="CC174" s="4">
        <v>-0.19</v>
      </c>
      <c r="CD174" s="4">
        <v>-0.11</v>
      </c>
      <c r="CE174" s="4">
        <v>-0.01</v>
      </c>
      <c r="CF174" s="4">
        <v>0.03</v>
      </c>
      <c r="CG174" s="4">
        <v>7.0000000000000007E-2</v>
      </c>
      <c r="CH174" s="4">
        <v>0.17</v>
      </c>
      <c r="CI174" s="4">
        <v>7.22</v>
      </c>
      <c r="CJ174" s="4">
        <v>19.370000999999998</v>
      </c>
      <c r="CK174" s="4">
        <v>25.440000999999999</v>
      </c>
      <c r="CL174" s="4">
        <v>25.9</v>
      </c>
      <c r="CM174" s="4">
        <v>26.32</v>
      </c>
      <c r="CN174" s="4">
        <v>27.551000999999999</v>
      </c>
      <c r="CO174" s="4">
        <v>28.440000999999999</v>
      </c>
      <c r="CP174" s="4">
        <v>29.67</v>
      </c>
      <c r="CQ174" s="4">
        <v>0.40694399999999997</v>
      </c>
      <c r="CR174" s="4">
        <v>17.296291</v>
      </c>
      <c r="CS174" s="4">
        <v>19.775922999999999</v>
      </c>
      <c r="CT174" s="1">
        <v>1</v>
      </c>
      <c r="CU174" s="1">
        <v>66</v>
      </c>
      <c r="CV174" s="4">
        <v>16.487282</v>
      </c>
      <c r="CW174" s="4">
        <v>1</v>
      </c>
      <c r="CX174" s="4">
        <v>12.872368</v>
      </c>
      <c r="CY174" s="4">
        <v>165.697869</v>
      </c>
      <c r="CZ174" s="4">
        <v>0.78074500000000002</v>
      </c>
      <c r="DA174" s="4">
        <v>17</v>
      </c>
      <c r="DB174" s="4">
        <v>1.1388400000000001</v>
      </c>
      <c r="DC174" s="4">
        <v>3.978755</v>
      </c>
      <c r="DD174" s="4">
        <v>10.034515000000001</v>
      </c>
      <c r="DE174" s="4">
        <v>16.487282</v>
      </c>
      <c r="DF174" s="4">
        <v>6.9361480000000002</v>
      </c>
      <c r="DG174" s="4">
        <v>1.60616</v>
      </c>
      <c r="DH174" s="4">
        <v>0.84981399999999996</v>
      </c>
      <c r="DI174" s="4">
        <v>0.42069699999999999</v>
      </c>
      <c r="DJ174" s="4">
        <v>0.23156399999999999</v>
      </c>
      <c r="DK174" s="4">
        <v>0.12252</v>
      </c>
      <c r="DL174" s="4">
        <v>1</v>
      </c>
      <c r="DM174" s="4">
        <v>1</v>
      </c>
      <c r="DN174" s="4">
        <v>3</v>
      </c>
      <c r="DO174" s="4">
        <v>5</v>
      </c>
      <c r="DP174" s="4">
        <v>6</v>
      </c>
      <c r="DQ174" s="4">
        <v>8</v>
      </c>
      <c r="DR174" s="4">
        <v>11</v>
      </c>
      <c r="DS174" s="4">
        <v>14</v>
      </c>
      <c r="DT174" s="4">
        <v>17</v>
      </c>
      <c r="DU174" s="4">
        <v>21</v>
      </c>
      <c r="DV174" s="4">
        <v>23</v>
      </c>
      <c r="DW174" s="4">
        <v>25</v>
      </c>
      <c r="DX174" s="4">
        <v>35</v>
      </c>
      <c r="DY174" s="4">
        <v>45</v>
      </c>
      <c r="DZ174" s="4">
        <v>55</v>
      </c>
      <c r="EA174" s="4">
        <v>87.504514</v>
      </c>
      <c r="EB174" s="4">
        <v>50.940767000000001</v>
      </c>
      <c r="EC174" s="4">
        <v>105.597689</v>
      </c>
      <c r="ED174" s="4">
        <v>2423</v>
      </c>
      <c r="EE174" s="4">
        <v>2924</v>
      </c>
      <c r="EF174" s="4">
        <v>83.712531999999996</v>
      </c>
      <c r="EG174" s="4">
        <v>100</v>
      </c>
      <c r="EH174" s="4">
        <v>45.644598999999999</v>
      </c>
      <c r="EI174" s="4">
        <v>98.693380000000005</v>
      </c>
      <c r="EJ174" s="4">
        <v>94.618995999999996</v>
      </c>
      <c r="EK174" s="4">
        <v>204.58649299999999</v>
      </c>
      <c r="EL174" s="4">
        <v>2318</v>
      </c>
      <c r="EM174" s="4">
        <v>2769</v>
      </c>
      <c r="EN174" s="4">
        <v>2620</v>
      </c>
      <c r="EO174" s="4">
        <v>5665</v>
      </c>
      <c r="EP174" s="4">
        <v>2769</v>
      </c>
      <c r="EQ174" s="4">
        <v>5740</v>
      </c>
      <c r="ER174" s="4">
        <v>39.345992000000003</v>
      </c>
    </row>
    <row r="175" spans="1:148" x14ac:dyDescent="0.2">
      <c r="A175" s="1">
        <v>2022</v>
      </c>
      <c r="B175" s="1" t="str">
        <f t="shared" si="4"/>
        <v>NE</v>
      </c>
      <c r="C175" s="1" t="s">
        <v>964</v>
      </c>
      <c r="D175" s="1" t="s">
        <v>964</v>
      </c>
      <c r="E175" s="1">
        <v>25062</v>
      </c>
      <c r="F175" s="1" t="s">
        <v>2110</v>
      </c>
      <c r="G175" s="1" t="s">
        <v>284</v>
      </c>
      <c r="H175" s="1" t="s">
        <v>961</v>
      </c>
      <c r="I175" s="1">
        <v>40.799999999999997</v>
      </c>
      <c r="J175" s="1">
        <v>40.799999999999997</v>
      </c>
      <c r="K175" s="1" t="s">
        <v>286</v>
      </c>
      <c r="L175" s="1">
        <v>1</v>
      </c>
      <c r="M175" s="1">
        <v>2016</v>
      </c>
      <c r="N175" s="1">
        <v>3</v>
      </c>
      <c r="O175" s="1">
        <v>1</v>
      </c>
      <c r="P175" s="1" t="str">
        <f t="shared" si="5"/>
        <v>Alto fuste</v>
      </c>
      <c r="Q175" s="2">
        <v>42597</v>
      </c>
      <c r="R175" s="1" t="s">
        <v>169</v>
      </c>
      <c r="S175" s="1" t="s">
        <v>163</v>
      </c>
      <c r="T175" s="1" t="s">
        <v>2268</v>
      </c>
      <c r="U175" s="1" t="s">
        <v>170</v>
      </c>
      <c r="V175" s="1" t="s">
        <v>152</v>
      </c>
      <c r="W175" s="2">
        <v>44746</v>
      </c>
      <c r="X175" s="1" t="s">
        <v>288</v>
      </c>
      <c r="Y175" s="1">
        <v>122.64</v>
      </c>
      <c r="Z175" s="1">
        <v>20.9</v>
      </c>
      <c r="AA175" s="1">
        <v>15</v>
      </c>
      <c r="AB175" s="1">
        <v>15.3</v>
      </c>
      <c r="AC175" s="1">
        <v>1</v>
      </c>
      <c r="AD175" s="3">
        <v>319.77</v>
      </c>
      <c r="AE175" s="3">
        <v>308.82705845073599</v>
      </c>
      <c r="AF175" s="2">
        <v>44746</v>
      </c>
      <c r="AG175" s="1">
        <v>71</v>
      </c>
      <c r="AH175" s="3">
        <v>5.8836413415468902</v>
      </c>
      <c r="AI175" s="4">
        <v>27.310385050647401</v>
      </c>
      <c r="AJ175" s="4">
        <v>17.4413793103448</v>
      </c>
      <c r="AK175" s="4">
        <v>22.5566527559882</v>
      </c>
      <c r="AL175" s="1">
        <v>29</v>
      </c>
      <c r="AM175" s="5">
        <v>939.03688833101705</v>
      </c>
      <c r="AN175" s="4">
        <v>267.38899991341901</v>
      </c>
      <c r="AO175" s="4">
        <v>0.28474813208739802</v>
      </c>
      <c r="AP175" s="1" t="s">
        <v>163</v>
      </c>
      <c r="AQ175" s="1" t="s">
        <v>156</v>
      </c>
      <c r="AR175" s="1" t="s">
        <v>291</v>
      </c>
      <c r="AS175" s="1">
        <v>9</v>
      </c>
      <c r="AT175" s="4">
        <v>0.84513319949791532</v>
      </c>
      <c r="AU175" s="1" t="s">
        <v>965</v>
      </c>
      <c r="AV175" s="1" t="s">
        <v>966</v>
      </c>
      <c r="AW175" s="1">
        <v>9659</v>
      </c>
      <c r="AX175" s="1">
        <v>5653</v>
      </c>
      <c r="AY175" s="1">
        <v>3291</v>
      </c>
      <c r="AZ175" s="1">
        <v>664</v>
      </c>
      <c r="BA175" s="1">
        <v>51</v>
      </c>
      <c r="BB175" s="1">
        <v>0</v>
      </c>
      <c r="BC175" s="1">
        <v>0</v>
      </c>
      <c r="BD175" s="1">
        <v>0</v>
      </c>
      <c r="BE175" s="1">
        <v>0</v>
      </c>
      <c r="BF175" s="1">
        <v>0</v>
      </c>
      <c r="BG175" s="1">
        <v>0</v>
      </c>
      <c r="BH175" s="4">
        <v>-0.95</v>
      </c>
      <c r="BI175" s="4">
        <v>27.860001</v>
      </c>
      <c r="BJ175" s="4">
        <v>12.447293</v>
      </c>
      <c r="BK175" s="4">
        <v>-3.5396999999999998E-2</v>
      </c>
      <c r="BL175" s="4">
        <v>11.146833000000001</v>
      </c>
      <c r="BM175" s="4">
        <v>124.251893</v>
      </c>
      <c r="BN175" s="4">
        <v>0.89552299999999996</v>
      </c>
      <c r="BO175" s="4">
        <v>23.840001000000001</v>
      </c>
      <c r="BP175" s="4">
        <v>-5.0407E-2</v>
      </c>
      <c r="BQ175" s="4">
        <v>1.2194860000000001</v>
      </c>
      <c r="BR175" s="4">
        <v>10.613894</v>
      </c>
      <c r="BS175" s="4">
        <v>10</v>
      </c>
      <c r="BT175" s="4">
        <v>16.145396999999999</v>
      </c>
      <c r="BU175" s="4">
        <v>12.447293</v>
      </c>
      <c r="BV175" s="4">
        <v>6.1089950000000002</v>
      </c>
      <c r="BW175" s="4">
        <v>0.13157099999999999</v>
      </c>
      <c r="BX175" s="4">
        <v>-1.0439659999999999</v>
      </c>
      <c r="BY175" s="4">
        <v>0.49078899999999998</v>
      </c>
      <c r="BZ175" s="4">
        <v>2.1537000000000001E-2</v>
      </c>
      <c r="CA175" s="4">
        <v>-0.17088999999999999</v>
      </c>
      <c r="CB175" s="4">
        <v>-0.41</v>
      </c>
      <c r="CC175" s="4">
        <v>-0.16</v>
      </c>
      <c r="CD175" s="4">
        <v>-7.0000000000000007E-2</v>
      </c>
      <c r="CE175" s="4">
        <v>0.04</v>
      </c>
      <c r="CF175" s="4">
        <v>0.1</v>
      </c>
      <c r="CG175" s="4">
        <v>0.16</v>
      </c>
      <c r="CH175" s="4">
        <v>0.71</v>
      </c>
      <c r="CI175" s="4">
        <v>16.110001</v>
      </c>
      <c r="CJ175" s="4">
        <v>19.329999999999998</v>
      </c>
      <c r="CK175" s="4">
        <v>22.809999000000001</v>
      </c>
      <c r="CL175" s="4">
        <v>23.940000999999999</v>
      </c>
      <c r="CM175" s="4">
        <v>24.799999</v>
      </c>
      <c r="CN175" s="4">
        <v>25.82</v>
      </c>
      <c r="CO175" s="4">
        <v>26.379999000000002</v>
      </c>
      <c r="CP175" s="4">
        <v>27.34</v>
      </c>
      <c r="CQ175" s="4">
        <v>0.46502199999999999</v>
      </c>
      <c r="CR175" s="4">
        <v>16.708504999999999</v>
      </c>
      <c r="CS175" s="4">
        <v>18.660668000000001</v>
      </c>
      <c r="CT175" s="1">
        <v>1</v>
      </c>
      <c r="CU175" s="1">
        <v>124</v>
      </c>
      <c r="CV175" s="4">
        <v>26.865100000000002</v>
      </c>
      <c r="CW175" s="4">
        <v>1</v>
      </c>
      <c r="CX175" s="4">
        <v>21.152820999999999</v>
      </c>
      <c r="CY175" s="4">
        <v>447.44183299999997</v>
      </c>
      <c r="CZ175" s="4">
        <v>0.78737199999999996</v>
      </c>
      <c r="DA175" s="4">
        <v>30</v>
      </c>
      <c r="DB175" s="4">
        <v>1.113677</v>
      </c>
      <c r="DC175" s="4">
        <v>4.1571239999999996</v>
      </c>
      <c r="DD175" s="4">
        <v>16.804521999999999</v>
      </c>
      <c r="DE175" s="4">
        <v>26.865100000000002</v>
      </c>
      <c r="DF175" s="4">
        <v>11.459566000000001</v>
      </c>
      <c r="DG175" s="4">
        <v>2.4597549999999999</v>
      </c>
      <c r="DH175" s="4">
        <v>1.1707350000000001</v>
      </c>
      <c r="DI175" s="4">
        <v>0.42655999999999999</v>
      </c>
      <c r="DJ175" s="4">
        <v>0.214646</v>
      </c>
      <c r="DK175" s="4">
        <v>0.102162</v>
      </c>
      <c r="DL175" s="4">
        <v>1</v>
      </c>
      <c r="DM175" s="4">
        <v>2</v>
      </c>
      <c r="DN175" s="4">
        <v>4</v>
      </c>
      <c r="DO175" s="4">
        <v>8</v>
      </c>
      <c r="DP175" s="4">
        <v>10</v>
      </c>
      <c r="DQ175" s="4">
        <v>12</v>
      </c>
      <c r="DR175" s="4">
        <v>17</v>
      </c>
      <c r="DS175" s="4">
        <v>22</v>
      </c>
      <c r="DT175" s="4">
        <v>28</v>
      </c>
      <c r="DU175" s="4">
        <v>36</v>
      </c>
      <c r="DV175" s="4">
        <v>40</v>
      </c>
      <c r="DW175" s="4">
        <v>44</v>
      </c>
      <c r="DX175" s="4">
        <v>52</v>
      </c>
      <c r="DY175" s="4">
        <v>70.099609000000001</v>
      </c>
      <c r="DZ175" s="4">
        <v>92</v>
      </c>
      <c r="EA175" s="4">
        <v>83.106314999999995</v>
      </c>
      <c r="EB175" s="4">
        <v>58.587845999999999</v>
      </c>
      <c r="EC175" s="4">
        <v>100.106138</v>
      </c>
      <c r="ED175" s="4">
        <v>4698</v>
      </c>
      <c r="EE175" s="4">
        <v>5659</v>
      </c>
      <c r="EF175" s="4">
        <v>79.904475000000005</v>
      </c>
      <c r="EG175" s="4">
        <v>99.097824000000003</v>
      </c>
      <c r="EH175" s="4">
        <v>54.612279000000001</v>
      </c>
      <c r="EI175" s="4">
        <v>87.317527999999996</v>
      </c>
      <c r="EJ175" s="4">
        <v>93.313284999999993</v>
      </c>
      <c r="EK175" s="4">
        <v>149.19511800000001</v>
      </c>
      <c r="EL175" s="4">
        <v>4517</v>
      </c>
      <c r="EM175" s="4">
        <v>5602</v>
      </c>
      <c r="EN175" s="4">
        <v>5275</v>
      </c>
      <c r="EO175" s="4">
        <v>8434</v>
      </c>
      <c r="EP175" s="4">
        <v>5653</v>
      </c>
      <c r="EQ175" s="4">
        <v>9659</v>
      </c>
      <c r="ER175" s="4">
        <v>44.604652999999999</v>
      </c>
    </row>
    <row r="176" spans="1:148" x14ac:dyDescent="0.2">
      <c r="A176" s="1">
        <v>2022</v>
      </c>
      <c r="B176" s="1" t="str">
        <f t="shared" si="4"/>
        <v>NE</v>
      </c>
      <c r="C176" s="1" t="s">
        <v>967</v>
      </c>
      <c r="D176" s="1" t="s">
        <v>967</v>
      </c>
      <c r="E176" s="1">
        <v>25065</v>
      </c>
      <c r="F176" s="1" t="s">
        <v>2110</v>
      </c>
      <c r="G176" s="1" t="s">
        <v>284</v>
      </c>
      <c r="H176" s="1" t="s">
        <v>968</v>
      </c>
      <c r="I176" s="1">
        <v>18.600000000000001</v>
      </c>
      <c r="J176" s="1">
        <v>18.600000000000001</v>
      </c>
      <c r="K176" s="1" t="s">
        <v>286</v>
      </c>
      <c r="L176" s="1">
        <v>1</v>
      </c>
      <c r="M176" s="1">
        <v>2016</v>
      </c>
      <c r="N176" s="1">
        <v>3</v>
      </c>
      <c r="O176" s="1">
        <v>1</v>
      </c>
      <c r="P176" s="1" t="str">
        <f t="shared" si="5"/>
        <v>Alto fuste</v>
      </c>
      <c r="Q176" s="2">
        <v>42598</v>
      </c>
      <c r="R176" s="1" t="s">
        <v>169</v>
      </c>
      <c r="S176" s="1" t="s">
        <v>442</v>
      </c>
      <c r="T176" s="1" t="s">
        <v>2268</v>
      </c>
      <c r="U176" s="1" t="s">
        <v>170</v>
      </c>
      <c r="V176" s="1" t="s">
        <v>152</v>
      </c>
      <c r="W176" s="2">
        <v>44714</v>
      </c>
      <c r="X176" s="1" t="s">
        <v>288</v>
      </c>
      <c r="Y176" s="1">
        <v>122.64</v>
      </c>
      <c r="Z176" s="1">
        <v>19</v>
      </c>
      <c r="AA176" s="1">
        <v>15</v>
      </c>
      <c r="AB176" s="1">
        <v>15.5</v>
      </c>
      <c r="AC176" s="1">
        <v>1</v>
      </c>
      <c r="AD176" s="3">
        <v>294.5</v>
      </c>
      <c r="AE176" s="3">
        <v>284.42183042105802</v>
      </c>
      <c r="AF176" s="2">
        <v>44714</v>
      </c>
      <c r="AG176" s="1">
        <v>70</v>
      </c>
      <c r="AH176" s="3">
        <v>5.7932922655715302</v>
      </c>
      <c r="AI176" s="4">
        <v>29.406736034689001</v>
      </c>
      <c r="AJ176" s="4">
        <v>16.2862068965517</v>
      </c>
      <c r="AK176" s="4">
        <v>21.511050732988501</v>
      </c>
      <c r="AL176" s="1">
        <v>29</v>
      </c>
      <c r="AM176" s="5">
        <v>1019.61231165232</v>
      </c>
      <c r="AN176" s="4">
        <v>279.18357964486597</v>
      </c>
      <c r="AO176" s="4">
        <v>0.27381346464171002</v>
      </c>
      <c r="AP176" s="1" t="s">
        <v>442</v>
      </c>
      <c r="AQ176" s="1" t="s">
        <v>156</v>
      </c>
      <c r="AR176" s="1" t="s">
        <v>302</v>
      </c>
      <c r="AS176" s="1">
        <v>9</v>
      </c>
      <c r="AT176" s="4">
        <v>0.9176510804870881</v>
      </c>
      <c r="AU176" s="1" t="s">
        <v>969</v>
      </c>
      <c r="AV176" s="1" t="s">
        <v>970</v>
      </c>
      <c r="AW176" s="1">
        <v>2750</v>
      </c>
      <c r="AX176" s="1">
        <v>1797</v>
      </c>
      <c r="AY176" s="1">
        <v>816</v>
      </c>
      <c r="AZ176" s="1">
        <v>134</v>
      </c>
      <c r="BA176" s="1">
        <v>3</v>
      </c>
      <c r="BB176" s="1">
        <v>0</v>
      </c>
      <c r="BC176" s="1">
        <v>0</v>
      </c>
      <c r="BD176" s="1">
        <v>0</v>
      </c>
      <c r="BE176" s="1">
        <v>0</v>
      </c>
      <c r="BF176" s="1">
        <v>0</v>
      </c>
      <c r="BG176" s="1">
        <v>0</v>
      </c>
      <c r="BH176" s="4">
        <v>-0.77</v>
      </c>
      <c r="BI176" s="4">
        <v>33.330002</v>
      </c>
      <c r="BJ176" s="4">
        <v>15.636589000000001</v>
      </c>
      <c r="BK176" s="4">
        <v>-0.22872999999999999</v>
      </c>
      <c r="BL176" s="4">
        <v>13.652704999999999</v>
      </c>
      <c r="BM176" s="4">
        <v>186.39635799999999</v>
      </c>
      <c r="BN176" s="4">
        <v>0.87312599999999996</v>
      </c>
      <c r="BO176" s="4">
        <v>29.269998999999999</v>
      </c>
      <c r="BP176" s="4">
        <v>-4.5573000000000002E-2</v>
      </c>
      <c r="BQ176" s="4">
        <v>1.1555770000000001</v>
      </c>
      <c r="BR176" s="4">
        <v>13.165333</v>
      </c>
      <c r="BS176" s="4">
        <v>11.959999</v>
      </c>
      <c r="BT176" s="4">
        <v>19.643730000000001</v>
      </c>
      <c r="BU176" s="4">
        <v>15.636589000000001</v>
      </c>
      <c r="BV176" s="4">
        <v>7.4339469999999999</v>
      </c>
      <c r="BW176" s="4">
        <v>-4.8439999999999997E-2</v>
      </c>
      <c r="BX176" s="4">
        <v>-1.4237150000000001</v>
      </c>
      <c r="BY176" s="4">
        <v>0.47542000000000001</v>
      </c>
      <c r="BZ176" s="4">
        <v>-6.5160000000000001E-3</v>
      </c>
      <c r="CA176" s="4">
        <v>-0.19151499999999999</v>
      </c>
      <c r="CB176" s="4">
        <v>-0.36</v>
      </c>
      <c r="CC176" s="4">
        <v>-0.1055</v>
      </c>
      <c r="CD176" s="4">
        <v>0.04</v>
      </c>
      <c r="CE176" s="4">
        <v>0.32</v>
      </c>
      <c r="CF176" s="4">
        <v>0.53</v>
      </c>
      <c r="CG176" s="4">
        <v>0.91</v>
      </c>
      <c r="CH176" s="4">
        <v>3.6760000000000002</v>
      </c>
      <c r="CI176" s="4">
        <v>19.415001</v>
      </c>
      <c r="CJ176" s="4">
        <v>27.736000000000001</v>
      </c>
      <c r="CK176" s="4">
        <v>29.343</v>
      </c>
      <c r="CL176" s="4">
        <v>29.799999</v>
      </c>
      <c r="CM176" s="4">
        <v>30.139999</v>
      </c>
      <c r="CN176" s="4">
        <v>31.02</v>
      </c>
      <c r="CO176" s="4">
        <v>31.515501</v>
      </c>
      <c r="CP176" s="4">
        <v>32.395302000000001</v>
      </c>
      <c r="CQ176" s="4">
        <v>0.481132</v>
      </c>
      <c r="CR176" s="4">
        <v>20.756481000000001</v>
      </c>
      <c r="CS176" s="4">
        <v>23.175642</v>
      </c>
      <c r="CT176" s="1">
        <v>1</v>
      </c>
      <c r="CU176" s="1">
        <v>51</v>
      </c>
      <c r="CV176" s="4">
        <v>12.586182000000001</v>
      </c>
      <c r="CW176" s="4">
        <v>1</v>
      </c>
      <c r="CX176" s="4">
        <v>9.5761590000000005</v>
      </c>
      <c r="CY176" s="4">
        <v>91.702827999999997</v>
      </c>
      <c r="CZ176" s="4">
        <v>0.76084700000000005</v>
      </c>
      <c r="DA176" s="4">
        <v>12</v>
      </c>
      <c r="DB176" s="4">
        <v>0.90579100000000001</v>
      </c>
      <c r="DC176" s="4">
        <v>3.2514919999999998</v>
      </c>
      <c r="DD176" s="4">
        <v>7.5934020000000002</v>
      </c>
      <c r="DE176" s="4">
        <v>12.586182000000001</v>
      </c>
      <c r="DF176" s="4">
        <v>5.2655989999999999</v>
      </c>
      <c r="DG176" s="4">
        <v>1.049949</v>
      </c>
      <c r="DH176" s="4">
        <v>0.51497700000000002</v>
      </c>
      <c r="DI176" s="4">
        <v>0.41836299999999998</v>
      </c>
      <c r="DJ176" s="4">
        <v>0.19939799999999999</v>
      </c>
      <c r="DK176" s="4">
        <v>9.7799999999999998E-2</v>
      </c>
      <c r="DL176" s="4">
        <v>1</v>
      </c>
      <c r="DM176" s="4">
        <v>1</v>
      </c>
      <c r="DN176" s="4">
        <v>2</v>
      </c>
      <c r="DO176" s="4">
        <v>4</v>
      </c>
      <c r="DP176" s="4">
        <v>5</v>
      </c>
      <c r="DQ176" s="4">
        <v>6</v>
      </c>
      <c r="DR176" s="4">
        <v>9</v>
      </c>
      <c r="DS176" s="4">
        <v>11</v>
      </c>
      <c r="DT176" s="4">
        <v>13</v>
      </c>
      <c r="DU176" s="4">
        <v>16</v>
      </c>
      <c r="DV176" s="4">
        <v>17</v>
      </c>
      <c r="DW176" s="4">
        <v>19</v>
      </c>
      <c r="DX176" s="4">
        <v>28</v>
      </c>
      <c r="DY176" s="4">
        <v>33</v>
      </c>
      <c r="DZ176" s="4">
        <v>38</v>
      </c>
      <c r="EA176" s="4">
        <v>79.688370000000006</v>
      </c>
      <c r="EB176" s="4">
        <v>62.727272999999997</v>
      </c>
      <c r="EC176" s="4">
        <v>95.993322000000006</v>
      </c>
      <c r="ED176" s="4">
        <v>1432</v>
      </c>
      <c r="EE176" s="4">
        <v>1725</v>
      </c>
      <c r="EF176" s="4">
        <v>71.341123999999994</v>
      </c>
      <c r="EG176" s="4">
        <v>100</v>
      </c>
      <c r="EH176" s="4">
        <v>52.8</v>
      </c>
      <c r="EI176" s="4">
        <v>97.927273</v>
      </c>
      <c r="EJ176" s="4">
        <v>80.801336000000006</v>
      </c>
      <c r="EK176" s="4">
        <v>149.86087900000001</v>
      </c>
      <c r="EL176" s="4">
        <v>1282</v>
      </c>
      <c r="EM176" s="4">
        <v>1797</v>
      </c>
      <c r="EN176" s="4">
        <v>1452</v>
      </c>
      <c r="EO176" s="4">
        <v>2693</v>
      </c>
      <c r="EP176" s="4">
        <v>1797</v>
      </c>
      <c r="EQ176" s="4">
        <v>2750</v>
      </c>
      <c r="ER176" s="4">
        <v>47.269584999999999</v>
      </c>
    </row>
    <row r="177" spans="1:148" x14ac:dyDescent="0.2">
      <c r="A177" s="1">
        <v>2022</v>
      </c>
      <c r="B177" s="1" t="str">
        <f t="shared" si="4"/>
        <v>NE</v>
      </c>
      <c r="C177" s="1" t="s">
        <v>971</v>
      </c>
      <c r="D177" s="1" t="s">
        <v>971</v>
      </c>
      <c r="E177" s="1">
        <v>25075</v>
      </c>
      <c r="F177" s="1" t="s">
        <v>2111</v>
      </c>
      <c r="G177" s="1" t="s">
        <v>541</v>
      </c>
      <c r="H177" s="1" t="s">
        <v>972</v>
      </c>
      <c r="I177" s="1">
        <v>8.82</v>
      </c>
      <c r="J177" s="1">
        <v>8.82</v>
      </c>
      <c r="K177" s="1" t="s">
        <v>168</v>
      </c>
      <c r="L177" s="1">
        <v>1</v>
      </c>
      <c r="M177" s="1">
        <v>2016</v>
      </c>
      <c r="N177" s="1">
        <v>3</v>
      </c>
      <c r="O177" s="1">
        <v>1</v>
      </c>
      <c r="P177" s="1" t="str">
        <f t="shared" si="5"/>
        <v>Alto fuste</v>
      </c>
      <c r="Q177" s="2">
        <v>42719</v>
      </c>
      <c r="R177" s="1" t="s">
        <v>169</v>
      </c>
      <c r="S177" s="1" t="s">
        <v>651</v>
      </c>
      <c r="T177" s="1" t="s">
        <v>2268</v>
      </c>
      <c r="U177" s="1" t="s">
        <v>170</v>
      </c>
      <c r="V177" s="1" t="s">
        <v>152</v>
      </c>
      <c r="W177" s="2">
        <v>44588</v>
      </c>
      <c r="X177" s="1" t="s">
        <v>543</v>
      </c>
      <c r="Y177" s="1">
        <v>57.71</v>
      </c>
      <c r="Z177" s="1">
        <v>20</v>
      </c>
      <c r="AA177" s="1">
        <v>23</v>
      </c>
      <c r="AB177" s="1">
        <v>15</v>
      </c>
      <c r="AC177" s="1">
        <v>0</v>
      </c>
      <c r="AD177" s="3">
        <v>300</v>
      </c>
      <c r="AE177" s="3">
        <v>276.151456035732</v>
      </c>
      <c r="AF177" s="2">
        <v>44588</v>
      </c>
      <c r="AG177" s="1">
        <v>61</v>
      </c>
      <c r="AH177" s="3">
        <v>5.1170431211498997</v>
      </c>
      <c r="AI177" s="4">
        <v>27.162614827527499</v>
      </c>
      <c r="AJ177" s="4">
        <v>16.16</v>
      </c>
      <c r="AK177" s="4">
        <v>22.649722671286501</v>
      </c>
      <c r="AL177" s="1">
        <v>30</v>
      </c>
      <c r="AM177" s="5">
        <v>1086.3603774052999</v>
      </c>
      <c r="AN177" s="4">
        <v>269.514580967342</v>
      </c>
      <c r="AO177" s="4">
        <v>0.24808947985663901</v>
      </c>
      <c r="AP177" s="1" t="s">
        <v>651</v>
      </c>
      <c r="AQ177" s="1" t="s">
        <v>156</v>
      </c>
      <c r="AR177" s="1" t="s">
        <v>302</v>
      </c>
      <c r="AS177" s="1">
        <v>9</v>
      </c>
      <c r="AT177" s="4">
        <v>0.9777243396647699</v>
      </c>
      <c r="AU177" s="1" t="s">
        <v>973</v>
      </c>
      <c r="AV177" s="1" t="s">
        <v>974</v>
      </c>
      <c r="AW177" s="1">
        <v>3152</v>
      </c>
      <c r="AX177" s="1">
        <v>1988</v>
      </c>
      <c r="AY177" s="1">
        <v>1112</v>
      </c>
      <c r="AZ177" s="1">
        <v>50</v>
      </c>
      <c r="BA177" s="1">
        <v>2</v>
      </c>
      <c r="BB177" s="1">
        <v>0</v>
      </c>
      <c r="BC177" s="1">
        <v>0</v>
      </c>
      <c r="BD177" s="1">
        <v>0</v>
      </c>
      <c r="BE177" s="1">
        <v>0</v>
      </c>
      <c r="BF177" s="1">
        <v>0</v>
      </c>
      <c r="BG177" s="1">
        <v>0</v>
      </c>
      <c r="BH177" s="4">
        <v>-0.91200000000000003</v>
      </c>
      <c r="BI177" s="4">
        <v>30.24</v>
      </c>
      <c r="BJ177" s="4">
        <v>16.022601999999999</v>
      </c>
      <c r="BK177" s="4">
        <v>-0.41752400000000001</v>
      </c>
      <c r="BL177" s="4">
        <v>12.249371999999999</v>
      </c>
      <c r="BM177" s="4">
        <v>150.04711499999999</v>
      </c>
      <c r="BN177" s="4">
        <v>0.76450600000000002</v>
      </c>
      <c r="BO177" s="4">
        <v>24.536249999999999</v>
      </c>
      <c r="BP177" s="4">
        <v>-0.30186200000000002</v>
      </c>
      <c r="BQ177" s="4">
        <v>1.1802870000000001</v>
      </c>
      <c r="BR177" s="4">
        <v>11.921730999999999</v>
      </c>
      <c r="BS177" s="4">
        <v>4.0385</v>
      </c>
      <c r="BT177" s="4">
        <v>24.827524</v>
      </c>
      <c r="BU177" s="4">
        <v>16.022601999999999</v>
      </c>
      <c r="BV177" s="4">
        <v>6.5181940000000003</v>
      </c>
      <c r="BW177" s="4">
        <v>-0.825187</v>
      </c>
      <c r="BX177" s="4">
        <v>-1.048216</v>
      </c>
      <c r="BY177" s="4">
        <v>0.40681200000000001</v>
      </c>
      <c r="BZ177" s="4">
        <v>-0.12659799999999999</v>
      </c>
      <c r="CA177" s="4">
        <v>-0.16081400000000001</v>
      </c>
      <c r="CB177" s="4">
        <v>-0.29944999999999999</v>
      </c>
      <c r="CC177" s="4">
        <v>-4.5449999999999997E-2</v>
      </c>
      <c r="CD177" s="4">
        <v>0.1041</v>
      </c>
      <c r="CE177" s="4">
        <v>1.1214</v>
      </c>
      <c r="CF177" s="4">
        <v>2.3765000000000001</v>
      </c>
      <c r="CG177" s="4">
        <v>3.2492999999999999</v>
      </c>
      <c r="CH177" s="4">
        <v>4.7935999999999996</v>
      </c>
      <c r="CI177" s="4">
        <v>24.41</v>
      </c>
      <c r="CJ177" s="4">
        <v>25.764199999999999</v>
      </c>
      <c r="CK177" s="4">
        <v>26.5611</v>
      </c>
      <c r="CL177" s="4">
        <v>26.912749999999999</v>
      </c>
      <c r="CM177" s="4">
        <v>27.250999</v>
      </c>
      <c r="CN177" s="4">
        <v>28.074400000000001</v>
      </c>
      <c r="CO177" s="4">
        <v>28.736999999999998</v>
      </c>
      <c r="CP177" s="4">
        <v>29.50149</v>
      </c>
      <c r="CQ177" s="4">
        <v>0.54361199999999998</v>
      </c>
      <c r="CR177" s="4">
        <v>20.167382</v>
      </c>
      <c r="CS177" s="4">
        <v>22.082937000000001</v>
      </c>
      <c r="CT177" s="1">
        <v>1</v>
      </c>
      <c r="CU177" s="1">
        <v>86</v>
      </c>
      <c r="CV177" s="4">
        <v>30.650697999999998</v>
      </c>
      <c r="CW177" s="4">
        <v>1</v>
      </c>
      <c r="CX177" s="4">
        <v>18.958307999999999</v>
      </c>
      <c r="CY177" s="4">
        <v>359.417461</v>
      </c>
      <c r="CZ177" s="4">
        <v>0.61852799999999997</v>
      </c>
      <c r="DA177" s="4">
        <v>33</v>
      </c>
      <c r="DB177" s="4">
        <v>-2.1921E-2</v>
      </c>
      <c r="DC177" s="4">
        <v>2.0141010000000001</v>
      </c>
      <c r="DD177" s="4">
        <v>16.417268</v>
      </c>
      <c r="DE177" s="4">
        <v>30.650697999999998</v>
      </c>
      <c r="DF177" s="4">
        <v>10.806995000000001</v>
      </c>
      <c r="DG177" s="4">
        <v>-0.24379500000000001</v>
      </c>
      <c r="DH177" s="4">
        <v>0.124609</v>
      </c>
      <c r="DI177" s="4">
        <v>0.35258600000000001</v>
      </c>
      <c r="DJ177" s="4">
        <v>-2.2558999999999999E-2</v>
      </c>
      <c r="DK177" s="4">
        <v>1.153E-2</v>
      </c>
      <c r="DL177" s="4">
        <v>1</v>
      </c>
      <c r="DM177" s="4">
        <v>2</v>
      </c>
      <c r="DN177" s="4">
        <v>4</v>
      </c>
      <c r="DO177" s="4">
        <v>8</v>
      </c>
      <c r="DP177" s="4">
        <v>12</v>
      </c>
      <c r="DQ177" s="4">
        <v>17</v>
      </c>
      <c r="DR177" s="4">
        <v>27</v>
      </c>
      <c r="DS177" s="4">
        <v>35</v>
      </c>
      <c r="DT177" s="4">
        <v>39</v>
      </c>
      <c r="DU177" s="4">
        <v>43</v>
      </c>
      <c r="DV177" s="4">
        <v>45</v>
      </c>
      <c r="DW177" s="4">
        <v>47</v>
      </c>
      <c r="DX177" s="4">
        <v>53</v>
      </c>
      <c r="DY177" s="4">
        <v>59</v>
      </c>
      <c r="DZ177" s="4">
        <v>72</v>
      </c>
      <c r="EA177" s="4">
        <v>94.668008</v>
      </c>
      <c r="EB177" s="4">
        <v>71.478425999999999</v>
      </c>
      <c r="EC177" s="4">
        <v>113.32998000000001</v>
      </c>
      <c r="ED177" s="4">
        <v>1882</v>
      </c>
      <c r="EE177" s="4">
        <v>2253</v>
      </c>
      <c r="EF177" s="4">
        <v>89.989940000000004</v>
      </c>
      <c r="EG177" s="4">
        <v>100</v>
      </c>
      <c r="EH177" s="4">
        <v>57.423858000000003</v>
      </c>
      <c r="EI177" s="4">
        <v>99.587563000000003</v>
      </c>
      <c r="EJ177" s="4">
        <v>91.046278000000001</v>
      </c>
      <c r="EK177" s="4">
        <v>157.89738399999999</v>
      </c>
      <c r="EL177" s="4">
        <v>1789</v>
      </c>
      <c r="EM177" s="4">
        <v>1988</v>
      </c>
      <c r="EN177" s="4">
        <v>1810</v>
      </c>
      <c r="EO177" s="4">
        <v>3139</v>
      </c>
      <c r="EP177" s="4">
        <v>1988</v>
      </c>
      <c r="EQ177" s="4">
        <v>3152</v>
      </c>
      <c r="ER177" s="4">
        <v>53.454374000000001</v>
      </c>
    </row>
    <row r="178" spans="1:148" x14ac:dyDescent="0.2">
      <c r="A178" s="1">
        <v>2022</v>
      </c>
      <c r="B178" s="1" t="str">
        <f t="shared" si="4"/>
        <v>NE</v>
      </c>
      <c r="C178" s="1" t="s">
        <v>975</v>
      </c>
      <c r="D178" s="1" t="s">
        <v>975</v>
      </c>
      <c r="E178" s="1">
        <v>25076</v>
      </c>
      <c r="F178" s="1" t="s">
        <v>2112</v>
      </c>
      <c r="G178" s="1" t="s">
        <v>541</v>
      </c>
      <c r="H178" s="1" t="s">
        <v>976</v>
      </c>
      <c r="I178" s="1">
        <v>20.38</v>
      </c>
      <c r="J178" s="1">
        <v>20.38</v>
      </c>
      <c r="K178" s="1" t="s">
        <v>168</v>
      </c>
      <c r="L178" s="1">
        <v>1</v>
      </c>
      <c r="M178" s="1">
        <v>2016</v>
      </c>
      <c r="N178" s="1">
        <v>3</v>
      </c>
      <c r="O178" s="1">
        <v>2</v>
      </c>
      <c r="P178" s="1" t="str">
        <f t="shared" si="5"/>
        <v>Talhadia</v>
      </c>
      <c r="Q178" s="2">
        <v>42706</v>
      </c>
      <c r="R178" s="1" t="s">
        <v>169</v>
      </c>
      <c r="S178" s="1" t="s">
        <v>150</v>
      </c>
      <c r="T178" s="1" t="s">
        <v>2268</v>
      </c>
      <c r="U178" s="1" t="s">
        <v>170</v>
      </c>
      <c r="V178" s="1" t="s">
        <v>152</v>
      </c>
      <c r="W178" s="2">
        <v>44565</v>
      </c>
      <c r="X178" s="1" t="s">
        <v>543</v>
      </c>
      <c r="Y178" s="1">
        <v>47.9</v>
      </c>
      <c r="Z178" s="1">
        <v>19</v>
      </c>
      <c r="AA178" s="1">
        <v>20</v>
      </c>
      <c r="AB178" s="1">
        <v>15.8</v>
      </c>
      <c r="AC178" s="1">
        <v>8</v>
      </c>
      <c r="AD178" s="3">
        <v>300.2</v>
      </c>
      <c r="AE178" s="3">
        <v>279.350388558269</v>
      </c>
      <c r="AF178" s="2">
        <v>44565</v>
      </c>
      <c r="AG178" s="1">
        <v>61</v>
      </c>
      <c r="AH178" s="3">
        <v>5.0896646132785799</v>
      </c>
      <c r="AI178" s="4">
        <v>23.225360589539999</v>
      </c>
      <c r="AJ178" s="4">
        <v>16.036842105263201</v>
      </c>
      <c r="AK178" s="4">
        <v>14.268866816541401</v>
      </c>
      <c r="AL178" s="1">
        <v>19</v>
      </c>
      <c r="AM178" s="5">
        <v>680.14940297950704</v>
      </c>
      <c r="AN178" s="4">
        <v>144.76070805744399</v>
      </c>
      <c r="AO178" s="4">
        <v>0.212836631809565</v>
      </c>
      <c r="AP178" s="1" t="s">
        <v>150</v>
      </c>
      <c r="AQ178" s="1" t="s">
        <v>254</v>
      </c>
      <c r="AR178" s="1" t="s">
        <v>302</v>
      </c>
      <c r="AS178" s="1">
        <v>9</v>
      </c>
      <c r="AT178" s="4">
        <v>0.61213446268155636</v>
      </c>
      <c r="AU178" s="1" t="s">
        <v>977</v>
      </c>
      <c r="AV178" s="1" t="s">
        <v>978</v>
      </c>
      <c r="AW178" s="1">
        <v>3903</v>
      </c>
      <c r="AX178" s="1">
        <v>2151</v>
      </c>
      <c r="AY178" s="1">
        <v>1391</v>
      </c>
      <c r="AZ178" s="1">
        <v>335</v>
      </c>
      <c r="BA178" s="1">
        <v>26</v>
      </c>
      <c r="BB178" s="1">
        <v>0</v>
      </c>
      <c r="BC178" s="1">
        <v>0</v>
      </c>
      <c r="BD178" s="1">
        <v>0</v>
      </c>
      <c r="BE178" s="1">
        <v>0</v>
      </c>
      <c r="BF178" s="1">
        <v>0</v>
      </c>
      <c r="BG178" s="1">
        <v>0</v>
      </c>
      <c r="BH178" s="4">
        <v>-1.0409999999999999</v>
      </c>
      <c r="BI178" s="4">
        <v>29.245999999999999</v>
      </c>
      <c r="BJ178" s="4">
        <v>12.817659000000001</v>
      </c>
      <c r="BK178" s="4">
        <v>-7.9507999999999995E-2</v>
      </c>
      <c r="BL178" s="4">
        <v>10.475193000000001</v>
      </c>
      <c r="BM178" s="4">
        <v>109.729677</v>
      </c>
      <c r="BN178" s="4">
        <v>0.81724699999999995</v>
      </c>
      <c r="BO178" s="4">
        <v>22.713000000000001</v>
      </c>
      <c r="BP178" s="4">
        <v>-0.14194499999999999</v>
      </c>
      <c r="BQ178" s="4">
        <v>1.397613</v>
      </c>
      <c r="BR178" s="4">
        <v>9.5773469999999996</v>
      </c>
      <c r="BS178" s="4">
        <v>9.2210009999999993</v>
      </c>
      <c r="BT178" s="4">
        <v>15.864508000000001</v>
      </c>
      <c r="BU178" s="4">
        <v>12.817659000000001</v>
      </c>
      <c r="BV178" s="4">
        <v>5.851737</v>
      </c>
      <c r="BW178" s="4">
        <v>-6.5712000000000007E-2</v>
      </c>
      <c r="BX178" s="4">
        <v>-0.69115499999999996</v>
      </c>
      <c r="BY178" s="4">
        <v>0.45653700000000003</v>
      </c>
      <c r="BZ178" s="4">
        <v>-1.1228999999999999E-2</v>
      </c>
      <c r="CA178" s="4">
        <v>-0.11811099999999999</v>
      </c>
      <c r="CB178" s="4">
        <v>-0.41496</v>
      </c>
      <c r="CC178" s="4">
        <v>-0.18390000000000001</v>
      </c>
      <c r="CD178" s="4">
        <v>-6.1800000000000001E-2</v>
      </c>
      <c r="CE178" s="4">
        <v>7.4999999999999997E-2</v>
      </c>
      <c r="CF178" s="4">
        <v>0.13700000000000001</v>
      </c>
      <c r="CG178" s="4">
        <v>0.22459999999999999</v>
      </c>
      <c r="CH178" s="4">
        <v>10.389200000000001</v>
      </c>
      <c r="CI178" s="4">
        <v>15.785</v>
      </c>
      <c r="CJ178" s="4">
        <v>18.1234</v>
      </c>
      <c r="CK178" s="4">
        <v>20.977394</v>
      </c>
      <c r="CL178" s="4">
        <v>22.85</v>
      </c>
      <c r="CM178" s="4">
        <v>23.800201000000001</v>
      </c>
      <c r="CN178" s="4">
        <v>25.669398999999999</v>
      </c>
      <c r="CO178" s="4">
        <v>26.830598999999999</v>
      </c>
      <c r="CP178" s="4">
        <v>27.821960000000001</v>
      </c>
      <c r="CQ178" s="4">
        <v>0.45757799999999998</v>
      </c>
      <c r="CR178" s="4">
        <v>16.552762999999999</v>
      </c>
      <c r="CS178" s="4">
        <v>18.332379</v>
      </c>
      <c r="CT178" s="1">
        <v>1</v>
      </c>
      <c r="CU178" s="1">
        <v>45</v>
      </c>
      <c r="CV178" s="4">
        <v>9.283372</v>
      </c>
      <c r="CW178" s="4">
        <v>2.3968250000000002</v>
      </c>
      <c r="CX178" s="4">
        <v>6.9724250000000003</v>
      </c>
      <c r="CY178" s="4">
        <v>48.614708</v>
      </c>
      <c r="CZ178" s="4">
        <v>0.75106600000000001</v>
      </c>
      <c r="DA178" s="4">
        <v>9</v>
      </c>
      <c r="DB178" s="4">
        <v>1.381426</v>
      </c>
      <c r="DC178" s="4">
        <v>5.3253219999999999</v>
      </c>
      <c r="DD178" s="4">
        <v>5.3228150000000003</v>
      </c>
      <c r="DE178" s="4">
        <v>9.283372</v>
      </c>
      <c r="DF178" s="4">
        <v>3.6883400000000002</v>
      </c>
      <c r="DG178" s="4">
        <v>0.89035299999999995</v>
      </c>
      <c r="DH178" s="4">
        <v>0.525258</v>
      </c>
      <c r="DI178" s="4">
        <v>0.39730599999999999</v>
      </c>
      <c r="DJ178" s="4">
        <v>0.241397</v>
      </c>
      <c r="DK178" s="4">
        <v>0.14241000000000001</v>
      </c>
      <c r="DL178" s="4">
        <v>1</v>
      </c>
      <c r="DM178" s="4">
        <v>1</v>
      </c>
      <c r="DN178" s="4">
        <v>2</v>
      </c>
      <c r="DO178" s="4">
        <v>3</v>
      </c>
      <c r="DP178" s="4">
        <v>4</v>
      </c>
      <c r="DQ178" s="4">
        <v>5</v>
      </c>
      <c r="DR178" s="4">
        <v>6</v>
      </c>
      <c r="DS178" s="4">
        <v>8</v>
      </c>
      <c r="DT178" s="4">
        <v>9</v>
      </c>
      <c r="DU178" s="4">
        <v>11</v>
      </c>
      <c r="DV178" s="4">
        <v>13</v>
      </c>
      <c r="DW178" s="4">
        <v>14</v>
      </c>
      <c r="DX178" s="4">
        <v>18</v>
      </c>
      <c r="DY178" s="4">
        <v>23</v>
      </c>
      <c r="DZ178" s="4">
        <v>33</v>
      </c>
      <c r="EA178" s="4">
        <v>89.353789000000006</v>
      </c>
      <c r="EB178" s="4">
        <v>64.283884</v>
      </c>
      <c r="EC178" s="4">
        <v>116.643422</v>
      </c>
      <c r="ED178" s="4">
        <v>1922</v>
      </c>
      <c r="EE178" s="4">
        <v>2509</v>
      </c>
      <c r="EF178" s="4">
        <v>85.960019000000003</v>
      </c>
      <c r="EG178" s="4">
        <v>99.721059999999994</v>
      </c>
      <c r="EH178" s="4">
        <v>57.442993000000001</v>
      </c>
      <c r="EI178" s="4">
        <v>90.981296</v>
      </c>
      <c r="EJ178" s="4">
        <v>104.23059000000001</v>
      </c>
      <c r="EK178" s="4">
        <v>165.086007</v>
      </c>
      <c r="EL178" s="4">
        <v>1849</v>
      </c>
      <c r="EM178" s="4">
        <v>2145</v>
      </c>
      <c r="EN178" s="4">
        <v>2242</v>
      </c>
      <c r="EO178" s="4">
        <v>3551</v>
      </c>
      <c r="EP178" s="4">
        <v>2151</v>
      </c>
      <c r="EQ178" s="4">
        <v>3903</v>
      </c>
      <c r="ER178" s="4">
        <v>45.192653999999997</v>
      </c>
    </row>
    <row r="179" spans="1:148" x14ac:dyDescent="0.2">
      <c r="A179" s="1">
        <v>2022</v>
      </c>
      <c r="B179" s="1" t="str">
        <f t="shared" si="4"/>
        <v>NE</v>
      </c>
      <c r="C179" s="1" t="s">
        <v>979</v>
      </c>
      <c r="D179" s="1" t="s">
        <v>979</v>
      </c>
      <c r="E179" s="1">
        <v>25078</v>
      </c>
      <c r="F179" s="1" t="s">
        <v>2112</v>
      </c>
      <c r="G179" s="1" t="s">
        <v>541</v>
      </c>
      <c r="H179" s="1" t="s">
        <v>980</v>
      </c>
      <c r="I179" s="1">
        <v>23.93</v>
      </c>
      <c r="J179" s="1">
        <v>23.93</v>
      </c>
      <c r="K179" s="1" t="s">
        <v>168</v>
      </c>
      <c r="L179" s="1">
        <v>1</v>
      </c>
      <c r="M179" s="1">
        <v>2016</v>
      </c>
      <c r="N179" s="1">
        <v>2</v>
      </c>
      <c r="O179" s="1">
        <v>2</v>
      </c>
      <c r="P179" s="1" t="str">
        <f t="shared" si="5"/>
        <v>Talhadia</v>
      </c>
      <c r="Q179" s="2">
        <v>42709</v>
      </c>
      <c r="R179" s="1" t="s">
        <v>149</v>
      </c>
      <c r="S179" s="1" t="s">
        <v>150</v>
      </c>
      <c r="T179" s="1" t="s">
        <v>2268</v>
      </c>
      <c r="U179" s="1" t="s">
        <v>170</v>
      </c>
      <c r="V179" s="1" t="s">
        <v>152</v>
      </c>
      <c r="W179" s="2">
        <v>44564</v>
      </c>
      <c r="X179" s="1" t="s">
        <v>543</v>
      </c>
      <c r="Y179" s="1">
        <v>47.9</v>
      </c>
      <c r="Z179" s="1">
        <v>20</v>
      </c>
      <c r="AA179" s="1">
        <v>20</v>
      </c>
      <c r="AB179" s="1">
        <v>16.399999999999999</v>
      </c>
      <c r="AC179" s="1">
        <v>1</v>
      </c>
      <c r="AD179" s="3">
        <v>328</v>
      </c>
      <c r="AE179" s="3">
        <v>308.17223634382901</v>
      </c>
      <c r="AF179" s="2">
        <v>44564</v>
      </c>
      <c r="AG179" s="1">
        <v>61</v>
      </c>
      <c r="AH179" s="3">
        <v>5.0787132101300498</v>
      </c>
      <c r="AI179" s="4">
        <v>23.5029316068333</v>
      </c>
      <c r="AJ179" s="4">
        <v>14.837037037037</v>
      </c>
      <c r="AK179" s="4">
        <v>15.8777878517221</v>
      </c>
      <c r="AL179" s="1">
        <v>27</v>
      </c>
      <c r="AM179" s="5">
        <v>876.133435001458</v>
      </c>
      <c r="AN179" s="4">
        <v>166.33853028838499</v>
      </c>
      <c r="AO179" s="4">
        <v>0.18985524766339801</v>
      </c>
      <c r="AP179" s="1" t="s">
        <v>150</v>
      </c>
      <c r="AQ179" s="1" t="s">
        <v>254</v>
      </c>
      <c r="AR179" s="1" t="s">
        <v>282</v>
      </c>
      <c r="AS179" s="1">
        <v>9.99</v>
      </c>
      <c r="AT179" s="4">
        <v>0.87525730156645654</v>
      </c>
      <c r="AU179" s="1" t="s">
        <v>981</v>
      </c>
      <c r="AV179" s="1" t="s">
        <v>982</v>
      </c>
      <c r="AW179" s="1">
        <v>2844</v>
      </c>
      <c r="AX179" s="1">
        <v>1475</v>
      </c>
      <c r="AY179" s="1">
        <v>1085</v>
      </c>
      <c r="AZ179" s="1">
        <v>269</v>
      </c>
      <c r="BA179" s="1">
        <v>15</v>
      </c>
      <c r="BB179" s="1">
        <v>0</v>
      </c>
      <c r="BC179" s="1">
        <v>0</v>
      </c>
      <c r="BD179" s="1">
        <v>0</v>
      </c>
      <c r="BE179" s="1">
        <v>0</v>
      </c>
      <c r="BF179" s="1">
        <v>0</v>
      </c>
      <c r="BG179" s="1">
        <v>0</v>
      </c>
      <c r="BH179" s="4">
        <v>-0.80600000000000005</v>
      </c>
      <c r="BI179" s="4">
        <v>26.83</v>
      </c>
      <c r="BJ179" s="4">
        <v>11.923992999999999</v>
      </c>
      <c r="BK179" s="4">
        <v>-0.36733300000000002</v>
      </c>
      <c r="BL179" s="4">
        <v>10.232457999999999</v>
      </c>
      <c r="BM179" s="4">
        <v>104.70320100000001</v>
      </c>
      <c r="BN179" s="4">
        <v>0.85814000000000001</v>
      </c>
      <c r="BO179" s="4">
        <v>21.662749999999999</v>
      </c>
      <c r="BP179" s="4">
        <v>-7.1049000000000001E-2</v>
      </c>
      <c r="BQ179" s="4">
        <v>1.295466</v>
      </c>
      <c r="BR179" s="4">
        <v>9.5156770000000002</v>
      </c>
      <c r="BS179" s="4">
        <v>10.202999999999999</v>
      </c>
      <c r="BT179" s="4">
        <v>14.622833</v>
      </c>
      <c r="BU179" s="4">
        <v>11.923992999999999</v>
      </c>
      <c r="BV179" s="4">
        <v>5.6803990000000004</v>
      </c>
      <c r="BW179" s="4">
        <v>7.2166999999999995E-2</v>
      </c>
      <c r="BX179" s="4">
        <v>-0.82821800000000001</v>
      </c>
      <c r="BY179" s="4">
        <v>0.47638399999999997</v>
      </c>
      <c r="BZ179" s="4">
        <v>1.2704999999999999E-2</v>
      </c>
      <c r="CA179" s="4">
        <v>-0.14580299999999999</v>
      </c>
      <c r="CB179" s="4">
        <v>-0.38428000000000001</v>
      </c>
      <c r="CC179" s="4">
        <v>-0.14185</v>
      </c>
      <c r="CD179" s="4">
        <v>-4.8000000000000001E-2</v>
      </c>
      <c r="CE179" s="4">
        <v>0.123</v>
      </c>
      <c r="CF179" s="4">
        <v>0.22975000000000001</v>
      </c>
      <c r="CG179" s="4">
        <v>0.40970000000000001</v>
      </c>
      <c r="CH179" s="4">
        <v>4.3991889999999998</v>
      </c>
      <c r="CI179" s="4">
        <v>14.2555</v>
      </c>
      <c r="CJ179" s="4">
        <v>17.749599</v>
      </c>
      <c r="CK179" s="4">
        <v>20.935199999999998</v>
      </c>
      <c r="CL179" s="4">
        <v>21.892499999999998</v>
      </c>
      <c r="CM179" s="4">
        <v>22.776599999999998</v>
      </c>
      <c r="CN179" s="4">
        <v>24.4604</v>
      </c>
      <c r="CO179" s="4">
        <v>25.456551000000001</v>
      </c>
      <c r="CP179" s="4">
        <v>26.261279999999999</v>
      </c>
      <c r="CQ179" s="4">
        <v>0.46063100000000001</v>
      </c>
      <c r="CR179" s="4">
        <v>15.711397</v>
      </c>
      <c r="CS179" s="4">
        <v>17.504377999999999</v>
      </c>
      <c r="CT179" s="1">
        <v>1</v>
      </c>
      <c r="CU179" s="1">
        <v>53</v>
      </c>
      <c r="CV179" s="4">
        <v>11.452883</v>
      </c>
      <c r="CW179" s="4">
        <v>2.6507939999999999</v>
      </c>
      <c r="CX179" s="4">
        <v>9.5059950000000004</v>
      </c>
      <c r="CY179" s="4">
        <v>90.363941999999994</v>
      </c>
      <c r="CZ179" s="4">
        <v>0.830009</v>
      </c>
      <c r="DA179" s="4">
        <v>10</v>
      </c>
      <c r="DB179" s="4">
        <v>1.7036519999999999</v>
      </c>
      <c r="DC179" s="4">
        <v>6.1063679999999998</v>
      </c>
      <c r="DD179" s="4">
        <v>6.9180000000000001</v>
      </c>
      <c r="DE179" s="4">
        <v>11.452883</v>
      </c>
      <c r="DF179" s="4">
        <v>4.82118</v>
      </c>
      <c r="DG179" s="4">
        <v>1.468888</v>
      </c>
      <c r="DH179" s="4">
        <v>0.92719399999999996</v>
      </c>
      <c r="DI179" s="4">
        <v>0.420958</v>
      </c>
      <c r="DJ179" s="4">
        <v>0.304674</v>
      </c>
      <c r="DK179" s="4">
        <v>0.19231699999999999</v>
      </c>
      <c r="DL179" s="4">
        <v>1</v>
      </c>
      <c r="DM179" s="4">
        <v>1</v>
      </c>
      <c r="DN179" s="4">
        <v>2</v>
      </c>
      <c r="DO179" s="4">
        <v>4</v>
      </c>
      <c r="DP179" s="4">
        <v>5</v>
      </c>
      <c r="DQ179" s="4">
        <v>6</v>
      </c>
      <c r="DR179" s="4">
        <v>7</v>
      </c>
      <c r="DS179" s="4">
        <v>9</v>
      </c>
      <c r="DT179" s="4">
        <v>11</v>
      </c>
      <c r="DU179" s="4">
        <v>13</v>
      </c>
      <c r="DV179" s="4">
        <v>15</v>
      </c>
      <c r="DW179" s="4">
        <v>16</v>
      </c>
      <c r="DX179" s="4">
        <v>23</v>
      </c>
      <c r="DY179" s="4">
        <v>34</v>
      </c>
      <c r="DZ179" s="4">
        <v>45</v>
      </c>
      <c r="EA179" s="4">
        <v>86.983051000000003</v>
      </c>
      <c r="EB179" s="4">
        <v>60.091420999999997</v>
      </c>
      <c r="EC179" s="4">
        <v>115.864407</v>
      </c>
      <c r="ED179" s="4">
        <v>1283</v>
      </c>
      <c r="EE179" s="4">
        <v>1709</v>
      </c>
      <c r="EF179" s="4">
        <v>83.186441000000002</v>
      </c>
      <c r="EG179" s="4">
        <v>99.932203000000001</v>
      </c>
      <c r="EH179" s="4">
        <v>55.309423000000002</v>
      </c>
      <c r="EI179" s="4">
        <v>98.874824000000004</v>
      </c>
      <c r="EJ179" s="4">
        <v>106.644068</v>
      </c>
      <c r="EK179" s="4">
        <v>190.644068</v>
      </c>
      <c r="EL179" s="4">
        <v>1227</v>
      </c>
      <c r="EM179" s="4">
        <v>1474</v>
      </c>
      <c r="EN179" s="4">
        <v>1573</v>
      </c>
      <c r="EO179" s="4">
        <v>2812</v>
      </c>
      <c r="EP179" s="4">
        <v>1475</v>
      </c>
      <c r="EQ179" s="4">
        <v>2844</v>
      </c>
      <c r="ER179" s="4">
        <v>44.466923999999999</v>
      </c>
    </row>
    <row r="180" spans="1:148" x14ac:dyDescent="0.2">
      <c r="A180" s="1">
        <v>2022</v>
      </c>
      <c r="B180" s="1" t="str">
        <f t="shared" si="4"/>
        <v>NE</v>
      </c>
      <c r="C180" s="1" t="s">
        <v>983</v>
      </c>
      <c r="D180" s="1" t="s">
        <v>983</v>
      </c>
      <c r="E180" s="1">
        <v>25079</v>
      </c>
      <c r="F180" s="1" t="s">
        <v>2112</v>
      </c>
      <c r="G180" s="1" t="s">
        <v>541</v>
      </c>
      <c r="H180" s="1" t="s">
        <v>980</v>
      </c>
      <c r="I180" s="1">
        <v>23.93</v>
      </c>
      <c r="J180" s="1">
        <v>23.93</v>
      </c>
      <c r="K180" s="1" t="s">
        <v>168</v>
      </c>
      <c r="L180" s="1">
        <v>1</v>
      </c>
      <c r="M180" s="1">
        <v>2016</v>
      </c>
      <c r="N180" s="1">
        <v>2</v>
      </c>
      <c r="O180" s="1">
        <v>2</v>
      </c>
      <c r="P180" s="1" t="str">
        <f t="shared" si="5"/>
        <v>Talhadia</v>
      </c>
      <c r="Q180" s="2">
        <v>42709</v>
      </c>
      <c r="R180" s="1" t="s">
        <v>149</v>
      </c>
      <c r="S180" s="1" t="s">
        <v>150</v>
      </c>
      <c r="T180" s="1" t="s">
        <v>2268</v>
      </c>
      <c r="U180" s="1" t="s">
        <v>170</v>
      </c>
      <c r="V180" s="1" t="s">
        <v>152</v>
      </c>
      <c r="W180" s="2">
        <v>44564</v>
      </c>
      <c r="X180" s="1" t="s">
        <v>543</v>
      </c>
      <c r="Y180" s="1">
        <v>47.9</v>
      </c>
      <c r="Z180" s="1">
        <v>20</v>
      </c>
      <c r="AA180" s="1">
        <v>20</v>
      </c>
      <c r="AB180" s="1">
        <v>16.399999999999999</v>
      </c>
      <c r="AC180" s="1">
        <v>1</v>
      </c>
      <c r="AD180" s="3">
        <v>328</v>
      </c>
      <c r="AE180" s="3">
        <v>308.17223634382901</v>
      </c>
      <c r="AF180" s="2">
        <v>44564</v>
      </c>
      <c r="AG180" s="1">
        <v>61</v>
      </c>
      <c r="AH180" s="3">
        <v>5.0787132101300498</v>
      </c>
      <c r="AI180" s="4">
        <v>21.617062706248898</v>
      </c>
      <c r="AJ180" s="4">
        <v>14.781481481481499</v>
      </c>
      <c r="AK180" s="4">
        <v>15.4962416084505</v>
      </c>
      <c r="AL180" s="1">
        <v>27</v>
      </c>
      <c r="AM180" s="5">
        <v>876.133435001458</v>
      </c>
      <c r="AN180" s="4">
        <v>145.40104732181999</v>
      </c>
      <c r="AO180" s="4">
        <v>0.16595765155518599</v>
      </c>
      <c r="AP180" s="1" t="s">
        <v>150</v>
      </c>
      <c r="AQ180" s="1" t="s">
        <v>254</v>
      </c>
      <c r="AR180" s="1" t="s">
        <v>282</v>
      </c>
      <c r="AS180" s="1">
        <v>9.99</v>
      </c>
      <c r="AT180" s="4">
        <v>0.87525730156645654</v>
      </c>
      <c r="AU180" s="1" t="s">
        <v>984</v>
      </c>
      <c r="AV180" s="1" t="s">
        <v>985</v>
      </c>
      <c r="AW180" s="1">
        <v>5247</v>
      </c>
      <c r="AX180" s="1">
        <v>2604</v>
      </c>
      <c r="AY180" s="1">
        <v>1983</v>
      </c>
      <c r="AZ180" s="1">
        <v>618</v>
      </c>
      <c r="BA180" s="1">
        <v>42</v>
      </c>
      <c r="BB180" s="1">
        <v>0</v>
      </c>
      <c r="BC180" s="1">
        <v>0</v>
      </c>
      <c r="BD180" s="1">
        <v>0</v>
      </c>
      <c r="BE180" s="1">
        <v>0</v>
      </c>
      <c r="BF180" s="1">
        <v>0</v>
      </c>
      <c r="BG180" s="1">
        <v>0</v>
      </c>
      <c r="BH180" s="4">
        <v>-0.91500000000000004</v>
      </c>
      <c r="BI180" s="4">
        <v>26.934000000000001</v>
      </c>
      <c r="BJ180" s="4">
        <v>12.132472999999999</v>
      </c>
      <c r="BK180" s="4">
        <v>-3.0904999999999998E-2</v>
      </c>
      <c r="BL180" s="4">
        <v>10.121024</v>
      </c>
      <c r="BM180" s="4">
        <v>102.435132</v>
      </c>
      <c r="BN180" s="4">
        <v>0.83421000000000001</v>
      </c>
      <c r="BO180" s="4">
        <v>22.153499</v>
      </c>
      <c r="BP180" s="4">
        <v>-0.14153499999999999</v>
      </c>
      <c r="BQ180" s="4">
        <v>1.327232</v>
      </c>
      <c r="BR180" s="4">
        <v>9.3451319999999996</v>
      </c>
      <c r="BS180" s="4">
        <v>8.9</v>
      </c>
      <c r="BT180" s="4">
        <v>14.885904</v>
      </c>
      <c r="BU180" s="4">
        <v>12.132472999999999</v>
      </c>
      <c r="BV180" s="4">
        <v>5.6129129999999998</v>
      </c>
      <c r="BW180" s="4">
        <v>-7.4056999999999998E-2</v>
      </c>
      <c r="BX180" s="4">
        <v>-0.78722800000000004</v>
      </c>
      <c r="BY180" s="4">
        <v>0.46263599999999999</v>
      </c>
      <c r="BZ180" s="4">
        <v>-1.3194000000000001E-2</v>
      </c>
      <c r="CA180" s="4">
        <v>-0.14025299999999999</v>
      </c>
      <c r="CB180" s="4">
        <v>-0.42815999999999999</v>
      </c>
      <c r="CC180" s="4">
        <v>-0.18010000000000001</v>
      </c>
      <c r="CD180" s="4">
        <v>-5.9400000000000001E-2</v>
      </c>
      <c r="CE180" s="4">
        <v>9.4E-2</v>
      </c>
      <c r="CF180" s="4">
        <v>0.17399999999999999</v>
      </c>
      <c r="CG180" s="4">
        <v>0.26679999999999998</v>
      </c>
      <c r="CH180" s="4">
        <v>9.9911989999999999</v>
      </c>
      <c r="CI180" s="4">
        <v>14.855</v>
      </c>
      <c r="CJ180" s="4">
        <v>17.401800000000001</v>
      </c>
      <c r="CK180" s="4">
        <v>21.252200999999999</v>
      </c>
      <c r="CL180" s="4">
        <v>22.327499</v>
      </c>
      <c r="CM180" s="4">
        <v>22.842998999999999</v>
      </c>
      <c r="CN180" s="4">
        <v>23.982800000000001</v>
      </c>
      <c r="CO180" s="4">
        <v>25.052999</v>
      </c>
      <c r="CP180" s="4">
        <v>26.227080999999998</v>
      </c>
      <c r="CQ180" s="4">
        <v>0.46850799999999998</v>
      </c>
      <c r="CR180" s="4">
        <v>15.79913</v>
      </c>
      <c r="CS180" s="4">
        <v>17.508092999999999</v>
      </c>
      <c r="CT180" s="1">
        <v>1</v>
      </c>
      <c r="CU180" s="1">
        <v>43</v>
      </c>
      <c r="CV180" s="4">
        <v>7.0693729999999997</v>
      </c>
      <c r="CW180" s="4">
        <v>1</v>
      </c>
      <c r="CX180" s="4">
        <v>5.2801200000000001</v>
      </c>
      <c r="CY180" s="4">
        <v>27.879670000000001</v>
      </c>
      <c r="CZ180" s="4">
        <v>0.74690100000000004</v>
      </c>
      <c r="DA180" s="4">
        <v>7</v>
      </c>
      <c r="DB180" s="4">
        <v>1.492362</v>
      </c>
      <c r="DC180" s="4">
        <v>6.7038799999999998</v>
      </c>
      <c r="DD180" s="4">
        <v>4.0572790000000003</v>
      </c>
      <c r="DE180" s="4">
        <v>7.0693729999999997</v>
      </c>
      <c r="DF180" s="4">
        <v>2.7876259999999999</v>
      </c>
      <c r="DG180" s="4">
        <v>0.63904099999999997</v>
      </c>
      <c r="DH180" s="4">
        <v>0.340978</v>
      </c>
      <c r="DI180" s="4">
        <v>0.39432400000000001</v>
      </c>
      <c r="DJ180" s="4">
        <v>0.229242</v>
      </c>
      <c r="DK180" s="4">
        <v>0.122318</v>
      </c>
      <c r="DL180" s="4">
        <v>1</v>
      </c>
      <c r="DM180" s="4">
        <v>1</v>
      </c>
      <c r="DN180" s="4">
        <v>1</v>
      </c>
      <c r="DO180" s="4">
        <v>3</v>
      </c>
      <c r="DP180" s="4">
        <v>3</v>
      </c>
      <c r="DQ180" s="4">
        <v>4</v>
      </c>
      <c r="DR180" s="4">
        <v>5</v>
      </c>
      <c r="DS180" s="4">
        <v>6</v>
      </c>
      <c r="DT180" s="4">
        <v>7</v>
      </c>
      <c r="DU180" s="4">
        <v>9</v>
      </c>
      <c r="DV180" s="4">
        <v>10</v>
      </c>
      <c r="DW180" s="4">
        <v>11</v>
      </c>
      <c r="DX180" s="4">
        <v>14</v>
      </c>
      <c r="DY180" s="4">
        <v>17</v>
      </c>
      <c r="DZ180" s="4">
        <v>25</v>
      </c>
      <c r="EA180" s="4">
        <v>93.586789999999993</v>
      </c>
      <c r="EB180" s="4">
        <v>62.130741</v>
      </c>
      <c r="EC180" s="4">
        <v>125.19201200000001</v>
      </c>
      <c r="ED180" s="4">
        <v>2437</v>
      </c>
      <c r="EE180" s="4">
        <v>3260</v>
      </c>
      <c r="EF180" s="4">
        <v>90.245776000000006</v>
      </c>
      <c r="EG180" s="4">
        <v>99.500767999999994</v>
      </c>
      <c r="EH180" s="4">
        <v>56.889651000000001</v>
      </c>
      <c r="EI180" s="4">
        <v>88.298074999999997</v>
      </c>
      <c r="EJ180" s="4">
        <v>114.631336</v>
      </c>
      <c r="EK180" s="4">
        <v>177.918587</v>
      </c>
      <c r="EL180" s="4">
        <v>2350</v>
      </c>
      <c r="EM180" s="4">
        <v>2591</v>
      </c>
      <c r="EN180" s="4">
        <v>2985</v>
      </c>
      <c r="EO180" s="4">
        <v>4633</v>
      </c>
      <c r="EP180" s="4">
        <v>2604</v>
      </c>
      <c r="EQ180" s="4">
        <v>5247</v>
      </c>
      <c r="ER180" s="4">
        <v>45.330233</v>
      </c>
    </row>
    <row r="181" spans="1:148" x14ac:dyDescent="0.2">
      <c r="A181" s="1">
        <v>2022</v>
      </c>
      <c r="B181" s="1" t="str">
        <f t="shared" si="4"/>
        <v>NE</v>
      </c>
      <c r="C181" s="1" t="s">
        <v>986</v>
      </c>
      <c r="D181" s="1" t="s">
        <v>986</v>
      </c>
      <c r="E181" s="1">
        <v>25080</v>
      </c>
      <c r="F181" s="1" t="s">
        <v>2111</v>
      </c>
      <c r="G181" s="1" t="s">
        <v>541</v>
      </c>
      <c r="H181" s="1" t="s">
        <v>987</v>
      </c>
      <c r="I181" s="1">
        <v>40.090000000000003</v>
      </c>
      <c r="J181" s="1">
        <v>40.090000000000003</v>
      </c>
      <c r="K181" s="1" t="s">
        <v>168</v>
      </c>
      <c r="L181" s="1">
        <v>1</v>
      </c>
      <c r="M181" s="1">
        <v>2016</v>
      </c>
      <c r="N181" s="1">
        <v>3</v>
      </c>
      <c r="O181" s="1">
        <v>1</v>
      </c>
      <c r="P181" s="1" t="str">
        <f t="shared" si="5"/>
        <v>Alto fuste</v>
      </c>
      <c r="Q181" s="2">
        <v>42726</v>
      </c>
      <c r="R181" s="1" t="s">
        <v>169</v>
      </c>
      <c r="S181" s="1" t="s">
        <v>651</v>
      </c>
      <c r="T181" s="1" t="s">
        <v>2268</v>
      </c>
      <c r="U181" s="1" t="s">
        <v>170</v>
      </c>
      <c r="V181" s="1" t="s">
        <v>152</v>
      </c>
      <c r="W181" s="2">
        <v>44564</v>
      </c>
      <c r="X181" s="1" t="s">
        <v>543</v>
      </c>
      <c r="Y181" s="1">
        <v>57.71</v>
      </c>
      <c r="Z181" s="1">
        <v>20.8</v>
      </c>
      <c r="AA181" s="1">
        <v>14</v>
      </c>
      <c r="AB181" s="1">
        <v>15</v>
      </c>
      <c r="AC181" s="1">
        <v>0</v>
      </c>
      <c r="AD181" s="3">
        <v>312</v>
      </c>
      <c r="AE181" s="3">
        <v>302.73226659811098</v>
      </c>
      <c r="AF181" s="2">
        <v>44564</v>
      </c>
      <c r="AG181" s="1">
        <v>61</v>
      </c>
      <c r="AH181" s="3">
        <v>5.0321697467488002</v>
      </c>
      <c r="AI181" s="4">
        <v>26.654526039229101</v>
      </c>
      <c r="AJ181" s="4">
        <v>15.5428571428571</v>
      </c>
      <c r="AK181" s="4">
        <v>22.687882401433399</v>
      </c>
      <c r="AL181" s="1">
        <v>35</v>
      </c>
      <c r="AM181" s="5">
        <v>1156.1370842066201</v>
      </c>
      <c r="AN181" s="4">
        <v>270.88231185676699</v>
      </c>
      <c r="AO181" s="4">
        <v>0.234299474999244</v>
      </c>
      <c r="AP181" s="1" t="s">
        <v>651</v>
      </c>
      <c r="AQ181" s="1" t="s">
        <v>156</v>
      </c>
      <c r="AR181" s="1" t="s">
        <v>282</v>
      </c>
      <c r="AS181" s="1">
        <v>9</v>
      </c>
      <c r="AT181" s="4">
        <v>1.0405233757859582</v>
      </c>
      <c r="AU181" s="1" t="s">
        <v>988</v>
      </c>
      <c r="AV181" s="1" t="s">
        <v>989</v>
      </c>
      <c r="AW181" s="1">
        <v>4546</v>
      </c>
      <c r="AX181" s="1">
        <v>2769</v>
      </c>
      <c r="AY181" s="1">
        <v>1644</v>
      </c>
      <c r="AZ181" s="1">
        <v>130</v>
      </c>
      <c r="BA181" s="1">
        <v>3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4">
        <v>-0.92</v>
      </c>
      <c r="BI181" s="4">
        <v>30.198</v>
      </c>
      <c r="BJ181" s="4">
        <v>14.904904</v>
      </c>
      <c r="BK181" s="4">
        <v>-0.426064</v>
      </c>
      <c r="BL181" s="4">
        <v>12.638671</v>
      </c>
      <c r="BM181" s="4">
        <v>159.736008</v>
      </c>
      <c r="BN181" s="4">
        <v>0.84795399999999999</v>
      </c>
      <c r="BO181" s="4">
        <v>26.312750999999999</v>
      </c>
      <c r="BP181" s="4">
        <v>-0.25410899999999997</v>
      </c>
      <c r="BQ181" s="4">
        <v>1.1514180000000001</v>
      </c>
      <c r="BR181" s="4">
        <v>12.271222</v>
      </c>
      <c r="BS181" s="4">
        <v>4.5199990000000003</v>
      </c>
      <c r="BT181" s="4">
        <v>24.090064999999999</v>
      </c>
      <c r="BU181" s="4">
        <v>14.904904</v>
      </c>
      <c r="BV181" s="4">
        <v>6.6726979999999996</v>
      </c>
      <c r="BW181" s="4">
        <v>-0.57030400000000003</v>
      </c>
      <c r="BX181" s="4">
        <v>-1.271655</v>
      </c>
      <c r="BY181" s="4">
        <v>0.447685</v>
      </c>
      <c r="BZ181" s="4">
        <v>-8.5468000000000002E-2</v>
      </c>
      <c r="CA181" s="4">
        <v>-0.190576</v>
      </c>
      <c r="CB181" s="4">
        <v>-0.49575000000000002</v>
      </c>
      <c r="CC181" s="4">
        <v>-0.21975</v>
      </c>
      <c r="CD181" s="4">
        <v>-9.9000000000000005E-2</v>
      </c>
      <c r="CE181" s="4">
        <v>3.4000000000000002E-2</v>
      </c>
      <c r="CF181" s="4">
        <v>9.6000000000000002E-2</v>
      </c>
      <c r="CG181" s="4">
        <v>0.16200000000000001</v>
      </c>
      <c r="CH181" s="4">
        <v>1.1359999999999999</v>
      </c>
      <c r="CI181" s="4">
        <v>23.664000999999999</v>
      </c>
      <c r="CJ181" s="4">
        <v>25.15</v>
      </c>
      <c r="CK181" s="4">
        <v>26.029499000000001</v>
      </c>
      <c r="CL181" s="4">
        <v>26.408750999999999</v>
      </c>
      <c r="CM181" s="4">
        <v>26.802999</v>
      </c>
      <c r="CN181" s="4">
        <v>27.614000000000001</v>
      </c>
      <c r="CO181" s="4">
        <v>28.145</v>
      </c>
      <c r="CP181" s="4">
        <v>29.114000000000001</v>
      </c>
      <c r="CQ181" s="4">
        <v>0.50854500000000002</v>
      </c>
      <c r="CR181" s="4">
        <v>19.541162</v>
      </c>
      <c r="CS181" s="4">
        <v>21.50066</v>
      </c>
      <c r="CT181" s="1">
        <v>1</v>
      </c>
      <c r="CU181" s="1">
        <v>55</v>
      </c>
      <c r="CV181" s="4">
        <v>12.613946</v>
      </c>
      <c r="CW181" s="4">
        <v>1</v>
      </c>
      <c r="CX181" s="4">
        <v>9.4443129999999993</v>
      </c>
      <c r="CY181" s="4">
        <v>89.195043999999996</v>
      </c>
      <c r="CZ181" s="4">
        <v>0.74872000000000005</v>
      </c>
      <c r="DA181" s="4">
        <v>14</v>
      </c>
      <c r="DB181" s="4">
        <v>0.93814399999999998</v>
      </c>
      <c r="DC181" s="4">
        <v>3.4996420000000001</v>
      </c>
      <c r="DD181" s="4">
        <v>7.547822</v>
      </c>
      <c r="DE181" s="4">
        <v>12.613946</v>
      </c>
      <c r="DF181" s="4">
        <v>5.1883439999999998</v>
      </c>
      <c r="DG181" s="4">
        <v>1.049248</v>
      </c>
      <c r="DH181" s="4">
        <v>0.467335</v>
      </c>
      <c r="DI181" s="4">
        <v>0.41131800000000002</v>
      </c>
      <c r="DJ181" s="4">
        <v>0.202232</v>
      </c>
      <c r="DK181" s="4">
        <v>9.0074000000000001E-2</v>
      </c>
      <c r="DL181" s="4">
        <v>1</v>
      </c>
      <c r="DM181" s="4">
        <v>1</v>
      </c>
      <c r="DN181" s="4">
        <v>2</v>
      </c>
      <c r="DO181" s="4">
        <v>4</v>
      </c>
      <c r="DP181" s="4">
        <v>5</v>
      </c>
      <c r="DQ181" s="4">
        <v>6</v>
      </c>
      <c r="DR181" s="4">
        <v>9</v>
      </c>
      <c r="DS181" s="4">
        <v>11</v>
      </c>
      <c r="DT181" s="4">
        <v>13</v>
      </c>
      <c r="DU181" s="4">
        <v>16</v>
      </c>
      <c r="DV181" s="4">
        <v>19</v>
      </c>
      <c r="DW181" s="4">
        <v>21</v>
      </c>
      <c r="DX181" s="4">
        <v>26</v>
      </c>
      <c r="DY181" s="4">
        <v>30</v>
      </c>
      <c r="DZ181" s="4">
        <v>40</v>
      </c>
      <c r="EA181" s="4">
        <v>93.102203000000003</v>
      </c>
      <c r="EB181" s="4">
        <v>59.832819999999998</v>
      </c>
      <c r="EC181" s="4">
        <v>98.230407999999997</v>
      </c>
      <c r="ED181" s="4">
        <v>2578</v>
      </c>
      <c r="EE181" s="4">
        <v>2720</v>
      </c>
      <c r="EF181" s="4">
        <v>89.851932000000005</v>
      </c>
      <c r="EG181" s="4">
        <v>100</v>
      </c>
      <c r="EH181" s="4">
        <v>55.477342999999998</v>
      </c>
      <c r="EI181" s="4">
        <v>98.372195000000005</v>
      </c>
      <c r="EJ181" s="4">
        <v>91.079812000000004</v>
      </c>
      <c r="EK181" s="4">
        <v>161.50234699999999</v>
      </c>
      <c r="EL181" s="4">
        <v>2488</v>
      </c>
      <c r="EM181" s="4">
        <v>2769</v>
      </c>
      <c r="EN181" s="4">
        <v>2522</v>
      </c>
      <c r="EO181" s="4">
        <v>4472</v>
      </c>
      <c r="EP181" s="4">
        <v>2769</v>
      </c>
      <c r="EQ181" s="4">
        <v>4546</v>
      </c>
      <c r="ER181" s="4">
        <v>50.225335999999999</v>
      </c>
    </row>
    <row r="182" spans="1:148" x14ac:dyDescent="0.2">
      <c r="A182" s="1">
        <v>2022</v>
      </c>
      <c r="B182" s="1" t="str">
        <f t="shared" si="4"/>
        <v>NE</v>
      </c>
      <c r="C182" s="1" t="s">
        <v>990</v>
      </c>
      <c r="D182" s="1" t="s">
        <v>990</v>
      </c>
      <c r="E182" s="1">
        <v>25081</v>
      </c>
      <c r="F182" s="1" t="s">
        <v>2111</v>
      </c>
      <c r="G182" s="1" t="s">
        <v>541</v>
      </c>
      <c r="H182" s="1" t="s">
        <v>987</v>
      </c>
      <c r="I182" s="1">
        <v>40.090000000000003</v>
      </c>
      <c r="J182" s="1">
        <v>40.090000000000003</v>
      </c>
      <c r="K182" s="1" t="s">
        <v>168</v>
      </c>
      <c r="L182" s="1">
        <v>1</v>
      </c>
      <c r="M182" s="1">
        <v>2016</v>
      </c>
      <c r="N182" s="1">
        <v>3</v>
      </c>
      <c r="O182" s="1">
        <v>1</v>
      </c>
      <c r="P182" s="1" t="str">
        <f t="shared" si="5"/>
        <v>Alto fuste</v>
      </c>
      <c r="Q182" s="2">
        <v>42726</v>
      </c>
      <c r="R182" s="1" t="s">
        <v>169</v>
      </c>
      <c r="S182" s="1" t="s">
        <v>651</v>
      </c>
      <c r="T182" s="1" t="s">
        <v>2268</v>
      </c>
      <c r="U182" s="1" t="s">
        <v>170</v>
      </c>
      <c r="V182" s="1" t="s">
        <v>152</v>
      </c>
      <c r="W182" s="2">
        <v>44564</v>
      </c>
      <c r="X182" s="1" t="s">
        <v>543</v>
      </c>
      <c r="Y182" s="1">
        <v>57.71</v>
      </c>
      <c r="Z182" s="1">
        <v>21.3</v>
      </c>
      <c r="AA182" s="1">
        <v>25</v>
      </c>
      <c r="AB182" s="1">
        <v>15</v>
      </c>
      <c r="AC182" s="1">
        <v>10</v>
      </c>
      <c r="AD182" s="3">
        <v>319.5</v>
      </c>
      <c r="AE182" s="3">
        <v>285.16618982484499</v>
      </c>
      <c r="AF182" s="2">
        <v>44564</v>
      </c>
      <c r="AG182" s="1">
        <v>61</v>
      </c>
      <c r="AH182" s="3">
        <v>5.0321697467488002</v>
      </c>
      <c r="AI182" s="4">
        <v>25.9049674916395</v>
      </c>
      <c r="AJ182" s="4">
        <v>15.2885714285714</v>
      </c>
      <c r="AK182" s="4">
        <v>23.190748785283098</v>
      </c>
      <c r="AL182" s="1">
        <v>35</v>
      </c>
      <c r="AM182" s="5">
        <v>1227.3544778046</v>
      </c>
      <c r="AN182" s="4">
        <v>267.44766230888899</v>
      </c>
      <c r="AO182" s="4">
        <v>0.21790580239482199</v>
      </c>
      <c r="AP182" s="1" t="s">
        <v>651</v>
      </c>
      <c r="AQ182" s="1" t="s">
        <v>156</v>
      </c>
      <c r="AR182" s="1" t="s">
        <v>282</v>
      </c>
      <c r="AS182" s="1">
        <v>9</v>
      </c>
      <c r="AT182" s="4">
        <v>1.1046190300241401</v>
      </c>
      <c r="AU182" s="1" t="s">
        <v>991</v>
      </c>
      <c r="AV182" s="1" t="s">
        <v>992</v>
      </c>
      <c r="AW182" s="1">
        <v>4655</v>
      </c>
      <c r="AX182" s="1">
        <v>3089</v>
      </c>
      <c r="AY182" s="1">
        <v>1238</v>
      </c>
      <c r="AZ182" s="1">
        <v>289</v>
      </c>
      <c r="BA182" s="1">
        <v>39</v>
      </c>
      <c r="BB182" s="1">
        <v>0</v>
      </c>
      <c r="BC182" s="1">
        <v>0</v>
      </c>
      <c r="BD182" s="1">
        <v>0</v>
      </c>
      <c r="BE182" s="1">
        <v>0</v>
      </c>
      <c r="BF182" s="1">
        <v>0</v>
      </c>
      <c r="BG182" s="1">
        <v>0</v>
      </c>
      <c r="BH182" s="4">
        <v>-0.65300000000000002</v>
      </c>
      <c r="BI182" s="4">
        <v>31.617999999999999</v>
      </c>
      <c r="BJ182" s="4">
        <v>16.782097</v>
      </c>
      <c r="BK182" s="4">
        <v>-0.140762</v>
      </c>
      <c r="BL182" s="4">
        <v>8.3204460000000005</v>
      </c>
      <c r="BM182" s="4">
        <v>69.229823999999994</v>
      </c>
      <c r="BN182" s="4">
        <v>0.49579299999999998</v>
      </c>
      <c r="BO182" s="4">
        <v>10.543998999999999</v>
      </c>
      <c r="BP182" s="4">
        <v>-0.66159000000000001</v>
      </c>
      <c r="BQ182" s="4">
        <v>2.6383990000000002</v>
      </c>
      <c r="BR182" s="4">
        <v>6.6730539999999996</v>
      </c>
      <c r="BS182" s="4">
        <v>5.2539999999999996</v>
      </c>
      <c r="BT182" s="4">
        <v>18.116762000000001</v>
      </c>
      <c r="BU182" s="4">
        <v>16.782097</v>
      </c>
      <c r="BV182" s="4">
        <v>4.6344289999999999</v>
      </c>
      <c r="BW182" s="4">
        <v>-0.68806599999999996</v>
      </c>
      <c r="BX182" s="4">
        <v>0.430784</v>
      </c>
      <c r="BY182" s="4">
        <v>0.27615299999999998</v>
      </c>
      <c r="BZ182" s="4">
        <v>-0.14846799999999999</v>
      </c>
      <c r="CA182" s="4">
        <v>9.2952999999999994E-2</v>
      </c>
      <c r="CB182" s="4">
        <v>-0.21437999999999999</v>
      </c>
      <c r="CC182" s="4">
        <v>9.5399999999999999E-2</v>
      </c>
      <c r="CD182" s="4">
        <v>0.56799999999999995</v>
      </c>
      <c r="CE182" s="4">
        <v>11.054600000000001</v>
      </c>
      <c r="CF182" s="4">
        <v>12.576000000000001</v>
      </c>
      <c r="CG182" s="4">
        <v>13.5732</v>
      </c>
      <c r="CH182" s="4">
        <v>16.156599</v>
      </c>
      <c r="CI182" s="4">
        <v>17.975999999999999</v>
      </c>
      <c r="CJ182" s="4">
        <v>20.244399999999999</v>
      </c>
      <c r="CK182" s="4">
        <v>22.180201</v>
      </c>
      <c r="CL182" s="4">
        <v>23.119999</v>
      </c>
      <c r="CM182" s="4">
        <v>23.939399999999999</v>
      </c>
      <c r="CN182" s="4">
        <v>26.532202000000002</v>
      </c>
      <c r="CO182" s="4">
        <v>27.840900000000001</v>
      </c>
      <c r="CP182" s="4">
        <v>30.342759999999998</v>
      </c>
      <c r="CQ182" s="4">
        <v>0.54027099999999995</v>
      </c>
      <c r="CR182" s="4">
        <v>18.731089999999998</v>
      </c>
      <c r="CS182" s="4">
        <v>19.857478</v>
      </c>
      <c r="CT182" s="1">
        <v>1</v>
      </c>
      <c r="CU182" s="1">
        <v>53</v>
      </c>
      <c r="CV182" s="4">
        <v>14.411386</v>
      </c>
      <c r="CW182" s="4">
        <v>5.9523809999999999</v>
      </c>
      <c r="CX182" s="4">
        <v>10.992801</v>
      </c>
      <c r="CY182" s="4">
        <v>120.841684</v>
      </c>
      <c r="CZ182" s="4">
        <v>0.76278599999999996</v>
      </c>
      <c r="DA182" s="4">
        <v>16</v>
      </c>
      <c r="DB182" s="4">
        <v>0.88513500000000001</v>
      </c>
      <c r="DC182" s="4">
        <v>2.8099270000000001</v>
      </c>
      <c r="DD182" s="4">
        <v>9.0809739999999994</v>
      </c>
      <c r="DE182" s="4">
        <v>14.411386</v>
      </c>
      <c r="DF182" s="4">
        <v>6.0345110000000002</v>
      </c>
      <c r="DG182" s="4">
        <v>1.4114180000000001</v>
      </c>
      <c r="DH182" s="4">
        <v>0.444274</v>
      </c>
      <c r="DI182" s="4">
        <v>0.41873199999999999</v>
      </c>
      <c r="DJ182" s="4">
        <v>0.23389099999999999</v>
      </c>
      <c r="DK182" s="4">
        <v>7.3622000000000007E-2</v>
      </c>
      <c r="DL182" s="4">
        <v>1</v>
      </c>
      <c r="DM182" s="4">
        <v>2</v>
      </c>
      <c r="DN182" s="4">
        <v>3</v>
      </c>
      <c r="DO182" s="4">
        <v>5</v>
      </c>
      <c r="DP182" s="4">
        <v>6</v>
      </c>
      <c r="DQ182" s="4">
        <v>7</v>
      </c>
      <c r="DR182" s="4">
        <v>9</v>
      </c>
      <c r="DS182" s="4">
        <v>11</v>
      </c>
      <c r="DT182" s="4">
        <v>14</v>
      </c>
      <c r="DU182" s="4">
        <v>18</v>
      </c>
      <c r="DV182" s="4">
        <v>22</v>
      </c>
      <c r="DW182" s="4">
        <v>25</v>
      </c>
      <c r="DX182" s="4">
        <v>32</v>
      </c>
      <c r="DY182" s="4">
        <v>37</v>
      </c>
      <c r="DZ182" s="4">
        <v>42</v>
      </c>
      <c r="EA182" s="4">
        <v>99.158304000000001</v>
      </c>
      <c r="EB182" s="4">
        <v>86.831363999999994</v>
      </c>
      <c r="EC182" s="4">
        <v>130.85140799999999</v>
      </c>
      <c r="ED182" s="4">
        <v>3063</v>
      </c>
      <c r="EE182" s="4">
        <v>4042</v>
      </c>
      <c r="EF182" s="4">
        <v>79.119456</v>
      </c>
      <c r="EG182" s="4">
        <v>99.902880999999994</v>
      </c>
      <c r="EH182" s="4">
        <v>56.949517</v>
      </c>
      <c r="EI182" s="4">
        <v>98.453276000000002</v>
      </c>
      <c r="EJ182" s="4">
        <v>85.820654000000005</v>
      </c>
      <c r="EK182" s="4">
        <v>148.36516700000001</v>
      </c>
      <c r="EL182" s="4">
        <v>2444</v>
      </c>
      <c r="EM182" s="4">
        <v>3086</v>
      </c>
      <c r="EN182" s="4">
        <v>2651</v>
      </c>
      <c r="EO182" s="4">
        <v>4583</v>
      </c>
      <c r="EP182" s="4">
        <v>3089</v>
      </c>
      <c r="EQ182" s="4">
        <v>4655</v>
      </c>
      <c r="ER182" s="4">
        <v>54.284011999999997</v>
      </c>
    </row>
    <row r="183" spans="1:148" x14ac:dyDescent="0.2">
      <c r="A183" s="1">
        <v>2022</v>
      </c>
      <c r="B183" s="1" t="str">
        <f t="shared" si="4"/>
        <v>NE</v>
      </c>
      <c r="C183" s="1" t="s">
        <v>993</v>
      </c>
      <c r="D183" s="1" t="s">
        <v>993</v>
      </c>
      <c r="E183" s="1">
        <v>25082</v>
      </c>
      <c r="F183" s="1" t="s">
        <v>2113</v>
      </c>
      <c r="G183" s="1" t="s">
        <v>994</v>
      </c>
      <c r="H183" s="1" t="s">
        <v>995</v>
      </c>
      <c r="I183" s="1">
        <v>23.38</v>
      </c>
      <c r="J183" s="1">
        <v>23.38</v>
      </c>
      <c r="K183" s="1" t="s">
        <v>286</v>
      </c>
      <c r="L183" s="1">
        <v>1</v>
      </c>
      <c r="M183" s="1">
        <v>2016</v>
      </c>
      <c r="N183" s="1">
        <v>3</v>
      </c>
      <c r="O183" s="1">
        <v>1</v>
      </c>
      <c r="P183" s="1" t="str">
        <f t="shared" si="5"/>
        <v>Alto fuste</v>
      </c>
      <c r="Q183" s="2">
        <v>42668</v>
      </c>
      <c r="R183" s="1" t="s">
        <v>169</v>
      </c>
      <c r="S183" s="1" t="s">
        <v>299</v>
      </c>
      <c r="T183" s="1" t="s">
        <v>2268</v>
      </c>
      <c r="U183" s="1" t="s">
        <v>170</v>
      </c>
      <c r="V183" s="1" t="s">
        <v>152</v>
      </c>
      <c r="W183" s="2">
        <v>44589</v>
      </c>
      <c r="X183" s="1" t="s">
        <v>996</v>
      </c>
      <c r="Y183" s="1">
        <v>67.88</v>
      </c>
      <c r="Z183" s="1">
        <v>19</v>
      </c>
      <c r="AA183" s="1">
        <v>10</v>
      </c>
      <c r="AB183" s="1">
        <v>15</v>
      </c>
      <c r="AC183" s="1">
        <v>1</v>
      </c>
      <c r="AD183" s="3">
        <v>285</v>
      </c>
      <c r="AE183" s="3">
        <v>280.62746217609902</v>
      </c>
      <c r="AF183" s="2">
        <v>44589</v>
      </c>
      <c r="AG183" s="1">
        <v>63</v>
      </c>
      <c r="AH183" s="3">
        <v>5.2594113620807699</v>
      </c>
      <c r="AI183" s="4">
        <v>25.651474480432402</v>
      </c>
      <c r="AJ183" s="4">
        <v>16.532142857142901</v>
      </c>
      <c r="AK183" s="4">
        <v>21.8100742490894</v>
      </c>
      <c r="AL183" s="1">
        <v>28</v>
      </c>
      <c r="AM183" s="5">
        <v>997.76407422412001</v>
      </c>
      <c r="AN183" s="4">
        <v>247.89290871851699</v>
      </c>
      <c r="AO183" s="4">
        <v>0.24844842094688899</v>
      </c>
      <c r="AP183" s="1" t="s">
        <v>299</v>
      </c>
      <c r="AQ183" s="1" t="s">
        <v>156</v>
      </c>
      <c r="AR183" s="1" t="s">
        <v>291</v>
      </c>
      <c r="AS183" s="1">
        <v>9</v>
      </c>
      <c r="AT183" s="4">
        <v>0.89798766680170805</v>
      </c>
      <c r="AU183" s="1" t="s">
        <v>997</v>
      </c>
      <c r="AV183" s="1" t="s">
        <v>998</v>
      </c>
      <c r="AW183" s="1">
        <v>5076</v>
      </c>
      <c r="AX183" s="1">
        <v>2486</v>
      </c>
      <c r="AY183" s="1">
        <v>1975</v>
      </c>
      <c r="AZ183" s="1">
        <v>552</v>
      </c>
      <c r="BA183" s="1">
        <v>63</v>
      </c>
      <c r="BB183" s="1">
        <v>0</v>
      </c>
      <c r="BC183" s="1">
        <v>0</v>
      </c>
      <c r="BD183" s="1">
        <v>0</v>
      </c>
      <c r="BE183" s="1">
        <v>0</v>
      </c>
      <c r="BF183" s="1">
        <v>0</v>
      </c>
      <c r="BG183" s="1">
        <v>0</v>
      </c>
      <c r="BH183" s="4">
        <v>-0.95</v>
      </c>
      <c r="BI183" s="4">
        <v>30.799999</v>
      </c>
      <c r="BJ183" s="4">
        <v>15.626344</v>
      </c>
      <c r="BK183" s="4">
        <v>-0.44603199999999998</v>
      </c>
      <c r="BL183" s="4">
        <v>12.436242</v>
      </c>
      <c r="BM183" s="4">
        <v>154.66011</v>
      </c>
      <c r="BN183" s="4">
        <v>0.79585099999999998</v>
      </c>
      <c r="BO183" s="4">
        <v>27.82</v>
      </c>
      <c r="BP183" s="4">
        <v>-0.25144300000000003</v>
      </c>
      <c r="BQ183" s="4">
        <v>1.3068329999999999</v>
      </c>
      <c r="BR183" s="4">
        <v>11.577878</v>
      </c>
      <c r="BS183" s="4">
        <v>9.1999999999999993</v>
      </c>
      <c r="BT183" s="4">
        <v>20.111031000000001</v>
      </c>
      <c r="BU183" s="4">
        <v>15.626344</v>
      </c>
      <c r="BV183" s="4">
        <v>6.8227500000000001</v>
      </c>
      <c r="BW183" s="4">
        <v>-0.53851700000000002</v>
      </c>
      <c r="BX183" s="4">
        <v>-1.1275980000000001</v>
      </c>
      <c r="BY183" s="4">
        <v>0.43661800000000001</v>
      </c>
      <c r="BZ183" s="4">
        <v>-7.893E-2</v>
      </c>
      <c r="CA183" s="4">
        <v>-0.16527</v>
      </c>
      <c r="CB183" s="4">
        <v>-0.3725</v>
      </c>
      <c r="CC183" s="4">
        <v>-0.16</v>
      </c>
      <c r="CD183" s="4">
        <v>-0.06</v>
      </c>
      <c r="CE183" s="4">
        <v>0.05</v>
      </c>
      <c r="CF183" s="4">
        <v>0.11</v>
      </c>
      <c r="CG183" s="4">
        <v>0.18</v>
      </c>
      <c r="CH183" s="4">
        <v>12.34</v>
      </c>
      <c r="CI183" s="4">
        <v>19.665001</v>
      </c>
      <c r="CJ183" s="4">
        <v>25.51</v>
      </c>
      <c r="CK183" s="4">
        <v>27.530000999999999</v>
      </c>
      <c r="CL183" s="4">
        <v>27.93</v>
      </c>
      <c r="CM183" s="4">
        <v>28.280000999999999</v>
      </c>
      <c r="CN183" s="4">
        <v>28.969999000000001</v>
      </c>
      <c r="CO183" s="4">
        <v>29.48</v>
      </c>
      <c r="CP183" s="4">
        <v>30.17</v>
      </c>
      <c r="CQ183" s="4">
        <v>0.52209000000000005</v>
      </c>
      <c r="CR183" s="4">
        <v>19.970283999999999</v>
      </c>
      <c r="CS183" s="4">
        <v>21.953782</v>
      </c>
      <c r="CT183" s="1">
        <v>1</v>
      </c>
      <c r="CU183" s="1">
        <v>59</v>
      </c>
      <c r="CV183" s="4">
        <v>12.984437</v>
      </c>
      <c r="CW183" s="4">
        <v>1</v>
      </c>
      <c r="CX183" s="4">
        <v>9.7565010000000001</v>
      </c>
      <c r="CY183" s="4">
        <v>95.189313999999996</v>
      </c>
      <c r="CZ183" s="4">
        <v>0.75139999999999996</v>
      </c>
      <c r="DA183" s="4">
        <v>14</v>
      </c>
      <c r="DB183" s="4">
        <v>1.0761430000000001</v>
      </c>
      <c r="DC183" s="4">
        <v>4.3890739999999999</v>
      </c>
      <c r="DD183" s="4">
        <v>7.8345269999999996</v>
      </c>
      <c r="DE183" s="4">
        <v>12.984437</v>
      </c>
      <c r="DF183" s="4">
        <v>5.3129150000000003</v>
      </c>
      <c r="DG183" s="4">
        <v>1.027134</v>
      </c>
      <c r="DH183" s="4">
        <v>0.44425799999999999</v>
      </c>
      <c r="DI183" s="4">
        <v>0.40917599999999998</v>
      </c>
      <c r="DJ183" s="4">
        <v>0.193328</v>
      </c>
      <c r="DK183" s="4">
        <v>8.3618999999999999E-2</v>
      </c>
      <c r="DL183" s="4">
        <v>1</v>
      </c>
      <c r="DM183" s="4">
        <v>1</v>
      </c>
      <c r="DN183" s="4">
        <v>2</v>
      </c>
      <c r="DO183" s="4">
        <v>4</v>
      </c>
      <c r="DP183" s="4">
        <v>5</v>
      </c>
      <c r="DQ183" s="4">
        <v>6</v>
      </c>
      <c r="DR183" s="4">
        <v>8</v>
      </c>
      <c r="DS183" s="4">
        <v>11</v>
      </c>
      <c r="DT183" s="4">
        <v>14</v>
      </c>
      <c r="DU183" s="4">
        <v>17</v>
      </c>
      <c r="DV183" s="4">
        <v>19</v>
      </c>
      <c r="DW183" s="4">
        <v>21</v>
      </c>
      <c r="DX183" s="4">
        <v>25</v>
      </c>
      <c r="DY183" s="4">
        <v>30</v>
      </c>
      <c r="DZ183" s="4">
        <v>45</v>
      </c>
      <c r="EA183" s="4">
        <v>96.781979000000007</v>
      </c>
      <c r="EB183" s="4">
        <v>65.760441</v>
      </c>
      <c r="EC183" s="4">
        <v>134.27192299999999</v>
      </c>
      <c r="ED183" s="4">
        <v>2406</v>
      </c>
      <c r="EE183" s="4">
        <v>3338</v>
      </c>
      <c r="EF183" s="4">
        <v>93.161705999999995</v>
      </c>
      <c r="EG183" s="4">
        <v>100</v>
      </c>
      <c r="EH183" s="4">
        <v>56.698188000000002</v>
      </c>
      <c r="EI183" s="4">
        <v>99.428684000000004</v>
      </c>
      <c r="EJ183" s="4">
        <v>115.76830200000001</v>
      </c>
      <c r="EK183" s="4">
        <v>203.01689500000001</v>
      </c>
      <c r="EL183" s="4">
        <v>2316</v>
      </c>
      <c r="EM183" s="4">
        <v>2486</v>
      </c>
      <c r="EN183" s="4">
        <v>2878</v>
      </c>
      <c r="EO183" s="4">
        <v>5047</v>
      </c>
      <c r="EP183" s="4">
        <v>2486</v>
      </c>
      <c r="EQ183" s="4">
        <v>5076</v>
      </c>
      <c r="ER183" s="4">
        <v>50.822009000000001</v>
      </c>
    </row>
    <row r="184" spans="1:148" x14ac:dyDescent="0.2">
      <c r="A184" s="1">
        <v>2022</v>
      </c>
      <c r="B184" s="1" t="str">
        <f t="shared" si="4"/>
        <v>NE</v>
      </c>
      <c r="C184" s="1" t="s">
        <v>999</v>
      </c>
      <c r="D184" s="1" t="s">
        <v>999</v>
      </c>
      <c r="E184" s="1">
        <v>25083</v>
      </c>
      <c r="F184" s="1" t="s">
        <v>2113</v>
      </c>
      <c r="G184" s="1" t="s">
        <v>994</v>
      </c>
      <c r="H184" s="1" t="s">
        <v>1000</v>
      </c>
      <c r="I184" s="1">
        <v>22.86</v>
      </c>
      <c r="J184" s="1">
        <v>22.86</v>
      </c>
      <c r="K184" s="1" t="s">
        <v>286</v>
      </c>
      <c r="L184" s="1">
        <v>1</v>
      </c>
      <c r="M184" s="1">
        <v>2016</v>
      </c>
      <c r="N184" s="1">
        <v>3</v>
      </c>
      <c r="O184" s="1">
        <v>1</v>
      </c>
      <c r="P184" s="1" t="str">
        <f t="shared" si="5"/>
        <v>Alto fuste</v>
      </c>
      <c r="Q184" s="2">
        <v>42647</v>
      </c>
      <c r="R184" s="1" t="s">
        <v>169</v>
      </c>
      <c r="S184" s="1" t="s">
        <v>348</v>
      </c>
      <c r="T184" s="1" t="s">
        <v>2268</v>
      </c>
      <c r="U184" s="1" t="s">
        <v>170</v>
      </c>
      <c r="V184" s="1" t="s">
        <v>152</v>
      </c>
      <c r="W184" s="2">
        <v>44589</v>
      </c>
      <c r="X184" s="1" t="s">
        <v>996</v>
      </c>
      <c r="Y184" s="1">
        <v>67.88</v>
      </c>
      <c r="Z184" s="1">
        <v>21</v>
      </c>
      <c r="AA184" s="1">
        <v>10</v>
      </c>
      <c r="AB184" s="1">
        <v>15</v>
      </c>
      <c r="AC184" s="1">
        <v>1</v>
      </c>
      <c r="AD184" s="3">
        <v>315</v>
      </c>
      <c r="AE184" s="3">
        <v>310.16719503674102</v>
      </c>
      <c r="AF184" s="2">
        <v>44589</v>
      </c>
      <c r="AG184" s="1">
        <v>63</v>
      </c>
      <c r="AH184" s="3">
        <v>5.3169062286105397</v>
      </c>
      <c r="AI184" s="4">
        <v>27.840978974709301</v>
      </c>
      <c r="AJ184" s="4">
        <v>16.717857142857099</v>
      </c>
      <c r="AK184" s="4">
        <v>20.234244675877299</v>
      </c>
      <c r="AL184" s="1">
        <v>28</v>
      </c>
      <c r="AM184" s="5">
        <v>902.73892429801401</v>
      </c>
      <c r="AN184" s="4">
        <v>250.303991515153</v>
      </c>
      <c r="AO184" s="4">
        <v>0.277271739124126</v>
      </c>
      <c r="AP184" s="1" t="s">
        <v>348</v>
      </c>
      <c r="AQ184" s="1" t="s">
        <v>156</v>
      </c>
      <c r="AR184" s="1" t="s">
        <v>302</v>
      </c>
      <c r="AS184" s="1">
        <v>9</v>
      </c>
      <c r="AT184" s="4">
        <v>0.81246503186821262</v>
      </c>
      <c r="AU184" s="1" t="s">
        <v>1001</v>
      </c>
      <c r="AV184" s="1" t="s">
        <v>1002</v>
      </c>
      <c r="AW184" s="1">
        <v>5427</v>
      </c>
      <c r="AX184" s="1">
        <v>2957</v>
      </c>
      <c r="AY184" s="1">
        <v>2109</v>
      </c>
      <c r="AZ184" s="1">
        <v>338</v>
      </c>
      <c r="BA184" s="1">
        <v>23</v>
      </c>
      <c r="BB184" s="1">
        <v>0</v>
      </c>
      <c r="BC184" s="1">
        <v>0</v>
      </c>
      <c r="BD184" s="1">
        <v>0</v>
      </c>
      <c r="BE184" s="1">
        <v>0</v>
      </c>
      <c r="BF184" s="1">
        <v>0</v>
      </c>
      <c r="BG184" s="1">
        <v>0</v>
      </c>
      <c r="BH184" s="4">
        <v>-1.23</v>
      </c>
      <c r="BI184" s="4">
        <v>32.25</v>
      </c>
      <c r="BJ184" s="4">
        <v>15.082248</v>
      </c>
      <c r="BK184" s="4">
        <v>-0.16714300000000001</v>
      </c>
      <c r="BL184" s="4">
        <v>12.625183</v>
      </c>
      <c r="BM184" s="4">
        <v>159.39525599999999</v>
      </c>
      <c r="BN184" s="4">
        <v>0.83708899999999997</v>
      </c>
      <c r="BO184" s="4">
        <v>26.504999000000002</v>
      </c>
      <c r="BP184" s="4">
        <v>-0.23344500000000001</v>
      </c>
      <c r="BQ184" s="4">
        <v>1.1936310000000001</v>
      </c>
      <c r="BR184" s="4">
        <v>12.115925000000001</v>
      </c>
      <c r="BS184" s="4">
        <v>6.4</v>
      </c>
      <c r="BT184" s="4">
        <v>22.857143000000001</v>
      </c>
      <c r="BU184" s="4">
        <v>15.082248</v>
      </c>
      <c r="BV184" s="4">
        <v>6.7765550000000001</v>
      </c>
      <c r="BW184" s="4">
        <v>-0.48815999999999998</v>
      </c>
      <c r="BX184" s="4">
        <v>-1.210107</v>
      </c>
      <c r="BY184" s="4">
        <v>0.44930700000000001</v>
      </c>
      <c r="BZ184" s="4">
        <v>-7.2037000000000004E-2</v>
      </c>
      <c r="CA184" s="4">
        <v>-0.17857300000000001</v>
      </c>
      <c r="CB184" s="4">
        <v>-0.39739999999999998</v>
      </c>
      <c r="CC184" s="4">
        <v>-0.18</v>
      </c>
      <c r="CD184" s="4">
        <v>-0.09</v>
      </c>
      <c r="CE184" s="4">
        <v>0.02</v>
      </c>
      <c r="CF184" s="4">
        <v>0.08</v>
      </c>
      <c r="CG184" s="4">
        <v>0.14000000000000001</v>
      </c>
      <c r="CH184" s="4">
        <v>7.8139989999999999</v>
      </c>
      <c r="CI184" s="4">
        <v>22.690000999999999</v>
      </c>
      <c r="CJ184" s="4">
        <v>25.440000999999999</v>
      </c>
      <c r="CK184" s="4">
        <v>26.209999</v>
      </c>
      <c r="CL184" s="4">
        <v>26.584999</v>
      </c>
      <c r="CM184" s="4">
        <v>26.93</v>
      </c>
      <c r="CN184" s="4">
        <v>28.07</v>
      </c>
      <c r="CO184" s="4">
        <v>29.207001000000002</v>
      </c>
      <c r="CP184" s="4">
        <v>30.387402000000002</v>
      </c>
      <c r="CQ184" s="4">
        <v>0.48722399999999999</v>
      </c>
      <c r="CR184" s="4">
        <v>19.668251000000001</v>
      </c>
      <c r="CS184" s="4">
        <v>21.667097999999999</v>
      </c>
      <c r="CT184" s="1">
        <v>1</v>
      </c>
      <c r="CU184" s="1">
        <v>54</v>
      </c>
      <c r="CV184" s="4">
        <v>14.475401</v>
      </c>
      <c r="CW184" s="4">
        <v>1</v>
      </c>
      <c r="CX184" s="4">
        <v>9.9194639999999996</v>
      </c>
      <c r="CY184" s="4">
        <v>98.395773000000005</v>
      </c>
      <c r="CZ184" s="4">
        <v>0.68526399999999998</v>
      </c>
      <c r="DA184" s="4">
        <v>15</v>
      </c>
      <c r="DB184" s="4">
        <v>0.72723899999999997</v>
      </c>
      <c r="DC184" s="4">
        <v>3.386396</v>
      </c>
      <c r="DD184" s="4">
        <v>8.1277969999999993</v>
      </c>
      <c r="DE184" s="4">
        <v>14.475401</v>
      </c>
      <c r="DF184" s="4">
        <v>5.5303570000000004</v>
      </c>
      <c r="DG184" s="4">
        <v>0.70742499999999997</v>
      </c>
      <c r="DH184" s="4">
        <v>0.38398599999999999</v>
      </c>
      <c r="DI184" s="4">
        <v>0.382052</v>
      </c>
      <c r="DJ184" s="4">
        <v>0.127917</v>
      </c>
      <c r="DK184" s="4">
        <v>6.9431999999999994E-2</v>
      </c>
      <c r="DL184" s="4">
        <v>1</v>
      </c>
      <c r="DM184" s="4">
        <v>1</v>
      </c>
      <c r="DN184" s="4">
        <v>2</v>
      </c>
      <c r="DO184" s="4">
        <v>5</v>
      </c>
      <c r="DP184" s="4">
        <v>6</v>
      </c>
      <c r="DQ184" s="4">
        <v>7</v>
      </c>
      <c r="DR184" s="4">
        <v>10</v>
      </c>
      <c r="DS184" s="4">
        <v>14</v>
      </c>
      <c r="DT184" s="4">
        <v>17</v>
      </c>
      <c r="DU184" s="4">
        <v>20</v>
      </c>
      <c r="DV184" s="4">
        <v>21</v>
      </c>
      <c r="DW184" s="4">
        <v>22</v>
      </c>
      <c r="DX184" s="4">
        <v>27</v>
      </c>
      <c r="DY184" s="4">
        <v>32</v>
      </c>
      <c r="DZ184" s="4">
        <v>44</v>
      </c>
      <c r="EA184" s="4">
        <v>95.231654000000006</v>
      </c>
      <c r="EB184" s="4">
        <v>62.041643999999998</v>
      </c>
      <c r="EC184" s="4">
        <v>113.865404</v>
      </c>
      <c r="ED184" s="4">
        <v>2816</v>
      </c>
      <c r="EE184" s="4">
        <v>3367</v>
      </c>
      <c r="EF184" s="4">
        <v>93.540751</v>
      </c>
      <c r="EG184" s="4">
        <v>100</v>
      </c>
      <c r="EH184" s="4">
        <v>56.292611000000001</v>
      </c>
      <c r="EI184" s="4">
        <v>94.379952000000003</v>
      </c>
      <c r="EJ184" s="4">
        <v>103.31417</v>
      </c>
      <c r="EK184" s="4">
        <v>173.21609699999999</v>
      </c>
      <c r="EL184" s="4">
        <v>2766</v>
      </c>
      <c r="EM184" s="4">
        <v>2957</v>
      </c>
      <c r="EN184" s="4">
        <v>3055</v>
      </c>
      <c r="EO184" s="4">
        <v>5122</v>
      </c>
      <c r="EP184" s="4">
        <v>2957</v>
      </c>
      <c r="EQ184" s="4">
        <v>5427</v>
      </c>
      <c r="ER184" s="4">
        <v>48.729709999999997</v>
      </c>
    </row>
    <row r="185" spans="1:148" x14ac:dyDescent="0.2">
      <c r="A185" s="1">
        <v>2022</v>
      </c>
      <c r="B185" s="1" t="str">
        <f t="shared" si="4"/>
        <v>NE</v>
      </c>
      <c r="C185" s="1" t="s">
        <v>1003</v>
      </c>
      <c r="D185" s="1" t="s">
        <v>1003</v>
      </c>
      <c r="E185" s="1">
        <v>25084</v>
      </c>
      <c r="F185" s="1" t="s">
        <v>2113</v>
      </c>
      <c r="G185" s="1" t="s">
        <v>994</v>
      </c>
      <c r="H185" s="1" t="s">
        <v>1004</v>
      </c>
      <c r="I185" s="1">
        <v>9.5</v>
      </c>
      <c r="J185" s="1">
        <v>9.5</v>
      </c>
      <c r="K185" s="1" t="s">
        <v>286</v>
      </c>
      <c r="L185" s="1">
        <v>1</v>
      </c>
      <c r="M185" s="1">
        <v>2016</v>
      </c>
      <c r="N185" s="1">
        <v>3</v>
      </c>
      <c r="O185" s="1">
        <v>1</v>
      </c>
      <c r="P185" s="1" t="str">
        <f t="shared" si="5"/>
        <v>Alto fuste</v>
      </c>
      <c r="Q185" s="2">
        <v>42650</v>
      </c>
      <c r="R185" s="1" t="s">
        <v>169</v>
      </c>
      <c r="S185" s="1" t="s">
        <v>442</v>
      </c>
      <c r="T185" s="1" t="s">
        <v>2268</v>
      </c>
      <c r="U185" s="1" t="s">
        <v>170</v>
      </c>
      <c r="V185" s="1" t="s">
        <v>152</v>
      </c>
      <c r="W185" s="2">
        <v>44589</v>
      </c>
      <c r="X185" s="1" t="s">
        <v>996</v>
      </c>
      <c r="Y185" s="1">
        <v>67.88</v>
      </c>
      <c r="Z185" s="1">
        <v>19</v>
      </c>
      <c r="AA185" s="1">
        <v>10</v>
      </c>
      <c r="AB185" s="1">
        <v>15</v>
      </c>
      <c r="AC185" s="1">
        <v>1</v>
      </c>
      <c r="AD185" s="3">
        <v>285</v>
      </c>
      <c r="AE185" s="3">
        <v>280.62746217609902</v>
      </c>
      <c r="AF185" s="2">
        <v>44589</v>
      </c>
      <c r="AG185" s="1">
        <v>63</v>
      </c>
      <c r="AH185" s="3">
        <v>5.30869267624914</v>
      </c>
      <c r="AI185" s="4">
        <v>27.164142972510898</v>
      </c>
      <c r="AJ185" s="4">
        <v>15.367647058823501</v>
      </c>
      <c r="AK185" s="4">
        <v>22.751228376963201</v>
      </c>
      <c r="AL185" s="1">
        <v>34</v>
      </c>
      <c r="AM185" s="5">
        <v>1211.5706615578599</v>
      </c>
      <c r="AN185" s="4">
        <v>274.08977494574498</v>
      </c>
      <c r="AO185" s="4">
        <v>0.22622681750424301</v>
      </c>
      <c r="AP185" s="1" t="s">
        <v>442</v>
      </c>
      <c r="AQ185" s="1" t="s">
        <v>156</v>
      </c>
      <c r="AR185" s="1" t="s">
        <v>291</v>
      </c>
      <c r="AS185" s="1">
        <v>9</v>
      </c>
      <c r="AT185" s="4">
        <v>1.0904135954020739</v>
      </c>
      <c r="AU185" s="1" t="s">
        <v>1005</v>
      </c>
      <c r="AV185" s="1" t="s">
        <v>1006</v>
      </c>
      <c r="AW185" s="1">
        <v>6630</v>
      </c>
      <c r="AX185" s="1">
        <v>2863</v>
      </c>
      <c r="AY185" s="1">
        <v>2799</v>
      </c>
      <c r="AZ185" s="1">
        <v>897</v>
      </c>
      <c r="BA185" s="1">
        <v>71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4">
        <v>-1.08</v>
      </c>
      <c r="BI185" s="4">
        <v>31.26</v>
      </c>
      <c r="BJ185" s="4">
        <v>12.483762</v>
      </c>
      <c r="BK185" s="4">
        <v>-5.3332999999999998E-2</v>
      </c>
      <c r="BL185" s="4">
        <v>12.574947</v>
      </c>
      <c r="BM185" s="4">
        <v>158.12928700000001</v>
      </c>
      <c r="BN185" s="4">
        <v>1.007304</v>
      </c>
      <c r="BO185" s="4">
        <v>26.88</v>
      </c>
      <c r="BP185" s="4">
        <v>0.178594</v>
      </c>
      <c r="BQ185" s="4">
        <v>1.2244550000000001</v>
      </c>
      <c r="BR185" s="4">
        <v>12.009506</v>
      </c>
      <c r="BS185" s="4">
        <v>9.8000000000000007</v>
      </c>
      <c r="BT185" s="4">
        <v>9.7733340000000002</v>
      </c>
      <c r="BU185" s="4">
        <v>12.483762</v>
      </c>
      <c r="BV185" s="4">
        <v>6.804449</v>
      </c>
      <c r="BW185" s="4">
        <v>0.75740099999999999</v>
      </c>
      <c r="BX185" s="4">
        <v>-1.2277979999999999</v>
      </c>
      <c r="BY185" s="4">
        <v>0.54506399999999999</v>
      </c>
      <c r="BZ185" s="4">
        <v>0.11131000000000001</v>
      </c>
      <c r="CA185" s="4">
        <v>-0.18043999999999999</v>
      </c>
      <c r="CB185" s="4">
        <v>-0.44</v>
      </c>
      <c r="CC185" s="4">
        <v>-0.19</v>
      </c>
      <c r="CD185" s="4">
        <v>-0.10100000000000001</v>
      </c>
      <c r="CE185" s="4">
        <v>-0.01</v>
      </c>
      <c r="CF185" s="4">
        <v>0.04</v>
      </c>
      <c r="CG185" s="4">
        <v>7.0000000000000007E-2</v>
      </c>
      <c r="CH185" s="4">
        <v>0.19</v>
      </c>
      <c r="CI185" s="4">
        <v>9.7200000000000006</v>
      </c>
      <c r="CJ185" s="4">
        <v>18.649999999999999</v>
      </c>
      <c r="CK185" s="4">
        <v>26.110001</v>
      </c>
      <c r="CL185" s="4">
        <v>26.92</v>
      </c>
      <c r="CM185" s="4">
        <v>27.459999</v>
      </c>
      <c r="CN185" s="4">
        <v>28.460999999999999</v>
      </c>
      <c r="CO185" s="4">
        <v>29.129999000000002</v>
      </c>
      <c r="CP185" s="4">
        <v>29.99</v>
      </c>
      <c r="CQ185" s="4">
        <v>0.41941099999999998</v>
      </c>
      <c r="CR185" s="4">
        <v>17.718627000000001</v>
      </c>
      <c r="CS185" s="4">
        <v>20.183185999999999</v>
      </c>
      <c r="CT185" s="1">
        <v>1</v>
      </c>
      <c r="CU185" s="1">
        <v>69</v>
      </c>
      <c r="CV185" s="4">
        <v>14.288084</v>
      </c>
      <c r="CW185" s="4">
        <v>1</v>
      </c>
      <c r="CX185" s="4">
        <v>11.970508000000001</v>
      </c>
      <c r="CY185" s="4">
        <v>143.29307</v>
      </c>
      <c r="CZ185" s="4">
        <v>0.83779700000000001</v>
      </c>
      <c r="DA185" s="4">
        <v>15</v>
      </c>
      <c r="DB185" s="4">
        <v>1.402172</v>
      </c>
      <c r="DC185" s="4">
        <v>5.1054500000000003</v>
      </c>
      <c r="DD185" s="4">
        <v>9.1951579999999993</v>
      </c>
      <c r="DE185" s="4">
        <v>14.288084</v>
      </c>
      <c r="DF185" s="4">
        <v>6.306381</v>
      </c>
      <c r="DG185" s="4">
        <v>1.6762630000000001</v>
      </c>
      <c r="DH185" s="4">
        <v>0.84207799999999999</v>
      </c>
      <c r="DI185" s="4">
        <v>0.44137300000000002</v>
      </c>
      <c r="DJ185" s="4">
        <v>0.26580399999999998</v>
      </c>
      <c r="DK185" s="4">
        <v>0.13352800000000001</v>
      </c>
      <c r="DL185" s="4">
        <v>1</v>
      </c>
      <c r="DM185" s="4">
        <v>1</v>
      </c>
      <c r="DN185" s="4">
        <v>2</v>
      </c>
      <c r="DO185" s="4">
        <v>4</v>
      </c>
      <c r="DP185" s="4">
        <v>5</v>
      </c>
      <c r="DQ185" s="4">
        <v>6</v>
      </c>
      <c r="DR185" s="4">
        <v>9</v>
      </c>
      <c r="DS185" s="4">
        <v>11</v>
      </c>
      <c r="DT185" s="4">
        <v>14</v>
      </c>
      <c r="DU185" s="4">
        <v>18</v>
      </c>
      <c r="DV185" s="4">
        <v>20</v>
      </c>
      <c r="DW185" s="4">
        <v>23</v>
      </c>
      <c r="DX185" s="4">
        <v>29</v>
      </c>
      <c r="DY185" s="4">
        <v>39</v>
      </c>
      <c r="DZ185" s="4">
        <v>55</v>
      </c>
      <c r="EA185" s="4">
        <v>90.604260999999994</v>
      </c>
      <c r="EB185" s="4">
        <v>53.559578000000002</v>
      </c>
      <c r="EC185" s="4">
        <v>124.030737</v>
      </c>
      <c r="ED185" s="4">
        <v>2594</v>
      </c>
      <c r="EE185" s="4">
        <v>3551</v>
      </c>
      <c r="EF185" s="4">
        <v>88.822913</v>
      </c>
      <c r="EG185" s="4">
        <v>99.930143000000001</v>
      </c>
      <c r="EH185" s="4">
        <v>48.190044999999998</v>
      </c>
      <c r="EI185" s="4">
        <v>85.263952000000003</v>
      </c>
      <c r="EJ185" s="4">
        <v>111.596228</v>
      </c>
      <c r="EK185" s="4">
        <v>197.45022700000001</v>
      </c>
      <c r="EL185" s="4">
        <v>2543</v>
      </c>
      <c r="EM185" s="4">
        <v>2861</v>
      </c>
      <c r="EN185" s="4">
        <v>3195</v>
      </c>
      <c r="EO185" s="4">
        <v>5653</v>
      </c>
      <c r="EP185" s="4">
        <v>2863</v>
      </c>
      <c r="EQ185" s="4">
        <v>6630</v>
      </c>
      <c r="ER185" s="4">
        <v>40.714105000000004</v>
      </c>
    </row>
    <row r="186" spans="1:148" x14ac:dyDescent="0.2">
      <c r="A186" s="1">
        <v>2022</v>
      </c>
      <c r="B186" s="1" t="str">
        <f t="shared" si="4"/>
        <v>NE</v>
      </c>
      <c r="C186" s="1" t="s">
        <v>1007</v>
      </c>
      <c r="D186" s="1" t="s">
        <v>1007</v>
      </c>
      <c r="E186" s="1">
        <v>25111</v>
      </c>
      <c r="F186" s="1" t="s">
        <v>2114</v>
      </c>
      <c r="G186" s="1" t="s">
        <v>286</v>
      </c>
      <c r="H186" s="1" t="s">
        <v>1008</v>
      </c>
      <c r="I186" s="1">
        <v>45.6</v>
      </c>
      <c r="J186" s="1">
        <v>45.6</v>
      </c>
      <c r="K186" s="1" t="s">
        <v>286</v>
      </c>
      <c r="L186" s="1">
        <v>1</v>
      </c>
      <c r="M186" s="1">
        <v>2016</v>
      </c>
      <c r="N186" s="1">
        <v>3</v>
      </c>
      <c r="O186" s="1">
        <v>1</v>
      </c>
      <c r="P186" s="1" t="str">
        <f t="shared" si="5"/>
        <v>Alto fuste</v>
      </c>
      <c r="Q186" s="2">
        <v>42444</v>
      </c>
      <c r="R186" s="1" t="s">
        <v>169</v>
      </c>
      <c r="S186" s="1" t="s">
        <v>651</v>
      </c>
      <c r="T186" s="1" t="s">
        <v>2268</v>
      </c>
      <c r="U186" s="1" t="s">
        <v>170</v>
      </c>
      <c r="V186" s="1" t="s">
        <v>152</v>
      </c>
      <c r="W186" s="2">
        <v>44754</v>
      </c>
      <c r="X186" s="1" t="s">
        <v>1009</v>
      </c>
      <c r="Y186" s="1">
        <v>365.53</v>
      </c>
      <c r="Z186" s="1">
        <v>19.600000000000001</v>
      </c>
      <c r="AA186" s="1">
        <v>6</v>
      </c>
      <c r="AB186" s="1">
        <v>14.6</v>
      </c>
      <c r="AC186" s="1">
        <v>1</v>
      </c>
      <c r="AD186" s="3">
        <v>286.16000000000003</v>
      </c>
      <c r="AE186" s="3">
        <v>284.549040779807</v>
      </c>
      <c r="AF186" s="2">
        <v>44754</v>
      </c>
      <c r="AG186" s="1">
        <v>76</v>
      </c>
      <c r="AH186" s="3">
        <v>6.3244353182751496</v>
      </c>
      <c r="AI186" s="4">
        <v>27.294774553469502</v>
      </c>
      <c r="AJ186" s="4">
        <v>17.3965517241379</v>
      </c>
      <c r="AK186" s="4">
        <v>24.9987102444871</v>
      </c>
      <c r="AL186" s="1">
        <v>29</v>
      </c>
      <c r="AM186" s="5">
        <v>1019.15648425753</v>
      </c>
      <c r="AN186" s="4">
        <v>304.25452259546</v>
      </c>
      <c r="AO186" s="4">
        <v>0.29853562950847101</v>
      </c>
      <c r="AP186" s="1" t="s">
        <v>651</v>
      </c>
      <c r="AQ186" s="1" t="s">
        <v>156</v>
      </c>
      <c r="AR186" s="1" t="s">
        <v>302</v>
      </c>
      <c r="AS186" s="1">
        <v>9</v>
      </c>
      <c r="AT186" s="4">
        <v>0.91724083583177707</v>
      </c>
      <c r="AU186" s="1" t="s">
        <v>1010</v>
      </c>
      <c r="AV186" s="1" t="s">
        <v>1011</v>
      </c>
      <c r="AW186" s="1">
        <v>5332</v>
      </c>
      <c r="AX186" s="1">
        <v>2761</v>
      </c>
      <c r="AY186" s="1">
        <v>1849</v>
      </c>
      <c r="AZ186" s="1">
        <v>633</v>
      </c>
      <c r="BA186" s="1">
        <v>89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4">
        <v>-0.81</v>
      </c>
      <c r="BI186" s="4">
        <v>33.080002</v>
      </c>
      <c r="BJ186" s="4">
        <v>16.514196999999999</v>
      </c>
      <c r="BK186" s="4">
        <v>-0.272063</v>
      </c>
      <c r="BL186" s="4">
        <v>11.158524999999999</v>
      </c>
      <c r="BM186" s="4">
        <v>124.51267799999999</v>
      </c>
      <c r="BN186" s="4">
        <v>0.67569299999999999</v>
      </c>
      <c r="BO186" s="4">
        <v>22.045000999999999</v>
      </c>
      <c r="BP186" s="4">
        <v>-0.39474100000000001</v>
      </c>
      <c r="BQ186" s="4">
        <v>1.6905479999999999</v>
      </c>
      <c r="BR186" s="4">
        <v>9.6888330000000007</v>
      </c>
      <c r="BS186" s="4">
        <v>8.6399989999999995</v>
      </c>
      <c r="BT186" s="4">
        <v>19.627064000000001</v>
      </c>
      <c r="BU186" s="4">
        <v>16.514196999999999</v>
      </c>
      <c r="BV186" s="4">
        <v>6.2746069999999996</v>
      </c>
      <c r="BW186" s="4">
        <v>-0.68036700000000006</v>
      </c>
      <c r="BX186" s="4">
        <v>-0.33693499999999998</v>
      </c>
      <c r="BY186" s="4">
        <v>0.37995200000000001</v>
      </c>
      <c r="BZ186" s="4">
        <v>-0.108432</v>
      </c>
      <c r="CA186" s="4">
        <v>-5.3698000000000003E-2</v>
      </c>
      <c r="CB186" s="4">
        <v>-0.38690000000000002</v>
      </c>
      <c r="CC186" s="4">
        <v>-0.13450000000000001</v>
      </c>
      <c r="CD186" s="4">
        <v>-0.02</v>
      </c>
      <c r="CE186" s="4">
        <v>0.19</v>
      </c>
      <c r="CF186" s="4">
        <v>4.8674999999999997</v>
      </c>
      <c r="CG186" s="4">
        <v>10.302002</v>
      </c>
      <c r="CH186" s="4">
        <v>16.379999000000002</v>
      </c>
      <c r="CI186" s="4">
        <v>19.355</v>
      </c>
      <c r="CJ186" s="4">
        <v>22.040001</v>
      </c>
      <c r="CK186" s="4">
        <v>24.600999999999999</v>
      </c>
      <c r="CL186" s="4">
        <v>26.912500000000001</v>
      </c>
      <c r="CM186" s="4">
        <v>27.92</v>
      </c>
      <c r="CN186" s="4">
        <v>29.49</v>
      </c>
      <c r="CO186" s="4">
        <v>30.379999000000002</v>
      </c>
      <c r="CP186" s="4">
        <v>31.43</v>
      </c>
      <c r="CQ186" s="4">
        <v>0.511189</v>
      </c>
      <c r="CR186" s="4">
        <v>19.930078999999999</v>
      </c>
      <c r="CS186" s="4">
        <v>21.632249999999999</v>
      </c>
      <c r="CT186" s="1">
        <v>1</v>
      </c>
      <c r="CU186" s="1">
        <v>41</v>
      </c>
      <c r="CV186" s="4">
        <v>11.94955</v>
      </c>
      <c r="CW186" s="4">
        <v>1</v>
      </c>
      <c r="CX186" s="4">
        <v>8.4115830000000003</v>
      </c>
      <c r="CY186" s="4">
        <v>70.754722999999998</v>
      </c>
      <c r="CZ186" s="4">
        <v>0.70392500000000002</v>
      </c>
      <c r="DA186" s="4">
        <v>15</v>
      </c>
      <c r="DB186" s="4">
        <v>0.47681400000000002</v>
      </c>
      <c r="DC186" s="4">
        <v>2.1933690000000001</v>
      </c>
      <c r="DD186" s="4">
        <v>7.2374999999999998</v>
      </c>
      <c r="DE186" s="4">
        <v>11.94955</v>
      </c>
      <c r="DF186" s="4">
        <v>4.7744280000000003</v>
      </c>
      <c r="DG186" s="4">
        <v>0.61786099999999999</v>
      </c>
      <c r="DH186" s="4">
        <v>4.6074999999999998E-2</v>
      </c>
      <c r="DI186" s="4">
        <v>0.39954899999999999</v>
      </c>
      <c r="DJ186" s="4">
        <v>0.12941</v>
      </c>
      <c r="DK186" s="4">
        <v>9.6500000000000006E-3</v>
      </c>
      <c r="DL186" s="4">
        <v>1</v>
      </c>
      <c r="DM186" s="4">
        <v>1</v>
      </c>
      <c r="DN186" s="4">
        <v>2</v>
      </c>
      <c r="DO186" s="4">
        <v>4</v>
      </c>
      <c r="DP186" s="4">
        <v>4</v>
      </c>
      <c r="DQ186" s="4">
        <v>5</v>
      </c>
      <c r="DR186" s="4">
        <v>8</v>
      </c>
      <c r="DS186" s="4">
        <v>11</v>
      </c>
      <c r="DT186" s="4">
        <v>14</v>
      </c>
      <c r="DU186" s="4">
        <v>17</v>
      </c>
      <c r="DV186" s="4">
        <v>19</v>
      </c>
      <c r="DW186" s="4">
        <v>20</v>
      </c>
      <c r="DX186" s="4">
        <v>24</v>
      </c>
      <c r="DY186" s="4">
        <v>27</v>
      </c>
      <c r="DZ186" s="4">
        <v>31</v>
      </c>
      <c r="EA186" s="4">
        <v>99.166967999999997</v>
      </c>
      <c r="EB186" s="4">
        <v>75.581395000000001</v>
      </c>
      <c r="EC186" s="4">
        <v>145.96160800000001</v>
      </c>
      <c r="ED186" s="4">
        <v>2738</v>
      </c>
      <c r="EE186" s="4">
        <v>4030</v>
      </c>
      <c r="EF186" s="4">
        <v>92.176748000000003</v>
      </c>
      <c r="EG186" s="4">
        <v>100</v>
      </c>
      <c r="EH186" s="4">
        <v>59.208551999999997</v>
      </c>
      <c r="EI186" s="4">
        <v>97.899474999999995</v>
      </c>
      <c r="EJ186" s="4">
        <v>114.342629</v>
      </c>
      <c r="EK186" s="4">
        <v>189.06193400000001</v>
      </c>
      <c r="EL186" s="4">
        <v>2545</v>
      </c>
      <c r="EM186" s="4">
        <v>2761</v>
      </c>
      <c r="EN186" s="4">
        <v>3157</v>
      </c>
      <c r="EO186" s="4">
        <v>5220</v>
      </c>
      <c r="EP186" s="4">
        <v>2761</v>
      </c>
      <c r="EQ186" s="4">
        <v>5332</v>
      </c>
      <c r="ER186" s="4">
        <v>51.578612999999997</v>
      </c>
    </row>
    <row r="187" spans="1:148" x14ac:dyDescent="0.2">
      <c r="A187" s="1">
        <v>2022</v>
      </c>
      <c r="B187" s="1" t="str">
        <f t="shared" si="4"/>
        <v>NE</v>
      </c>
      <c r="C187" s="1" t="s">
        <v>1012</v>
      </c>
      <c r="D187" s="1" t="s">
        <v>1012</v>
      </c>
      <c r="E187" s="1">
        <v>25121</v>
      </c>
      <c r="F187" s="1" t="s">
        <v>2114</v>
      </c>
      <c r="G187" s="1" t="s">
        <v>286</v>
      </c>
      <c r="H187" s="1" t="s">
        <v>1013</v>
      </c>
      <c r="I187" s="1">
        <v>32.43</v>
      </c>
      <c r="J187" s="1">
        <v>32.43</v>
      </c>
      <c r="K187" s="1" t="s">
        <v>286</v>
      </c>
      <c r="L187" s="1">
        <v>1</v>
      </c>
      <c r="M187" s="1">
        <v>2016</v>
      </c>
      <c r="N187" s="1">
        <v>3</v>
      </c>
      <c r="O187" s="1">
        <v>1</v>
      </c>
      <c r="P187" s="1" t="str">
        <f t="shared" si="5"/>
        <v>Alto fuste</v>
      </c>
      <c r="Q187" s="2">
        <v>42444</v>
      </c>
      <c r="R187" s="1" t="s">
        <v>169</v>
      </c>
      <c r="S187" s="1" t="s">
        <v>403</v>
      </c>
      <c r="T187" s="1" t="s">
        <v>2268</v>
      </c>
      <c r="U187" s="1" t="s">
        <v>170</v>
      </c>
      <c r="V187" s="1" t="s">
        <v>152</v>
      </c>
      <c r="W187" s="2">
        <v>44754</v>
      </c>
      <c r="X187" s="1" t="s">
        <v>1009</v>
      </c>
      <c r="Y187" s="1">
        <v>365.53</v>
      </c>
      <c r="Z187" s="1">
        <v>19</v>
      </c>
      <c r="AA187" s="1">
        <v>23</v>
      </c>
      <c r="AB187" s="1">
        <v>14.7</v>
      </c>
      <c r="AC187" s="1">
        <v>4</v>
      </c>
      <c r="AD187" s="3">
        <v>279.3</v>
      </c>
      <c r="AE187" s="3">
        <v>256.47073018535002</v>
      </c>
      <c r="AF187" s="2">
        <v>44754</v>
      </c>
      <c r="AG187" s="1">
        <v>76</v>
      </c>
      <c r="AH187" s="3">
        <v>6.3244353182751496</v>
      </c>
      <c r="AI187" s="4">
        <v>23.829328343237201</v>
      </c>
      <c r="AJ187" s="4">
        <v>15.4763157894737</v>
      </c>
      <c r="AK187" s="4">
        <v>29.359818959768599</v>
      </c>
      <c r="AL187" s="1">
        <v>38</v>
      </c>
      <c r="AM187" s="5">
        <v>1481.6505560902599</v>
      </c>
      <c r="AN187" s="4">
        <v>323.80724552521798</v>
      </c>
      <c r="AO187" s="4">
        <v>0.21854494920831499</v>
      </c>
      <c r="AP187" s="1" t="s">
        <v>403</v>
      </c>
      <c r="AQ187" s="1" t="s">
        <v>156</v>
      </c>
      <c r="AR187" s="1" t="s">
        <v>737</v>
      </c>
      <c r="AS187" s="1">
        <v>9</v>
      </c>
      <c r="AT187" s="4">
        <v>1.333485500481234</v>
      </c>
      <c r="AU187" s="1" t="s">
        <v>1014</v>
      </c>
      <c r="AV187" s="1" t="s">
        <v>1015</v>
      </c>
      <c r="AW187" s="1">
        <v>4233</v>
      </c>
      <c r="AX187" s="1">
        <v>2122</v>
      </c>
      <c r="AY187" s="1">
        <v>1846</v>
      </c>
      <c r="AZ187" s="1">
        <v>250</v>
      </c>
      <c r="BA187" s="1">
        <v>15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4">
        <v>-0.77</v>
      </c>
      <c r="BI187" s="4">
        <v>29.540001</v>
      </c>
      <c r="BJ187" s="4">
        <v>12.358316</v>
      </c>
      <c r="BK187" s="4">
        <v>-0.28888900000000001</v>
      </c>
      <c r="BL187" s="4">
        <v>12.097946</v>
      </c>
      <c r="BM187" s="4">
        <v>146.36029600000001</v>
      </c>
      <c r="BN187" s="4">
        <v>0.97893200000000002</v>
      </c>
      <c r="BO187" s="4">
        <v>24.82</v>
      </c>
      <c r="BP187" s="4">
        <v>5.9450000000000003E-2</v>
      </c>
      <c r="BQ187" s="4">
        <v>1.1022050000000001</v>
      </c>
      <c r="BR187" s="4">
        <v>11.773296</v>
      </c>
      <c r="BS187" s="4">
        <v>11.349999</v>
      </c>
      <c r="BT187" s="4">
        <v>11.518888</v>
      </c>
      <c r="BU187" s="4">
        <v>12.358316</v>
      </c>
      <c r="BV187" s="4">
        <v>6.4306929999999998</v>
      </c>
      <c r="BW187" s="4">
        <v>0.35528300000000002</v>
      </c>
      <c r="BX187" s="4">
        <v>-1.3050729999999999</v>
      </c>
      <c r="BY187" s="4">
        <v>0.52035399999999998</v>
      </c>
      <c r="BZ187" s="4">
        <v>5.5247999999999998E-2</v>
      </c>
      <c r="CA187" s="4">
        <v>-0.20294400000000001</v>
      </c>
      <c r="CB187" s="4">
        <v>-0.43680000000000002</v>
      </c>
      <c r="CC187" s="4">
        <v>-0.18</v>
      </c>
      <c r="CD187" s="4">
        <v>-0.08</v>
      </c>
      <c r="CE187" s="4">
        <v>0.03</v>
      </c>
      <c r="CF187" s="4">
        <v>0.08</v>
      </c>
      <c r="CG187" s="4">
        <v>0.14000000000000001</v>
      </c>
      <c r="CH187" s="4">
        <v>0.32</v>
      </c>
      <c r="CI187" s="4">
        <v>11.23</v>
      </c>
      <c r="CJ187" s="4">
        <v>23.321999000000002</v>
      </c>
      <c r="CK187" s="4">
        <v>24.5</v>
      </c>
      <c r="CL187" s="4">
        <v>24.9</v>
      </c>
      <c r="CM187" s="4">
        <v>25.27</v>
      </c>
      <c r="CN187" s="4">
        <v>26.08</v>
      </c>
      <c r="CO187" s="4">
        <v>27.129999000000002</v>
      </c>
      <c r="CP187" s="4">
        <v>28.323602999999999</v>
      </c>
      <c r="CQ187" s="4">
        <v>0.43313499999999999</v>
      </c>
      <c r="CR187" s="4">
        <v>17.293168999999999</v>
      </c>
      <c r="CS187" s="4">
        <v>19.502486999999999</v>
      </c>
      <c r="CT187" s="1">
        <v>1</v>
      </c>
      <c r="CU187" s="1">
        <v>47</v>
      </c>
      <c r="CV187" s="4">
        <v>14.287739</v>
      </c>
      <c r="CW187" s="4">
        <v>1</v>
      </c>
      <c r="CX187" s="4">
        <v>9.6007929999999995</v>
      </c>
      <c r="CY187" s="4">
        <v>92.175220999999993</v>
      </c>
      <c r="CZ187" s="4">
        <v>0.67196</v>
      </c>
      <c r="DA187" s="4">
        <v>15</v>
      </c>
      <c r="DB187" s="4">
        <v>0.495172</v>
      </c>
      <c r="DC187" s="4">
        <v>2.5969039999999999</v>
      </c>
      <c r="DD187" s="4">
        <v>8.0690080000000002</v>
      </c>
      <c r="DE187" s="4">
        <v>14.287739</v>
      </c>
      <c r="DF187" s="4">
        <v>5.4361139999999999</v>
      </c>
      <c r="DG187" s="4">
        <v>0.56857999999999997</v>
      </c>
      <c r="DH187" s="4">
        <v>0.22626399999999999</v>
      </c>
      <c r="DI187" s="4">
        <v>0.38047399999999998</v>
      </c>
      <c r="DJ187" s="4">
        <v>0.10459300000000001</v>
      </c>
      <c r="DK187" s="4">
        <v>4.1621999999999999E-2</v>
      </c>
      <c r="DL187" s="4">
        <v>1</v>
      </c>
      <c r="DM187" s="4">
        <v>1</v>
      </c>
      <c r="DN187" s="4">
        <v>2</v>
      </c>
      <c r="DO187" s="4">
        <v>4</v>
      </c>
      <c r="DP187" s="4">
        <v>6</v>
      </c>
      <c r="DQ187" s="4">
        <v>7</v>
      </c>
      <c r="DR187" s="4">
        <v>10</v>
      </c>
      <c r="DS187" s="4">
        <v>14</v>
      </c>
      <c r="DT187" s="4">
        <v>17</v>
      </c>
      <c r="DU187" s="4">
        <v>20</v>
      </c>
      <c r="DV187" s="4">
        <v>21</v>
      </c>
      <c r="DW187" s="4">
        <v>23</v>
      </c>
      <c r="DX187" s="4">
        <v>27</v>
      </c>
      <c r="DY187" s="4">
        <v>31</v>
      </c>
      <c r="DZ187" s="4">
        <v>39</v>
      </c>
      <c r="EA187" s="4">
        <v>93.166824000000005</v>
      </c>
      <c r="EB187" s="4">
        <v>52.610441999999999</v>
      </c>
      <c r="EC187" s="4">
        <v>104.948162</v>
      </c>
      <c r="ED187" s="4">
        <v>1977</v>
      </c>
      <c r="EE187" s="4">
        <v>2227</v>
      </c>
      <c r="EF187" s="4">
        <v>91.564561999999995</v>
      </c>
      <c r="EG187" s="4">
        <v>99.952875000000006</v>
      </c>
      <c r="EH187" s="4">
        <v>48.972360000000002</v>
      </c>
      <c r="EI187" s="4">
        <v>97.306875000000005</v>
      </c>
      <c r="EJ187" s="4">
        <v>97.690858000000006</v>
      </c>
      <c r="EK187" s="4">
        <v>194.109331</v>
      </c>
      <c r="EL187" s="4">
        <v>1943</v>
      </c>
      <c r="EM187" s="4">
        <v>2121</v>
      </c>
      <c r="EN187" s="4">
        <v>2073</v>
      </c>
      <c r="EO187" s="4">
        <v>4119</v>
      </c>
      <c r="EP187" s="4">
        <v>2122</v>
      </c>
      <c r="EQ187" s="4">
        <v>4233</v>
      </c>
      <c r="ER187" s="4">
        <v>42.707073999999999</v>
      </c>
    </row>
    <row r="188" spans="1:148" x14ac:dyDescent="0.2">
      <c r="A188" s="1">
        <v>2022</v>
      </c>
      <c r="B188" s="1" t="str">
        <f t="shared" si="4"/>
        <v>NE</v>
      </c>
      <c r="C188" s="1" t="s">
        <v>1016</v>
      </c>
      <c r="D188" s="1" t="s">
        <v>1016</v>
      </c>
      <c r="E188" s="1">
        <v>25122</v>
      </c>
      <c r="F188" s="1" t="s">
        <v>2114</v>
      </c>
      <c r="G188" s="1" t="s">
        <v>286</v>
      </c>
      <c r="H188" s="1" t="s">
        <v>1013</v>
      </c>
      <c r="I188" s="1">
        <v>32.43</v>
      </c>
      <c r="J188" s="1">
        <v>32.43</v>
      </c>
      <c r="K188" s="1" t="s">
        <v>286</v>
      </c>
      <c r="L188" s="1">
        <v>1</v>
      </c>
      <c r="M188" s="1">
        <v>2016</v>
      </c>
      <c r="N188" s="1">
        <v>3</v>
      </c>
      <c r="O188" s="1">
        <v>1</v>
      </c>
      <c r="P188" s="1" t="str">
        <f t="shared" si="5"/>
        <v>Alto fuste</v>
      </c>
      <c r="Q188" s="2">
        <v>42444</v>
      </c>
      <c r="R188" s="1" t="s">
        <v>169</v>
      </c>
      <c r="S188" s="1" t="s">
        <v>403</v>
      </c>
      <c r="T188" s="1" t="s">
        <v>2268</v>
      </c>
      <c r="U188" s="1" t="s">
        <v>170</v>
      </c>
      <c r="V188" s="1" t="s">
        <v>152</v>
      </c>
      <c r="W188" s="2">
        <v>44754</v>
      </c>
      <c r="X188" s="1" t="s">
        <v>1009</v>
      </c>
      <c r="Y188" s="1">
        <v>365.53</v>
      </c>
      <c r="Z188" s="1">
        <v>20</v>
      </c>
      <c r="AA188" s="1">
        <v>23</v>
      </c>
      <c r="AB188" s="1">
        <v>14.7</v>
      </c>
      <c r="AC188" s="1">
        <v>4</v>
      </c>
      <c r="AD188" s="3">
        <v>294</v>
      </c>
      <c r="AE188" s="3">
        <v>269.96918966879002</v>
      </c>
      <c r="AF188" s="2">
        <v>44754</v>
      </c>
      <c r="AG188" s="1">
        <v>76</v>
      </c>
      <c r="AH188" s="3">
        <v>6.3244353182751496</v>
      </c>
      <c r="AI188" s="4">
        <v>26.769696242301102</v>
      </c>
      <c r="AJ188" s="4">
        <v>16.41</v>
      </c>
      <c r="AK188" s="4">
        <v>24.038050325142699</v>
      </c>
      <c r="AL188" s="1">
        <v>30</v>
      </c>
      <c r="AM188" s="5">
        <v>1111.2379170677</v>
      </c>
      <c r="AN188" s="4">
        <v>286.75575135810402</v>
      </c>
      <c r="AO188" s="4">
        <v>0.25805072609004098</v>
      </c>
      <c r="AP188" s="1" t="s">
        <v>403</v>
      </c>
      <c r="AQ188" s="1" t="s">
        <v>156</v>
      </c>
      <c r="AR188" s="1" t="s">
        <v>737</v>
      </c>
      <c r="AS188" s="1">
        <v>9</v>
      </c>
      <c r="AT188" s="4">
        <v>1.00011412536093</v>
      </c>
      <c r="AU188" s="1" t="s">
        <v>1017</v>
      </c>
      <c r="AV188" s="1" t="s">
        <v>1018</v>
      </c>
      <c r="AW188" s="1">
        <v>2106</v>
      </c>
      <c r="AX188" s="1">
        <v>1125</v>
      </c>
      <c r="AY188" s="1">
        <v>821</v>
      </c>
      <c r="AZ188" s="1">
        <v>157</v>
      </c>
      <c r="BA188" s="1">
        <v>3</v>
      </c>
      <c r="BB188" s="1">
        <v>0</v>
      </c>
      <c r="BC188" s="1">
        <v>0</v>
      </c>
      <c r="BD188" s="1">
        <v>0</v>
      </c>
      <c r="BE188" s="1">
        <v>0</v>
      </c>
      <c r="BF188" s="1">
        <v>0</v>
      </c>
      <c r="BG188" s="1">
        <v>0</v>
      </c>
      <c r="BH188" s="4">
        <v>-0.83</v>
      </c>
      <c r="BI188" s="4">
        <v>29.030000999999999</v>
      </c>
      <c r="BJ188" s="4">
        <v>14.442349999999999</v>
      </c>
      <c r="BK188" s="4">
        <v>-0.35603200000000002</v>
      </c>
      <c r="BL188" s="4">
        <v>12.175352</v>
      </c>
      <c r="BM188" s="4">
        <v>148.239193</v>
      </c>
      <c r="BN188" s="4">
        <v>0.84303099999999997</v>
      </c>
      <c r="BO188" s="4">
        <v>25.699998999999998</v>
      </c>
      <c r="BP188" s="4">
        <v>-0.24653800000000001</v>
      </c>
      <c r="BQ188" s="4">
        <v>1.193228</v>
      </c>
      <c r="BR188" s="4">
        <v>11.644678000000001</v>
      </c>
      <c r="BS188" s="4">
        <v>7.9450010000000004</v>
      </c>
      <c r="BT188" s="4">
        <v>19.676030999999998</v>
      </c>
      <c r="BU188" s="4">
        <v>14.442349999999999</v>
      </c>
      <c r="BV188" s="4">
        <v>6.5173100000000002</v>
      </c>
      <c r="BW188" s="4">
        <v>-0.453735</v>
      </c>
      <c r="BX188" s="4">
        <v>-1.2116180000000001</v>
      </c>
      <c r="BY188" s="4">
        <v>0.451264</v>
      </c>
      <c r="BZ188" s="4">
        <v>-6.9620000000000001E-2</v>
      </c>
      <c r="CA188" s="4">
        <v>-0.18590799999999999</v>
      </c>
      <c r="CB188" s="4">
        <v>-0.39950000000000002</v>
      </c>
      <c r="CC188" s="4">
        <v>-0.17749999999999999</v>
      </c>
      <c r="CD188" s="4">
        <v>-0.08</v>
      </c>
      <c r="CE188" s="4">
        <v>0.05</v>
      </c>
      <c r="CF188" s="4">
        <v>0.11</v>
      </c>
      <c r="CG188" s="4">
        <v>0.18</v>
      </c>
      <c r="CH188" s="4">
        <v>0.97</v>
      </c>
      <c r="CI188" s="4">
        <v>19.32</v>
      </c>
      <c r="CJ188" s="4">
        <v>24.48</v>
      </c>
      <c r="CK188" s="4">
        <v>25.5</v>
      </c>
      <c r="CL188" s="4">
        <v>25.809999000000001</v>
      </c>
      <c r="CM188" s="4">
        <v>26.280000999999999</v>
      </c>
      <c r="CN188" s="4">
        <v>27.154999</v>
      </c>
      <c r="CO188" s="4">
        <v>27.700001</v>
      </c>
      <c r="CP188" s="4">
        <v>28.429500999999998</v>
      </c>
      <c r="CQ188" s="4">
        <v>0.51146499999999995</v>
      </c>
      <c r="CR188" s="4">
        <v>18.887834000000002</v>
      </c>
      <c r="CS188" s="4">
        <v>20.791094999999999</v>
      </c>
      <c r="CT188" s="1">
        <v>1</v>
      </c>
      <c r="CU188" s="1">
        <v>46</v>
      </c>
      <c r="CV188" s="4">
        <v>11.839031</v>
      </c>
      <c r="CW188" s="4">
        <v>1</v>
      </c>
      <c r="CX188" s="4">
        <v>8.0476150000000004</v>
      </c>
      <c r="CY188" s="4">
        <v>64.764100999999997</v>
      </c>
      <c r="CZ188" s="4">
        <v>0.67975300000000005</v>
      </c>
      <c r="DA188" s="4">
        <v>12</v>
      </c>
      <c r="DB188" s="4">
        <v>0.89762399999999998</v>
      </c>
      <c r="DC188" s="4">
        <v>3.9962610000000001</v>
      </c>
      <c r="DD188" s="4">
        <v>6.4496770000000003</v>
      </c>
      <c r="DE188" s="4">
        <v>11.839031</v>
      </c>
      <c r="DF188" s="4">
        <v>4.4318280000000003</v>
      </c>
      <c r="DG188" s="4">
        <v>0.64051000000000002</v>
      </c>
      <c r="DH188" s="4">
        <v>0.39998800000000001</v>
      </c>
      <c r="DI188" s="4">
        <v>0.37434000000000001</v>
      </c>
      <c r="DJ188" s="4">
        <v>0.14452499999999999</v>
      </c>
      <c r="DK188" s="4">
        <v>9.0253E-2</v>
      </c>
      <c r="DL188" s="4">
        <v>1</v>
      </c>
      <c r="DM188" s="4">
        <v>1</v>
      </c>
      <c r="DN188" s="4">
        <v>2</v>
      </c>
      <c r="DO188" s="4">
        <v>4</v>
      </c>
      <c r="DP188" s="4">
        <v>5</v>
      </c>
      <c r="DQ188" s="4">
        <v>6</v>
      </c>
      <c r="DR188" s="4">
        <v>9</v>
      </c>
      <c r="DS188" s="4">
        <v>11</v>
      </c>
      <c r="DT188" s="4">
        <v>13</v>
      </c>
      <c r="DU188" s="4">
        <v>16</v>
      </c>
      <c r="DV188" s="4">
        <v>17</v>
      </c>
      <c r="DW188" s="4">
        <v>18</v>
      </c>
      <c r="DX188" s="4">
        <v>21</v>
      </c>
      <c r="DY188" s="4">
        <v>26</v>
      </c>
      <c r="DZ188" s="4">
        <v>37</v>
      </c>
      <c r="EA188" s="4">
        <v>93.244444000000001</v>
      </c>
      <c r="EB188" s="4">
        <v>59.829059999999998</v>
      </c>
      <c r="EC188" s="4">
        <v>112</v>
      </c>
      <c r="ED188" s="4">
        <v>1049</v>
      </c>
      <c r="EE188" s="4">
        <v>1260</v>
      </c>
      <c r="EF188" s="4">
        <v>92.8</v>
      </c>
      <c r="EG188" s="4">
        <v>100</v>
      </c>
      <c r="EH188" s="4">
        <v>58.262107999999998</v>
      </c>
      <c r="EI188" s="4">
        <v>98.812915000000004</v>
      </c>
      <c r="EJ188" s="4">
        <v>109.066667</v>
      </c>
      <c r="EK188" s="4">
        <v>184.977778</v>
      </c>
      <c r="EL188" s="4">
        <v>1044</v>
      </c>
      <c r="EM188" s="4">
        <v>1125</v>
      </c>
      <c r="EN188" s="4">
        <v>1227</v>
      </c>
      <c r="EO188" s="4">
        <v>2081</v>
      </c>
      <c r="EP188" s="4">
        <v>1125</v>
      </c>
      <c r="EQ188" s="4">
        <v>2106</v>
      </c>
      <c r="ER188" s="4">
        <v>49.807935999999998</v>
      </c>
    </row>
    <row r="189" spans="1:148" x14ac:dyDescent="0.2">
      <c r="A189" s="1">
        <v>2022</v>
      </c>
      <c r="B189" s="1" t="str">
        <f t="shared" si="4"/>
        <v>NE</v>
      </c>
      <c r="C189" s="1" t="s">
        <v>1019</v>
      </c>
      <c r="D189" s="1" t="s">
        <v>1019</v>
      </c>
      <c r="E189" s="1">
        <v>25285</v>
      </c>
      <c r="F189" s="1" t="s">
        <v>2115</v>
      </c>
      <c r="G189" s="1" t="s">
        <v>1020</v>
      </c>
      <c r="H189" s="1" t="s">
        <v>1021</v>
      </c>
      <c r="I189" s="1">
        <v>34.049999999999997</v>
      </c>
      <c r="J189" s="1">
        <v>34.049999999999997</v>
      </c>
      <c r="K189" s="1" t="s">
        <v>1022</v>
      </c>
      <c r="L189" s="1">
        <v>1</v>
      </c>
      <c r="M189" s="1">
        <v>2017</v>
      </c>
      <c r="N189" s="1">
        <v>3</v>
      </c>
      <c r="O189" s="1">
        <v>1</v>
      </c>
      <c r="P189" s="1" t="str">
        <f t="shared" si="5"/>
        <v>Alto fuste</v>
      </c>
      <c r="Q189" s="2">
        <v>42786</v>
      </c>
      <c r="R189" s="1" t="s">
        <v>169</v>
      </c>
      <c r="S189" s="1" t="s">
        <v>651</v>
      </c>
      <c r="T189" s="1" t="s">
        <v>2268</v>
      </c>
      <c r="U189" s="1" t="s">
        <v>1022</v>
      </c>
      <c r="V189" s="1" t="s">
        <v>152</v>
      </c>
      <c r="W189" s="2">
        <v>44797</v>
      </c>
      <c r="X189" s="1" t="s">
        <v>1023</v>
      </c>
      <c r="Y189" s="1">
        <v>159.38</v>
      </c>
      <c r="Z189" s="1">
        <v>20.6</v>
      </c>
      <c r="AA189" s="1">
        <v>14</v>
      </c>
      <c r="AB189" s="1">
        <v>15.6</v>
      </c>
      <c r="AC189" s="1">
        <v>3</v>
      </c>
      <c r="AD189" s="3">
        <v>321.36</v>
      </c>
      <c r="AE189" s="3">
        <v>311.38690402451101</v>
      </c>
      <c r="AF189" s="2">
        <v>44797</v>
      </c>
      <c r="AG189" s="1">
        <v>66</v>
      </c>
      <c r="AH189" s="3">
        <v>5.5058179329226604</v>
      </c>
      <c r="AI189" s="4">
        <v>29.510723920170001</v>
      </c>
      <c r="AJ189" s="4">
        <v>17.387096774193498</v>
      </c>
      <c r="AK189" s="4">
        <v>23.9316899927625</v>
      </c>
      <c r="AL189" s="1">
        <v>31</v>
      </c>
      <c r="AM189" s="5">
        <v>995.54604253876403</v>
      </c>
      <c r="AN189" s="4">
        <v>310.41623440925298</v>
      </c>
      <c r="AO189" s="4">
        <v>0.31180500061820698</v>
      </c>
      <c r="AP189" s="1" t="s">
        <v>651</v>
      </c>
      <c r="AQ189" s="1" t="s">
        <v>156</v>
      </c>
      <c r="AR189" s="1" t="s">
        <v>1026</v>
      </c>
      <c r="AS189" s="1">
        <v>9</v>
      </c>
      <c r="AT189" s="4">
        <v>0.8959914382848877</v>
      </c>
      <c r="AU189" s="1" t="s">
        <v>1024</v>
      </c>
      <c r="AV189" s="1" t="s">
        <v>1025</v>
      </c>
      <c r="AW189" s="1">
        <v>2444</v>
      </c>
      <c r="AX189" s="1">
        <v>2444</v>
      </c>
      <c r="AY189" s="1">
        <v>0</v>
      </c>
      <c r="AZ189" s="1">
        <v>0</v>
      </c>
      <c r="BA189" s="1">
        <v>0</v>
      </c>
      <c r="BB189" s="1">
        <v>0</v>
      </c>
      <c r="BC189" s="1">
        <v>0</v>
      </c>
      <c r="BD189" s="1">
        <v>0</v>
      </c>
      <c r="BE189" s="1">
        <v>0</v>
      </c>
      <c r="BF189" s="1">
        <v>0</v>
      </c>
      <c r="BG189" s="1">
        <v>0</v>
      </c>
      <c r="BH189" s="4">
        <v>-0.3</v>
      </c>
      <c r="BI189" s="4">
        <v>31.657</v>
      </c>
      <c r="BJ189" s="4">
        <v>25.360627999999998</v>
      </c>
      <c r="BK189" s="4">
        <v>27.598967999999999</v>
      </c>
      <c r="BL189" s="4">
        <v>7.6777379999999997</v>
      </c>
      <c r="BM189" s="4">
        <v>58.947667000000003</v>
      </c>
      <c r="BN189" s="4">
        <v>0.30274200000000001</v>
      </c>
      <c r="BO189" s="4">
        <v>2.5125009999999999</v>
      </c>
      <c r="BP189" s="4">
        <v>-2.834279</v>
      </c>
      <c r="BQ189" s="4">
        <v>9.5374149999999993</v>
      </c>
      <c r="BR189" s="4">
        <v>4.2592790000000003</v>
      </c>
      <c r="BS189" s="4">
        <v>1.219001</v>
      </c>
      <c r="BT189" s="4">
        <v>1.191532</v>
      </c>
      <c r="BU189" s="4">
        <v>25.360627999999998</v>
      </c>
      <c r="BV189" s="4">
        <v>2.8339400000000001</v>
      </c>
      <c r="BW189" s="4">
        <v>-1.567957</v>
      </c>
      <c r="BX189" s="4">
        <v>1.221805</v>
      </c>
      <c r="BY189" s="4">
        <v>0.111746</v>
      </c>
      <c r="BZ189" s="4">
        <v>-0.55327800000000005</v>
      </c>
      <c r="CA189" s="4">
        <v>0.43113299999999999</v>
      </c>
      <c r="CB189" s="4">
        <v>-0.10671</v>
      </c>
      <c r="CC189" s="4">
        <v>5.9299999999999999E-2</v>
      </c>
      <c r="CD189" s="4">
        <v>24.083599</v>
      </c>
      <c r="CE189" s="4">
        <v>25.763199</v>
      </c>
      <c r="CF189" s="4">
        <v>26.108999000000001</v>
      </c>
      <c r="CG189" s="4">
        <v>26.486999999999998</v>
      </c>
      <c r="CH189" s="4">
        <v>27.005199000000001</v>
      </c>
      <c r="CI189" s="4">
        <v>27.488499000000001</v>
      </c>
      <c r="CJ189" s="4">
        <v>27.938998999999999</v>
      </c>
      <c r="CK189" s="4">
        <v>28.365200000000002</v>
      </c>
      <c r="CL189" s="4">
        <v>28.621500000000001</v>
      </c>
      <c r="CM189" s="4">
        <v>28.883400000000002</v>
      </c>
      <c r="CN189" s="4">
        <v>29.5931</v>
      </c>
      <c r="CO189" s="4">
        <v>30.148401</v>
      </c>
      <c r="CP189" s="4">
        <v>30.952551</v>
      </c>
      <c r="CQ189" s="4">
        <v>0.80297399999999997</v>
      </c>
      <c r="CR189" s="4">
        <v>26.496886</v>
      </c>
      <c r="CS189" s="4">
        <v>26.921467</v>
      </c>
      <c r="CT189" s="1">
        <v>1</v>
      </c>
      <c r="CU189" s="1">
        <v>62</v>
      </c>
      <c r="CV189" s="4">
        <v>23.452946000000001</v>
      </c>
      <c r="CW189" s="4">
        <v>24.238095000000001</v>
      </c>
      <c r="CX189" s="4">
        <v>10.324922000000001</v>
      </c>
      <c r="CY189" s="4">
        <v>106.604007</v>
      </c>
      <c r="CZ189" s="4">
        <v>0.44024000000000002</v>
      </c>
      <c r="DA189" s="4">
        <v>12</v>
      </c>
      <c r="DB189" s="4">
        <v>1.4545000000000001E-2</v>
      </c>
      <c r="DC189" s="4">
        <v>3.2358220000000002</v>
      </c>
      <c r="DD189" s="4">
        <v>7.9331899999999997</v>
      </c>
      <c r="DE189" s="4">
        <v>23.452946000000001</v>
      </c>
      <c r="DF189" s="4">
        <v>5.7423299999999999</v>
      </c>
      <c r="DG189" s="4">
        <v>-0.15892300000000001</v>
      </c>
      <c r="DH189" s="4">
        <v>0.94735800000000003</v>
      </c>
      <c r="DI189" s="4">
        <v>0.24484500000000001</v>
      </c>
      <c r="DJ189" s="4">
        <v>-2.7675999999999999E-2</v>
      </c>
      <c r="DK189" s="4">
        <v>0.16497800000000001</v>
      </c>
      <c r="DL189" s="4">
        <v>1</v>
      </c>
      <c r="DM189" s="4">
        <v>4</v>
      </c>
      <c r="DN189" s="4">
        <v>9</v>
      </c>
      <c r="DO189" s="4">
        <v>15</v>
      </c>
      <c r="DP189" s="4">
        <v>17</v>
      </c>
      <c r="DQ189" s="4">
        <v>19</v>
      </c>
      <c r="DR189" s="4">
        <v>22</v>
      </c>
      <c r="DS189" s="4">
        <v>24</v>
      </c>
      <c r="DT189" s="4">
        <v>26</v>
      </c>
      <c r="DU189" s="4">
        <v>28</v>
      </c>
      <c r="DV189" s="4">
        <v>29</v>
      </c>
      <c r="DW189" s="4">
        <v>31</v>
      </c>
      <c r="DX189" s="4">
        <v>35</v>
      </c>
      <c r="DY189" s="4">
        <v>41</v>
      </c>
      <c r="DZ189" s="4">
        <v>50</v>
      </c>
      <c r="EA189" s="4">
        <v>91.980360000000005</v>
      </c>
      <c r="EB189" s="4">
        <v>91.980360000000005</v>
      </c>
      <c r="EC189" s="4">
        <v>91.980360000000005</v>
      </c>
      <c r="ED189" s="4">
        <v>2248</v>
      </c>
      <c r="EE189" s="4">
        <v>2248</v>
      </c>
      <c r="EF189" s="4">
        <v>84.001637000000002</v>
      </c>
      <c r="EG189" s="4">
        <v>47.790506999999998</v>
      </c>
      <c r="EH189" s="4">
        <v>84.001637000000002</v>
      </c>
      <c r="EI189" s="4">
        <v>47.790506999999998</v>
      </c>
      <c r="EJ189" s="4">
        <v>84.001637000000002</v>
      </c>
      <c r="EK189" s="4">
        <v>47.790506999999998</v>
      </c>
      <c r="EL189" s="4">
        <v>2053</v>
      </c>
      <c r="EM189" s="4">
        <v>1168</v>
      </c>
      <c r="EN189" s="4">
        <v>2053</v>
      </c>
      <c r="EO189" s="4">
        <v>1168</v>
      </c>
      <c r="EP189" s="4">
        <v>2444</v>
      </c>
      <c r="EQ189" s="4">
        <v>2444</v>
      </c>
      <c r="ER189" s="4">
        <v>80.796706999999998</v>
      </c>
    </row>
    <row r="190" spans="1:148" x14ac:dyDescent="0.2">
      <c r="A190" s="1">
        <v>2022</v>
      </c>
      <c r="B190" s="1" t="str">
        <f t="shared" si="4"/>
        <v>NE</v>
      </c>
      <c r="C190" s="1" t="s">
        <v>1027</v>
      </c>
      <c r="D190" s="1" t="s">
        <v>1027</v>
      </c>
      <c r="E190" s="1">
        <v>25286</v>
      </c>
      <c r="F190" s="1" t="s">
        <v>2115</v>
      </c>
      <c r="G190" s="1" t="s">
        <v>1020</v>
      </c>
      <c r="H190" s="1" t="s">
        <v>1021</v>
      </c>
      <c r="I190" s="1">
        <v>34.049999999999997</v>
      </c>
      <c r="J190" s="1">
        <v>34.049999999999997</v>
      </c>
      <c r="K190" s="1" t="s">
        <v>1022</v>
      </c>
      <c r="L190" s="1">
        <v>1</v>
      </c>
      <c r="M190" s="1">
        <v>2017</v>
      </c>
      <c r="N190" s="1">
        <v>3</v>
      </c>
      <c r="O190" s="1">
        <v>1</v>
      </c>
      <c r="P190" s="1" t="str">
        <f t="shared" si="5"/>
        <v>Alto fuste</v>
      </c>
      <c r="Q190" s="2">
        <v>42786</v>
      </c>
      <c r="R190" s="1" t="s">
        <v>169</v>
      </c>
      <c r="S190" s="1" t="s">
        <v>651</v>
      </c>
      <c r="T190" s="1" t="s">
        <v>2268</v>
      </c>
      <c r="U190" s="1" t="s">
        <v>1022</v>
      </c>
      <c r="V190" s="1" t="s">
        <v>152</v>
      </c>
      <c r="W190" s="2">
        <v>44797</v>
      </c>
      <c r="X190" s="1" t="s">
        <v>1023</v>
      </c>
      <c r="Y190" s="1">
        <v>159.38</v>
      </c>
      <c r="Z190" s="1">
        <v>20.3</v>
      </c>
      <c r="AA190" s="1">
        <v>27</v>
      </c>
      <c r="AB190" s="1">
        <v>15</v>
      </c>
      <c r="AC190" s="1">
        <v>4</v>
      </c>
      <c r="AD190" s="3">
        <v>304.5</v>
      </c>
      <c r="AE190" s="3">
        <v>270.65058547003099</v>
      </c>
      <c r="AF190" s="2">
        <v>44797</v>
      </c>
      <c r="AG190" s="1">
        <v>66</v>
      </c>
      <c r="AH190" s="3">
        <v>5.5058179329226604</v>
      </c>
      <c r="AI190" s="4">
        <v>27.322297022494698</v>
      </c>
      <c r="AJ190" s="4">
        <v>19.0461538461538</v>
      </c>
      <c r="AK190" s="4">
        <v>28.312461592388001</v>
      </c>
      <c r="AL190" s="1">
        <v>26</v>
      </c>
      <c r="AM190" s="5">
        <v>960.64820827365304</v>
      </c>
      <c r="AN190" s="4">
        <v>340.73528239941601</v>
      </c>
      <c r="AO190" s="4">
        <v>0.35469309104499303</v>
      </c>
      <c r="AP190" s="1" t="s">
        <v>651</v>
      </c>
      <c r="AQ190" s="1" t="s">
        <v>156</v>
      </c>
      <c r="AR190" s="1" t="s">
        <v>1026</v>
      </c>
      <c r="AS190" s="1">
        <v>9</v>
      </c>
      <c r="AT190" s="4">
        <v>0.86458338744628771</v>
      </c>
      <c r="AU190" s="1" t="s">
        <v>1028</v>
      </c>
      <c r="AV190" s="1" t="s">
        <v>1029</v>
      </c>
      <c r="AW190" s="1">
        <v>2880</v>
      </c>
      <c r="AX190" s="1">
        <v>2880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4">
        <v>-0.30599999999999999</v>
      </c>
      <c r="BI190" s="4">
        <v>33.441001999999997</v>
      </c>
      <c r="BJ190" s="4">
        <v>27.36993</v>
      </c>
      <c r="BK190" s="4">
        <v>29.155667999999999</v>
      </c>
      <c r="BL190" s="4">
        <v>7.2722800000000003</v>
      </c>
      <c r="BM190" s="4">
        <v>52.886054000000001</v>
      </c>
      <c r="BN190" s="4">
        <v>0.26570300000000002</v>
      </c>
      <c r="BO190" s="4">
        <v>3.2749999999999999</v>
      </c>
      <c r="BP190" s="4">
        <v>-3.0211600000000001</v>
      </c>
      <c r="BQ190" s="4">
        <v>11.274290000000001</v>
      </c>
      <c r="BR190" s="4">
        <v>4.0001740000000003</v>
      </c>
      <c r="BS190" s="4">
        <v>1.6304989999999999</v>
      </c>
      <c r="BT190" s="4">
        <v>1.6559999999999999</v>
      </c>
      <c r="BU190" s="4">
        <v>27.36993</v>
      </c>
      <c r="BV190" s="4">
        <v>2.7906650000000002</v>
      </c>
      <c r="BW190" s="4">
        <v>-1.440472</v>
      </c>
      <c r="BX190" s="4">
        <v>1.1209979999999999</v>
      </c>
      <c r="BY190" s="4">
        <v>0.101961</v>
      </c>
      <c r="BZ190" s="4">
        <v>-0.51617500000000005</v>
      </c>
      <c r="CA190" s="4">
        <v>0.401696</v>
      </c>
      <c r="CB190" s="4">
        <v>-8.2210000000000005E-2</v>
      </c>
      <c r="CC190" s="4">
        <v>0.51580000000000004</v>
      </c>
      <c r="CD190" s="4">
        <v>25.029399999999999</v>
      </c>
      <c r="CE190" s="4">
        <v>27.1388</v>
      </c>
      <c r="CF190" s="4">
        <v>27.559000000000001</v>
      </c>
      <c r="CG190" s="4">
        <v>27.9527</v>
      </c>
      <c r="CH190" s="4">
        <v>28.541799999999999</v>
      </c>
      <c r="CI190" s="4">
        <v>29.262501</v>
      </c>
      <c r="CJ190" s="4">
        <v>29.832001000000002</v>
      </c>
      <c r="CK190" s="4">
        <v>30.522600000000001</v>
      </c>
      <c r="CL190" s="4">
        <v>30.834</v>
      </c>
      <c r="CM190" s="4">
        <v>31.147200000000002</v>
      </c>
      <c r="CN190" s="4">
        <v>31.725100000000001</v>
      </c>
      <c r="CO190" s="4">
        <v>32.133400000000002</v>
      </c>
      <c r="CP190" s="4">
        <v>32.746628000000001</v>
      </c>
      <c r="CQ190" s="4">
        <v>0.82010000000000005</v>
      </c>
      <c r="CR190" s="4">
        <v>28.319265000000001</v>
      </c>
      <c r="CS190" s="4">
        <v>28.717252999999999</v>
      </c>
      <c r="CT190" s="1">
        <v>1</v>
      </c>
      <c r="CU190" s="1">
        <v>57</v>
      </c>
      <c r="CV190" s="4">
        <v>22.925346999999999</v>
      </c>
      <c r="CW190" s="4">
        <v>25.888888999999999</v>
      </c>
      <c r="CX190" s="4">
        <v>9.7821879999999997</v>
      </c>
      <c r="CY190" s="4">
        <v>95.691194999999993</v>
      </c>
      <c r="CZ190" s="4">
        <v>0.42669699999999999</v>
      </c>
      <c r="DA190" s="4">
        <v>13</v>
      </c>
      <c r="DB190" s="4">
        <v>-0.28687400000000002</v>
      </c>
      <c r="DC190" s="4">
        <v>2.7237010000000001</v>
      </c>
      <c r="DD190" s="4">
        <v>7.8484030000000002</v>
      </c>
      <c r="DE190" s="4">
        <v>22.925346999999999</v>
      </c>
      <c r="DF190" s="4">
        <v>5.5055490000000002</v>
      </c>
      <c r="DG190" s="4">
        <v>-0.46039099999999999</v>
      </c>
      <c r="DH190" s="4">
        <v>0.64992499999999997</v>
      </c>
      <c r="DI190" s="4">
        <v>0.240151</v>
      </c>
      <c r="DJ190" s="4">
        <v>-8.3623000000000003E-2</v>
      </c>
      <c r="DK190" s="4">
        <v>0.118049</v>
      </c>
      <c r="DL190" s="4">
        <v>1</v>
      </c>
      <c r="DM190" s="4">
        <v>5</v>
      </c>
      <c r="DN190" s="4">
        <v>8</v>
      </c>
      <c r="DO190" s="4">
        <v>14</v>
      </c>
      <c r="DP190" s="4">
        <v>17</v>
      </c>
      <c r="DQ190" s="4">
        <v>19</v>
      </c>
      <c r="DR190" s="4">
        <v>22</v>
      </c>
      <c r="DS190" s="4">
        <v>24</v>
      </c>
      <c r="DT190" s="4">
        <v>26</v>
      </c>
      <c r="DU190" s="4">
        <v>29</v>
      </c>
      <c r="DV190" s="4">
        <v>30</v>
      </c>
      <c r="DW190" s="4">
        <v>31</v>
      </c>
      <c r="DX190" s="4">
        <v>34</v>
      </c>
      <c r="DY190" s="4">
        <v>38</v>
      </c>
      <c r="DZ190" s="4">
        <v>44</v>
      </c>
      <c r="EA190" s="4">
        <v>94.652777999999998</v>
      </c>
      <c r="EB190" s="4">
        <v>94.652777999999998</v>
      </c>
      <c r="EC190" s="4">
        <v>94.652777999999998</v>
      </c>
      <c r="ED190" s="4">
        <v>2726</v>
      </c>
      <c r="EE190" s="4">
        <v>2726</v>
      </c>
      <c r="EF190" s="4">
        <v>76.944444000000004</v>
      </c>
      <c r="EG190" s="4">
        <v>51.770833000000003</v>
      </c>
      <c r="EH190" s="4">
        <v>76.944444000000004</v>
      </c>
      <c r="EI190" s="4">
        <v>51.770833000000003</v>
      </c>
      <c r="EJ190" s="4">
        <v>76.944444000000004</v>
      </c>
      <c r="EK190" s="4">
        <v>51.770833000000003</v>
      </c>
      <c r="EL190" s="4">
        <v>2216</v>
      </c>
      <c r="EM190" s="4">
        <v>1491</v>
      </c>
      <c r="EN190" s="4">
        <v>2216</v>
      </c>
      <c r="EO190" s="4">
        <v>1491</v>
      </c>
      <c r="EP190" s="4">
        <v>2880</v>
      </c>
      <c r="EQ190" s="4">
        <v>2880</v>
      </c>
      <c r="ER190" s="4">
        <v>82.535000999999994</v>
      </c>
    </row>
    <row r="191" spans="1:148" x14ac:dyDescent="0.2">
      <c r="A191" s="1">
        <v>2022</v>
      </c>
      <c r="B191" s="1" t="str">
        <f t="shared" si="4"/>
        <v>NE</v>
      </c>
      <c r="C191" s="1" t="s">
        <v>1030</v>
      </c>
      <c r="D191" s="1" t="s">
        <v>1030</v>
      </c>
      <c r="E191" s="1">
        <v>25287</v>
      </c>
      <c r="F191" s="1" t="s">
        <v>2115</v>
      </c>
      <c r="G191" s="1" t="s">
        <v>1020</v>
      </c>
      <c r="H191" s="1" t="s">
        <v>1031</v>
      </c>
      <c r="I191" s="1">
        <v>35.47</v>
      </c>
      <c r="J191" s="1">
        <v>35.47</v>
      </c>
      <c r="K191" s="1" t="s">
        <v>1022</v>
      </c>
      <c r="L191" s="1">
        <v>1</v>
      </c>
      <c r="M191" s="1">
        <v>2017</v>
      </c>
      <c r="N191" s="1">
        <v>3</v>
      </c>
      <c r="O191" s="1">
        <v>1</v>
      </c>
      <c r="P191" s="1" t="str">
        <f t="shared" si="5"/>
        <v>Alto fuste</v>
      </c>
      <c r="Q191" s="2">
        <v>42774</v>
      </c>
      <c r="R191" s="1" t="s">
        <v>169</v>
      </c>
      <c r="S191" s="1" t="s">
        <v>299</v>
      </c>
      <c r="T191" s="1" t="s">
        <v>2268</v>
      </c>
      <c r="U191" s="1" t="s">
        <v>1022</v>
      </c>
      <c r="V191" s="1" t="s">
        <v>152</v>
      </c>
      <c r="W191" s="2">
        <v>44797</v>
      </c>
      <c r="X191" s="1" t="s">
        <v>1023</v>
      </c>
      <c r="Y191" s="1">
        <v>159.38</v>
      </c>
      <c r="Z191" s="1">
        <v>20.3</v>
      </c>
      <c r="AA191" s="1">
        <v>27</v>
      </c>
      <c r="AB191" s="1">
        <v>15</v>
      </c>
      <c r="AC191" s="1">
        <v>4</v>
      </c>
      <c r="AD191" s="3">
        <v>304.5</v>
      </c>
      <c r="AE191" s="3">
        <v>270.65058547003099</v>
      </c>
      <c r="AF191" s="2">
        <v>44797</v>
      </c>
      <c r="AG191" s="1">
        <v>66</v>
      </c>
      <c r="AH191" s="3">
        <v>5.5386721423682399</v>
      </c>
      <c r="AI191" s="4">
        <v>28.012322637208499</v>
      </c>
      <c r="AJ191" s="4">
        <v>16.602941176470601</v>
      </c>
      <c r="AK191" s="4">
        <v>27.8724480475265</v>
      </c>
      <c r="AL191" s="1">
        <v>34</v>
      </c>
      <c r="AM191" s="5">
        <v>1256.23227235785</v>
      </c>
      <c r="AN191" s="4">
        <v>347.62490792886001</v>
      </c>
      <c r="AO191" s="4">
        <v>0.27672024957326902</v>
      </c>
      <c r="AP191" s="1" t="s">
        <v>299</v>
      </c>
      <c r="AQ191" s="1" t="s">
        <v>156</v>
      </c>
      <c r="AR191" s="1" t="s">
        <v>164</v>
      </c>
      <c r="AS191" s="1">
        <v>9</v>
      </c>
      <c r="AT191" s="4">
        <v>1.1306090451220649</v>
      </c>
      <c r="AU191" s="1" t="s">
        <v>1032</v>
      </c>
      <c r="AV191" s="1" t="s">
        <v>1033</v>
      </c>
      <c r="AW191" s="1">
        <v>3238</v>
      </c>
      <c r="AX191" s="1">
        <v>3238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0</v>
      </c>
      <c r="BG191" s="1">
        <v>0</v>
      </c>
      <c r="BH191" s="4">
        <v>-0.30599999999999999</v>
      </c>
      <c r="BI191" s="4">
        <v>30.802</v>
      </c>
      <c r="BJ191" s="4">
        <v>24.795898999999999</v>
      </c>
      <c r="BK191" s="4">
        <v>26.358000000000001</v>
      </c>
      <c r="BL191" s="4">
        <v>7.0959849999999998</v>
      </c>
      <c r="BM191" s="4">
        <v>50.353009</v>
      </c>
      <c r="BN191" s="4">
        <v>0.28617599999999999</v>
      </c>
      <c r="BO191" s="4">
        <v>2.2705000000000002</v>
      </c>
      <c r="BP191" s="4">
        <v>-2.8516119999999998</v>
      </c>
      <c r="BQ191" s="4">
        <v>9.9243819999999996</v>
      </c>
      <c r="BR191" s="4">
        <v>3.9986410000000001</v>
      </c>
      <c r="BS191" s="4">
        <v>1.1305000000000001</v>
      </c>
      <c r="BT191" s="4">
        <v>1.153</v>
      </c>
      <c r="BU191" s="4">
        <v>24.795898999999999</v>
      </c>
      <c r="BV191" s="4">
        <v>2.666506</v>
      </c>
      <c r="BW191" s="4">
        <v>-1.4526129999999999</v>
      </c>
      <c r="BX191" s="4">
        <v>1.174912</v>
      </c>
      <c r="BY191" s="4">
        <v>0.10753799999999999</v>
      </c>
      <c r="BZ191" s="4">
        <v>-0.544763</v>
      </c>
      <c r="CA191" s="4">
        <v>0.44061899999999998</v>
      </c>
      <c r="CB191" s="4">
        <v>-8.0629999999999993E-2</v>
      </c>
      <c r="CC191" s="4">
        <v>8.4000000000000005E-2</v>
      </c>
      <c r="CD191" s="4">
        <v>21.701218000000001</v>
      </c>
      <c r="CE191" s="4">
        <v>25.310199999999998</v>
      </c>
      <c r="CF191" s="4">
        <v>25.580749999999998</v>
      </c>
      <c r="CG191" s="4">
        <v>25.812000000000001</v>
      </c>
      <c r="CH191" s="4">
        <v>26.294001000000002</v>
      </c>
      <c r="CI191" s="4">
        <v>26.679001</v>
      </c>
      <c r="CJ191" s="4">
        <v>27.062601000000001</v>
      </c>
      <c r="CK191" s="4">
        <v>27.599701</v>
      </c>
      <c r="CL191" s="4">
        <v>27.85125</v>
      </c>
      <c r="CM191" s="4">
        <v>28.134599999999999</v>
      </c>
      <c r="CN191" s="4">
        <v>28.863299999999999</v>
      </c>
      <c r="CO191" s="4">
        <v>29.341598999999999</v>
      </c>
      <c r="CP191" s="4">
        <v>30.277038999999998</v>
      </c>
      <c r="CQ191" s="4">
        <v>0.80692699999999995</v>
      </c>
      <c r="CR191" s="4">
        <v>25.790969</v>
      </c>
      <c r="CS191" s="4">
        <v>26.193487000000001</v>
      </c>
      <c r="CT191" s="1">
        <v>1</v>
      </c>
      <c r="CU191" s="1">
        <v>45</v>
      </c>
      <c r="CV191" s="4">
        <v>14.941322</v>
      </c>
      <c r="CW191" s="4">
        <v>12.873016</v>
      </c>
      <c r="CX191" s="4">
        <v>7.331188</v>
      </c>
      <c r="CY191" s="4">
        <v>53.746324000000001</v>
      </c>
      <c r="CZ191" s="4">
        <v>0.49066500000000002</v>
      </c>
      <c r="DA191" s="4">
        <v>10</v>
      </c>
      <c r="DB191" s="4">
        <v>0.350165</v>
      </c>
      <c r="DC191" s="4">
        <v>3.070179</v>
      </c>
      <c r="DD191" s="4">
        <v>5.8465990000000003</v>
      </c>
      <c r="DE191" s="4">
        <v>14.941322</v>
      </c>
      <c r="DF191" s="4">
        <v>4.1317380000000004</v>
      </c>
      <c r="DG191" s="4">
        <v>0.204258</v>
      </c>
      <c r="DH191" s="4">
        <v>0.475883</v>
      </c>
      <c r="DI191" s="4">
        <v>0.27653100000000003</v>
      </c>
      <c r="DJ191" s="4">
        <v>4.9436000000000001E-2</v>
      </c>
      <c r="DK191" s="4">
        <v>0.115178</v>
      </c>
      <c r="DL191" s="4">
        <v>1</v>
      </c>
      <c r="DM191" s="4">
        <v>3</v>
      </c>
      <c r="DN191" s="4">
        <v>5.7000120000000001</v>
      </c>
      <c r="DO191" s="4">
        <v>8</v>
      </c>
      <c r="DP191" s="4">
        <v>10</v>
      </c>
      <c r="DQ191" s="4">
        <v>11</v>
      </c>
      <c r="DR191" s="4">
        <v>13</v>
      </c>
      <c r="DS191" s="4">
        <v>15</v>
      </c>
      <c r="DT191" s="4">
        <v>16</v>
      </c>
      <c r="DU191" s="4">
        <v>18</v>
      </c>
      <c r="DV191" s="4">
        <v>20</v>
      </c>
      <c r="DW191" s="4">
        <v>21</v>
      </c>
      <c r="DX191" s="4">
        <v>25</v>
      </c>
      <c r="DY191" s="4">
        <v>27</v>
      </c>
      <c r="DZ191" s="4">
        <v>34</v>
      </c>
      <c r="EA191" s="4">
        <v>93.668931000000001</v>
      </c>
      <c r="EB191" s="4">
        <v>93.668931000000001</v>
      </c>
      <c r="EC191" s="4">
        <v>93.668931000000001</v>
      </c>
      <c r="ED191" s="4">
        <v>3033</v>
      </c>
      <c r="EE191" s="4">
        <v>3033</v>
      </c>
      <c r="EF191" s="4">
        <v>85.948115999999999</v>
      </c>
      <c r="EG191" s="4">
        <v>58.647312999999997</v>
      </c>
      <c r="EH191" s="4">
        <v>85.948115999999999</v>
      </c>
      <c r="EI191" s="4">
        <v>58.647312999999997</v>
      </c>
      <c r="EJ191" s="4">
        <v>85.948115999999999</v>
      </c>
      <c r="EK191" s="4">
        <v>58.647312999999997</v>
      </c>
      <c r="EL191" s="4">
        <v>2783</v>
      </c>
      <c r="EM191" s="4">
        <v>1899</v>
      </c>
      <c r="EN191" s="4">
        <v>2783</v>
      </c>
      <c r="EO191" s="4">
        <v>1899</v>
      </c>
      <c r="EP191" s="4">
        <v>3238</v>
      </c>
      <c r="EQ191" s="4">
        <v>3238</v>
      </c>
      <c r="ER191" s="4">
        <v>80.893232999999995</v>
      </c>
    </row>
    <row r="192" spans="1:148" x14ac:dyDescent="0.2">
      <c r="A192" s="1">
        <v>2022</v>
      </c>
      <c r="B192" s="1" t="str">
        <f t="shared" si="4"/>
        <v>NE</v>
      </c>
      <c r="C192" s="1" t="s">
        <v>1034</v>
      </c>
      <c r="D192" s="1" t="s">
        <v>1034</v>
      </c>
      <c r="E192" s="1">
        <v>25308</v>
      </c>
      <c r="F192" s="1" t="s">
        <v>2116</v>
      </c>
      <c r="G192" s="1" t="s">
        <v>1035</v>
      </c>
      <c r="H192" s="1" t="s">
        <v>1036</v>
      </c>
      <c r="I192" s="1">
        <v>38.01</v>
      </c>
      <c r="J192" s="1">
        <v>38.01</v>
      </c>
      <c r="K192" s="1" t="s">
        <v>1022</v>
      </c>
      <c r="L192" s="1">
        <v>1</v>
      </c>
      <c r="M192" s="1">
        <v>2017</v>
      </c>
      <c r="N192" s="1">
        <v>3</v>
      </c>
      <c r="O192" s="1">
        <v>2</v>
      </c>
      <c r="P192" s="1" t="str">
        <f t="shared" si="5"/>
        <v>Talhadia</v>
      </c>
      <c r="Q192" s="2">
        <v>42782</v>
      </c>
      <c r="R192" s="1" t="s">
        <v>169</v>
      </c>
      <c r="S192" s="1" t="s">
        <v>193</v>
      </c>
      <c r="T192" s="1" t="s">
        <v>2268</v>
      </c>
      <c r="U192" s="1" t="s">
        <v>1022</v>
      </c>
      <c r="V192" s="1" t="s">
        <v>152</v>
      </c>
      <c r="W192" s="2">
        <v>44825</v>
      </c>
      <c r="X192" s="1" t="s">
        <v>1037</v>
      </c>
      <c r="Y192" s="1">
        <v>153.02000000000001</v>
      </c>
      <c r="Z192" s="1">
        <v>21.5</v>
      </c>
      <c r="AA192" s="1">
        <v>13</v>
      </c>
      <c r="AB192" s="1">
        <v>15.8</v>
      </c>
      <c r="AC192" s="1">
        <v>2</v>
      </c>
      <c r="AD192" s="3">
        <v>339.7</v>
      </c>
      <c r="AE192" s="3">
        <v>330.79187870378399</v>
      </c>
      <c r="AF192" s="2">
        <v>44825</v>
      </c>
      <c r="AG192" s="1">
        <v>67</v>
      </c>
      <c r="AH192" s="3">
        <v>5.5934291581108804</v>
      </c>
      <c r="AI192" s="4">
        <v>19.7381236836978</v>
      </c>
      <c r="AJ192" s="4">
        <v>14.4029411764706</v>
      </c>
      <c r="AK192" s="4">
        <v>17.981904490663801</v>
      </c>
      <c r="AL192" s="1">
        <v>34</v>
      </c>
      <c r="AM192" s="5">
        <v>1027.8366002584401</v>
      </c>
      <c r="AN192" s="4">
        <v>169.45952565061501</v>
      </c>
      <c r="AO192" s="4">
        <v>0.16487010251240899</v>
      </c>
      <c r="AP192" s="1" t="s">
        <v>193</v>
      </c>
      <c r="AQ192" s="1" t="s">
        <v>254</v>
      </c>
      <c r="AR192" s="1" t="s">
        <v>1040</v>
      </c>
      <c r="AS192" s="1">
        <v>9</v>
      </c>
      <c r="AT192" s="4">
        <v>0.9250529402325961</v>
      </c>
      <c r="AU192" s="1" t="s">
        <v>1038</v>
      </c>
      <c r="AV192" s="1" t="s">
        <v>1039</v>
      </c>
      <c r="AW192" s="1">
        <v>10324</v>
      </c>
      <c r="AX192" s="1">
        <v>4828</v>
      </c>
      <c r="AY192" s="1">
        <v>3944</v>
      </c>
      <c r="AZ192" s="1">
        <v>1394</v>
      </c>
      <c r="BA192" s="1">
        <v>158</v>
      </c>
      <c r="BB192" s="1">
        <v>0</v>
      </c>
      <c r="BC192" s="1">
        <v>0</v>
      </c>
      <c r="BD192" s="1">
        <v>0</v>
      </c>
      <c r="BE192" s="1">
        <v>0</v>
      </c>
      <c r="BF192" s="1">
        <v>0</v>
      </c>
      <c r="BG192" s="1">
        <v>0</v>
      </c>
      <c r="BH192" s="4">
        <v>-0.79100000000000004</v>
      </c>
      <c r="BI192" s="4">
        <v>26.023001000000001</v>
      </c>
      <c r="BJ192" s="4">
        <v>11.253216</v>
      </c>
      <c r="BK192" s="4">
        <v>-0.36538100000000001</v>
      </c>
      <c r="BL192" s="4">
        <v>9.8022530000000003</v>
      </c>
      <c r="BM192" s="4">
        <v>96.084158000000002</v>
      </c>
      <c r="BN192" s="4">
        <v>0.871062</v>
      </c>
      <c r="BO192" s="4">
        <v>21.2715</v>
      </c>
      <c r="BP192" s="4">
        <v>-3.9819E-2</v>
      </c>
      <c r="BQ192" s="4">
        <v>1.2991459999999999</v>
      </c>
      <c r="BR192" s="4">
        <v>9.0372900000000005</v>
      </c>
      <c r="BS192" s="4">
        <v>11.079000000000001</v>
      </c>
      <c r="BT192" s="4">
        <v>12.191381</v>
      </c>
      <c r="BU192" s="4">
        <v>11.253216</v>
      </c>
      <c r="BV192" s="4">
        <v>5.4421650000000001</v>
      </c>
      <c r="BW192" s="4">
        <v>0.113563</v>
      </c>
      <c r="BX192" s="4">
        <v>-0.83982800000000002</v>
      </c>
      <c r="BY192" s="4">
        <v>0.48360999999999998</v>
      </c>
      <c r="BZ192" s="4">
        <v>2.0867E-2</v>
      </c>
      <c r="CA192" s="4">
        <v>-0.15431900000000001</v>
      </c>
      <c r="CB192" s="4">
        <v>-0.31777</v>
      </c>
      <c r="CC192" s="4">
        <v>-0.127</v>
      </c>
      <c r="CD192" s="4">
        <v>-6.4000000000000001E-2</v>
      </c>
      <c r="CE192" s="4">
        <v>2.1000000000000001E-2</v>
      </c>
      <c r="CF192" s="4">
        <v>6.0999999999999999E-2</v>
      </c>
      <c r="CG192" s="4">
        <v>0.111</v>
      </c>
      <c r="CH192" s="4">
        <v>6.4990059999999996</v>
      </c>
      <c r="CI192" s="4">
        <v>11.826000000000001</v>
      </c>
      <c r="CJ192" s="4">
        <v>16.722798999999998</v>
      </c>
      <c r="CK192" s="4">
        <v>20.562000000000001</v>
      </c>
      <c r="CL192" s="4">
        <v>21.3325</v>
      </c>
      <c r="CM192" s="4">
        <v>21.989401000000001</v>
      </c>
      <c r="CN192" s="4">
        <v>23.114000000000001</v>
      </c>
      <c r="CO192" s="4">
        <v>23.915400000000002</v>
      </c>
      <c r="CP192" s="4">
        <v>25.093769000000002</v>
      </c>
      <c r="CQ192" s="4">
        <v>0.44917600000000002</v>
      </c>
      <c r="CR192" s="4">
        <v>14.923462000000001</v>
      </c>
      <c r="CS192" s="4">
        <v>16.668310000000002</v>
      </c>
      <c r="CT192" s="1">
        <v>1</v>
      </c>
      <c r="CU192" s="1">
        <v>78</v>
      </c>
      <c r="CV192" s="4">
        <v>19.777121000000001</v>
      </c>
      <c r="CW192" s="4">
        <v>5.8888889999999998</v>
      </c>
      <c r="CX192" s="4">
        <v>13.501526</v>
      </c>
      <c r="CY192" s="4">
        <v>182.29121000000001</v>
      </c>
      <c r="CZ192" s="4">
        <v>0.68268399999999996</v>
      </c>
      <c r="DA192" s="4">
        <v>21</v>
      </c>
      <c r="DB192" s="4">
        <v>0.71511199999999997</v>
      </c>
      <c r="DC192" s="4">
        <v>3.147329</v>
      </c>
      <c r="DD192" s="4">
        <v>11.194808999999999</v>
      </c>
      <c r="DE192" s="4">
        <v>19.777121000000001</v>
      </c>
      <c r="DF192" s="4">
        <v>7.5565519999999999</v>
      </c>
      <c r="DG192" s="4">
        <v>1.0967739999999999</v>
      </c>
      <c r="DH192" s="4">
        <v>0.44392599999999999</v>
      </c>
      <c r="DI192" s="4">
        <v>0.38208599999999998</v>
      </c>
      <c r="DJ192" s="4">
        <v>0.14514199999999999</v>
      </c>
      <c r="DK192" s="4">
        <v>5.8747000000000001E-2</v>
      </c>
      <c r="DL192" s="4">
        <v>1</v>
      </c>
      <c r="DM192" s="4">
        <v>2</v>
      </c>
      <c r="DN192" s="4">
        <v>4</v>
      </c>
      <c r="DO192" s="4">
        <v>7</v>
      </c>
      <c r="DP192" s="4">
        <v>9</v>
      </c>
      <c r="DQ192" s="4">
        <v>10</v>
      </c>
      <c r="DR192" s="4">
        <v>14</v>
      </c>
      <c r="DS192" s="4">
        <v>18</v>
      </c>
      <c r="DT192" s="4">
        <v>22</v>
      </c>
      <c r="DU192" s="4">
        <v>27</v>
      </c>
      <c r="DV192" s="4">
        <v>30</v>
      </c>
      <c r="DW192" s="4">
        <v>32</v>
      </c>
      <c r="DX192" s="4">
        <v>38</v>
      </c>
      <c r="DY192" s="4">
        <v>43</v>
      </c>
      <c r="DZ192" s="4">
        <v>58</v>
      </c>
      <c r="EA192" s="4">
        <v>97.348799</v>
      </c>
      <c r="EB192" s="4">
        <v>61.487794999999998</v>
      </c>
      <c r="EC192" s="4">
        <v>131.48301599999999</v>
      </c>
      <c r="ED192" s="4">
        <v>4700</v>
      </c>
      <c r="EE192" s="4">
        <v>6348</v>
      </c>
      <c r="EF192" s="4">
        <v>93.496272000000005</v>
      </c>
      <c r="EG192" s="4">
        <v>100</v>
      </c>
      <c r="EH192" s="4">
        <v>52.402169999999998</v>
      </c>
      <c r="EI192" s="4">
        <v>99.341341</v>
      </c>
      <c r="EJ192" s="4">
        <v>112.054681</v>
      </c>
      <c r="EK192" s="4">
        <v>212.42750599999999</v>
      </c>
      <c r="EL192" s="4">
        <v>4514</v>
      </c>
      <c r="EM192" s="4">
        <v>4828</v>
      </c>
      <c r="EN192" s="4">
        <v>5410</v>
      </c>
      <c r="EO192" s="4">
        <v>10256</v>
      </c>
      <c r="EP192" s="4">
        <v>4828</v>
      </c>
      <c r="EQ192" s="4">
        <v>10324</v>
      </c>
      <c r="ER192" s="4">
        <v>43.899841000000002</v>
      </c>
    </row>
    <row r="193" spans="1:148" x14ac:dyDescent="0.2">
      <c r="A193" s="1">
        <v>2022</v>
      </c>
      <c r="B193" s="1" t="str">
        <f t="shared" si="4"/>
        <v>NE</v>
      </c>
      <c r="C193" s="1" t="s">
        <v>1041</v>
      </c>
      <c r="D193" s="1" t="s">
        <v>1041</v>
      </c>
      <c r="E193" s="1">
        <v>25312</v>
      </c>
      <c r="F193" s="1" t="s">
        <v>2117</v>
      </c>
      <c r="G193" s="1" t="s">
        <v>1035</v>
      </c>
      <c r="H193" s="1" t="s">
        <v>1042</v>
      </c>
      <c r="I193" s="1">
        <v>24.85</v>
      </c>
      <c r="J193" s="1">
        <v>24.85</v>
      </c>
      <c r="K193" s="1" t="s">
        <v>1022</v>
      </c>
      <c r="L193" s="1">
        <v>1</v>
      </c>
      <c r="M193" s="1">
        <v>2017</v>
      </c>
      <c r="N193" s="1">
        <v>4</v>
      </c>
      <c r="O193" s="1">
        <v>1</v>
      </c>
      <c r="P193" s="1" t="str">
        <f t="shared" si="5"/>
        <v>Alto fuste</v>
      </c>
      <c r="Q193" s="2">
        <v>42914</v>
      </c>
      <c r="R193" s="1" t="s">
        <v>169</v>
      </c>
      <c r="S193" s="1" t="s">
        <v>651</v>
      </c>
      <c r="T193" s="1" t="s">
        <v>2268</v>
      </c>
      <c r="U193" s="1" t="s">
        <v>1022</v>
      </c>
      <c r="V193" s="1" t="s">
        <v>152</v>
      </c>
      <c r="W193" s="2">
        <v>44825</v>
      </c>
      <c r="X193" s="1" t="s">
        <v>1037</v>
      </c>
      <c r="Y193" s="1">
        <v>188.55</v>
      </c>
      <c r="Z193" s="1">
        <v>19</v>
      </c>
      <c r="AA193" s="1">
        <v>10</v>
      </c>
      <c r="AB193" s="1">
        <v>15.5</v>
      </c>
      <c r="AC193" s="1">
        <v>1</v>
      </c>
      <c r="AD193" s="3">
        <v>294.5</v>
      </c>
      <c r="AE193" s="3">
        <v>289.98171091530298</v>
      </c>
      <c r="AF193" s="2">
        <v>44825</v>
      </c>
      <c r="AG193" s="1">
        <v>63</v>
      </c>
      <c r="AH193" s="3">
        <v>5.2320328542094501</v>
      </c>
      <c r="AI193" s="4">
        <v>23.522526415055399</v>
      </c>
      <c r="AJ193" s="4">
        <v>15.509090909090901</v>
      </c>
      <c r="AK193" s="4">
        <v>22.475883818003499</v>
      </c>
      <c r="AL193" s="1">
        <v>33</v>
      </c>
      <c r="AM193" s="5">
        <v>1138.00280355055</v>
      </c>
      <c r="AN193" s="4">
        <v>238.850372550288</v>
      </c>
      <c r="AO193" s="4">
        <v>0.20988557480269701</v>
      </c>
      <c r="AP193" s="1" t="s">
        <v>651</v>
      </c>
      <c r="AQ193" s="1" t="s">
        <v>156</v>
      </c>
      <c r="AR193" s="1" t="s">
        <v>1045</v>
      </c>
      <c r="AS193" s="1">
        <v>9</v>
      </c>
      <c r="AT193" s="4">
        <v>1.024202523195495</v>
      </c>
      <c r="AU193" s="1" t="s">
        <v>1043</v>
      </c>
      <c r="AV193" s="1" t="s">
        <v>1044</v>
      </c>
      <c r="AW193" s="1">
        <v>3483</v>
      </c>
      <c r="AX193" s="1">
        <v>1926</v>
      </c>
      <c r="AY193" s="1">
        <v>1311</v>
      </c>
      <c r="AZ193" s="1">
        <v>227</v>
      </c>
      <c r="BA193" s="1">
        <v>19</v>
      </c>
      <c r="BB193" s="1">
        <v>0</v>
      </c>
      <c r="BC193" s="1">
        <v>0</v>
      </c>
      <c r="BD193" s="1">
        <v>0</v>
      </c>
      <c r="BE193" s="1">
        <v>0</v>
      </c>
      <c r="BF193" s="1">
        <v>0</v>
      </c>
      <c r="BG193" s="1">
        <v>0</v>
      </c>
      <c r="BH193" s="4">
        <v>-0.71499999999999997</v>
      </c>
      <c r="BI193" s="4">
        <v>28.960999999999999</v>
      </c>
      <c r="BJ193" s="4">
        <v>10.693956</v>
      </c>
      <c r="BK193" s="4">
        <v>-0.243952</v>
      </c>
      <c r="BL193" s="4">
        <v>11.570714000000001</v>
      </c>
      <c r="BM193" s="4">
        <v>133.881415</v>
      </c>
      <c r="BN193" s="4">
        <v>1.0819859999999999</v>
      </c>
      <c r="BO193" s="4">
        <v>24.088000000000001</v>
      </c>
      <c r="BP193" s="4">
        <v>0.29880600000000002</v>
      </c>
      <c r="BQ193" s="4">
        <v>1.2387159999999999</v>
      </c>
      <c r="BR193" s="4">
        <v>11.054311999999999</v>
      </c>
      <c r="BS193" s="4">
        <v>0.97699999999999998</v>
      </c>
      <c r="BT193" s="4">
        <v>0.69395200000000001</v>
      </c>
      <c r="BU193" s="4">
        <v>10.693956</v>
      </c>
      <c r="BV193" s="4">
        <v>6.1532090000000004</v>
      </c>
      <c r="BW193" s="4">
        <v>1.012966</v>
      </c>
      <c r="BX193" s="4">
        <v>-1.075966</v>
      </c>
      <c r="BY193" s="4">
        <v>0.57539099999999999</v>
      </c>
      <c r="BZ193" s="4">
        <v>0.16462399999999999</v>
      </c>
      <c r="CA193" s="4">
        <v>-0.17486299999999999</v>
      </c>
      <c r="CB193" s="4">
        <v>-0.24035999999999999</v>
      </c>
      <c r="CC193" s="4">
        <v>-0.12690000000000001</v>
      </c>
      <c r="CD193" s="4">
        <v>-8.3000000000000004E-2</v>
      </c>
      <c r="CE193" s="4">
        <v>-2.1999999999999999E-2</v>
      </c>
      <c r="CF193" s="4">
        <v>3.0000000000000001E-3</v>
      </c>
      <c r="CG193" s="4">
        <v>0.03</v>
      </c>
      <c r="CH193" s="4">
        <v>0.09</v>
      </c>
      <c r="CI193" s="4">
        <v>0.45</v>
      </c>
      <c r="CJ193" s="4">
        <v>15.803597999999999</v>
      </c>
      <c r="CK193" s="4">
        <v>23.3566</v>
      </c>
      <c r="CL193" s="4">
        <v>24.091000000000001</v>
      </c>
      <c r="CM193" s="4">
        <v>24.697001</v>
      </c>
      <c r="CN193" s="4">
        <v>25.742598999999998</v>
      </c>
      <c r="CO193" s="4">
        <v>26.521398999999999</v>
      </c>
      <c r="CP193" s="4">
        <v>27.794699000000001</v>
      </c>
      <c r="CQ193" s="4">
        <v>0.38445099999999999</v>
      </c>
      <c r="CR193" s="4">
        <v>15.754481</v>
      </c>
      <c r="CS193" s="4">
        <v>18.150634</v>
      </c>
      <c r="CT193" s="1">
        <v>1</v>
      </c>
      <c r="CU193" s="1">
        <v>94</v>
      </c>
      <c r="CV193" s="4">
        <v>31.782945999999999</v>
      </c>
      <c r="CW193" s="4">
        <v>1</v>
      </c>
      <c r="CX193" s="4">
        <v>23.443529000000002</v>
      </c>
      <c r="CY193" s="4">
        <v>549.59905400000002</v>
      </c>
      <c r="CZ193" s="4">
        <v>0.73761299999999996</v>
      </c>
      <c r="DA193" s="4">
        <v>42</v>
      </c>
      <c r="DB193" s="4">
        <v>0.38189499999999998</v>
      </c>
      <c r="DC193" s="4">
        <v>1.8845289999999999</v>
      </c>
      <c r="DD193" s="4">
        <v>20.468108000000001</v>
      </c>
      <c r="DE193" s="4">
        <v>31.782945999999999</v>
      </c>
      <c r="DF193" s="4">
        <v>13.374320000000001</v>
      </c>
      <c r="DG193" s="4">
        <v>1.556047</v>
      </c>
      <c r="DH193" s="4">
        <v>-0.17765300000000001</v>
      </c>
      <c r="DI193" s="4">
        <v>0.42080200000000001</v>
      </c>
      <c r="DJ193" s="4">
        <v>0.116346</v>
      </c>
      <c r="DK193" s="4">
        <v>-1.3283E-2</v>
      </c>
      <c r="DL193" s="4">
        <v>1</v>
      </c>
      <c r="DM193" s="4">
        <v>2</v>
      </c>
      <c r="DN193" s="4">
        <v>3</v>
      </c>
      <c r="DO193" s="4">
        <v>8</v>
      </c>
      <c r="DP193" s="4">
        <v>10</v>
      </c>
      <c r="DQ193" s="4">
        <v>13</v>
      </c>
      <c r="DR193" s="4">
        <v>20</v>
      </c>
      <c r="DS193" s="4">
        <v>28</v>
      </c>
      <c r="DT193" s="4">
        <v>37</v>
      </c>
      <c r="DU193" s="4">
        <v>47</v>
      </c>
      <c r="DV193" s="4">
        <v>52</v>
      </c>
      <c r="DW193" s="4">
        <v>57</v>
      </c>
      <c r="DX193" s="4">
        <v>66</v>
      </c>
      <c r="DY193" s="4">
        <v>71</v>
      </c>
      <c r="DZ193" s="4">
        <v>81</v>
      </c>
      <c r="EA193" s="4">
        <v>77.102804000000006</v>
      </c>
      <c r="EB193" s="4">
        <v>49.899512000000001</v>
      </c>
      <c r="EC193" s="4">
        <v>90.238837000000004</v>
      </c>
      <c r="ED193" s="4">
        <v>1485</v>
      </c>
      <c r="EE193" s="4">
        <v>1738</v>
      </c>
      <c r="EF193" s="4">
        <v>73.779854999999998</v>
      </c>
      <c r="EG193" s="4">
        <v>100</v>
      </c>
      <c r="EH193" s="4">
        <v>44.616709999999998</v>
      </c>
      <c r="EI193" s="4">
        <v>99.023830000000004</v>
      </c>
      <c r="EJ193" s="4">
        <v>80.685357999999994</v>
      </c>
      <c r="EK193" s="4">
        <v>179.075805</v>
      </c>
      <c r="EL193" s="4">
        <v>1421</v>
      </c>
      <c r="EM193" s="4">
        <v>1926</v>
      </c>
      <c r="EN193" s="4">
        <v>1554</v>
      </c>
      <c r="EO193" s="4">
        <v>3449</v>
      </c>
      <c r="EP193" s="4">
        <v>1926</v>
      </c>
      <c r="EQ193" s="4">
        <v>3483</v>
      </c>
      <c r="ER193" s="4">
        <v>37.481389</v>
      </c>
    </row>
    <row r="194" spans="1:148" x14ac:dyDescent="0.2">
      <c r="A194" s="1">
        <v>2022</v>
      </c>
      <c r="B194" s="1" t="str">
        <f t="shared" si="4"/>
        <v>NE</v>
      </c>
      <c r="C194" s="1" t="s">
        <v>1046</v>
      </c>
      <c r="D194" s="1" t="s">
        <v>1046</v>
      </c>
      <c r="E194" s="1">
        <v>25317</v>
      </c>
      <c r="F194" s="1" t="s">
        <v>2117</v>
      </c>
      <c r="G194" s="1" t="s">
        <v>1035</v>
      </c>
      <c r="H194" s="1" t="s">
        <v>1047</v>
      </c>
      <c r="I194" s="1">
        <v>45.63</v>
      </c>
      <c r="J194" s="1">
        <v>45.63</v>
      </c>
      <c r="K194" s="1" t="s">
        <v>1022</v>
      </c>
      <c r="L194" s="1">
        <v>1</v>
      </c>
      <c r="M194" s="1">
        <v>2017</v>
      </c>
      <c r="N194" s="1">
        <v>4</v>
      </c>
      <c r="O194" s="1">
        <v>1</v>
      </c>
      <c r="P194" s="1" t="str">
        <f t="shared" si="5"/>
        <v>Alto fuste</v>
      </c>
      <c r="Q194" s="2">
        <v>42921</v>
      </c>
      <c r="R194" s="1" t="s">
        <v>169</v>
      </c>
      <c r="S194" s="1" t="s">
        <v>299</v>
      </c>
      <c r="T194" s="1" t="s">
        <v>2268</v>
      </c>
      <c r="U194" s="1" t="s">
        <v>1022</v>
      </c>
      <c r="V194" s="1" t="s">
        <v>152</v>
      </c>
      <c r="W194" s="2">
        <v>44824</v>
      </c>
      <c r="X194" s="1" t="s">
        <v>1037</v>
      </c>
      <c r="Y194" s="1">
        <v>188.55</v>
      </c>
      <c r="Z194" s="1">
        <v>20.3</v>
      </c>
      <c r="AA194" s="1">
        <v>17</v>
      </c>
      <c r="AB194" s="1">
        <v>15.4</v>
      </c>
      <c r="AC194" s="1">
        <v>2</v>
      </c>
      <c r="AD194" s="3">
        <v>312.62</v>
      </c>
      <c r="AE194" s="3">
        <v>298.77787445917301</v>
      </c>
      <c r="AF194" s="2">
        <v>44824</v>
      </c>
      <c r="AG194" s="1">
        <v>62</v>
      </c>
      <c r="AH194" s="3">
        <v>5.21013004791239</v>
      </c>
      <c r="AI194" s="4">
        <v>24.786279578160698</v>
      </c>
      <c r="AJ194" s="4">
        <v>16.573076923076901</v>
      </c>
      <c r="AK194" s="4">
        <v>19.285082026984501</v>
      </c>
      <c r="AL194" s="1">
        <v>26</v>
      </c>
      <c r="AM194" s="5">
        <v>870.21169312029394</v>
      </c>
      <c r="AN194" s="4">
        <v>210.7664187577</v>
      </c>
      <c r="AO194" s="4">
        <v>0.242201317706915</v>
      </c>
      <c r="AP194" s="1" t="s">
        <v>299</v>
      </c>
      <c r="AQ194" s="1" t="s">
        <v>156</v>
      </c>
      <c r="AR194" s="1" t="s">
        <v>1050</v>
      </c>
      <c r="AS194" s="1">
        <v>9</v>
      </c>
      <c r="AT194" s="4">
        <v>0.78319052380826459</v>
      </c>
      <c r="AU194" s="1" t="s">
        <v>1048</v>
      </c>
      <c r="AV194" s="1" t="s">
        <v>1049</v>
      </c>
      <c r="AW194" s="1">
        <v>3196</v>
      </c>
      <c r="AX194" s="1">
        <v>1596</v>
      </c>
      <c r="AY194" s="1">
        <v>1313</v>
      </c>
      <c r="AZ194" s="1">
        <v>272</v>
      </c>
      <c r="BA194" s="1">
        <v>15</v>
      </c>
      <c r="BB194" s="1">
        <v>0</v>
      </c>
      <c r="BC194" s="1">
        <v>0</v>
      </c>
      <c r="BD194" s="1">
        <v>0</v>
      </c>
      <c r="BE194" s="1">
        <v>0</v>
      </c>
      <c r="BF194" s="1">
        <v>0</v>
      </c>
      <c r="BG194" s="1">
        <v>0</v>
      </c>
      <c r="BH194" s="4">
        <v>-0.77300000000000002</v>
      </c>
      <c r="BI194" s="4">
        <v>29.537001</v>
      </c>
      <c r="BJ194" s="4">
        <v>13.529244</v>
      </c>
      <c r="BK194" s="4">
        <v>-0.29188900000000001</v>
      </c>
      <c r="BL194" s="4">
        <v>12.308293000000001</v>
      </c>
      <c r="BM194" s="4">
        <v>151.49407500000001</v>
      </c>
      <c r="BN194" s="4">
        <v>0.90975499999999998</v>
      </c>
      <c r="BO194" s="4">
        <v>26.034251000000001</v>
      </c>
      <c r="BP194" s="4">
        <v>-5.0106999999999999E-2</v>
      </c>
      <c r="BQ194" s="4">
        <v>1.155383</v>
      </c>
      <c r="BR194" s="4">
        <v>11.773652999999999</v>
      </c>
      <c r="BS194" s="4">
        <v>12.1485</v>
      </c>
      <c r="BT194" s="4">
        <v>15.639389</v>
      </c>
      <c r="BU194" s="4">
        <v>13.529244</v>
      </c>
      <c r="BV194" s="4">
        <v>6.6435089999999999</v>
      </c>
      <c r="BW194" s="4">
        <v>3.2368000000000001E-2</v>
      </c>
      <c r="BX194" s="4">
        <v>-1.3264210000000001</v>
      </c>
      <c r="BY194" s="4">
        <v>0.49104799999999998</v>
      </c>
      <c r="BZ194" s="4">
        <v>4.8719999999999996E-3</v>
      </c>
      <c r="CA194" s="4">
        <v>-0.199657</v>
      </c>
      <c r="CB194" s="4">
        <v>-0.35304999999999997</v>
      </c>
      <c r="CC194" s="4">
        <v>-0.14899999999999999</v>
      </c>
      <c r="CD194" s="4">
        <v>-8.8999999999999996E-2</v>
      </c>
      <c r="CE194" s="4">
        <v>1E-3</v>
      </c>
      <c r="CF194" s="4">
        <v>4.1000000000000002E-2</v>
      </c>
      <c r="CG194" s="4">
        <v>8.3000000000000004E-2</v>
      </c>
      <c r="CH194" s="4">
        <v>0.245</v>
      </c>
      <c r="CI194" s="4">
        <v>15.3475</v>
      </c>
      <c r="CJ194" s="4">
        <v>24.492000999999998</v>
      </c>
      <c r="CK194" s="4">
        <v>25.598499</v>
      </c>
      <c r="CL194" s="4">
        <v>26.075251000000002</v>
      </c>
      <c r="CM194" s="4">
        <v>26.492999999999999</v>
      </c>
      <c r="CN194" s="4">
        <v>27.287497999999999</v>
      </c>
      <c r="CO194" s="4">
        <v>27.999749999999999</v>
      </c>
      <c r="CP194" s="4">
        <v>28.753252</v>
      </c>
      <c r="CQ194" s="4">
        <v>0.47186600000000001</v>
      </c>
      <c r="CR194" s="4">
        <v>18.288989000000001</v>
      </c>
      <c r="CS194" s="4">
        <v>20.43215</v>
      </c>
      <c r="CT194" s="1">
        <v>1</v>
      </c>
      <c r="CU194" s="1">
        <v>82</v>
      </c>
      <c r="CV194" s="4">
        <v>26.08229</v>
      </c>
      <c r="CW194" s="4">
        <v>1</v>
      </c>
      <c r="CX194" s="4">
        <v>17.965828999999999</v>
      </c>
      <c r="CY194" s="4">
        <v>322.771004</v>
      </c>
      <c r="CZ194" s="4">
        <v>0.68881300000000001</v>
      </c>
      <c r="DA194" s="4">
        <v>29</v>
      </c>
      <c r="DB194" s="4">
        <v>0.58427200000000001</v>
      </c>
      <c r="DC194" s="4">
        <v>2.7065920000000001</v>
      </c>
      <c r="DD194" s="4">
        <v>14.976772</v>
      </c>
      <c r="DE194" s="4">
        <v>26.08229</v>
      </c>
      <c r="DF194" s="4">
        <v>10.131169</v>
      </c>
      <c r="DG194" s="4">
        <v>1.2728569999999999</v>
      </c>
      <c r="DH194" s="4">
        <v>0.55232700000000001</v>
      </c>
      <c r="DI194" s="4">
        <v>0.38843100000000003</v>
      </c>
      <c r="DJ194" s="4">
        <v>0.125638</v>
      </c>
      <c r="DK194" s="4">
        <v>5.4517999999999997E-2</v>
      </c>
      <c r="DL194" s="4">
        <v>1</v>
      </c>
      <c r="DM194" s="4">
        <v>2</v>
      </c>
      <c r="DN194" s="4">
        <v>4</v>
      </c>
      <c r="DO194" s="4">
        <v>8</v>
      </c>
      <c r="DP194" s="4">
        <v>10</v>
      </c>
      <c r="DQ194" s="4">
        <v>13</v>
      </c>
      <c r="DR194" s="4">
        <v>18</v>
      </c>
      <c r="DS194" s="4">
        <v>24</v>
      </c>
      <c r="DT194" s="4">
        <v>30</v>
      </c>
      <c r="DU194" s="4">
        <v>36</v>
      </c>
      <c r="DV194" s="4">
        <v>39</v>
      </c>
      <c r="DW194" s="4">
        <v>41</v>
      </c>
      <c r="DX194" s="4">
        <v>49.5</v>
      </c>
      <c r="DY194" s="4">
        <v>60</v>
      </c>
      <c r="DZ194" s="4">
        <v>73.050049000000001</v>
      </c>
      <c r="EA194" s="4">
        <v>94.172932000000003</v>
      </c>
      <c r="EB194" s="4">
        <v>58.166457999999999</v>
      </c>
      <c r="EC194" s="4">
        <v>116.478697</v>
      </c>
      <c r="ED194" s="4">
        <v>1503</v>
      </c>
      <c r="EE194" s="4">
        <v>1859</v>
      </c>
      <c r="EF194" s="4">
        <v>92.794486000000006</v>
      </c>
      <c r="EG194" s="4">
        <v>100</v>
      </c>
      <c r="EH194" s="4">
        <v>52.252816000000003</v>
      </c>
      <c r="EI194" s="4">
        <v>98.623278999999997</v>
      </c>
      <c r="EJ194" s="4">
        <v>104.636591</v>
      </c>
      <c r="EK194" s="4">
        <v>197.49373399999999</v>
      </c>
      <c r="EL194" s="4">
        <v>1481</v>
      </c>
      <c r="EM194" s="4">
        <v>1596</v>
      </c>
      <c r="EN194" s="4">
        <v>1670</v>
      </c>
      <c r="EO194" s="4">
        <v>3152</v>
      </c>
      <c r="EP194" s="4">
        <v>1596</v>
      </c>
      <c r="EQ194" s="4">
        <v>3196</v>
      </c>
      <c r="ER194" s="4">
        <v>46.167608000000001</v>
      </c>
    </row>
    <row r="195" spans="1:148" x14ac:dyDescent="0.2">
      <c r="A195" s="1">
        <v>2022</v>
      </c>
      <c r="B195" s="1" t="str">
        <f t="shared" ref="B195:B258" si="6">LEFT(C195,2)</f>
        <v>NE</v>
      </c>
      <c r="C195" s="1" t="s">
        <v>1051</v>
      </c>
      <c r="D195" s="1" t="s">
        <v>1051</v>
      </c>
      <c r="E195" s="1">
        <v>25318</v>
      </c>
      <c r="F195" s="1" t="s">
        <v>2117</v>
      </c>
      <c r="G195" s="1" t="s">
        <v>1035</v>
      </c>
      <c r="H195" s="1" t="s">
        <v>1047</v>
      </c>
      <c r="I195" s="1">
        <v>45.63</v>
      </c>
      <c r="J195" s="1">
        <v>45.63</v>
      </c>
      <c r="K195" s="1" t="s">
        <v>1022</v>
      </c>
      <c r="L195" s="1">
        <v>1</v>
      </c>
      <c r="M195" s="1">
        <v>2017</v>
      </c>
      <c r="N195" s="1">
        <v>4</v>
      </c>
      <c r="O195" s="1">
        <v>1</v>
      </c>
      <c r="P195" s="1" t="str">
        <f t="shared" ref="P195:P258" si="7">IF(MID(H195,12,1)="R","Talhadia","Alto fuste")</f>
        <v>Alto fuste</v>
      </c>
      <c r="Q195" s="2">
        <v>42921</v>
      </c>
      <c r="R195" s="1" t="s">
        <v>169</v>
      </c>
      <c r="S195" s="1" t="s">
        <v>299</v>
      </c>
      <c r="T195" s="1" t="s">
        <v>2268</v>
      </c>
      <c r="U195" s="1" t="s">
        <v>1022</v>
      </c>
      <c r="V195" s="1" t="s">
        <v>152</v>
      </c>
      <c r="W195" s="2">
        <v>44824</v>
      </c>
      <c r="X195" s="1" t="s">
        <v>1037</v>
      </c>
      <c r="Y195" s="1">
        <v>188.55</v>
      </c>
      <c r="Z195" s="1">
        <v>21.3</v>
      </c>
      <c r="AA195" s="1">
        <v>18</v>
      </c>
      <c r="AB195" s="1">
        <v>15.5</v>
      </c>
      <c r="AC195" s="1">
        <v>2</v>
      </c>
      <c r="AD195" s="3">
        <v>330.15</v>
      </c>
      <c r="AE195" s="3">
        <v>313.80003383325197</v>
      </c>
      <c r="AF195" s="2">
        <v>44824</v>
      </c>
      <c r="AG195" s="1">
        <v>62</v>
      </c>
      <c r="AH195" s="3">
        <v>5.21013004791239</v>
      </c>
      <c r="AI195" s="4">
        <v>23.9579946837828</v>
      </c>
      <c r="AJ195" s="4">
        <v>16.393750000000001</v>
      </c>
      <c r="AK195" s="4">
        <v>22.4324007681338</v>
      </c>
      <c r="AL195" s="1">
        <v>32</v>
      </c>
      <c r="AM195" s="5">
        <v>1019.7576975726</v>
      </c>
      <c r="AN195" s="4">
        <v>241.426458960264</v>
      </c>
      <c r="AO195" s="4">
        <v>0.23674884684366601</v>
      </c>
      <c r="AP195" s="1" t="s">
        <v>299</v>
      </c>
      <c r="AQ195" s="1" t="s">
        <v>156</v>
      </c>
      <c r="AR195" s="1" t="s">
        <v>1050</v>
      </c>
      <c r="AS195" s="1">
        <v>9</v>
      </c>
      <c r="AT195" s="4">
        <v>0.91778192781534007</v>
      </c>
      <c r="AU195" s="1" t="s">
        <v>1052</v>
      </c>
      <c r="AV195" s="1" t="s">
        <v>1053</v>
      </c>
      <c r="AW195" s="1">
        <v>2587</v>
      </c>
      <c r="AX195" s="1">
        <v>1352</v>
      </c>
      <c r="AY195" s="1">
        <v>1045</v>
      </c>
      <c r="AZ195" s="1">
        <v>173</v>
      </c>
      <c r="BA195" s="1">
        <v>17</v>
      </c>
      <c r="BB195" s="1">
        <v>0</v>
      </c>
      <c r="BC195" s="1">
        <v>0</v>
      </c>
      <c r="BD195" s="1">
        <v>0</v>
      </c>
      <c r="BE195" s="1">
        <v>0</v>
      </c>
      <c r="BF195" s="1">
        <v>0</v>
      </c>
      <c r="BG195" s="1">
        <v>0</v>
      </c>
      <c r="BH195" s="4">
        <v>-0.74299999999999999</v>
      </c>
      <c r="BI195" s="4">
        <v>29.558001000000001</v>
      </c>
      <c r="BJ195" s="4">
        <v>13.874703999999999</v>
      </c>
      <c r="BK195" s="4">
        <v>-0.26203199999999999</v>
      </c>
      <c r="BL195" s="4">
        <v>12.556293999999999</v>
      </c>
      <c r="BM195" s="4">
        <v>157.66052400000001</v>
      </c>
      <c r="BN195" s="4">
        <v>0.90497700000000003</v>
      </c>
      <c r="BO195" s="4">
        <v>26.284998999999999</v>
      </c>
      <c r="BP195" s="4">
        <v>-9.1514999999999999E-2</v>
      </c>
      <c r="BQ195" s="4">
        <v>1.129281</v>
      </c>
      <c r="BR195" s="4">
        <v>12.136308</v>
      </c>
      <c r="BS195" s="4">
        <v>10.211</v>
      </c>
      <c r="BT195" s="4">
        <v>17.998031999999998</v>
      </c>
      <c r="BU195" s="4">
        <v>13.874703999999999</v>
      </c>
      <c r="BV195" s="4">
        <v>6.7172400000000003</v>
      </c>
      <c r="BW195" s="4">
        <v>-8.4566000000000002E-2</v>
      </c>
      <c r="BX195" s="4">
        <v>-1.381983</v>
      </c>
      <c r="BY195" s="4">
        <v>0.48413600000000001</v>
      </c>
      <c r="BZ195" s="4">
        <v>-1.2588999999999999E-2</v>
      </c>
      <c r="CA195" s="4">
        <v>-0.205737</v>
      </c>
      <c r="CB195" s="4">
        <v>-0.32128000000000001</v>
      </c>
      <c r="CC195" s="4">
        <v>-0.12909999999999999</v>
      </c>
      <c r="CD195" s="4">
        <v>-6.9400000000000003E-2</v>
      </c>
      <c r="CE195" s="4">
        <v>5.1999999999999998E-3</v>
      </c>
      <c r="CF195" s="4">
        <v>3.9E-2</v>
      </c>
      <c r="CG195" s="4">
        <v>7.4800000000000005E-2</v>
      </c>
      <c r="CH195" s="4">
        <v>0.19139999999999999</v>
      </c>
      <c r="CI195" s="4">
        <v>17.736000000000001</v>
      </c>
      <c r="CJ195" s="4">
        <v>25.053599999999999</v>
      </c>
      <c r="CK195" s="4">
        <v>25.963799000000002</v>
      </c>
      <c r="CL195" s="4">
        <v>26.323999000000001</v>
      </c>
      <c r="CM195" s="4">
        <v>26.659200999999999</v>
      </c>
      <c r="CN195" s="4">
        <v>27.586400999999999</v>
      </c>
      <c r="CO195" s="4">
        <v>28.131398999999998</v>
      </c>
      <c r="CP195" s="4">
        <v>28.809657999999999</v>
      </c>
      <c r="CQ195" s="4">
        <v>0.48241699999999998</v>
      </c>
      <c r="CR195" s="4">
        <v>18.711145999999999</v>
      </c>
      <c r="CS195" s="4">
        <v>20.839151000000001</v>
      </c>
      <c r="CT195" s="1">
        <v>1</v>
      </c>
      <c r="CU195" s="1">
        <v>83</v>
      </c>
      <c r="CV195" s="4">
        <v>25.031697000000001</v>
      </c>
      <c r="CW195" s="4">
        <v>1</v>
      </c>
      <c r="CX195" s="4">
        <v>17.140443999999999</v>
      </c>
      <c r="CY195" s="4">
        <v>293.79481900000002</v>
      </c>
      <c r="CZ195" s="4">
        <v>0.68474999999999997</v>
      </c>
      <c r="DA195" s="4">
        <v>26</v>
      </c>
      <c r="DB195" s="4">
        <v>0.54380399999999995</v>
      </c>
      <c r="DC195" s="4">
        <v>2.5495070000000002</v>
      </c>
      <c r="DD195" s="4">
        <v>14.269524000000001</v>
      </c>
      <c r="DE195" s="4">
        <v>25.031697000000001</v>
      </c>
      <c r="DF195" s="4">
        <v>9.7008150000000004</v>
      </c>
      <c r="DG195" s="4">
        <v>1.205859</v>
      </c>
      <c r="DH195" s="4">
        <v>0.54140299999999997</v>
      </c>
      <c r="DI195" s="4">
        <v>0.38754100000000002</v>
      </c>
      <c r="DJ195" s="4">
        <v>0.124305</v>
      </c>
      <c r="DK195" s="4">
        <v>5.5809999999999998E-2</v>
      </c>
      <c r="DL195" s="4">
        <v>1</v>
      </c>
      <c r="DM195" s="4">
        <v>2</v>
      </c>
      <c r="DN195" s="4">
        <v>4</v>
      </c>
      <c r="DO195" s="4">
        <v>8</v>
      </c>
      <c r="DP195" s="4">
        <v>11</v>
      </c>
      <c r="DQ195" s="4">
        <v>13</v>
      </c>
      <c r="DR195" s="4">
        <v>18</v>
      </c>
      <c r="DS195" s="4">
        <v>23</v>
      </c>
      <c r="DT195" s="4">
        <v>28</v>
      </c>
      <c r="DU195" s="4">
        <v>34</v>
      </c>
      <c r="DV195" s="4">
        <v>37</v>
      </c>
      <c r="DW195" s="4">
        <v>40</v>
      </c>
      <c r="DX195" s="4">
        <v>49</v>
      </c>
      <c r="DY195" s="4">
        <v>57</v>
      </c>
      <c r="DZ195" s="4">
        <v>68</v>
      </c>
      <c r="EA195" s="4">
        <v>92.825444000000005</v>
      </c>
      <c r="EB195" s="4">
        <v>57.711635000000001</v>
      </c>
      <c r="EC195" s="4">
        <v>110.428994</v>
      </c>
      <c r="ED195" s="4">
        <v>1255</v>
      </c>
      <c r="EE195" s="4">
        <v>1493</v>
      </c>
      <c r="EF195" s="4">
        <v>90.162722000000002</v>
      </c>
      <c r="EG195" s="4">
        <v>100</v>
      </c>
      <c r="EH195" s="4">
        <v>52.531889999999997</v>
      </c>
      <c r="EI195" s="4">
        <v>98.453806999999998</v>
      </c>
      <c r="EJ195" s="4">
        <v>100.517751</v>
      </c>
      <c r="EK195" s="4">
        <v>188.387574</v>
      </c>
      <c r="EL195" s="4">
        <v>1219</v>
      </c>
      <c r="EM195" s="4">
        <v>1352</v>
      </c>
      <c r="EN195" s="4">
        <v>1359</v>
      </c>
      <c r="EO195" s="4">
        <v>2547</v>
      </c>
      <c r="EP195" s="4">
        <v>1352</v>
      </c>
      <c r="EQ195" s="4">
        <v>2587</v>
      </c>
      <c r="ER195" s="4">
        <v>47.180790000000002</v>
      </c>
    </row>
    <row r="196" spans="1:148" x14ac:dyDescent="0.2">
      <c r="A196" s="1">
        <v>2022</v>
      </c>
      <c r="B196" s="1" t="str">
        <f t="shared" si="6"/>
        <v>NE</v>
      </c>
      <c r="C196" s="1" t="s">
        <v>1054</v>
      </c>
      <c r="D196" s="1" t="s">
        <v>1054</v>
      </c>
      <c r="E196" s="1">
        <v>25319</v>
      </c>
      <c r="F196" s="1" t="s">
        <v>2116</v>
      </c>
      <c r="G196" s="1" t="s">
        <v>1035</v>
      </c>
      <c r="H196" s="1" t="s">
        <v>1055</v>
      </c>
      <c r="I196" s="1">
        <v>42.8</v>
      </c>
      <c r="J196" s="1">
        <v>42.8</v>
      </c>
      <c r="K196" s="1" t="s">
        <v>1022</v>
      </c>
      <c r="L196" s="1">
        <v>1</v>
      </c>
      <c r="M196" s="1">
        <v>2017</v>
      </c>
      <c r="N196" s="1">
        <v>3</v>
      </c>
      <c r="O196" s="1">
        <v>2</v>
      </c>
      <c r="P196" s="1" t="str">
        <f t="shared" si="7"/>
        <v>Talhadia</v>
      </c>
      <c r="Q196" s="2">
        <v>42801</v>
      </c>
      <c r="R196" s="1" t="s">
        <v>306</v>
      </c>
      <c r="S196" s="1" t="s">
        <v>163</v>
      </c>
      <c r="T196" s="1" t="s">
        <v>2268</v>
      </c>
      <c r="U196" s="1" t="s">
        <v>1022</v>
      </c>
      <c r="V196" s="1" t="s">
        <v>152</v>
      </c>
      <c r="W196" s="2">
        <v>44824</v>
      </c>
      <c r="X196" s="1" t="s">
        <v>1037</v>
      </c>
      <c r="Y196" s="1">
        <v>153.02000000000001</v>
      </c>
      <c r="Z196" s="1">
        <v>20</v>
      </c>
      <c r="AA196" s="1">
        <v>20</v>
      </c>
      <c r="AB196" s="1">
        <v>14</v>
      </c>
      <c r="AC196" s="1">
        <v>2</v>
      </c>
      <c r="AD196" s="3">
        <v>280</v>
      </c>
      <c r="AE196" s="3">
        <v>262.95365192067197</v>
      </c>
      <c r="AF196" s="2">
        <v>44824</v>
      </c>
      <c r="AG196" s="1">
        <v>66</v>
      </c>
      <c r="AH196" s="3">
        <v>5.5386721423682399</v>
      </c>
      <c r="AI196" s="4">
        <v>27.183808244330699</v>
      </c>
      <c r="AJ196" s="4">
        <v>19.3318181818182</v>
      </c>
      <c r="AK196" s="4">
        <v>25.581342779522998</v>
      </c>
      <c r="AL196" s="1">
        <v>22</v>
      </c>
      <c r="AM196" s="5">
        <v>836.64934254790205</v>
      </c>
      <c r="AN196" s="4">
        <v>320.66042978400498</v>
      </c>
      <c r="AO196" s="4">
        <v>0.383267413809802</v>
      </c>
      <c r="AP196" s="1" t="s">
        <v>163</v>
      </c>
      <c r="AQ196" s="1" t="s">
        <v>254</v>
      </c>
      <c r="AR196" s="1" t="s">
        <v>1050</v>
      </c>
      <c r="AS196" s="1">
        <v>9.99</v>
      </c>
      <c r="AT196" s="4">
        <v>0.83581269320535412</v>
      </c>
      <c r="AU196" s="1" t="s">
        <v>1056</v>
      </c>
      <c r="AV196" s="1" t="s">
        <v>1057</v>
      </c>
      <c r="AW196" s="1">
        <v>2037</v>
      </c>
      <c r="AX196" s="1">
        <v>1095</v>
      </c>
      <c r="AY196" s="1">
        <v>767</v>
      </c>
      <c r="AZ196" s="1">
        <v>157</v>
      </c>
      <c r="BA196" s="1">
        <v>18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4">
        <v>-0.68</v>
      </c>
      <c r="BI196" s="4">
        <v>32.407001000000001</v>
      </c>
      <c r="BJ196" s="4">
        <v>14.20093</v>
      </c>
      <c r="BK196" s="4">
        <v>-0.15481</v>
      </c>
      <c r="BL196" s="4">
        <v>12.981443000000001</v>
      </c>
      <c r="BM196" s="4">
        <v>168.51785000000001</v>
      </c>
      <c r="BN196" s="4">
        <v>0.91412599999999999</v>
      </c>
      <c r="BO196" s="4">
        <v>27.745000999999998</v>
      </c>
      <c r="BP196" s="4">
        <v>-1.06E-4</v>
      </c>
      <c r="BQ196" s="4">
        <v>1.199514</v>
      </c>
      <c r="BR196" s="4">
        <v>12.381909</v>
      </c>
      <c r="BS196" s="4">
        <v>13.355</v>
      </c>
      <c r="BT196" s="4">
        <v>16.63381</v>
      </c>
      <c r="BU196" s="4">
        <v>14.20093</v>
      </c>
      <c r="BV196" s="4">
        <v>7.1050319999999996</v>
      </c>
      <c r="BW196" s="4">
        <v>0.23954800000000001</v>
      </c>
      <c r="BX196" s="4">
        <v>-1.2964450000000001</v>
      </c>
      <c r="BY196" s="4">
        <v>0.50032200000000004</v>
      </c>
      <c r="BZ196" s="4">
        <v>3.3715000000000002E-2</v>
      </c>
      <c r="CA196" s="4">
        <v>-0.18246899999999999</v>
      </c>
      <c r="CB196" s="4">
        <v>-0.36899999999999999</v>
      </c>
      <c r="CC196" s="4">
        <v>-0.15939999999999999</v>
      </c>
      <c r="CD196" s="4">
        <v>-9.1399999999999995E-2</v>
      </c>
      <c r="CE196" s="4">
        <v>1.4200000000000001E-2</v>
      </c>
      <c r="CF196" s="4">
        <v>5.8999999999999997E-2</v>
      </c>
      <c r="CG196" s="4">
        <v>0.1116</v>
      </c>
      <c r="CH196" s="4">
        <v>0.53360099999999999</v>
      </c>
      <c r="CI196" s="4">
        <v>16.478999999999999</v>
      </c>
      <c r="CJ196" s="4">
        <v>21.848998999999999</v>
      </c>
      <c r="CK196" s="4">
        <v>26.952000000000002</v>
      </c>
      <c r="CL196" s="4">
        <v>27.804001</v>
      </c>
      <c r="CM196" s="4">
        <v>28.523800000000001</v>
      </c>
      <c r="CN196" s="4">
        <v>29.756599000000001</v>
      </c>
      <c r="CO196" s="4">
        <v>30.295399</v>
      </c>
      <c r="CP196" s="4">
        <v>31.46048</v>
      </c>
      <c r="CQ196" s="4">
        <v>0.44975199999999999</v>
      </c>
      <c r="CR196" s="4">
        <v>19.238022999999998</v>
      </c>
      <c r="CS196" s="4">
        <v>21.572616</v>
      </c>
      <c r="CT196" s="1">
        <v>1</v>
      </c>
      <c r="CU196" s="1">
        <v>54</v>
      </c>
      <c r="CV196" s="4">
        <v>14.208149000000001</v>
      </c>
      <c r="CW196" s="4">
        <v>1</v>
      </c>
      <c r="CX196" s="4">
        <v>10.784998</v>
      </c>
      <c r="CY196" s="4">
        <v>116.316181</v>
      </c>
      <c r="CZ196" s="4">
        <v>0.75907100000000005</v>
      </c>
      <c r="DA196" s="4">
        <v>13</v>
      </c>
      <c r="DB196" s="4">
        <v>1.132665</v>
      </c>
      <c r="DC196" s="4">
        <v>4.1230039999999999</v>
      </c>
      <c r="DD196" s="4">
        <v>8.3471130000000002</v>
      </c>
      <c r="DE196" s="4">
        <v>14.208149000000001</v>
      </c>
      <c r="DF196" s="4">
        <v>5.8168220000000002</v>
      </c>
      <c r="DG196" s="4">
        <v>1.2495510000000001</v>
      </c>
      <c r="DH196" s="4">
        <v>0.73439200000000004</v>
      </c>
      <c r="DI196" s="4">
        <v>0.40939999999999999</v>
      </c>
      <c r="DJ196" s="4">
        <v>0.21481700000000001</v>
      </c>
      <c r="DK196" s="4">
        <v>0.126253</v>
      </c>
      <c r="DL196" s="4">
        <v>1</v>
      </c>
      <c r="DM196" s="4">
        <v>1</v>
      </c>
      <c r="DN196" s="4">
        <v>2</v>
      </c>
      <c r="DO196" s="4">
        <v>5</v>
      </c>
      <c r="DP196" s="4">
        <v>6</v>
      </c>
      <c r="DQ196" s="4">
        <v>7</v>
      </c>
      <c r="DR196" s="4">
        <v>10</v>
      </c>
      <c r="DS196" s="4">
        <v>12</v>
      </c>
      <c r="DT196" s="4">
        <v>15</v>
      </c>
      <c r="DU196" s="4">
        <v>18</v>
      </c>
      <c r="DV196" s="4">
        <v>19</v>
      </c>
      <c r="DW196" s="4">
        <v>21</v>
      </c>
      <c r="DX196" s="4">
        <v>29</v>
      </c>
      <c r="DY196" s="4">
        <v>39</v>
      </c>
      <c r="DZ196" s="4">
        <v>47</v>
      </c>
      <c r="EA196" s="4">
        <v>88.858446999999998</v>
      </c>
      <c r="EB196" s="4">
        <v>59.204712999999998</v>
      </c>
      <c r="EC196" s="4">
        <v>110.13698599999999</v>
      </c>
      <c r="ED196" s="4">
        <v>973</v>
      </c>
      <c r="EE196" s="4">
        <v>1206</v>
      </c>
      <c r="EF196" s="4">
        <v>84.292237</v>
      </c>
      <c r="EG196" s="4">
        <v>100</v>
      </c>
      <c r="EH196" s="4">
        <v>51.693666999999998</v>
      </c>
      <c r="EI196" s="4">
        <v>94.550809999999998</v>
      </c>
      <c r="EJ196" s="4">
        <v>96.164383999999998</v>
      </c>
      <c r="EK196" s="4">
        <v>175.890411</v>
      </c>
      <c r="EL196" s="4">
        <v>923</v>
      </c>
      <c r="EM196" s="4">
        <v>1095</v>
      </c>
      <c r="EN196" s="4">
        <v>1053</v>
      </c>
      <c r="EO196" s="4">
        <v>1926</v>
      </c>
      <c r="EP196" s="4">
        <v>1095</v>
      </c>
      <c r="EQ196" s="4">
        <v>2037</v>
      </c>
      <c r="ER196" s="4">
        <v>44.204014999999998</v>
      </c>
    </row>
    <row r="197" spans="1:148" x14ac:dyDescent="0.2">
      <c r="A197" s="1">
        <v>2022</v>
      </c>
      <c r="B197" s="1" t="str">
        <f t="shared" si="6"/>
        <v>NE</v>
      </c>
      <c r="C197" s="1" t="s">
        <v>1058</v>
      </c>
      <c r="D197" s="1" t="s">
        <v>1058</v>
      </c>
      <c r="E197" s="1">
        <v>25321</v>
      </c>
      <c r="F197" s="1" t="s">
        <v>2116</v>
      </c>
      <c r="G197" s="1" t="s">
        <v>1035</v>
      </c>
      <c r="H197" s="1" t="s">
        <v>1055</v>
      </c>
      <c r="I197" s="1">
        <v>42.8</v>
      </c>
      <c r="J197" s="1">
        <v>42.8</v>
      </c>
      <c r="K197" s="1" t="s">
        <v>1022</v>
      </c>
      <c r="L197" s="1">
        <v>1</v>
      </c>
      <c r="M197" s="1">
        <v>2017</v>
      </c>
      <c r="N197" s="1">
        <v>3</v>
      </c>
      <c r="O197" s="1">
        <v>2</v>
      </c>
      <c r="P197" s="1" t="str">
        <f t="shared" si="7"/>
        <v>Talhadia</v>
      </c>
      <c r="Q197" s="2">
        <v>42801</v>
      </c>
      <c r="R197" s="1" t="s">
        <v>306</v>
      </c>
      <c r="S197" s="1" t="s">
        <v>163</v>
      </c>
      <c r="T197" s="1" t="s">
        <v>2268</v>
      </c>
      <c r="U197" s="1" t="s">
        <v>1022</v>
      </c>
      <c r="V197" s="1" t="s">
        <v>152</v>
      </c>
      <c r="W197" s="2">
        <v>44824</v>
      </c>
      <c r="X197" s="1" t="s">
        <v>1037</v>
      </c>
      <c r="Y197" s="1">
        <v>153.02000000000001</v>
      </c>
      <c r="Z197" s="1">
        <v>20.8</v>
      </c>
      <c r="AA197" s="1">
        <v>5</v>
      </c>
      <c r="AB197" s="1">
        <v>14.2</v>
      </c>
      <c r="AC197" s="1">
        <v>1</v>
      </c>
      <c r="AD197" s="3">
        <v>295.36</v>
      </c>
      <c r="AE197" s="3">
        <v>294.19125245035701</v>
      </c>
      <c r="AF197" s="2">
        <v>44824</v>
      </c>
      <c r="AG197" s="1">
        <v>66</v>
      </c>
      <c r="AH197" s="3">
        <v>5.5386721423682399</v>
      </c>
      <c r="AI197" s="4">
        <v>25.321543357991299</v>
      </c>
      <c r="AJ197" s="4">
        <v>17.379166666666698</v>
      </c>
      <c r="AK197" s="4">
        <v>20.279386004655301</v>
      </c>
      <c r="AL197" s="1">
        <v>24</v>
      </c>
      <c r="AM197" s="5">
        <v>815.79584029439604</v>
      </c>
      <c r="AN197" s="4">
        <v>238.82136971090699</v>
      </c>
      <c r="AO197" s="4">
        <v>0.29274649111317302</v>
      </c>
      <c r="AP197" s="1" t="s">
        <v>163</v>
      </c>
      <c r="AQ197" s="1" t="s">
        <v>254</v>
      </c>
      <c r="AR197" s="1" t="s">
        <v>1050</v>
      </c>
      <c r="AS197" s="1">
        <v>9.99</v>
      </c>
      <c r="AT197" s="4">
        <v>0.81498004445410166</v>
      </c>
      <c r="AU197" s="1" t="s">
        <v>1059</v>
      </c>
      <c r="AV197" s="1" t="s">
        <v>1060</v>
      </c>
      <c r="AW197" s="1">
        <v>1774</v>
      </c>
      <c r="AX197" s="1">
        <v>963</v>
      </c>
      <c r="AY197" s="1">
        <v>699</v>
      </c>
      <c r="AZ197" s="1">
        <v>101</v>
      </c>
      <c r="BA197" s="1">
        <v>11</v>
      </c>
      <c r="BB197" s="1">
        <v>0</v>
      </c>
      <c r="BC197" s="1">
        <v>0</v>
      </c>
      <c r="BD197" s="1">
        <v>0</v>
      </c>
      <c r="BE197" s="1">
        <v>0</v>
      </c>
      <c r="BF197" s="1">
        <v>0</v>
      </c>
      <c r="BG197" s="1">
        <v>0</v>
      </c>
      <c r="BH197" s="4">
        <v>-0.64400000000000002</v>
      </c>
      <c r="BI197" s="4">
        <v>30.74</v>
      </c>
      <c r="BJ197" s="4">
        <v>12.488035999999999</v>
      </c>
      <c r="BK197" s="4">
        <v>-0.145841</v>
      </c>
      <c r="BL197" s="4">
        <v>12.459270999999999</v>
      </c>
      <c r="BM197" s="4">
        <v>155.23344599999999</v>
      </c>
      <c r="BN197" s="4">
        <v>0.99769699999999994</v>
      </c>
      <c r="BO197" s="4">
        <v>25.997501</v>
      </c>
      <c r="BP197" s="4">
        <v>0.134963</v>
      </c>
      <c r="BQ197" s="4">
        <v>1.182121</v>
      </c>
      <c r="BR197" s="4">
        <v>11.932525</v>
      </c>
      <c r="BS197" s="4">
        <v>11.977499</v>
      </c>
      <c r="BT197" s="4">
        <v>12.069841</v>
      </c>
      <c r="BU197" s="4">
        <v>12.488035999999999</v>
      </c>
      <c r="BV197" s="4">
        <v>6.7178519999999997</v>
      </c>
      <c r="BW197" s="4">
        <v>0.64665499999999998</v>
      </c>
      <c r="BX197" s="4">
        <v>-1.26264</v>
      </c>
      <c r="BY197" s="4">
        <v>0.53794299999999995</v>
      </c>
      <c r="BZ197" s="4">
        <v>9.6258999999999997E-2</v>
      </c>
      <c r="CA197" s="4">
        <v>-0.18795300000000001</v>
      </c>
      <c r="CB197" s="4">
        <v>-0.33423999999999998</v>
      </c>
      <c r="CC197" s="4">
        <v>-0.14940000000000001</v>
      </c>
      <c r="CD197" s="4">
        <v>-8.2699999999999996E-2</v>
      </c>
      <c r="CE197" s="4">
        <v>-1.2999999999999999E-2</v>
      </c>
      <c r="CF197" s="4">
        <v>2.1999999999999999E-2</v>
      </c>
      <c r="CG197" s="4">
        <v>5.8900000000000001E-2</v>
      </c>
      <c r="CH197" s="4">
        <v>0.14419999999999999</v>
      </c>
      <c r="CI197" s="4">
        <v>11.923999999999999</v>
      </c>
      <c r="CJ197" s="4">
        <v>20.073001999999999</v>
      </c>
      <c r="CK197" s="4">
        <v>25.119098999999999</v>
      </c>
      <c r="CL197" s="4">
        <v>26.019501000000002</v>
      </c>
      <c r="CM197" s="4">
        <v>26.676400999999998</v>
      </c>
      <c r="CN197" s="4">
        <v>27.934799000000002</v>
      </c>
      <c r="CO197" s="4">
        <v>28.601348999999999</v>
      </c>
      <c r="CP197" s="4">
        <v>29.754591000000001</v>
      </c>
      <c r="CQ197" s="4">
        <v>0.418431</v>
      </c>
      <c r="CR197" s="4">
        <v>17.637941000000001</v>
      </c>
      <c r="CS197" s="4">
        <v>20.017320999999999</v>
      </c>
      <c r="CT197" s="1">
        <v>1</v>
      </c>
      <c r="CU197" s="1">
        <v>75</v>
      </c>
      <c r="CV197" s="4">
        <v>21.955468</v>
      </c>
      <c r="CW197" s="4">
        <v>13.920635000000001</v>
      </c>
      <c r="CX197" s="4">
        <v>16.550006</v>
      </c>
      <c r="CY197" s="4">
        <v>273.90269699999999</v>
      </c>
      <c r="CZ197" s="4">
        <v>0.753799</v>
      </c>
      <c r="DA197" s="4">
        <v>19</v>
      </c>
      <c r="DB197" s="4">
        <v>1.037722</v>
      </c>
      <c r="DC197" s="4">
        <v>3.408274</v>
      </c>
      <c r="DD197" s="4">
        <v>12.841737999999999</v>
      </c>
      <c r="DE197" s="4">
        <v>21.955468</v>
      </c>
      <c r="DF197" s="4">
        <v>8.9624830000000006</v>
      </c>
      <c r="DG197" s="4">
        <v>2.0463819999999999</v>
      </c>
      <c r="DH197" s="4">
        <v>1.138468</v>
      </c>
      <c r="DI197" s="4">
        <v>0.40821200000000002</v>
      </c>
      <c r="DJ197" s="4">
        <v>0.228328</v>
      </c>
      <c r="DK197" s="4">
        <v>0.127026</v>
      </c>
      <c r="DL197" s="4">
        <v>1</v>
      </c>
      <c r="DM197" s="4">
        <v>2</v>
      </c>
      <c r="DN197" s="4">
        <v>4</v>
      </c>
      <c r="DO197" s="4">
        <v>7</v>
      </c>
      <c r="DP197" s="4">
        <v>9</v>
      </c>
      <c r="DQ197" s="4">
        <v>11</v>
      </c>
      <c r="DR197" s="4">
        <v>15</v>
      </c>
      <c r="DS197" s="4">
        <v>18</v>
      </c>
      <c r="DT197" s="4">
        <v>23</v>
      </c>
      <c r="DU197" s="4">
        <v>26</v>
      </c>
      <c r="DV197" s="4">
        <v>28</v>
      </c>
      <c r="DW197" s="4">
        <v>32</v>
      </c>
      <c r="DX197" s="4">
        <v>51</v>
      </c>
      <c r="DY197" s="4">
        <v>58</v>
      </c>
      <c r="DZ197" s="4">
        <v>66.270020000000002</v>
      </c>
      <c r="EA197" s="4">
        <v>84.319834</v>
      </c>
      <c r="EB197" s="4">
        <v>53.438557000000003</v>
      </c>
      <c r="EC197" s="4">
        <v>98.442368000000002</v>
      </c>
      <c r="ED197" s="4">
        <v>812</v>
      </c>
      <c r="EE197" s="4">
        <v>948</v>
      </c>
      <c r="EF197" s="4">
        <v>82.762201000000005</v>
      </c>
      <c r="EG197" s="4">
        <v>100</v>
      </c>
      <c r="EH197" s="4">
        <v>49.492671999999999</v>
      </c>
      <c r="EI197" s="4">
        <v>94.870349000000004</v>
      </c>
      <c r="EJ197" s="4">
        <v>91.173416000000003</v>
      </c>
      <c r="EK197" s="4">
        <v>174.766355</v>
      </c>
      <c r="EL197" s="4">
        <v>797</v>
      </c>
      <c r="EM197" s="4">
        <v>963</v>
      </c>
      <c r="EN197" s="4">
        <v>878</v>
      </c>
      <c r="EO197" s="4">
        <v>1683</v>
      </c>
      <c r="EP197" s="4">
        <v>963</v>
      </c>
      <c r="EQ197" s="4">
        <v>1774</v>
      </c>
      <c r="ER197" s="4">
        <v>41.027549</v>
      </c>
    </row>
    <row r="198" spans="1:148" x14ac:dyDescent="0.2">
      <c r="A198" s="1">
        <v>2022</v>
      </c>
      <c r="B198" s="1" t="str">
        <f t="shared" si="6"/>
        <v>RD</v>
      </c>
      <c r="C198" s="1" t="s">
        <v>1061</v>
      </c>
      <c r="D198" s="1" t="s">
        <v>1061</v>
      </c>
      <c r="E198" s="1">
        <v>25368</v>
      </c>
      <c r="F198" s="1" t="s">
        <v>2118</v>
      </c>
      <c r="G198" s="1" t="s">
        <v>236</v>
      </c>
      <c r="H198" s="1" t="s">
        <v>1062</v>
      </c>
      <c r="I198" s="1">
        <v>39.94</v>
      </c>
      <c r="J198" s="1">
        <v>39.94</v>
      </c>
      <c r="K198" s="1" t="s">
        <v>210</v>
      </c>
      <c r="L198" s="1">
        <v>1</v>
      </c>
      <c r="M198" s="1">
        <v>2017</v>
      </c>
      <c r="N198" s="1">
        <v>3</v>
      </c>
      <c r="O198" s="1">
        <v>1</v>
      </c>
      <c r="P198" s="1" t="str">
        <f t="shared" si="7"/>
        <v>Alto fuste</v>
      </c>
      <c r="Q198" s="2">
        <v>42835</v>
      </c>
      <c r="R198" s="1" t="s">
        <v>227</v>
      </c>
      <c r="S198" s="1" t="s">
        <v>484</v>
      </c>
      <c r="T198" s="1" t="s">
        <v>2268</v>
      </c>
      <c r="U198" s="1" t="s">
        <v>212</v>
      </c>
      <c r="V198" s="1" t="s">
        <v>152</v>
      </c>
      <c r="W198" s="2">
        <v>44818</v>
      </c>
      <c r="X198" s="1" t="s">
        <v>239</v>
      </c>
      <c r="Y198" s="1">
        <v>332.45</v>
      </c>
      <c r="Z198" s="1">
        <v>21.2</v>
      </c>
      <c r="AA198" s="1">
        <v>2</v>
      </c>
      <c r="AB198" s="1">
        <v>15.3</v>
      </c>
      <c r="AC198" s="1">
        <v>1</v>
      </c>
      <c r="AD198" s="3">
        <v>324.36</v>
      </c>
      <c r="AE198" s="3">
        <v>324.11303714695998</v>
      </c>
      <c r="AF198" s="2">
        <v>44818</v>
      </c>
      <c r="AG198" s="1">
        <v>65</v>
      </c>
      <c r="AH198" s="3">
        <v>5.4291581108829599</v>
      </c>
      <c r="AI198" s="4">
        <v>23.748350258454401</v>
      </c>
      <c r="AJ198" s="4">
        <v>13.5804347826087</v>
      </c>
      <c r="AK198" s="4">
        <v>21.1640176609463</v>
      </c>
      <c r="AL198" s="1">
        <v>46</v>
      </c>
      <c r="AM198" s="5">
        <v>1419.25793559309</v>
      </c>
      <c r="AN198" s="4">
        <v>241.291260691167</v>
      </c>
      <c r="AO198" s="4">
        <v>0.17001226812963699</v>
      </c>
      <c r="AP198" s="1" t="s">
        <v>484</v>
      </c>
      <c r="AQ198" s="1" t="s">
        <v>156</v>
      </c>
      <c r="AR198" s="1" t="s">
        <v>487</v>
      </c>
      <c r="AS198" s="1">
        <v>7.5</v>
      </c>
      <c r="AT198" s="4">
        <v>1.0644434516948176</v>
      </c>
      <c r="AU198" s="1" t="s">
        <v>1063</v>
      </c>
      <c r="AV198" s="1" t="s">
        <v>1064</v>
      </c>
      <c r="AW198" s="1">
        <v>13153</v>
      </c>
      <c r="AX198" s="1">
        <v>6769</v>
      </c>
      <c r="AY198" s="1">
        <v>4924</v>
      </c>
      <c r="AZ198" s="1">
        <v>1378</v>
      </c>
      <c r="BA198" s="1">
        <v>82</v>
      </c>
      <c r="BB198" s="1">
        <v>0</v>
      </c>
      <c r="BC198" s="1">
        <v>0</v>
      </c>
      <c r="BD198" s="1">
        <v>0</v>
      </c>
      <c r="BE198" s="1">
        <v>0</v>
      </c>
      <c r="BF198" s="1">
        <v>0</v>
      </c>
      <c r="BG198" s="1">
        <v>0</v>
      </c>
      <c r="BH198" s="4">
        <v>-1.2609999999999999</v>
      </c>
      <c r="BI198" s="4">
        <v>24.893000000000001</v>
      </c>
      <c r="BJ198" s="4">
        <v>11.465919</v>
      </c>
      <c r="BK198" s="4">
        <v>-1.5571E-2</v>
      </c>
      <c r="BL198" s="4">
        <v>9.9634660000000004</v>
      </c>
      <c r="BM198" s="4">
        <v>99.270662999999999</v>
      </c>
      <c r="BN198" s="4">
        <v>0.86896399999999996</v>
      </c>
      <c r="BO198" s="4">
        <v>21.510999999999999</v>
      </c>
      <c r="BP198" s="4">
        <v>-0.110471</v>
      </c>
      <c r="BQ198" s="4">
        <v>1.229797</v>
      </c>
      <c r="BR198" s="4">
        <v>9.4173530000000003</v>
      </c>
      <c r="BS198" s="4">
        <v>8.3759990000000002</v>
      </c>
      <c r="BT198" s="4">
        <v>14.755571</v>
      </c>
      <c r="BU198" s="4">
        <v>11.465919</v>
      </c>
      <c r="BV198" s="4">
        <v>5.4658930000000003</v>
      </c>
      <c r="BW198" s="4">
        <v>-4.7778000000000001E-2</v>
      </c>
      <c r="BX198" s="4">
        <v>-0.94116299999999997</v>
      </c>
      <c r="BY198" s="4">
        <v>0.47670800000000002</v>
      </c>
      <c r="BZ198" s="4">
        <v>-8.7410000000000005E-3</v>
      </c>
      <c r="CA198" s="4">
        <v>-0.17218800000000001</v>
      </c>
      <c r="CB198" s="4">
        <v>-0.44700000000000001</v>
      </c>
      <c r="CC198" s="4">
        <v>-0.20399999999999999</v>
      </c>
      <c r="CD198" s="4">
        <v>-0.10199999999999999</v>
      </c>
      <c r="CE198" s="4">
        <v>0.04</v>
      </c>
      <c r="CF198" s="4">
        <v>0.107</v>
      </c>
      <c r="CG198" s="4">
        <v>0.17399999999999999</v>
      </c>
      <c r="CH198" s="4">
        <v>3.5477949999999998</v>
      </c>
      <c r="CI198" s="4">
        <v>14.74</v>
      </c>
      <c r="CJ198" s="4">
        <v>17.537001</v>
      </c>
      <c r="CK198" s="4">
        <v>21.047001000000002</v>
      </c>
      <c r="CL198" s="4">
        <v>21.617999999999999</v>
      </c>
      <c r="CM198" s="4">
        <v>22.082999999999998</v>
      </c>
      <c r="CN198" s="4">
        <v>23.027999999999999</v>
      </c>
      <c r="CO198" s="4">
        <v>23.556999000000001</v>
      </c>
      <c r="CP198" s="4">
        <v>24.179884000000001</v>
      </c>
      <c r="CQ198" s="4">
        <v>0.48661500000000002</v>
      </c>
      <c r="CR198" s="4">
        <v>15.189812999999999</v>
      </c>
      <c r="CS198" s="4">
        <v>16.883355000000002</v>
      </c>
      <c r="CT198" s="1">
        <v>1</v>
      </c>
      <c r="CU198" s="1">
        <v>43</v>
      </c>
      <c r="CV198" s="4">
        <v>9.4437010000000008</v>
      </c>
      <c r="CW198" s="4">
        <v>1</v>
      </c>
      <c r="CX198" s="4">
        <v>7.0982880000000002</v>
      </c>
      <c r="CY198" s="4">
        <v>50.385686999999997</v>
      </c>
      <c r="CZ198" s="4">
        <v>0.75164299999999995</v>
      </c>
      <c r="DA198" s="4">
        <v>9</v>
      </c>
      <c r="DB198" s="4">
        <v>1.302605</v>
      </c>
      <c r="DC198" s="4">
        <v>4.958647</v>
      </c>
      <c r="DD198" s="4">
        <v>5.4893830000000001</v>
      </c>
      <c r="DE198" s="4">
        <v>9.4437010000000008</v>
      </c>
      <c r="DF198" s="4">
        <v>3.7810990000000002</v>
      </c>
      <c r="DG198" s="4">
        <v>0.88428499999999999</v>
      </c>
      <c r="DH198" s="4">
        <v>0.50108200000000003</v>
      </c>
      <c r="DI198" s="4">
        <v>0.40038299999999999</v>
      </c>
      <c r="DJ198" s="4">
        <v>0.23386999999999999</v>
      </c>
      <c r="DK198" s="4">
        <v>0.132523</v>
      </c>
      <c r="DL198" s="4">
        <v>1</v>
      </c>
      <c r="DM198" s="4">
        <v>1</v>
      </c>
      <c r="DN198" s="4">
        <v>2</v>
      </c>
      <c r="DO198" s="4">
        <v>3</v>
      </c>
      <c r="DP198" s="4">
        <v>4</v>
      </c>
      <c r="DQ198" s="4">
        <v>5</v>
      </c>
      <c r="DR198" s="4">
        <v>6</v>
      </c>
      <c r="DS198" s="4">
        <v>8</v>
      </c>
      <c r="DT198" s="4">
        <v>10</v>
      </c>
      <c r="DU198" s="4">
        <v>12</v>
      </c>
      <c r="DV198" s="4">
        <v>13</v>
      </c>
      <c r="DW198" s="4">
        <v>14</v>
      </c>
      <c r="DX198" s="4">
        <v>18</v>
      </c>
      <c r="DY198" s="4">
        <v>23</v>
      </c>
      <c r="DZ198" s="4">
        <v>33</v>
      </c>
      <c r="EA198" s="4">
        <v>90.604225</v>
      </c>
      <c r="EB198" s="4">
        <v>60.085152000000001</v>
      </c>
      <c r="EC198" s="4">
        <v>116.752844</v>
      </c>
      <c r="ED198" s="4">
        <v>6133</v>
      </c>
      <c r="EE198" s="4">
        <v>7903</v>
      </c>
      <c r="EF198" s="4">
        <v>87.339341000000005</v>
      </c>
      <c r="EG198" s="4">
        <v>99.409070999999997</v>
      </c>
      <c r="EH198" s="4">
        <v>54.580703999999997</v>
      </c>
      <c r="EI198" s="4">
        <v>84.497833</v>
      </c>
      <c r="EJ198" s="4">
        <v>106.057025</v>
      </c>
      <c r="EK198" s="4">
        <v>164.18968799999999</v>
      </c>
      <c r="EL198" s="4">
        <v>5912</v>
      </c>
      <c r="EM198" s="4">
        <v>6729</v>
      </c>
      <c r="EN198" s="4">
        <v>7179</v>
      </c>
      <c r="EO198" s="4">
        <v>11114</v>
      </c>
      <c r="EP198" s="4">
        <v>6769</v>
      </c>
      <c r="EQ198" s="4">
        <v>13153</v>
      </c>
      <c r="ER198" s="4">
        <v>46.534726999999997</v>
      </c>
    </row>
    <row r="199" spans="1:148" x14ac:dyDescent="0.2">
      <c r="A199" s="1">
        <v>2022</v>
      </c>
      <c r="B199" s="1" t="str">
        <f t="shared" si="6"/>
        <v>RD</v>
      </c>
      <c r="C199" s="1" t="s">
        <v>1065</v>
      </c>
      <c r="D199" s="1" t="s">
        <v>1065</v>
      </c>
      <c r="E199" s="1">
        <v>25372</v>
      </c>
      <c r="F199" s="1" t="s">
        <v>2118</v>
      </c>
      <c r="G199" s="1" t="s">
        <v>236</v>
      </c>
      <c r="H199" s="1" t="s">
        <v>1066</v>
      </c>
      <c r="I199" s="1">
        <v>37.18</v>
      </c>
      <c r="J199" s="1">
        <v>37.18</v>
      </c>
      <c r="K199" s="1" t="s">
        <v>210</v>
      </c>
      <c r="L199" s="1">
        <v>1</v>
      </c>
      <c r="M199" s="1">
        <v>2017</v>
      </c>
      <c r="N199" s="1">
        <v>3</v>
      </c>
      <c r="O199" s="1">
        <v>1</v>
      </c>
      <c r="P199" s="1" t="str">
        <f t="shared" si="7"/>
        <v>Alto fuste</v>
      </c>
      <c r="Q199" s="2">
        <v>42838</v>
      </c>
      <c r="R199" s="1" t="s">
        <v>227</v>
      </c>
      <c r="S199" s="1" t="s">
        <v>307</v>
      </c>
      <c r="T199" s="1" t="s">
        <v>2268</v>
      </c>
      <c r="U199" s="1" t="s">
        <v>212</v>
      </c>
      <c r="V199" s="1" t="s">
        <v>152</v>
      </c>
      <c r="W199" s="2">
        <v>44823</v>
      </c>
      <c r="X199" s="1" t="s">
        <v>239</v>
      </c>
      <c r="Y199" s="1">
        <v>332.45</v>
      </c>
      <c r="Z199" s="1">
        <v>20.5</v>
      </c>
      <c r="AA199" s="1">
        <v>2</v>
      </c>
      <c r="AB199" s="1">
        <v>15.7</v>
      </c>
      <c r="AC199" s="1">
        <v>1</v>
      </c>
      <c r="AD199" s="3">
        <v>321.85000000000002</v>
      </c>
      <c r="AE199" s="3">
        <v>321.60494822342201</v>
      </c>
      <c r="AF199" s="2">
        <v>44823</v>
      </c>
      <c r="AG199" s="1">
        <v>65</v>
      </c>
      <c r="AH199" s="3">
        <v>5.4346338124572204</v>
      </c>
      <c r="AI199" s="4">
        <v>24.3505098086817</v>
      </c>
      <c r="AJ199" s="4">
        <v>14.592499999999999</v>
      </c>
      <c r="AK199" s="4">
        <v>21.147619140636799</v>
      </c>
      <c r="AL199" s="1">
        <v>40</v>
      </c>
      <c r="AM199" s="5">
        <v>1243.7619576739701</v>
      </c>
      <c r="AN199" s="4">
        <v>241.69166691386999</v>
      </c>
      <c r="AO199" s="4">
        <v>0.194323090059669</v>
      </c>
      <c r="AP199" s="1" t="s">
        <v>307</v>
      </c>
      <c r="AQ199" s="1" t="s">
        <v>156</v>
      </c>
      <c r="AR199" s="1" t="s">
        <v>487</v>
      </c>
      <c r="AS199" s="1">
        <v>7.5</v>
      </c>
      <c r="AT199" s="4">
        <v>0.93282146825547763</v>
      </c>
      <c r="AU199" s="1" t="s">
        <v>1067</v>
      </c>
      <c r="AV199" s="1" t="s">
        <v>1068</v>
      </c>
      <c r="AW199" s="1">
        <v>8785</v>
      </c>
      <c r="AX199" s="1">
        <v>4369</v>
      </c>
      <c r="AY199" s="1">
        <v>3341</v>
      </c>
      <c r="AZ199" s="1">
        <v>1020</v>
      </c>
      <c r="BA199" s="1">
        <v>55</v>
      </c>
      <c r="BB199" s="1">
        <v>0</v>
      </c>
      <c r="BC199" s="1">
        <v>0</v>
      </c>
      <c r="BD199" s="1">
        <v>0</v>
      </c>
      <c r="BE199" s="1">
        <v>0</v>
      </c>
      <c r="BF199" s="1">
        <v>0</v>
      </c>
      <c r="BG199" s="1">
        <v>0</v>
      </c>
      <c r="BH199" s="4">
        <v>-1.1020000000000001</v>
      </c>
      <c r="BI199" s="4">
        <v>26.709</v>
      </c>
      <c r="BJ199" s="4">
        <v>11.0997</v>
      </c>
      <c r="BK199" s="4">
        <v>-0.219111</v>
      </c>
      <c r="BL199" s="4">
        <v>9.9719909999999992</v>
      </c>
      <c r="BM199" s="4">
        <v>99.440605000000005</v>
      </c>
      <c r="BN199" s="4">
        <v>0.89840200000000003</v>
      </c>
      <c r="BO199" s="4">
        <v>20.863</v>
      </c>
      <c r="BP199" s="4">
        <v>4.9540000000000001E-3</v>
      </c>
      <c r="BQ199" s="4">
        <v>1.309113</v>
      </c>
      <c r="BR199" s="4">
        <v>9.3025479999999998</v>
      </c>
      <c r="BS199" s="4">
        <v>10.53</v>
      </c>
      <c r="BT199" s="4">
        <v>13.603111</v>
      </c>
      <c r="BU199" s="4">
        <v>11.0997</v>
      </c>
      <c r="BV199" s="4">
        <v>5.527374</v>
      </c>
      <c r="BW199" s="4">
        <v>0.26336500000000002</v>
      </c>
      <c r="BX199" s="4">
        <v>-0.79993499999999995</v>
      </c>
      <c r="BY199" s="4">
        <v>0.497975</v>
      </c>
      <c r="BZ199" s="4">
        <v>4.7647000000000002E-2</v>
      </c>
      <c r="CA199" s="4">
        <v>-0.14472199999999999</v>
      </c>
      <c r="CB199" s="4">
        <v>-0.40200000000000002</v>
      </c>
      <c r="CC199" s="4">
        <v>-0.17499999999999999</v>
      </c>
      <c r="CD199" s="4">
        <v>-0.09</v>
      </c>
      <c r="CE199" s="4">
        <v>0.02</v>
      </c>
      <c r="CF199" s="4">
        <v>7.3999999999999996E-2</v>
      </c>
      <c r="CG199" s="4">
        <v>0.13700000000000001</v>
      </c>
      <c r="CH199" s="4">
        <v>0.46560000000000001</v>
      </c>
      <c r="CI199" s="4">
        <v>13.384</v>
      </c>
      <c r="CJ199" s="4">
        <v>16.312000000000001</v>
      </c>
      <c r="CK199" s="4">
        <v>19.349996999999998</v>
      </c>
      <c r="CL199" s="4">
        <v>20.937000000000001</v>
      </c>
      <c r="CM199" s="4">
        <v>22.2136</v>
      </c>
      <c r="CN199" s="4">
        <v>23.835999999999999</v>
      </c>
      <c r="CO199" s="4">
        <v>24.605398000000001</v>
      </c>
      <c r="CP199" s="4">
        <v>25.65616</v>
      </c>
      <c r="CQ199" s="4">
        <v>0.43873600000000001</v>
      </c>
      <c r="CR199" s="4">
        <v>14.920878999999999</v>
      </c>
      <c r="CS199" s="4">
        <v>16.730862999999999</v>
      </c>
      <c r="CT199" s="1">
        <v>1</v>
      </c>
      <c r="CU199" s="1">
        <v>51</v>
      </c>
      <c r="CV199" s="4">
        <v>10.753785000000001</v>
      </c>
      <c r="CW199" s="4">
        <v>2.5873020000000002</v>
      </c>
      <c r="CX199" s="4">
        <v>8.6100930000000009</v>
      </c>
      <c r="CY199" s="4">
        <v>74.133702</v>
      </c>
      <c r="CZ199" s="4">
        <v>0.80065699999999995</v>
      </c>
      <c r="DA199" s="4">
        <v>9</v>
      </c>
      <c r="DB199" s="4">
        <v>1.461678</v>
      </c>
      <c r="DC199" s="4">
        <v>5.2007500000000002</v>
      </c>
      <c r="DD199" s="4">
        <v>6.467924</v>
      </c>
      <c r="DE199" s="4">
        <v>10.753785000000001</v>
      </c>
      <c r="DF199" s="4">
        <v>4.4931479999999997</v>
      </c>
      <c r="DG199" s="4">
        <v>1.243236</v>
      </c>
      <c r="DH199" s="4">
        <v>0.72118300000000002</v>
      </c>
      <c r="DI199" s="4">
        <v>0.41782000000000002</v>
      </c>
      <c r="DJ199" s="4">
        <v>0.276696</v>
      </c>
      <c r="DK199" s="4">
        <v>0.16050700000000001</v>
      </c>
      <c r="DL199" s="4">
        <v>1</v>
      </c>
      <c r="DM199" s="4">
        <v>1</v>
      </c>
      <c r="DN199" s="4">
        <v>2</v>
      </c>
      <c r="DO199" s="4">
        <v>4</v>
      </c>
      <c r="DP199" s="4">
        <v>5</v>
      </c>
      <c r="DQ199" s="4">
        <v>5</v>
      </c>
      <c r="DR199" s="4">
        <v>7</v>
      </c>
      <c r="DS199" s="4">
        <v>9</v>
      </c>
      <c r="DT199" s="4">
        <v>11</v>
      </c>
      <c r="DU199" s="4">
        <v>13</v>
      </c>
      <c r="DV199" s="4">
        <v>14</v>
      </c>
      <c r="DW199" s="4">
        <v>16</v>
      </c>
      <c r="DX199" s="4">
        <v>22</v>
      </c>
      <c r="DY199" s="4">
        <v>30</v>
      </c>
      <c r="DZ199" s="4">
        <v>40</v>
      </c>
      <c r="EA199" s="4">
        <v>89.608605999999995</v>
      </c>
      <c r="EB199" s="4">
        <v>59.294252</v>
      </c>
      <c r="EC199" s="4">
        <v>119.22636799999999</v>
      </c>
      <c r="ED199" s="4">
        <v>3915</v>
      </c>
      <c r="EE199" s="4">
        <v>5209</v>
      </c>
      <c r="EF199" s="4">
        <v>86.816204999999997</v>
      </c>
      <c r="EG199" s="4">
        <v>100</v>
      </c>
      <c r="EH199" s="4">
        <v>54.832099999999997</v>
      </c>
      <c r="EI199" s="4">
        <v>96.357427000000001</v>
      </c>
      <c r="EJ199" s="4">
        <v>110.254063</v>
      </c>
      <c r="EK199" s="4">
        <v>193.751431</v>
      </c>
      <c r="EL199" s="4">
        <v>3793</v>
      </c>
      <c r="EM199" s="4">
        <v>4369</v>
      </c>
      <c r="EN199" s="4">
        <v>4817</v>
      </c>
      <c r="EO199" s="4">
        <v>8465</v>
      </c>
      <c r="EP199" s="4">
        <v>4369</v>
      </c>
      <c r="EQ199" s="4">
        <v>8785</v>
      </c>
      <c r="ER199" s="4">
        <v>42.371901000000001</v>
      </c>
    </row>
    <row r="200" spans="1:148" x14ac:dyDescent="0.2">
      <c r="A200" s="1">
        <v>2022</v>
      </c>
      <c r="B200" s="1" t="str">
        <f t="shared" si="6"/>
        <v>RD</v>
      </c>
      <c r="C200" s="1" t="s">
        <v>1069</v>
      </c>
      <c r="D200" s="1" t="s">
        <v>1069</v>
      </c>
      <c r="E200" s="1">
        <v>25378</v>
      </c>
      <c r="F200" s="1" t="s">
        <v>2118</v>
      </c>
      <c r="G200" s="1" t="s">
        <v>236</v>
      </c>
      <c r="H200" s="1" t="s">
        <v>1066</v>
      </c>
      <c r="I200" s="1">
        <v>37.18</v>
      </c>
      <c r="J200" s="1">
        <v>37.18</v>
      </c>
      <c r="K200" s="1" t="s">
        <v>210</v>
      </c>
      <c r="L200" s="1">
        <v>1</v>
      </c>
      <c r="M200" s="1">
        <v>2017</v>
      </c>
      <c r="N200" s="1">
        <v>3</v>
      </c>
      <c r="O200" s="1">
        <v>1</v>
      </c>
      <c r="P200" s="1" t="str">
        <f t="shared" si="7"/>
        <v>Alto fuste</v>
      </c>
      <c r="Q200" s="2">
        <v>42838</v>
      </c>
      <c r="R200" s="1" t="s">
        <v>227</v>
      </c>
      <c r="S200" s="1" t="s">
        <v>307</v>
      </c>
      <c r="T200" s="1" t="s">
        <v>2268</v>
      </c>
      <c r="U200" s="1" t="s">
        <v>212</v>
      </c>
      <c r="V200" s="1" t="s">
        <v>152</v>
      </c>
      <c r="W200" s="2">
        <v>44823</v>
      </c>
      <c r="X200" s="1" t="s">
        <v>239</v>
      </c>
      <c r="Y200" s="1">
        <v>332.45</v>
      </c>
      <c r="Z200" s="1">
        <v>21.2</v>
      </c>
      <c r="AA200" s="1">
        <v>1</v>
      </c>
      <c r="AB200" s="1">
        <v>15.4</v>
      </c>
      <c r="AC200" s="1">
        <v>1</v>
      </c>
      <c r="AD200" s="3">
        <v>326.48</v>
      </c>
      <c r="AE200" s="3">
        <v>326.38055860259698</v>
      </c>
      <c r="AF200" s="2">
        <v>44823</v>
      </c>
      <c r="AG200" s="1">
        <v>65</v>
      </c>
      <c r="AH200" s="3">
        <v>5.4346338124572204</v>
      </c>
      <c r="AI200" s="4">
        <v>23.127116247861601</v>
      </c>
      <c r="AJ200" s="4">
        <v>14.383333333333301</v>
      </c>
      <c r="AK200" s="4">
        <v>21.302378714836198</v>
      </c>
      <c r="AL200" s="1">
        <v>42</v>
      </c>
      <c r="AM200" s="5">
        <v>1286.8413541487801</v>
      </c>
      <c r="AN200" s="4">
        <v>229.20990170798501</v>
      </c>
      <c r="AO200" s="4">
        <v>0.178118227992139</v>
      </c>
      <c r="AP200" s="1" t="s">
        <v>307</v>
      </c>
      <c r="AQ200" s="1" t="s">
        <v>156</v>
      </c>
      <c r="AR200" s="1" t="s">
        <v>487</v>
      </c>
      <c r="AS200" s="1">
        <v>7.5</v>
      </c>
      <c r="AT200" s="4">
        <v>0.9651310156115851</v>
      </c>
      <c r="AU200" s="1" t="s">
        <v>1070</v>
      </c>
      <c r="AV200" s="1" t="s">
        <v>1071</v>
      </c>
      <c r="AW200" s="1">
        <v>6065</v>
      </c>
      <c r="AX200" s="1">
        <v>2980</v>
      </c>
      <c r="AY200" s="1">
        <v>2293</v>
      </c>
      <c r="AZ200" s="1">
        <v>755</v>
      </c>
      <c r="BA200" s="1">
        <v>37</v>
      </c>
      <c r="BB200" s="1">
        <v>0</v>
      </c>
      <c r="BC200" s="1">
        <v>0</v>
      </c>
      <c r="BD200" s="1">
        <v>0</v>
      </c>
      <c r="BE200" s="1">
        <v>0</v>
      </c>
      <c r="BF200" s="1">
        <v>0</v>
      </c>
      <c r="BG200" s="1">
        <v>0</v>
      </c>
      <c r="BH200" s="4">
        <v>-0.995</v>
      </c>
      <c r="BI200" s="4">
        <v>25.827000000000002</v>
      </c>
      <c r="BJ200" s="4">
        <v>10.378928</v>
      </c>
      <c r="BK200" s="4">
        <v>-0.143508</v>
      </c>
      <c r="BL200" s="4">
        <v>9.4635210000000001</v>
      </c>
      <c r="BM200" s="4">
        <v>89.558235999999994</v>
      </c>
      <c r="BN200" s="4">
        <v>0.91180099999999997</v>
      </c>
      <c r="BO200" s="4">
        <v>19.745999999999999</v>
      </c>
      <c r="BP200" s="4">
        <v>2.4060000000000002E-2</v>
      </c>
      <c r="BQ200" s="4">
        <v>1.304745</v>
      </c>
      <c r="BR200" s="4">
        <v>8.8178719999999995</v>
      </c>
      <c r="BS200" s="4">
        <v>10.589999000000001</v>
      </c>
      <c r="BT200" s="4">
        <v>12.315507999999999</v>
      </c>
      <c r="BU200" s="4">
        <v>10.378928</v>
      </c>
      <c r="BV200" s="4">
        <v>5.2347409999999996</v>
      </c>
      <c r="BW200" s="4">
        <v>0.29879800000000001</v>
      </c>
      <c r="BX200" s="4">
        <v>-0.76536000000000004</v>
      </c>
      <c r="BY200" s="4">
        <v>0.50436199999999998</v>
      </c>
      <c r="BZ200" s="4">
        <v>5.7079999999999999E-2</v>
      </c>
      <c r="CA200" s="4">
        <v>-0.146208</v>
      </c>
      <c r="CB200" s="4">
        <v>-0.374</v>
      </c>
      <c r="CC200" s="4">
        <v>-0.17080000000000001</v>
      </c>
      <c r="CD200" s="4">
        <v>-9.5000000000000001E-2</v>
      </c>
      <c r="CE200" s="4">
        <v>0</v>
      </c>
      <c r="CF200" s="4">
        <v>0.05</v>
      </c>
      <c r="CG200" s="4">
        <v>9.5000000000000001E-2</v>
      </c>
      <c r="CH200" s="4">
        <v>0.26900000000000002</v>
      </c>
      <c r="CI200" s="4">
        <v>12.172000000000001</v>
      </c>
      <c r="CJ200" s="4">
        <v>15.205</v>
      </c>
      <c r="CK200" s="4">
        <v>18.760999999999999</v>
      </c>
      <c r="CL200" s="4">
        <v>19.795999999999999</v>
      </c>
      <c r="CM200" s="4">
        <v>20.629000000000001</v>
      </c>
      <c r="CN200" s="4">
        <v>22.454799999999999</v>
      </c>
      <c r="CO200" s="4">
        <v>23.316198</v>
      </c>
      <c r="CP200" s="4">
        <v>24.673556999999999</v>
      </c>
      <c r="CQ200" s="4">
        <v>0.42405199999999998</v>
      </c>
      <c r="CR200" s="4">
        <v>14.045128</v>
      </c>
      <c r="CS200" s="4">
        <v>15.776209</v>
      </c>
      <c r="CT200" s="1">
        <v>1</v>
      </c>
      <c r="CU200" s="1">
        <v>54</v>
      </c>
      <c r="CV200" s="4">
        <v>13.251772000000001</v>
      </c>
      <c r="CW200" s="4">
        <v>1</v>
      </c>
      <c r="CX200" s="4">
        <v>11.016887000000001</v>
      </c>
      <c r="CY200" s="4">
        <v>121.371791</v>
      </c>
      <c r="CZ200" s="4">
        <v>0.83135199999999998</v>
      </c>
      <c r="DA200" s="4">
        <v>13</v>
      </c>
      <c r="DB200" s="4">
        <v>1.2741309999999999</v>
      </c>
      <c r="DC200" s="4">
        <v>4.1187360000000002</v>
      </c>
      <c r="DD200" s="4">
        <v>8.5358549999999997</v>
      </c>
      <c r="DE200" s="4">
        <v>13.251772000000001</v>
      </c>
      <c r="DF200" s="4">
        <v>5.8325149999999999</v>
      </c>
      <c r="DG200" s="4">
        <v>1.64246</v>
      </c>
      <c r="DH200" s="4">
        <v>0.79387700000000005</v>
      </c>
      <c r="DI200" s="4">
        <v>0.44013099999999999</v>
      </c>
      <c r="DJ200" s="4">
        <v>0.28160400000000002</v>
      </c>
      <c r="DK200" s="4">
        <v>0.13611200000000001</v>
      </c>
      <c r="DL200" s="4">
        <v>1</v>
      </c>
      <c r="DM200" s="4">
        <v>1</v>
      </c>
      <c r="DN200" s="4">
        <v>2</v>
      </c>
      <c r="DO200" s="4">
        <v>4</v>
      </c>
      <c r="DP200" s="4">
        <v>5</v>
      </c>
      <c r="DQ200" s="4">
        <v>6</v>
      </c>
      <c r="DR200" s="4">
        <v>8</v>
      </c>
      <c r="DS200" s="4">
        <v>10</v>
      </c>
      <c r="DT200" s="4">
        <v>13</v>
      </c>
      <c r="DU200" s="4">
        <v>16</v>
      </c>
      <c r="DV200" s="4">
        <v>18</v>
      </c>
      <c r="DW200" s="4">
        <v>21</v>
      </c>
      <c r="DX200" s="4">
        <v>30</v>
      </c>
      <c r="DY200" s="4">
        <v>38</v>
      </c>
      <c r="DZ200" s="4">
        <v>46</v>
      </c>
      <c r="EA200" s="4">
        <v>88.288590999999997</v>
      </c>
      <c r="EB200" s="4">
        <v>58.384171000000002</v>
      </c>
      <c r="EC200" s="4">
        <v>118.825503</v>
      </c>
      <c r="ED200" s="4">
        <v>2631</v>
      </c>
      <c r="EE200" s="4">
        <v>3541</v>
      </c>
      <c r="EF200" s="4">
        <v>85.838926000000001</v>
      </c>
      <c r="EG200" s="4">
        <v>99.932885999999996</v>
      </c>
      <c r="EH200" s="4">
        <v>54.212696000000001</v>
      </c>
      <c r="EI200" s="4">
        <v>93.619125999999994</v>
      </c>
      <c r="EJ200" s="4">
        <v>110.33557</v>
      </c>
      <c r="EK200" s="4">
        <v>190.536913</v>
      </c>
      <c r="EL200" s="4">
        <v>2558</v>
      </c>
      <c r="EM200" s="4">
        <v>2978</v>
      </c>
      <c r="EN200" s="4">
        <v>3288</v>
      </c>
      <c r="EO200" s="4">
        <v>5678</v>
      </c>
      <c r="EP200" s="4">
        <v>2980</v>
      </c>
      <c r="EQ200" s="4">
        <v>6065</v>
      </c>
      <c r="ER200" s="4">
        <v>41.165002999999999</v>
      </c>
    </row>
    <row r="201" spans="1:148" x14ac:dyDescent="0.2">
      <c r="A201" s="1">
        <v>2022</v>
      </c>
      <c r="B201" s="1" t="str">
        <f t="shared" si="6"/>
        <v>RD</v>
      </c>
      <c r="C201" s="1" t="s">
        <v>1072</v>
      </c>
      <c r="D201" s="1" t="s">
        <v>1072</v>
      </c>
      <c r="E201" s="1">
        <v>25403</v>
      </c>
      <c r="F201" s="1" t="s">
        <v>2119</v>
      </c>
      <c r="G201" s="1" t="s">
        <v>236</v>
      </c>
      <c r="H201" s="1" t="s">
        <v>1073</v>
      </c>
      <c r="I201" s="1">
        <v>55.74</v>
      </c>
      <c r="J201" s="1">
        <v>55.74</v>
      </c>
      <c r="K201" s="1" t="s">
        <v>210</v>
      </c>
      <c r="L201" s="1">
        <v>1</v>
      </c>
      <c r="M201" s="1">
        <v>2017</v>
      </c>
      <c r="N201" s="1">
        <v>2</v>
      </c>
      <c r="O201" s="1">
        <v>2</v>
      </c>
      <c r="P201" s="1" t="str">
        <f t="shared" si="7"/>
        <v>Talhadia</v>
      </c>
      <c r="Q201" s="2">
        <v>42880</v>
      </c>
      <c r="R201" s="1" t="s">
        <v>227</v>
      </c>
      <c r="S201" s="1" t="s">
        <v>822</v>
      </c>
      <c r="T201" s="1" t="s">
        <v>2268</v>
      </c>
      <c r="U201" s="1" t="s">
        <v>212</v>
      </c>
      <c r="V201" s="1" t="s">
        <v>152</v>
      </c>
      <c r="W201" s="2">
        <v>44819</v>
      </c>
      <c r="X201" s="1" t="s">
        <v>239</v>
      </c>
      <c r="Y201" s="1">
        <v>209.41</v>
      </c>
      <c r="Z201" s="1">
        <v>21.3</v>
      </c>
      <c r="AA201" s="1">
        <v>3</v>
      </c>
      <c r="AB201" s="1">
        <v>14.7</v>
      </c>
      <c r="AC201" s="1">
        <v>2</v>
      </c>
      <c r="AD201" s="3">
        <v>313.11</v>
      </c>
      <c r="AE201" s="3">
        <v>312.49041687496202</v>
      </c>
      <c r="AF201" s="2">
        <v>44819</v>
      </c>
      <c r="AG201" s="1">
        <v>64</v>
      </c>
      <c r="AH201" s="3">
        <v>5.30869267624914</v>
      </c>
      <c r="AI201" s="4">
        <v>23.614349123752898</v>
      </c>
      <c r="AJ201" s="4">
        <v>14.08</v>
      </c>
      <c r="AK201" s="4">
        <v>12.7596808260706</v>
      </c>
      <c r="AL201" s="1">
        <v>25</v>
      </c>
      <c r="AM201" s="5">
        <v>800.02453355244302</v>
      </c>
      <c r="AN201" s="4">
        <v>136.810713021499</v>
      </c>
      <c r="AO201" s="4">
        <v>0.17100814698019601</v>
      </c>
      <c r="AP201" s="1" t="s">
        <v>822</v>
      </c>
      <c r="AQ201" s="1" t="s">
        <v>254</v>
      </c>
      <c r="AR201" s="1" t="s">
        <v>242</v>
      </c>
      <c r="AS201" s="1">
        <v>7.5</v>
      </c>
      <c r="AT201" s="4">
        <v>0.60001840016433228</v>
      </c>
      <c r="AU201" s="1" t="s">
        <v>1074</v>
      </c>
      <c r="AV201" s="1" t="s">
        <v>1075</v>
      </c>
      <c r="AW201" s="1">
        <v>6668</v>
      </c>
      <c r="AX201" s="1">
        <v>4114</v>
      </c>
      <c r="AY201" s="1">
        <v>2208</v>
      </c>
      <c r="AZ201" s="1">
        <v>335</v>
      </c>
      <c r="BA201" s="1">
        <v>11</v>
      </c>
      <c r="BB201" s="1">
        <v>0</v>
      </c>
      <c r="BC201" s="1">
        <v>0</v>
      </c>
      <c r="BD201" s="1">
        <v>0</v>
      </c>
      <c r="BE201" s="1">
        <v>0</v>
      </c>
      <c r="BF201" s="1">
        <v>0</v>
      </c>
      <c r="BG201" s="1">
        <v>0</v>
      </c>
      <c r="BH201" s="4">
        <v>-0.91900000000000004</v>
      </c>
      <c r="BI201" s="4">
        <v>23.315000999999999</v>
      </c>
      <c r="BJ201" s="4">
        <v>6.9704860000000002</v>
      </c>
      <c r="BK201" s="4">
        <v>-0.14966699999999999</v>
      </c>
      <c r="BL201" s="4">
        <v>8.5306770000000007</v>
      </c>
      <c r="BM201" s="4">
        <v>72.772443999999993</v>
      </c>
      <c r="BN201" s="4">
        <v>1.2238279999999999</v>
      </c>
      <c r="BO201" s="4">
        <v>16.305999</v>
      </c>
      <c r="BP201" s="4">
        <v>0.59528700000000001</v>
      </c>
      <c r="BQ201" s="4">
        <v>1.600312</v>
      </c>
      <c r="BR201" s="4">
        <v>7.8960330000000001</v>
      </c>
      <c r="BS201" s="4">
        <v>0.38800000000000001</v>
      </c>
      <c r="BT201" s="4">
        <v>0.35066700000000001</v>
      </c>
      <c r="BU201" s="4">
        <v>6.9704860000000002</v>
      </c>
      <c r="BV201" s="4">
        <v>4.4677360000000004</v>
      </c>
      <c r="BW201" s="4">
        <v>1.2895000000000001</v>
      </c>
      <c r="BX201" s="4">
        <v>-0.39497399999999999</v>
      </c>
      <c r="BY201" s="4">
        <v>0.64095000000000002</v>
      </c>
      <c r="BZ201" s="4">
        <v>0.28862500000000002</v>
      </c>
      <c r="CA201" s="4">
        <v>-8.8405999999999998E-2</v>
      </c>
      <c r="CB201" s="4">
        <v>-0.41</v>
      </c>
      <c r="CC201" s="4">
        <v>-0.21065</v>
      </c>
      <c r="CD201" s="4">
        <v>-0.13300000000000001</v>
      </c>
      <c r="CE201" s="4">
        <v>-0.03</v>
      </c>
      <c r="CF201" s="4">
        <v>5.0000000000000001E-3</v>
      </c>
      <c r="CG201" s="4">
        <v>3.5999999999999997E-2</v>
      </c>
      <c r="CH201" s="4">
        <v>9.8000000000000004E-2</v>
      </c>
      <c r="CI201" s="4">
        <v>0.19350000000000001</v>
      </c>
      <c r="CJ201" s="4">
        <v>7.0693989999999998</v>
      </c>
      <c r="CK201" s="4">
        <v>14.387899000000001</v>
      </c>
      <c r="CL201" s="4">
        <v>16.310998999999999</v>
      </c>
      <c r="CM201" s="4">
        <v>17.559200000000001</v>
      </c>
      <c r="CN201" s="4">
        <v>20.277901</v>
      </c>
      <c r="CO201" s="4">
        <v>21.137650000000001</v>
      </c>
      <c r="CP201" s="4">
        <v>22.477633000000001</v>
      </c>
      <c r="CQ201" s="4">
        <v>0.32555400000000001</v>
      </c>
      <c r="CR201" s="4">
        <v>11.015862</v>
      </c>
      <c r="CS201" s="4">
        <v>13.06423</v>
      </c>
      <c r="CT201" s="1">
        <v>1</v>
      </c>
      <c r="CU201" s="1">
        <v>48</v>
      </c>
      <c r="CV201" s="4">
        <v>15.243551</v>
      </c>
      <c r="CW201" s="4">
        <v>1</v>
      </c>
      <c r="CX201" s="4">
        <v>11.932353000000001</v>
      </c>
      <c r="CY201" s="4">
        <v>142.38105200000001</v>
      </c>
      <c r="CZ201" s="4">
        <v>0.78278000000000003</v>
      </c>
      <c r="DA201" s="4">
        <v>20</v>
      </c>
      <c r="DB201" s="4">
        <v>0.68882500000000002</v>
      </c>
      <c r="DC201" s="4">
        <v>2.22377</v>
      </c>
      <c r="DD201" s="4">
        <v>10.197556000000001</v>
      </c>
      <c r="DE201" s="4">
        <v>15.243551</v>
      </c>
      <c r="DF201" s="4">
        <v>6.645721</v>
      </c>
      <c r="DG201" s="4">
        <v>1.364832</v>
      </c>
      <c r="DH201" s="4">
        <v>0.15492900000000001</v>
      </c>
      <c r="DI201" s="4">
        <v>0.435969</v>
      </c>
      <c r="DJ201" s="4">
        <v>0.20537</v>
      </c>
      <c r="DK201" s="4">
        <v>2.3313E-2</v>
      </c>
      <c r="DL201" s="4">
        <v>1</v>
      </c>
      <c r="DM201" s="4">
        <v>1</v>
      </c>
      <c r="DN201" s="4">
        <v>2</v>
      </c>
      <c r="DO201" s="4">
        <v>4</v>
      </c>
      <c r="DP201" s="4">
        <v>5</v>
      </c>
      <c r="DQ201" s="4">
        <v>6</v>
      </c>
      <c r="DR201" s="4">
        <v>9</v>
      </c>
      <c r="DS201" s="4">
        <v>11</v>
      </c>
      <c r="DT201" s="4">
        <v>15</v>
      </c>
      <c r="DU201" s="4">
        <v>21</v>
      </c>
      <c r="DV201" s="4">
        <v>25</v>
      </c>
      <c r="DW201" s="4">
        <v>28</v>
      </c>
      <c r="DX201" s="4">
        <v>34</v>
      </c>
      <c r="DY201" s="4">
        <v>37.649901999999997</v>
      </c>
      <c r="DZ201" s="4">
        <v>42</v>
      </c>
      <c r="EA201" s="4">
        <v>60.038891999999997</v>
      </c>
      <c r="EB201" s="4">
        <v>43.776245000000003</v>
      </c>
      <c r="EC201" s="4">
        <v>70.952843999999999</v>
      </c>
      <c r="ED201" s="4">
        <v>2470</v>
      </c>
      <c r="EE201" s="4">
        <v>2919</v>
      </c>
      <c r="EF201" s="4">
        <v>57.438017000000002</v>
      </c>
      <c r="EG201" s="4">
        <v>99.829848999999996</v>
      </c>
      <c r="EH201" s="4">
        <v>40.326934999999999</v>
      </c>
      <c r="EI201" s="4">
        <v>91.286743000000001</v>
      </c>
      <c r="EJ201" s="4">
        <v>65.362178</v>
      </c>
      <c r="EK201" s="4">
        <v>147.958192</v>
      </c>
      <c r="EL201" s="4">
        <v>2363</v>
      </c>
      <c r="EM201" s="4">
        <v>4107</v>
      </c>
      <c r="EN201" s="4">
        <v>2689</v>
      </c>
      <c r="EO201" s="4">
        <v>6087</v>
      </c>
      <c r="EP201" s="4">
        <v>4114</v>
      </c>
      <c r="EQ201" s="4">
        <v>6668</v>
      </c>
      <c r="ER201" s="4">
        <v>30.147888999999999</v>
      </c>
    </row>
    <row r="202" spans="1:148" x14ac:dyDescent="0.2">
      <c r="A202" s="1">
        <v>2022</v>
      </c>
      <c r="B202" s="1" t="str">
        <f t="shared" si="6"/>
        <v>NE</v>
      </c>
      <c r="C202" s="1" t="s">
        <v>1076</v>
      </c>
      <c r="D202" s="1" t="s">
        <v>1076</v>
      </c>
      <c r="E202" s="1">
        <v>25431</v>
      </c>
      <c r="F202" s="1" t="s">
        <v>2120</v>
      </c>
      <c r="G202" s="1" t="s">
        <v>318</v>
      </c>
      <c r="H202" s="1" t="s">
        <v>1077</v>
      </c>
      <c r="I202" s="1">
        <v>54.88</v>
      </c>
      <c r="J202" s="1">
        <v>54.88</v>
      </c>
      <c r="K202" s="1" t="s">
        <v>184</v>
      </c>
      <c r="L202" s="1">
        <v>1</v>
      </c>
      <c r="M202" s="1">
        <v>2017</v>
      </c>
      <c r="N202" s="1">
        <v>2</v>
      </c>
      <c r="O202" s="1">
        <v>2</v>
      </c>
      <c r="P202" s="1" t="str">
        <f t="shared" si="7"/>
        <v>Talhadia</v>
      </c>
      <c r="Q202" s="2">
        <v>42748</v>
      </c>
      <c r="R202" s="1" t="s">
        <v>169</v>
      </c>
      <c r="S202" s="1" t="s">
        <v>150</v>
      </c>
      <c r="T202" s="1" t="s">
        <v>2268</v>
      </c>
      <c r="U202" s="1" t="s">
        <v>170</v>
      </c>
      <c r="V202" s="1" t="s">
        <v>152</v>
      </c>
      <c r="W202" s="2">
        <v>44795</v>
      </c>
      <c r="X202" s="1" t="s">
        <v>320</v>
      </c>
      <c r="Y202" s="1">
        <v>70.88</v>
      </c>
      <c r="Z202" s="1">
        <v>21</v>
      </c>
      <c r="AA202" s="1">
        <v>19</v>
      </c>
      <c r="AB202" s="1">
        <v>14.7</v>
      </c>
      <c r="AC202" s="1">
        <v>2</v>
      </c>
      <c r="AD202" s="3">
        <v>308.7</v>
      </c>
      <c r="AE202" s="3">
        <v>291.70377791273802</v>
      </c>
      <c r="AF202" s="2">
        <v>44795</v>
      </c>
      <c r="AG202" s="1">
        <v>67</v>
      </c>
      <c r="AH202" s="3">
        <v>5.6043805612594104</v>
      </c>
      <c r="AI202" s="4">
        <v>20.727827989667801</v>
      </c>
      <c r="AJ202" s="4">
        <v>15.1903225806452</v>
      </c>
      <c r="AK202" s="4">
        <v>21.305715729866002</v>
      </c>
      <c r="AL202" s="1">
        <v>31</v>
      </c>
      <c r="AM202" s="5">
        <v>1062.72192365207</v>
      </c>
      <c r="AN202" s="4">
        <v>201.93631335690799</v>
      </c>
      <c r="AO202" s="4">
        <v>0.190018017754776</v>
      </c>
      <c r="AP202" s="1" t="s">
        <v>150</v>
      </c>
      <c r="AQ202" s="1" t="s">
        <v>254</v>
      </c>
      <c r="AR202" s="1" t="s">
        <v>275</v>
      </c>
      <c r="AS202" s="1">
        <v>9</v>
      </c>
      <c r="AT202" s="4">
        <v>0.95644973128686306</v>
      </c>
      <c r="AU202" s="1" t="s">
        <v>1078</v>
      </c>
      <c r="AV202" s="1" t="s">
        <v>1079</v>
      </c>
      <c r="AW202" s="1">
        <v>3237</v>
      </c>
      <c r="AX202" s="1">
        <v>1606</v>
      </c>
      <c r="AY202" s="1">
        <v>1270</v>
      </c>
      <c r="AZ202" s="1">
        <v>328</v>
      </c>
      <c r="BA202" s="1">
        <v>33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4">
        <v>-1.0860000000000001</v>
      </c>
      <c r="BI202" s="4">
        <v>25.843</v>
      </c>
      <c r="BJ202" s="4">
        <v>11.194692</v>
      </c>
      <c r="BK202" s="4">
        <v>-0.23111100000000001</v>
      </c>
      <c r="BL202" s="4">
        <v>9.8606499999999997</v>
      </c>
      <c r="BM202" s="4">
        <v>97.232412999999994</v>
      </c>
      <c r="BN202" s="4">
        <v>0.88083299999999998</v>
      </c>
      <c r="BO202" s="4">
        <v>21.032999</v>
      </c>
      <c r="BP202" s="4">
        <v>-9.0570999999999999E-2</v>
      </c>
      <c r="BQ202" s="4">
        <v>1.2404980000000001</v>
      </c>
      <c r="BR202" s="4">
        <v>9.3039459999999998</v>
      </c>
      <c r="BS202" s="4">
        <v>9.0390010000000007</v>
      </c>
      <c r="BT202" s="4">
        <v>14.055111999999999</v>
      </c>
      <c r="BU202" s="4">
        <v>11.194692</v>
      </c>
      <c r="BV202" s="4">
        <v>5.4103149999999998</v>
      </c>
      <c r="BW202" s="4">
        <v>4.5437999999999999E-2</v>
      </c>
      <c r="BX202" s="4">
        <v>-0.89110199999999995</v>
      </c>
      <c r="BY202" s="4">
        <v>0.48329299999999997</v>
      </c>
      <c r="BZ202" s="4">
        <v>8.3979999999999992E-3</v>
      </c>
      <c r="CA202" s="4">
        <v>-0.16470399999999999</v>
      </c>
      <c r="CB202" s="4">
        <v>-0.30456</v>
      </c>
      <c r="CC202" s="4">
        <v>-0.158</v>
      </c>
      <c r="CD202" s="4">
        <v>-8.5000000000000006E-2</v>
      </c>
      <c r="CE202" s="4">
        <v>6.0000000000000001E-3</v>
      </c>
      <c r="CF202" s="4">
        <v>4.4999999999999998E-2</v>
      </c>
      <c r="CG202" s="4">
        <v>9.3799999999999994E-2</v>
      </c>
      <c r="CH202" s="4">
        <v>0.33279999999999998</v>
      </c>
      <c r="CI202" s="4">
        <v>13.824</v>
      </c>
      <c r="CJ202" s="4">
        <v>17.444799</v>
      </c>
      <c r="CK202" s="4">
        <v>20.377800000000001</v>
      </c>
      <c r="CL202" s="4">
        <v>21.077998999999998</v>
      </c>
      <c r="CM202" s="4">
        <v>21.4984</v>
      </c>
      <c r="CN202" s="4">
        <v>22.732800000000001</v>
      </c>
      <c r="CO202" s="4">
        <v>23.676399</v>
      </c>
      <c r="CP202" s="4">
        <v>24.756039000000001</v>
      </c>
      <c r="CQ202" s="4">
        <v>0.45604</v>
      </c>
      <c r="CR202" s="4">
        <v>14.917222000000001</v>
      </c>
      <c r="CS202" s="4">
        <v>16.607585</v>
      </c>
      <c r="CT202" s="1">
        <v>1</v>
      </c>
      <c r="CU202" s="1">
        <v>57</v>
      </c>
      <c r="CV202" s="4">
        <v>16.490269000000001</v>
      </c>
      <c r="CW202" s="4">
        <v>1</v>
      </c>
      <c r="CX202" s="4">
        <v>11.187123</v>
      </c>
      <c r="CY202" s="4">
        <v>125.151713</v>
      </c>
      <c r="CZ202" s="4">
        <v>0.67840800000000001</v>
      </c>
      <c r="DA202" s="4">
        <v>17</v>
      </c>
      <c r="DB202" s="4">
        <v>0.66597700000000004</v>
      </c>
      <c r="DC202" s="4">
        <v>2.9434550000000002</v>
      </c>
      <c r="DD202" s="4">
        <v>9.274813</v>
      </c>
      <c r="DE202" s="4">
        <v>16.490269000000001</v>
      </c>
      <c r="DF202" s="4">
        <v>6.2800669999999998</v>
      </c>
      <c r="DG202" s="4">
        <v>0.87734000000000001</v>
      </c>
      <c r="DH202" s="4">
        <v>0.37959199999999998</v>
      </c>
      <c r="DI202" s="4">
        <v>0.38083499999999998</v>
      </c>
      <c r="DJ202" s="4">
        <v>0.13970199999999999</v>
      </c>
      <c r="DK202" s="4">
        <v>6.0443999999999998E-2</v>
      </c>
      <c r="DL202" s="4">
        <v>1</v>
      </c>
      <c r="DM202" s="4">
        <v>2</v>
      </c>
      <c r="DN202" s="4">
        <v>3</v>
      </c>
      <c r="DO202" s="4">
        <v>6</v>
      </c>
      <c r="DP202" s="4">
        <v>7</v>
      </c>
      <c r="DQ202" s="4">
        <v>8</v>
      </c>
      <c r="DR202" s="4">
        <v>12</v>
      </c>
      <c r="DS202" s="4">
        <v>15</v>
      </c>
      <c r="DT202" s="4">
        <v>18</v>
      </c>
      <c r="DU202" s="4">
        <v>22</v>
      </c>
      <c r="DV202" s="4">
        <v>24</v>
      </c>
      <c r="DW202" s="4">
        <v>26</v>
      </c>
      <c r="DX202" s="4">
        <v>31</v>
      </c>
      <c r="DY202" s="4">
        <v>37</v>
      </c>
      <c r="DZ202" s="4">
        <v>47</v>
      </c>
      <c r="EA202" s="4">
        <v>95.703610999999995</v>
      </c>
      <c r="EB202" s="4">
        <v>59.375965000000001</v>
      </c>
      <c r="EC202" s="4">
        <v>119.676214</v>
      </c>
      <c r="ED202" s="4">
        <v>1537</v>
      </c>
      <c r="EE202" s="4">
        <v>1922</v>
      </c>
      <c r="EF202" s="4">
        <v>94.084682000000001</v>
      </c>
      <c r="EG202" s="4">
        <v>100</v>
      </c>
      <c r="EH202" s="4">
        <v>55.607044000000002</v>
      </c>
      <c r="EI202" s="4">
        <v>97.930182000000002</v>
      </c>
      <c r="EJ202" s="4">
        <v>112.079701</v>
      </c>
      <c r="EK202" s="4">
        <v>197.384807</v>
      </c>
      <c r="EL202" s="4">
        <v>1511</v>
      </c>
      <c r="EM202" s="4">
        <v>1606</v>
      </c>
      <c r="EN202" s="4">
        <v>1800</v>
      </c>
      <c r="EO202" s="4">
        <v>3170</v>
      </c>
      <c r="EP202" s="4">
        <v>1606</v>
      </c>
      <c r="EQ202" s="4">
        <v>3237</v>
      </c>
      <c r="ER202" s="4">
        <v>44.344130999999997</v>
      </c>
    </row>
    <row r="203" spans="1:148" x14ac:dyDescent="0.2">
      <c r="A203" s="1">
        <v>2022</v>
      </c>
      <c r="B203" s="1" t="str">
        <f t="shared" si="6"/>
        <v>NE</v>
      </c>
      <c r="C203" s="1" t="s">
        <v>1080</v>
      </c>
      <c r="D203" s="1" t="s">
        <v>1080</v>
      </c>
      <c r="E203" s="1">
        <v>25432</v>
      </c>
      <c r="F203" s="1" t="s">
        <v>2120</v>
      </c>
      <c r="G203" s="1" t="s">
        <v>318</v>
      </c>
      <c r="H203" s="1" t="s">
        <v>1077</v>
      </c>
      <c r="I203" s="1">
        <v>54.88</v>
      </c>
      <c r="J203" s="1">
        <v>54.88</v>
      </c>
      <c r="K203" s="1" t="s">
        <v>184</v>
      </c>
      <c r="L203" s="1">
        <v>1</v>
      </c>
      <c r="M203" s="1">
        <v>2017</v>
      </c>
      <c r="N203" s="1">
        <v>2</v>
      </c>
      <c r="O203" s="1">
        <v>2</v>
      </c>
      <c r="P203" s="1" t="str">
        <f t="shared" si="7"/>
        <v>Talhadia</v>
      </c>
      <c r="Q203" s="2">
        <v>42748</v>
      </c>
      <c r="R203" s="1" t="s">
        <v>169</v>
      </c>
      <c r="S203" s="1" t="s">
        <v>150</v>
      </c>
      <c r="T203" s="1" t="s">
        <v>2268</v>
      </c>
      <c r="U203" s="1" t="s">
        <v>170</v>
      </c>
      <c r="V203" s="1" t="s">
        <v>152</v>
      </c>
      <c r="W203" s="2">
        <v>44795</v>
      </c>
      <c r="X203" s="1" t="s">
        <v>320</v>
      </c>
      <c r="Y203" s="1">
        <v>70.88</v>
      </c>
      <c r="Z203" s="1">
        <v>19</v>
      </c>
      <c r="AA203" s="1">
        <v>12</v>
      </c>
      <c r="AB203" s="1">
        <v>16.2</v>
      </c>
      <c r="AC203" s="1">
        <v>7</v>
      </c>
      <c r="AD203" s="3">
        <v>307.8</v>
      </c>
      <c r="AE203" s="3">
        <v>298.82967282105398</v>
      </c>
      <c r="AF203" s="2">
        <v>44795</v>
      </c>
      <c r="AG203" s="1">
        <v>67</v>
      </c>
      <c r="AH203" s="3">
        <v>5.6043805612594104</v>
      </c>
      <c r="AI203" s="4">
        <v>19.122086994815099</v>
      </c>
      <c r="AJ203" s="4">
        <v>16.86</v>
      </c>
      <c r="AK203" s="4">
        <v>23.810129775229999</v>
      </c>
      <c r="AL203" s="1">
        <v>30</v>
      </c>
      <c r="AM203" s="5">
        <v>1003.91636870561</v>
      </c>
      <c r="AN203" s="4">
        <v>194.47149322089601</v>
      </c>
      <c r="AO203" s="4">
        <v>0.19371284230740801</v>
      </c>
      <c r="AP203" s="1" t="s">
        <v>150</v>
      </c>
      <c r="AQ203" s="1" t="s">
        <v>254</v>
      </c>
      <c r="AR203" s="1" t="s">
        <v>275</v>
      </c>
      <c r="AS203" s="1">
        <v>9</v>
      </c>
      <c r="AT203" s="4">
        <v>0.903524731835049</v>
      </c>
      <c r="AU203" s="1" t="s">
        <v>1081</v>
      </c>
      <c r="AV203" s="1" t="s">
        <v>1082</v>
      </c>
      <c r="AW203" s="1">
        <v>3937</v>
      </c>
      <c r="AX203" s="1">
        <v>1521</v>
      </c>
      <c r="AY203" s="1">
        <v>1744</v>
      </c>
      <c r="AZ203" s="1">
        <v>599</v>
      </c>
      <c r="BA203" s="1">
        <v>73</v>
      </c>
      <c r="BB203" s="1">
        <v>0</v>
      </c>
      <c r="BC203" s="1">
        <v>0</v>
      </c>
      <c r="BD203" s="1">
        <v>0</v>
      </c>
      <c r="BE203" s="1">
        <v>0</v>
      </c>
      <c r="BF203" s="1">
        <v>0</v>
      </c>
      <c r="BG203" s="1">
        <v>0</v>
      </c>
      <c r="BH203" s="4">
        <v>-0.874</v>
      </c>
      <c r="BI203" s="4">
        <v>27.222999999999999</v>
      </c>
      <c r="BJ203" s="4">
        <v>9.7255830000000003</v>
      </c>
      <c r="BK203" s="4">
        <v>1.7968000000000001E-2</v>
      </c>
      <c r="BL203" s="4">
        <v>9.8648260000000008</v>
      </c>
      <c r="BM203" s="4">
        <v>97.314789000000005</v>
      </c>
      <c r="BN203" s="4">
        <v>1.0143169999999999</v>
      </c>
      <c r="BO203" s="4">
        <v>19.850999999999999</v>
      </c>
      <c r="BP203" s="4">
        <v>0.22209999999999999</v>
      </c>
      <c r="BQ203" s="4">
        <v>1.314575</v>
      </c>
      <c r="BR203" s="4">
        <v>9.3208900000000003</v>
      </c>
      <c r="BS203" s="4">
        <v>8.2720000000000002</v>
      </c>
      <c r="BT203" s="4">
        <v>8.1730319999999992</v>
      </c>
      <c r="BU203" s="4">
        <v>9.7255830000000003</v>
      </c>
      <c r="BV203" s="4">
        <v>5.3815369999999998</v>
      </c>
      <c r="BW203" s="4">
        <v>0.73198200000000002</v>
      </c>
      <c r="BX203" s="4">
        <v>-0.783308</v>
      </c>
      <c r="BY203" s="4">
        <v>0.553338</v>
      </c>
      <c r="BZ203" s="4">
        <v>0.136017</v>
      </c>
      <c r="CA203" s="4">
        <v>-0.14555499999999999</v>
      </c>
      <c r="CB203" s="4">
        <v>-0.44363999999999998</v>
      </c>
      <c r="CC203" s="4">
        <v>-0.22900000000000001</v>
      </c>
      <c r="CD203" s="4">
        <v>-0.11700000000000001</v>
      </c>
      <c r="CE203" s="4">
        <v>-5.7999999999999996E-3</v>
      </c>
      <c r="CF203" s="4">
        <v>3.6999999999999998E-2</v>
      </c>
      <c r="CG203" s="4">
        <v>8.2000000000000003E-2</v>
      </c>
      <c r="CH203" s="4">
        <v>0.20039999999999999</v>
      </c>
      <c r="CI203" s="4">
        <v>8.1910000000000007</v>
      </c>
      <c r="CJ203" s="4">
        <v>15.190402000000001</v>
      </c>
      <c r="CK203" s="4">
        <v>18.796399999999998</v>
      </c>
      <c r="CL203" s="4">
        <v>19.888000000000002</v>
      </c>
      <c r="CM203" s="4">
        <v>20.749200999999999</v>
      </c>
      <c r="CN203" s="4">
        <v>22.486197000000001</v>
      </c>
      <c r="CO203" s="4">
        <v>24.379200000000001</v>
      </c>
      <c r="CP203" s="4">
        <v>26.255835999999999</v>
      </c>
      <c r="CQ203" s="4">
        <v>0.37724999999999997</v>
      </c>
      <c r="CR203" s="4">
        <v>13.851969</v>
      </c>
      <c r="CS203" s="4">
        <v>15.836456999999999</v>
      </c>
      <c r="CT203" s="1">
        <v>1</v>
      </c>
      <c r="CU203" s="1">
        <v>46</v>
      </c>
      <c r="CV203" s="4">
        <v>10.286512999999999</v>
      </c>
      <c r="CW203" s="4">
        <v>1</v>
      </c>
      <c r="CX203" s="4">
        <v>8.1712930000000004</v>
      </c>
      <c r="CY203" s="4">
        <v>66.770024000000006</v>
      </c>
      <c r="CZ203" s="4">
        <v>0.79437000000000002</v>
      </c>
      <c r="DA203" s="4">
        <v>11</v>
      </c>
      <c r="DB203" s="4">
        <v>1.0079739999999999</v>
      </c>
      <c r="DC203" s="4">
        <v>3.6159729999999999</v>
      </c>
      <c r="DD203" s="4">
        <v>6.657146</v>
      </c>
      <c r="DE203" s="4">
        <v>10.286512999999999</v>
      </c>
      <c r="DF203" s="4">
        <v>4.4604210000000002</v>
      </c>
      <c r="DG203" s="4">
        <v>1.0236229999999999</v>
      </c>
      <c r="DH203" s="4">
        <v>0.32780900000000002</v>
      </c>
      <c r="DI203" s="4">
        <v>0.433618</v>
      </c>
      <c r="DJ203" s="4">
        <v>0.22949</v>
      </c>
      <c r="DK203" s="4">
        <v>7.3493000000000003E-2</v>
      </c>
      <c r="DL203" s="4">
        <v>1</v>
      </c>
      <c r="DM203" s="4">
        <v>1</v>
      </c>
      <c r="DN203" s="4">
        <v>2</v>
      </c>
      <c r="DO203" s="4">
        <v>3</v>
      </c>
      <c r="DP203" s="4">
        <v>4</v>
      </c>
      <c r="DQ203" s="4">
        <v>4</v>
      </c>
      <c r="DR203" s="4">
        <v>6</v>
      </c>
      <c r="DS203" s="4">
        <v>8</v>
      </c>
      <c r="DT203" s="4">
        <v>11</v>
      </c>
      <c r="DU203" s="4">
        <v>14</v>
      </c>
      <c r="DV203" s="4">
        <v>15</v>
      </c>
      <c r="DW203" s="4">
        <v>17</v>
      </c>
      <c r="DX203" s="4">
        <v>23</v>
      </c>
      <c r="DY203" s="4">
        <v>26</v>
      </c>
      <c r="DZ203" s="4">
        <v>34</v>
      </c>
      <c r="EA203" s="4">
        <v>95.003287</v>
      </c>
      <c r="EB203" s="4">
        <v>53.289307000000001</v>
      </c>
      <c r="EC203" s="4">
        <v>137.93556899999999</v>
      </c>
      <c r="ED203" s="4">
        <v>1445</v>
      </c>
      <c r="EE203" s="4">
        <v>2098</v>
      </c>
      <c r="EF203" s="4">
        <v>93.688362999999995</v>
      </c>
      <c r="EG203" s="4">
        <v>99.737015</v>
      </c>
      <c r="EH203" s="4">
        <v>48.590297</v>
      </c>
      <c r="EI203" s="4">
        <v>76.987554000000003</v>
      </c>
      <c r="EJ203" s="4">
        <v>125.77251800000001</v>
      </c>
      <c r="EK203" s="4">
        <v>199.276792</v>
      </c>
      <c r="EL203" s="4">
        <v>1425</v>
      </c>
      <c r="EM203" s="4">
        <v>1517</v>
      </c>
      <c r="EN203" s="4">
        <v>1913</v>
      </c>
      <c r="EO203" s="4">
        <v>3031</v>
      </c>
      <c r="EP203" s="4">
        <v>1521</v>
      </c>
      <c r="EQ203" s="4">
        <v>3937</v>
      </c>
      <c r="ER203" s="4">
        <v>36.167079000000001</v>
      </c>
    </row>
    <row r="204" spans="1:148" x14ac:dyDescent="0.2">
      <c r="A204" s="1">
        <v>2022</v>
      </c>
      <c r="B204" s="1" t="str">
        <f t="shared" si="6"/>
        <v>NE</v>
      </c>
      <c r="C204" s="1" t="s">
        <v>1083</v>
      </c>
      <c r="D204" s="1" t="s">
        <v>1083</v>
      </c>
      <c r="E204" s="1">
        <v>25437</v>
      </c>
      <c r="F204" s="1" t="s">
        <v>2120</v>
      </c>
      <c r="G204" s="1" t="s">
        <v>318</v>
      </c>
      <c r="H204" s="1" t="s">
        <v>1077</v>
      </c>
      <c r="I204" s="1">
        <v>54.88</v>
      </c>
      <c r="J204" s="1">
        <v>54.88</v>
      </c>
      <c r="K204" s="1" t="s">
        <v>184</v>
      </c>
      <c r="L204" s="1">
        <v>1</v>
      </c>
      <c r="M204" s="1">
        <v>2017</v>
      </c>
      <c r="N204" s="1">
        <v>2</v>
      </c>
      <c r="O204" s="1">
        <v>2</v>
      </c>
      <c r="P204" s="1" t="str">
        <f t="shared" si="7"/>
        <v>Talhadia</v>
      </c>
      <c r="Q204" s="2">
        <v>42748</v>
      </c>
      <c r="R204" s="1" t="s">
        <v>169</v>
      </c>
      <c r="S204" s="1" t="s">
        <v>150</v>
      </c>
      <c r="T204" s="1" t="s">
        <v>2268</v>
      </c>
      <c r="U204" s="1" t="s">
        <v>170</v>
      </c>
      <c r="V204" s="1" t="s">
        <v>152</v>
      </c>
      <c r="W204" s="2">
        <v>44795</v>
      </c>
      <c r="X204" s="1" t="s">
        <v>320</v>
      </c>
      <c r="Y204" s="1">
        <v>70.88</v>
      </c>
      <c r="Z204" s="1">
        <v>19.7</v>
      </c>
      <c r="AA204" s="1">
        <v>16</v>
      </c>
      <c r="AB204" s="1">
        <v>16</v>
      </c>
      <c r="AC204" s="1">
        <v>3</v>
      </c>
      <c r="AD204" s="3">
        <v>315.2</v>
      </c>
      <c r="AE204" s="3">
        <v>302.57444972460502</v>
      </c>
      <c r="AF204" s="2">
        <v>44795</v>
      </c>
      <c r="AG204" s="1">
        <v>67</v>
      </c>
      <c r="AH204" s="3">
        <v>5.6043805612594104</v>
      </c>
      <c r="AI204" s="4">
        <v>20.428858316313701</v>
      </c>
      <c r="AJ204" s="4">
        <v>15.375</v>
      </c>
      <c r="AK204" s="4">
        <v>21.0252697218056</v>
      </c>
      <c r="AL204" s="1">
        <v>32</v>
      </c>
      <c r="AM204" s="5">
        <v>1057.5909508924301</v>
      </c>
      <c r="AN204" s="4">
        <v>191.337711963104</v>
      </c>
      <c r="AO204" s="4">
        <v>0.180918446590004</v>
      </c>
      <c r="AP204" s="1" t="s">
        <v>150</v>
      </c>
      <c r="AQ204" s="1" t="s">
        <v>254</v>
      </c>
      <c r="AR204" s="1" t="s">
        <v>275</v>
      </c>
      <c r="AS204" s="1">
        <v>9</v>
      </c>
      <c r="AT204" s="4">
        <v>0.95183185580318708</v>
      </c>
      <c r="AU204" s="1" t="s">
        <v>1084</v>
      </c>
      <c r="AV204" s="1" t="s">
        <v>1085</v>
      </c>
      <c r="AW204" s="1">
        <v>7068</v>
      </c>
      <c r="AX204" s="1">
        <v>2910</v>
      </c>
      <c r="AY204" s="1">
        <v>3035</v>
      </c>
      <c r="AZ204" s="1">
        <v>1026</v>
      </c>
      <c r="BA204" s="1">
        <v>97</v>
      </c>
      <c r="BB204" s="1">
        <v>0</v>
      </c>
      <c r="BC204" s="1">
        <v>0</v>
      </c>
      <c r="BD204" s="1">
        <v>0</v>
      </c>
      <c r="BE204" s="1">
        <v>0</v>
      </c>
      <c r="BF204" s="1">
        <v>0</v>
      </c>
      <c r="BG204" s="1">
        <v>0</v>
      </c>
      <c r="BH204" s="4">
        <v>-0.86</v>
      </c>
      <c r="BI204" s="4">
        <v>27.280000999999999</v>
      </c>
      <c r="BJ204" s="4">
        <v>10.256389</v>
      </c>
      <c r="BK204" s="4">
        <v>-0.41333300000000001</v>
      </c>
      <c r="BL204" s="4">
        <v>9.8038190000000007</v>
      </c>
      <c r="BM204" s="4">
        <v>96.114868000000001</v>
      </c>
      <c r="BN204" s="4">
        <v>0.955874</v>
      </c>
      <c r="BO204" s="4">
        <v>19.977</v>
      </c>
      <c r="BP204" s="4">
        <v>9.5544000000000004E-2</v>
      </c>
      <c r="BQ204" s="4">
        <v>1.2828599999999999</v>
      </c>
      <c r="BR204" s="4">
        <v>9.2394839999999991</v>
      </c>
      <c r="BS204" s="4">
        <v>11.2385</v>
      </c>
      <c r="BT204" s="4">
        <v>11.875833</v>
      </c>
      <c r="BU204" s="4">
        <v>10.256389</v>
      </c>
      <c r="BV204" s="4">
        <v>5.3835179999999996</v>
      </c>
      <c r="BW204" s="4">
        <v>0.472215</v>
      </c>
      <c r="BX204" s="4">
        <v>-0.81235100000000005</v>
      </c>
      <c r="BY204" s="4">
        <v>0.52489399999999997</v>
      </c>
      <c r="BZ204" s="4">
        <v>8.7715000000000001E-2</v>
      </c>
      <c r="CA204" s="4">
        <v>-0.150896</v>
      </c>
      <c r="CB204" s="4">
        <v>-0.41898999999999997</v>
      </c>
      <c r="CC204" s="4">
        <v>-0.19764999999999999</v>
      </c>
      <c r="CD204" s="4">
        <v>-0.108</v>
      </c>
      <c r="CE204" s="4">
        <v>-4.5999999999999999E-3</v>
      </c>
      <c r="CF204" s="4">
        <v>0.04</v>
      </c>
      <c r="CG204" s="4">
        <v>8.6999999999999994E-2</v>
      </c>
      <c r="CH204" s="4">
        <v>0.22700000000000001</v>
      </c>
      <c r="CI204" s="4">
        <v>11.4625</v>
      </c>
      <c r="CJ204" s="4">
        <v>16.048003999999999</v>
      </c>
      <c r="CK204" s="4">
        <v>18.825700999999999</v>
      </c>
      <c r="CL204" s="4">
        <v>20.016999999999999</v>
      </c>
      <c r="CM204" s="4">
        <v>21.029599999999999</v>
      </c>
      <c r="CN204" s="4">
        <v>22.733000000000001</v>
      </c>
      <c r="CO204" s="4">
        <v>23.808900999999999</v>
      </c>
      <c r="CP204" s="4">
        <v>25.826632</v>
      </c>
      <c r="CQ204" s="4">
        <v>0.39503899999999997</v>
      </c>
      <c r="CR204" s="4">
        <v>14.187839</v>
      </c>
      <c r="CS204" s="4">
        <v>16.038806000000001</v>
      </c>
      <c r="CT204" s="1">
        <v>1</v>
      </c>
      <c r="CU204" s="1">
        <v>44</v>
      </c>
      <c r="CV204" s="4">
        <v>10.497595</v>
      </c>
      <c r="CW204" s="4">
        <v>1</v>
      </c>
      <c r="CX204" s="4">
        <v>7.6259940000000004</v>
      </c>
      <c r="CY204" s="4">
        <v>58.155788999999999</v>
      </c>
      <c r="CZ204" s="4">
        <v>0.72645199999999999</v>
      </c>
      <c r="DA204" s="4">
        <v>11</v>
      </c>
      <c r="DB204" s="4">
        <v>0.94956300000000005</v>
      </c>
      <c r="DC204" s="4">
        <v>3.5127730000000001</v>
      </c>
      <c r="DD204" s="4">
        <v>6.1427779999999998</v>
      </c>
      <c r="DE204" s="4">
        <v>10.497595</v>
      </c>
      <c r="DF204" s="4">
        <v>4.1883100000000004</v>
      </c>
      <c r="DG204" s="4">
        <v>0.85711099999999996</v>
      </c>
      <c r="DH204" s="4">
        <v>0.38370799999999999</v>
      </c>
      <c r="DI204" s="4">
        <v>0.398978</v>
      </c>
      <c r="DJ204" s="4">
        <v>0.20464399999999999</v>
      </c>
      <c r="DK204" s="4">
        <v>9.1614000000000001E-2</v>
      </c>
      <c r="DL204" s="4">
        <v>1</v>
      </c>
      <c r="DM204" s="4">
        <v>1</v>
      </c>
      <c r="DN204" s="4">
        <v>2</v>
      </c>
      <c r="DO204" s="4">
        <v>4</v>
      </c>
      <c r="DP204" s="4">
        <v>4</v>
      </c>
      <c r="DQ204" s="4">
        <v>5</v>
      </c>
      <c r="DR204" s="4">
        <v>7</v>
      </c>
      <c r="DS204" s="4">
        <v>9</v>
      </c>
      <c r="DT204" s="4">
        <v>11</v>
      </c>
      <c r="DU204" s="4">
        <v>14</v>
      </c>
      <c r="DV204" s="4">
        <v>15</v>
      </c>
      <c r="DW204" s="4">
        <v>17</v>
      </c>
      <c r="DX204" s="4">
        <v>22</v>
      </c>
      <c r="DY204" s="4">
        <v>25</v>
      </c>
      <c r="DZ204" s="4">
        <v>32</v>
      </c>
      <c r="EA204" s="4">
        <v>96.907216000000005</v>
      </c>
      <c r="EB204" s="4">
        <v>55.645161000000002</v>
      </c>
      <c r="EC204" s="4">
        <v>135.154639</v>
      </c>
      <c r="ED204" s="4">
        <v>2820</v>
      </c>
      <c r="EE204" s="4">
        <v>3933</v>
      </c>
      <c r="EF204" s="4">
        <v>95.841924000000006</v>
      </c>
      <c r="EG204" s="4">
        <v>100</v>
      </c>
      <c r="EH204" s="4">
        <v>52.348613</v>
      </c>
      <c r="EI204" s="4">
        <v>98.981324000000001</v>
      </c>
      <c r="EJ204" s="4">
        <v>127.147766</v>
      </c>
      <c r="EK204" s="4">
        <v>240.41237100000001</v>
      </c>
      <c r="EL204" s="4">
        <v>2789</v>
      </c>
      <c r="EM204" s="4">
        <v>2910</v>
      </c>
      <c r="EN204" s="4">
        <v>3700</v>
      </c>
      <c r="EO204" s="4">
        <v>6996</v>
      </c>
      <c r="EP204" s="4">
        <v>2910</v>
      </c>
      <c r="EQ204" s="4">
        <v>7068</v>
      </c>
      <c r="ER204" s="4">
        <v>38.790401000000003</v>
      </c>
    </row>
    <row r="205" spans="1:148" x14ac:dyDescent="0.2">
      <c r="A205" s="1">
        <v>2022</v>
      </c>
      <c r="B205" s="1" t="str">
        <f t="shared" si="6"/>
        <v>NE</v>
      </c>
      <c r="C205" s="1" t="s">
        <v>1086</v>
      </c>
      <c r="D205" s="1" t="s">
        <v>1086</v>
      </c>
      <c r="E205" s="1">
        <v>25439</v>
      </c>
      <c r="F205" s="1" t="s">
        <v>2121</v>
      </c>
      <c r="G205" s="1" t="s">
        <v>318</v>
      </c>
      <c r="H205" s="1" t="s">
        <v>1087</v>
      </c>
      <c r="I205" s="1">
        <v>11.84</v>
      </c>
      <c r="J205" s="1">
        <v>11.84</v>
      </c>
      <c r="K205" s="1" t="s">
        <v>184</v>
      </c>
      <c r="L205" s="1">
        <v>1</v>
      </c>
      <c r="M205" s="1">
        <v>2017</v>
      </c>
      <c r="N205" s="1">
        <v>3</v>
      </c>
      <c r="O205" s="1">
        <v>1</v>
      </c>
      <c r="P205" s="1" t="str">
        <f t="shared" si="7"/>
        <v>Alto fuste</v>
      </c>
      <c r="Q205" s="2">
        <v>42824</v>
      </c>
      <c r="R205" s="1" t="s">
        <v>169</v>
      </c>
      <c r="S205" s="1" t="s">
        <v>442</v>
      </c>
      <c r="T205" s="1" t="s">
        <v>2268</v>
      </c>
      <c r="U205" s="1" t="s">
        <v>170</v>
      </c>
      <c r="V205" s="1" t="s">
        <v>152</v>
      </c>
      <c r="W205" s="2">
        <v>44796</v>
      </c>
      <c r="X205" s="1" t="s">
        <v>320</v>
      </c>
      <c r="Y205" s="1">
        <v>437.57</v>
      </c>
      <c r="Z205" s="1">
        <v>19</v>
      </c>
      <c r="AA205" s="1">
        <v>14</v>
      </c>
      <c r="AB205" s="1">
        <v>15.5</v>
      </c>
      <c r="AC205" s="1">
        <v>4</v>
      </c>
      <c r="AD205" s="3">
        <v>294.5</v>
      </c>
      <c r="AE205" s="3">
        <v>285.05601365550899</v>
      </c>
      <c r="AF205" s="2">
        <v>44796</v>
      </c>
      <c r="AG205" s="1">
        <v>65</v>
      </c>
      <c r="AH205" s="3">
        <v>5.3990417522245</v>
      </c>
      <c r="AI205" s="4">
        <v>26.794338943872599</v>
      </c>
      <c r="AJ205" s="4">
        <v>16.7846153846154</v>
      </c>
      <c r="AK205" s="4">
        <v>20.530186220604602</v>
      </c>
      <c r="AL205" s="1">
        <v>26</v>
      </c>
      <c r="AM205" s="5">
        <v>912.10143812019601</v>
      </c>
      <c r="AN205" s="4">
        <v>237.753839198657</v>
      </c>
      <c r="AO205" s="4">
        <v>0.260666006281777</v>
      </c>
      <c r="AP205" s="1" t="s">
        <v>442</v>
      </c>
      <c r="AQ205" s="1" t="s">
        <v>156</v>
      </c>
      <c r="AR205" s="1" t="s">
        <v>323</v>
      </c>
      <c r="AS205" s="1">
        <v>9</v>
      </c>
      <c r="AT205" s="4">
        <v>0.82089129430817642</v>
      </c>
      <c r="AU205" s="1" t="s">
        <v>1088</v>
      </c>
      <c r="AV205" s="1" t="s">
        <v>1089</v>
      </c>
      <c r="AW205" s="1">
        <v>3022</v>
      </c>
      <c r="AX205" s="1">
        <v>1725</v>
      </c>
      <c r="AY205" s="1">
        <v>1155</v>
      </c>
      <c r="AZ205" s="1">
        <v>137</v>
      </c>
      <c r="BA205" s="1">
        <v>5</v>
      </c>
      <c r="BB205" s="1">
        <v>0</v>
      </c>
      <c r="BC205" s="1">
        <v>0</v>
      </c>
      <c r="BD205" s="1">
        <v>0</v>
      </c>
      <c r="BE205" s="1">
        <v>0</v>
      </c>
      <c r="BF205" s="1">
        <v>0</v>
      </c>
      <c r="BG205" s="1">
        <v>0</v>
      </c>
      <c r="BH205" s="4">
        <v>-0.65600000000000003</v>
      </c>
      <c r="BI205" s="4">
        <v>29.832999999999998</v>
      </c>
      <c r="BJ205" s="4">
        <v>13.05505</v>
      </c>
      <c r="BK205" s="4">
        <v>-0.17204800000000001</v>
      </c>
      <c r="BL205" s="4">
        <v>12.815535000000001</v>
      </c>
      <c r="BM205" s="4">
        <v>164.23794100000001</v>
      </c>
      <c r="BN205" s="4">
        <v>0.981653</v>
      </c>
      <c r="BO205" s="4">
        <v>26.410751000000001</v>
      </c>
      <c r="BP205" s="4">
        <v>8.2883999999999999E-2</v>
      </c>
      <c r="BQ205" s="4">
        <v>1.0729409999999999</v>
      </c>
      <c r="BR205" s="4">
        <v>12.607495999999999</v>
      </c>
      <c r="BS205" s="4">
        <v>4.7815000000000003</v>
      </c>
      <c r="BT205" s="4">
        <v>4.6325469999999997</v>
      </c>
      <c r="BU205" s="4">
        <v>13.05505</v>
      </c>
      <c r="BV205" s="4">
        <v>6.7644250000000001</v>
      </c>
      <c r="BW205" s="4">
        <v>0.33936899999999998</v>
      </c>
      <c r="BX205" s="4">
        <v>-1.438142</v>
      </c>
      <c r="BY205" s="4">
        <v>0.518146</v>
      </c>
      <c r="BZ205" s="4">
        <v>5.0169999999999999E-2</v>
      </c>
      <c r="CA205" s="4">
        <v>-0.21260399999999999</v>
      </c>
      <c r="CB205" s="4">
        <v>-0.29337000000000002</v>
      </c>
      <c r="CC205" s="4">
        <v>-0.15195</v>
      </c>
      <c r="CD205" s="4">
        <v>-8.09E-2</v>
      </c>
      <c r="CE205" s="4">
        <v>2.9000000000000001E-2</v>
      </c>
      <c r="CF205" s="4">
        <v>7.4249999999999997E-2</v>
      </c>
      <c r="CG205" s="4">
        <v>0.129</v>
      </c>
      <c r="CH205" s="4">
        <v>0.78939999999999999</v>
      </c>
      <c r="CI205" s="4">
        <v>4.4604999999999997</v>
      </c>
      <c r="CJ205" s="4">
        <v>25.307600000000001</v>
      </c>
      <c r="CK205" s="4">
        <v>26.1127</v>
      </c>
      <c r="CL205" s="4">
        <v>26.485001</v>
      </c>
      <c r="CM205" s="4">
        <v>26.8248</v>
      </c>
      <c r="CN205" s="4">
        <v>27.568999999999999</v>
      </c>
      <c r="CO205" s="4">
        <v>28.094798999999998</v>
      </c>
      <c r="CP205" s="4">
        <v>28.902691000000001</v>
      </c>
      <c r="CQ205" s="4">
        <v>0.44970500000000002</v>
      </c>
      <c r="CR205" s="4">
        <v>18.292565</v>
      </c>
      <c r="CS205" s="4">
        <v>20.668797000000001</v>
      </c>
      <c r="CT205" s="1">
        <v>1</v>
      </c>
      <c r="CU205" s="1">
        <v>64</v>
      </c>
      <c r="CV205" s="4">
        <v>21.616147999999999</v>
      </c>
      <c r="CW205" s="4">
        <v>24</v>
      </c>
      <c r="CX205" s="4">
        <v>13.859878999999999</v>
      </c>
      <c r="CY205" s="4">
        <v>192.096237</v>
      </c>
      <c r="CZ205" s="4">
        <v>0.64118200000000003</v>
      </c>
      <c r="DA205" s="4">
        <v>20</v>
      </c>
      <c r="DB205" s="4">
        <v>0.51293900000000003</v>
      </c>
      <c r="DC205" s="4">
        <v>2.6673749999999998</v>
      </c>
      <c r="DD205" s="4">
        <v>11.335352</v>
      </c>
      <c r="DE205" s="4">
        <v>21.616147999999999</v>
      </c>
      <c r="DF205" s="4">
        <v>7.8312580000000001</v>
      </c>
      <c r="DG205" s="4">
        <v>0.81123100000000004</v>
      </c>
      <c r="DH205" s="4">
        <v>0.60685</v>
      </c>
      <c r="DI205" s="4">
        <v>0.36228700000000003</v>
      </c>
      <c r="DJ205" s="4">
        <v>0.103589</v>
      </c>
      <c r="DK205" s="4">
        <v>7.7491000000000004E-2</v>
      </c>
      <c r="DL205" s="4">
        <v>1</v>
      </c>
      <c r="DM205" s="4">
        <v>2</v>
      </c>
      <c r="DN205" s="4">
        <v>4</v>
      </c>
      <c r="DO205" s="4">
        <v>8</v>
      </c>
      <c r="DP205" s="4">
        <v>10</v>
      </c>
      <c r="DQ205" s="4">
        <v>12</v>
      </c>
      <c r="DR205" s="4">
        <v>17</v>
      </c>
      <c r="DS205" s="4">
        <v>21</v>
      </c>
      <c r="DT205" s="4">
        <v>25</v>
      </c>
      <c r="DU205" s="4">
        <v>28</v>
      </c>
      <c r="DV205" s="4">
        <v>30</v>
      </c>
      <c r="DW205" s="4">
        <v>32</v>
      </c>
      <c r="DX205" s="4">
        <v>41</v>
      </c>
      <c r="DY205" s="4">
        <v>49</v>
      </c>
      <c r="DZ205" s="4">
        <v>56</v>
      </c>
      <c r="EA205" s="4">
        <v>84.173912999999999</v>
      </c>
      <c r="EB205" s="4">
        <v>54.731966</v>
      </c>
      <c r="EC205" s="4">
        <v>95.884057999999996</v>
      </c>
      <c r="ED205" s="4">
        <v>1452</v>
      </c>
      <c r="EE205" s="4">
        <v>1654</v>
      </c>
      <c r="EF205" s="4">
        <v>80.927536000000003</v>
      </c>
      <c r="EG205" s="4">
        <v>100</v>
      </c>
      <c r="EH205" s="4">
        <v>48.378557000000001</v>
      </c>
      <c r="EI205" s="4">
        <v>96.095301000000006</v>
      </c>
      <c r="EJ205" s="4">
        <v>84.753623000000005</v>
      </c>
      <c r="EK205" s="4">
        <v>168.347826</v>
      </c>
      <c r="EL205" s="4">
        <v>1396</v>
      </c>
      <c r="EM205" s="4">
        <v>1725</v>
      </c>
      <c r="EN205" s="4">
        <v>1462</v>
      </c>
      <c r="EO205" s="4">
        <v>2904</v>
      </c>
      <c r="EP205" s="4">
        <v>1725</v>
      </c>
      <c r="EQ205" s="4">
        <v>3022</v>
      </c>
      <c r="ER205" s="4">
        <v>44.244683000000002</v>
      </c>
    </row>
    <row r="206" spans="1:148" x14ac:dyDescent="0.2">
      <c r="A206" s="1">
        <v>2022</v>
      </c>
      <c r="B206" s="1" t="str">
        <f t="shared" si="6"/>
        <v>NE</v>
      </c>
      <c r="C206" s="1" t="s">
        <v>1090</v>
      </c>
      <c r="D206" s="1" t="s">
        <v>1090</v>
      </c>
      <c r="E206" s="1">
        <v>25444</v>
      </c>
      <c r="F206" s="1" t="s">
        <v>2121</v>
      </c>
      <c r="G206" s="1" t="s">
        <v>318</v>
      </c>
      <c r="H206" s="1" t="s">
        <v>1091</v>
      </c>
      <c r="I206" s="1">
        <v>36.08</v>
      </c>
      <c r="J206" s="1">
        <v>36.08</v>
      </c>
      <c r="K206" s="1" t="s">
        <v>184</v>
      </c>
      <c r="L206" s="1">
        <v>1</v>
      </c>
      <c r="M206" s="1">
        <v>2017</v>
      </c>
      <c r="N206" s="1">
        <v>3</v>
      </c>
      <c r="O206" s="1">
        <v>1</v>
      </c>
      <c r="P206" s="1" t="str">
        <f t="shared" si="7"/>
        <v>Alto fuste</v>
      </c>
      <c r="Q206" s="2">
        <v>42818</v>
      </c>
      <c r="R206" s="1" t="s">
        <v>169</v>
      </c>
      <c r="S206" s="1" t="s">
        <v>299</v>
      </c>
      <c r="T206" s="1" t="s">
        <v>2268</v>
      </c>
      <c r="U206" s="1" t="s">
        <v>170</v>
      </c>
      <c r="V206" s="1" t="s">
        <v>152</v>
      </c>
      <c r="W206" s="2">
        <v>44796</v>
      </c>
      <c r="X206" s="1" t="s">
        <v>320</v>
      </c>
      <c r="Y206" s="1">
        <v>437.57</v>
      </c>
      <c r="Z206" s="1">
        <v>21</v>
      </c>
      <c r="AA206" s="1">
        <v>7</v>
      </c>
      <c r="AB206" s="1">
        <v>15</v>
      </c>
      <c r="AC206" s="1">
        <v>2</v>
      </c>
      <c r="AD206" s="3">
        <v>315</v>
      </c>
      <c r="AE206" s="3">
        <v>312.46157859318402</v>
      </c>
      <c r="AF206" s="2">
        <v>44796</v>
      </c>
      <c r="AG206" s="1">
        <v>65</v>
      </c>
      <c r="AH206" s="3">
        <v>5.4154688569473004</v>
      </c>
      <c r="AI206" s="4">
        <v>28.0141964774133</v>
      </c>
      <c r="AJ206" s="4">
        <v>16.5612903225806</v>
      </c>
      <c r="AK206" s="4">
        <v>21.9073351567157</v>
      </c>
      <c r="AL206" s="1">
        <v>31</v>
      </c>
      <c r="AM206" s="5">
        <v>992.12197991104404</v>
      </c>
      <c r="AN206" s="4">
        <v>269.17635361789797</v>
      </c>
      <c r="AO206" s="4">
        <v>0.27131376894001802</v>
      </c>
      <c r="AP206" s="1" t="s">
        <v>299</v>
      </c>
      <c r="AQ206" s="1" t="s">
        <v>156</v>
      </c>
      <c r="AR206" s="1" t="s">
        <v>1094</v>
      </c>
      <c r="AS206" s="1">
        <v>9</v>
      </c>
      <c r="AT206" s="4">
        <v>0.89290978191993964</v>
      </c>
      <c r="AU206" s="1" t="s">
        <v>1092</v>
      </c>
      <c r="AV206" s="1" t="s">
        <v>1093</v>
      </c>
      <c r="AW206" s="1">
        <v>3730</v>
      </c>
      <c r="AX206" s="1">
        <v>1712</v>
      </c>
      <c r="AY206" s="1">
        <v>1343</v>
      </c>
      <c r="AZ206" s="1">
        <v>578</v>
      </c>
      <c r="BA206" s="1">
        <v>97</v>
      </c>
      <c r="BB206" s="1">
        <v>0</v>
      </c>
      <c r="BC206" s="1">
        <v>0</v>
      </c>
      <c r="BD206" s="1">
        <v>0</v>
      </c>
      <c r="BE206" s="1">
        <v>0</v>
      </c>
      <c r="BF206" s="1">
        <v>0</v>
      </c>
      <c r="BG206" s="1">
        <v>0</v>
      </c>
      <c r="BH206" s="4">
        <v>-0.74299999999999999</v>
      </c>
      <c r="BI206" s="4">
        <v>30.867000999999998</v>
      </c>
      <c r="BJ206" s="4">
        <v>14.450854</v>
      </c>
      <c r="BK206" s="4">
        <v>-0.241254</v>
      </c>
      <c r="BL206" s="4">
        <v>11.762466999999999</v>
      </c>
      <c r="BM206" s="4">
        <v>138.35563099999999</v>
      </c>
      <c r="BN206" s="4">
        <v>0.81396299999999999</v>
      </c>
      <c r="BO206" s="4">
        <v>27.123750000000001</v>
      </c>
      <c r="BP206" s="4">
        <v>-5.5883000000000002E-2</v>
      </c>
      <c r="BQ206" s="4">
        <v>1.3886799999999999</v>
      </c>
      <c r="BR206" s="4">
        <v>10.577655</v>
      </c>
      <c r="BS206" s="4">
        <v>12.7935</v>
      </c>
      <c r="BT206" s="4">
        <v>15.315754</v>
      </c>
      <c r="BU206" s="4">
        <v>14.450854</v>
      </c>
      <c r="BV206" s="4">
        <v>6.6018090000000003</v>
      </c>
      <c r="BW206" s="4">
        <v>-4.7123999999999999E-2</v>
      </c>
      <c r="BX206" s="4">
        <v>-0.90162699999999996</v>
      </c>
      <c r="BY206" s="4">
        <v>0.45684599999999997</v>
      </c>
      <c r="BZ206" s="4">
        <v>-7.1380000000000002E-3</v>
      </c>
      <c r="CA206" s="4">
        <v>-0.136573</v>
      </c>
      <c r="CB206" s="4">
        <v>-0.34683999999999998</v>
      </c>
      <c r="CC206" s="4">
        <v>-0.14555000000000001</v>
      </c>
      <c r="CD206" s="4">
        <v>-6.4100000000000004E-2</v>
      </c>
      <c r="CE206" s="4">
        <v>5.2999999999999999E-2</v>
      </c>
      <c r="CF206" s="4">
        <v>0.11899999999999999</v>
      </c>
      <c r="CG206" s="4">
        <v>0.252</v>
      </c>
      <c r="CH206" s="4">
        <v>10.592798999999999</v>
      </c>
      <c r="CI206" s="4">
        <v>15.0745</v>
      </c>
      <c r="CJ206" s="4">
        <v>18.840796999999998</v>
      </c>
      <c r="CK206" s="4">
        <v>26.586300000000001</v>
      </c>
      <c r="CL206" s="4">
        <v>27.242750000000001</v>
      </c>
      <c r="CM206" s="4">
        <v>27.6936</v>
      </c>
      <c r="CN206" s="4">
        <v>28.628098999999999</v>
      </c>
      <c r="CO206" s="4">
        <v>29.312750000000001</v>
      </c>
      <c r="CP206" s="4">
        <v>30.279131</v>
      </c>
      <c r="CQ206" s="4">
        <v>0.48066599999999998</v>
      </c>
      <c r="CR206" s="4">
        <v>18.631847</v>
      </c>
      <c r="CS206" s="4">
        <v>20.741554000000001</v>
      </c>
      <c r="CT206" s="1">
        <v>1</v>
      </c>
      <c r="CU206" s="1">
        <v>58</v>
      </c>
      <c r="CV206" s="4">
        <v>14.489276</v>
      </c>
      <c r="CW206" s="4">
        <v>3.714286</v>
      </c>
      <c r="CX206" s="4">
        <v>11.101353</v>
      </c>
      <c r="CY206" s="4">
        <v>123.24003</v>
      </c>
      <c r="CZ206" s="4">
        <v>0.766177</v>
      </c>
      <c r="DA206" s="4">
        <v>17</v>
      </c>
      <c r="DB206" s="4">
        <v>0.93685499999999999</v>
      </c>
      <c r="DC206" s="4">
        <v>3.4109020000000001</v>
      </c>
      <c r="DD206" s="4">
        <v>9.0936889999999995</v>
      </c>
      <c r="DE206" s="4">
        <v>14.489276</v>
      </c>
      <c r="DF206" s="4">
        <v>6.1021320000000001</v>
      </c>
      <c r="DG206" s="4">
        <v>1.28965</v>
      </c>
      <c r="DH206" s="4">
        <v>0.43584299999999998</v>
      </c>
      <c r="DI206" s="4">
        <v>0.42114800000000002</v>
      </c>
      <c r="DJ206" s="4">
        <v>0.211344</v>
      </c>
      <c r="DK206" s="4">
        <v>7.1425000000000002E-2</v>
      </c>
      <c r="DL206" s="4">
        <v>1</v>
      </c>
      <c r="DM206" s="4">
        <v>1</v>
      </c>
      <c r="DN206" s="4">
        <v>3</v>
      </c>
      <c r="DO206" s="4">
        <v>4</v>
      </c>
      <c r="DP206" s="4">
        <v>5</v>
      </c>
      <c r="DQ206" s="4">
        <v>6</v>
      </c>
      <c r="DR206" s="4">
        <v>9</v>
      </c>
      <c r="DS206" s="4">
        <v>12</v>
      </c>
      <c r="DT206" s="4">
        <v>15</v>
      </c>
      <c r="DU206" s="4">
        <v>19</v>
      </c>
      <c r="DV206" s="4">
        <v>22</v>
      </c>
      <c r="DW206" s="4">
        <v>24</v>
      </c>
      <c r="DX206" s="4">
        <v>30</v>
      </c>
      <c r="DY206" s="4">
        <v>35</v>
      </c>
      <c r="DZ206" s="4">
        <v>47</v>
      </c>
      <c r="EA206" s="4">
        <v>97.371494999999996</v>
      </c>
      <c r="EB206" s="4">
        <v>67.935657000000006</v>
      </c>
      <c r="EC206" s="4">
        <v>148.01401899999999</v>
      </c>
      <c r="ED206" s="4">
        <v>1667</v>
      </c>
      <c r="EE206" s="4">
        <v>2534</v>
      </c>
      <c r="EF206" s="4">
        <v>89.661214999999999</v>
      </c>
      <c r="EG206" s="4">
        <v>100</v>
      </c>
      <c r="EH206" s="4">
        <v>51.849865999999999</v>
      </c>
      <c r="EI206" s="4">
        <v>97.613940999999997</v>
      </c>
      <c r="EJ206" s="4">
        <v>112.96729000000001</v>
      </c>
      <c r="EK206" s="4">
        <v>212.67523399999999</v>
      </c>
      <c r="EL206" s="4">
        <v>1535</v>
      </c>
      <c r="EM206" s="4">
        <v>1712</v>
      </c>
      <c r="EN206" s="4">
        <v>1934</v>
      </c>
      <c r="EO206" s="4">
        <v>3641</v>
      </c>
      <c r="EP206" s="4">
        <v>1712</v>
      </c>
      <c r="EQ206" s="4">
        <v>3730</v>
      </c>
      <c r="ER206" s="4">
        <v>46.755752000000001</v>
      </c>
    </row>
    <row r="207" spans="1:148" x14ac:dyDescent="0.2">
      <c r="A207" s="1">
        <v>2022</v>
      </c>
      <c r="B207" s="1" t="str">
        <f t="shared" si="6"/>
        <v>NE</v>
      </c>
      <c r="C207" s="1" t="s">
        <v>1095</v>
      </c>
      <c r="D207" s="1" t="s">
        <v>1095</v>
      </c>
      <c r="E207" s="1">
        <v>25445</v>
      </c>
      <c r="F207" s="1" t="s">
        <v>2121</v>
      </c>
      <c r="G207" s="1" t="s">
        <v>318</v>
      </c>
      <c r="H207" s="1" t="s">
        <v>1091</v>
      </c>
      <c r="I207" s="1">
        <v>36.08</v>
      </c>
      <c r="J207" s="1">
        <v>36.08</v>
      </c>
      <c r="K207" s="1" t="s">
        <v>184</v>
      </c>
      <c r="L207" s="1">
        <v>1</v>
      </c>
      <c r="M207" s="1">
        <v>2017</v>
      </c>
      <c r="N207" s="1">
        <v>3</v>
      </c>
      <c r="O207" s="1">
        <v>1</v>
      </c>
      <c r="P207" s="1" t="str">
        <f t="shared" si="7"/>
        <v>Alto fuste</v>
      </c>
      <c r="Q207" s="2">
        <v>42818</v>
      </c>
      <c r="R207" s="1" t="s">
        <v>169</v>
      </c>
      <c r="S207" s="1" t="s">
        <v>299</v>
      </c>
      <c r="T207" s="1" t="s">
        <v>2268</v>
      </c>
      <c r="U207" s="1" t="s">
        <v>170</v>
      </c>
      <c r="V207" s="1" t="s">
        <v>152</v>
      </c>
      <c r="W207" s="2">
        <v>44796</v>
      </c>
      <c r="X207" s="1" t="s">
        <v>320</v>
      </c>
      <c r="Y207" s="1">
        <v>437.57</v>
      </c>
      <c r="Z207" s="1">
        <v>19</v>
      </c>
      <c r="AA207" s="1">
        <v>7</v>
      </c>
      <c r="AB207" s="1">
        <v>15</v>
      </c>
      <c r="AC207" s="1">
        <v>2</v>
      </c>
      <c r="AD207" s="3">
        <v>285</v>
      </c>
      <c r="AE207" s="3">
        <v>282.70333301288099</v>
      </c>
      <c r="AF207" s="2">
        <v>44796</v>
      </c>
      <c r="AG207" s="1">
        <v>65</v>
      </c>
      <c r="AH207" s="3">
        <v>5.4154688569473004</v>
      </c>
      <c r="AI207" s="4">
        <v>29.343468081357901</v>
      </c>
      <c r="AJ207" s="4">
        <v>17.48</v>
      </c>
      <c r="AK207" s="4">
        <v>21.7247961014338</v>
      </c>
      <c r="AL207" s="1">
        <v>25</v>
      </c>
      <c r="AM207" s="5">
        <v>884.31925204295101</v>
      </c>
      <c r="AN207" s="4">
        <v>277.96679979831902</v>
      </c>
      <c r="AO207" s="4">
        <v>0.31432856307963603</v>
      </c>
      <c r="AP207" s="1" t="s">
        <v>299</v>
      </c>
      <c r="AQ207" s="1" t="s">
        <v>156</v>
      </c>
      <c r="AR207" s="1" t="s">
        <v>1094</v>
      </c>
      <c r="AS207" s="1">
        <v>9</v>
      </c>
      <c r="AT207" s="4">
        <v>0.79588732683865593</v>
      </c>
      <c r="AU207" s="1" t="s">
        <v>1096</v>
      </c>
      <c r="AV207" s="1" t="s">
        <v>1097</v>
      </c>
      <c r="AW207" s="1">
        <v>6299</v>
      </c>
      <c r="AX207" s="1">
        <v>3375</v>
      </c>
      <c r="AY207" s="1">
        <v>2321</v>
      </c>
      <c r="AZ207" s="1">
        <v>556</v>
      </c>
      <c r="BA207" s="1">
        <v>47</v>
      </c>
      <c r="BB207" s="1">
        <v>0</v>
      </c>
      <c r="BC207" s="1">
        <v>0</v>
      </c>
      <c r="BD207" s="1">
        <v>0</v>
      </c>
      <c r="BE207" s="1">
        <v>0</v>
      </c>
      <c r="BF207" s="1">
        <v>0</v>
      </c>
      <c r="BG207" s="1">
        <v>0</v>
      </c>
      <c r="BH207" s="4">
        <v>-0.82399999999999995</v>
      </c>
      <c r="BI207" s="4">
        <v>29.628</v>
      </c>
      <c r="BJ207" s="4">
        <v>13.141843</v>
      </c>
      <c r="BK207" s="4">
        <v>-0.34063500000000002</v>
      </c>
      <c r="BL207" s="4">
        <v>12.518938</v>
      </c>
      <c r="BM207" s="4">
        <v>156.72381100000001</v>
      </c>
      <c r="BN207" s="4">
        <v>0.95260100000000003</v>
      </c>
      <c r="BO207" s="4">
        <v>26.757000999999999</v>
      </c>
      <c r="BP207" s="4">
        <v>8.0352000000000007E-2</v>
      </c>
      <c r="BQ207" s="4">
        <v>1.1805760000000001</v>
      </c>
      <c r="BR207" s="4">
        <v>11.889379999999999</v>
      </c>
      <c r="BS207" s="4">
        <v>12.628</v>
      </c>
      <c r="BT207" s="4">
        <v>12.890635</v>
      </c>
      <c r="BU207" s="4">
        <v>13.141843</v>
      </c>
      <c r="BV207" s="4">
        <v>6.7752100000000004</v>
      </c>
      <c r="BW207" s="4">
        <v>0.36018299999999998</v>
      </c>
      <c r="BX207" s="4">
        <v>-1.343183</v>
      </c>
      <c r="BY207" s="4">
        <v>0.51554500000000003</v>
      </c>
      <c r="BZ207" s="4">
        <v>5.3162000000000001E-2</v>
      </c>
      <c r="CA207" s="4">
        <v>-0.19825000000000001</v>
      </c>
      <c r="CB207" s="4">
        <v>-0.375</v>
      </c>
      <c r="CC207" s="4">
        <v>-0.16700000000000001</v>
      </c>
      <c r="CD207" s="4">
        <v>-9.4E-2</v>
      </c>
      <c r="CE207" s="4">
        <v>8.6E-3</v>
      </c>
      <c r="CF207" s="4">
        <v>4.7500000000000001E-2</v>
      </c>
      <c r="CG207" s="4">
        <v>8.8999999999999996E-2</v>
      </c>
      <c r="CH207" s="4">
        <v>0.21299999999999999</v>
      </c>
      <c r="CI207" s="4">
        <v>12.55</v>
      </c>
      <c r="CJ207" s="4">
        <v>24.7666</v>
      </c>
      <c r="CK207" s="4">
        <v>26.398599999999998</v>
      </c>
      <c r="CL207" s="4">
        <v>26.804500999999998</v>
      </c>
      <c r="CM207" s="4">
        <v>27.197400999999999</v>
      </c>
      <c r="CN207" s="4">
        <v>27.933600999999999</v>
      </c>
      <c r="CO207" s="4">
        <v>28.483000000000001</v>
      </c>
      <c r="CP207" s="4">
        <v>29.176020000000001</v>
      </c>
      <c r="CQ207" s="4">
        <v>0.45861800000000003</v>
      </c>
      <c r="CR207" s="4">
        <v>18.149571999999999</v>
      </c>
      <c r="CS207" s="4">
        <v>20.492172</v>
      </c>
      <c r="CT207" s="1">
        <v>1</v>
      </c>
      <c r="CU207" s="1">
        <v>62</v>
      </c>
      <c r="CV207" s="4">
        <v>17.669471000000001</v>
      </c>
      <c r="CW207" s="4">
        <v>1</v>
      </c>
      <c r="CX207" s="4">
        <v>13.254225</v>
      </c>
      <c r="CY207" s="4">
        <v>175.674474</v>
      </c>
      <c r="CZ207" s="4">
        <v>0.75012000000000001</v>
      </c>
      <c r="DA207" s="4">
        <v>18</v>
      </c>
      <c r="DB207" s="4">
        <v>0.85725799999999996</v>
      </c>
      <c r="DC207" s="4">
        <v>3.1546080000000001</v>
      </c>
      <c r="DD207" s="4">
        <v>10.610796000000001</v>
      </c>
      <c r="DE207" s="4">
        <v>17.669471000000001</v>
      </c>
      <c r="DF207" s="4">
        <v>7.3203829999999996</v>
      </c>
      <c r="DG207" s="4">
        <v>1.361445</v>
      </c>
      <c r="DH207" s="4">
        <v>0.67975799999999997</v>
      </c>
      <c r="DI207" s="4">
        <v>0.414296</v>
      </c>
      <c r="DJ207" s="4">
        <v>0.18598000000000001</v>
      </c>
      <c r="DK207" s="4">
        <v>9.2857999999999996E-2</v>
      </c>
      <c r="DL207" s="4">
        <v>1</v>
      </c>
      <c r="DM207" s="4">
        <v>1</v>
      </c>
      <c r="DN207" s="4">
        <v>2</v>
      </c>
      <c r="DO207" s="4">
        <v>5</v>
      </c>
      <c r="DP207" s="4">
        <v>7</v>
      </c>
      <c r="DQ207" s="4">
        <v>8</v>
      </c>
      <c r="DR207" s="4">
        <v>12</v>
      </c>
      <c r="DS207" s="4">
        <v>16</v>
      </c>
      <c r="DT207" s="4">
        <v>19</v>
      </c>
      <c r="DU207" s="4">
        <v>23</v>
      </c>
      <c r="DV207" s="4">
        <v>25</v>
      </c>
      <c r="DW207" s="4">
        <v>27</v>
      </c>
      <c r="DX207" s="4">
        <v>38</v>
      </c>
      <c r="DY207" s="4">
        <v>46</v>
      </c>
      <c r="DZ207" s="4">
        <v>53</v>
      </c>
      <c r="EA207" s="4">
        <v>84.592592999999994</v>
      </c>
      <c r="EB207" s="4">
        <v>57.374186000000002</v>
      </c>
      <c r="EC207" s="4">
        <v>107.081481</v>
      </c>
      <c r="ED207" s="4">
        <v>2855</v>
      </c>
      <c r="EE207" s="4">
        <v>3614</v>
      </c>
      <c r="EF207" s="4">
        <v>82.162963000000005</v>
      </c>
      <c r="EG207" s="4">
        <v>100</v>
      </c>
      <c r="EH207" s="4">
        <v>49.420543000000002</v>
      </c>
      <c r="EI207" s="4">
        <v>98.825209999999998</v>
      </c>
      <c r="EJ207" s="4">
        <v>92.237037000000001</v>
      </c>
      <c r="EK207" s="4">
        <v>184.444444</v>
      </c>
      <c r="EL207" s="4">
        <v>2773</v>
      </c>
      <c r="EM207" s="4">
        <v>3375</v>
      </c>
      <c r="EN207" s="4">
        <v>3113</v>
      </c>
      <c r="EO207" s="4">
        <v>6225</v>
      </c>
      <c r="EP207" s="4">
        <v>3375</v>
      </c>
      <c r="EQ207" s="4">
        <v>6299</v>
      </c>
      <c r="ER207" s="4">
        <v>44.105899000000001</v>
      </c>
    </row>
    <row r="208" spans="1:148" x14ac:dyDescent="0.2">
      <c r="A208" s="1">
        <v>2022</v>
      </c>
      <c r="B208" s="1" t="str">
        <f t="shared" si="6"/>
        <v>NE</v>
      </c>
      <c r="C208" s="1" t="s">
        <v>1098</v>
      </c>
      <c r="D208" s="1" t="s">
        <v>1098</v>
      </c>
      <c r="E208" s="1">
        <v>25454</v>
      </c>
      <c r="F208" s="1" t="s">
        <v>2122</v>
      </c>
      <c r="G208" s="1" t="s">
        <v>551</v>
      </c>
      <c r="H208" s="1" t="s">
        <v>1099</v>
      </c>
      <c r="I208" s="1">
        <v>25.22</v>
      </c>
      <c r="J208" s="1">
        <v>25.22</v>
      </c>
      <c r="K208" s="1" t="s">
        <v>184</v>
      </c>
      <c r="L208" s="1">
        <v>1</v>
      </c>
      <c r="M208" s="1">
        <v>2017</v>
      </c>
      <c r="N208" s="1">
        <v>2</v>
      </c>
      <c r="O208" s="1">
        <v>1</v>
      </c>
      <c r="P208" s="1" t="str">
        <f t="shared" si="7"/>
        <v>Alto fuste</v>
      </c>
      <c r="Q208" s="2">
        <v>43007</v>
      </c>
      <c r="R208" s="1" t="s">
        <v>169</v>
      </c>
      <c r="S208" s="1" t="s">
        <v>403</v>
      </c>
      <c r="T208" s="1" t="s">
        <v>2268</v>
      </c>
      <c r="U208" s="1" t="s">
        <v>170</v>
      </c>
      <c r="V208" s="1" t="s">
        <v>152</v>
      </c>
      <c r="W208" s="2">
        <v>44599</v>
      </c>
      <c r="X208" s="1" t="s">
        <v>553</v>
      </c>
      <c r="Y208" s="1">
        <v>81.849999999999994</v>
      </c>
      <c r="Z208" s="1">
        <v>21</v>
      </c>
      <c r="AA208" s="1">
        <v>26</v>
      </c>
      <c r="AB208" s="1">
        <v>14.4</v>
      </c>
      <c r="AC208" s="1">
        <v>5</v>
      </c>
      <c r="AD208" s="3">
        <v>302.39999999999998</v>
      </c>
      <c r="AE208" s="3">
        <v>270.761056352536</v>
      </c>
      <c r="AF208" s="2">
        <v>44599</v>
      </c>
      <c r="AG208" s="1">
        <v>53</v>
      </c>
      <c r="AH208" s="3">
        <v>4.3586584531143098</v>
      </c>
      <c r="AI208" s="4">
        <v>23.123885735416799</v>
      </c>
      <c r="AJ208" s="4">
        <v>16.178571428571399</v>
      </c>
      <c r="AK208" s="4">
        <v>21.478159983751102</v>
      </c>
      <c r="AL208" s="1">
        <v>28</v>
      </c>
      <c r="AM208" s="5">
        <v>1034.1221288316799</v>
      </c>
      <c r="AN208" s="4">
        <v>210.43634255302001</v>
      </c>
      <c r="AO208" s="4">
        <v>0.20349273715935701</v>
      </c>
      <c r="AP208" s="1" t="s">
        <v>403</v>
      </c>
      <c r="AQ208" s="1" t="s">
        <v>156</v>
      </c>
      <c r="AR208" s="1" t="s">
        <v>564</v>
      </c>
      <c r="AS208" s="1">
        <v>9</v>
      </c>
      <c r="AT208" s="4">
        <v>0.93070991594851193</v>
      </c>
      <c r="AU208" s="1" t="s">
        <v>1100</v>
      </c>
      <c r="AV208" s="1" t="s">
        <v>1101</v>
      </c>
      <c r="AW208" s="1">
        <v>1123</v>
      </c>
      <c r="AX208" s="1">
        <v>1123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0</v>
      </c>
      <c r="BF208" s="1">
        <v>0</v>
      </c>
      <c r="BG208" s="1">
        <v>0</v>
      </c>
      <c r="BH208" s="4">
        <v>-2.92</v>
      </c>
      <c r="BI208" s="4">
        <v>23.318999999999999</v>
      </c>
      <c r="BJ208" s="4">
        <v>18.472207000000001</v>
      </c>
      <c r="BK208" s="4">
        <v>19.987064</v>
      </c>
      <c r="BL208" s="4">
        <v>3.943092</v>
      </c>
      <c r="BM208" s="4">
        <v>15.547974999999999</v>
      </c>
      <c r="BN208" s="4">
        <v>0.21346100000000001</v>
      </c>
      <c r="BO208" s="4">
        <v>2.7364999999999999</v>
      </c>
      <c r="BP208" s="4">
        <v>-2.88734</v>
      </c>
      <c r="BQ208" s="4">
        <v>13.301619000000001</v>
      </c>
      <c r="BR208" s="4">
        <v>2.4926010000000001</v>
      </c>
      <c r="BS208" s="4">
        <v>1.2050000000000001</v>
      </c>
      <c r="BT208" s="4">
        <v>1.1120639999999999</v>
      </c>
      <c r="BU208" s="4">
        <v>18.472207000000001</v>
      </c>
      <c r="BV208" s="4">
        <v>1.7509809999999999</v>
      </c>
      <c r="BW208" s="4">
        <v>-0.67988999999999999</v>
      </c>
      <c r="BX208" s="4">
        <v>0.54679</v>
      </c>
      <c r="BY208" s="4">
        <v>9.4789999999999999E-2</v>
      </c>
      <c r="BZ208" s="4">
        <v>-0.388291</v>
      </c>
      <c r="CA208" s="4">
        <v>0.312276</v>
      </c>
      <c r="CB208" s="4">
        <v>-7.7240000000000003E-2</v>
      </c>
      <c r="CC208" s="4">
        <v>11.229099</v>
      </c>
      <c r="CD208" s="4">
        <v>14.436</v>
      </c>
      <c r="CE208" s="4">
        <v>17.106999999999999</v>
      </c>
      <c r="CF208" s="4">
        <v>17.781500000000001</v>
      </c>
      <c r="CG208" s="4">
        <v>18.404599999999999</v>
      </c>
      <c r="CH208" s="4">
        <v>19.128</v>
      </c>
      <c r="CI208" s="4">
        <v>19.552</v>
      </c>
      <c r="CJ208" s="4">
        <v>19.940999999999999</v>
      </c>
      <c r="CK208" s="4">
        <v>20.335999999999999</v>
      </c>
      <c r="CL208" s="4">
        <v>20.518000000000001</v>
      </c>
      <c r="CM208" s="4">
        <v>20.767199999999999</v>
      </c>
      <c r="CN208" s="4">
        <v>21.437201000000002</v>
      </c>
      <c r="CO208" s="4">
        <v>22.065901</v>
      </c>
      <c r="CP208" s="4">
        <v>22.765560000000001</v>
      </c>
      <c r="CQ208" s="4">
        <v>0.81528299999999998</v>
      </c>
      <c r="CR208" s="4">
        <v>18.888000999999999</v>
      </c>
      <c r="CS208" s="4">
        <v>19.117570000000001</v>
      </c>
      <c r="CT208" s="1">
        <v>1</v>
      </c>
      <c r="CU208" s="1">
        <v>53</v>
      </c>
      <c r="CV208" s="4">
        <v>17.253785000000001</v>
      </c>
      <c r="CW208" s="4">
        <v>14.206348999999999</v>
      </c>
      <c r="CX208" s="4">
        <v>6.1126290000000001</v>
      </c>
      <c r="CY208" s="4">
        <v>37.364235000000001</v>
      </c>
      <c r="CZ208" s="4">
        <v>0.35427799999999998</v>
      </c>
      <c r="DA208" s="4">
        <v>7</v>
      </c>
      <c r="DB208" s="4">
        <v>0.87033700000000003</v>
      </c>
      <c r="DC208" s="4">
        <v>6.5629840000000002</v>
      </c>
      <c r="DD208" s="4">
        <v>4.5237090000000002</v>
      </c>
      <c r="DE208" s="4">
        <v>17.253785000000001</v>
      </c>
      <c r="DF208" s="4">
        <v>3.2707130000000002</v>
      </c>
      <c r="DG208" s="4">
        <v>0.21901300000000001</v>
      </c>
      <c r="DH208" s="4">
        <v>0.61888399999999999</v>
      </c>
      <c r="DI208" s="4">
        <v>0.18956500000000001</v>
      </c>
      <c r="DJ208" s="4">
        <v>6.6961999999999994E-2</v>
      </c>
      <c r="DK208" s="4">
        <v>0.18922</v>
      </c>
      <c r="DL208" s="4">
        <v>4</v>
      </c>
      <c r="DM208" s="4">
        <v>8</v>
      </c>
      <c r="DN208" s="4">
        <v>10</v>
      </c>
      <c r="DO208" s="4">
        <v>13</v>
      </c>
      <c r="DP208" s="4">
        <v>14</v>
      </c>
      <c r="DQ208" s="4">
        <v>14</v>
      </c>
      <c r="DR208" s="4">
        <v>16</v>
      </c>
      <c r="DS208" s="4">
        <v>17</v>
      </c>
      <c r="DT208" s="4">
        <v>18</v>
      </c>
      <c r="DU208" s="4">
        <v>20</v>
      </c>
      <c r="DV208" s="4">
        <v>21</v>
      </c>
      <c r="DW208" s="4">
        <v>22</v>
      </c>
      <c r="DX208" s="4">
        <v>24</v>
      </c>
      <c r="DY208" s="4">
        <v>27</v>
      </c>
      <c r="DZ208" s="4">
        <v>37</v>
      </c>
      <c r="EA208" s="4">
        <v>97.684773000000007</v>
      </c>
      <c r="EB208" s="4">
        <v>97.684773000000007</v>
      </c>
      <c r="EC208" s="4">
        <v>97.684773000000007</v>
      </c>
      <c r="ED208" s="4">
        <v>1097</v>
      </c>
      <c r="EE208" s="4">
        <v>1097</v>
      </c>
      <c r="EF208" s="4">
        <v>68.922528999999997</v>
      </c>
      <c r="EG208" s="4">
        <v>38.913623999999999</v>
      </c>
      <c r="EH208" s="4">
        <v>68.922528999999997</v>
      </c>
      <c r="EI208" s="4">
        <v>38.913623999999999</v>
      </c>
      <c r="EJ208" s="4">
        <v>68.922528999999997</v>
      </c>
      <c r="EK208" s="4">
        <v>38.913623999999999</v>
      </c>
      <c r="EL208" s="4">
        <v>774</v>
      </c>
      <c r="EM208" s="4">
        <v>437</v>
      </c>
      <c r="EN208" s="4">
        <v>774</v>
      </c>
      <c r="EO208" s="4">
        <v>437</v>
      </c>
      <c r="EP208" s="4">
        <v>1123</v>
      </c>
      <c r="EQ208" s="4">
        <v>1123</v>
      </c>
      <c r="ER208" s="4">
        <v>80.131986999999995</v>
      </c>
    </row>
    <row r="209" spans="1:148" x14ac:dyDescent="0.2">
      <c r="A209" s="1">
        <v>2022</v>
      </c>
      <c r="B209" s="1" t="str">
        <f t="shared" si="6"/>
        <v>RD</v>
      </c>
      <c r="C209" s="1" t="s">
        <v>1102</v>
      </c>
      <c r="D209" s="1" t="s">
        <v>1102</v>
      </c>
      <c r="E209" s="1">
        <v>25455</v>
      </c>
      <c r="F209" s="1" t="s">
        <v>2123</v>
      </c>
      <c r="G209" s="1" t="s">
        <v>759</v>
      </c>
      <c r="H209" s="1" t="s">
        <v>1103</v>
      </c>
      <c r="I209" s="1">
        <v>32.25</v>
      </c>
      <c r="J209" s="1">
        <v>32.25</v>
      </c>
      <c r="K209" s="1" t="s">
        <v>249</v>
      </c>
      <c r="L209" s="1">
        <v>1</v>
      </c>
      <c r="M209" s="1">
        <v>2017</v>
      </c>
      <c r="N209" s="1">
        <v>2</v>
      </c>
      <c r="O209" s="1">
        <v>2</v>
      </c>
      <c r="P209" s="1" t="str">
        <f t="shared" si="7"/>
        <v>Talhadia</v>
      </c>
      <c r="Q209" s="2">
        <v>43083</v>
      </c>
      <c r="R209" s="1" t="s">
        <v>746</v>
      </c>
      <c r="S209" s="1" t="s">
        <v>163</v>
      </c>
      <c r="T209" s="1" t="s">
        <v>2268</v>
      </c>
      <c r="U209" s="1" t="s">
        <v>212</v>
      </c>
      <c r="V209" s="1" t="s">
        <v>152</v>
      </c>
      <c r="W209" s="2">
        <v>44685</v>
      </c>
      <c r="X209" s="1" t="s">
        <v>762</v>
      </c>
      <c r="Y209" s="1">
        <v>110.09</v>
      </c>
      <c r="Z209" s="1">
        <v>20.8</v>
      </c>
      <c r="AA209" s="1">
        <v>6</v>
      </c>
      <c r="AB209" s="1">
        <v>14.8</v>
      </c>
      <c r="AC209" s="1">
        <v>0</v>
      </c>
      <c r="AD209" s="3">
        <v>307.83999999999997</v>
      </c>
      <c r="AE209" s="3">
        <v>306.15362027016897</v>
      </c>
      <c r="AF209" s="2">
        <v>44685</v>
      </c>
      <c r="AG209" s="1">
        <v>53</v>
      </c>
      <c r="AH209" s="3">
        <v>4.3860369609856296</v>
      </c>
      <c r="AI209" s="4">
        <v>20.706210781254001</v>
      </c>
      <c r="AJ209" s="4">
        <v>13.9147058823529</v>
      </c>
      <c r="AK209" s="4">
        <v>17.507976563051098</v>
      </c>
      <c r="AL209" s="1">
        <v>34</v>
      </c>
      <c r="AM209" s="5">
        <v>1110.55358319775</v>
      </c>
      <c r="AN209" s="4">
        <v>163.42628722991699</v>
      </c>
      <c r="AO209" s="4">
        <v>0.14715749847868101</v>
      </c>
      <c r="AP209" s="1" t="s">
        <v>163</v>
      </c>
      <c r="AQ209" s="1" t="s">
        <v>254</v>
      </c>
      <c r="AR209" s="1" t="s">
        <v>282</v>
      </c>
      <c r="AS209" s="1">
        <v>7.5</v>
      </c>
      <c r="AT209" s="4">
        <v>0.8329151873983125</v>
      </c>
      <c r="AU209" s="1" t="s">
        <v>1104</v>
      </c>
      <c r="AV209" s="1" t="s">
        <v>1105</v>
      </c>
      <c r="AW209" s="1">
        <v>2779</v>
      </c>
      <c r="AX209" s="1">
        <v>1567</v>
      </c>
      <c r="AY209" s="1">
        <v>1077</v>
      </c>
      <c r="AZ209" s="1">
        <v>132</v>
      </c>
      <c r="BA209" s="1">
        <v>3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4">
        <v>-0.73</v>
      </c>
      <c r="BI209" s="4">
        <v>25.559999000000001</v>
      </c>
      <c r="BJ209" s="4">
        <v>10.208171999999999</v>
      </c>
      <c r="BK209" s="4">
        <v>-0.31269799999999998</v>
      </c>
      <c r="BL209" s="4">
        <v>10.472452000000001</v>
      </c>
      <c r="BM209" s="4">
        <v>109.672246</v>
      </c>
      <c r="BN209" s="4">
        <v>1.0258890000000001</v>
      </c>
      <c r="BO209" s="4">
        <v>21.57</v>
      </c>
      <c r="BP209" s="4">
        <v>0.18174100000000001</v>
      </c>
      <c r="BQ209" s="4">
        <v>1.1638790000000001</v>
      </c>
      <c r="BR209" s="4">
        <v>10.129300000000001</v>
      </c>
      <c r="BS209" s="4">
        <v>6.03</v>
      </c>
      <c r="BT209" s="4">
        <v>6.1426980000000002</v>
      </c>
      <c r="BU209" s="4">
        <v>10.208171999999999</v>
      </c>
      <c r="BV209" s="4">
        <v>5.5952260000000003</v>
      </c>
      <c r="BW209" s="4">
        <v>0.63982099999999997</v>
      </c>
      <c r="BX209" s="4">
        <v>-1.050181</v>
      </c>
      <c r="BY209" s="4">
        <v>0.54811200000000004</v>
      </c>
      <c r="BZ209" s="4">
        <v>0.11435099999999999</v>
      </c>
      <c r="CA209" s="4">
        <v>-0.187692</v>
      </c>
      <c r="CB209" s="4">
        <v>-0.36</v>
      </c>
      <c r="CC209" s="4">
        <v>-0.151</v>
      </c>
      <c r="CD209" s="4">
        <v>-0.05</v>
      </c>
      <c r="CE209" s="4">
        <v>0.06</v>
      </c>
      <c r="CF209" s="4">
        <v>0.1</v>
      </c>
      <c r="CG209" s="4">
        <v>0.15</v>
      </c>
      <c r="CH209" s="4">
        <v>0.27</v>
      </c>
      <c r="CI209" s="4">
        <v>5.83</v>
      </c>
      <c r="CJ209" s="4">
        <v>17.480001000000001</v>
      </c>
      <c r="CK209" s="4">
        <v>21.1</v>
      </c>
      <c r="CL209" s="4">
        <v>21.67</v>
      </c>
      <c r="CM209" s="4">
        <v>22.18</v>
      </c>
      <c r="CN209" s="4">
        <v>23.219999000000001</v>
      </c>
      <c r="CO209" s="4">
        <v>23.851002000000001</v>
      </c>
      <c r="CP209" s="4">
        <v>24.774401000000001</v>
      </c>
      <c r="CQ209" s="4">
        <v>0.41605799999999998</v>
      </c>
      <c r="CR209" s="4">
        <v>14.623253999999999</v>
      </c>
      <c r="CS209" s="4">
        <v>16.666954</v>
      </c>
      <c r="CT209" s="1">
        <v>1</v>
      </c>
      <c r="CU209" s="1">
        <v>50</v>
      </c>
      <c r="CV209" s="4">
        <v>14.268802000000001</v>
      </c>
      <c r="CW209" s="4">
        <v>1</v>
      </c>
      <c r="CX209" s="4">
        <v>10.530393999999999</v>
      </c>
      <c r="CY209" s="4">
        <v>110.88920299999999</v>
      </c>
      <c r="CZ209" s="4">
        <v>0.73800100000000002</v>
      </c>
      <c r="DA209" s="4">
        <v>13</v>
      </c>
      <c r="DB209" s="4">
        <v>0.97175199999999995</v>
      </c>
      <c r="DC209" s="4">
        <v>3.2612000000000001</v>
      </c>
      <c r="DD209" s="4">
        <v>8.2522029999999997</v>
      </c>
      <c r="DE209" s="4">
        <v>14.268802000000001</v>
      </c>
      <c r="DF209" s="4">
        <v>5.7458390000000001</v>
      </c>
      <c r="DG209" s="4">
        <v>1.258856</v>
      </c>
      <c r="DH209" s="4">
        <v>0.66746099999999997</v>
      </c>
      <c r="DI209" s="4">
        <v>0.40268500000000002</v>
      </c>
      <c r="DJ209" s="4">
        <v>0.21909000000000001</v>
      </c>
      <c r="DK209" s="4">
        <v>0.116164</v>
      </c>
      <c r="DL209" s="4">
        <v>1</v>
      </c>
      <c r="DM209" s="4">
        <v>1.899994</v>
      </c>
      <c r="DN209" s="4">
        <v>3</v>
      </c>
      <c r="DO209" s="4">
        <v>5</v>
      </c>
      <c r="DP209" s="4">
        <v>6</v>
      </c>
      <c r="DQ209" s="4">
        <v>7</v>
      </c>
      <c r="DR209" s="4">
        <v>10</v>
      </c>
      <c r="DS209" s="4">
        <v>12</v>
      </c>
      <c r="DT209" s="4">
        <v>14</v>
      </c>
      <c r="DU209" s="4">
        <v>17</v>
      </c>
      <c r="DV209" s="4">
        <v>19</v>
      </c>
      <c r="DW209" s="4">
        <v>22</v>
      </c>
      <c r="DX209" s="4">
        <v>32</v>
      </c>
      <c r="DY209" s="4">
        <v>37</v>
      </c>
      <c r="DZ209" s="4">
        <v>42</v>
      </c>
      <c r="EA209" s="4">
        <v>79.514996999999994</v>
      </c>
      <c r="EB209" s="4">
        <v>50.917596000000003</v>
      </c>
      <c r="EC209" s="4">
        <v>90.299936000000002</v>
      </c>
      <c r="ED209" s="4">
        <v>1246</v>
      </c>
      <c r="EE209" s="4">
        <v>1415</v>
      </c>
      <c r="EF209" s="4">
        <v>77.026165000000006</v>
      </c>
      <c r="EG209" s="4">
        <v>100</v>
      </c>
      <c r="EH209" s="4">
        <v>47.499099999999999</v>
      </c>
      <c r="EI209" s="4">
        <v>98.524648999999997</v>
      </c>
      <c r="EJ209" s="4">
        <v>84.237396000000004</v>
      </c>
      <c r="EK209" s="4">
        <v>174.728781</v>
      </c>
      <c r="EL209" s="4">
        <v>1207</v>
      </c>
      <c r="EM209" s="4">
        <v>1567</v>
      </c>
      <c r="EN209" s="4">
        <v>1320</v>
      </c>
      <c r="EO209" s="4">
        <v>2738</v>
      </c>
      <c r="EP209" s="4">
        <v>1567</v>
      </c>
      <c r="EQ209" s="4">
        <v>2779</v>
      </c>
      <c r="ER209" s="4">
        <v>40.238705000000003</v>
      </c>
    </row>
    <row r="210" spans="1:148" x14ac:dyDescent="0.2">
      <c r="A210" s="1">
        <v>2022</v>
      </c>
      <c r="B210" s="1" t="str">
        <f t="shared" si="6"/>
        <v>NE</v>
      </c>
      <c r="C210" s="1" t="s">
        <v>1106</v>
      </c>
      <c r="D210" s="1" t="s">
        <v>1106</v>
      </c>
      <c r="E210" s="1">
        <v>25456</v>
      </c>
      <c r="F210" s="1" t="s">
        <v>2122</v>
      </c>
      <c r="G210" s="1" t="s">
        <v>551</v>
      </c>
      <c r="H210" s="1" t="s">
        <v>1099</v>
      </c>
      <c r="I210" s="1">
        <v>25.22</v>
      </c>
      <c r="J210" s="1">
        <v>25.22</v>
      </c>
      <c r="K210" s="1" t="s">
        <v>184</v>
      </c>
      <c r="L210" s="1">
        <v>1</v>
      </c>
      <c r="M210" s="1">
        <v>2017</v>
      </c>
      <c r="N210" s="1">
        <v>2</v>
      </c>
      <c r="O210" s="1">
        <v>1</v>
      </c>
      <c r="P210" s="1" t="str">
        <f t="shared" si="7"/>
        <v>Alto fuste</v>
      </c>
      <c r="Q210" s="2">
        <v>43007</v>
      </c>
      <c r="R210" s="1" t="s">
        <v>169</v>
      </c>
      <c r="S210" s="1" t="s">
        <v>403</v>
      </c>
      <c r="T210" s="1" t="s">
        <v>2268</v>
      </c>
      <c r="U210" s="1" t="s">
        <v>170</v>
      </c>
      <c r="V210" s="1" t="s">
        <v>152</v>
      </c>
      <c r="W210" s="2">
        <v>44599</v>
      </c>
      <c r="X210" s="1" t="s">
        <v>553</v>
      </c>
      <c r="Y210" s="1">
        <v>81.849999999999994</v>
      </c>
      <c r="Z210" s="1">
        <v>19</v>
      </c>
      <c r="AA210" s="1">
        <v>28</v>
      </c>
      <c r="AB210" s="1">
        <v>14.4</v>
      </c>
      <c r="AC210" s="1">
        <v>8</v>
      </c>
      <c r="AD210" s="3">
        <v>273.60000000000002</v>
      </c>
      <c r="AE210" s="3">
        <v>239.22347535400499</v>
      </c>
      <c r="AF210" s="2">
        <v>44599</v>
      </c>
      <c r="AG210" s="1">
        <v>53</v>
      </c>
      <c r="AH210" s="3">
        <v>4.3586584531143098</v>
      </c>
      <c r="AI210" s="4">
        <v>24.903798629509101</v>
      </c>
      <c r="AJ210" s="4">
        <v>16.308571428571401</v>
      </c>
      <c r="AK210" s="4">
        <v>31.045791399436599</v>
      </c>
      <c r="AL210" s="1">
        <v>35</v>
      </c>
      <c r="AM210" s="5">
        <v>1463.06711530742</v>
      </c>
      <c r="AN210" s="4">
        <v>332.05788405793999</v>
      </c>
      <c r="AO210" s="4">
        <v>0.22696011726582199</v>
      </c>
      <c r="AP210" s="1" t="s">
        <v>403</v>
      </c>
      <c r="AQ210" s="1" t="s">
        <v>156</v>
      </c>
      <c r="AR210" s="1" t="s">
        <v>564</v>
      </c>
      <c r="AS210" s="1">
        <v>9</v>
      </c>
      <c r="AT210" s="4">
        <v>1.316760403776678</v>
      </c>
      <c r="AU210" s="1" t="s">
        <v>1107</v>
      </c>
      <c r="AV210" s="1" t="s">
        <v>1108</v>
      </c>
      <c r="AW210" s="1">
        <v>1884</v>
      </c>
      <c r="AX210" s="1">
        <v>1884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0</v>
      </c>
      <c r="BG210" s="1">
        <v>0</v>
      </c>
      <c r="BH210" s="4">
        <v>-0.22</v>
      </c>
      <c r="BI210" s="4">
        <v>26.492999999999999</v>
      </c>
      <c r="BJ210" s="4">
        <v>22.984352000000001</v>
      </c>
      <c r="BK210" s="4">
        <v>23.524889000000002</v>
      </c>
      <c r="BL210" s="4">
        <v>4.26776</v>
      </c>
      <c r="BM210" s="4">
        <v>18.213774000000001</v>
      </c>
      <c r="BN210" s="4">
        <v>0.18568100000000001</v>
      </c>
      <c r="BO210" s="4">
        <v>1.558249</v>
      </c>
      <c r="BP210" s="4">
        <v>-4.5916829999999997</v>
      </c>
      <c r="BQ210" s="4">
        <v>24.244206999999999</v>
      </c>
      <c r="BR210" s="4">
        <v>1.846136</v>
      </c>
      <c r="BS210" s="4">
        <v>0.78100000000000003</v>
      </c>
      <c r="BT210" s="4">
        <v>0.80450100000000002</v>
      </c>
      <c r="BU210" s="4">
        <v>22.984352000000001</v>
      </c>
      <c r="BV210" s="4">
        <v>1.355259</v>
      </c>
      <c r="BW210" s="4">
        <v>-0.66936399999999996</v>
      </c>
      <c r="BX210" s="4">
        <v>0.65235900000000002</v>
      </c>
      <c r="BY210" s="4">
        <v>5.8964000000000003E-2</v>
      </c>
      <c r="BZ210" s="4">
        <v>-0.49390099999999998</v>
      </c>
      <c r="CA210" s="4">
        <v>0.481354</v>
      </c>
      <c r="CB210" s="4">
        <v>-2.112E-2</v>
      </c>
      <c r="CC210" s="4">
        <v>20.923399</v>
      </c>
      <c r="CD210" s="4">
        <v>22.151299999999999</v>
      </c>
      <c r="CE210" s="4">
        <v>22.718</v>
      </c>
      <c r="CF210" s="4">
        <v>22.969000000000001</v>
      </c>
      <c r="CG210" s="4">
        <v>23.162800000000001</v>
      </c>
      <c r="CH210" s="4">
        <v>23.455400000000001</v>
      </c>
      <c r="CI210" s="4">
        <v>23.721001000000001</v>
      </c>
      <c r="CJ210" s="4">
        <v>24.015599999999999</v>
      </c>
      <c r="CK210" s="4">
        <v>24.324200000000001</v>
      </c>
      <c r="CL210" s="4">
        <v>24.527248</v>
      </c>
      <c r="CM210" s="4">
        <v>24.750800999999999</v>
      </c>
      <c r="CN210" s="4">
        <v>25.243798999999999</v>
      </c>
      <c r="CO210" s="4">
        <v>25.578849999999999</v>
      </c>
      <c r="CP210" s="4">
        <v>26.01219</v>
      </c>
      <c r="CQ210" s="4">
        <v>0.86865400000000004</v>
      </c>
      <c r="CR210" s="4">
        <v>23.377009000000001</v>
      </c>
      <c r="CS210" s="4">
        <v>23.537841</v>
      </c>
      <c r="CT210" s="1">
        <v>1</v>
      </c>
      <c r="CU210" s="1">
        <v>37</v>
      </c>
      <c r="CV210" s="4">
        <v>15.144904</v>
      </c>
      <c r="CW210" s="4">
        <v>14.714286</v>
      </c>
      <c r="CX210" s="4">
        <v>6.0700219999999998</v>
      </c>
      <c r="CY210" s="4">
        <v>36.845162999999999</v>
      </c>
      <c r="CZ210" s="4">
        <v>0.40079599999999999</v>
      </c>
      <c r="DA210" s="4">
        <v>8</v>
      </c>
      <c r="DB210" s="4">
        <v>0.21266599999999999</v>
      </c>
      <c r="DC210" s="4">
        <v>2.9629029999999998</v>
      </c>
      <c r="DD210" s="4">
        <v>4.8181380000000003</v>
      </c>
      <c r="DE210" s="4">
        <v>15.144904</v>
      </c>
      <c r="DF210" s="4">
        <v>3.4186299999999998</v>
      </c>
      <c r="DG210" s="4">
        <v>0.13075899999999999</v>
      </c>
      <c r="DH210" s="4">
        <v>0.43606400000000001</v>
      </c>
      <c r="DI210" s="4">
        <v>0.22572800000000001</v>
      </c>
      <c r="DJ210" s="4">
        <v>3.8248999999999998E-2</v>
      </c>
      <c r="DK210" s="4">
        <v>0.127555</v>
      </c>
      <c r="DL210" s="4">
        <v>2</v>
      </c>
      <c r="DM210" s="4">
        <v>5.1500019999999997</v>
      </c>
      <c r="DN210" s="4">
        <v>7</v>
      </c>
      <c r="DO210" s="4">
        <v>10</v>
      </c>
      <c r="DP210" s="4">
        <v>11</v>
      </c>
      <c r="DQ210" s="4">
        <v>12</v>
      </c>
      <c r="DR210" s="4">
        <v>13</v>
      </c>
      <c r="DS210" s="4">
        <v>15</v>
      </c>
      <c r="DT210" s="4">
        <v>16</v>
      </c>
      <c r="DU210" s="4">
        <v>18</v>
      </c>
      <c r="DV210" s="4">
        <v>19</v>
      </c>
      <c r="DW210" s="4">
        <v>20</v>
      </c>
      <c r="DX210" s="4">
        <v>23</v>
      </c>
      <c r="DY210" s="4">
        <v>26</v>
      </c>
      <c r="DZ210" s="4">
        <v>30</v>
      </c>
      <c r="EA210" s="4">
        <v>97.292993999999993</v>
      </c>
      <c r="EB210" s="4">
        <v>97.292993999999993</v>
      </c>
      <c r="EC210" s="4">
        <v>97.292993999999993</v>
      </c>
      <c r="ED210" s="4">
        <v>1833</v>
      </c>
      <c r="EE210" s="4">
        <v>1833</v>
      </c>
      <c r="EF210" s="4">
        <v>74.628450000000001</v>
      </c>
      <c r="EG210" s="4">
        <v>57.112527</v>
      </c>
      <c r="EH210" s="4">
        <v>74.628450000000001</v>
      </c>
      <c r="EI210" s="4">
        <v>57.112527</v>
      </c>
      <c r="EJ210" s="4">
        <v>74.628450000000001</v>
      </c>
      <c r="EK210" s="4">
        <v>57.112527</v>
      </c>
      <c r="EL210" s="4">
        <v>1406</v>
      </c>
      <c r="EM210" s="4">
        <v>1076</v>
      </c>
      <c r="EN210" s="4">
        <v>1406</v>
      </c>
      <c r="EO210" s="4">
        <v>1076</v>
      </c>
      <c r="EP210" s="4">
        <v>1884</v>
      </c>
      <c r="EQ210" s="4">
        <v>1884</v>
      </c>
      <c r="ER210" s="4">
        <v>87.393915000000007</v>
      </c>
    </row>
    <row r="211" spans="1:148" x14ac:dyDescent="0.2">
      <c r="A211" s="1">
        <v>2022</v>
      </c>
      <c r="B211" s="1" t="str">
        <f t="shared" si="6"/>
        <v>RD</v>
      </c>
      <c r="C211" s="1" t="s">
        <v>1109</v>
      </c>
      <c r="D211" s="1" t="s">
        <v>1109</v>
      </c>
      <c r="E211" s="1">
        <v>25457</v>
      </c>
      <c r="F211" s="1" t="s">
        <v>2123</v>
      </c>
      <c r="G211" s="1" t="s">
        <v>759</v>
      </c>
      <c r="H211" s="1" t="s">
        <v>1103</v>
      </c>
      <c r="I211" s="1">
        <v>32.25</v>
      </c>
      <c r="J211" s="1">
        <v>32.25</v>
      </c>
      <c r="K211" s="1" t="s">
        <v>249</v>
      </c>
      <c r="L211" s="1">
        <v>1</v>
      </c>
      <c r="M211" s="1">
        <v>2017</v>
      </c>
      <c r="N211" s="1">
        <v>2</v>
      </c>
      <c r="O211" s="1">
        <v>2</v>
      </c>
      <c r="P211" s="1" t="str">
        <f t="shared" si="7"/>
        <v>Talhadia</v>
      </c>
      <c r="Q211" s="2">
        <v>43083</v>
      </c>
      <c r="R211" s="1" t="s">
        <v>746</v>
      </c>
      <c r="S211" s="1" t="s">
        <v>163</v>
      </c>
      <c r="T211" s="1" t="s">
        <v>2268</v>
      </c>
      <c r="U211" s="1" t="s">
        <v>212</v>
      </c>
      <c r="V211" s="1" t="s">
        <v>152</v>
      </c>
      <c r="W211" s="2">
        <v>44685</v>
      </c>
      <c r="X211" s="1" t="s">
        <v>762</v>
      </c>
      <c r="Y211" s="1">
        <v>110.09</v>
      </c>
      <c r="Z211" s="1">
        <v>20</v>
      </c>
      <c r="AA211" s="1">
        <v>11</v>
      </c>
      <c r="AB211" s="1">
        <v>15</v>
      </c>
      <c r="AC211" s="1">
        <v>1</v>
      </c>
      <c r="AD211" s="3">
        <v>300</v>
      </c>
      <c r="AE211" s="3">
        <v>294.44330306190199</v>
      </c>
      <c r="AF211" s="2">
        <v>44685</v>
      </c>
      <c r="AG211" s="1">
        <v>53</v>
      </c>
      <c r="AH211" s="3">
        <v>4.3860369609856296</v>
      </c>
      <c r="AI211" s="4">
        <v>22.716868697579201</v>
      </c>
      <c r="AJ211" s="4">
        <v>14.8037037037037</v>
      </c>
      <c r="AK211" s="4">
        <v>16.436067370096598</v>
      </c>
      <c r="AL211" s="1">
        <v>27</v>
      </c>
      <c r="AM211" s="5">
        <v>916.98468666898805</v>
      </c>
      <c r="AN211" s="4">
        <v>170.597160039492</v>
      </c>
      <c r="AO211" s="4">
        <v>0.18604144924077101</v>
      </c>
      <c r="AP211" s="1" t="s">
        <v>163</v>
      </c>
      <c r="AQ211" s="1" t="s">
        <v>254</v>
      </c>
      <c r="AR211" s="1" t="s">
        <v>282</v>
      </c>
      <c r="AS211" s="1">
        <v>7.5</v>
      </c>
      <c r="AT211" s="4">
        <v>0.6877385150017411</v>
      </c>
      <c r="AU211" s="1" t="s">
        <v>1110</v>
      </c>
      <c r="AV211" s="1" t="s">
        <v>1111</v>
      </c>
      <c r="AW211" s="1">
        <v>2781</v>
      </c>
      <c r="AX211" s="1">
        <v>1596</v>
      </c>
      <c r="AY211" s="1">
        <v>1101</v>
      </c>
      <c r="AZ211" s="1">
        <v>83</v>
      </c>
      <c r="BA211" s="1">
        <v>1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4">
        <v>-0.65</v>
      </c>
      <c r="BI211" s="4">
        <v>27.02</v>
      </c>
      <c r="BJ211" s="4">
        <v>10.716640999999999</v>
      </c>
      <c r="BK211" s="4">
        <v>-0.21079400000000001</v>
      </c>
      <c r="BL211" s="4">
        <v>11.215574999999999</v>
      </c>
      <c r="BM211" s="4">
        <v>125.789134</v>
      </c>
      <c r="BN211" s="4">
        <v>1.046557</v>
      </c>
      <c r="BO211" s="4">
        <v>22.75</v>
      </c>
      <c r="BP211" s="4">
        <v>0.20260700000000001</v>
      </c>
      <c r="BQ211" s="4">
        <v>1.1377790000000001</v>
      </c>
      <c r="BR211" s="4">
        <v>10.946616000000001</v>
      </c>
      <c r="BS211" s="4">
        <v>1.78</v>
      </c>
      <c r="BT211" s="4">
        <v>1.790794</v>
      </c>
      <c r="BU211" s="4">
        <v>10.716640999999999</v>
      </c>
      <c r="BV211" s="4">
        <v>5.9277059999999997</v>
      </c>
      <c r="BW211" s="4">
        <v>0.74837699999999996</v>
      </c>
      <c r="BX211" s="4">
        <v>-1.12575</v>
      </c>
      <c r="BY211" s="4">
        <v>0.55313100000000004</v>
      </c>
      <c r="BZ211" s="4">
        <v>0.126251</v>
      </c>
      <c r="CA211" s="4">
        <v>-0.189913</v>
      </c>
      <c r="CB211" s="4">
        <v>-0.28399999999999997</v>
      </c>
      <c r="CC211" s="4">
        <v>-0.09</v>
      </c>
      <c r="CD211" s="4">
        <v>-0.01</v>
      </c>
      <c r="CE211" s="4">
        <v>0.1</v>
      </c>
      <c r="CF211" s="4">
        <v>0.15</v>
      </c>
      <c r="CG211" s="4">
        <v>0.19</v>
      </c>
      <c r="CH211" s="4">
        <v>0.31</v>
      </c>
      <c r="CI211" s="4">
        <v>1.58</v>
      </c>
      <c r="CJ211" s="4">
        <v>19.860001</v>
      </c>
      <c r="CK211" s="4">
        <v>22.219999000000001</v>
      </c>
      <c r="CL211" s="4">
        <v>22.9</v>
      </c>
      <c r="CM211" s="4">
        <v>23.59</v>
      </c>
      <c r="CN211" s="4">
        <v>24.709999</v>
      </c>
      <c r="CO211" s="4">
        <v>25.290001</v>
      </c>
      <c r="CP211" s="4">
        <v>26.17</v>
      </c>
      <c r="CQ211" s="4">
        <v>0.41079300000000002</v>
      </c>
      <c r="CR211" s="4">
        <v>15.510973999999999</v>
      </c>
      <c r="CS211" s="4">
        <v>17.7148</v>
      </c>
      <c r="CT211" s="1">
        <v>1</v>
      </c>
      <c r="CU211" s="1">
        <v>44</v>
      </c>
      <c r="CV211" s="4">
        <v>14.312837</v>
      </c>
      <c r="CW211" s="4">
        <v>1</v>
      </c>
      <c r="CX211" s="4">
        <v>10.11317</v>
      </c>
      <c r="CY211" s="4">
        <v>102.27619799999999</v>
      </c>
      <c r="CZ211" s="4">
        <v>0.70657999999999999</v>
      </c>
      <c r="DA211" s="4">
        <v>14</v>
      </c>
      <c r="DB211" s="4">
        <v>0.72437799999999997</v>
      </c>
      <c r="DC211" s="4">
        <v>2.6800039999999998</v>
      </c>
      <c r="DD211" s="4">
        <v>8.1493880000000001</v>
      </c>
      <c r="DE211" s="4">
        <v>14.312837</v>
      </c>
      <c r="DF211" s="4">
        <v>5.6414390000000001</v>
      </c>
      <c r="DG211" s="4">
        <v>0.98301899999999998</v>
      </c>
      <c r="DH211" s="4">
        <v>0.45425399999999999</v>
      </c>
      <c r="DI211" s="4">
        <v>0.394152</v>
      </c>
      <c r="DJ211" s="4">
        <v>0.17424999999999999</v>
      </c>
      <c r="DK211" s="4">
        <v>8.0520999999999995E-2</v>
      </c>
      <c r="DL211" s="4">
        <v>1</v>
      </c>
      <c r="DM211" s="4">
        <v>1</v>
      </c>
      <c r="DN211" s="4">
        <v>3</v>
      </c>
      <c r="DO211" s="4">
        <v>5</v>
      </c>
      <c r="DP211" s="4">
        <v>6</v>
      </c>
      <c r="DQ211" s="4">
        <v>7</v>
      </c>
      <c r="DR211" s="4">
        <v>10</v>
      </c>
      <c r="DS211" s="4">
        <v>13</v>
      </c>
      <c r="DT211" s="4">
        <v>15</v>
      </c>
      <c r="DU211" s="4">
        <v>18</v>
      </c>
      <c r="DV211" s="4">
        <v>20</v>
      </c>
      <c r="DW211" s="4">
        <v>22</v>
      </c>
      <c r="DX211" s="4">
        <v>31</v>
      </c>
      <c r="DY211" s="4">
        <v>34</v>
      </c>
      <c r="DZ211" s="4">
        <v>39</v>
      </c>
      <c r="EA211" s="4">
        <v>76.378445999999997</v>
      </c>
      <c r="EB211" s="4">
        <v>48.327939999999998</v>
      </c>
      <c r="EC211" s="4">
        <v>84.210526000000002</v>
      </c>
      <c r="ED211" s="4">
        <v>1219</v>
      </c>
      <c r="EE211" s="4">
        <v>1344</v>
      </c>
      <c r="EF211" s="4">
        <v>75.37594</v>
      </c>
      <c r="EG211" s="4">
        <v>100</v>
      </c>
      <c r="EH211" s="4">
        <v>47.105358000000003</v>
      </c>
      <c r="EI211" s="4">
        <v>98.238044000000002</v>
      </c>
      <c r="EJ211" s="4">
        <v>82.080201000000002</v>
      </c>
      <c r="EK211" s="4">
        <v>171.17794499999999</v>
      </c>
      <c r="EL211" s="4">
        <v>1203</v>
      </c>
      <c r="EM211" s="4">
        <v>1596</v>
      </c>
      <c r="EN211" s="4">
        <v>1310</v>
      </c>
      <c r="EO211" s="4">
        <v>2732</v>
      </c>
      <c r="EP211" s="4">
        <v>1596</v>
      </c>
      <c r="EQ211" s="4">
        <v>2781</v>
      </c>
      <c r="ER211" s="4">
        <v>39.969392999999997</v>
      </c>
    </row>
    <row r="212" spans="1:148" x14ac:dyDescent="0.2">
      <c r="A212" s="1">
        <v>2022</v>
      </c>
      <c r="B212" s="1" t="str">
        <f t="shared" si="6"/>
        <v>NE</v>
      </c>
      <c r="C212" s="1" t="s">
        <v>1112</v>
      </c>
      <c r="D212" s="1" t="s">
        <v>1112</v>
      </c>
      <c r="E212" s="1">
        <v>25458</v>
      </c>
      <c r="F212" s="1" t="s">
        <v>2122</v>
      </c>
      <c r="G212" s="1" t="s">
        <v>551</v>
      </c>
      <c r="H212" s="1" t="s">
        <v>1113</v>
      </c>
      <c r="I212" s="1">
        <v>19.579999999999998</v>
      </c>
      <c r="J212" s="1">
        <v>19.579999999999998</v>
      </c>
      <c r="K212" s="1" t="s">
        <v>184</v>
      </c>
      <c r="L212" s="1">
        <v>1</v>
      </c>
      <c r="M212" s="1">
        <v>2017</v>
      </c>
      <c r="N212" s="1">
        <v>2</v>
      </c>
      <c r="O212" s="1">
        <v>1</v>
      </c>
      <c r="P212" s="1" t="str">
        <f t="shared" si="7"/>
        <v>Alto fuste</v>
      </c>
      <c r="Q212" s="2">
        <v>43069</v>
      </c>
      <c r="R212" s="1" t="s">
        <v>169</v>
      </c>
      <c r="S212" s="1" t="s">
        <v>299</v>
      </c>
      <c r="T212" s="1" t="s">
        <v>2268</v>
      </c>
      <c r="U212" s="1" t="s">
        <v>170</v>
      </c>
      <c r="V212" s="1" t="s">
        <v>152</v>
      </c>
      <c r="W212" s="2">
        <v>44599</v>
      </c>
      <c r="X212" s="1" t="s">
        <v>553</v>
      </c>
      <c r="Y212" s="1">
        <v>81.849999999999994</v>
      </c>
      <c r="Z212" s="1">
        <v>18.8</v>
      </c>
      <c r="AA212" s="1">
        <v>35</v>
      </c>
      <c r="AB212" s="1">
        <v>14.6</v>
      </c>
      <c r="AC212" s="1">
        <v>10</v>
      </c>
      <c r="AD212" s="3">
        <v>274.48</v>
      </c>
      <c r="AE212" s="3">
        <v>221.42501534295201</v>
      </c>
      <c r="AF212" s="2">
        <v>44599</v>
      </c>
      <c r="AG212" s="1">
        <v>51</v>
      </c>
      <c r="AH212" s="3">
        <v>4.1889117043121198</v>
      </c>
      <c r="AI212" s="4">
        <v>24.645436839315</v>
      </c>
      <c r="AJ212" s="4">
        <v>15.2892857142857</v>
      </c>
      <c r="AK212" s="4">
        <v>23.642034902937102</v>
      </c>
      <c r="AL212" s="1">
        <v>28</v>
      </c>
      <c r="AM212" s="5">
        <v>1264.5364371605699</v>
      </c>
      <c r="AN212" s="4">
        <v>251.96805204216199</v>
      </c>
      <c r="AO212" s="4">
        <v>0.19925724924774799</v>
      </c>
      <c r="AP212" s="1" t="s">
        <v>299</v>
      </c>
      <c r="AQ212" s="1" t="s">
        <v>156</v>
      </c>
      <c r="AR212" s="1" t="s">
        <v>564</v>
      </c>
      <c r="AS212" s="1">
        <v>9</v>
      </c>
      <c r="AT212" s="4">
        <v>1.138082793444513</v>
      </c>
      <c r="AU212" s="1" t="s">
        <v>1114</v>
      </c>
      <c r="AV212" s="1" t="s">
        <v>1115</v>
      </c>
      <c r="AW212" s="1">
        <v>4773</v>
      </c>
      <c r="AX212" s="1">
        <v>4773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0</v>
      </c>
      <c r="BG212" s="1">
        <v>0</v>
      </c>
      <c r="BH212" s="4">
        <v>-0.155</v>
      </c>
      <c r="BI212" s="4">
        <v>27.459999</v>
      </c>
      <c r="BJ212" s="4">
        <v>22.968585999999998</v>
      </c>
      <c r="BK212" s="4">
        <v>23.076665999999999</v>
      </c>
      <c r="BL212" s="4">
        <v>2.7921800000000001</v>
      </c>
      <c r="BM212" s="4">
        <v>7.7962680000000004</v>
      </c>
      <c r="BN212" s="4">
        <v>0.12156500000000001</v>
      </c>
      <c r="BO212" s="4">
        <v>2.4079989999999998</v>
      </c>
      <c r="BP212" s="4">
        <v>-4.6321830000000004</v>
      </c>
      <c r="BQ212" s="4">
        <v>36.497081999999999</v>
      </c>
      <c r="BR212" s="4">
        <v>1.6071169999999999</v>
      </c>
      <c r="BS212" s="4">
        <v>1.2069989999999999</v>
      </c>
      <c r="BT212" s="4">
        <v>1.2016659999999999</v>
      </c>
      <c r="BU212" s="4">
        <v>22.968585999999998</v>
      </c>
      <c r="BV212" s="4">
        <v>1.17943</v>
      </c>
      <c r="BW212" s="4">
        <v>-0.242284</v>
      </c>
      <c r="BX212" s="4">
        <v>0.303006</v>
      </c>
      <c r="BY212" s="4">
        <v>5.135E-2</v>
      </c>
      <c r="BZ212" s="4">
        <v>-0.205425</v>
      </c>
      <c r="CA212" s="4">
        <v>0.256909</v>
      </c>
      <c r="CB212" s="4">
        <v>10.17836</v>
      </c>
      <c r="CC212" s="4">
        <v>20.318999999999999</v>
      </c>
      <c r="CD212" s="4">
        <v>21.030999999999999</v>
      </c>
      <c r="CE212" s="4">
        <v>21.714001</v>
      </c>
      <c r="CF212" s="4">
        <v>22.024000000000001</v>
      </c>
      <c r="CG212" s="4">
        <v>22.283000999999999</v>
      </c>
      <c r="CH212" s="4">
        <v>22.814599999999999</v>
      </c>
      <c r="CI212" s="4">
        <v>23.235001</v>
      </c>
      <c r="CJ212" s="4">
        <v>23.677999</v>
      </c>
      <c r="CK212" s="4">
        <v>24.162400999999999</v>
      </c>
      <c r="CL212" s="4">
        <v>24.431999000000001</v>
      </c>
      <c r="CM212" s="4">
        <v>24.712999</v>
      </c>
      <c r="CN212" s="4">
        <v>25.343399000000002</v>
      </c>
      <c r="CO212" s="4">
        <v>25.875</v>
      </c>
      <c r="CP212" s="4">
        <v>26.655518000000001</v>
      </c>
      <c r="CQ212" s="4">
        <v>0.83735599999999999</v>
      </c>
      <c r="CR212" s="4">
        <v>23.137644000000002</v>
      </c>
      <c r="CS212" s="4">
        <v>23.240995999999999</v>
      </c>
      <c r="CT212" s="1">
        <v>1</v>
      </c>
      <c r="CU212" s="1">
        <v>67</v>
      </c>
      <c r="CV212" s="4">
        <v>27.317620000000002</v>
      </c>
      <c r="CW212" s="4">
        <v>23</v>
      </c>
      <c r="CX212" s="4">
        <v>11.88068</v>
      </c>
      <c r="CY212" s="4">
        <v>141.15056300000001</v>
      </c>
      <c r="CZ212" s="4">
        <v>0.43490899999999999</v>
      </c>
      <c r="DA212" s="4">
        <v>16</v>
      </c>
      <c r="DB212" s="4">
        <v>0.16523699999999999</v>
      </c>
      <c r="DC212" s="4">
        <v>2.7579799999999999</v>
      </c>
      <c r="DD212" s="4">
        <v>9.4527269999999994</v>
      </c>
      <c r="DE212" s="4">
        <v>27.317620000000002</v>
      </c>
      <c r="DF212" s="4">
        <v>6.7240950000000002</v>
      </c>
      <c r="DG212" s="4">
        <v>0.18757299999999999</v>
      </c>
      <c r="DH212" s="4">
        <v>0.82121200000000005</v>
      </c>
      <c r="DI212" s="4">
        <v>0.246145</v>
      </c>
      <c r="DJ212" s="4">
        <v>2.7896000000000001E-2</v>
      </c>
      <c r="DK212" s="4">
        <v>0.12213</v>
      </c>
      <c r="DL212" s="4">
        <v>2</v>
      </c>
      <c r="DM212" s="4">
        <v>8</v>
      </c>
      <c r="DN212" s="4">
        <v>12</v>
      </c>
      <c r="DO212" s="4">
        <v>17</v>
      </c>
      <c r="DP212" s="4">
        <v>19</v>
      </c>
      <c r="DQ212" s="4">
        <v>21</v>
      </c>
      <c r="DR212" s="4">
        <v>24</v>
      </c>
      <c r="DS212" s="4">
        <v>27</v>
      </c>
      <c r="DT212" s="4">
        <v>30</v>
      </c>
      <c r="DU212" s="4">
        <v>33</v>
      </c>
      <c r="DV212" s="4">
        <v>35</v>
      </c>
      <c r="DW212" s="4">
        <v>37</v>
      </c>
      <c r="DX212" s="4">
        <v>43</v>
      </c>
      <c r="DY212" s="4">
        <v>48</v>
      </c>
      <c r="DZ212" s="4">
        <v>55</v>
      </c>
      <c r="EA212" s="4">
        <v>99.287660000000002</v>
      </c>
      <c r="EB212" s="4">
        <v>99.287660000000002</v>
      </c>
      <c r="EC212" s="4">
        <v>99.287660000000002</v>
      </c>
      <c r="ED212" s="4">
        <v>4739</v>
      </c>
      <c r="EE212" s="4">
        <v>4739</v>
      </c>
      <c r="EF212" s="4">
        <v>56.358683999999997</v>
      </c>
      <c r="EG212" s="4">
        <v>54.116908000000002</v>
      </c>
      <c r="EH212" s="4">
        <v>56.358683999999997</v>
      </c>
      <c r="EI212" s="4">
        <v>54.116908000000002</v>
      </c>
      <c r="EJ212" s="4">
        <v>56.358683999999997</v>
      </c>
      <c r="EK212" s="4">
        <v>54.116908000000002</v>
      </c>
      <c r="EL212" s="4">
        <v>2690</v>
      </c>
      <c r="EM212" s="4">
        <v>2583</v>
      </c>
      <c r="EN212" s="4">
        <v>2690</v>
      </c>
      <c r="EO212" s="4">
        <v>2583</v>
      </c>
      <c r="EP212" s="4">
        <v>4773</v>
      </c>
      <c r="EQ212" s="4">
        <v>4773</v>
      </c>
      <c r="ER212" s="4">
        <v>85.208911999999998</v>
      </c>
    </row>
    <row r="213" spans="1:148" x14ac:dyDescent="0.2">
      <c r="A213" s="1">
        <v>2022</v>
      </c>
      <c r="B213" s="1" t="str">
        <f t="shared" si="6"/>
        <v>RD</v>
      </c>
      <c r="C213" s="1" t="s">
        <v>1116</v>
      </c>
      <c r="D213" s="1" t="s">
        <v>1116</v>
      </c>
      <c r="E213" s="1">
        <v>25464</v>
      </c>
      <c r="F213" s="1" t="s">
        <v>2123</v>
      </c>
      <c r="G213" s="1" t="s">
        <v>759</v>
      </c>
      <c r="H213" s="1" t="s">
        <v>1117</v>
      </c>
      <c r="I213" s="1">
        <v>68.16</v>
      </c>
      <c r="J213" s="1">
        <v>68.16</v>
      </c>
      <c r="K213" s="1" t="s">
        <v>249</v>
      </c>
      <c r="L213" s="1">
        <v>1</v>
      </c>
      <c r="M213" s="1">
        <v>2017</v>
      </c>
      <c r="N213" s="1">
        <v>2</v>
      </c>
      <c r="O213" s="1">
        <v>2</v>
      </c>
      <c r="P213" s="1" t="str">
        <f t="shared" si="7"/>
        <v>Talhadia</v>
      </c>
      <c r="Q213" s="2">
        <v>43089</v>
      </c>
      <c r="R213" s="1" t="s">
        <v>746</v>
      </c>
      <c r="S213" s="1" t="s">
        <v>250</v>
      </c>
      <c r="T213" s="1" t="s">
        <v>2268</v>
      </c>
      <c r="U213" s="1" t="s">
        <v>212</v>
      </c>
      <c r="V213" s="1" t="s">
        <v>152</v>
      </c>
      <c r="W213" s="2">
        <v>44686</v>
      </c>
      <c r="X213" s="1" t="s">
        <v>762</v>
      </c>
      <c r="Y213" s="1">
        <v>110.09</v>
      </c>
      <c r="Z213" s="1">
        <v>20.6</v>
      </c>
      <c r="AA213" s="1">
        <v>8</v>
      </c>
      <c r="AB213" s="1">
        <v>15.2</v>
      </c>
      <c r="AC213" s="1">
        <v>4</v>
      </c>
      <c r="AD213" s="3">
        <v>313.12</v>
      </c>
      <c r="AE213" s="3">
        <v>309.31741607956297</v>
      </c>
      <c r="AF213" s="2">
        <v>44686</v>
      </c>
      <c r="AG213" s="1">
        <v>53</v>
      </c>
      <c r="AH213" s="3">
        <v>4.3723477070499701</v>
      </c>
      <c r="AI213" s="4">
        <v>24.090959392762802</v>
      </c>
      <c r="AJ213" s="4">
        <v>12.648648648648599</v>
      </c>
      <c r="AK213" s="4">
        <v>15.5638717147155</v>
      </c>
      <c r="AL213" s="1">
        <v>37</v>
      </c>
      <c r="AM213" s="5">
        <v>1196.1822411733499</v>
      </c>
      <c r="AN213" s="4">
        <v>176.28935624344601</v>
      </c>
      <c r="AO213" s="4">
        <v>0.147376670690682</v>
      </c>
      <c r="AP213" s="1" t="s">
        <v>250</v>
      </c>
      <c r="AQ213" s="1" t="s">
        <v>254</v>
      </c>
      <c r="AR213" s="1" t="s">
        <v>282</v>
      </c>
      <c r="AS213" s="1">
        <v>7.5</v>
      </c>
      <c r="AT213" s="4">
        <v>0.89713668088001242</v>
      </c>
      <c r="AU213" s="1" t="s">
        <v>1118</v>
      </c>
      <c r="AV213" s="1" t="s">
        <v>1119</v>
      </c>
      <c r="AW213" s="1">
        <v>3867</v>
      </c>
      <c r="AX213" s="1">
        <v>2180</v>
      </c>
      <c r="AY213" s="1">
        <v>1437</v>
      </c>
      <c r="AZ213" s="1">
        <v>243</v>
      </c>
      <c r="BA213" s="1">
        <v>7</v>
      </c>
      <c r="BB213" s="1">
        <v>0</v>
      </c>
      <c r="BC213" s="1">
        <v>0</v>
      </c>
      <c r="BD213" s="1">
        <v>0</v>
      </c>
      <c r="BE213" s="1">
        <v>0</v>
      </c>
      <c r="BF213" s="1">
        <v>0</v>
      </c>
      <c r="BG213" s="1">
        <v>0</v>
      </c>
      <c r="BH213" s="4">
        <v>-1.1200000000000001</v>
      </c>
      <c r="BI213" s="4">
        <v>26.459999</v>
      </c>
      <c r="BJ213" s="4">
        <v>10.307249000000001</v>
      </c>
      <c r="BK213" s="4">
        <v>-0.24444399999999999</v>
      </c>
      <c r="BL213" s="4">
        <v>10.445323999999999</v>
      </c>
      <c r="BM213" s="4">
        <v>109.104799</v>
      </c>
      <c r="BN213" s="4">
        <v>1.013396</v>
      </c>
      <c r="BO213" s="4">
        <v>22.310001</v>
      </c>
      <c r="BP213" s="4">
        <v>0.264793</v>
      </c>
      <c r="BQ213" s="4">
        <v>1.2807729999999999</v>
      </c>
      <c r="BR213" s="4">
        <v>9.8896719999999991</v>
      </c>
      <c r="BS213" s="4">
        <v>6.75</v>
      </c>
      <c r="BT213" s="4">
        <v>6.9644440000000003</v>
      </c>
      <c r="BU213" s="4">
        <v>10.307249000000001</v>
      </c>
      <c r="BV213" s="4">
        <v>5.6762509999999997</v>
      </c>
      <c r="BW213" s="4">
        <v>0.80001299999999997</v>
      </c>
      <c r="BX213" s="4">
        <v>-0.92969599999999997</v>
      </c>
      <c r="BY213" s="4">
        <v>0.550705</v>
      </c>
      <c r="BZ213" s="4">
        <v>0.14094000000000001</v>
      </c>
      <c r="CA213" s="4">
        <v>-0.16378699999999999</v>
      </c>
      <c r="CB213" s="4">
        <v>-0.27</v>
      </c>
      <c r="CC213" s="4">
        <v>-7.0000000000000007E-2</v>
      </c>
      <c r="CD213" s="4">
        <v>0.02</v>
      </c>
      <c r="CE213" s="4">
        <v>0.15</v>
      </c>
      <c r="CF213" s="4">
        <v>0.22</v>
      </c>
      <c r="CG213" s="4">
        <v>0.28999999999999998</v>
      </c>
      <c r="CH213" s="4">
        <v>0.52</v>
      </c>
      <c r="CI213" s="4">
        <v>6.72</v>
      </c>
      <c r="CJ213" s="4">
        <v>15.026001000000001</v>
      </c>
      <c r="CK213" s="4">
        <v>21.111999999999998</v>
      </c>
      <c r="CL213" s="4">
        <v>22.530000999999999</v>
      </c>
      <c r="CM213" s="4">
        <v>23.138000000000002</v>
      </c>
      <c r="CN213" s="4">
        <v>24.184000000000001</v>
      </c>
      <c r="CO213" s="4">
        <v>24.870000999999998</v>
      </c>
      <c r="CP213" s="4">
        <v>25.676801999999999</v>
      </c>
      <c r="CQ213" s="4">
        <v>0.414331</v>
      </c>
      <c r="CR213" s="4">
        <v>14.673648</v>
      </c>
      <c r="CS213" s="4">
        <v>16.832919</v>
      </c>
      <c r="CT213" s="1">
        <v>1</v>
      </c>
      <c r="CU213" s="1">
        <v>40</v>
      </c>
      <c r="CV213" s="4">
        <v>8.4013449999999992</v>
      </c>
      <c r="CW213" s="4">
        <v>1</v>
      </c>
      <c r="CX213" s="4">
        <v>7.0595920000000003</v>
      </c>
      <c r="CY213" s="4">
        <v>49.837845999999999</v>
      </c>
      <c r="CZ213" s="4">
        <v>0.84029299999999996</v>
      </c>
      <c r="DA213" s="4">
        <v>9</v>
      </c>
      <c r="DB213" s="4">
        <v>1.163529</v>
      </c>
      <c r="DC213" s="4">
        <v>3.7097220000000002</v>
      </c>
      <c r="DD213" s="4">
        <v>5.6048809999999998</v>
      </c>
      <c r="DE213" s="4">
        <v>8.4013449999999992</v>
      </c>
      <c r="DF213" s="4">
        <v>3.77366</v>
      </c>
      <c r="DG213" s="4">
        <v>1.0548409999999999</v>
      </c>
      <c r="DH213" s="4">
        <v>0.39674500000000001</v>
      </c>
      <c r="DI213" s="4">
        <v>0.44917299999999999</v>
      </c>
      <c r="DJ213" s="4">
        <v>0.27952700000000003</v>
      </c>
      <c r="DK213" s="4">
        <v>0.10513500000000001</v>
      </c>
      <c r="DL213" s="4">
        <v>1</v>
      </c>
      <c r="DM213" s="4">
        <v>1</v>
      </c>
      <c r="DN213" s="4">
        <v>1</v>
      </c>
      <c r="DO213" s="4">
        <v>2</v>
      </c>
      <c r="DP213" s="4">
        <v>3</v>
      </c>
      <c r="DQ213" s="4">
        <v>4</v>
      </c>
      <c r="DR213" s="4">
        <v>5</v>
      </c>
      <c r="DS213" s="4">
        <v>6</v>
      </c>
      <c r="DT213" s="4">
        <v>8</v>
      </c>
      <c r="DU213" s="4">
        <v>10</v>
      </c>
      <c r="DV213" s="4">
        <v>12</v>
      </c>
      <c r="DW213" s="4">
        <v>14</v>
      </c>
      <c r="DX213" s="4">
        <v>20</v>
      </c>
      <c r="DY213" s="4">
        <v>23</v>
      </c>
      <c r="DZ213" s="4">
        <v>29</v>
      </c>
      <c r="EA213" s="4">
        <v>78.211009000000004</v>
      </c>
      <c r="EB213" s="4">
        <v>52.495474999999999</v>
      </c>
      <c r="EC213" s="4">
        <v>93.119265999999996</v>
      </c>
      <c r="ED213" s="4">
        <v>1705</v>
      </c>
      <c r="EE213" s="4">
        <v>2030</v>
      </c>
      <c r="EF213" s="4">
        <v>72.201835000000003</v>
      </c>
      <c r="EG213" s="4">
        <v>99.954127999999997</v>
      </c>
      <c r="EH213" s="4">
        <v>45.875355999999996</v>
      </c>
      <c r="EI213" s="4">
        <v>98.707008000000002</v>
      </c>
      <c r="EJ213" s="4">
        <v>81.376147000000003</v>
      </c>
      <c r="EK213" s="4">
        <v>175.09174300000001</v>
      </c>
      <c r="EL213" s="4">
        <v>1574</v>
      </c>
      <c r="EM213" s="4">
        <v>2179</v>
      </c>
      <c r="EN213" s="4">
        <v>1774</v>
      </c>
      <c r="EO213" s="4">
        <v>3817</v>
      </c>
      <c r="EP213" s="4">
        <v>2180</v>
      </c>
      <c r="EQ213" s="4">
        <v>3867</v>
      </c>
      <c r="ER213" s="4">
        <v>39.157508999999997</v>
      </c>
    </row>
    <row r="214" spans="1:148" x14ac:dyDescent="0.2">
      <c r="A214" s="1">
        <v>2022</v>
      </c>
      <c r="B214" s="1" t="str">
        <f t="shared" si="6"/>
        <v>NE</v>
      </c>
      <c r="C214" s="1" t="s">
        <v>1120</v>
      </c>
      <c r="D214" s="1" t="s">
        <v>1120</v>
      </c>
      <c r="E214" s="1">
        <v>25475</v>
      </c>
      <c r="F214" s="1" t="s">
        <v>2124</v>
      </c>
      <c r="G214" s="1" t="s">
        <v>440</v>
      </c>
      <c r="H214" s="1" t="s">
        <v>1121</v>
      </c>
      <c r="I214" s="1">
        <v>36.69</v>
      </c>
      <c r="J214" s="1">
        <v>36.69</v>
      </c>
      <c r="K214" s="1" t="s">
        <v>148</v>
      </c>
      <c r="L214" s="1">
        <v>1</v>
      </c>
      <c r="M214" s="1">
        <v>2017</v>
      </c>
      <c r="N214" s="1">
        <v>4</v>
      </c>
      <c r="O214" s="1">
        <v>1</v>
      </c>
      <c r="P214" s="1" t="str">
        <f t="shared" si="7"/>
        <v>Alto fuste</v>
      </c>
      <c r="Q214" s="2">
        <v>42818</v>
      </c>
      <c r="R214" s="1" t="s">
        <v>169</v>
      </c>
      <c r="S214" s="1" t="s">
        <v>442</v>
      </c>
      <c r="T214" s="1" t="s">
        <v>2268</v>
      </c>
      <c r="U214" s="1" t="s">
        <v>151</v>
      </c>
      <c r="V214" s="1" t="s">
        <v>152</v>
      </c>
      <c r="W214" s="2">
        <v>44818</v>
      </c>
      <c r="X214" s="1" t="s">
        <v>443</v>
      </c>
      <c r="Y214" s="1">
        <v>537.13</v>
      </c>
      <c r="Z214" s="1">
        <v>21.4</v>
      </c>
      <c r="AA214" s="1">
        <v>22</v>
      </c>
      <c r="AB214" s="1">
        <v>14.7</v>
      </c>
      <c r="AC214" s="1">
        <v>2</v>
      </c>
      <c r="AD214" s="3">
        <v>314.58</v>
      </c>
      <c r="AE214" s="3">
        <v>291.49581735601998</v>
      </c>
      <c r="AF214" s="2">
        <v>44818</v>
      </c>
      <c r="AG214" s="1">
        <v>66</v>
      </c>
      <c r="AH214" s="3">
        <v>5.4757015742641997</v>
      </c>
      <c r="AI214" s="4">
        <v>25.274266218523799</v>
      </c>
      <c r="AJ214" s="4">
        <v>15.415625</v>
      </c>
      <c r="AK214" s="4">
        <v>20.941871520715001</v>
      </c>
      <c r="AL214" s="1">
        <v>32</v>
      </c>
      <c r="AM214" s="5">
        <v>1097.78590616676</v>
      </c>
      <c r="AN214" s="4">
        <v>233.50303784948801</v>
      </c>
      <c r="AO214" s="4">
        <v>0.21270362147828201</v>
      </c>
      <c r="AP214" s="1" t="s">
        <v>442</v>
      </c>
      <c r="AQ214" s="1" t="s">
        <v>156</v>
      </c>
      <c r="AR214" s="1" t="s">
        <v>842</v>
      </c>
      <c r="AS214" s="1">
        <v>9</v>
      </c>
      <c r="AT214" s="4">
        <v>0.98800731555008403</v>
      </c>
      <c r="AU214" s="1" t="s">
        <v>1122</v>
      </c>
      <c r="AV214" s="1" t="s">
        <v>1123</v>
      </c>
      <c r="AW214" s="1">
        <v>5475</v>
      </c>
      <c r="AX214" s="1">
        <v>2957</v>
      </c>
      <c r="AY214" s="1">
        <v>2150</v>
      </c>
      <c r="AZ214" s="1">
        <v>360</v>
      </c>
      <c r="BA214" s="1">
        <v>8</v>
      </c>
      <c r="BB214" s="1">
        <v>0</v>
      </c>
      <c r="BC214" s="1">
        <v>0</v>
      </c>
      <c r="BD214" s="1">
        <v>0</v>
      </c>
      <c r="BE214" s="1">
        <v>0</v>
      </c>
      <c r="BF214" s="1">
        <v>0</v>
      </c>
      <c r="BG214" s="1">
        <v>0</v>
      </c>
      <c r="BH214" s="4">
        <v>-1.2629999999999999</v>
      </c>
      <c r="BI214" s="4">
        <v>28.457001000000002</v>
      </c>
      <c r="BJ214" s="4">
        <v>13.604551000000001</v>
      </c>
      <c r="BK214" s="4">
        <v>-0.31950800000000001</v>
      </c>
      <c r="BL214" s="4">
        <v>12.099837000000001</v>
      </c>
      <c r="BM214" s="4">
        <v>146.40605300000001</v>
      </c>
      <c r="BN214" s="4">
        <v>0.88939599999999996</v>
      </c>
      <c r="BO214" s="4">
        <v>25.237499</v>
      </c>
      <c r="BP214" s="4">
        <v>-0.13309000000000001</v>
      </c>
      <c r="BQ214" s="4">
        <v>1.119297</v>
      </c>
      <c r="BR214" s="4">
        <v>11.756568</v>
      </c>
      <c r="BS214" s="4">
        <v>7.8019999999999996</v>
      </c>
      <c r="BT214" s="4">
        <v>19.580507000000001</v>
      </c>
      <c r="BU214" s="4">
        <v>13.604551000000001</v>
      </c>
      <c r="BV214" s="4">
        <v>6.4419029999999999</v>
      </c>
      <c r="BW214" s="4">
        <v>-0.23289399999999999</v>
      </c>
      <c r="BX214" s="4">
        <v>-1.318662</v>
      </c>
      <c r="BY214" s="4">
        <v>0.47351100000000002</v>
      </c>
      <c r="BZ214" s="4">
        <v>-3.6152999999999998E-2</v>
      </c>
      <c r="CA214" s="4">
        <v>-0.20470099999999999</v>
      </c>
      <c r="CB214" s="4">
        <v>-0.38725999999999999</v>
      </c>
      <c r="CC214" s="4">
        <v>-0.17100000000000001</v>
      </c>
      <c r="CD214" s="4">
        <v>-8.6599999999999996E-2</v>
      </c>
      <c r="CE214" s="4">
        <v>1.9E-2</v>
      </c>
      <c r="CF214" s="4">
        <v>7.0499999999999993E-2</v>
      </c>
      <c r="CG214" s="4">
        <v>0.129</v>
      </c>
      <c r="CH214" s="4">
        <v>0.57740000000000002</v>
      </c>
      <c r="CI214" s="4">
        <v>19.260999999999999</v>
      </c>
      <c r="CJ214" s="4">
        <v>24.309401000000001</v>
      </c>
      <c r="CK214" s="4">
        <v>24.9846</v>
      </c>
      <c r="CL214" s="4">
        <v>25.307998999999999</v>
      </c>
      <c r="CM214" s="4">
        <v>25.597200000000001</v>
      </c>
      <c r="CN214" s="4">
        <v>26.3262</v>
      </c>
      <c r="CO214" s="4">
        <v>26.951000000000001</v>
      </c>
      <c r="CP214" s="4">
        <v>27.760857000000001</v>
      </c>
      <c r="CQ214" s="4">
        <v>0.50025399999999998</v>
      </c>
      <c r="CR214" s="4">
        <v>18.206129000000001</v>
      </c>
      <c r="CS214" s="4">
        <v>20.211525999999999</v>
      </c>
      <c r="CT214" s="1">
        <v>1</v>
      </c>
      <c r="CU214" s="1">
        <v>60</v>
      </c>
      <c r="CV214" s="4">
        <v>12.8</v>
      </c>
      <c r="CW214" s="4">
        <v>1</v>
      </c>
      <c r="CX214" s="4">
        <v>9.4266780000000008</v>
      </c>
      <c r="CY214" s="4">
        <v>88.862257999999997</v>
      </c>
      <c r="CZ214" s="4">
        <v>0.73645899999999997</v>
      </c>
      <c r="DA214" s="4">
        <v>13</v>
      </c>
      <c r="DB214" s="4">
        <v>1.1752180000000001</v>
      </c>
      <c r="DC214" s="4">
        <v>4.8574070000000003</v>
      </c>
      <c r="DD214" s="4">
        <v>7.3359629999999996</v>
      </c>
      <c r="DE214" s="4">
        <v>12.8</v>
      </c>
      <c r="DF214" s="4">
        <v>5.0891710000000003</v>
      </c>
      <c r="DG214" s="4">
        <v>0.97943000000000002</v>
      </c>
      <c r="DH214" s="4">
        <v>0.59374899999999997</v>
      </c>
      <c r="DI214" s="4">
        <v>0.397592</v>
      </c>
      <c r="DJ214" s="4">
        <v>0.19245399999999999</v>
      </c>
      <c r="DK214" s="4">
        <v>0.11666899999999999</v>
      </c>
      <c r="DL214" s="4">
        <v>1</v>
      </c>
      <c r="DM214" s="4">
        <v>1</v>
      </c>
      <c r="DN214" s="4">
        <v>2</v>
      </c>
      <c r="DO214" s="4">
        <v>4</v>
      </c>
      <c r="DP214" s="4">
        <v>5</v>
      </c>
      <c r="DQ214" s="4">
        <v>6</v>
      </c>
      <c r="DR214" s="4">
        <v>9</v>
      </c>
      <c r="DS214" s="4">
        <v>11</v>
      </c>
      <c r="DT214" s="4">
        <v>14</v>
      </c>
      <c r="DU214" s="4">
        <v>16</v>
      </c>
      <c r="DV214" s="4">
        <v>18</v>
      </c>
      <c r="DW214" s="4">
        <v>20</v>
      </c>
      <c r="DX214" s="4">
        <v>25</v>
      </c>
      <c r="DY214" s="4">
        <v>31</v>
      </c>
      <c r="DZ214" s="4">
        <v>45</v>
      </c>
      <c r="EA214" s="4">
        <v>93.405479</v>
      </c>
      <c r="EB214" s="4">
        <v>58.210045999999998</v>
      </c>
      <c r="EC214" s="4">
        <v>107.778154</v>
      </c>
      <c r="ED214" s="4">
        <v>2762</v>
      </c>
      <c r="EE214" s="4">
        <v>3187</v>
      </c>
      <c r="EF214" s="4">
        <v>90.497124999999997</v>
      </c>
      <c r="EG214" s="4">
        <v>100</v>
      </c>
      <c r="EH214" s="4">
        <v>53.680365000000002</v>
      </c>
      <c r="EI214" s="4">
        <v>98.392694000000006</v>
      </c>
      <c r="EJ214" s="4">
        <v>99.391274999999993</v>
      </c>
      <c r="EK214" s="4">
        <v>182.17788300000001</v>
      </c>
      <c r="EL214" s="4">
        <v>2676</v>
      </c>
      <c r="EM214" s="4">
        <v>2957</v>
      </c>
      <c r="EN214" s="4">
        <v>2939</v>
      </c>
      <c r="EO214" s="4">
        <v>5387</v>
      </c>
      <c r="EP214" s="4">
        <v>2957</v>
      </c>
      <c r="EQ214" s="4">
        <v>5475</v>
      </c>
      <c r="ER214" s="4">
        <v>48.082621000000003</v>
      </c>
    </row>
    <row r="215" spans="1:148" x14ac:dyDescent="0.2">
      <c r="A215" s="1">
        <v>2022</v>
      </c>
      <c r="B215" s="1" t="str">
        <f t="shared" si="6"/>
        <v>NE</v>
      </c>
      <c r="C215" s="1" t="s">
        <v>1124</v>
      </c>
      <c r="D215" s="1" t="s">
        <v>1124</v>
      </c>
      <c r="E215" s="1">
        <v>25477</v>
      </c>
      <c r="F215" s="1" t="s">
        <v>2124</v>
      </c>
      <c r="G215" s="1" t="s">
        <v>440</v>
      </c>
      <c r="H215" s="1" t="s">
        <v>1121</v>
      </c>
      <c r="I215" s="1">
        <v>36.69</v>
      </c>
      <c r="J215" s="1">
        <v>36.69</v>
      </c>
      <c r="K215" s="1" t="s">
        <v>148</v>
      </c>
      <c r="L215" s="1">
        <v>1</v>
      </c>
      <c r="M215" s="1">
        <v>2017</v>
      </c>
      <c r="N215" s="1">
        <v>4</v>
      </c>
      <c r="O215" s="1">
        <v>1</v>
      </c>
      <c r="P215" s="1" t="str">
        <f t="shared" si="7"/>
        <v>Alto fuste</v>
      </c>
      <c r="Q215" s="2">
        <v>42818</v>
      </c>
      <c r="R215" s="1" t="s">
        <v>169</v>
      </c>
      <c r="S215" s="1" t="s">
        <v>442</v>
      </c>
      <c r="T215" s="1" t="s">
        <v>2268</v>
      </c>
      <c r="U215" s="1" t="s">
        <v>151</v>
      </c>
      <c r="V215" s="1" t="s">
        <v>152</v>
      </c>
      <c r="W215" s="2">
        <v>44818</v>
      </c>
      <c r="X215" s="1" t="s">
        <v>443</v>
      </c>
      <c r="Y215" s="1">
        <v>537.13</v>
      </c>
      <c r="Z215" s="1">
        <v>19.8</v>
      </c>
      <c r="AA215" s="1">
        <v>14</v>
      </c>
      <c r="AB215" s="1">
        <v>15.8</v>
      </c>
      <c r="AC215" s="1">
        <v>3</v>
      </c>
      <c r="AD215" s="3">
        <v>312.83999999999997</v>
      </c>
      <c r="AE215" s="3">
        <v>303.13131396262202</v>
      </c>
      <c r="AF215" s="2">
        <v>44818</v>
      </c>
      <c r="AG215" s="1">
        <v>66</v>
      </c>
      <c r="AH215" s="3">
        <v>5.4757015742641997</v>
      </c>
      <c r="AI215" s="4">
        <v>27.784407328184599</v>
      </c>
      <c r="AJ215" s="4">
        <v>15.284848484848499</v>
      </c>
      <c r="AK215" s="4">
        <v>20.158888671809301</v>
      </c>
      <c r="AL215" s="1">
        <v>33</v>
      </c>
      <c r="AM215" s="5">
        <v>1088.6371179742</v>
      </c>
      <c r="AN215" s="4">
        <v>246.08231422718799</v>
      </c>
      <c r="AO215" s="4">
        <v>0.226046228044395</v>
      </c>
      <c r="AP215" s="1" t="s">
        <v>442</v>
      </c>
      <c r="AQ215" s="1" t="s">
        <v>156</v>
      </c>
      <c r="AR215" s="1" t="s">
        <v>842</v>
      </c>
      <c r="AS215" s="1">
        <v>9</v>
      </c>
      <c r="AT215" s="4">
        <v>0.97977340617677999</v>
      </c>
      <c r="AU215" s="1" t="s">
        <v>1125</v>
      </c>
      <c r="AV215" s="1" t="s">
        <v>1126</v>
      </c>
      <c r="AW215" s="1">
        <v>2471</v>
      </c>
      <c r="AX215" s="1">
        <v>1430</v>
      </c>
      <c r="AY215" s="1">
        <v>973</v>
      </c>
      <c r="AZ215" s="1">
        <v>65</v>
      </c>
      <c r="BA215" s="1">
        <v>3</v>
      </c>
      <c r="BB215" s="1">
        <v>0</v>
      </c>
      <c r="BC215" s="1">
        <v>0</v>
      </c>
      <c r="BD215" s="1">
        <v>0</v>
      </c>
      <c r="BE215" s="1">
        <v>0</v>
      </c>
      <c r="BF215" s="1">
        <v>0</v>
      </c>
      <c r="BG215" s="1">
        <v>0</v>
      </c>
      <c r="BH215" s="4">
        <v>-0.93200000000000005</v>
      </c>
      <c r="BI215" s="4">
        <v>28.559999000000001</v>
      </c>
      <c r="BJ215" s="4">
        <v>12.190716</v>
      </c>
      <c r="BK215" s="4">
        <v>4.254E-3</v>
      </c>
      <c r="BL215" s="4">
        <v>12.743926999999999</v>
      </c>
      <c r="BM215" s="4">
        <v>162.407678</v>
      </c>
      <c r="BN215" s="4">
        <v>1.04538</v>
      </c>
      <c r="BO215" s="4">
        <v>25.932500000000001</v>
      </c>
      <c r="BP215" s="4">
        <v>0.13585</v>
      </c>
      <c r="BQ215" s="4">
        <v>1.0664830000000001</v>
      </c>
      <c r="BR215" s="4">
        <v>12.577439</v>
      </c>
      <c r="BS215" s="4">
        <v>1.0980000000000001</v>
      </c>
      <c r="BT215" s="4">
        <v>0.78274600000000005</v>
      </c>
      <c r="BU215" s="4">
        <v>12.190716</v>
      </c>
      <c r="BV215" s="4">
        <v>6.6201610000000004</v>
      </c>
      <c r="BW215" s="4">
        <v>0.58066799999999996</v>
      </c>
      <c r="BX215" s="4">
        <v>-1.4310339999999999</v>
      </c>
      <c r="BY215" s="4">
        <v>0.543049</v>
      </c>
      <c r="BZ215" s="4">
        <v>8.7711999999999998E-2</v>
      </c>
      <c r="CA215" s="4">
        <v>-0.21616299999999999</v>
      </c>
      <c r="CB215" s="4">
        <v>-0.35680000000000001</v>
      </c>
      <c r="CC215" s="4">
        <v>-0.17899999999999999</v>
      </c>
      <c r="CD215" s="4">
        <v>-0.109</v>
      </c>
      <c r="CE215" s="4">
        <v>-2.4E-2</v>
      </c>
      <c r="CF215" s="4">
        <v>8.0000000000000002E-3</v>
      </c>
      <c r="CG215" s="4">
        <v>4.3999999999999997E-2</v>
      </c>
      <c r="CH215" s="4">
        <v>0.124</v>
      </c>
      <c r="CI215" s="4">
        <v>0.70699999999999996</v>
      </c>
      <c r="CJ215" s="4">
        <v>24.507999000000002</v>
      </c>
      <c r="CK215" s="4">
        <v>25.599001000000001</v>
      </c>
      <c r="CL215" s="4">
        <v>25.9405</v>
      </c>
      <c r="CM215" s="4">
        <v>26.27</v>
      </c>
      <c r="CN215" s="4">
        <v>26.908999999999999</v>
      </c>
      <c r="CO215" s="4">
        <v>27.341000000000001</v>
      </c>
      <c r="CP215" s="4">
        <v>27.996200999999999</v>
      </c>
      <c r="CQ215" s="4">
        <v>0.44495800000000002</v>
      </c>
      <c r="CR215" s="4">
        <v>17.633929999999999</v>
      </c>
      <c r="CS215" s="4">
        <v>20.024926000000001</v>
      </c>
      <c r="CT215" s="1">
        <v>1</v>
      </c>
      <c r="CU215" s="1">
        <v>54</v>
      </c>
      <c r="CV215" s="4">
        <v>17.394172000000001</v>
      </c>
      <c r="CW215" s="4">
        <v>1</v>
      </c>
      <c r="CX215" s="4">
        <v>12.088575000000001</v>
      </c>
      <c r="CY215" s="4">
        <v>146.133634</v>
      </c>
      <c r="CZ215" s="4">
        <v>0.69497799999999998</v>
      </c>
      <c r="DA215" s="4">
        <v>17</v>
      </c>
      <c r="DB215" s="4">
        <v>0.63539999999999996</v>
      </c>
      <c r="DC215" s="4">
        <v>2.4819469999999999</v>
      </c>
      <c r="DD215" s="4">
        <v>10.013731999999999</v>
      </c>
      <c r="DE215" s="4">
        <v>17.394172000000001</v>
      </c>
      <c r="DF215" s="4">
        <v>6.8011860000000004</v>
      </c>
      <c r="DG215" s="4">
        <v>1.0907750000000001</v>
      </c>
      <c r="DH215" s="4">
        <v>0.41495100000000001</v>
      </c>
      <c r="DI215" s="4">
        <v>0.39100400000000002</v>
      </c>
      <c r="DJ215" s="4">
        <v>0.16037999999999999</v>
      </c>
      <c r="DK215" s="4">
        <v>6.1011999999999997E-2</v>
      </c>
      <c r="DL215" s="4">
        <v>1</v>
      </c>
      <c r="DM215" s="4">
        <v>2</v>
      </c>
      <c r="DN215" s="4">
        <v>3</v>
      </c>
      <c r="DO215" s="4">
        <v>6</v>
      </c>
      <c r="DP215" s="4">
        <v>8</v>
      </c>
      <c r="DQ215" s="4">
        <v>9</v>
      </c>
      <c r="DR215" s="4">
        <v>12</v>
      </c>
      <c r="DS215" s="4">
        <v>15</v>
      </c>
      <c r="DT215" s="4">
        <v>19</v>
      </c>
      <c r="DU215" s="4">
        <v>23</v>
      </c>
      <c r="DV215" s="4">
        <v>25</v>
      </c>
      <c r="DW215" s="4">
        <v>28</v>
      </c>
      <c r="DX215" s="4">
        <v>37</v>
      </c>
      <c r="DY215" s="4">
        <v>41</v>
      </c>
      <c r="DZ215" s="4">
        <v>46</v>
      </c>
      <c r="EA215" s="4">
        <v>78.181818000000007</v>
      </c>
      <c r="EB215" s="4">
        <v>48.92756</v>
      </c>
      <c r="EC215" s="4">
        <v>84.545455000000004</v>
      </c>
      <c r="ED215" s="4">
        <v>1118</v>
      </c>
      <c r="EE215" s="4">
        <v>1209</v>
      </c>
      <c r="EF215" s="4">
        <v>76.923077000000006</v>
      </c>
      <c r="EG215" s="4">
        <v>94.545455000000004</v>
      </c>
      <c r="EH215" s="4">
        <v>47.511128999999997</v>
      </c>
      <c r="EI215" s="4">
        <v>75.556455</v>
      </c>
      <c r="EJ215" s="4">
        <v>82.097902000000005</v>
      </c>
      <c r="EK215" s="4">
        <v>130.55944099999999</v>
      </c>
      <c r="EL215" s="4">
        <v>1100</v>
      </c>
      <c r="EM215" s="4">
        <v>1352</v>
      </c>
      <c r="EN215" s="4">
        <v>1174</v>
      </c>
      <c r="EO215" s="4">
        <v>1867</v>
      </c>
      <c r="EP215" s="4">
        <v>1430</v>
      </c>
      <c r="EQ215" s="4">
        <v>2471</v>
      </c>
      <c r="ER215" s="4">
        <v>42.611356999999998</v>
      </c>
    </row>
    <row r="216" spans="1:148" x14ac:dyDescent="0.2">
      <c r="A216" s="1">
        <v>2022</v>
      </c>
      <c r="B216" s="1" t="str">
        <f t="shared" si="6"/>
        <v>NE</v>
      </c>
      <c r="C216" s="1" t="s">
        <v>1127</v>
      </c>
      <c r="D216" s="1" t="s">
        <v>1127</v>
      </c>
      <c r="E216" s="1">
        <v>25555</v>
      </c>
      <c r="F216" s="1" t="s">
        <v>2125</v>
      </c>
      <c r="G216" s="1" t="s">
        <v>148</v>
      </c>
      <c r="H216" s="1" t="s">
        <v>1128</v>
      </c>
      <c r="I216" s="1">
        <v>38.92</v>
      </c>
      <c r="J216" s="1">
        <v>38.92</v>
      </c>
      <c r="K216" s="1" t="s">
        <v>148</v>
      </c>
      <c r="L216" s="1">
        <v>1</v>
      </c>
      <c r="M216" s="1">
        <v>2017</v>
      </c>
      <c r="N216" s="1">
        <v>2</v>
      </c>
      <c r="O216" s="1">
        <v>2</v>
      </c>
      <c r="P216" s="1" t="str">
        <f t="shared" si="7"/>
        <v>Talhadia</v>
      </c>
      <c r="Q216" s="2">
        <v>42951</v>
      </c>
      <c r="R216" s="1" t="s">
        <v>306</v>
      </c>
      <c r="S216" s="1" t="s">
        <v>163</v>
      </c>
      <c r="T216" s="1" t="s">
        <v>2268</v>
      </c>
      <c r="U216" s="1" t="s">
        <v>151</v>
      </c>
      <c r="V216" s="1" t="s">
        <v>152</v>
      </c>
      <c r="W216" s="2">
        <v>44819</v>
      </c>
      <c r="X216" s="1" t="s">
        <v>456</v>
      </c>
      <c r="Y216" s="1">
        <v>112.01</v>
      </c>
      <c r="Z216" s="1">
        <v>19.399999999999999</v>
      </c>
      <c r="AA216" s="1">
        <v>28</v>
      </c>
      <c r="AB216" s="1">
        <v>14.4</v>
      </c>
      <c r="AC216" s="1">
        <v>3</v>
      </c>
      <c r="AD216" s="3">
        <v>279.36</v>
      </c>
      <c r="AE216" s="3">
        <v>246.32220025535</v>
      </c>
      <c r="AF216" s="2">
        <v>44819</v>
      </c>
      <c r="AG216" s="1">
        <v>61</v>
      </c>
      <c r="AH216" s="3">
        <v>5.1143052703627703</v>
      </c>
      <c r="AI216" s="4">
        <v>22.158035859763501</v>
      </c>
      <c r="AJ216" s="4">
        <v>16.970833333333299</v>
      </c>
      <c r="AK216" s="4">
        <v>22.723254778260401</v>
      </c>
      <c r="AL216" s="1">
        <v>24</v>
      </c>
      <c r="AM216" s="5">
        <v>974.333615691982</v>
      </c>
      <c r="AN216" s="4">
        <v>223.75821727565199</v>
      </c>
      <c r="AO216" s="4">
        <v>0.22965256835230499</v>
      </c>
      <c r="AP216" s="1" t="s">
        <v>163</v>
      </c>
      <c r="AQ216" s="1" t="s">
        <v>254</v>
      </c>
      <c r="AR216" s="1" t="s">
        <v>459</v>
      </c>
      <c r="AS216" s="1">
        <v>9.99</v>
      </c>
      <c r="AT216" s="4">
        <v>0.97335928207629008</v>
      </c>
      <c r="AU216" s="1" t="s">
        <v>1129</v>
      </c>
      <c r="AV216" s="1" t="s">
        <v>1130</v>
      </c>
      <c r="AW216" s="1">
        <v>3964</v>
      </c>
      <c r="AX216" s="1">
        <v>2418</v>
      </c>
      <c r="AY216" s="1">
        <v>1447</v>
      </c>
      <c r="AZ216" s="1">
        <v>98</v>
      </c>
      <c r="BA216" s="1">
        <v>1</v>
      </c>
      <c r="BB216" s="1">
        <v>0</v>
      </c>
      <c r="BC216" s="1">
        <v>0</v>
      </c>
      <c r="BD216" s="1">
        <v>0</v>
      </c>
      <c r="BE216" s="1">
        <v>0</v>
      </c>
      <c r="BF216" s="1">
        <v>0</v>
      </c>
      <c r="BG216" s="1">
        <v>0</v>
      </c>
      <c r="BH216" s="4">
        <v>-0.86099999999999999</v>
      </c>
      <c r="BI216" s="4">
        <v>27.584</v>
      </c>
      <c r="BJ216" s="4">
        <v>14.106153000000001</v>
      </c>
      <c r="BK216" s="4">
        <v>4.2015999999999998E-2</v>
      </c>
      <c r="BL216" s="4">
        <v>11.403551999999999</v>
      </c>
      <c r="BM216" s="4">
        <v>130.04099600000001</v>
      </c>
      <c r="BN216" s="4">
        <v>0.80840999999999996</v>
      </c>
      <c r="BO216" s="4">
        <v>23.91225</v>
      </c>
      <c r="BP216" s="4">
        <v>-0.35644900000000002</v>
      </c>
      <c r="BQ216" s="4">
        <v>1.2020230000000001</v>
      </c>
      <c r="BR216" s="4">
        <v>11.05963</v>
      </c>
      <c r="BS216" s="4">
        <v>3.55</v>
      </c>
      <c r="BT216" s="4">
        <v>21.555983999999999</v>
      </c>
      <c r="BU216" s="4">
        <v>14.106153000000001</v>
      </c>
      <c r="BV216" s="4">
        <v>5.9770000000000003</v>
      </c>
      <c r="BW216" s="4">
        <v>-0.76649299999999998</v>
      </c>
      <c r="BX216" s="4">
        <v>-1.042173</v>
      </c>
      <c r="BY216" s="4">
        <v>0.42371599999999998</v>
      </c>
      <c r="BZ216" s="4">
        <v>-0.12823999999999999</v>
      </c>
      <c r="CA216" s="4">
        <v>-0.17436399999999999</v>
      </c>
      <c r="CB216" s="4">
        <v>-0.48837000000000003</v>
      </c>
      <c r="CC216" s="4">
        <v>-0.17100000000000001</v>
      </c>
      <c r="CD216" s="4">
        <v>-5.2999999999999999E-2</v>
      </c>
      <c r="CE216" s="4">
        <v>0.1</v>
      </c>
      <c r="CF216" s="4">
        <v>0.16500000000000001</v>
      </c>
      <c r="CG216" s="4">
        <v>0.253</v>
      </c>
      <c r="CH216" s="4">
        <v>8.3163999999999998</v>
      </c>
      <c r="CI216" s="4">
        <v>21.597999999999999</v>
      </c>
      <c r="CJ216" s="4">
        <v>23.001000999999999</v>
      </c>
      <c r="CK216" s="4">
        <v>23.763801999999998</v>
      </c>
      <c r="CL216" s="4">
        <v>24.077249999999999</v>
      </c>
      <c r="CM216" s="4">
        <v>24.370999999999999</v>
      </c>
      <c r="CN216" s="4">
        <v>25.040700999999999</v>
      </c>
      <c r="CO216" s="4">
        <v>25.643847999999998</v>
      </c>
      <c r="CP216" s="4">
        <v>26.420589</v>
      </c>
      <c r="CQ216" s="4">
        <v>0.52617899999999995</v>
      </c>
      <c r="CR216" s="4">
        <v>18.138128999999999</v>
      </c>
      <c r="CS216" s="4">
        <v>19.815110000000001</v>
      </c>
      <c r="CT216" s="1">
        <v>1</v>
      </c>
      <c r="CU216" s="1">
        <v>60</v>
      </c>
      <c r="CV216" s="4">
        <v>16.717962</v>
      </c>
      <c r="CW216" s="4">
        <v>1</v>
      </c>
      <c r="CX216" s="4">
        <v>10.272131999999999</v>
      </c>
      <c r="CY216" s="4">
        <v>105.5167</v>
      </c>
      <c r="CZ216" s="4">
        <v>0.61443700000000001</v>
      </c>
      <c r="DA216" s="4">
        <v>17</v>
      </c>
      <c r="DB216" s="4">
        <v>0.23988999999999999</v>
      </c>
      <c r="DC216" s="4">
        <v>2.5666669999999998</v>
      </c>
      <c r="DD216" s="4">
        <v>8.6365879999999997</v>
      </c>
      <c r="DE216" s="4">
        <v>16.717962</v>
      </c>
      <c r="DF216" s="4">
        <v>5.8439220000000001</v>
      </c>
      <c r="DG216" s="4">
        <v>0.15626699999999999</v>
      </c>
      <c r="DH216" s="4">
        <v>0.228963</v>
      </c>
      <c r="DI216" s="4">
        <v>0.34955900000000001</v>
      </c>
      <c r="DJ216" s="4">
        <v>2.674E-2</v>
      </c>
      <c r="DK216" s="4">
        <v>3.918E-2</v>
      </c>
      <c r="DL216" s="4">
        <v>1</v>
      </c>
      <c r="DM216" s="4">
        <v>1</v>
      </c>
      <c r="DN216" s="4">
        <v>3</v>
      </c>
      <c r="DO216" s="4">
        <v>5</v>
      </c>
      <c r="DP216" s="4">
        <v>7</v>
      </c>
      <c r="DQ216" s="4">
        <v>9.9000240000000002</v>
      </c>
      <c r="DR216" s="4">
        <v>14</v>
      </c>
      <c r="DS216" s="4">
        <v>17</v>
      </c>
      <c r="DT216" s="4">
        <v>20</v>
      </c>
      <c r="DU216" s="4">
        <v>23</v>
      </c>
      <c r="DV216" s="4">
        <v>24</v>
      </c>
      <c r="DW216" s="4">
        <v>26</v>
      </c>
      <c r="DX216" s="4">
        <v>29.699950999999999</v>
      </c>
      <c r="DY216" s="4">
        <v>33</v>
      </c>
      <c r="DZ216" s="4">
        <v>41</v>
      </c>
      <c r="EA216" s="4">
        <v>96.153846000000001</v>
      </c>
      <c r="EB216" s="4">
        <v>61.730575000000002</v>
      </c>
      <c r="EC216" s="4">
        <v>101.199338</v>
      </c>
      <c r="ED216" s="4">
        <v>2325</v>
      </c>
      <c r="EE216" s="4">
        <v>2447</v>
      </c>
      <c r="EF216" s="4">
        <v>94.540942999999999</v>
      </c>
      <c r="EG216" s="4">
        <v>99.875930999999994</v>
      </c>
      <c r="EH216" s="4">
        <v>59.207870999999997</v>
      </c>
      <c r="EI216" s="4">
        <v>84.409687000000005</v>
      </c>
      <c r="EJ216" s="4">
        <v>97.063688999999997</v>
      </c>
      <c r="EK216" s="4">
        <v>138.37882500000001</v>
      </c>
      <c r="EL216" s="4">
        <v>2286</v>
      </c>
      <c r="EM216" s="4">
        <v>2415</v>
      </c>
      <c r="EN216" s="4">
        <v>2347</v>
      </c>
      <c r="EO216" s="4">
        <v>3346</v>
      </c>
      <c r="EP216" s="4">
        <v>2418</v>
      </c>
      <c r="EQ216" s="4">
        <v>3964</v>
      </c>
      <c r="ER216" s="4">
        <v>52.532488000000001</v>
      </c>
    </row>
    <row r="217" spans="1:148" x14ac:dyDescent="0.2">
      <c r="A217" s="1">
        <v>2022</v>
      </c>
      <c r="B217" s="1" t="str">
        <f t="shared" si="6"/>
        <v>NE</v>
      </c>
      <c r="C217" s="1" t="s">
        <v>1131</v>
      </c>
      <c r="D217" s="1" t="s">
        <v>1131</v>
      </c>
      <c r="E217" s="1">
        <v>25564</v>
      </c>
      <c r="F217" s="1" t="s">
        <v>2125</v>
      </c>
      <c r="G217" s="1" t="s">
        <v>148</v>
      </c>
      <c r="H217" s="1" t="s">
        <v>1132</v>
      </c>
      <c r="I217" s="1">
        <v>33.979999999999997</v>
      </c>
      <c r="J217" s="1">
        <v>33.979999999999997</v>
      </c>
      <c r="K217" s="1" t="s">
        <v>148</v>
      </c>
      <c r="L217" s="1">
        <v>1</v>
      </c>
      <c r="M217" s="1">
        <v>2017</v>
      </c>
      <c r="N217" s="1">
        <v>2</v>
      </c>
      <c r="O217" s="1">
        <v>2</v>
      </c>
      <c r="P217" s="1" t="str">
        <f t="shared" si="7"/>
        <v>Talhadia</v>
      </c>
      <c r="Q217" s="2">
        <v>43019</v>
      </c>
      <c r="R217" s="1" t="s">
        <v>306</v>
      </c>
      <c r="S217" s="1" t="s">
        <v>160</v>
      </c>
      <c r="T217" s="1" t="s">
        <v>2268</v>
      </c>
      <c r="U217" s="1" t="s">
        <v>151</v>
      </c>
      <c r="V217" s="1" t="s">
        <v>152</v>
      </c>
      <c r="W217" s="2">
        <v>44819</v>
      </c>
      <c r="X217" s="1" t="s">
        <v>456</v>
      </c>
      <c r="Y217" s="1">
        <v>112.01</v>
      </c>
      <c r="Z217" s="1">
        <v>19.5</v>
      </c>
      <c r="AA217" s="1">
        <v>22</v>
      </c>
      <c r="AB217" s="1">
        <v>14.7</v>
      </c>
      <c r="AC217" s="1">
        <v>3</v>
      </c>
      <c r="AD217" s="3">
        <v>286.64999999999998</v>
      </c>
      <c r="AE217" s="3">
        <v>265.4130134248</v>
      </c>
      <c r="AF217" s="2">
        <v>44819</v>
      </c>
      <c r="AG217" s="1">
        <v>59</v>
      </c>
      <c r="AH217" s="3">
        <v>4.9281314168377799</v>
      </c>
      <c r="AI217" s="4">
        <v>22.9384940560881</v>
      </c>
      <c r="AJ217" s="4">
        <v>14.19</v>
      </c>
      <c r="AK217" s="4">
        <v>12.358021816959701</v>
      </c>
      <c r="AL217" s="1">
        <v>20</v>
      </c>
      <c r="AM217" s="5">
        <v>753.54255399638305</v>
      </c>
      <c r="AN217" s="4">
        <v>131.48129943485699</v>
      </c>
      <c r="AO217" s="4">
        <v>0.174484239460069</v>
      </c>
      <c r="AP217" s="1" t="s">
        <v>160</v>
      </c>
      <c r="AQ217" s="1" t="s">
        <v>254</v>
      </c>
      <c r="AR217" s="1" t="s">
        <v>459</v>
      </c>
      <c r="AS217" s="1">
        <v>9.99</v>
      </c>
      <c r="AT217" s="4">
        <v>0.75278901144238664</v>
      </c>
      <c r="AU217" s="1" t="s">
        <v>1133</v>
      </c>
      <c r="AV217" s="1" t="s">
        <v>1134</v>
      </c>
      <c r="AW217" s="1">
        <v>2583</v>
      </c>
      <c r="AX217" s="1">
        <v>1451</v>
      </c>
      <c r="AY217" s="1">
        <v>1000</v>
      </c>
      <c r="AZ217" s="1">
        <v>130</v>
      </c>
      <c r="BA217" s="1">
        <v>2</v>
      </c>
      <c r="BB217" s="1">
        <v>0</v>
      </c>
      <c r="BC217" s="1">
        <v>0</v>
      </c>
      <c r="BD217" s="1">
        <v>0</v>
      </c>
      <c r="BE217" s="1">
        <v>0</v>
      </c>
      <c r="BF217" s="1">
        <v>0</v>
      </c>
      <c r="BG217" s="1">
        <v>0</v>
      </c>
      <c r="BH217" s="4">
        <v>-0.74299999999999999</v>
      </c>
      <c r="BI217" s="4">
        <v>25.292000000000002</v>
      </c>
      <c r="BJ217" s="4">
        <v>7.8558279999999998</v>
      </c>
      <c r="BK217" s="4">
        <v>-0.32974599999999998</v>
      </c>
      <c r="BL217" s="4">
        <v>9.5610660000000003</v>
      </c>
      <c r="BM217" s="4">
        <v>91.413973999999996</v>
      </c>
      <c r="BN217" s="4">
        <v>1.2170669999999999</v>
      </c>
      <c r="BO217" s="4">
        <v>17.263999999999999</v>
      </c>
      <c r="BP217" s="4">
        <v>0.57093700000000003</v>
      </c>
      <c r="BQ217" s="4">
        <v>1.568084</v>
      </c>
      <c r="BR217" s="4">
        <v>9.0193440000000002</v>
      </c>
      <c r="BS217" s="4">
        <v>0.55300000000000005</v>
      </c>
      <c r="BT217" s="4">
        <v>0.74274600000000002</v>
      </c>
      <c r="BU217" s="4">
        <v>7.8558279999999998</v>
      </c>
      <c r="BV217" s="4">
        <v>4.9844039999999996</v>
      </c>
      <c r="BW217" s="4">
        <v>1.424866</v>
      </c>
      <c r="BX217" s="4">
        <v>-0.43612800000000002</v>
      </c>
      <c r="BY217" s="4">
        <v>0.63448499999999997</v>
      </c>
      <c r="BZ217" s="4">
        <v>0.28586499999999998</v>
      </c>
      <c r="CA217" s="4">
        <v>-8.7498999999999993E-2</v>
      </c>
      <c r="CB217" s="4">
        <v>-0.35743999999999998</v>
      </c>
      <c r="CC217" s="4">
        <v>-0.18590000000000001</v>
      </c>
      <c r="CD217" s="4">
        <v>-0.1008</v>
      </c>
      <c r="CE217" s="4">
        <v>4.4000000000000003E-3</v>
      </c>
      <c r="CF217" s="4">
        <v>5.8999999999999997E-2</v>
      </c>
      <c r="CG217" s="4">
        <v>0.11</v>
      </c>
      <c r="CH217" s="4">
        <v>0.20899999999999999</v>
      </c>
      <c r="CI217" s="4">
        <v>0.41299999999999998</v>
      </c>
      <c r="CJ217" s="4">
        <v>10.995996</v>
      </c>
      <c r="CK217" s="4">
        <v>15.964399999999999</v>
      </c>
      <c r="CL217" s="4">
        <v>17.323</v>
      </c>
      <c r="CM217" s="4">
        <v>18.202598999999999</v>
      </c>
      <c r="CN217" s="4">
        <v>22.99</v>
      </c>
      <c r="CO217" s="4">
        <v>23.961901000000001</v>
      </c>
      <c r="CP217" s="4">
        <v>24.746361</v>
      </c>
      <c r="CQ217" s="4">
        <v>0.33028000000000002</v>
      </c>
      <c r="CR217" s="4">
        <v>12.373060000000001</v>
      </c>
      <c r="CS217" s="4">
        <v>14.639074000000001</v>
      </c>
      <c r="CT217" s="1">
        <v>1</v>
      </c>
      <c r="CU217" s="1">
        <v>51</v>
      </c>
      <c r="CV217" s="4">
        <v>17.703832999999999</v>
      </c>
      <c r="CW217" s="4">
        <v>4.9682539999999999</v>
      </c>
      <c r="CX217" s="4">
        <v>12.194595</v>
      </c>
      <c r="CY217" s="4">
        <v>148.708146</v>
      </c>
      <c r="CZ217" s="4">
        <v>0.68881099999999995</v>
      </c>
      <c r="DA217" s="4">
        <v>18</v>
      </c>
      <c r="DB217" s="4">
        <v>0.62942200000000004</v>
      </c>
      <c r="DC217" s="4">
        <v>2.2545649999999999</v>
      </c>
      <c r="DD217" s="4">
        <v>10.093783999999999</v>
      </c>
      <c r="DE217" s="4">
        <v>17.703832999999999</v>
      </c>
      <c r="DF217" s="4">
        <v>6.8355620000000004</v>
      </c>
      <c r="DG217" s="4">
        <v>1.167891</v>
      </c>
      <c r="DH217" s="4">
        <v>0.330901</v>
      </c>
      <c r="DI217" s="4">
        <v>0.386106</v>
      </c>
      <c r="DJ217" s="4">
        <v>0.17085500000000001</v>
      </c>
      <c r="DK217" s="4">
        <v>4.8409000000000001E-2</v>
      </c>
      <c r="DL217" s="4">
        <v>1</v>
      </c>
      <c r="DM217" s="4">
        <v>2</v>
      </c>
      <c r="DN217" s="4">
        <v>4</v>
      </c>
      <c r="DO217" s="4">
        <v>6</v>
      </c>
      <c r="DP217" s="4">
        <v>8</v>
      </c>
      <c r="DQ217" s="4">
        <v>9</v>
      </c>
      <c r="DR217" s="4">
        <v>12</v>
      </c>
      <c r="DS217" s="4">
        <v>15</v>
      </c>
      <c r="DT217" s="4">
        <v>18</v>
      </c>
      <c r="DU217" s="4">
        <v>22</v>
      </c>
      <c r="DV217" s="4">
        <v>26</v>
      </c>
      <c r="DW217" s="4">
        <v>31</v>
      </c>
      <c r="DX217" s="4">
        <v>38</v>
      </c>
      <c r="DY217" s="4">
        <v>40</v>
      </c>
      <c r="DZ217" s="4">
        <v>44</v>
      </c>
      <c r="EA217" s="4">
        <v>65.609924000000007</v>
      </c>
      <c r="EB217" s="4">
        <v>41.656987999999998</v>
      </c>
      <c r="EC217" s="4">
        <v>74.155754999999999</v>
      </c>
      <c r="ED217" s="4">
        <v>952</v>
      </c>
      <c r="EE217" s="4">
        <v>1076</v>
      </c>
      <c r="EF217" s="4">
        <v>65.127498000000003</v>
      </c>
      <c r="EG217" s="4">
        <v>100</v>
      </c>
      <c r="EH217" s="4">
        <v>41.037553000000003</v>
      </c>
      <c r="EI217" s="4">
        <v>98.644986000000003</v>
      </c>
      <c r="EJ217" s="4">
        <v>73.053066999999999</v>
      </c>
      <c r="EK217" s="4">
        <v>175.60303200000001</v>
      </c>
      <c r="EL217" s="4">
        <v>945</v>
      </c>
      <c r="EM217" s="4">
        <v>1451</v>
      </c>
      <c r="EN217" s="4">
        <v>1060</v>
      </c>
      <c r="EO217" s="4">
        <v>2548</v>
      </c>
      <c r="EP217" s="4">
        <v>1451</v>
      </c>
      <c r="EQ217" s="4">
        <v>2583</v>
      </c>
      <c r="ER217" s="4">
        <v>30.811039000000001</v>
      </c>
    </row>
    <row r="218" spans="1:148" x14ac:dyDescent="0.2">
      <c r="A218" s="1">
        <v>2022</v>
      </c>
      <c r="B218" s="1" t="str">
        <f t="shared" si="6"/>
        <v>RD</v>
      </c>
      <c r="C218" s="1" t="s">
        <v>1135</v>
      </c>
      <c r="D218" s="1" t="s">
        <v>1135</v>
      </c>
      <c r="E218" s="1">
        <v>25767</v>
      </c>
      <c r="F218" s="1" t="s">
        <v>2126</v>
      </c>
      <c r="G218" s="1" t="s">
        <v>1136</v>
      </c>
      <c r="H218" s="1" t="s">
        <v>1137</v>
      </c>
      <c r="I218" s="1">
        <v>37.770000000000003</v>
      </c>
      <c r="J218" s="1">
        <v>37.770000000000003</v>
      </c>
      <c r="K218" s="1" t="s">
        <v>495</v>
      </c>
      <c r="L218" s="1">
        <v>1</v>
      </c>
      <c r="M218" s="1">
        <v>2017</v>
      </c>
      <c r="N218" s="1">
        <v>3</v>
      </c>
      <c r="O218" s="1">
        <v>1</v>
      </c>
      <c r="P218" s="1" t="str">
        <f t="shared" si="7"/>
        <v>Alto fuste</v>
      </c>
      <c r="Q218" s="2">
        <v>43089</v>
      </c>
      <c r="R218" s="1" t="s">
        <v>169</v>
      </c>
      <c r="S218" s="1" t="s">
        <v>348</v>
      </c>
      <c r="T218" s="1" t="s">
        <v>2268</v>
      </c>
      <c r="U218" s="1" t="s">
        <v>495</v>
      </c>
      <c r="V218" s="1" t="s">
        <v>152</v>
      </c>
      <c r="W218" s="2">
        <v>44679</v>
      </c>
      <c r="X218" s="1" t="s">
        <v>1138</v>
      </c>
      <c r="Y218" s="1">
        <v>65.47</v>
      </c>
      <c r="Z218" s="1">
        <v>21.6</v>
      </c>
      <c r="AA218" s="1">
        <v>30</v>
      </c>
      <c r="AB218" s="1">
        <v>14.3</v>
      </c>
      <c r="AC218" s="1">
        <v>7</v>
      </c>
      <c r="AD218" s="3">
        <v>308.88</v>
      </c>
      <c r="AE218" s="3">
        <v>265.504037738899</v>
      </c>
      <c r="AF218" s="2">
        <v>44679</v>
      </c>
      <c r="AG218" s="1">
        <v>52</v>
      </c>
      <c r="AH218" s="3">
        <v>4.3531827515400403</v>
      </c>
      <c r="AI218" s="4">
        <v>20.9230293985757</v>
      </c>
      <c r="AJ218" s="4">
        <v>13.255263157894699</v>
      </c>
      <c r="AK218" s="4">
        <v>20.2202784951198</v>
      </c>
      <c r="AL218" s="1">
        <v>38</v>
      </c>
      <c r="AM218" s="5">
        <v>1431.2400038665301</v>
      </c>
      <c r="AN218" s="4">
        <v>190.09761626219799</v>
      </c>
      <c r="AO218" s="4">
        <v>0.13282022284777201</v>
      </c>
      <c r="AP218" s="1" t="s">
        <v>348</v>
      </c>
      <c r="AQ218" s="1" t="s">
        <v>156</v>
      </c>
      <c r="AR218" s="1" t="s">
        <v>1141</v>
      </c>
      <c r="AS218" s="1">
        <v>9</v>
      </c>
      <c r="AT218" s="4">
        <v>1.2881160034798771</v>
      </c>
      <c r="AU218" s="1" t="s">
        <v>1139</v>
      </c>
      <c r="AV218" s="1" t="s">
        <v>1140</v>
      </c>
      <c r="AW218" s="1">
        <v>4985</v>
      </c>
      <c r="AX218" s="1">
        <v>2998</v>
      </c>
      <c r="AY218" s="1">
        <v>1920</v>
      </c>
      <c r="AZ218" s="1">
        <v>66</v>
      </c>
      <c r="BA218" s="1">
        <v>1</v>
      </c>
      <c r="BB218" s="1">
        <v>0</v>
      </c>
      <c r="BC218" s="1">
        <v>0</v>
      </c>
      <c r="BD218" s="1">
        <v>0</v>
      </c>
      <c r="BE218" s="1">
        <v>0</v>
      </c>
      <c r="BF218" s="1">
        <v>0</v>
      </c>
      <c r="BG218" s="1">
        <v>0</v>
      </c>
      <c r="BH218" s="4">
        <v>-0.86399999999999999</v>
      </c>
      <c r="BI218" s="4">
        <v>24.858999000000001</v>
      </c>
      <c r="BJ218" s="4">
        <v>10.296203999999999</v>
      </c>
      <c r="BK218" s="4">
        <v>-4.7397000000000002E-2</v>
      </c>
      <c r="BL218" s="4">
        <v>9.9782089999999997</v>
      </c>
      <c r="BM218" s="4">
        <v>99.564660000000003</v>
      </c>
      <c r="BN218" s="4">
        <v>0.96911499999999995</v>
      </c>
      <c r="BO218" s="4">
        <v>20.387</v>
      </c>
      <c r="BP218" s="4">
        <v>7.6153999999999999E-2</v>
      </c>
      <c r="BQ218" s="4">
        <v>1.0865089999999999</v>
      </c>
      <c r="BR218" s="4">
        <v>9.8424820000000004</v>
      </c>
      <c r="BS218" s="4">
        <v>4.2359999999999998</v>
      </c>
      <c r="BT218" s="4">
        <v>3.814397</v>
      </c>
      <c r="BU218" s="4">
        <v>10.296203999999999</v>
      </c>
      <c r="BV218" s="4">
        <v>5.3117109999999998</v>
      </c>
      <c r="BW218" s="4">
        <v>0.32095899999999999</v>
      </c>
      <c r="BX218" s="4">
        <v>-1.0287010000000001</v>
      </c>
      <c r="BY218" s="4">
        <v>0.51588999999999996</v>
      </c>
      <c r="BZ218" s="4">
        <v>6.0425E-2</v>
      </c>
      <c r="CA218" s="4">
        <v>-0.19366700000000001</v>
      </c>
      <c r="CB218" s="4">
        <v>-0.39932000000000001</v>
      </c>
      <c r="CC218" s="4">
        <v>-0.1208</v>
      </c>
      <c r="CD218" s="4">
        <v>-8.0000000000000002E-3</v>
      </c>
      <c r="CE218" s="4">
        <v>0.16600000000000001</v>
      </c>
      <c r="CF218" s="4">
        <v>0.26200000000000001</v>
      </c>
      <c r="CG218" s="4">
        <v>0.40899999999999997</v>
      </c>
      <c r="CH218" s="4">
        <v>0.97960000000000003</v>
      </c>
      <c r="CI218" s="4">
        <v>3.7669999999999999</v>
      </c>
      <c r="CJ218" s="4">
        <v>18.736601</v>
      </c>
      <c r="CK218" s="4">
        <v>20.173399</v>
      </c>
      <c r="CL218" s="4">
        <v>20.649000000000001</v>
      </c>
      <c r="CM218" s="4">
        <v>21.0124</v>
      </c>
      <c r="CN218" s="4">
        <v>21.962599000000001</v>
      </c>
      <c r="CO218" s="4">
        <v>22.577798999999999</v>
      </c>
      <c r="CP218" s="4">
        <v>23.507480999999999</v>
      </c>
      <c r="CQ218" s="4">
        <v>0.433861</v>
      </c>
      <c r="CR218" s="4">
        <v>14.337242</v>
      </c>
      <c r="CS218" s="4">
        <v>16.187832</v>
      </c>
      <c r="CT218" s="1">
        <v>1</v>
      </c>
      <c r="CU218" s="1">
        <v>91</v>
      </c>
      <c r="CV218" s="4">
        <v>22.070812</v>
      </c>
      <c r="CW218" s="4">
        <v>1</v>
      </c>
      <c r="CX218" s="4">
        <v>17.70269</v>
      </c>
      <c r="CY218" s="4">
        <v>313.38523300000003</v>
      </c>
      <c r="CZ218" s="4">
        <v>0.80208599999999997</v>
      </c>
      <c r="DA218" s="4">
        <v>22</v>
      </c>
      <c r="DB218" s="4">
        <v>1.125667</v>
      </c>
      <c r="DC218" s="4">
        <v>3.781183</v>
      </c>
      <c r="DD218" s="4">
        <v>13.78378</v>
      </c>
      <c r="DE218" s="4">
        <v>22.070812</v>
      </c>
      <c r="DF218" s="4">
        <v>9.5301030000000004</v>
      </c>
      <c r="DG218" s="4">
        <v>2.2624590000000002</v>
      </c>
      <c r="DH218" s="4">
        <v>1.1815279999999999</v>
      </c>
      <c r="DI218" s="4">
        <v>0.43179699999999999</v>
      </c>
      <c r="DJ218" s="4">
        <v>0.237401</v>
      </c>
      <c r="DK218" s="4">
        <v>0.123978</v>
      </c>
      <c r="DL218" s="4">
        <v>1</v>
      </c>
      <c r="DM218" s="4">
        <v>2</v>
      </c>
      <c r="DN218" s="4">
        <v>3</v>
      </c>
      <c r="DO218" s="4">
        <v>6</v>
      </c>
      <c r="DP218" s="4">
        <v>8</v>
      </c>
      <c r="DQ218" s="4">
        <v>10</v>
      </c>
      <c r="DR218" s="4">
        <v>14</v>
      </c>
      <c r="DS218" s="4">
        <v>18</v>
      </c>
      <c r="DT218" s="4">
        <v>23</v>
      </c>
      <c r="DU218" s="4">
        <v>28</v>
      </c>
      <c r="DV218" s="4">
        <v>30</v>
      </c>
      <c r="DW218" s="4">
        <v>33</v>
      </c>
      <c r="DX218" s="4">
        <v>50</v>
      </c>
      <c r="DY218" s="4">
        <v>62</v>
      </c>
      <c r="DZ218" s="4">
        <v>72.160156000000001</v>
      </c>
      <c r="EA218" s="4">
        <v>81.087391999999994</v>
      </c>
      <c r="EB218" s="4">
        <v>51.033099</v>
      </c>
      <c r="EC218" s="4">
        <v>84.856571000000002</v>
      </c>
      <c r="ED218" s="4">
        <v>2431</v>
      </c>
      <c r="EE218" s="4">
        <v>2544</v>
      </c>
      <c r="EF218" s="4">
        <v>79.919946999999993</v>
      </c>
      <c r="EG218" s="4">
        <v>99.699799999999996</v>
      </c>
      <c r="EH218" s="4">
        <v>49.087262000000003</v>
      </c>
      <c r="EI218" s="4">
        <v>92.096288999999999</v>
      </c>
      <c r="EJ218" s="4">
        <v>81.621081000000004</v>
      </c>
      <c r="EK218" s="4">
        <v>153.135424</v>
      </c>
      <c r="EL218" s="4">
        <v>2396</v>
      </c>
      <c r="EM218" s="4">
        <v>2989</v>
      </c>
      <c r="EN218" s="4">
        <v>2447</v>
      </c>
      <c r="EO218" s="4">
        <v>4591</v>
      </c>
      <c r="EP218" s="4">
        <v>2998</v>
      </c>
      <c r="EQ218" s="4">
        <v>4985</v>
      </c>
      <c r="ER218" s="4">
        <v>42.845199000000001</v>
      </c>
    </row>
    <row r="219" spans="1:148" x14ac:dyDescent="0.2">
      <c r="A219" s="1">
        <v>2022</v>
      </c>
      <c r="B219" s="1" t="str">
        <f t="shared" si="6"/>
        <v>RD</v>
      </c>
      <c r="C219" s="1" t="s">
        <v>1142</v>
      </c>
      <c r="D219" s="1" t="s">
        <v>1142</v>
      </c>
      <c r="E219" s="1">
        <v>25768</v>
      </c>
      <c r="F219" s="1" t="s">
        <v>2126</v>
      </c>
      <c r="G219" s="1" t="s">
        <v>1136</v>
      </c>
      <c r="H219" s="1" t="s">
        <v>1143</v>
      </c>
      <c r="I219" s="1">
        <v>15.73</v>
      </c>
      <c r="J219" s="1">
        <v>15.73</v>
      </c>
      <c r="K219" s="1" t="s">
        <v>495</v>
      </c>
      <c r="L219" s="1">
        <v>1</v>
      </c>
      <c r="M219" s="1">
        <v>2017</v>
      </c>
      <c r="N219" s="1">
        <v>3</v>
      </c>
      <c r="O219" s="1">
        <v>1</v>
      </c>
      <c r="P219" s="1" t="str">
        <f t="shared" si="7"/>
        <v>Alto fuste</v>
      </c>
      <c r="Q219" s="2">
        <v>43090</v>
      </c>
      <c r="R219" s="1" t="s">
        <v>169</v>
      </c>
      <c r="S219" s="1" t="s">
        <v>442</v>
      </c>
      <c r="T219" s="1" t="s">
        <v>2268</v>
      </c>
      <c r="U219" s="1" t="s">
        <v>495</v>
      </c>
      <c r="V219" s="1" t="s">
        <v>152</v>
      </c>
      <c r="W219" s="2">
        <v>44679</v>
      </c>
      <c r="X219" s="1" t="s">
        <v>1138</v>
      </c>
      <c r="Y219" s="1">
        <v>65.47</v>
      </c>
      <c r="Z219" s="1">
        <v>20.3</v>
      </c>
      <c r="AA219" s="1">
        <v>3</v>
      </c>
      <c r="AB219" s="1">
        <v>15.5</v>
      </c>
      <c r="AC219" s="1">
        <v>0</v>
      </c>
      <c r="AD219" s="3">
        <v>314.64999999999998</v>
      </c>
      <c r="AE219" s="3">
        <v>314.218783110527</v>
      </c>
      <c r="AF219" s="2">
        <v>44679</v>
      </c>
      <c r="AG219" s="1">
        <v>52</v>
      </c>
      <c r="AH219" s="3">
        <v>4.35044490075291</v>
      </c>
      <c r="AI219" s="4">
        <v>26.167707380921101</v>
      </c>
      <c r="AJ219" s="4">
        <v>15.5103448275862</v>
      </c>
      <c r="AK219" s="4">
        <v>17.640657964001601</v>
      </c>
      <c r="AL219" s="1">
        <v>29</v>
      </c>
      <c r="AM219" s="5">
        <v>922.92382119624097</v>
      </c>
      <c r="AN219" s="4">
        <v>204.62833125571601</v>
      </c>
      <c r="AO219" s="4">
        <v>0.221717466334858</v>
      </c>
      <c r="AP219" s="1" t="s">
        <v>442</v>
      </c>
      <c r="AQ219" s="1" t="s">
        <v>156</v>
      </c>
      <c r="AR219" s="1" t="s">
        <v>1141</v>
      </c>
      <c r="AS219" s="1">
        <v>9</v>
      </c>
      <c r="AT219" s="4">
        <v>0.83063143907661685</v>
      </c>
      <c r="AU219" s="1" t="s">
        <v>1144</v>
      </c>
      <c r="AV219" s="1" t="s">
        <v>1145</v>
      </c>
      <c r="AW219" s="1">
        <v>5035</v>
      </c>
      <c r="AX219" s="1">
        <v>2814</v>
      </c>
      <c r="AY219" s="1">
        <v>2142</v>
      </c>
      <c r="AZ219" s="1">
        <v>78</v>
      </c>
      <c r="BA219" s="1">
        <v>1</v>
      </c>
      <c r="BB219" s="1">
        <v>0</v>
      </c>
      <c r="BC219" s="1">
        <v>0</v>
      </c>
      <c r="BD219" s="1">
        <v>0</v>
      </c>
      <c r="BE219" s="1">
        <v>0</v>
      </c>
      <c r="BF219" s="1">
        <v>0</v>
      </c>
      <c r="BG219" s="1">
        <v>0</v>
      </c>
      <c r="BH219" s="4">
        <v>-0.92700000000000005</v>
      </c>
      <c r="BI219" s="4">
        <v>26.524000000000001</v>
      </c>
      <c r="BJ219" s="4">
        <v>10.377129</v>
      </c>
      <c r="BK219" s="4">
        <v>-5.5539999999999999E-2</v>
      </c>
      <c r="BL219" s="4">
        <v>11.214601999999999</v>
      </c>
      <c r="BM219" s="4">
        <v>125.767292</v>
      </c>
      <c r="BN219" s="4">
        <v>1.0807040000000001</v>
      </c>
      <c r="BO219" s="4">
        <v>22.755500999999999</v>
      </c>
      <c r="BP219" s="4">
        <v>0.226247</v>
      </c>
      <c r="BQ219" s="4">
        <v>1.1050169999999999</v>
      </c>
      <c r="BR219" s="4">
        <v>11.025698999999999</v>
      </c>
      <c r="BS219" s="4">
        <v>1.5629999999999999</v>
      </c>
      <c r="BT219" s="4">
        <v>1.3745400000000001</v>
      </c>
      <c r="BU219" s="4">
        <v>10.377129</v>
      </c>
      <c r="BV219" s="4">
        <v>5.8417380000000003</v>
      </c>
      <c r="BW219" s="4">
        <v>0.75046999999999997</v>
      </c>
      <c r="BX219" s="4">
        <v>-1.157368</v>
      </c>
      <c r="BY219" s="4">
        <v>0.562944</v>
      </c>
      <c r="BZ219" s="4">
        <v>0.128467</v>
      </c>
      <c r="CA219" s="4">
        <v>-0.19811999999999999</v>
      </c>
      <c r="CB219" s="4">
        <v>-0.41458</v>
      </c>
      <c r="CC219" s="4">
        <v>-0.1973</v>
      </c>
      <c r="CD219" s="4">
        <v>-0.11600000000000001</v>
      </c>
      <c r="CE219" s="4">
        <v>-0.02</v>
      </c>
      <c r="CF219" s="4">
        <v>2.1000000000000001E-2</v>
      </c>
      <c r="CG219" s="4">
        <v>6.4000000000000001E-2</v>
      </c>
      <c r="CH219" s="4">
        <v>0.17299999999999999</v>
      </c>
      <c r="CI219" s="4">
        <v>1.319</v>
      </c>
      <c r="CJ219" s="4">
        <v>20.716999000000001</v>
      </c>
      <c r="CK219" s="4">
        <v>22.330798999999999</v>
      </c>
      <c r="CL219" s="4">
        <v>22.776501</v>
      </c>
      <c r="CM219" s="4">
        <v>23.200201</v>
      </c>
      <c r="CN219" s="4">
        <v>23.988201</v>
      </c>
      <c r="CO219" s="4">
        <v>24.577998999999998</v>
      </c>
      <c r="CP219" s="4">
        <v>25.276620999999999</v>
      </c>
      <c r="CQ219" s="4">
        <v>0.41179300000000002</v>
      </c>
      <c r="CR219" s="4">
        <v>15.278321999999999</v>
      </c>
      <c r="CS219" s="4">
        <v>17.490912000000002</v>
      </c>
      <c r="CT219" s="1">
        <v>1</v>
      </c>
      <c r="CU219" s="1">
        <v>69</v>
      </c>
      <c r="CV219" s="4">
        <v>18.048659000000001</v>
      </c>
      <c r="CW219" s="4">
        <v>1</v>
      </c>
      <c r="CX219" s="4">
        <v>13.77868</v>
      </c>
      <c r="CY219" s="4">
        <v>189.85202200000001</v>
      </c>
      <c r="CZ219" s="4">
        <v>0.76341800000000004</v>
      </c>
      <c r="DA219" s="4">
        <v>18</v>
      </c>
      <c r="DB219" s="4">
        <v>1.0307219999999999</v>
      </c>
      <c r="DC219" s="4">
        <v>3.6496330000000001</v>
      </c>
      <c r="DD219" s="4">
        <v>10.830412000000001</v>
      </c>
      <c r="DE219" s="4">
        <v>18.048659000000001</v>
      </c>
      <c r="DF219" s="4">
        <v>7.5052940000000001</v>
      </c>
      <c r="DG219" s="4">
        <v>1.6419220000000001</v>
      </c>
      <c r="DH219" s="4">
        <v>0.84852099999999997</v>
      </c>
      <c r="DI219" s="4">
        <v>0.41583700000000001</v>
      </c>
      <c r="DJ219" s="4">
        <v>0.21876899999999999</v>
      </c>
      <c r="DK219" s="4">
        <v>0.113056</v>
      </c>
      <c r="DL219" s="4">
        <v>1</v>
      </c>
      <c r="DM219" s="4">
        <v>2</v>
      </c>
      <c r="DN219" s="4">
        <v>3</v>
      </c>
      <c r="DO219" s="4">
        <v>6</v>
      </c>
      <c r="DP219" s="4">
        <v>7</v>
      </c>
      <c r="DQ219" s="4">
        <v>9</v>
      </c>
      <c r="DR219" s="4">
        <v>12</v>
      </c>
      <c r="DS219" s="4">
        <v>15</v>
      </c>
      <c r="DT219" s="4">
        <v>19</v>
      </c>
      <c r="DU219" s="4">
        <v>22</v>
      </c>
      <c r="DV219" s="4">
        <v>25</v>
      </c>
      <c r="DW219" s="4">
        <v>28</v>
      </c>
      <c r="DX219" s="4">
        <v>39</v>
      </c>
      <c r="DY219" s="4">
        <v>46</v>
      </c>
      <c r="DZ219" s="4">
        <v>59</v>
      </c>
      <c r="EA219" s="4">
        <v>80.454869000000002</v>
      </c>
      <c r="EB219" s="4">
        <v>46.534260000000003</v>
      </c>
      <c r="EC219" s="4">
        <v>83.262259999999998</v>
      </c>
      <c r="ED219" s="4">
        <v>2264</v>
      </c>
      <c r="EE219" s="4">
        <v>2343</v>
      </c>
      <c r="EF219" s="4">
        <v>79.175550999999999</v>
      </c>
      <c r="EG219" s="4">
        <v>99.786779999999993</v>
      </c>
      <c r="EH219" s="4">
        <v>44.647468000000003</v>
      </c>
      <c r="EI219" s="4">
        <v>83.972194999999999</v>
      </c>
      <c r="EJ219" s="4">
        <v>79.886283000000006</v>
      </c>
      <c r="EK219" s="4">
        <v>150.24875599999999</v>
      </c>
      <c r="EL219" s="4">
        <v>2228</v>
      </c>
      <c r="EM219" s="4">
        <v>2808</v>
      </c>
      <c r="EN219" s="4">
        <v>2248</v>
      </c>
      <c r="EO219" s="4">
        <v>4228</v>
      </c>
      <c r="EP219" s="4">
        <v>2814</v>
      </c>
      <c r="EQ219" s="4">
        <v>5035</v>
      </c>
      <c r="ER219" s="4">
        <v>40.232154000000001</v>
      </c>
    </row>
    <row r="220" spans="1:148" x14ac:dyDescent="0.2">
      <c r="A220" s="1">
        <v>2022</v>
      </c>
      <c r="B220" s="1" t="str">
        <f t="shared" si="6"/>
        <v>RD</v>
      </c>
      <c r="C220" s="1" t="s">
        <v>1146</v>
      </c>
      <c r="D220" s="1" t="s">
        <v>1146</v>
      </c>
      <c r="E220" s="1">
        <v>25770</v>
      </c>
      <c r="F220" s="1" t="s">
        <v>2127</v>
      </c>
      <c r="G220" s="1" t="s">
        <v>495</v>
      </c>
      <c r="H220" s="1" t="s">
        <v>1147</v>
      </c>
      <c r="I220" s="1">
        <v>59.7</v>
      </c>
      <c r="J220" s="1">
        <v>59.7</v>
      </c>
      <c r="K220" s="1" t="s">
        <v>495</v>
      </c>
      <c r="L220" s="1">
        <v>1</v>
      </c>
      <c r="M220" s="1">
        <v>2017</v>
      </c>
      <c r="N220" s="1">
        <v>2</v>
      </c>
      <c r="O220" s="1">
        <v>2</v>
      </c>
      <c r="P220" s="1" t="str">
        <f t="shared" si="7"/>
        <v>Talhadia</v>
      </c>
      <c r="Q220" s="2">
        <v>42961</v>
      </c>
      <c r="R220" s="1" t="s">
        <v>227</v>
      </c>
      <c r="S220" s="1" t="s">
        <v>150</v>
      </c>
      <c r="T220" s="1" t="s">
        <v>2268</v>
      </c>
      <c r="U220" s="1" t="s">
        <v>495</v>
      </c>
      <c r="V220" s="1" t="s">
        <v>152</v>
      </c>
      <c r="W220" s="2">
        <v>44677</v>
      </c>
      <c r="X220" s="1" t="s">
        <v>497</v>
      </c>
      <c r="Y220" s="1">
        <v>91.33</v>
      </c>
      <c r="Z220" s="1">
        <v>19.5</v>
      </c>
      <c r="AA220" s="1">
        <v>30</v>
      </c>
      <c r="AB220" s="1">
        <v>14.1</v>
      </c>
      <c r="AC220" s="1">
        <v>1</v>
      </c>
      <c r="AD220" s="3">
        <v>274.95</v>
      </c>
      <c r="AE220" s="3">
        <v>238.07741890301099</v>
      </c>
      <c r="AF220" s="2">
        <v>44677</v>
      </c>
      <c r="AG220" s="1">
        <v>56</v>
      </c>
      <c r="AH220" s="3">
        <v>4.6981519507186897</v>
      </c>
      <c r="AI220" s="4">
        <v>22.035113490477301</v>
      </c>
      <c r="AJ220" s="4">
        <v>13.647826086956499</v>
      </c>
      <c r="AK220" s="4">
        <v>14.9463141604125</v>
      </c>
      <c r="AL220" s="1">
        <v>23</v>
      </c>
      <c r="AM220" s="5">
        <v>966.072301437786</v>
      </c>
      <c r="AN220" s="4">
        <v>152.79716888910701</v>
      </c>
      <c r="AO220" s="4">
        <v>0.15816328515133099</v>
      </c>
      <c r="AP220" s="1" t="s">
        <v>150</v>
      </c>
      <c r="AQ220" s="1" t="s">
        <v>254</v>
      </c>
      <c r="AR220" s="1" t="s">
        <v>164</v>
      </c>
      <c r="AS220" s="1">
        <v>7.5</v>
      </c>
      <c r="AT220" s="4">
        <v>0.72455422607833952</v>
      </c>
      <c r="AU220" s="1" t="s">
        <v>1148</v>
      </c>
      <c r="AV220" s="1" t="s">
        <v>1149</v>
      </c>
      <c r="AW220" s="1">
        <v>2153</v>
      </c>
      <c r="AX220" s="1">
        <v>1135</v>
      </c>
      <c r="AY220" s="1">
        <v>879</v>
      </c>
      <c r="AZ220" s="1">
        <v>133</v>
      </c>
      <c r="BA220" s="1">
        <v>6</v>
      </c>
      <c r="BB220" s="1">
        <v>0</v>
      </c>
      <c r="BC220" s="1">
        <v>0</v>
      </c>
      <c r="BD220" s="1">
        <v>0</v>
      </c>
      <c r="BE220" s="1">
        <v>0</v>
      </c>
      <c r="BF220" s="1">
        <v>0</v>
      </c>
      <c r="BG220" s="1">
        <v>0</v>
      </c>
      <c r="BH220" s="4">
        <v>-0.71399999999999997</v>
      </c>
      <c r="BI220" s="4">
        <v>25.846001000000001</v>
      </c>
      <c r="BJ220" s="4">
        <v>10.785821</v>
      </c>
      <c r="BK220" s="4">
        <v>-0.29241299999999998</v>
      </c>
      <c r="BL220" s="4">
        <v>9.7024980000000003</v>
      </c>
      <c r="BM220" s="4">
        <v>94.138475</v>
      </c>
      <c r="BN220" s="4">
        <v>0.89956100000000006</v>
      </c>
      <c r="BO220" s="4">
        <v>19.446999000000002</v>
      </c>
      <c r="BP220" s="4">
        <v>-2.9923000000000002E-2</v>
      </c>
      <c r="BQ220" s="4">
        <v>1.2885150000000001</v>
      </c>
      <c r="BR220" s="4">
        <v>9.1611840000000004</v>
      </c>
      <c r="BS220" s="4">
        <v>9.7200000000000006</v>
      </c>
      <c r="BT220" s="4">
        <v>14.048412000000001</v>
      </c>
      <c r="BU220" s="4">
        <v>10.785821</v>
      </c>
      <c r="BV220" s="4">
        <v>5.3403349999999996</v>
      </c>
      <c r="BW220" s="4">
        <v>0.21670800000000001</v>
      </c>
      <c r="BX220" s="4">
        <v>-0.751309</v>
      </c>
      <c r="BY220" s="4">
        <v>0.49512600000000001</v>
      </c>
      <c r="BZ220" s="4">
        <v>4.0578999999999997E-2</v>
      </c>
      <c r="CA220" s="4">
        <v>-0.14068600000000001</v>
      </c>
      <c r="CB220" s="4">
        <v>-0.35896</v>
      </c>
      <c r="CC220" s="4">
        <v>-0.18540000000000001</v>
      </c>
      <c r="CD220" s="4">
        <v>-9.5000000000000001E-2</v>
      </c>
      <c r="CE220" s="4">
        <v>1.7399999999999999E-2</v>
      </c>
      <c r="CF220" s="4">
        <v>6.0999999999999999E-2</v>
      </c>
      <c r="CG220" s="4">
        <v>0.1226</v>
      </c>
      <c r="CH220" s="4">
        <v>0.4526</v>
      </c>
      <c r="CI220" s="4">
        <v>13.756</v>
      </c>
      <c r="CJ220" s="4">
        <v>16.622999</v>
      </c>
      <c r="CK220" s="4">
        <v>18.747399999999999</v>
      </c>
      <c r="CL220" s="4">
        <v>19.507999000000002</v>
      </c>
      <c r="CM220" s="4">
        <v>20.590799000000001</v>
      </c>
      <c r="CN220" s="4">
        <v>22.871599</v>
      </c>
      <c r="CO220" s="4">
        <v>24.429600000000001</v>
      </c>
      <c r="CP220" s="4">
        <v>25.371599</v>
      </c>
      <c r="CQ220" s="4">
        <v>0.432975</v>
      </c>
      <c r="CR220" s="4">
        <v>14.506159999999999</v>
      </c>
      <c r="CS220" s="4">
        <v>16.226091</v>
      </c>
      <c r="CT220" s="1">
        <v>1</v>
      </c>
      <c r="CU220" s="1">
        <v>54</v>
      </c>
      <c r="CV220" s="4">
        <v>15.011612</v>
      </c>
      <c r="CW220" s="4">
        <v>3.5238100000000001</v>
      </c>
      <c r="CX220" s="4">
        <v>10.636760000000001</v>
      </c>
      <c r="CY220" s="4">
        <v>113.140664</v>
      </c>
      <c r="CZ220" s="4">
        <v>0.708569</v>
      </c>
      <c r="DA220" s="4">
        <v>14</v>
      </c>
      <c r="DB220" s="4">
        <v>1.057752</v>
      </c>
      <c r="DC220" s="4">
        <v>3.9509530000000002</v>
      </c>
      <c r="DD220" s="4">
        <v>8.2915799999999997</v>
      </c>
      <c r="DE220" s="4">
        <v>15.011612</v>
      </c>
      <c r="DF220" s="4">
        <v>5.7821619999999996</v>
      </c>
      <c r="DG220" s="4">
        <v>1.1652579999999999</v>
      </c>
      <c r="DH220" s="4">
        <v>0.71832700000000005</v>
      </c>
      <c r="DI220" s="4">
        <v>0.38517899999999999</v>
      </c>
      <c r="DJ220" s="4">
        <v>0.20152600000000001</v>
      </c>
      <c r="DK220" s="4">
        <v>0.12423099999999999</v>
      </c>
      <c r="DL220" s="4">
        <v>1</v>
      </c>
      <c r="DM220" s="4">
        <v>2</v>
      </c>
      <c r="DN220" s="4">
        <v>3</v>
      </c>
      <c r="DO220" s="4">
        <v>5</v>
      </c>
      <c r="DP220" s="4">
        <v>7</v>
      </c>
      <c r="DQ220" s="4">
        <v>8</v>
      </c>
      <c r="DR220" s="4">
        <v>11</v>
      </c>
      <c r="DS220" s="4">
        <v>13</v>
      </c>
      <c r="DT220" s="4">
        <v>16</v>
      </c>
      <c r="DU220" s="4">
        <v>19</v>
      </c>
      <c r="DV220" s="4">
        <v>21</v>
      </c>
      <c r="DW220" s="4">
        <v>23</v>
      </c>
      <c r="DX220" s="4">
        <v>29</v>
      </c>
      <c r="DY220" s="4">
        <v>38</v>
      </c>
      <c r="DZ220" s="4">
        <v>47</v>
      </c>
      <c r="EA220" s="4">
        <v>90.925110000000004</v>
      </c>
      <c r="EB220" s="4">
        <v>57.919182999999997</v>
      </c>
      <c r="EC220" s="4">
        <v>109.867841</v>
      </c>
      <c r="ED220" s="4">
        <v>1032</v>
      </c>
      <c r="EE220" s="4">
        <v>1247</v>
      </c>
      <c r="EF220" s="4">
        <v>89.691630000000004</v>
      </c>
      <c r="EG220" s="4">
        <v>100</v>
      </c>
      <c r="EH220" s="4">
        <v>55.736181999999999</v>
      </c>
      <c r="EI220" s="4">
        <v>98.095680000000002</v>
      </c>
      <c r="EJ220" s="4">
        <v>105.726872</v>
      </c>
      <c r="EK220" s="4">
        <v>186.079295</v>
      </c>
      <c r="EL220" s="4">
        <v>1018</v>
      </c>
      <c r="EM220" s="4">
        <v>1135</v>
      </c>
      <c r="EN220" s="4">
        <v>1200</v>
      </c>
      <c r="EO220" s="4">
        <v>2112</v>
      </c>
      <c r="EP220" s="4">
        <v>1135</v>
      </c>
      <c r="EQ220" s="4">
        <v>2153</v>
      </c>
      <c r="ER220" s="4">
        <v>41.523968000000004</v>
      </c>
    </row>
    <row r="221" spans="1:148" x14ac:dyDescent="0.2">
      <c r="A221" s="1">
        <v>2022</v>
      </c>
      <c r="B221" s="1" t="str">
        <f t="shared" si="6"/>
        <v>RD</v>
      </c>
      <c r="C221" s="1" t="s">
        <v>1150</v>
      </c>
      <c r="D221" s="1" t="s">
        <v>1150</v>
      </c>
      <c r="E221" s="1">
        <v>25771</v>
      </c>
      <c r="F221" s="1" t="s">
        <v>2126</v>
      </c>
      <c r="G221" s="1" t="s">
        <v>1136</v>
      </c>
      <c r="H221" s="1" t="s">
        <v>1137</v>
      </c>
      <c r="I221" s="1">
        <v>37.770000000000003</v>
      </c>
      <c r="J221" s="1">
        <v>37.770000000000003</v>
      </c>
      <c r="K221" s="1" t="s">
        <v>495</v>
      </c>
      <c r="L221" s="1">
        <v>1</v>
      </c>
      <c r="M221" s="1">
        <v>2017</v>
      </c>
      <c r="N221" s="1">
        <v>3</v>
      </c>
      <c r="O221" s="1">
        <v>1</v>
      </c>
      <c r="P221" s="1" t="str">
        <f t="shared" si="7"/>
        <v>Alto fuste</v>
      </c>
      <c r="Q221" s="2">
        <v>43089</v>
      </c>
      <c r="R221" s="1" t="s">
        <v>169</v>
      </c>
      <c r="S221" s="1" t="s">
        <v>348</v>
      </c>
      <c r="T221" s="1" t="s">
        <v>2268</v>
      </c>
      <c r="U221" s="1" t="s">
        <v>495</v>
      </c>
      <c r="V221" s="1" t="s">
        <v>152</v>
      </c>
      <c r="W221" s="2">
        <v>44679</v>
      </c>
      <c r="X221" s="1" t="s">
        <v>1138</v>
      </c>
      <c r="Y221" s="1">
        <v>65.47</v>
      </c>
      <c r="Z221" s="1">
        <v>20</v>
      </c>
      <c r="AA221" s="1">
        <v>15</v>
      </c>
      <c r="AB221" s="1">
        <v>15.1</v>
      </c>
      <c r="AC221" s="1">
        <v>1</v>
      </c>
      <c r="AD221" s="3">
        <v>302</v>
      </c>
      <c r="AE221" s="3">
        <v>291.66517075436201</v>
      </c>
      <c r="AF221" s="2">
        <v>44679</v>
      </c>
      <c r="AG221" s="1">
        <v>52</v>
      </c>
      <c r="AH221" s="3">
        <v>4.3531827515400403</v>
      </c>
      <c r="AI221" s="4">
        <v>22.706766780572</v>
      </c>
      <c r="AJ221" s="4">
        <v>14.064285714285701</v>
      </c>
      <c r="AK221" s="4">
        <v>15.336077356086999</v>
      </c>
      <c r="AL221" s="1">
        <v>28</v>
      </c>
      <c r="AM221" s="5">
        <v>960.00492371375401</v>
      </c>
      <c r="AN221" s="4">
        <v>156.98132203278701</v>
      </c>
      <c r="AO221" s="4">
        <v>0.16352137177120801</v>
      </c>
      <c r="AP221" s="1" t="s">
        <v>348</v>
      </c>
      <c r="AQ221" s="1" t="s">
        <v>156</v>
      </c>
      <c r="AR221" s="1" t="s">
        <v>1141</v>
      </c>
      <c r="AS221" s="1">
        <v>9</v>
      </c>
      <c r="AT221" s="4">
        <v>0.86400443134237859</v>
      </c>
      <c r="AU221" s="1" t="s">
        <v>1151</v>
      </c>
      <c r="AV221" s="1" t="s">
        <v>1152</v>
      </c>
      <c r="AW221" s="1">
        <v>4290</v>
      </c>
      <c r="AX221" s="1">
        <v>2521</v>
      </c>
      <c r="AY221" s="1">
        <v>1680</v>
      </c>
      <c r="AZ221" s="1">
        <v>87</v>
      </c>
      <c r="BA221" s="1">
        <v>2</v>
      </c>
      <c r="BB221" s="1">
        <v>0</v>
      </c>
      <c r="BC221" s="1">
        <v>0</v>
      </c>
      <c r="BD221" s="1">
        <v>0</v>
      </c>
      <c r="BE221" s="1">
        <v>0</v>
      </c>
      <c r="BF221" s="1">
        <v>0</v>
      </c>
      <c r="BG221" s="1">
        <v>0</v>
      </c>
      <c r="BH221" s="4">
        <v>-0.82199999999999995</v>
      </c>
      <c r="BI221" s="4">
        <v>24.709</v>
      </c>
      <c r="BJ221" s="4">
        <v>9.5163969999999996</v>
      </c>
      <c r="BK221" s="4">
        <v>-1.1492E-2</v>
      </c>
      <c r="BL221" s="4">
        <v>9.7304849999999998</v>
      </c>
      <c r="BM221" s="4">
        <v>94.682336000000006</v>
      </c>
      <c r="BN221" s="4">
        <v>1.022497</v>
      </c>
      <c r="BO221" s="4">
        <v>19.715001000000001</v>
      </c>
      <c r="BP221" s="4">
        <v>0.14812600000000001</v>
      </c>
      <c r="BQ221" s="4">
        <v>1.1143909999999999</v>
      </c>
      <c r="BR221" s="4">
        <v>9.5333009999999998</v>
      </c>
      <c r="BS221" s="4">
        <v>3.0230000000000001</v>
      </c>
      <c r="BT221" s="4">
        <v>2.6324920000000001</v>
      </c>
      <c r="BU221" s="4">
        <v>9.5163969999999996</v>
      </c>
      <c r="BV221" s="4">
        <v>5.1644519999999998</v>
      </c>
      <c r="BW221" s="4">
        <v>0.496645</v>
      </c>
      <c r="BX221" s="4">
        <v>-0.98963299999999998</v>
      </c>
      <c r="BY221" s="4">
        <v>0.54269000000000001</v>
      </c>
      <c r="BZ221" s="4">
        <v>9.6166000000000001E-2</v>
      </c>
      <c r="CA221" s="4">
        <v>-0.19162399999999999</v>
      </c>
      <c r="CB221" s="4">
        <v>-0.45011000000000001</v>
      </c>
      <c r="CC221" s="4">
        <v>-0.193</v>
      </c>
      <c r="CD221" s="4">
        <v>-0.10299999999999999</v>
      </c>
      <c r="CE221" s="4">
        <v>3.0000000000000001E-3</v>
      </c>
      <c r="CF221" s="4">
        <v>4.7E-2</v>
      </c>
      <c r="CG221" s="4">
        <v>9.7699999999999995E-2</v>
      </c>
      <c r="CH221" s="4">
        <v>0.24399999999999999</v>
      </c>
      <c r="CI221" s="4">
        <v>2.621</v>
      </c>
      <c r="CJ221" s="4">
        <v>18.115601000000002</v>
      </c>
      <c r="CK221" s="4">
        <v>19.370901</v>
      </c>
      <c r="CL221" s="4">
        <v>19.762001000000001</v>
      </c>
      <c r="CM221" s="4">
        <v>20.239201000000001</v>
      </c>
      <c r="CN221" s="4">
        <v>21.146000000000001</v>
      </c>
      <c r="CO221" s="4">
        <v>21.83</v>
      </c>
      <c r="CP221" s="4">
        <v>23.154537000000001</v>
      </c>
      <c r="CQ221" s="4">
        <v>0.40493499999999999</v>
      </c>
      <c r="CR221" s="4">
        <v>13.609632</v>
      </c>
      <c r="CS221" s="4">
        <v>15.467822</v>
      </c>
      <c r="CT221" s="1">
        <v>1</v>
      </c>
      <c r="CU221" s="1">
        <v>68</v>
      </c>
      <c r="CV221" s="4">
        <v>18.646619999999999</v>
      </c>
      <c r="CW221" s="4">
        <v>1</v>
      </c>
      <c r="CX221" s="4">
        <v>13.379168999999999</v>
      </c>
      <c r="CY221" s="4">
        <v>179.002163</v>
      </c>
      <c r="CZ221" s="4">
        <v>0.71751200000000004</v>
      </c>
      <c r="DA221" s="4">
        <v>19</v>
      </c>
      <c r="DB221" s="4">
        <v>0.71657400000000004</v>
      </c>
      <c r="DC221" s="4">
        <v>2.8329780000000002</v>
      </c>
      <c r="DD221" s="4">
        <v>10.888614</v>
      </c>
      <c r="DE221" s="4">
        <v>18.646619999999999</v>
      </c>
      <c r="DF221" s="4">
        <v>7.4824140000000003</v>
      </c>
      <c r="DG221" s="4">
        <v>1.2268920000000001</v>
      </c>
      <c r="DH221" s="4">
        <v>0.55327099999999996</v>
      </c>
      <c r="DI221" s="4">
        <v>0.40127499999999999</v>
      </c>
      <c r="DJ221" s="4">
        <v>0.16397</v>
      </c>
      <c r="DK221" s="4">
        <v>7.3942999999999995E-2</v>
      </c>
      <c r="DL221" s="4">
        <v>1</v>
      </c>
      <c r="DM221" s="4">
        <v>2</v>
      </c>
      <c r="DN221" s="4">
        <v>3</v>
      </c>
      <c r="DO221" s="4">
        <v>6</v>
      </c>
      <c r="DP221" s="4">
        <v>7</v>
      </c>
      <c r="DQ221" s="4">
        <v>9</v>
      </c>
      <c r="DR221" s="4">
        <v>13</v>
      </c>
      <c r="DS221" s="4">
        <v>17</v>
      </c>
      <c r="DT221" s="4">
        <v>20</v>
      </c>
      <c r="DU221" s="4">
        <v>24</v>
      </c>
      <c r="DV221" s="4">
        <v>26</v>
      </c>
      <c r="DW221" s="4">
        <v>30</v>
      </c>
      <c r="DX221" s="4">
        <v>39</v>
      </c>
      <c r="DY221" s="4">
        <v>44</v>
      </c>
      <c r="DZ221" s="4">
        <v>53</v>
      </c>
      <c r="EA221" s="4">
        <v>80.206266999999997</v>
      </c>
      <c r="EB221" s="4">
        <v>49.557110000000002</v>
      </c>
      <c r="EC221" s="4">
        <v>84.331614000000002</v>
      </c>
      <c r="ED221" s="4">
        <v>2022</v>
      </c>
      <c r="EE221" s="4">
        <v>2126</v>
      </c>
      <c r="EF221" s="4">
        <v>77.627925000000005</v>
      </c>
      <c r="EG221" s="4">
        <v>99.047996999999995</v>
      </c>
      <c r="EH221" s="4">
        <v>47.202796999999997</v>
      </c>
      <c r="EI221" s="4">
        <v>81.561772000000005</v>
      </c>
      <c r="EJ221" s="4">
        <v>80.325267999999994</v>
      </c>
      <c r="EK221" s="4">
        <v>138.794129</v>
      </c>
      <c r="EL221" s="4">
        <v>1957</v>
      </c>
      <c r="EM221" s="4">
        <v>2497</v>
      </c>
      <c r="EN221" s="4">
        <v>2025</v>
      </c>
      <c r="EO221" s="4">
        <v>3499</v>
      </c>
      <c r="EP221" s="4">
        <v>2521</v>
      </c>
      <c r="EQ221" s="4">
        <v>4290</v>
      </c>
      <c r="ER221" s="4">
        <v>40.208711000000001</v>
      </c>
    </row>
    <row r="222" spans="1:148" x14ac:dyDescent="0.2">
      <c r="A222" s="1">
        <v>2022</v>
      </c>
      <c r="B222" s="1" t="str">
        <f t="shared" si="6"/>
        <v>RD</v>
      </c>
      <c r="C222" s="1" t="s">
        <v>1153</v>
      </c>
      <c r="D222" s="1" t="s">
        <v>1153</v>
      </c>
      <c r="E222" s="1">
        <v>25773</v>
      </c>
      <c r="F222" s="1" t="s">
        <v>2127</v>
      </c>
      <c r="G222" s="1" t="s">
        <v>495</v>
      </c>
      <c r="H222" s="1" t="s">
        <v>1147</v>
      </c>
      <c r="I222" s="1">
        <v>59.7</v>
      </c>
      <c r="J222" s="1">
        <v>59.7</v>
      </c>
      <c r="K222" s="1" t="s">
        <v>495</v>
      </c>
      <c r="L222" s="1">
        <v>1</v>
      </c>
      <c r="M222" s="1">
        <v>2017</v>
      </c>
      <c r="N222" s="1">
        <v>2</v>
      </c>
      <c r="O222" s="1">
        <v>2</v>
      </c>
      <c r="P222" s="1" t="str">
        <f t="shared" si="7"/>
        <v>Talhadia</v>
      </c>
      <c r="Q222" s="2">
        <v>42961</v>
      </c>
      <c r="R222" s="1" t="s">
        <v>227</v>
      </c>
      <c r="S222" s="1" t="s">
        <v>150</v>
      </c>
      <c r="T222" s="1" t="s">
        <v>2268</v>
      </c>
      <c r="U222" s="1" t="s">
        <v>495</v>
      </c>
      <c r="V222" s="1" t="s">
        <v>152</v>
      </c>
      <c r="W222" s="2">
        <v>44677</v>
      </c>
      <c r="X222" s="1" t="s">
        <v>497</v>
      </c>
      <c r="Y222" s="1">
        <v>91.33</v>
      </c>
      <c r="Z222" s="1">
        <v>18.5</v>
      </c>
      <c r="AA222" s="1">
        <v>21</v>
      </c>
      <c r="AB222" s="1">
        <v>14.9</v>
      </c>
      <c r="AC222" s="1">
        <v>2</v>
      </c>
      <c r="AD222" s="3">
        <v>275.64999999999998</v>
      </c>
      <c r="AE222" s="3">
        <v>257.18467910905798</v>
      </c>
      <c r="AF222" s="2">
        <v>44677</v>
      </c>
      <c r="AG222" s="1">
        <v>56</v>
      </c>
      <c r="AH222" s="3">
        <v>4.6981519507186897</v>
      </c>
      <c r="AI222" s="4">
        <v>22.10265085472</v>
      </c>
      <c r="AJ222" s="4">
        <v>14.272</v>
      </c>
      <c r="AK222" s="4">
        <v>16.252419594602902</v>
      </c>
      <c r="AL222" s="1">
        <v>25</v>
      </c>
      <c r="AM222" s="5">
        <v>972.06412476066703</v>
      </c>
      <c r="AN222" s="4">
        <v>163.329323194891</v>
      </c>
      <c r="AO222" s="4">
        <v>0.16802319829991</v>
      </c>
      <c r="AP222" s="1" t="s">
        <v>150</v>
      </c>
      <c r="AQ222" s="1" t="s">
        <v>254</v>
      </c>
      <c r="AR222" s="1" t="s">
        <v>164</v>
      </c>
      <c r="AS222" s="1">
        <v>7.5</v>
      </c>
      <c r="AT222" s="4">
        <v>0.72904809357050027</v>
      </c>
      <c r="AU222" s="1" t="s">
        <v>1154</v>
      </c>
      <c r="AV222" s="1" t="s">
        <v>1155</v>
      </c>
      <c r="AW222" s="1">
        <v>10367</v>
      </c>
      <c r="AX222" s="1">
        <v>5735</v>
      </c>
      <c r="AY222" s="1">
        <v>4089</v>
      </c>
      <c r="AZ222" s="1">
        <v>529</v>
      </c>
      <c r="BA222" s="1">
        <v>14</v>
      </c>
      <c r="BB222" s="1">
        <v>0</v>
      </c>
      <c r="BC222" s="1">
        <v>0</v>
      </c>
      <c r="BD222" s="1">
        <v>0</v>
      </c>
      <c r="BE222" s="1">
        <v>0</v>
      </c>
      <c r="BF222" s="1">
        <v>0</v>
      </c>
      <c r="BG222" s="1">
        <v>0</v>
      </c>
      <c r="BH222" s="4">
        <v>-0.96499999999999997</v>
      </c>
      <c r="BI222" s="4">
        <v>26.85</v>
      </c>
      <c r="BJ222" s="4">
        <v>12.285456999999999</v>
      </c>
      <c r="BK222" s="4">
        <v>-8.1984000000000001E-2</v>
      </c>
      <c r="BL222" s="4">
        <v>11.066533</v>
      </c>
      <c r="BM222" s="4">
        <v>122.468153</v>
      </c>
      <c r="BN222" s="4">
        <v>0.900783</v>
      </c>
      <c r="BO222" s="4">
        <v>23.138000000000002</v>
      </c>
      <c r="BP222" s="4">
        <v>-9.1831999999999997E-2</v>
      </c>
      <c r="BQ222" s="4">
        <v>1.1481300000000001</v>
      </c>
      <c r="BR222" s="4">
        <v>10.676978999999999</v>
      </c>
      <c r="BS222" s="4">
        <v>9.2080000000000002</v>
      </c>
      <c r="BT222" s="4">
        <v>15.935985000000001</v>
      </c>
      <c r="BU222" s="4">
        <v>12.285456999999999</v>
      </c>
      <c r="BV222" s="4">
        <v>5.9689259999999997</v>
      </c>
      <c r="BW222" s="4">
        <v>-2.5562999999999999E-2</v>
      </c>
      <c r="BX222" s="4">
        <v>-1.1425719999999999</v>
      </c>
      <c r="BY222" s="4">
        <v>0.48585299999999998</v>
      </c>
      <c r="BZ222" s="4">
        <v>-4.2830000000000003E-3</v>
      </c>
      <c r="CA222" s="4">
        <v>-0.19142000000000001</v>
      </c>
      <c r="CB222" s="4">
        <v>-0.42802000000000001</v>
      </c>
      <c r="CC222" s="4">
        <v>-0.19400000000000001</v>
      </c>
      <c r="CD222" s="4">
        <v>-8.7999999999999995E-2</v>
      </c>
      <c r="CE222" s="4">
        <v>2.6200000000000001E-2</v>
      </c>
      <c r="CF222" s="4">
        <v>7.2999999999999995E-2</v>
      </c>
      <c r="CG222" s="4">
        <v>0.125</v>
      </c>
      <c r="CH222" s="4">
        <v>0.37180000000000002</v>
      </c>
      <c r="CI222" s="4">
        <v>15.853999999999999</v>
      </c>
      <c r="CJ222" s="4">
        <v>21.268598999999998</v>
      </c>
      <c r="CK222" s="4">
        <v>22.520201</v>
      </c>
      <c r="CL222" s="4">
        <v>23.210999999999999</v>
      </c>
      <c r="CM222" s="4">
        <v>23.738001000000001</v>
      </c>
      <c r="CN222" s="4">
        <v>24.75</v>
      </c>
      <c r="CO222" s="4">
        <v>25.299700000000001</v>
      </c>
      <c r="CP222" s="4">
        <v>26.084999</v>
      </c>
      <c r="CQ222" s="4">
        <v>0.47637800000000002</v>
      </c>
      <c r="CR222" s="4">
        <v>16.534472999999998</v>
      </c>
      <c r="CS222" s="4">
        <v>18.413392999999999</v>
      </c>
      <c r="CT222" s="1">
        <v>1</v>
      </c>
      <c r="CU222" s="1">
        <v>51</v>
      </c>
      <c r="CV222" s="4">
        <v>14.554259</v>
      </c>
      <c r="CW222" s="4">
        <v>1</v>
      </c>
      <c r="CX222" s="4">
        <v>9.5059070000000006</v>
      </c>
      <c r="CY222" s="4">
        <v>90.362263999999996</v>
      </c>
      <c r="CZ222" s="4">
        <v>0.65313600000000005</v>
      </c>
      <c r="DA222" s="4">
        <v>15</v>
      </c>
      <c r="DB222" s="4">
        <v>0.52116499999999999</v>
      </c>
      <c r="DC222" s="4">
        <v>2.7952240000000002</v>
      </c>
      <c r="DD222" s="4">
        <v>7.8229509999999998</v>
      </c>
      <c r="DE222" s="4">
        <v>14.554259</v>
      </c>
      <c r="DF222" s="4">
        <v>5.3678540000000003</v>
      </c>
      <c r="DG222" s="4">
        <v>0.53606200000000004</v>
      </c>
      <c r="DH222" s="4">
        <v>0.34345999999999999</v>
      </c>
      <c r="DI222" s="4">
        <v>0.36881700000000001</v>
      </c>
      <c r="DJ222" s="4">
        <v>9.9864999999999995E-2</v>
      </c>
      <c r="DK222" s="4">
        <v>6.3985E-2</v>
      </c>
      <c r="DL222" s="4">
        <v>1</v>
      </c>
      <c r="DM222" s="4">
        <v>1</v>
      </c>
      <c r="DN222" s="4">
        <v>3</v>
      </c>
      <c r="DO222" s="4">
        <v>5</v>
      </c>
      <c r="DP222" s="4">
        <v>6</v>
      </c>
      <c r="DQ222" s="4">
        <v>8</v>
      </c>
      <c r="DR222" s="4">
        <v>11</v>
      </c>
      <c r="DS222" s="4">
        <v>14</v>
      </c>
      <c r="DT222" s="4">
        <v>17</v>
      </c>
      <c r="DU222" s="4">
        <v>19</v>
      </c>
      <c r="DV222" s="4">
        <v>21</v>
      </c>
      <c r="DW222" s="4">
        <v>23</v>
      </c>
      <c r="DX222" s="4">
        <v>27</v>
      </c>
      <c r="DY222" s="4">
        <v>32</v>
      </c>
      <c r="DZ222" s="4">
        <v>40</v>
      </c>
      <c r="EA222" s="4">
        <v>93.443765999999997</v>
      </c>
      <c r="EB222" s="4">
        <v>57.683033000000002</v>
      </c>
      <c r="EC222" s="4">
        <v>104.272014</v>
      </c>
      <c r="ED222" s="4">
        <v>5359</v>
      </c>
      <c r="EE222" s="4">
        <v>5980</v>
      </c>
      <c r="EF222" s="4">
        <v>90.200523000000004</v>
      </c>
      <c r="EG222" s="4">
        <v>99.930252999999993</v>
      </c>
      <c r="EH222" s="4">
        <v>53.342336000000003</v>
      </c>
      <c r="EI222" s="4">
        <v>89.524452999999994</v>
      </c>
      <c r="EJ222" s="4">
        <v>96.425458000000006</v>
      </c>
      <c r="EK222" s="4">
        <v>161.83086299999999</v>
      </c>
      <c r="EL222" s="4">
        <v>5173</v>
      </c>
      <c r="EM222" s="4">
        <v>5731</v>
      </c>
      <c r="EN222" s="4">
        <v>5530</v>
      </c>
      <c r="EO222" s="4">
        <v>9281</v>
      </c>
      <c r="EP222" s="4">
        <v>5735</v>
      </c>
      <c r="EQ222" s="4">
        <v>10367</v>
      </c>
      <c r="ER222" s="4">
        <v>46.180135999999997</v>
      </c>
    </row>
    <row r="223" spans="1:148" x14ac:dyDescent="0.2">
      <c r="A223" s="1">
        <v>2022</v>
      </c>
      <c r="B223" s="1" t="str">
        <f t="shared" si="6"/>
        <v>GN</v>
      </c>
      <c r="C223" s="1" t="s">
        <v>1156</v>
      </c>
      <c r="D223" s="1" t="s">
        <v>1156</v>
      </c>
      <c r="E223" s="1">
        <v>25873</v>
      </c>
      <c r="F223" s="1" t="s">
        <v>2128</v>
      </c>
      <c r="G223" s="1" t="s">
        <v>861</v>
      </c>
      <c r="H223" s="1" t="s">
        <v>1157</v>
      </c>
      <c r="I223" s="1">
        <v>13.95</v>
      </c>
      <c r="J223" s="1">
        <v>13.95</v>
      </c>
      <c r="K223" s="1" t="s">
        <v>266</v>
      </c>
      <c r="L223" s="1">
        <v>1</v>
      </c>
      <c r="M223" s="1">
        <v>2017</v>
      </c>
      <c r="N223" s="1">
        <v>3</v>
      </c>
      <c r="O223" s="1">
        <v>1</v>
      </c>
      <c r="P223" s="1" t="str">
        <f t="shared" si="7"/>
        <v>Alto fuste</v>
      </c>
      <c r="Q223" s="2">
        <v>43012</v>
      </c>
      <c r="R223" s="1" t="s">
        <v>169</v>
      </c>
      <c r="S223" s="1" t="s">
        <v>299</v>
      </c>
      <c r="T223" s="1" t="s">
        <v>2268</v>
      </c>
      <c r="U223" s="1" t="s">
        <v>266</v>
      </c>
      <c r="V223" s="1" t="s">
        <v>152</v>
      </c>
      <c r="W223" s="2">
        <v>44652</v>
      </c>
      <c r="X223" s="1" t="s">
        <v>863</v>
      </c>
      <c r="Y223" s="1">
        <v>37.03</v>
      </c>
      <c r="Z223" s="1">
        <v>19.899999999999999</v>
      </c>
      <c r="AA223" s="1">
        <v>13</v>
      </c>
      <c r="AB223" s="1">
        <v>14.8</v>
      </c>
      <c r="AC223" s="1">
        <v>7</v>
      </c>
      <c r="AD223" s="3">
        <v>294.52</v>
      </c>
      <c r="AE223" s="3">
        <v>284.832429648865</v>
      </c>
      <c r="AF223" s="2">
        <v>44652</v>
      </c>
      <c r="AG223" s="1">
        <v>54</v>
      </c>
      <c r="AH223" s="3">
        <v>4.4900752908966499</v>
      </c>
      <c r="AI223" s="4">
        <v>27.6824858933524</v>
      </c>
      <c r="AJ223" s="4">
        <v>15.54</v>
      </c>
      <c r="AK223" s="4">
        <v>20.168647644019298</v>
      </c>
      <c r="AL223" s="1">
        <v>30</v>
      </c>
      <c r="AM223" s="5">
        <v>1053.2508547914799</v>
      </c>
      <c r="AN223" s="4">
        <v>248.86098880864199</v>
      </c>
      <c r="AO223" s="4">
        <v>0.236278933623949</v>
      </c>
      <c r="AP223" s="1" t="s">
        <v>299</v>
      </c>
      <c r="AQ223" s="1" t="s">
        <v>156</v>
      </c>
      <c r="AR223" s="1" t="s">
        <v>1160</v>
      </c>
      <c r="AS223" s="1">
        <v>9</v>
      </c>
      <c r="AT223" s="4">
        <v>0.94792576931233197</v>
      </c>
      <c r="AU223" s="1" t="s">
        <v>1158</v>
      </c>
      <c r="AV223" s="1" t="s">
        <v>1159</v>
      </c>
      <c r="AW223" s="1">
        <v>3480</v>
      </c>
      <c r="AX223" s="1">
        <v>2078</v>
      </c>
      <c r="AY223" s="1">
        <v>1321</v>
      </c>
      <c r="AZ223" s="1">
        <v>80</v>
      </c>
      <c r="BA223" s="1">
        <v>1</v>
      </c>
      <c r="BB223" s="1">
        <v>0</v>
      </c>
      <c r="BC223" s="1">
        <v>0</v>
      </c>
      <c r="BD223" s="1">
        <v>0</v>
      </c>
      <c r="BE223" s="1">
        <v>0</v>
      </c>
      <c r="BF223" s="1">
        <v>0</v>
      </c>
      <c r="BG223" s="1">
        <v>0</v>
      </c>
      <c r="BH223" s="4">
        <v>-1.3660000000000001</v>
      </c>
      <c r="BI223" s="4">
        <v>28.797001000000002</v>
      </c>
      <c r="BJ223" s="4">
        <v>14.897899000000001</v>
      </c>
      <c r="BK223" s="4">
        <v>-0.40844399999999997</v>
      </c>
      <c r="BL223" s="4">
        <v>12.347432</v>
      </c>
      <c r="BM223" s="4">
        <v>152.45907</v>
      </c>
      <c r="BN223" s="4">
        <v>0.82880399999999999</v>
      </c>
      <c r="BO223" s="4">
        <v>25.521249999999998</v>
      </c>
      <c r="BP223" s="4">
        <v>-0.35294599999999998</v>
      </c>
      <c r="BQ223" s="4">
        <v>1.172887</v>
      </c>
      <c r="BR223" s="4">
        <v>12.032192</v>
      </c>
      <c r="BS223" s="4">
        <v>2.617499</v>
      </c>
      <c r="BT223" s="4">
        <v>24.417946000000001</v>
      </c>
      <c r="BU223" s="4">
        <v>14.897899000000001</v>
      </c>
      <c r="BV223" s="4">
        <v>6.3770189999999998</v>
      </c>
      <c r="BW223" s="4">
        <v>-0.87977700000000003</v>
      </c>
      <c r="BX223" s="4">
        <v>-1.162515</v>
      </c>
      <c r="BY223" s="4">
        <v>0.42804799999999998</v>
      </c>
      <c r="BZ223" s="4">
        <v>-0.137961</v>
      </c>
      <c r="CA223" s="4">
        <v>-0.18229799999999999</v>
      </c>
      <c r="CB223" s="4">
        <v>-0.63163000000000002</v>
      </c>
      <c r="CC223" s="4">
        <v>-0.37805</v>
      </c>
      <c r="CD223" s="4">
        <v>-0.25009999999999999</v>
      </c>
      <c r="CE223" s="4">
        <v>-0.11700000000000001</v>
      </c>
      <c r="CF223" s="4">
        <v>-0.06</v>
      </c>
      <c r="CG223" s="4">
        <v>1.0699999999999999E-2</v>
      </c>
      <c r="CH223" s="4">
        <v>7.6521970000000001</v>
      </c>
      <c r="CI223" s="4">
        <v>24.009501</v>
      </c>
      <c r="CJ223" s="4">
        <v>24.651797999999999</v>
      </c>
      <c r="CK223" s="4">
        <v>25.212600999999999</v>
      </c>
      <c r="CL223" s="4">
        <v>25.46125</v>
      </c>
      <c r="CM223" s="4">
        <v>25.735199000000001</v>
      </c>
      <c r="CN223" s="4">
        <v>26.430201</v>
      </c>
      <c r="CO223" s="4">
        <v>26.951049999999999</v>
      </c>
      <c r="CP223" s="4">
        <v>27.574940000000002</v>
      </c>
      <c r="CQ223" s="4">
        <v>0.53920000000000001</v>
      </c>
      <c r="CR223" s="4">
        <v>19.348454</v>
      </c>
      <c r="CS223" s="4">
        <v>21.145118</v>
      </c>
      <c r="CT223" s="1">
        <v>1</v>
      </c>
      <c r="CU223" s="1">
        <v>53</v>
      </c>
      <c r="CV223" s="4">
        <v>13.525862</v>
      </c>
      <c r="CW223" s="4">
        <v>1</v>
      </c>
      <c r="CX223" s="4">
        <v>8.6940209999999993</v>
      </c>
      <c r="CY223" s="4">
        <v>75.585993999999999</v>
      </c>
      <c r="CZ223" s="4">
        <v>0.64276999999999995</v>
      </c>
      <c r="DA223" s="4">
        <v>15</v>
      </c>
      <c r="DB223" s="4">
        <v>0.186616</v>
      </c>
      <c r="DC223" s="4">
        <v>2.3848440000000002</v>
      </c>
      <c r="DD223" s="4">
        <v>7.4569510000000001</v>
      </c>
      <c r="DE223" s="4">
        <v>13.525862</v>
      </c>
      <c r="DF223" s="4">
        <v>4.9469219999999998</v>
      </c>
      <c r="DG223" s="4">
        <v>9.4154000000000002E-2</v>
      </c>
      <c r="DH223" s="4">
        <v>5.3921999999999998E-2</v>
      </c>
      <c r="DI223" s="4">
        <v>0.36573800000000001</v>
      </c>
      <c r="DJ223" s="4">
        <v>1.9033000000000001E-2</v>
      </c>
      <c r="DK223" s="4">
        <v>1.09E-2</v>
      </c>
      <c r="DL223" s="4">
        <v>1</v>
      </c>
      <c r="DM223" s="4">
        <v>1</v>
      </c>
      <c r="DN223" s="4">
        <v>2</v>
      </c>
      <c r="DO223" s="4">
        <v>4</v>
      </c>
      <c r="DP223" s="4">
        <v>5</v>
      </c>
      <c r="DQ223" s="4">
        <v>7</v>
      </c>
      <c r="DR223" s="4">
        <v>11</v>
      </c>
      <c r="DS223" s="4">
        <v>14</v>
      </c>
      <c r="DT223" s="4">
        <v>17</v>
      </c>
      <c r="DU223" s="4">
        <v>19</v>
      </c>
      <c r="DV223" s="4">
        <v>20</v>
      </c>
      <c r="DW223" s="4">
        <v>21</v>
      </c>
      <c r="DX223" s="4">
        <v>24</v>
      </c>
      <c r="DY223" s="4">
        <v>26</v>
      </c>
      <c r="DZ223" s="4">
        <v>34</v>
      </c>
      <c r="EA223" s="4">
        <v>98.026949000000002</v>
      </c>
      <c r="EB223" s="4">
        <v>61.034483000000002</v>
      </c>
      <c r="EC223" s="4">
        <v>102.213667</v>
      </c>
      <c r="ED223" s="4">
        <v>2037</v>
      </c>
      <c r="EE223" s="4">
        <v>2124</v>
      </c>
      <c r="EF223" s="4">
        <v>97.112607999999994</v>
      </c>
      <c r="EG223" s="4">
        <v>100</v>
      </c>
      <c r="EH223" s="4">
        <v>58.419539999999998</v>
      </c>
      <c r="EI223" s="4">
        <v>95.747125999999994</v>
      </c>
      <c r="EJ223" s="4">
        <v>97.834456000000003</v>
      </c>
      <c r="EK223" s="4">
        <v>160.346487</v>
      </c>
      <c r="EL223" s="4">
        <v>2018</v>
      </c>
      <c r="EM223" s="4">
        <v>2078</v>
      </c>
      <c r="EN223" s="4">
        <v>2033</v>
      </c>
      <c r="EO223" s="4">
        <v>3332</v>
      </c>
      <c r="EP223" s="4">
        <v>2078</v>
      </c>
      <c r="EQ223" s="4">
        <v>3480</v>
      </c>
      <c r="ER223" s="4">
        <v>53.242086999999998</v>
      </c>
    </row>
    <row r="224" spans="1:148" x14ac:dyDescent="0.2">
      <c r="A224" s="1">
        <v>2022</v>
      </c>
      <c r="B224" s="1" t="str">
        <f t="shared" si="6"/>
        <v>GN</v>
      </c>
      <c r="C224" s="1" t="s">
        <v>1161</v>
      </c>
      <c r="D224" s="1" t="s">
        <v>1161</v>
      </c>
      <c r="E224" s="1">
        <v>25875</v>
      </c>
      <c r="F224" s="1" t="s">
        <v>2128</v>
      </c>
      <c r="G224" s="1" t="s">
        <v>861</v>
      </c>
      <c r="H224" s="1" t="s">
        <v>1162</v>
      </c>
      <c r="I224" s="1">
        <v>23.08</v>
      </c>
      <c r="J224" s="1">
        <v>23.08</v>
      </c>
      <c r="K224" s="1" t="s">
        <v>266</v>
      </c>
      <c r="L224" s="1">
        <v>1</v>
      </c>
      <c r="M224" s="1">
        <v>2017</v>
      </c>
      <c r="N224" s="1">
        <v>3</v>
      </c>
      <c r="O224" s="1">
        <v>1</v>
      </c>
      <c r="P224" s="1" t="str">
        <f t="shared" si="7"/>
        <v>Alto fuste</v>
      </c>
      <c r="Q224" s="2">
        <v>43031</v>
      </c>
      <c r="R224" s="1" t="s">
        <v>169</v>
      </c>
      <c r="S224" s="1" t="s">
        <v>651</v>
      </c>
      <c r="T224" s="1" t="s">
        <v>2268</v>
      </c>
      <c r="U224" s="1" t="s">
        <v>266</v>
      </c>
      <c r="V224" s="1" t="s">
        <v>152</v>
      </c>
      <c r="W224" s="2">
        <v>44638</v>
      </c>
      <c r="X224" s="1" t="s">
        <v>863</v>
      </c>
      <c r="Y224" s="1">
        <v>37.03</v>
      </c>
      <c r="Z224" s="1">
        <v>20.8</v>
      </c>
      <c r="AA224" s="1">
        <v>9</v>
      </c>
      <c r="AB224" s="1">
        <v>15</v>
      </c>
      <c r="AC224" s="1">
        <v>3</v>
      </c>
      <c r="AD224" s="3">
        <v>312</v>
      </c>
      <c r="AE224" s="3">
        <v>307.73644139192402</v>
      </c>
      <c r="AF224" s="2">
        <v>44638</v>
      </c>
      <c r="AG224" s="1">
        <v>53</v>
      </c>
      <c r="AH224" s="3">
        <v>4.3997262149212899</v>
      </c>
      <c r="AI224" s="4">
        <v>25.884757130954601</v>
      </c>
      <c r="AJ224" s="4">
        <v>16.112903225806399</v>
      </c>
      <c r="AK224" s="4">
        <v>20.900678584462</v>
      </c>
      <c r="AL224" s="1">
        <v>31</v>
      </c>
      <c r="AM224" s="5">
        <v>1007.35551044211</v>
      </c>
      <c r="AN224" s="4">
        <v>241.059747466435</v>
      </c>
      <c r="AO224" s="4">
        <v>0.23929957692953799</v>
      </c>
      <c r="AP224" s="1" t="s">
        <v>651</v>
      </c>
      <c r="AQ224" s="1" t="s">
        <v>156</v>
      </c>
      <c r="AR224" s="1" t="s">
        <v>164</v>
      </c>
      <c r="AS224" s="1">
        <v>9</v>
      </c>
      <c r="AT224" s="4">
        <v>0.90661995939789908</v>
      </c>
      <c r="AU224" s="1" t="s">
        <v>1163</v>
      </c>
      <c r="AV224" s="1" t="s">
        <v>1164</v>
      </c>
      <c r="AW224" s="1">
        <v>3006</v>
      </c>
      <c r="AX224" s="1">
        <v>1685</v>
      </c>
      <c r="AY224" s="1">
        <v>1268</v>
      </c>
      <c r="AZ224" s="1">
        <v>50</v>
      </c>
      <c r="BA224" s="1">
        <v>3</v>
      </c>
      <c r="BB224" s="1">
        <v>0</v>
      </c>
      <c r="BC224" s="1">
        <v>0</v>
      </c>
      <c r="BD224" s="1">
        <v>0</v>
      </c>
      <c r="BE224" s="1">
        <v>0</v>
      </c>
      <c r="BF224" s="1">
        <v>0</v>
      </c>
      <c r="BG224" s="1">
        <v>0</v>
      </c>
      <c r="BH224" s="4">
        <v>-0.999</v>
      </c>
      <c r="BI224" s="4">
        <v>28.533999999999999</v>
      </c>
      <c r="BJ224" s="4">
        <v>13.564527999999999</v>
      </c>
      <c r="BK224" s="4">
        <v>-6.1443999999999999E-2</v>
      </c>
      <c r="BL224" s="4">
        <v>12.276627</v>
      </c>
      <c r="BM224" s="4">
        <v>150.71558200000001</v>
      </c>
      <c r="BN224" s="4">
        <v>0.90505400000000003</v>
      </c>
      <c r="BO224" s="4">
        <v>24.784500999999999</v>
      </c>
      <c r="BP224" s="4">
        <v>-0.158605</v>
      </c>
      <c r="BQ224" s="4">
        <v>1.0728569999999999</v>
      </c>
      <c r="BR224" s="4">
        <v>12.108288999999999</v>
      </c>
      <c r="BS224" s="4">
        <v>4.2094990000000001</v>
      </c>
      <c r="BT224" s="4">
        <v>22.954944999999999</v>
      </c>
      <c r="BU224" s="4">
        <v>13.564527999999999</v>
      </c>
      <c r="BV224" s="4">
        <v>6.3988880000000004</v>
      </c>
      <c r="BW224" s="4">
        <v>-0.27217599999999997</v>
      </c>
      <c r="BX224" s="4">
        <v>-1.3092109999999999</v>
      </c>
      <c r="BY224" s="4">
        <v>0.47173700000000002</v>
      </c>
      <c r="BZ224" s="4">
        <v>-4.2535000000000003E-2</v>
      </c>
      <c r="CA224" s="4">
        <v>-0.2046</v>
      </c>
      <c r="CB224" s="4">
        <v>-0.43390000000000001</v>
      </c>
      <c r="CC224" s="4">
        <v>-0.186</v>
      </c>
      <c r="CD224" s="4">
        <v>-7.4999999999999997E-2</v>
      </c>
      <c r="CE224" s="4">
        <v>4.1000000000000002E-2</v>
      </c>
      <c r="CF224" s="4">
        <v>8.2000000000000003E-2</v>
      </c>
      <c r="CG224" s="4">
        <v>0.13250000000000001</v>
      </c>
      <c r="CH224" s="4">
        <v>0.26</v>
      </c>
      <c r="CI224" s="4">
        <v>22.893501000000001</v>
      </c>
      <c r="CJ224" s="4">
        <v>23.886998999999999</v>
      </c>
      <c r="CK224" s="4">
        <v>24.534500000000001</v>
      </c>
      <c r="CL224" s="4">
        <v>24.866501</v>
      </c>
      <c r="CM224" s="4">
        <v>25.253</v>
      </c>
      <c r="CN224" s="4">
        <v>26.140999000000001</v>
      </c>
      <c r="CO224" s="4">
        <v>26.741751000000001</v>
      </c>
      <c r="CP224" s="4">
        <v>27.797899000000001</v>
      </c>
      <c r="CQ224" s="4">
        <v>0.49312699999999998</v>
      </c>
      <c r="CR224" s="4">
        <v>18.293766000000002</v>
      </c>
      <c r="CS224" s="4">
        <v>20.274197999999998</v>
      </c>
      <c r="CT224" s="1">
        <v>1</v>
      </c>
      <c r="CU224" s="1">
        <v>49</v>
      </c>
      <c r="CV224" s="4">
        <v>14.208916</v>
      </c>
      <c r="CW224" s="4">
        <v>14.714286</v>
      </c>
      <c r="CX224" s="4">
        <v>8.9311059999999998</v>
      </c>
      <c r="CY224" s="4">
        <v>79.764658999999995</v>
      </c>
      <c r="CZ224" s="4">
        <v>0.62855700000000003</v>
      </c>
      <c r="DA224" s="4">
        <v>13</v>
      </c>
      <c r="DB224" s="4">
        <v>0.58017099999999999</v>
      </c>
      <c r="DC224" s="4">
        <v>3.24194</v>
      </c>
      <c r="DD224" s="4">
        <v>7.288824</v>
      </c>
      <c r="DE224" s="4">
        <v>14.208916</v>
      </c>
      <c r="DF224" s="4">
        <v>5.0076159999999996</v>
      </c>
      <c r="DG224" s="4">
        <v>0.43208999999999997</v>
      </c>
      <c r="DH224" s="4">
        <v>0.37859500000000001</v>
      </c>
      <c r="DI224" s="4">
        <v>0.35242800000000002</v>
      </c>
      <c r="DJ224" s="4">
        <v>8.6287000000000003E-2</v>
      </c>
      <c r="DK224" s="4">
        <v>7.5604000000000005E-2</v>
      </c>
      <c r="DL224" s="4">
        <v>1</v>
      </c>
      <c r="DM224" s="4">
        <v>2</v>
      </c>
      <c r="DN224" s="4">
        <v>3</v>
      </c>
      <c r="DO224" s="4">
        <v>5</v>
      </c>
      <c r="DP224" s="4">
        <v>7</v>
      </c>
      <c r="DQ224" s="4">
        <v>8</v>
      </c>
      <c r="DR224" s="4">
        <v>11</v>
      </c>
      <c r="DS224" s="4">
        <v>14</v>
      </c>
      <c r="DT224" s="4">
        <v>17</v>
      </c>
      <c r="DU224" s="4">
        <v>19</v>
      </c>
      <c r="DV224" s="4">
        <v>20</v>
      </c>
      <c r="DW224" s="4">
        <v>21</v>
      </c>
      <c r="DX224" s="4">
        <v>25</v>
      </c>
      <c r="DY224" s="4">
        <v>29</v>
      </c>
      <c r="DZ224" s="4">
        <v>40</v>
      </c>
      <c r="EA224" s="4">
        <v>95.548961000000006</v>
      </c>
      <c r="EB224" s="4">
        <v>55.655355999999998</v>
      </c>
      <c r="EC224" s="4">
        <v>99.287834000000004</v>
      </c>
      <c r="ED224" s="4">
        <v>1610</v>
      </c>
      <c r="EE224" s="4">
        <v>1673</v>
      </c>
      <c r="EF224" s="4">
        <v>94.777448000000007</v>
      </c>
      <c r="EG224" s="4">
        <v>100</v>
      </c>
      <c r="EH224" s="4">
        <v>54.158349999999999</v>
      </c>
      <c r="EI224" s="4">
        <v>89.321357000000006</v>
      </c>
      <c r="EJ224" s="4">
        <v>96.617210999999998</v>
      </c>
      <c r="EK224" s="4">
        <v>159.34718100000001</v>
      </c>
      <c r="EL224" s="4">
        <v>1597</v>
      </c>
      <c r="EM224" s="4">
        <v>1685</v>
      </c>
      <c r="EN224" s="4">
        <v>1628</v>
      </c>
      <c r="EO224" s="4">
        <v>2685</v>
      </c>
      <c r="EP224" s="4">
        <v>1685</v>
      </c>
      <c r="EQ224" s="4">
        <v>3006</v>
      </c>
      <c r="ER224" s="4">
        <v>47.932119999999998</v>
      </c>
    </row>
    <row r="225" spans="1:148" x14ac:dyDescent="0.2">
      <c r="A225" s="1">
        <v>2022</v>
      </c>
      <c r="B225" s="1" t="str">
        <f t="shared" si="6"/>
        <v>GN</v>
      </c>
      <c r="C225" s="1" t="s">
        <v>1165</v>
      </c>
      <c r="D225" s="1" t="s">
        <v>1165</v>
      </c>
      <c r="E225" s="1">
        <v>25877</v>
      </c>
      <c r="F225" s="1" t="s">
        <v>2128</v>
      </c>
      <c r="G225" s="1" t="s">
        <v>861</v>
      </c>
      <c r="H225" s="1" t="s">
        <v>1162</v>
      </c>
      <c r="I225" s="1">
        <v>23.08</v>
      </c>
      <c r="J225" s="1">
        <v>23.08</v>
      </c>
      <c r="K225" s="1" t="s">
        <v>266</v>
      </c>
      <c r="L225" s="1">
        <v>1</v>
      </c>
      <c r="M225" s="1">
        <v>2017</v>
      </c>
      <c r="N225" s="1">
        <v>3</v>
      </c>
      <c r="O225" s="1">
        <v>1</v>
      </c>
      <c r="P225" s="1" t="str">
        <f t="shared" si="7"/>
        <v>Alto fuste</v>
      </c>
      <c r="Q225" s="2">
        <v>43031</v>
      </c>
      <c r="R225" s="1" t="s">
        <v>169</v>
      </c>
      <c r="S225" s="1" t="s">
        <v>651</v>
      </c>
      <c r="T225" s="1" t="s">
        <v>2268</v>
      </c>
      <c r="U225" s="1" t="s">
        <v>266</v>
      </c>
      <c r="V225" s="1" t="s">
        <v>152</v>
      </c>
      <c r="W225" s="2">
        <v>44638</v>
      </c>
      <c r="X225" s="1" t="s">
        <v>863</v>
      </c>
      <c r="Y225" s="1">
        <v>37.03</v>
      </c>
      <c r="Z225" s="1">
        <v>20.7</v>
      </c>
      <c r="AA225" s="1">
        <v>11</v>
      </c>
      <c r="AB225" s="1">
        <v>14.3</v>
      </c>
      <c r="AC225" s="1">
        <v>1</v>
      </c>
      <c r="AD225" s="3">
        <v>296.01</v>
      </c>
      <c r="AE225" s="3">
        <v>290.52720713117901</v>
      </c>
      <c r="AF225" s="2">
        <v>44638</v>
      </c>
      <c r="AG225" s="1">
        <v>53</v>
      </c>
      <c r="AH225" s="3">
        <v>4.3997262149212899</v>
      </c>
      <c r="AI225" s="4">
        <v>27.819434058920201</v>
      </c>
      <c r="AJ225" s="4">
        <v>16.3705882352941</v>
      </c>
      <c r="AK225" s="4">
        <v>25.524698967955199</v>
      </c>
      <c r="AL225" s="1">
        <v>34</v>
      </c>
      <c r="AM225" s="5">
        <v>1170.2862646061301</v>
      </c>
      <c r="AN225" s="4">
        <v>321.81778288824302</v>
      </c>
      <c r="AO225" s="4">
        <v>0.27499065196373301</v>
      </c>
      <c r="AP225" s="1" t="s">
        <v>651</v>
      </c>
      <c r="AQ225" s="1" t="s">
        <v>156</v>
      </c>
      <c r="AR225" s="1" t="s">
        <v>164</v>
      </c>
      <c r="AS225" s="1">
        <v>9</v>
      </c>
      <c r="AT225" s="4">
        <v>1.0532576381455172</v>
      </c>
      <c r="AU225" s="1" t="s">
        <v>1166</v>
      </c>
      <c r="AV225" s="1" t="s">
        <v>1167</v>
      </c>
      <c r="AW225" s="1">
        <v>3864</v>
      </c>
      <c r="AX225" s="1">
        <v>2244</v>
      </c>
      <c r="AY225" s="1">
        <v>1393</v>
      </c>
      <c r="AZ225" s="1">
        <v>213</v>
      </c>
      <c r="BA225" s="1">
        <v>14</v>
      </c>
      <c r="BB225" s="1">
        <v>0</v>
      </c>
      <c r="BC225" s="1">
        <v>0</v>
      </c>
      <c r="BD225" s="1">
        <v>0</v>
      </c>
      <c r="BE225" s="1">
        <v>0</v>
      </c>
      <c r="BF225" s="1">
        <v>0</v>
      </c>
      <c r="BG225" s="1">
        <v>0</v>
      </c>
      <c r="BH225" s="4">
        <v>-1.0009999999999999</v>
      </c>
      <c r="BI225" s="4">
        <v>29.402999999999999</v>
      </c>
      <c r="BJ225" s="4">
        <v>15.436909999999999</v>
      </c>
      <c r="BK225" s="4">
        <v>-3.5793999999999999E-2</v>
      </c>
      <c r="BL225" s="4">
        <v>12.040277</v>
      </c>
      <c r="BM225" s="4">
        <v>144.96825899999999</v>
      </c>
      <c r="BN225" s="4">
        <v>0.77996699999999997</v>
      </c>
      <c r="BO225" s="4">
        <v>25.481251</v>
      </c>
      <c r="BP225" s="4">
        <v>-0.40973599999999999</v>
      </c>
      <c r="BQ225" s="4">
        <v>1.279785</v>
      </c>
      <c r="BR225" s="4">
        <v>11.447825</v>
      </c>
      <c r="BS225" s="4">
        <v>3.8605</v>
      </c>
      <c r="BT225" s="4">
        <v>23.536293000000001</v>
      </c>
      <c r="BU225" s="4">
        <v>15.436909999999999</v>
      </c>
      <c r="BV225" s="4">
        <v>6.3486380000000002</v>
      </c>
      <c r="BW225" s="4">
        <v>-0.90624000000000005</v>
      </c>
      <c r="BX225" s="4">
        <v>-0.99445099999999997</v>
      </c>
      <c r="BY225" s="4">
        <v>0.41126400000000002</v>
      </c>
      <c r="BZ225" s="4">
        <v>-0.14274600000000001</v>
      </c>
      <c r="CA225" s="4">
        <v>-0.15664</v>
      </c>
      <c r="CB225" s="4">
        <v>-0.33348</v>
      </c>
      <c r="CC225" s="4">
        <v>-0.11484999999999999</v>
      </c>
      <c r="CD225" s="4">
        <v>-1.7000000000000001E-2</v>
      </c>
      <c r="CE225" s="4">
        <v>9.6000000000000002E-2</v>
      </c>
      <c r="CF225" s="4">
        <v>0.153</v>
      </c>
      <c r="CG225" s="4">
        <v>0.24390000000000001</v>
      </c>
      <c r="CH225" s="4">
        <v>15.2926</v>
      </c>
      <c r="CI225" s="4">
        <v>23.500499999999999</v>
      </c>
      <c r="CJ225" s="4">
        <v>24.428801</v>
      </c>
      <c r="CK225" s="4">
        <v>25.234100000000002</v>
      </c>
      <c r="CL225" s="4">
        <v>25.634250999999999</v>
      </c>
      <c r="CM225" s="4">
        <v>26.099401</v>
      </c>
      <c r="CN225" s="4">
        <v>27.018699999999999</v>
      </c>
      <c r="CO225" s="4">
        <v>27.826000000000001</v>
      </c>
      <c r="CP225" s="4">
        <v>28.673773000000001</v>
      </c>
      <c r="CQ225" s="4">
        <v>0.54064999999999996</v>
      </c>
      <c r="CR225" s="4">
        <v>19.576233999999999</v>
      </c>
      <c r="CS225" s="4">
        <v>21.308695</v>
      </c>
      <c r="CT225" s="1">
        <v>1</v>
      </c>
      <c r="CU225" s="1">
        <v>46</v>
      </c>
      <c r="CV225" s="4">
        <v>13.24793</v>
      </c>
      <c r="CW225" s="4">
        <v>1</v>
      </c>
      <c r="CX225" s="4">
        <v>8.0070589999999999</v>
      </c>
      <c r="CY225" s="4">
        <v>64.112990999999994</v>
      </c>
      <c r="CZ225" s="4">
        <v>0.60440099999999997</v>
      </c>
      <c r="DA225" s="4">
        <v>13</v>
      </c>
      <c r="DB225" s="4">
        <v>0.37567499999999998</v>
      </c>
      <c r="DC225" s="4">
        <v>2.7754310000000002</v>
      </c>
      <c r="DD225" s="4">
        <v>6.6525420000000004</v>
      </c>
      <c r="DE225" s="4">
        <v>13.24793</v>
      </c>
      <c r="DF225" s="4">
        <v>4.5389860000000004</v>
      </c>
      <c r="DG225" s="4">
        <v>0.24865699999999999</v>
      </c>
      <c r="DH225" s="4">
        <v>0.25660899999999998</v>
      </c>
      <c r="DI225" s="4">
        <v>0.34261900000000001</v>
      </c>
      <c r="DJ225" s="4">
        <v>5.4781999999999997E-2</v>
      </c>
      <c r="DK225" s="4">
        <v>5.6534000000000001E-2</v>
      </c>
      <c r="DL225" s="4">
        <v>1</v>
      </c>
      <c r="DM225" s="4">
        <v>1</v>
      </c>
      <c r="DN225" s="4">
        <v>3</v>
      </c>
      <c r="DO225" s="4">
        <v>5</v>
      </c>
      <c r="DP225" s="4">
        <v>6</v>
      </c>
      <c r="DQ225" s="4">
        <v>8</v>
      </c>
      <c r="DR225" s="4">
        <v>11</v>
      </c>
      <c r="DS225" s="4">
        <v>13</v>
      </c>
      <c r="DT225" s="4">
        <v>16</v>
      </c>
      <c r="DU225" s="4">
        <v>18</v>
      </c>
      <c r="DV225" s="4">
        <v>19</v>
      </c>
      <c r="DW225" s="4">
        <v>20</v>
      </c>
      <c r="DX225" s="4">
        <v>23</v>
      </c>
      <c r="DY225" s="4">
        <v>26</v>
      </c>
      <c r="DZ225" s="4">
        <v>35</v>
      </c>
      <c r="EA225" s="4">
        <v>97.237076999999999</v>
      </c>
      <c r="EB225" s="4">
        <v>63.716355999999998</v>
      </c>
      <c r="EC225" s="4">
        <v>109.714795</v>
      </c>
      <c r="ED225" s="4">
        <v>2182</v>
      </c>
      <c r="EE225" s="4">
        <v>2462</v>
      </c>
      <c r="EF225" s="4">
        <v>96.479500999999999</v>
      </c>
      <c r="EG225" s="4">
        <v>99.910872999999995</v>
      </c>
      <c r="EH225" s="4">
        <v>59.808489000000002</v>
      </c>
      <c r="EI225" s="4">
        <v>91.045548999999994</v>
      </c>
      <c r="EJ225" s="4">
        <v>102.98574000000001</v>
      </c>
      <c r="EK225" s="4">
        <v>156.773619</v>
      </c>
      <c r="EL225" s="4">
        <v>2165</v>
      </c>
      <c r="EM225" s="4">
        <v>2242</v>
      </c>
      <c r="EN225" s="4">
        <v>2311</v>
      </c>
      <c r="EO225" s="4">
        <v>3518</v>
      </c>
      <c r="EP225" s="4">
        <v>2244</v>
      </c>
      <c r="EQ225" s="4">
        <v>3864</v>
      </c>
      <c r="ER225" s="4">
        <v>52.880665</v>
      </c>
    </row>
    <row r="226" spans="1:148" x14ac:dyDescent="0.2">
      <c r="A226" s="1">
        <v>2022</v>
      </c>
      <c r="B226" s="1" t="str">
        <f t="shared" si="6"/>
        <v>GN</v>
      </c>
      <c r="C226" s="1" t="s">
        <v>1168</v>
      </c>
      <c r="D226" s="1" t="s">
        <v>1168</v>
      </c>
      <c r="E226" s="1">
        <v>25880</v>
      </c>
      <c r="F226" s="1" t="s">
        <v>2129</v>
      </c>
      <c r="G226" s="1" t="s">
        <v>1169</v>
      </c>
      <c r="H226" s="1" t="s">
        <v>1170</v>
      </c>
      <c r="I226" s="1">
        <v>32.89</v>
      </c>
      <c r="J226" s="1">
        <v>32.89</v>
      </c>
      <c r="K226" s="1" t="s">
        <v>192</v>
      </c>
      <c r="L226" s="1">
        <v>1</v>
      </c>
      <c r="M226" s="1">
        <v>2017</v>
      </c>
      <c r="N226" s="1">
        <v>1</v>
      </c>
      <c r="O226" s="1">
        <v>2</v>
      </c>
      <c r="P226" s="1" t="str">
        <f t="shared" si="7"/>
        <v>Talhadia</v>
      </c>
      <c r="Q226" s="2">
        <v>43043</v>
      </c>
      <c r="R226" s="1" t="s">
        <v>306</v>
      </c>
      <c r="S226" s="1" t="s">
        <v>163</v>
      </c>
      <c r="T226" s="1" t="s">
        <v>2268</v>
      </c>
      <c r="U226" s="1" t="s">
        <v>192</v>
      </c>
      <c r="V226" s="1" t="s">
        <v>152</v>
      </c>
      <c r="W226" s="2">
        <v>44713</v>
      </c>
      <c r="X226" s="1" t="s">
        <v>1171</v>
      </c>
      <c r="Y226" s="1">
        <v>100.42</v>
      </c>
      <c r="Z226" s="1">
        <v>19.2</v>
      </c>
      <c r="AA226" s="1">
        <v>9</v>
      </c>
      <c r="AB226" s="1">
        <v>16.899999999999999</v>
      </c>
      <c r="AC226" s="1">
        <v>2</v>
      </c>
      <c r="AD226" s="3">
        <v>324.48</v>
      </c>
      <c r="AE226" s="3">
        <v>320.28988188483697</v>
      </c>
      <c r="AF226" s="2">
        <v>44713</v>
      </c>
      <c r="AG226" s="1">
        <v>55</v>
      </c>
      <c r="AH226" s="3">
        <v>4.5722108145106102</v>
      </c>
      <c r="AI226" s="4">
        <v>25.721620856827101</v>
      </c>
      <c r="AJ226" s="4">
        <v>16.434374999999999</v>
      </c>
      <c r="AK226" s="4">
        <v>21.776765396294</v>
      </c>
      <c r="AL226" s="1">
        <v>32</v>
      </c>
      <c r="AM226" s="5">
        <v>999.09493898736002</v>
      </c>
      <c r="AN226" s="4">
        <v>254.88809975268501</v>
      </c>
      <c r="AO226" s="4">
        <v>0.255118998011369</v>
      </c>
      <c r="AP226" s="1" t="s">
        <v>163</v>
      </c>
      <c r="AQ226" s="1" t="s">
        <v>254</v>
      </c>
      <c r="AR226" s="1" t="s">
        <v>275</v>
      </c>
      <c r="AS226" s="1">
        <v>9.99</v>
      </c>
      <c r="AT226" s="4">
        <v>0.9980958440483727</v>
      </c>
      <c r="AU226" s="1" t="s">
        <v>1172</v>
      </c>
      <c r="AV226" s="1" t="s">
        <v>1173</v>
      </c>
      <c r="AW226" s="1">
        <v>4244</v>
      </c>
      <c r="AX226" s="1">
        <v>2414</v>
      </c>
      <c r="AY226" s="1">
        <v>1654</v>
      </c>
      <c r="AZ226" s="1">
        <v>165</v>
      </c>
      <c r="BA226" s="1">
        <v>11</v>
      </c>
      <c r="BB226" s="1">
        <v>0</v>
      </c>
      <c r="BC226" s="1">
        <v>0</v>
      </c>
      <c r="BD226" s="1">
        <v>0</v>
      </c>
      <c r="BE226" s="1">
        <v>0</v>
      </c>
      <c r="BF226" s="1">
        <v>0</v>
      </c>
      <c r="BG226" s="1">
        <v>0</v>
      </c>
      <c r="BH226" s="4">
        <v>-1.087</v>
      </c>
      <c r="BI226" s="4">
        <v>27.48</v>
      </c>
      <c r="BJ226" s="4">
        <v>13.080873</v>
      </c>
      <c r="BK226" s="4">
        <v>-0.18011099999999999</v>
      </c>
      <c r="BL226" s="4">
        <v>11.560449999999999</v>
      </c>
      <c r="BM226" s="4">
        <v>133.64401000000001</v>
      </c>
      <c r="BN226" s="4">
        <v>0.883768</v>
      </c>
      <c r="BO226" s="4">
        <v>23.979248999999999</v>
      </c>
      <c r="BP226" s="4">
        <v>-0.14760899999999999</v>
      </c>
      <c r="BQ226" s="4">
        <v>1.118015</v>
      </c>
      <c r="BR226" s="4">
        <v>11.282057999999999</v>
      </c>
      <c r="BS226" s="4">
        <v>6.449999</v>
      </c>
      <c r="BT226" s="4">
        <v>19.942612</v>
      </c>
      <c r="BU226" s="4">
        <v>13.080873</v>
      </c>
      <c r="BV226" s="4">
        <v>6.1455840000000004</v>
      </c>
      <c r="BW226" s="4">
        <v>-0.26278400000000002</v>
      </c>
      <c r="BX226" s="4">
        <v>-1.228791</v>
      </c>
      <c r="BY226" s="4">
        <v>0.46981400000000001</v>
      </c>
      <c r="BZ226" s="4">
        <v>-4.2759999999999999E-2</v>
      </c>
      <c r="CA226" s="4">
        <v>-0.19994700000000001</v>
      </c>
      <c r="CB226" s="4">
        <v>-0.43857000000000002</v>
      </c>
      <c r="CC226" s="4">
        <v>-0.17899999999999999</v>
      </c>
      <c r="CD226" s="4">
        <v>-8.8700000000000001E-2</v>
      </c>
      <c r="CE226" s="4">
        <v>0.01</v>
      </c>
      <c r="CF226" s="4">
        <v>0.06</v>
      </c>
      <c r="CG226" s="4">
        <v>0.107</v>
      </c>
      <c r="CH226" s="4">
        <v>0.34939999999999999</v>
      </c>
      <c r="CI226" s="4">
        <v>19.762501</v>
      </c>
      <c r="CJ226" s="4">
        <v>22.934799000000002</v>
      </c>
      <c r="CK226" s="4">
        <v>23.697299999999998</v>
      </c>
      <c r="CL226" s="4">
        <v>24.039249000000002</v>
      </c>
      <c r="CM226" s="4">
        <v>24.3734</v>
      </c>
      <c r="CN226" s="4">
        <v>25.191998999999999</v>
      </c>
      <c r="CO226" s="4">
        <v>25.862850000000002</v>
      </c>
      <c r="CP226" s="4">
        <v>26.622419000000001</v>
      </c>
      <c r="CQ226" s="4">
        <v>0.495952</v>
      </c>
      <c r="CR226" s="4">
        <v>17.456281000000001</v>
      </c>
      <c r="CS226" s="4">
        <v>19.357548000000001</v>
      </c>
      <c r="CT226" s="1">
        <v>1</v>
      </c>
      <c r="CU226" s="1">
        <v>85</v>
      </c>
      <c r="CV226" s="4">
        <v>18.935438000000001</v>
      </c>
      <c r="CW226" s="4">
        <v>1</v>
      </c>
      <c r="CX226" s="4">
        <v>13.05898</v>
      </c>
      <c r="CY226" s="4">
        <v>170.536957</v>
      </c>
      <c r="CZ226" s="4">
        <v>0.68965799999999999</v>
      </c>
      <c r="DA226" s="4">
        <v>18</v>
      </c>
      <c r="DB226" s="4">
        <v>0.85002599999999995</v>
      </c>
      <c r="DC226" s="4">
        <v>4.146903</v>
      </c>
      <c r="DD226" s="4">
        <v>10.323449</v>
      </c>
      <c r="DE226" s="4">
        <v>18.935438000000001</v>
      </c>
      <c r="DF226" s="4">
        <v>7.1748089999999998</v>
      </c>
      <c r="DG226" s="4">
        <v>0.81838999999999995</v>
      </c>
      <c r="DH226" s="4">
        <v>0.72870800000000002</v>
      </c>
      <c r="DI226" s="4">
        <v>0.378909</v>
      </c>
      <c r="DJ226" s="4">
        <v>0.114064</v>
      </c>
      <c r="DK226" s="4">
        <v>0.101565</v>
      </c>
      <c r="DL226" s="4">
        <v>1</v>
      </c>
      <c r="DM226" s="4">
        <v>1</v>
      </c>
      <c r="DN226" s="4">
        <v>3</v>
      </c>
      <c r="DO226" s="4">
        <v>6</v>
      </c>
      <c r="DP226" s="4">
        <v>8</v>
      </c>
      <c r="DQ226" s="4">
        <v>10</v>
      </c>
      <c r="DR226" s="4">
        <v>15</v>
      </c>
      <c r="DS226" s="4">
        <v>19</v>
      </c>
      <c r="DT226" s="4">
        <v>22</v>
      </c>
      <c r="DU226" s="4">
        <v>25</v>
      </c>
      <c r="DV226" s="4">
        <v>26</v>
      </c>
      <c r="DW226" s="4">
        <v>28</v>
      </c>
      <c r="DX226" s="4">
        <v>34</v>
      </c>
      <c r="DY226" s="4">
        <v>42</v>
      </c>
      <c r="DZ226" s="4">
        <v>61</v>
      </c>
      <c r="EA226" s="4">
        <v>95.484673000000001</v>
      </c>
      <c r="EB226" s="4">
        <v>59.095193000000002</v>
      </c>
      <c r="EC226" s="4">
        <v>103.893952</v>
      </c>
      <c r="ED226" s="4">
        <v>2305</v>
      </c>
      <c r="EE226" s="4">
        <v>2508</v>
      </c>
      <c r="EF226" s="4">
        <v>91.300746000000004</v>
      </c>
      <c r="EG226" s="4">
        <v>99.958574999999996</v>
      </c>
      <c r="EH226" s="4">
        <v>53.039585000000002</v>
      </c>
      <c r="EI226" s="4">
        <v>95.028274999999994</v>
      </c>
      <c r="EJ226" s="4">
        <v>93.247721999999996</v>
      </c>
      <c r="EK226" s="4">
        <v>167.06710899999999</v>
      </c>
      <c r="EL226" s="4">
        <v>2204</v>
      </c>
      <c r="EM226" s="4">
        <v>2413</v>
      </c>
      <c r="EN226" s="4">
        <v>2251</v>
      </c>
      <c r="EO226" s="4">
        <v>4033</v>
      </c>
      <c r="EP226" s="4">
        <v>2414</v>
      </c>
      <c r="EQ226" s="4">
        <v>4244</v>
      </c>
      <c r="ER226" s="4">
        <v>48.246464000000003</v>
      </c>
    </row>
    <row r="227" spans="1:148" x14ac:dyDescent="0.2">
      <c r="A227" s="1">
        <v>2022</v>
      </c>
      <c r="B227" s="1" t="str">
        <f t="shared" si="6"/>
        <v>GN</v>
      </c>
      <c r="C227" s="1" t="s">
        <v>1174</v>
      </c>
      <c r="D227" s="1" t="s">
        <v>1174</v>
      </c>
      <c r="E227" s="1">
        <v>25882</v>
      </c>
      <c r="F227" s="1" t="s">
        <v>2129</v>
      </c>
      <c r="G227" s="1" t="s">
        <v>1169</v>
      </c>
      <c r="H227" s="1" t="s">
        <v>1170</v>
      </c>
      <c r="I227" s="1">
        <v>32.89</v>
      </c>
      <c r="J227" s="1">
        <v>32.89</v>
      </c>
      <c r="K227" s="1" t="s">
        <v>192</v>
      </c>
      <c r="L227" s="1">
        <v>1</v>
      </c>
      <c r="M227" s="1">
        <v>2017</v>
      </c>
      <c r="N227" s="1">
        <v>1</v>
      </c>
      <c r="O227" s="1">
        <v>2</v>
      </c>
      <c r="P227" s="1" t="str">
        <f t="shared" si="7"/>
        <v>Talhadia</v>
      </c>
      <c r="Q227" s="2">
        <v>43043</v>
      </c>
      <c r="R227" s="1" t="s">
        <v>306</v>
      </c>
      <c r="S227" s="1" t="s">
        <v>163</v>
      </c>
      <c r="T227" s="1" t="s">
        <v>2268</v>
      </c>
      <c r="U227" s="1" t="s">
        <v>192</v>
      </c>
      <c r="V227" s="1" t="s">
        <v>152</v>
      </c>
      <c r="W227" s="2">
        <v>44713</v>
      </c>
      <c r="X227" s="1" t="s">
        <v>1171</v>
      </c>
      <c r="Y227" s="1">
        <v>100.42</v>
      </c>
      <c r="Z227" s="1">
        <v>18.7</v>
      </c>
      <c r="AA227" s="1">
        <v>13</v>
      </c>
      <c r="AB227" s="1">
        <v>17</v>
      </c>
      <c r="AC227" s="1">
        <v>1</v>
      </c>
      <c r="AD227" s="3">
        <v>317.89999999999998</v>
      </c>
      <c r="AE227" s="3">
        <v>309.70506682820798</v>
      </c>
      <c r="AF227" s="2">
        <v>44713</v>
      </c>
      <c r="AG227" s="1">
        <v>55</v>
      </c>
      <c r="AH227" s="3">
        <v>4.5722108145106102</v>
      </c>
      <c r="AI227" s="4">
        <v>25.6359382299913</v>
      </c>
      <c r="AJ227" s="4">
        <v>16.968965517241401</v>
      </c>
      <c r="AK227" s="4">
        <v>21.8118771622125</v>
      </c>
      <c r="AL227" s="1">
        <v>29</v>
      </c>
      <c r="AM227" s="5">
        <v>936.37473538933602</v>
      </c>
      <c r="AN227" s="4">
        <v>253.64043602942701</v>
      </c>
      <c r="AO227" s="4">
        <v>0.27087492479596298</v>
      </c>
      <c r="AP227" s="1" t="s">
        <v>163</v>
      </c>
      <c r="AQ227" s="1" t="s">
        <v>254</v>
      </c>
      <c r="AR227" s="1" t="s">
        <v>275</v>
      </c>
      <c r="AS227" s="1">
        <v>9.99</v>
      </c>
      <c r="AT227" s="4">
        <v>0.9354383606539467</v>
      </c>
      <c r="AU227" s="1" t="s">
        <v>1175</v>
      </c>
      <c r="AV227" s="1" t="s">
        <v>1176</v>
      </c>
      <c r="AW227" s="1">
        <v>4878</v>
      </c>
      <c r="AX227" s="1">
        <v>2828</v>
      </c>
      <c r="AY227" s="1">
        <v>1782</v>
      </c>
      <c r="AZ227" s="1">
        <v>249</v>
      </c>
      <c r="BA227" s="1">
        <v>19</v>
      </c>
      <c r="BB227" s="1">
        <v>0</v>
      </c>
      <c r="BC227" s="1">
        <v>0</v>
      </c>
      <c r="BD227" s="1">
        <v>0</v>
      </c>
      <c r="BE227" s="1">
        <v>0</v>
      </c>
      <c r="BF227" s="1">
        <v>0</v>
      </c>
      <c r="BG227" s="1">
        <v>0</v>
      </c>
      <c r="BH227" s="4">
        <v>-0.96799999999999997</v>
      </c>
      <c r="BI227" s="4">
        <v>30.240998999999999</v>
      </c>
      <c r="BJ227" s="4">
        <v>15.003277000000001</v>
      </c>
      <c r="BK227" s="4">
        <v>2.2762000000000001E-2</v>
      </c>
      <c r="BL227" s="4">
        <v>12.744018000000001</v>
      </c>
      <c r="BM227" s="4">
        <v>162.409999</v>
      </c>
      <c r="BN227" s="4">
        <v>0.84941599999999995</v>
      </c>
      <c r="BO227" s="4">
        <v>26.726751</v>
      </c>
      <c r="BP227" s="4">
        <v>-0.21714600000000001</v>
      </c>
      <c r="BQ227" s="4">
        <v>1.160685</v>
      </c>
      <c r="BR227" s="4">
        <v>12.321094</v>
      </c>
      <c r="BS227" s="4">
        <v>5.5084999999999997</v>
      </c>
      <c r="BT227" s="4">
        <v>23.612238000000001</v>
      </c>
      <c r="BU227" s="4">
        <v>15.003277000000001</v>
      </c>
      <c r="BV227" s="4">
        <v>6.7983960000000003</v>
      </c>
      <c r="BW227" s="4">
        <v>-0.48455900000000002</v>
      </c>
      <c r="BX227" s="4">
        <v>-1.296699</v>
      </c>
      <c r="BY227" s="4">
        <v>0.453127</v>
      </c>
      <c r="BZ227" s="4">
        <v>-7.1275000000000005E-2</v>
      </c>
      <c r="CA227" s="4">
        <v>-0.19073599999999999</v>
      </c>
      <c r="CB227" s="4">
        <v>-0.43946000000000002</v>
      </c>
      <c r="CC227" s="4">
        <v>-0.20230000000000001</v>
      </c>
      <c r="CD227" s="4">
        <v>-9.6299999999999997E-2</v>
      </c>
      <c r="CE227" s="4">
        <v>2.8000000000000001E-2</v>
      </c>
      <c r="CF227" s="4">
        <v>8.1000000000000003E-2</v>
      </c>
      <c r="CG227" s="4">
        <v>0.14299999999999999</v>
      </c>
      <c r="CH227" s="4">
        <v>7.3896009999999999</v>
      </c>
      <c r="CI227" s="4">
        <v>23.635000000000002</v>
      </c>
      <c r="CJ227" s="4">
        <v>25.5182</v>
      </c>
      <c r="CK227" s="4">
        <v>26.398800000000001</v>
      </c>
      <c r="CL227" s="4">
        <v>26.807751</v>
      </c>
      <c r="CM227" s="4">
        <v>27.251201999999999</v>
      </c>
      <c r="CN227" s="4">
        <v>28.192799000000001</v>
      </c>
      <c r="CO227" s="4">
        <v>28.784599</v>
      </c>
      <c r="CP227" s="4">
        <v>29.539218999999999</v>
      </c>
      <c r="CQ227" s="4">
        <v>0.51175199999999998</v>
      </c>
      <c r="CR227" s="4">
        <v>19.684384999999999</v>
      </c>
      <c r="CS227" s="4">
        <v>21.712799</v>
      </c>
      <c r="CT227" s="1">
        <v>1</v>
      </c>
      <c r="CU227" s="1">
        <v>65</v>
      </c>
      <c r="CV227" s="4">
        <v>14.626281000000001</v>
      </c>
      <c r="CW227" s="4">
        <v>1</v>
      </c>
      <c r="CX227" s="4">
        <v>9.944089</v>
      </c>
      <c r="CY227" s="4">
        <v>98.884911000000002</v>
      </c>
      <c r="CZ227" s="4">
        <v>0.67987799999999998</v>
      </c>
      <c r="DA227" s="4">
        <v>15</v>
      </c>
      <c r="DB227" s="4">
        <v>0.78112300000000001</v>
      </c>
      <c r="DC227" s="4">
        <v>3.885491</v>
      </c>
      <c r="DD227" s="4">
        <v>8.0142980000000001</v>
      </c>
      <c r="DE227" s="4">
        <v>14.626281000000001</v>
      </c>
      <c r="DF227" s="4">
        <v>5.503876</v>
      </c>
      <c r="DG227" s="4">
        <v>0.61357799999999996</v>
      </c>
      <c r="DH227" s="4">
        <v>0.46157199999999998</v>
      </c>
      <c r="DI227" s="4">
        <v>0.37630000000000002</v>
      </c>
      <c r="DJ227" s="4">
        <v>0.111481</v>
      </c>
      <c r="DK227" s="4">
        <v>8.3862999999999993E-2</v>
      </c>
      <c r="DL227" s="4">
        <v>1</v>
      </c>
      <c r="DM227" s="4">
        <v>1</v>
      </c>
      <c r="DN227" s="4">
        <v>2</v>
      </c>
      <c r="DO227" s="4">
        <v>5</v>
      </c>
      <c r="DP227" s="4">
        <v>6</v>
      </c>
      <c r="DQ227" s="4">
        <v>8</v>
      </c>
      <c r="DR227" s="4">
        <v>11</v>
      </c>
      <c r="DS227" s="4">
        <v>15</v>
      </c>
      <c r="DT227" s="4">
        <v>17</v>
      </c>
      <c r="DU227" s="4">
        <v>20</v>
      </c>
      <c r="DV227" s="4">
        <v>21</v>
      </c>
      <c r="DW227" s="4">
        <v>22</v>
      </c>
      <c r="DX227" s="4">
        <v>26</v>
      </c>
      <c r="DY227" s="4">
        <v>32</v>
      </c>
      <c r="DZ227" s="4">
        <v>45</v>
      </c>
      <c r="EA227" s="4">
        <v>94.731258999999994</v>
      </c>
      <c r="EB227" s="4">
        <v>61.090611000000003</v>
      </c>
      <c r="EC227" s="4">
        <v>105.37482300000001</v>
      </c>
      <c r="ED227" s="4">
        <v>2679</v>
      </c>
      <c r="EE227" s="4">
        <v>2980</v>
      </c>
      <c r="EF227" s="4">
        <v>90.594059000000001</v>
      </c>
      <c r="EG227" s="4">
        <v>99.787835999999999</v>
      </c>
      <c r="EH227" s="4">
        <v>54.653547000000003</v>
      </c>
      <c r="EI227" s="4">
        <v>80.422303999999997</v>
      </c>
      <c r="EJ227" s="4">
        <v>94.271569999999997</v>
      </c>
      <c r="EK227" s="4">
        <v>138.719943</v>
      </c>
      <c r="EL227" s="4">
        <v>2562</v>
      </c>
      <c r="EM227" s="4">
        <v>2822</v>
      </c>
      <c r="EN227" s="4">
        <v>2666</v>
      </c>
      <c r="EO227" s="4">
        <v>3923</v>
      </c>
      <c r="EP227" s="4">
        <v>2828</v>
      </c>
      <c r="EQ227" s="4">
        <v>4878</v>
      </c>
      <c r="ER227" s="4">
        <v>49.924622999999997</v>
      </c>
    </row>
    <row r="228" spans="1:148" x14ac:dyDescent="0.2">
      <c r="A228" s="1">
        <v>2022</v>
      </c>
      <c r="B228" s="1" t="str">
        <f t="shared" si="6"/>
        <v>GN</v>
      </c>
      <c r="C228" s="1" t="s">
        <v>1177</v>
      </c>
      <c r="D228" s="1" t="s">
        <v>1177</v>
      </c>
      <c r="E228" s="1">
        <v>25895</v>
      </c>
      <c r="F228" s="1" t="s">
        <v>2130</v>
      </c>
      <c r="G228" s="1" t="s">
        <v>1178</v>
      </c>
      <c r="H228" s="1" t="s">
        <v>1179</v>
      </c>
      <c r="I228" s="1">
        <v>44.64</v>
      </c>
      <c r="J228" s="1">
        <v>44.64</v>
      </c>
      <c r="K228" s="1" t="s">
        <v>266</v>
      </c>
      <c r="L228" s="1">
        <v>1</v>
      </c>
      <c r="M228" s="1">
        <v>2017</v>
      </c>
      <c r="N228" s="1">
        <v>3</v>
      </c>
      <c r="O228" s="1">
        <v>2</v>
      </c>
      <c r="P228" s="1" t="str">
        <f t="shared" si="7"/>
        <v>Talhadia</v>
      </c>
      <c r="Q228" s="2">
        <v>42780</v>
      </c>
      <c r="R228" s="1" t="s">
        <v>169</v>
      </c>
      <c r="S228" s="1" t="s">
        <v>163</v>
      </c>
      <c r="T228" s="1" t="s">
        <v>2268</v>
      </c>
      <c r="U228" s="1" t="s">
        <v>266</v>
      </c>
      <c r="V228" s="1" t="s">
        <v>152</v>
      </c>
      <c r="W228" s="2">
        <v>44631</v>
      </c>
      <c r="X228" s="1" t="s">
        <v>1180</v>
      </c>
      <c r="Y228" s="1">
        <v>171.51</v>
      </c>
      <c r="Z228" s="1">
        <v>20.6</v>
      </c>
      <c r="AA228" s="1">
        <v>7</v>
      </c>
      <c r="AB228" s="1">
        <v>16.600000000000001</v>
      </c>
      <c r="AC228" s="1">
        <v>0</v>
      </c>
      <c r="AD228" s="3">
        <v>341.96</v>
      </c>
      <c r="AE228" s="3">
        <v>339.411082015266</v>
      </c>
      <c r="AF228" s="2">
        <v>44631</v>
      </c>
      <c r="AG228" s="1">
        <v>61</v>
      </c>
      <c r="AH228" s="3">
        <v>5.0677618069815198</v>
      </c>
      <c r="AI228" s="4">
        <v>25.092228970019701</v>
      </c>
      <c r="AJ228" s="4">
        <v>16.583870967741898</v>
      </c>
      <c r="AK228" s="4">
        <v>19.9474206988214</v>
      </c>
      <c r="AL228" s="1">
        <v>31</v>
      </c>
      <c r="AM228" s="5">
        <v>913.34672444801402</v>
      </c>
      <c r="AN228" s="4">
        <v>238.36225344719901</v>
      </c>
      <c r="AO228" s="4">
        <v>0.26097674307777702</v>
      </c>
      <c r="AP228" s="1" t="s">
        <v>163</v>
      </c>
      <c r="AQ228" s="1" t="s">
        <v>254</v>
      </c>
      <c r="AR228" s="1" t="s">
        <v>282</v>
      </c>
      <c r="AS228" s="1">
        <v>9</v>
      </c>
      <c r="AT228" s="4">
        <v>0.82201205200321259</v>
      </c>
      <c r="AU228" s="1" t="s">
        <v>1181</v>
      </c>
      <c r="AV228" s="1" t="s">
        <v>1182</v>
      </c>
      <c r="AW228" s="1">
        <v>6979</v>
      </c>
      <c r="AX228" s="1">
        <v>3708</v>
      </c>
      <c r="AY228" s="1">
        <v>3096</v>
      </c>
      <c r="AZ228" s="1">
        <v>174</v>
      </c>
      <c r="BA228" s="1">
        <v>1</v>
      </c>
      <c r="BB228" s="1">
        <v>0</v>
      </c>
      <c r="BC228" s="1">
        <v>0</v>
      </c>
      <c r="BD228" s="1">
        <v>0</v>
      </c>
      <c r="BE228" s="1">
        <v>0</v>
      </c>
      <c r="BF228" s="1">
        <v>0</v>
      </c>
      <c r="BG228" s="1">
        <v>0</v>
      </c>
      <c r="BH228" s="4">
        <v>-0.999</v>
      </c>
      <c r="BI228" s="4">
        <v>29.636998999999999</v>
      </c>
      <c r="BJ228" s="4">
        <v>13.051717</v>
      </c>
      <c r="BK228" s="4">
        <v>-2.6429000000000001E-2</v>
      </c>
      <c r="BL228" s="4">
        <v>12.714527</v>
      </c>
      <c r="BM228" s="4">
        <v>161.659187</v>
      </c>
      <c r="BN228" s="4">
        <v>0.97416499999999995</v>
      </c>
      <c r="BO228" s="4">
        <v>25.786501000000001</v>
      </c>
      <c r="BP228" s="4">
        <v>-1.2810999999999999E-2</v>
      </c>
      <c r="BQ228" s="4">
        <v>1.0480769999999999</v>
      </c>
      <c r="BR228" s="4">
        <v>12.575850000000001</v>
      </c>
      <c r="BS228" s="4">
        <v>11.209999</v>
      </c>
      <c r="BT228" s="4">
        <v>16.660429000000001</v>
      </c>
      <c r="BU228" s="4">
        <v>13.051717</v>
      </c>
      <c r="BV228" s="4">
        <v>6.6344779999999997</v>
      </c>
      <c r="BW228" s="4">
        <v>0.155838</v>
      </c>
      <c r="BX228" s="4">
        <v>-1.4348270000000001</v>
      </c>
      <c r="BY228" s="4">
        <v>0.50832200000000005</v>
      </c>
      <c r="BZ228" s="4">
        <v>2.3488999999999999E-2</v>
      </c>
      <c r="CA228" s="4">
        <v>-0.21626799999999999</v>
      </c>
      <c r="CB228" s="4">
        <v>-0.40366000000000002</v>
      </c>
      <c r="CC228" s="4">
        <v>-0.19500000000000001</v>
      </c>
      <c r="CD228" s="4">
        <v>-0.1062</v>
      </c>
      <c r="CE228" s="4">
        <v>-1.4999999999999999E-2</v>
      </c>
      <c r="CF228" s="4">
        <v>2.4E-2</v>
      </c>
      <c r="CG228" s="4">
        <v>6.3399999999999998E-2</v>
      </c>
      <c r="CH228" s="4">
        <v>0.159</v>
      </c>
      <c r="CI228" s="4">
        <v>16.634001000000001</v>
      </c>
      <c r="CJ228" s="4">
        <v>24.354799</v>
      </c>
      <c r="CK228" s="4">
        <v>25.436399000000002</v>
      </c>
      <c r="CL228" s="4">
        <v>25.810500999999999</v>
      </c>
      <c r="CM228" s="4">
        <v>26.193999999999999</v>
      </c>
      <c r="CN228" s="4">
        <v>26.91</v>
      </c>
      <c r="CO228" s="4">
        <v>27.405100000000001</v>
      </c>
      <c r="CP228" s="4">
        <v>28.283321000000001</v>
      </c>
      <c r="CQ228" s="4">
        <v>0.45863399999999999</v>
      </c>
      <c r="CR228" s="4">
        <v>18.220410000000001</v>
      </c>
      <c r="CS228" s="4">
        <v>20.42896</v>
      </c>
      <c r="CT228" s="1">
        <v>1</v>
      </c>
      <c r="CU228" s="1">
        <v>64</v>
      </c>
      <c r="CV228" s="4">
        <v>16.409658</v>
      </c>
      <c r="CW228" s="4">
        <v>1</v>
      </c>
      <c r="CX228" s="4">
        <v>11.068624</v>
      </c>
      <c r="CY228" s="4">
        <v>122.514444</v>
      </c>
      <c r="CZ228" s="4">
        <v>0.67451899999999998</v>
      </c>
      <c r="DA228" s="4">
        <v>15</v>
      </c>
      <c r="DB228" s="4">
        <v>0.944739</v>
      </c>
      <c r="DC228" s="4">
        <v>4.178795</v>
      </c>
      <c r="DD228" s="4">
        <v>8.5587940000000007</v>
      </c>
      <c r="DE228" s="4">
        <v>16.409658</v>
      </c>
      <c r="DF228" s="4">
        <v>6.0382680000000004</v>
      </c>
      <c r="DG228" s="4">
        <v>0.83326999999999996</v>
      </c>
      <c r="DH228" s="4">
        <v>0.77240799999999998</v>
      </c>
      <c r="DI228" s="4">
        <v>0.36797000000000002</v>
      </c>
      <c r="DJ228" s="4">
        <v>0.13799800000000001</v>
      </c>
      <c r="DK228" s="4">
        <v>0.127919</v>
      </c>
      <c r="DL228" s="4">
        <v>1</v>
      </c>
      <c r="DM228" s="4">
        <v>2</v>
      </c>
      <c r="DN228" s="4">
        <v>3</v>
      </c>
      <c r="DO228" s="4">
        <v>6</v>
      </c>
      <c r="DP228" s="4">
        <v>7</v>
      </c>
      <c r="DQ228" s="4">
        <v>9</v>
      </c>
      <c r="DR228" s="4">
        <v>13</v>
      </c>
      <c r="DS228" s="4">
        <v>16</v>
      </c>
      <c r="DT228" s="4">
        <v>18.799804999999999</v>
      </c>
      <c r="DU228" s="4">
        <v>21</v>
      </c>
      <c r="DV228" s="4">
        <v>22</v>
      </c>
      <c r="DW228" s="4">
        <v>24</v>
      </c>
      <c r="DX228" s="4">
        <v>29</v>
      </c>
      <c r="DY228" s="4">
        <v>39</v>
      </c>
      <c r="DZ228" s="4">
        <v>51</v>
      </c>
      <c r="EA228" s="4">
        <v>93.635383000000004</v>
      </c>
      <c r="EB228" s="4">
        <v>52.314084999999999</v>
      </c>
      <c r="EC228" s="4">
        <v>98.462783000000002</v>
      </c>
      <c r="ED228" s="4">
        <v>3472</v>
      </c>
      <c r="EE228" s="4">
        <v>3651</v>
      </c>
      <c r="EF228" s="4">
        <v>92.961164999999994</v>
      </c>
      <c r="EG228" s="4">
        <v>99.946062999999995</v>
      </c>
      <c r="EH228" s="4">
        <v>50.637627000000002</v>
      </c>
      <c r="EI228" s="4">
        <v>81.358361000000002</v>
      </c>
      <c r="EJ228" s="4">
        <v>95.307443000000006</v>
      </c>
      <c r="EK228" s="4">
        <v>153.12837099999999</v>
      </c>
      <c r="EL228" s="4">
        <v>3447</v>
      </c>
      <c r="EM228" s="4">
        <v>3706</v>
      </c>
      <c r="EN228" s="4">
        <v>3534</v>
      </c>
      <c r="EO228" s="4">
        <v>5678</v>
      </c>
      <c r="EP228" s="4">
        <v>3708</v>
      </c>
      <c r="EQ228" s="4">
        <v>6979</v>
      </c>
      <c r="ER228" s="4">
        <v>45.247183</v>
      </c>
    </row>
    <row r="229" spans="1:148" x14ac:dyDescent="0.2">
      <c r="A229" s="1">
        <v>2022</v>
      </c>
      <c r="B229" s="1" t="str">
        <f t="shared" si="6"/>
        <v>GN</v>
      </c>
      <c r="C229" s="1" t="s">
        <v>1183</v>
      </c>
      <c r="D229" s="1" t="s">
        <v>1183</v>
      </c>
      <c r="E229" s="1">
        <v>25899</v>
      </c>
      <c r="F229" s="1" t="s">
        <v>2130</v>
      </c>
      <c r="G229" s="1" t="s">
        <v>1178</v>
      </c>
      <c r="H229" s="1" t="s">
        <v>1179</v>
      </c>
      <c r="I229" s="1">
        <v>44.64</v>
      </c>
      <c r="J229" s="1">
        <v>44.64</v>
      </c>
      <c r="K229" s="1" t="s">
        <v>266</v>
      </c>
      <c r="L229" s="1">
        <v>1</v>
      </c>
      <c r="M229" s="1">
        <v>2017</v>
      </c>
      <c r="N229" s="1">
        <v>3</v>
      </c>
      <c r="O229" s="1">
        <v>2</v>
      </c>
      <c r="P229" s="1" t="str">
        <f t="shared" si="7"/>
        <v>Talhadia</v>
      </c>
      <c r="Q229" s="2">
        <v>42780</v>
      </c>
      <c r="R229" s="1" t="s">
        <v>169</v>
      </c>
      <c r="S229" s="1" t="s">
        <v>163</v>
      </c>
      <c r="T229" s="1" t="s">
        <v>2268</v>
      </c>
      <c r="U229" s="1" t="s">
        <v>266</v>
      </c>
      <c r="V229" s="1" t="s">
        <v>152</v>
      </c>
      <c r="W229" s="2">
        <v>44631</v>
      </c>
      <c r="X229" s="1" t="s">
        <v>1180</v>
      </c>
      <c r="Y229" s="1">
        <v>171.51</v>
      </c>
      <c r="Z229" s="1">
        <v>19.2</v>
      </c>
      <c r="AA229" s="1">
        <v>9</v>
      </c>
      <c r="AB229" s="1">
        <v>14.2</v>
      </c>
      <c r="AC229" s="1">
        <v>0</v>
      </c>
      <c r="AD229" s="3">
        <v>272.64</v>
      </c>
      <c r="AE229" s="3">
        <v>269.28334917985802</v>
      </c>
      <c r="AF229" s="2">
        <v>44631</v>
      </c>
      <c r="AG229" s="1">
        <v>61</v>
      </c>
      <c r="AH229" s="3">
        <v>5.0677618069815198</v>
      </c>
      <c r="AI229" s="4">
        <v>26.898105950800399</v>
      </c>
      <c r="AJ229" s="4">
        <v>16.567741935483902</v>
      </c>
      <c r="AK229" s="4">
        <v>25.6249880351717</v>
      </c>
      <c r="AL229" s="1">
        <v>31</v>
      </c>
      <c r="AM229" s="5">
        <v>1151.2037448440501</v>
      </c>
      <c r="AN229" s="4">
        <v>332.92228870299198</v>
      </c>
      <c r="AO229" s="4">
        <v>0.28919493199537299</v>
      </c>
      <c r="AP229" s="1" t="s">
        <v>163</v>
      </c>
      <c r="AQ229" s="1" t="s">
        <v>254</v>
      </c>
      <c r="AR229" s="1" t="s">
        <v>282</v>
      </c>
      <c r="AS229" s="1">
        <v>9</v>
      </c>
      <c r="AT229" s="4">
        <v>1.036083370359645</v>
      </c>
      <c r="AU229" s="1" t="s">
        <v>1184</v>
      </c>
      <c r="AV229" s="1" t="s">
        <v>1185</v>
      </c>
      <c r="AW229" s="1">
        <v>4442</v>
      </c>
      <c r="AX229" s="1">
        <v>2565</v>
      </c>
      <c r="AY229" s="1">
        <v>1685</v>
      </c>
      <c r="AZ229" s="1">
        <v>185</v>
      </c>
      <c r="BA229" s="1">
        <v>7</v>
      </c>
      <c r="BB229" s="1">
        <v>0</v>
      </c>
      <c r="BC229" s="1">
        <v>0</v>
      </c>
      <c r="BD229" s="1">
        <v>0</v>
      </c>
      <c r="BE229" s="1">
        <v>0</v>
      </c>
      <c r="BF229" s="1">
        <v>0</v>
      </c>
      <c r="BG229" s="1">
        <v>0</v>
      </c>
      <c r="BH229" s="4">
        <v>-0.92900000000000005</v>
      </c>
      <c r="BI229" s="4">
        <v>30.562000000000001</v>
      </c>
      <c r="BJ229" s="4">
        <v>14.787974999999999</v>
      </c>
      <c r="BK229" s="4">
        <v>-0.429143</v>
      </c>
      <c r="BL229" s="4">
        <v>12.740912</v>
      </c>
      <c r="BM229" s="4">
        <v>162.330848</v>
      </c>
      <c r="BN229" s="4">
        <v>0.861572</v>
      </c>
      <c r="BO229" s="4">
        <v>26.617999000000001</v>
      </c>
      <c r="BP229" s="4">
        <v>-0.206819</v>
      </c>
      <c r="BQ229" s="4">
        <v>1.1457310000000001</v>
      </c>
      <c r="BR229" s="4">
        <v>12.312196</v>
      </c>
      <c r="BS229" s="4">
        <v>5.3994989999999996</v>
      </c>
      <c r="BT229" s="4">
        <v>23.899142999999999</v>
      </c>
      <c r="BU229" s="4">
        <v>14.787974999999999</v>
      </c>
      <c r="BV229" s="4">
        <v>6.761978</v>
      </c>
      <c r="BW229" s="4">
        <v>-0.45455200000000001</v>
      </c>
      <c r="BX229" s="4">
        <v>-1.3340890000000001</v>
      </c>
      <c r="BY229" s="4">
        <v>0.457262</v>
      </c>
      <c r="BZ229" s="4">
        <v>-6.7222000000000004E-2</v>
      </c>
      <c r="CA229" s="4">
        <v>-0.197293</v>
      </c>
      <c r="CB229" s="4">
        <v>-0.44518000000000002</v>
      </c>
      <c r="CC229" s="4">
        <v>-0.19395000000000001</v>
      </c>
      <c r="CD229" s="4">
        <v>-8.8999999999999996E-2</v>
      </c>
      <c r="CE229" s="4">
        <v>1.7999999999999999E-2</v>
      </c>
      <c r="CF229" s="4">
        <v>6.4000000000000001E-2</v>
      </c>
      <c r="CG229" s="4">
        <v>0.12</v>
      </c>
      <c r="CH229" s="4">
        <v>0.44</v>
      </c>
      <c r="CI229" s="4">
        <v>23.470001</v>
      </c>
      <c r="CJ229" s="4">
        <v>25.698999000000001</v>
      </c>
      <c r="CK229" s="4">
        <v>26.3964</v>
      </c>
      <c r="CL229" s="4">
        <v>26.681999000000001</v>
      </c>
      <c r="CM229" s="4">
        <v>26.960599999999999</v>
      </c>
      <c r="CN229" s="4">
        <v>27.721700999999999</v>
      </c>
      <c r="CO229" s="4">
        <v>28.404852000000002</v>
      </c>
      <c r="CP229" s="4">
        <v>29.554337</v>
      </c>
      <c r="CQ229" s="4">
        <v>0.49909399999999998</v>
      </c>
      <c r="CR229" s="4">
        <v>19.518671000000001</v>
      </c>
      <c r="CS229" s="4">
        <v>21.548829999999999</v>
      </c>
      <c r="CT229" s="1">
        <v>1</v>
      </c>
      <c r="CU229" s="1">
        <v>62</v>
      </c>
      <c r="CV229" s="4">
        <v>14.677172000000001</v>
      </c>
      <c r="CW229" s="4">
        <v>1</v>
      </c>
      <c r="CX229" s="4">
        <v>10.816197000000001</v>
      </c>
      <c r="CY229" s="4">
        <v>116.99010699999999</v>
      </c>
      <c r="CZ229" s="4">
        <v>0.73694000000000004</v>
      </c>
      <c r="DA229" s="4">
        <v>14</v>
      </c>
      <c r="DB229" s="4">
        <v>1.2562960000000001</v>
      </c>
      <c r="DC229" s="4">
        <v>5.0700950000000002</v>
      </c>
      <c r="DD229" s="4">
        <v>8.1633410000000008</v>
      </c>
      <c r="DE229" s="4">
        <v>14.677172000000001</v>
      </c>
      <c r="DF229" s="4">
        <v>5.7804140000000004</v>
      </c>
      <c r="DG229" s="4">
        <v>1.142333</v>
      </c>
      <c r="DH229" s="4">
        <v>0.83662999999999998</v>
      </c>
      <c r="DI229" s="4">
        <v>0.39383699999999999</v>
      </c>
      <c r="DJ229" s="4">
        <v>0.19762099999999999</v>
      </c>
      <c r="DK229" s="4">
        <v>0.144735</v>
      </c>
      <c r="DL229" s="4">
        <v>1</v>
      </c>
      <c r="DM229" s="4">
        <v>1</v>
      </c>
      <c r="DN229" s="4">
        <v>3</v>
      </c>
      <c r="DO229" s="4">
        <v>5</v>
      </c>
      <c r="DP229" s="4">
        <v>6</v>
      </c>
      <c r="DQ229" s="4">
        <v>8</v>
      </c>
      <c r="DR229" s="4">
        <v>11</v>
      </c>
      <c r="DS229" s="4">
        <v>13</v>
      </c>
      <c r="DT229" s="4">
        <v>16</v>
      </c>
      <c r="DU229" s="4">
        <v>18</v>
      </c>
      <c r="DV229" s="4">
        <v>20</v>
      </c>
      <c r="DW229" s="4">
        <v>22</v>
      </c>
      <c r="DX229" s="4">
        <v>28</v>
      </c>
      <c r="DY229" s="4">
        <v>36</v>
      </c>
      <c r="DZ229" s="4">
        <v>52</v>
      </c>
      <c r="EA229" s="4">
        <v>92.397660999999999</v>
      </c>
      <c r="EB229" s="4">
        <v>59.702837000000002</v>
      </c>
      <c r="EC229" s="4">
        <v>103.391813</v>
      </c>
      <c r="ED229" s="4">
        <v>2370</v>
      </c>
      <c r="EE229" s="4">
        <v>2652</v>
      </c>
      <c r="EF229" s="4">
        <v>90.292398000000006</v>
      </c>
      <c r="EG229" s="4">
        <v>100</v>
      </c>
      <c r="EH229" s="4">
        <v>54.795136999999997</v>
      </c>
      <c r="EI229" s="4">
        <v>98.851868999999994</v>
      </c>
      <c r="EJ229" s="4">
        <v>94.892787999999996</v>
      </c>
      <c r="EK229" s="4">
        <v>171.18908400000001</v>
      </c>
      <c r="EL229" s="4">
        <v>2316</v>
      </c>
      <c r="EM229" s="4">
        <v>2565</v>
      </c>
      <c r="EN229" s="4">
        <v>2434</v>
      </c>
      <c r="EO229" s="4">
        <v>4391</v>
      </c>
      <c r="EP229" s="4">
        <v>2565</v>
      </c>
      <c r="EQ229" s="4">
        <v>4442</v>
      </c>
      <c r="ER229" s="4">
        <v>49.107421000000002</v>
      </c>
    </row>
    <row r="230" spans="1:148" x14ac:dyDescent="0.2">
      <c r="A230" s="1">
        <v>2022</v>
      </c>
      <c r="B230" s="1" t="str">
        <f t="shared" si="6"/>
        <v>GN</v>
      </c>
      <c r="C230" s="1" t="s">
        <v>1186</v>
      </c>
      <c r="D230" s="1" t="s">
        <v>1186</v>
      </c>
      <c r="E230" s="1">
        <v>25902</v>
      </c>
      <c r="F230" s="1" t="s">
        <v>2130</v>
      </c>
      <c r="G230" s="1" t="s">
        <v>1178</v>
      </c>
      <c r="H230" s="1" t="s">
        <v>1179</v>
      </c>
      <c r="I230" s="1">
        <v>44.64</v>
      </c>
      <c r="J230" s="1">
        <v>44.64</v>
      </c>
      <c r="K230" s="1" t="s">
        <v>266</v>
      </c>
      <c r="L230" s="1">
        <v>1</v>
      </c>
      <c r="M230" s="1">
        <v>2017</v>
      </c>
      <c r="N230" s="1">
        <v>3</v>
      </c>
      <c r="O230" s="1">
        <v>2</v>
      </c>
      <c r="P230" s="1" t="str">
        <f t="shared" si="7"/>
        <v>Talhadia</v>
      </c>
      <c r="Q230" s="2">
        <v>42780</v>
      </c>
      <c r="R230" s="1" t="s">
        <v>169</v>
      </c>
      <c r="S230" s="1" t="s">
        <v>163</v>
      </c>
      <c r="T230" s="1" t="s">
        <v>2268</v>
      </c>
      <c r="U230" s="1" t="s">
        <v>266</v>
      </c>
      <c r="V230" s="1" t="s">
        <v>152</v>
      </c>
      <c r="W230" s="2">
        <v>44631</v>
      </c>
      <c r="X230" s="1" t="s">
        <v>1180</v>
      </c>
      <c r="Y230" s="1">
        <v>171.51</v>
      </c>
      <c r="Z230" s="1">
        <v>20</v>
      </c>
      <c r="AA230" s="1">
        <v>11</v>
      </c>
      <c r="AB230" s="1">
        <v>14.9</v>
      </c>
      <c r="AC230" s="1">
        <v>4</v>
      </c>
      <c r="AD230" s="3">
        <v>298</v>
      </c>
      <c r="AE230" s="3">
        <v>291.81232471162798</v>
      </c>
      <c r="AF230" s="2">
        <v>44631</v>
      </c>
      <c r="AG230" s="1">
        <v>61</v>
      </c>
      <c r="AH230" s="3">
        <v>5.0677618069815198</v>
      </c>
      <c r="AI230" s="4">
        <v>25.226139893828201</v>
      </c>
      <c r="AJ230" s="4">
        <v>17.196551724137901</v>
      </c>
      <c r="AK230" s="4">
        <v>23.795671084077199</v>
      </c>
      <c r="AL230" s="1">
        <v>29</v>
      </c>
      <c r="AM230" s="5">
        <v>993.78941683351104</v>
      </c>
      <c r="AN230" s="4">
        <v>291.07832834442502</v>
      </c>
      <c r="AO230" s="4">
        <v>0.29289739195641801</v>
      </c>
      <c r="AP230" s="1" t="s">
        <v>163</v>
      </c>
      <c r="AQ230" s="1" t="s">
        <v>254</v>
      </c>
      <c r="AR230" s="1" t="s">
        <v>282</v>
      </c>
      <c r="AS230" s="1">
        <v>9</v>
      </c>
      <c r="AT230" s="4">
        <v>0.89441047515015992</v>
      </c>
      <c r="AU230" s="1" t="s">
        <v>1187</v>
      </c>
      <c r="AV230" s="1" t="s">
        <v>1188</v>
      </c>
      <c r="AW230" s="1">
        <v>3152</v>
      </c>
      <c r="AX230" s="1">
        <v>1821</v>
      </c>
      <c r="AY230" s="1">
        <v>1311</v>
      </c>
      <c r="AZ230" s="1">
        <v>20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0</v>
      </c>
      <c r="BG230" s="1">
        <v>0</v>
      </c>
      <c r="BH230" s="4">
        <v>-0.94599999999999995</v>
      </c>
      <c r="BI230" s="4">
        <v>30.084</v>
      </c>
      <c r="BJ230" s="4">
        <v>14.360433</v>
      </c>
      <c r="BK230" s="4">
        <v>-0.45345999999999997</v>
      </c>
      <c r="BL230" s="4">
        <v>13.268278</v>
      </c>
      <c r="BM230" s="4">
        <v>176.04720599999999</v>
      </c>
      <c r="BN230" s="4">
        <v>0.92394699999999996</v>
      </c>
      <c r="BO230" s="4">
        <v>26.722000000000001</v>
      </c>
      <c r="BP230" s="4">
        <v>-0.14186099999999999</v>
      </c>
      <c r="BQ230" s="4">
        <v>1.043542</v>
      </c>
      <c r="BR230" s="4">
        <v>13.175979999999999</v>
      </c>
      <c r="BS230" s="4">
        <v>3.746499</v>
      </c>
      <c r="BT230" s="4">
        <v>25.146961000000001</v>
      </c>
      <c r="BU230" s="4">
        <v>14.360433</v>
      </c>
      <c r="BV230" s="4">
        <v>6.8409430000000002</v>
      </c>
      <c r="BW230" s="4">
        <v>-0.27149499999999999</v>
      </c>
      <c r="BX230" s="4">
        <v>-1.472577</v>
      </c>
      <c r="BY230" s="4">
        <v>0.47637400000000002</v>
      </c>
      <c r="BZ230" s="4">
        <v>-3.9687E-2</v>
      </c>
      <c r="CA230" s="4">
        <v>-0.21525900000000001</v>
      </c>
      <c r="CB230" s="4">
        <v>-0.44441000000000003</v>
      </c>
      <c r="CC230" s="4">
        <v>-0.19800000000000001</v>
      </c>
      <c r="CD230" s="4">
        <v>-0.105</v>
      </c>
      <c r="CE230" s="4">
        <v>1E-3</v>
      </c>
      <c r="CF230" s="4">
        <v>4.2000000000000003E-2</v>
      </c>
      <c r="CG230" s="4">
        <v>8.3299999999999999E-2</v>
      </c>
      <c r="CH230" s="4">
        <v>0.19339999999999999</v>
      </c>
      <c r="CI230" s="4">
        <v>24.693501000000001</v>
      </c>
      <c r="CJ230" s="4">
        <v>25.834</v>
      </c>
      <c r="CK230" s="4">
        <v>26.507401000000002</v>
      </c>
      <c r="CL230" s="4">
        <v>26.763999999999999</v>
      </c>
      <c r="CM230" s="4">
        <v>27.0578</v>
      </c>
      <c r="CN230" s="4">
        <v>27.801000999999999</v>
      </c>
      <c r="CO230" s="4">
        <v>28.277799999999999</v>
      </c>
      <c r="CP230" s="4">
        <v>29.027920000000002</v>
      </c>
      <c r="CQ230" s="4">
        <v>0.49327900000000002</v>
      </c>
      <c r="CR230" s="4">
        <v>19.550277999999999</v>
      </c>
      <c r="CS230" s="4">
        <v>21.695605</v>
      </c>
      <c r="CT230" s="1">
        <v>1</v>
      </c>
      <c r="CU230" s="1">
        <v>53</v>
      </c>
      <c r="CV230" s="4">
        <v>14.452728</v>
      </c>
      <c r="CW230" s="4">
        <v>1</v>
      </c>
      <c r="CX230" s="4">
        <v>9.8262429999999998</v>
      </c>
      <c r="CY230" s="4">
        <v>96.555047999999999</v>
      </c>
      <c r="CZ230" s="4">
        <v>0.67988800000000005</v>
      </c>
      <c r="DA230" s="4">
        <v>12</v>
      </c>
      <c r="DB230" s="4">
        <v>0.93526500000000001</v>
      </c>
      <c r="DC230" s="4">
        <v>3.897526</v>
      </c>
      <c r="DD230" s="4">
        <v>7.4903979999999999</v>
      </c>
      <c r="DE230" s="4">
        <v>14.452728</v>
      </c>
      <c r="DF230" s="4">
        <v>5.3596589999999997</v>
      </c>
      <c r="DG230" s="4">
        <v>0.823299</v>
      </c>
      <c r="DH230" s="4">
        <v>0.75156500000000004</v>
      </c>
      <c r="DI230" s="4">
        <v>0.37084099999999998</v>
      </c>
      <c r="DJ230" s="4">
        <v>0.15361</v>
      </c>
      <c r="DK230" s="4">
        <v>0.14022599999999999</v>
      </c>
      <c r="DL230" s="4">
        <v>1</v>
      </c>
      <c r="DM230" s="4">
        <v>1</v>
      </c>
      <c r="DN230" s="4">
        <v>3</v>
      </c>
      <c r="DO230" s="4">
        <v>5</v>
      </c>
      <c r="DP230" s="4">
        <v>7</v>
      </c>
      <c r="DQ230" s="4">
        <v>9</v>
      </c>
      <c r="DR230" s="4">
        <v>12</v>
      </c>
      <c r="DS230" s="4">
        <v>14</v>
      </c>
      <c r="DT230" s="4">
        <v>16</v>
      </c>
      <c r="DU230" s="4">
        <v>18</v>
      </c>
      <c r="DV230" s="4">
        <v>19</v>
      </c>
      <c r="DW230" s="4">
        <v>21</v>
      </c>
      <c r="DX230" s="4">
        <v>27</v>
      </c>
      <c r="DY230" s="4">
        <v>36</v>
      </c>
      <c r="DZ230" s="4">
        <v>44</v>
      </c>
      <c r="EA230" s="4">
        <v>92.696320999999998</v>
      </c>
      <c r="EB230" s="4">
        <v>54.282995</v>
      </c>
      <c r="EC230" s="4">
        <v>93.959362999999996</v>
      </c>
      <c r="ED230" s="4">
        <v>1688</v>
      </c>
      <c r="EE230" s="4">
        <v>1711</v>
      </c>
      <c r="EF230" s="4">
        <v>92.586490999999995</v>
      </c>
      <c r="EG230" s="4">
        <v>100</v>
      </c>
      <c r="EH230" s="4">
        <v>53.902284000000002</v>
      </c>
      <c r="EI230" s="4">
        <v>99.079948999999999</v>
      </c>
      <c r="EJ230" s="4">
        <v>93.300383999999994</v>
      </c>
      <c r="EK230" s="4">
        <v>171.49917600000001</v>
      </c>
      <c r="EL230" s="4">
        <v>1686</v>
      </c>
      <c r="EM230" s="4">
        <v>1821</v>
      </c>
      <c r="EN230" s="4">
        <v>1699</v>
      </c>
      <c r="EO230" s="4">
        <v>3123</v>
      </c>
      <c r="EP230" s="4">
        <v>1821</v>
      </c>
      <c r="EQ230" s="4">
        <v>3152</v>
      </c>
      <c r="ER230" s="4">
        <v>48.462224999999997</v>
      </c>
    </row>
    <row r="231" spans="1:148" x14ac:dyDescent="0.2">
      <c r="A231" s="1">
        <v>2022</v>
      </c>
      <c r="B231" s="1" t="str">
        <f t="shared" si="6"/>
        <v>NE</v>
      </c>
      <c r="C231" s="1" t="s">
        <v>1189</v>
      </c>
      <c r="D231" s="1" t="s">
        <v>1189</v>
      </c>
      <c r="E231" s="1">
        <v>25967</v>
      </c>
      <c r="F231" s="1" t="s">
        <v>2131</v>
      </c>
      <c r="G231" s="1" t="s">
        <v>1190</v>
      </c>
      <c r="H231" s="1" t="s">
        <v>1191</v>
      </c>
      <c r="I231" s="1">
        <v>31.16</v>
      </c>
      <c r="J231" s="1">
        <v>31.16</v>
      </c>
      <c r="K231" s="1" t="s">
        <v>434</v>
      </c>
      <c r="L231" s="1">
        <v>1</v>
      </c>
      <c r="M231" s="1">
        <v>2018</v>
      </c>
      <c r="N231" s="1">
        <v>3</v>
      </c>
      <c r="O231" s="1">
        <v>1</v>
      </c>
      <c r="P231" s="1" t="str">
        <f t="shared" si="7"/>
        <v>Alto fuste</v>
      </c>
      <c r="Q231" s="2">
        <v>43151</v>
      </c>
      <c r="R231" s="1" t="s">
        <v>169</v>
      </c>
      <c r="S231" s="1" t="s">
        <v>442</v>
      </c>
      <c r="T231" s="1" t="s">
        <v>2268</v>
      </c>
      <c r="U231" s="1" t="s">
        <v>151</v>
      </c>
      <c r="V231" s="1" t="s">
        <v>152</v>
      </c>
      <c r="W231" s="2">
        <v>44741</v>
      </c>
      <c r="X231" s="1" t="s">
        <v>1192</v>
      </c>
      <c r="Y231" s="1">
        <v>449.8</v>
      </c>
      <c r="Z231" s="1">
        <v>21.4</v>
      </c>
      <c r="AA231" s="1">
        <v>20</v>
      </c>
      <c r="AB231" s="1">
        <v>15</v>
      </c>
      <c r="AC231" s="1">
        <v>1</v>
      </c>
      <c r="AD231" s="3">
        <v>321</v>
      </c>
      <c r="AE231" s="3">
        <v>301.59538983649099</v>
      </c>
      <c r="AF231" s="2">
        <v>44741</v>
      </c>
      <c r="AG231" s="1">
        <v>52</v>
      </c>
      <c r="AH231" s="3">
        <v>4.3531827515400403</v>
      </c>
      <c r="AI231" s="4">
        <v>22.866182006113501</v>
      </c>
      <c r="AJ231" s="4">
        <v>16.261290322580599</v>
      </c>
      <c r="AK231" s="4">
        <v>21.720523432948099</v>
      </c>
      <c r="AL231" s="1">
        <v>31</v>
      </c>
      <c r="AM231" s="5">
        <v>1027.8671705428401</v>
      </c>
      <c r="AN231" s="4">
        <v>222.61142065625199</v>
      </c>
      <c r="AO231" s="4">
        <v>0.216576058693153</v>
      </c>
      <c r="AP231" s="1" t="s">
        <v>442</v>
      </c>
      <c r="AQ231" s="1" t="s">
        <v>156</v>
      </c>
      <c r="AR231" s="1" t="s">
        <v>1195</v>
      </c>
      <c r="AS231" s="1">
        <v>9</v>
      </c>
      <c r="AT231" s="4">
        <v>0.92508045348855605</v>
      </c>
      <c r="AU231" s="1" t="s">
        <v>1193</v>
      </c>
      <c r="AV231" s="1" t="s">
        <v>1194</v>
      </c>
      <c r="AW231" s="1">
        <v>4880</v>
      </c>
      <c r="AX231" s="1">
        <v>2909</v>
      </c>
      <c r="AY231" s="1">
        <v>1878</v>
      </c>
      <c r="AZ231" s="1">
        <v>91</v>
      </c>
      <c r="BA231" s="1">
        <v>2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4">
        <v>-1.252</v>
      </c>
      <c r="BI231" s="4">
        <v>27.888000000000002</v>
      </c>
      <c r="BJ231" s="4">
        <v>11.412088000000001</v>
      </c>
      <c r="BK231" s="4">
        <v>-0.32692100000000002</v>
      </c>
      <c r="BL231" s="4">
        <v>12.255169</v>
      </c>
      <c r="BM231" s="4">
        <v>150.18916999999999</v>
      </c>
      <c r="BN231" s="4">
        <v>1.0738760000000001</v>
      </c>
      <c r="BO231" s="4">
        <v>25.137499999999999</v>
      </c>
      <c r="BP231" s="4">
        <v>0.20891899999999999</v>
      </c>
      <c r="BQ231" s="4">
        <v>1.111872</v>
      </c>
      <c r="BR231" s="4">
        <v>11.952107</v>
      </c>
      <c r="BS231" s="4">
        <v>0.66100000000000003</v>
      </c>
      <c r="BT231" s="4">
        <v>0.63792099999999996</v>
      </c>
      <c r="BU231" s="4">
        <v>11.412088000000001</v>
      </c>
      <c r="BV231" s="4">
        <v>6.3838499999999998</v>
      </c>
      <c r="BW231" s="4">
        <v>0.75777899999999998</v>
      </c>
      <c r="BX231" s="4">
        <v>-1.3199730000000001</v>
      </c>
      <c r="BY231" s="4">
        <v>0.55939399999999995</v>
      </c>
      <c r="BZ231" s="4">
        <v>0.118702</v>
      </c>
      <c r="CA231" s="4">
        <v>-0.20676800000000001</v>
      </c>
      <c r="CB231" s="4">
        <v>-0.42199999999999999</v>
      </c>
      <c r="CC231" s="4">
        <v>-0.21199999999999999</v>
      </c>
      <c r="CD231" s="4">
        <v>-0.1241</v>
      </c>
      <c r="CE231" s="4">
        <v>-0.03</v>
      </c>
      <c r="CF231" s="4">
        <v>8.9999999999999993E-3</v>
      </c>
      <c r="CG231" s="4">
        <v>0.05</v>
      </c>
      <c r="CH231" s="4">
        <v>0.14399999999999999</v>
      </c>
      <c r="CI231" s="4">
        <v>0.311</v>
      </c>
      <c r="CJ231" s="4">
        <v>23.413799000000001</v>
      </c>
      <c r="CK231" s="4">
        <v>24.7666</v>
      </c>
      <c r="CL231" s="4">
        <v>25.1465</v>
      </c>
      <c r="CM231" s="4">
        <v>25.495201000000002</v>
      </c>
      <c r="CN231" s="4">
        <v>26.134001000000001</v>
      </c>
      <c r="CO231" s="4">
        <v>26.542048999999999</v>
      </c>
      <c r="CP231" s="4">
        <v>27.105</v>
      </c>
      <c r="CQ231" s="4">
        <v>0.43459500000000001</v>
      </c>
      <c r="CR231" s="4">
        <v>16.744973999999999</v>
      </c>
      <c r="CS231" s="4">
        <v>19.139849000000002</v>
      </c>
      <c r="CT231" s="1">
        <v>1</v>
      </c>
      <c r="CU231" s="1">
        <v>52</v>
      </c>
      <c r="CV231" s="4">
        <v>14.859016</v>
      </c>
      <c r="CW231" s="4">
        <v>1</v>
      </c>
      <c r="CX231" s="4">
        <v>11.129517999999999</v>
      </c>
      <c r="CY231" s="4">
        <v>123.866162</v>
      </c>
      <c r="CZ231" s="4">
        <v>0.74900800000000001</v>
      </c>
      <c r="DA231" s="4">
        <v>15</v>
      </c>
      <c r="DB231" s="4">
        <v>0.80919700000000006</v>
      </c>
      <c r="DC231" s="4">
        <v>2.8969909999999999</v>
      </c>
      <c r="DD231" s="4">
        <v>8.9956600000000009</v>
      </c>
      <c r="DE231" s="4">
        <v>14.859016</v>
      </c>
      <c r="DF231" s="4">
        <v>6.1752649999999996</v>
      </c>
      <c r="DG231" s="4">
        <v>1.186207</v>
      </c>
      <c r="DH231" s="4">
        <v>0.49035600000000001</v>
      </c>
      <c r="DI231" s="4">
        <v>0.41559000000000001</v>
      </c>
      <c r="DJ231" s="4">
        <v>0.19209000000000001</v>
      </c>
      <c r="DK231" s="4">
        <v>7.9406000000000004E-2</v>
      </c>
      <c r="DL231" s="4">
        <v>1</v>
      </c>
      <c r="DM231" s="4">
        <v>1</v>
      </c>
      <c r="DN231" s="4">
        <v>2</v>
      </c>
      <c r="DO231" s="4">
        <v>4</v>
      </c>
      <c r="DP231" s="4">
        <v>6</v>
      </c>
      <c r="DQ231" s="4">
        <v>7</v>
      </c>
      <c r="DR231" s="4">
        <v>10</v>
      </c>
      <c r="DS231" s="4">
        <v>13</v>
      </c>
      <c r="DT231" s="4">
        <v>16</v>
      </c>
      <c r="DU231" s="4">
        <v>19</v>
      </c>
      <c r="DV231" s="4">
        <v>21</v>
      </c>
      <c r="DW231" s="4">
        <v>24</v>
      </c>
      <c r="DX231" s="4">
        <v>32</v>
      </c>
      <c r="DY231" s="4">
        <v>38</v>
      </c>
      <c r="DZ231" s="4">
        <v>43</v>
      </c>
      <c r="EA231" s="4">
        <v>77.380543000000003</v>
      </c>
      <c r="EB231" s="4">
        <v>48.094262000000001</v>
      </c>
      <c r="EC231" s="4">
        <v>80.680645999999996</v>
      </c>
      <c r="ED231" s="4">
        <v>2251</v>
      </c>
      <c r="EE231" s="4">
        <v>2347</v>
      </c>
      <c r="EF231" s="4">
        <v>75.214849999999998</v>
      </c>
      <c r="EG231" s="4">
        <v>100</v>
      </c>
      <c r="EH231" s="4">
        <v>45.696720999999997</v>
      </c>
      <c r="EI231" s="4">
        <v>97.745902000000001</v>
      </c>
      <c r="EJ231" s="4">
        <v>76.658646000000005</v>
      </c>
      <c r="EK231" s="4">
        <v>163.973874</v>
      </c>
      <c r="EL231" s="4">
        <v>2188</v>
      </c>
      <c r="EM231" s="4">
        <v>2909</v>
      </c>
      <c r="EN231" s="4">
        <v>2230</v>
      </c>
      <c r="EO231" s="4">
        <v>4770</v>
      </c>
      <c r="EP231" s="4">
        <v>2909</v>
      </c>
      <c r="EQ231" s="4">
        <v>4880</v>
      </c>
      <c r="ER231" s="4">
        <v>41.186902000000003</v>
      </c>
    </row>
    <row r="232" spans="1:148" x14ac:dyDescent="0.2">
      <c r="A232" s="1">
        <v>2022</v>
      </c>
      <c r="B232" s="1" t="str">
        <f t="shared" si="6"/>
        <v>NE</v>
      </c>
      <c r="C232" s="1" t="s">
        <v>1196</v>
      </c>
      <c r="D232" s="1" t="s">
        <v>1196</v>
      </c>
      <c r="E232" s="1">
        <v>25968</v>
      </c>
      <c r="F232" s="1" t="s">
        <v>2131</v>
      </c>
      <c r="G232" s="1" t="s">
        <v>1190</v>
      </c>
      <c r="H232" s="1" t="s">
        <v>1191</v>
      </c>
      <c r="I232" s="1">
        <v>31.16</v>
      </c>
      <c r="J232" s="1">
        <v>31.16</v>
      </c>
      <c r="K232" s="1" t="s">
        <v>434</v>
      </c>
      <c r="L232" s="1">
        <v>1</v>
      </c>
      <c r="M232" s="1">
        <v>2018</v>
      </c>
      <c r="N232" s="1">
        <v>3</v>
      </c>
      <c r="O232" s="1">
        <v>1</v>
      </c>
      <c r="P232" s="1" t="str">
        <f t="shared" si="7"/>
        <v>Alto fuste</v>
      </c>
      <c r="Q232" s="2">
        <v>43151</v>
      </c>
      <c r="R232" s="1" t="s">
        <v>169</v>
      </c>
      <c r="S232" s="1" t="s">
        <v>442</v>
      </c>
      <c r="T232" s="1" t="s">
        <v>2268</v>
      </c>
      <c r="U232" s="1" t="s">
        <v>151</v>
      </c>
      <c r="V232" s="1" t="s">
        <v>152</v>
      </c>
      <c r="W232" s="2">
        <v>44741</v>
      </c>
      <c r="X232" s="1" t="s">
        <v>1192</v>
      </c>
      <c r="Y232" s="1">
        <v>449.8</v>
      </c>
      <c r="Z232" s="1">
        <v>20.2</v>
      </c>
      <c r="AA232" s="1">
        <v>26</v>
      </c>
      <c r="AB232" s="1">
        <v>15.4</v>
      </c>
      <c r="AC232" s="1">
        <v>2</v>
      </c>
      <c r="AD232" s="3">
        <v>311.08</v>
      </c>
      <c r="AE232" s="3">
        <v>279.42652907500798</v>
      </c>
      <c r="AF232" s="2">
        <v>44741</v>
      </c>
      <c r="AG232" s="1">
        <v>52</v>
      </c>
      <c r="AH232" s="3">
        <v>4.3531827515400403</v>
      </c>
      <c r="AI232" s="4">
        <v>25.824404385359401</v>
      </c>
      <c r="AJ232" s="4">
        <v>14.922857142857101</v>
      </c>
      <c r="AK232" s="4">
        <v>22.2796641729974</v>
      </c>
      <c r="AL232" s="1">
        <v>35</v>
      </c>
      <c r="AM232" s="5">
        <v>1252.5653922647</v>
      </c>
      <c r="AN232" s="4">
        <v>256.15828667225901</v>
      </c>
      <c r="AO232" s="4">
        <v>0.204506916967515</v>
      </c>
      <c r="AP232" s="1" t="s">
        <v>442</v>
      </c>
      <c r="AQ232" s="1" t="s">
        <v>156</v>
      </c>
      <c r="AR232" s="1" t="s">
        <v>1195</v>
      </c>
      <c r="AS232" s="1">
        <v>9</v>
      </c>
      <c r="AT232" s="4">
        <v>1.12730885303823</v>
      </c>
      <c r="AU232" s="1" t="s">
        <v>1197</v>
      </c>
      <c r="AV232" s="1" t="s">
        <v>1198</v>
      </c>
      <c r="AW232" s="1">
        <v>4797</v>
      </c>
      <c r="AX232" s="1">
        <v>2761</v>
      </c>
      <c r="AY232" s="1">
        <v>1865</v>
      </c>
      <c r="AZ232" s="1">
        <v>167</v>
      </c>
      <c r="BA232" s="1">
        <v>4</v>
      </c>
      <c r="BB232" s="1">
        <v>0</v>
      </c>
      <c r="BC232" s="1">
        <v>0</v>
      </c>
      <c r="BD232" s="1">
        <v>0</v>
      </c>
      <c r="BE232" s="1">
        <v>0</v>
      </c>
      <c r="BF232" s="1">
        <v>0</v>
      </c>
      <c r="BG232" s="1">
        <v>0</v>
      </c>
      <c r="BH232" s="4">
        <v>-1.1020000000000001</v>
      </c>
      <c r="BI232" s="4">
        <v>27.322001</v>
      </c>
      <c r="BJ232" s="4">
        <v>13.080007999999999</v>
      </c>
      <c r="BK232" s="4">
        <v>-0.199651</v>
      </c>
      <c r="BL232" s="4">
        <v>11.724536000000001</v>
      </c>
      <c r="BM232" s="4">
        <v>137.464733</v>
      </c>
      <c r="BN232" s="4">
        <v>0.89637100000000003</v>
      </c>
      <c r="BO232" s="4">
        <v>24.25</v>
      </c>
      <c r="BP232" s="4">
        <v>-0.144705</v>
      </c>
      <c r="BQ232" s="4">
        <v>1.089391</v>
      </c>
      <c r="BR232" s="4">
        <v>11.495463000000001</v>
      </c>
      <c r="BS232" s="4">
        <v>4.851</v>
      </c>
      <c r="BT232" s="4">
        <v>21.299651999999998</v>
      </c>
      <c r="BU232" s="4">
        <v>13.080007999999999</v>
      </c>
      <c r="BV232" s="4">
        <v>6.1749289999999997</v>
      </c>
      <c r="BW232" s="4">
        <v>-0.27208399999999999</v>
      </c>
      <c r="BX232" s="4">
        <v>-1.296122</v>
      </c>
      <c r="BY232" s="4">
        <v>0.47208899999999998</v>
      </c>
      <c r="BZ232" s="4">
        <v>-4.4062999999999998E-2</v>
      </c>
      <c r="CA232" s="4">
        <v>-0.209901</v>
      </c>
      <c r="CB232" s="4">
        <v>-0.39707999999999999</v>
      </c>
      <c r="CC232" s="4">
        <v>-0.19020000000000001</v>
      </c>
      <c r="CD232" s="4">
        <v>-0.105</v>
      </c>
      <c r="CE232" s="4">
        <v>1.2E-2</v>
      </c>
      <c r="CF232" s="4">
        <v>5.8999999999999997E-2</v>
      </c>
      <c r="CG232" s="4">
        <v>0.123</v>
      </c>
      <c r="CH232" s="4">
        <v>0.41460000000000002</v>
      </c>
      <c r="CI232" s="4">
        <v>21.1</v>
      </c>
      <c r="CJ232" s="4">
        <v>23.240998999999999</v>
      </c>
      <c r="CK232" s="4">
        <v>24.009599999999999</v>
      </c>
      <c r="CL232" s="4">
        <v>24.309000000000001</v>
      </c>
      <c r="CM232" s="4">
        <v>24.589001</v>
      </c>
      <c r="CN232" s="4">
        <v>25.174999</v>
      </c>
      <c r="CO232" s="4">
        <v>25.589200999999999</v>
      </c>
      <c r="CP232" s="4">
        <v>26.37904</v>
      </c>
      <c r="CQ232" s="4">
        <v>0.49894500000000003</v>
      </c>
      <c r="CR232" s="4">
        <v>17.564813999999998</v>
      </c>
      <c r="CS232" s="4">
        <v>19.484870000000001</v>
      </c>
      <c r="CT232" s="1">
        <v>1</v>
      </c>
      <c r="CU232" s="1">
        <v>48</v>
      </c>
      <c r="CV232" s="4">
        <v>11.348343</v>
      </c>
      <c r="CW232" s="4">
        <v>1</v>
      </c>
      <c r="CX232" s="4">
        <v>8.1300279999999994</v>
      </c>
      <c r="CY232" s="4">
        <v>66.097356000000005</v>
      </c>
      <c r="CZ232" s="4">
        <v>0.71640700000000002</v>
      </c>
      <c r="DA232" s="4">
        <v>11</v>
      </c>
      <c r="DB232" s="4">
        <v>0.99235799999999996</v>
      </c>
      <c r="DC232" s="4">
        <v>3.9293629999999999</v>
      </c>
      <c r="DD232" s="4">
        <v>6.4530260000000004</v>
      </c>
      <c r="DE232" s="4">
        <v>11.348343</v>
      </c>
      <c r="DF232" s="4">
        <v>4.4526779999999997</v>
      </c>
      <c r="DG232" s="4">
        <v>0.83603400000000005</v>
      </c>
      <c r="DH232" s="4">
        <v>0.46289000000000002</v>
      </c>
      <c r="DI232" s="4">
        <v>0.39236399999999999</v>
      </c>
      <c r="DJ232" s="4">
        <v>0.18776000000000001</v>
      </c>
      <c r="DK232" s="4">
        <v>0.10395799999999999</v>
      </c>
      <c r="DL232" s="4">
        <v>1</v>
      </c>
      <c r="DM232" s="4">
        <v>1</v>
      </c>
      <c r="DN232" s="4">
        <v>2</v>
      </c>
      <c r="DO232" s="4">
        <v>4</v>
      </c>
      <c r="DP232" s="4">
        <v>5</v>
      </c>
      <c r="DQ232" s="4">
        <v>6</v>
      </c>
      <c r="DR232" s="4">
        <v>8</v>
      </c>
      <c r="DS232" s="4">
        <v>10</v>
      </c>
      <c r="DT232" s="4">
        <v>12</v>
      </c>
      <c r="DU232" s="4">
        <v>15</v>
      </c>
      <c r="DV232" s="4">
        <v>16</v>
      </c>
      <c r="DW232" s="4">
        <v>17</v>
      </c>
      <c r="DX232" s="4">
        <v>22</v>
      </c>
      <c r="DY232" s="4">
        <v>27</v>
      </c>
      <c r="DZ232" s="4">
        <v>36</v>
      </c>
      <c r="EA232" s="4">
        <v>91.090185000000005</v>
      </c>
      <c r="EB232" s="4">
        <v>57.264957000000003</v>
      </c>
      <c r="EC232" s="4">
        <v>99.492936999999998</v>
      </c>
      <c r="ED232" s="4">
        <v>2515</v>
      </c>
      <c r="EE232" s="4">
        <v>2747</v>
      </c>
      <c r="EF232" s="4">
        <v>88.409996000000007</v>
      </c>
      <c r="EG232" s="4">
        <v>100</v>
      </c>
      <c r="EH232" s="4">
        <v>53.616844</v>
      </c>
      <c r="EI232" s="4">
        <v>95.372107999999997</v>
      </c>
      <c r="EJ232" s="4">
        <v>93.154653999999994</v>
      </c>
      <c r="EK232" s="4">
        <v>165.70083299999999</v>
      </c>
      <c r="EL232" s="4">
        <v>2441</v>
      </c>
      <c r="EM232" s="4">
        <v>2761</v>
      </c>
      <c r="EN232" s="4">
        <v>2572</v>
      </c>
      <c r="EO232" s="4">
        <v>4575</v>
      </c>
      <c r="EP232" s="4">
        <v>2761</v>
      </c>
      <c r="EQ232" s="4">
        <v>4797</v>
      </c>
      <c r="ER232" s="4">
        <v>48.706195999999998</v>
      </c>
    </row>
    <row r="233" spans="1:148" x14ac:dyDescent="0.2">
      <c r="A233" s="1">
        <v>2022</v>
      </c>
      <c r="B233" s="1" t="str">
        <f t="shared" si="6"/>
        <v>NE</v>
      </c>
      <c r="C233" s="1" t="s">
        <v>1199</v>
      </c>
      <c r="D233" s="1" t="s">
        <v>1199</v>
      </c>
      <c r="E233" s="1">
        <v>26073</v>
      </c>
      <c r="F233" s="1" t="s">
        <v>2132</v>
      </c>
      <c r="G233" s="1" t="s">
        <v>1200</v>
      </c>
      <c r="H233" s="1" t="s">
        <v>1201</v>
      </c>
      <c r="I233" s="1">
        <v>85.3</v>
      </c>
      <c r="J233" s="1">
        <v>85.3</v>
      </c>
      <c r="K233" s="1" t="s">
        <v>148</v>
      </c>
      <c r="L233" s="1">
        <v>1</v>
      </c>
      <c r="M233" s="1">
        <v>2018</v>
      </c>
      <c r="N233" s="1">
        <v>3</v>
      </c>
      <c r="O233" s="1">
        <v>1</v>
      </c>
      <c r="P233" s="1" t="str">
        <f t="shared" si="7"/>
        <v>Alto fuste</v>
      </c>
      <c r="Q233" s="2">
        <v>43364</v>
      </c>
      <c r="R233" s="1" t="s">
        <v>169</v>
      </c>
      <c r="S233" s="1" t="s">
        <v>651</v>
      </c>
      <c r="T233" s="1" t="s">
        <v>2268</v>
      </c>
      <c r="U233" s="1" t="s">
        <v>151</v>
      </c>
      <c r="V233" s="1" t="s">
        <v>152</v>
      </c>
      <c r="W233" s="2">
        <v>44817</v>
      </c>
      <c r="X233" s="1" t="s">
        <v>1202</v>
      </c>
      <c r="Y233" s="1">
        <v>87.41</v>
      </c>
      <c r="Z233" s="1">
        <v>20.3</v>
      </c>
      <c r="AA233" s="1">
        <v>28</v>
      </c>
      <c r="AB233" s="1">
        <v>15.5</v>
      </c>
      <c r="AC233" s="1">
        <v>2</v>
      </c>
      <c r="AD233" s="3">
        <v>314.64999999999998</v>
      </c>
      <c r="AE233" s="3">
        <v>277.65021998440301</v>
      </c>
      <c r="AF233" s="2">
        <v>44817</v>
      </c>
      <c r="AG233" s="1">
        <v>48</v>
      </c>
      <c r="AH233" s="3">
        <v>3.9780971937029399</v>
      </c>
      <c r="AI233" s="4">
        <v>20.280368674857499</v>
      </c>
      <c r="AJ233" s="4">
        <v>15.490909090909099</v>
      </c>
      <c r="AK233" s="4">
        <v>22.868264486073301</v>
      </c>
      <c r="AL233" s="1">
        <v>33</v>
      </c>
      <c r="AM233" s="5">
        <v>1188.5457898017801</v>
      </c>
      <c r="AN233" s="4">
        <v>200.429257036861</v>
      </c>
      <c r="AO233" s="4">
        <v>0.16863402214422701</v>
      </c>
      <c r="AP233" s="1" t="s">
        <v>651</v>
      </c>
      <c r="AQ233" s="1" t="s">
        <v>156</v>
      </c>
      <c r="AR233" s="1" t="s">
        <v>796</v>
      </c>
      <c r="AS233" s="1">
        <v>9</v>
      </c>
      <c r="AT233" s="4">
        <v>1.0696912108216021</v>
      </c>
      <c r="AU233" s="1" t="s">
        <v>1203</v>
      </c>
      <c r="AV233" s="1" t="s">
        <v>1204</v>
      </c>
      <c r="AW233" s="1">
        <v>3714</v>
      </c>
      <c r="AX233" s="1">
        <v>2393</v>
      </c>
      <c r="AY233" s="1">
        <v>1237</v>
      </c>
      <c r="AZ233" s="1">
        <v>83</v>
      </c>
      <c r="BA233" s="1">
        <v>1</v>
      </c>
      <c r="BB233" s="1">
        <v>0</v>
      </c>
      <c r="BC233" s="1">
        <v>0</v>
      </c>
      <c r="BD233" s="1">
        <v>0</v>
      </c>
      <c r="BE233" s="1">
        <v>0</v>
      </c>
      <c r="BF233" s="1">
        <v>0</v>
      </c>
      <c r="BG233" s="1">
        <v>0</v>
      </c>
      <c r="BH233" s="4">
        <v>-0.81899999999999995</v>
      </c>
      <c r="BI233" s="4">
        <v>25.239000000000001</v>
      </c>
      <c r="BJ233" s="4">
        <v>13.394367000000001</v>
      </c>
      <c r="BK233" s="4">
        <v>8.2380000000000005E-3</v>
      </c>
      <c r="BL233" s="4">
        <v>10.260558</v>
      </c>
      <c r="BM233" s="4">
        <v>105.27904700000001</v>
      </c>
      <c r="BN233" s="4">
        <v>0.76603500000000002</v>
      </c>
      <c r="BO233" s="4">
        <v>21.847750000000001</v>
      </c>
      <c r="BP233" s="4">
        <v>-0.46939700000000001</v>
      </c>
      <c r="BQ233" s="4">
        <v>1.2983180000000001</v>
      </c>
      <c r="BR233" s="4">
        <v>9.8291989999999991</v>
      </c>
      <c r="BS233" s="4">
        <v>2.9620000000000002</v>
      </c>
      <c r="BT233" s="4">
        <v>19.817761999999998</v>
      </c>
      <c r="BU233" s="4">
        <v>13.394367000000001</v>
      </c>
      <c r="BV233" s="4">
        <v>5.3428100000000001</v>
      </c>
      <c r="BW233" s="4">
        <v>-0.90756199999999998</v>
      </c>
      <c r="BX233" s="4">
        <v>-0.79273800000000005</v>
      </c>
      <c r="BY233" s="4">
        <v>0.39888499999999999</v>
      </c>
      <c r="BZ233" s="4">
        <v>-0.16986599999999999</v>
      </c>
      <c r="CA233" s="4">
        <v>-0.14837500000000001</v>
      </c>
      <c r="CB233" s="4">
        <v>-0.35487000000000002</v>
      </c>
      <c r="CC233" s="4">
        <v>-0.13835</v>
      </c>
      <c r="CD233" s="4">
        <v>-4.07E-2</v>
      </c>
      <c r="CE233" s="4">
        <v>9.5000000000000001E-2</v>
      </c>
      <c r="CF233" s="4">
        <v>0.16625000000000001</v>
      </c>
      <c r="CG233" s="4">
        <v>0.27600000000000002</v>
      </c>
      <c r="CH233" s="4">
        <v>17.969000000000001</v>
      </c>
      <c r="CI233" s="4">
        <v>19.826000000000001</v>
      </c>
      <c r="CJ233" s="4">
        <v>20.851998999999999</v>
      </c>
      <c r="CK233" s="4">
        <v>21.648099999999999</v>
      </c>
      <c r="CL233" s="4">
        <v>22.013999999999999</v>
      </c>
      <c r="CM233" s="4">
        <v>22.307600000000001</v>
      </c>
      <c r="CN233" s="4">
        <v>22.903400000000001</v>
      </c>
      <c r="CO233" s="4">
        <v>23.391399</v>
      </c>
      <c r="CP233" s="4">
        <v>24.15587</v>
      </c>
      <c r="CQ233" s="4">
        <v>0.54545100000000002</v>
      </c>
      <c r="CR233" s="4">
        <v>16.871863000000001</v>
      </c>
      <c r="CS233" s="4">
        <v>18.296976000000001</v>
      </c>
      <c r="CT233" s="1">
        <v>1</v>
      </c>
      <c r="CU233" s="1">
        <v>47</v>
      </c>
      <c r="CV233" s="4">
        <v>16.817447000000001</v>
      </c>
      <c r="CW233" s="4">
        <v>1</v>
      </c>
      <c r="CX233" s="4">
        <v>9.7991170000000007</v>
      </c>
      <c r="CY233" s="4">
        <v>96.022684999999996</v>
      </c>
      <c r="CZ233" s="4">
        <v>0.58267599999999997</v>
      </c>
      <c r="DA233" s="4">
        <v>16</v>
      </c>
      <c r="DB233" s="4">
        <v>7.0557999999999996E-2</v>
      </c>
      <c r="DC233" s="4">
        <v>2.2830840000000001</v>
      </c>
      <c r="DD233" s="4">
        <v>8.2677530000000008</v>
      </c>
      <c r="DE233" s="4">
        <v>16.817447000000001</v>
      </c>
      <c r="DF233" s="4">
        <v>5.5899619999999999</v>
      </c>
      <c r="DG233" s="4">
        <v>-3.7139999999999999E-2</v>
      </c>
      <c r="DH233" s="4">
        <v>0.254054</v>
      </c>
      <c r="DI233" s="4">
        <v>0.33239099999999999</v>
      </c>
      <c r="DJ233" s="4">
        <v>-6.6439999999999997E-3</v>
      </c>
      <c r="DK233" s="4">
        <v>4.5448000000000002E-2</v>
      </c>
      <c r="DL233" s="4">
        <v>1</v>
      </c>
      <c r="DM233" s="4">
        <v>1</v>
      </c>
      <c r="DN233" s="4">
        <v>3</v>
      </c>
      <c r="DO233" s="4">
        <v>6</v>
      </c>
      <c r="DP233" s="4">
        <v>8</v>
      </c>
      <c r="DQ233" s="4">
        <v>10</v>
      </c>
      <c r="DR233" s="4">
        <v>14</v>
      </c>
      <c r="DS233" s="4">
        <v>18</v>
      </c>
      <c r="DT233" s="4">
        <v>21</v>
      </c>
      <c r="DU233" s="4">
        <v>23</v>
      </c>
      <c r="DV233" s="4">
        <v>24</v>
      </c>
      <c r="DW233" s="4">
        <v>25</v>
      </c>
      <c r="DX233" s="4">
        <v>28</v>
      </c>
      <c r="DY233" s="4">
        <v>32</v>
      </c>
      <c r="DZ233" s="4">
        <v>39</v>
      </c>
      <c r="EA233" s="4">
        <v>94.818219999999997</v>
      </c>
      <c r="EB233" s="4">
        <v>64.028002000000001</v>
      </c>
      <c r="EC233" s="4">
        <v>99.373171999999997</v>
      </c>
      <c r="ED233" s="4">
        <v>2269</v>
      </c>
      <c r="EE233" s="4">
        <v>2378</v>
      </c>
      <c r="EF233" s="4">
        <v>93.773505999999998</v>
      </c>
      <c r="EG233" s="4">
        <v>99.749268999999998</v>
      </c>
      <c r="EH233" s="4">
        <v>62.089390999999999</v>
      </c>
      <c r="EI233" s="4">
        <v>86.752826999999996</v>
      </c>
      <c r="EJ233" s="4">
        <v>96.364395999999999</v>
      </c>
      <c r="EK233" s="4">
        <v>134.642708</v>
      </c>
      <c r="EL233" s="4">
        <v>2244</v>
      </c>
      <c r="EM233" s="4">
        <v>2387</v>
      </c>
      <c r="EN233" s="4">
        <v>2306</v>
      </c>
      <c r="EO233" s="4">
        <v>3222</v>
      </c>
      <c r="EP233" s="4">
        <v>2393</v>
      </c>
      <c r="EQ233" s="4">
        <v>3714</v>
      </c>
      <c r="ER233" s="4">
        <v>54.587065000000003</v>
      </c>
    </row>
    <row r="234" spans="1:148" x14ac:dyDescent="0.2">
      <c r="A234" s="1">
        <v>2022</v>
      </c>
      <c r="B234" s="1" t="str">
        <f t="shared" si="6"/>
        <v>NE</v>
      </c>
      <c r="C234" s="1" t="s">
        <v>1205</v>
      </c>
      <c r="D234" s="1" t="s">
        <v>1205</v>
      </c>
      <c r="E234" s="1">
        <v>26074</v>
      </c>
      <c r="F234" s="1" t="s">
        <v>2132</v>
      </c>
      <c r="G234" s="1" t="s">
        <v>1200</v>
      </c>
      <c r="H234" s="1" t="s">
        <v>1201</v>
      </c>
      <c r="I234" s="1">
        <v>85.3</v>
      </c>
      <c r="J234" s="1">
        <v>85.3</v>
      </c>
      <c r="K234" s="1" t="s">
        <v>148</v>
      </c>
      <c r="L234" s="1">
        <v>1</v>
      </c>
      <c r="M234" s="1">
        <v>2018</v>
      </c>
      <c r="N234" s="1">
        <v>3</v>
      </c>
      <c r="O234" s="1">
        <v>1</v>
      </c>
      <c r="P234" s="1" t="str">
        <f t="shared" si="7"/>
        <v>Alto fuste</v>
      </c>
      <c r="Q234" s="2">
        <v>43364</v>
      </c>
      <c r="R234" s="1" t="s">
        <v>169</v>
      </c>
      <c r="S234" s="1" t="s">
        <v>651</v>
      </c>
      <c r="T234" s="1" t="s">
        <v>2268</v>
      </c>
      <c r="U234" s="1" t="s">
        <v>151</v>
      </c>
      <c r="V234" s="1" t="s">
        <v>152</v>
      </c>
      <c r="W234" s="2">
        <v>44817</v>
      </c>
      <c r="X234" s="1" t="s">
        <v>1202</v>
      </c>
      <c r="Y234" s="1">
        <v>87.41</v>
      </c>
      <c r="Z234" s="1">
        <v>19.7</v>
      </c>
      <c r="AA234" s="1">
        <v>33</v>
      </c>
      <c r="AB234" s="1">
        <v>15</v>
      </c>
      <c r="AC234" s="1">
        <v>8</v>
      </c>
      <c r="AD234" s="3">
        <v>295.5</v>
      </c>
      <c r="AE234" s="3">
        <v>245.41531601258001</v>
      </c>
      <c r="AF234" s="2">
        <v>44817</v>
      </c>
      <c r="AG234" s="1">
        <v>48</v>
      </c>
      <c r="AH234" s="3">
        <v>3.9780971937029399</v>
      </c>
      <c r="AI234" s="4">
        <v>25.7459445379526</v>
      </c>
      <c r="AJ234" s="4">
        <v>15.953333333333299</v>
      </c>
      <c r="AK234" s="4">
        <v>25.018394804407102</v>
      </c>
      <c r="AL234" s="1">
        <v>30</v>
      </c>
      <c r="AM234" s="5">
        <v>1222.4175934668301</v>
      </c>
      <c r="AN234" s="4">
        <v>284.21896712094002</v>
      </c>
      <c r="AO234" s="4">
        <v>0.23250562544251499</v>
      </c>
      <c r="AP234" s="1" t="s">
        <v>651</v>
      </c>
      <c r="AQ234" s="1" t="s">
        <v>156</v>
      </c>
      <c r="AR234" s="1" t="s">
        <v>796</v>
      </c>
      <c r="AS234" s="1">
        <v>9</v>
      </c>
      <c r="AT234" s="4">
        <v>1.1001758341201471</v>
      </c>
      <c r="AU234" s="1" t="s">
        <v>1206</v>
      </c>
      <c r="AV234" s="1" t="s">
        <v>1207</v>
      </c>
      <c r="AW234" s="1">
        <v>2186</v>
      </c>
      <c r="AX234" s="1">
        <v>1504</v>
      </c>
      <c r="AY234" s="1">
        <v>640</v>
      </c>
      <c r="AZ234" s="1">
        <v>41</v>
      </c>
      <c r="BA234" s="1">
        <v>1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4">
        <v>-0.79600000000000004</v>
      </c>
      <c r="BI234" s="4">
        <v>25.709999</v>
      </c>
      <c r="BJ234" s="4">
        <v>15.254267</v>
      </c>
      <c r="BK234" s="4">
        <v>-0.37526999999999999</v>
      </c>
      <c r="BL234" s="4">
        <v>10.400264</v>
      </c>
      <c r="BM234" s="4">
        <v>108.165494</v>
      </c>
      <c r="BN234" s="4">
        <v>0.68179400000000001</v>
      </c>
      <c r="BO234" s="4">
        <v>22.861000000000001</v>
      </c>
      <c r="BP234" s="4">
        <v>-0.72214900000000004</v>
      </c>
      <c r="BQ234" s="4">
        <v>1.6037079999999999</v>
      </c>
      <c r="BR234" s="4">
        <v>9.5899570000000001</v>
      </c>
      <c r="BS234" s="4">
        <v>2.100501</v>
      </c>
      <c r="BT234" s="4">
        <v>21.921768</v>
      </c>
      <c r="BU234" s="4">
        <v>15.254267</v>
      </c>
      <c r="BV234" s="4">
        <v>5.2628659999999998</v>
      </c>
      <c r="BW234" s="4">
        <v>-1.4397899999999999</v>
      </c>
      <c r="BX234" s="4">
        <v>-0.44311299999999998</v>
      </c>
      <c r="BY234" s="4">
        <v>0.34500900000000001</v>
      </c>
      <c r="BZ234" s="4">
        <v>-0.27357500000000001</v>
      </c>
      <c r="CA234" s="4">
        <v>-8.4195999999999993E-2</v>
      </c>
      <c r="CB234" s="4">
        <v>-0.39250000000000002</v>
      </c>
      <c r="CC234" s="4">
        <v>-0.16675000000000001</v>
      </c>
      <c r="CD234" s="4">
        <v>-7.3999999999999996E-2</v>
      </c>
      <c r="CE234" s="4">
        <v>0.11799999999999999</v>
      </c>
      <c r="CF234" s="4">
        <v>0.25</v>
      </c>
      <c r="CG234" s="4">
        <v>0.80649999999999999</v>
      </c>
      <c r="CH234" s="4">
        <v>20.559999000000001</v>
      </c>
      <c r="CI234" s="4">
        <v>21.546499000000001</v>
      </c>
      <c r="CJ234" s="4">
        <v>22.177999</v>
      </c>
      <c r="CK234" s="4">
        <v>22.8445</v>
      </c>
      <c r="CL234" s="4">
        <v>23.111000000000001</v>
      </c>
      <c r="CM234" s="4">
        <v>23.364999999999998</v>
      </c>
      <c r="CN234" s="4">
        <v>23.931000000000001</v>
      </c>
      <c r="CO234" s="4">
        <v>24.274750000000001</v>
      </c>
      <c r="CP234" s="4">
        <v>24.953598</v>
      </c>
      <c r="CQ234" s="4">
        <v>0.60553299999999999</v>
      </c>
      <c r="CR234" s="4">
        <v>18.461003999999999</v>
      </c>
      <c r="CS234" s="4">
        <v>19.734175</v>
      </c>
      <c r="CT234" s="1">
        <v>1</v>
      </c>
      <c r="CU234" s="1">
        <v>38</v>
      </c>
      <c r="CV234" s="4">
        <v>13.873742</v>
      </c>
      <c r="CW234" s="4">
        <v>17.444444000000001</v>
      </c>
      <c r="CX234" s="4">
        <v>7.9410049999999996</v>
      </c>
      <c r="CY234" s="4">
        <v>63.059565999999997</v>
      </c>
      <c r="CZ234" s="4">
        <v>0.57237700000000002</v>
      </c>
      <c r="DA234" s="4">
        <v>12</v>
      </c>
      <c r="DB234" s="4">
        <v>0.205293</v>
      </c>
      <c r="DC234" s="4">
        <v>2.3643390000000002</v>
      </c>
      <c r="DD234" s="4">
        <v>6.5659340000000004</v>
      </c>
      <c r="DE234" s="4">
        <v>13.873742</v>
      </c>
      <c r="DF234" s="4">
        <v>4.5361349999999998</v>
      </c>
      <c r="DG234" s="4">
        <v>0.15692300000000001</v>
      </c>
      <c r="DH234" s="4">
        <v>0.30123800000000001</v>
      </c>
      <c r="DI234" s="4">
        <v>0.32695800000000003</v>
      </c>
      <c r="DJ234" s="4">
        <v>3.4594E-2</v>
      </c>
      <c r="DK234" s="4">
        <v>6.6407999999999995E-2</v>
      </c>
      <c r="DL234" s="4">
        <v>1</v>
      </c>
      <c r="DM234" s="4">
        <v>1</v>
      </c>
      <c r="DN234" s="4">
        <v>3</v>
      </c>
      <c r="DO234" s="4">
        <v>6</v>
      </c>
      <c r="DP234" s="4">
        <v>7</v>
      </c>
      <c r="DQ234" s="4">
        <v>9</v>
      </c>
      <c r="DR234" s="4">
        <v>12</v>
      </c>
      <c r="DS234" s="4">
        <v>14</v>
      </c>
      <c r="DT234" s="4">
        <v>16</v>
      </c>
      <c r="DU234" s="4">
        <v>18</v>
      </c>
      <c r="DV234" s="4">
        <v>19</v>
      </c>
      <c r="DW234" s="4">
        <v>21</v>
      </c>
      <c r="DX234" s="4">
        <v>25</v>
      </c>
      <c r="DY234" s="4">
        <v>27</v>
      </c>
      <c r="DZ234" s="4">
        <v>32</v>
      </c>
      <c r="EA234" s="4">
        <v>96.476063999999994</v>
      </c>
      <c r="EB234" s="4">
        <v>69.030192</v>
      </c>
      <c r="EC234" s="4">
        <v>100.332447</v>
      </c>
      <c r="ED234" s="4">
        <v>1451</v>
      </c>
      <c r="EE234" s="4">
        <v>1509</v>
      </c>
      <c r="EF234" s="4">
        <v>95.877660000000006</v>
      </c>
      <c r="EG234" s="4">
        <v>100</v>
      </c>
      <c r="EH234" s="4">
        <v>67.154619999999994</v>
      </c>
      <c r="EI234" s="4">
        <v>98.719121999999999</v>
      </c>
      <c r="EJ234" s="4">
        <v>97.606382999999994</v>
      </c>
      <c r="EK234" s="4">
        <v>143.48404300000001</v>
      </c>
      <c r="EL234" s="4">
        <v>1442</v>
      </c>
      <c r="EM234" s="4">
        <v>1504</v>
      </c>
      <c r="EN234" s="4">
        <v>1468</v>
      </c>
      <c r="EO234" s="4">
        <v>2158</v>
      </c>
      <c r="EP234" s="4">
        <v>1504</v>
      </c>
      <c r="EQ234" s="4">
        <v>2186</v>
      </c>
      <c r="ER234" s="4">
        <v>60.234358999999998</v>
      </c>
    </row>
    <row r="235" spans="1:148" x14ac:dyDescent="0.2">
      <c r="A235" s="1">
        <v>2022</v>
      </c>
      <c r="B235" s="1" t="str">
        <f t="shared" si="6"/>
        <v>NE</v>
      </c>
      <c r="C235" s="1" t="s">
        <v>1208</v>
      </c>
      <c r="D235" s="1" t="s">
        <v>1208</v>
      </c>
      <c r="E235" s="1">
        <v>26075</v>
      </c>
      <c r="F235" s="1" t="s">
        <v>2132</v>
      </c>
      <c r="G235" s="1" t="s">
        <v>1200</v>
      </c>
      <c r="H235" s="1" t="s">
        <v>1201</v>
      </c>
      <c r="I235" s="1">
        <v>85.3</v>
      </c>
      <c r="J235" s="1">
        <v>85.3</v>
      </c>
      <c r="K235" s="1" t="s">
        <v>148</v>
      </c>
      <c r="L235" s="1">
        <v>1</v>
      </c>
      <c r="M235" s="1">
        <v>2018</v>
      </c>
      <c r="N235" s="1">
        <v>3</v>
      </c>
      <c r="O235" s="1">
        <v>1</v>
      </c>
      <c r="P235" s="1" t="str">
        <f t="shared" si="7"/>
        <v>Alto fuste</v>
      </c>
      <c r="Q235" s="2">
        <v>43364</v>
      </c>
      <c r="R235" s="1" t="s">
        <v>169</v>
      </c>
      <c r="S235" s="1" t="s">
        <v>651</v>
      </c>
      <c r="T235" s="1" t="s">
        <v>2268</v>
      </c>
      <c r="U235" s="1" t="s">
        <v>151</v>
      </c>
      <c r="V235" s="1" t="s">
        <v>152</v>
      </c>
      <c r="W235" s="2">
        <v>44817</v>
      </c>
      <c r="X235" s="1" t="s">
        <v>1202</v>
      </c>
      <c r="Y235" s="1">
        <v>87.41</v>
      </c>
      <c r="Z235" s="1">
        <v>20.3</v>
      </c>
      <c r="AA235" s="1">
        <v>7</v>
      </c>
      <c r="AB235" s="1">
        <v>15</v>
      </c>
      <c r="AC235" s="1">
        <v>2</v>
      </c>
      <c r="AD235" s="3">
        <v>304.5</v>
      </c>
      <c r="AE235" s="3">
        <v>302.046192640078</v>
      </c>
      <c r="AF235" s="2">
        <v>44817</v>
      </c>
      <c r="AG235" s="1">
        <v>48</v>
      </c>
      <c r="AH235" s="3">
        <v>3.9780971937029399</v>
      </c>
      <c r="AI235" s="4">
        <v>23.163297275709599</v>
      </c>
      <c r="AJ235" s="4">
        <v>15.62</v>
      </c>
      <c r="AK235" s="4">
        <v>23.035715575859602</v>
      </c>
      <c r="AL235" s="1">
        <v>35</v>
      </c>
      <c r="AM235" s="5">
        <v>1158.7631578493799</v>
      </c>
      <c r="AN235" s="4">
        <v>236.001395529099</v>
      </c>
      <c r="AO235" s="4">
        <v>0.20366663707802701</v>
      </c>
      <c r="AP235" s="1" t="s">
        <v>651</v>
      </c>
      <c r="AQ235" s="1" t="s">
        <v>156</v>
      </c>
      <c r="AR235" s="1" t="s">
        <v>796</v>
      </c>
      <c r="AS235" s="1">
        <v>9</v>
      </c>
      <c r="AT235" s="4">
        <v>1.0428868420644419</v>
      </c>
      <c r="AU235" s="1" t="s">
        <v>1209</v>
      </c>
      <c r="AV235" s="1" t="s">
        <v>1210</v>
      </c>
      <c r="AW235" s="1">
        <v>3469</v>
      </c>
      <c r="AX235" s="1">
        <v>2276</v>
      </c>
      <c r="AY235" s="1">
        <v>1148</v>
      </c>
      <c r="AZ235" s="1">
        <v>45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0</v>
      </c>
      <c r="BG235" s="1">
        <v>0</v>
      </c>
      <c r="BH235" s="4">
        <v>-0.78</v>
      </c>
      <c r="BI235" s="4">
        <v>25.065000999999999</v>
      </c>
      <c r="BJ235" s="4">
        <v>14.349353000000001</v>
      </c>
      <c r="BK235" s="4">
        <v>4.0475999999999998E-2</v>
      </c>
      <c r="BL235" s="4">
        <v>10.558748</v>
      </c>
      <c r="BM235" s="4">
        <v>111.487157</v>
      </c>
      <c r="BN235" s="4">
        <v>0.73583399999999999</v>
      </c>
      <c r="BO235" s="4">
        <v>22.547999999999998</v>
      </c>
      <c r="BP235" s="4">
        <v>-0.58274800000000004</v>
      </c>
      <c r="BQ235" s="4">
        <v>1.3979010000000001</v>
      </c>
      <c r="BR235" s="4">
        <v>10.008908</v>
      </c>
      <c r="BS235" s="4">
        <v>2.2589990000000002</v>
      </c>
      <c r="BT235" s="4">
        <v>21.042524</v>
      </c>
      <c r="BU235" s="4">
        <v>14.349353000000001</v>
      </c>
      <c r="BV235" s="4">
        <v>5.3818239999999999</v>
      </c>
      <c r="BW235" s="4">
        <v>-1.1946889999999999</v>
      </c>
      <c r="BX235" s="4">
        <v>-0.68302399999999996</v>
      </c>
      <c r="BY235" s="4">
        <v>0.37505699999999997</v>
      </c>
      <c r="BZ235" s="4">
        <v>-0.22198599999999999</v>
      </c>
      <c r="CA235" s="4">
        <v>-0.126913</v>
      </c>
      <c r="CB235" s="4">
        <v>-0.41464000000000001</v>
      </c>
      <c r="CC235" s="4">
        <v>-0.1696</v>
      </c>
      <c r="CD235" s="4">
        <v>-5.8999999999999997E-2</v>
      </c>
      <c r="CE235" s="4">
        <v>6.8599999999999994E-2</v>
      </c>
      <c r="CF235" s="4">
        <v>0.13</v>
      </c>
      <c r="CG235" s="4">
        <v>0.2354</v>
      </c>
      <c r="CH235" s="4">
        <v>19.955200000000001</v>
      </c>
      <c r="CI235" s="4">
        <v>21.082999999999998</v>
      </c>
      <c r="CJ235" s="4">
        <v>21.805</v>
      </c>
      <c r="CK235" s="4">
        <v>22.408999999999999</v>
      </c>
      <c r="CL235" s="4">
        <v>22.677999</v>
      </c>
      <c r="CM235" s="4">
        <v>22.968399000000002</v>
      </c>
      <c r="CN235" s="4">
        <v>23.527401000000001</v>
      </c>
      <c r="CO235" s="4">
        <v>23.932200999999999</v>
      </c>
      <c r="CP235" s="4">
        <v>24.576241</v>
      </c>
      <c r="CQ235" s="4">
        <v>0.58538800000000002</v>
      </c>
      <c r="CR235" s="4">
        <v>17.814571999999998</v>
      </c>
      <c r="CS235" s="4">
        <v>19.189889000000001</v>
      </c>
      <c r="CT235" s="1">
        <v>1</v>
      </c>
      <c r="CU235" s="1">
        <v>43</v>
      </c>
      <c r="CV235" s="4">
        <v>14.423465</v>
      </c>
      <c r="CW235" s="4">
        <v>1</v>
      </c>
      <c r="CX235" s="4">
        <v>8.6600359999999998</v>
      </c>
      <c r="CY235" s="4">
        <v>74.996230999999995</v>
      </c>
      <c r="CZ235" s="4">
        <v>0.60041299999999997</v>
      </c>
      <c r="DA235" s="4">
        <v>14</v>
      </c>
      <c r="DB235" s="4">
        <v>0.16081500000000001</v>
      </c>
      <c r="DC235" s="4">
        <v>2.1937069999999999</v>
      </c>
      <c r="DD235" s="4">
        <v>7.2736320000000001</v>
      </c>
      <c r="DE235" s="4">
        <v>14.423465</v>
      </c>
      <c r="DF235" s="4">
        <v>4.9611960000000002</v>
      </c>
      <c r="DG235" s="4">
        <v>0.14324300000000001</v>
      </c>
      <c r="DH235" s="4">
        <v>0.200406</v>
      </c>
      <c r="DI235" s="4">
        <v>0.34396700000000002</v>
      </c>
      <c r="DJ235" s="4">
        <v>2.8872999999999999E-2</v>
      </c>
      <c r="DK235" s="4">
        <v>4.0395E-2</v>
      </c>
      <c r="DL235" s="4">
        <v>1</v>
      </c>
      <c r="DM235" s="4">
        <v>1</v>
      </c>
      <c r="DN235" s="4">
        <v>2</v>
      </c>
      <c r="DO235" s="4">
        <v>5</v>
      </c>
      <c r="DP235" s="4">
        <v>7</v>
      </c>
      <c r="DQ235" s="4">
        <v>9</v>
      </c>
      <c r="DR235" s="4">
        <v>12</v>
      </c>
      <c r="DS235" s="4">
        <v>15</v>
      </c>
      <c r="DT235" s="4">
        <v>17</v>
      </c>
      <c r="DU235" s="4">
        <v>19</v>
      </c>
      <c r="DV235" s="4">
        <v>21</v>
      </c>
      <c r="DW235" s="4">
        <v>22</v>
      </c>
      <c r="DX235" s="4">
        <v>26</v>
      </c>
      <c r="DY235" s="4">
        <v>29</v>
      </c>
      <c r="DZ235" s="4">
        <v>33</v>
      </c>
      <c r="EA235" s="4">
        <v>97.891036999999997</v>
      </c>
      <c r="EB235" s="4">
        <v>65.465552000000002</v>
      </c>
      <c r="EC235" s="4">
        <v>99.780315999999999</v>
      </c>
      <c r="ED235" s="4">
        <v>2228</v>
      </c>
      <c r="EE235" s="4">
        <v>2271</v>
      </c>
      <c r="EF235" s="4">
        <v>97.407732999999993</v>
      </c>
      <c r="EG235" s="4">
        <v>99.868189999999998</v>
      </c>
      <c r="EH235" s="4">
        <v>64.139521000000002</v>
      </c>
      <c r="EI235" s="4">
        <v>82.358028000000004</v>
      </c>
      <c r="EJ235" s="4">
        <v>97.759226999999996</v>
      </c>
      <c r="EK235" s="4">
        <v>125.527241</v>
      </c>
      <c r="EL235" s="4">
        <v>2217</v>
      </c>
      <c r="EM235" s="4">
        <v>2273</v>
      </c>
      <c r="EN235" s="4">
        <v>2225</v>
      </c>
      <c r="EO235" s="4">
        <v>2857</v>
      </c>
      <c r="EP235" s="4">
        <v>2276</v>
      </c>
      <c r="EQ235" s="4">
        <v>3469</v>
      </c>
      <c r="ER235" s="4">
        <v>57.553604999999997</v>
      </c>
    </row>
    <row r="236" spans="1:148" x14ac:dyDescent="0.2">
      <c r="A236" s="1">
        <v>2022</v>
      </c>
      <c r="B236" s="1" t="str">
        <f t="shared" si="6"/>
        <v>NE</v>
      </c>
      <c r="C236" s="1" t="s">
        <v>1211</v>
      </c>
      <c r="D236" s="1" t="s">
        <v>1211</v>
      </c>
      <c r="E236" s="1">
        <v>26140</v>
      </c>
      <c r="F236" s="1" t="s">
        <v>2133</v>
      </c>
      <c r="G236" s="1" t="s">
        <v>333</v>
      </c>
      <c r="H236" s="1" t="s">
        <v>1212</v>
      </c>
      <c r="I236" s="1">
        <v>58.72</v>
      </c>
      <c r="J236" s="1">
        <v>58.72</v>
      </c>
      <c r="K236" s="1" t="s">
        <v>148</v>
      </c>
      <c r="L236" s="1">
        <v>1</v>
      </c>
      <c r="M236" s="1">
        <v>2018</v>
      </c>
      <c r="N236" s="1">
        <v>3</v>
      </c>
      <c r="O236" s="1">
        <v>2</v>
      </c>
      <c r="P236" s="1" t="str">
        <f t="shared" si="7"/>
        <v>Talhadia</v>
      </c>
      <c r="Q236" s="2">
        <v>43189</v>
      </c>
      <c r="R236" s="1" t="s">
        <v>306</v>
      </c>
      <c r="S236" s="1" t="s">
        <v>299</v>
      </c>
      <c r="T236" s="1" t="s">
        <v>2268</v>
      </c>
      <c r="U236" s="1" t="s">
        <v>151</v>
      </c>
      <c r="V236" s="1" t="s">
        <v>152</v>
      </c>
      <c r="W236" s="2">
        <v>44743</v>
      </c>
      <c r="X236" s="1" t="s">
        <v>335</v>
      </c>
      <c r="Y236" s="1">
        <v>103.75</v>
      </c>
      <c r="Z236" s="1">
        <v>19.8</v>
      </c>
      <c r="AA236" s="1">
        <v>10</v>
      </c>
      <c r="AB236" s="1">
        <v>13.8</v>
      </c>
      <c r="AC236" s="1">
        <v>6</v>
      </c>
      <c r="AD236" s="3">
        <v>273.24</v>
      </c>
      <c r="AE236" s="3">
        <v>267.61477344559</v>
      </c>
      <c r="AF236" s="2">
        <v>44743</v>
      </c>
      <c r="AG236" s="1">
        <v>52</v>
      </c>
      <c r="AH236" s="3">
        <v>4.2546201232032903</v>
      </c>
      <c r="AI236" s="4">
        <v>20.407498791676801</v>
      </c>
      <c r="AJ236" s="4">
        <v>16.231818181818198</v>
      </c>
      <c r="AK236" s="4">
        <v>19.402636579660001</v>
      </c>
      <c r="AL236" s="1">
        <v>22</v>
      </c>
      <c r="AM236" s="5">
        <v>822.07718642531904</v>
      </c>
      <c r="AN236" s="4">
        <v>194.620533646084</v>
      </c>
      <c r="AO236" s="4">
        <v>0.23674240917980299</v>
      </c>
      <c r="AP236" s="1" t="s">
        <v>299</v>
      </c>
      <c r="AQ236" s="1" t="s">
        <v>254</v>
      </c>
      <c r="AR236" s="1" t="s">
        <v>302</v>
      </c>
      <c r="AS236" s="1">
        <v>9.99</v>
      </c>
      <c r="AT236" s="4">
        <v>0.82125510923889378</v>
      </c>
      <c r="AU236" s="1" t="s">
        <v>1213</v>
      </c>
      <c r="AV236" s="1" t="s">
        <v>1214</v>
      </c>
      <c r="AW236" s="1">
        <v>4476</v>
      </c>
      <c r="AX236" s="1">
        <v>2445</v>
      </c>
      <c r="AY236" s="1">
        <v>1751</v>
      </c>
      <c r="AZ236" s="1">
        <v>268</v>
      </c>
      <c r="BA236" s="1">
        <v>12</v>
      </c>
      <c r="BB236" s="1">
        <v>0</v>
      </c>
      <c r="BC236" s="1">
        <v>0</v>
      </c>
      <c r="BD236" s="1">
        <v>0</v>
      </c>
      <c r="BE236" s="1">
        <v>0</v>
      </c>
      <c r="BF236" s="1">
        <v>0</v>
      </c>
      <c r="BG236" s="1">
        <v>0</v>
      </c>
      <c r="BH236" s="4">
        <v>-1.244</v>
      </c>
      <c r="BI236" s="4">
        <v>27.353999999999999</v>
      </c>
      <c r="BJ236" s="4">
        <v>11.204416999999999</v>
      </c>
      <c r="BK236" s="4">
        <v>-0.33612700000000001</v>
      </c>
      <c r="BL236" s="4">
        <v>10.883092</v>
      </c>
      <c r="BM236" s="4">
        <v>118.441687</v>
      </c>
      <c r="BN236" s="4">
        <v>0.97132200000000002</v>
      </c>
      <c r="BO236" s="4">
        <v>22.743499</v>
      </c>
      <c r="BP236" s="4">
        <v>0.103172</v>
      </c>
      <c r="BQ236" s="4">
        <v>1.199837</v>
      </c>
      <c r="BR236" s="4">
        <v>10.384622</v>
      </c>
      <c r="BS236" s="4">
        <v>11.606</v>
      </c>
      <c r="BT236" s="4">
        <v>12.034127</v>
      </c>
      <c r="BU236" s="4">
        <v>11.204416999999999</v>
      </c>
      <c r="BV236" s="4">
        <v>5.9159689999999996</v>
      </c>
      <c r="BW236" s="4">
        <v>0.479267</v>
      </c>
      <c r="BX236" s="4">
        <v>-1.063264</v>
      </c>
      <c r="BY236" s="4">
        <v>0.528003</v>
      </c>
      <c r="BZ236" s="4">
        <v>8.1012000000000001E-2</v>
      </c>
      <c r="CA236" s="4">
        <v>-0.179728</v>
      </c>
      <c r="CB236" s="4">
        <v>-0.40450000000000003</v>
      </c>
      <c r="CC236" s="4">
        <v>-0.187</v>
      </c>
      <c r="CD236" s="4">
        <v>-9.6500000000000002E-2</v>
      </c>
      <c r="CE236" s="4">
        <v>4.0000000000000001E-3</v>
      </c>
      <c r="CF236" s="4">
        <v>0.05</v>
      </c>
      <c r="CG236" s="4">
        <v>0.10349999999999999</v>
      </c>
      <c r="CH236" s="4">
        <v>0.22800000000000001</v>
      </c>
      <c r="CI236" s="4">
        <v>11.698</v>
      </c>
      <c r="CJ236" s="4">
        <v>18.905000999999999</v>
      </c>
      <c r="CK236" s="4">
        <v>22.029999</v>
      </c>
      <c r="CL236" s="4">
        <v>22.793499000000001</v>
      </c>
      <c r="CM236" s="4">
        <v>23.431000000000001</v>
      </c>
      <c r="CN236" s="4">
        <v>24.655999999999999</v>
      </c>
      <c r="CO236" s="4">
        <v>25.5</v>
      </c>
      <c r="CP236" s="4">
        <v>26.487499</v>
      </c>
      <c r="CQ236" s="4">
        <v>0.43529000000000001</v>
      </c>
      <c r="CR236" s="4">
        <v>15.619033</v>
      </c>
      <c r="CS236" s="4">
        <v>17.672969999999999</v>
      </c>
      <c r="CT236" s="1">
        <v>1</v>
      </c>
      <c r="CU236" s="1">
        <v>68</v>
      </c>
      <c r="CV236" s="4">
        <v>18.510276999999999</v>
      </c>
      <c r="CW236" s="4">
        <v>1</v>
      </c>
      <c r="CX236" s="4">
        <v>13.114285000000001</v>
      </c>
      <c r="CY236" s="4">
        <v>171.984475</v>
      </c>
      <c r="CZ236" s="4">
        <v>0.70848699999999998</v>
      </c>
      <c r="DA236" s="4">
        <v>18</v>
      </c>
      <c r="DB236" s="4">
        <v>0.84688200000000002</v>
      </c>
      <c r="DC236" s="4">
        <v>3.4050980000000002</v>
      </c>
      <c r="DD236" s="4">
        <v>10.397427</v>
      </c>
      <c r="DE236" s="4">
        <v>18.510276999999999</v>
      </c>
      <c r="DF236" s="4">
        <v>7.2504239999999998</v>
      </c>
      <c r="DG236" s="4">
        <v>1.192231</v>
      </c>
      <c r="DH236" s="4">
        <v>0.75070599999999998</v>
      </c>
      <c r="DI236" s="4">
        <v>0.39169700000000002</v>
      </c>
      <c r="DJ236" s="4">
        <v>0.164436</v>
      </c>
      <c r="DK236" s="4">
        <v>0.10353999999999999</v>
      </c>
      <c r="DL236" s="4">
        <v>1</v>
      </c>
      <c r="DM236" s="4">
        <v>2</v>
      </c>
      <c r="DN236" s="4">
        <v>3</v>
      </c>
      <c r="DO236" s="4">
        <v>6</v>
      </c>
      <c r="DP236" s="4">
        <v>8</v>
      </c>
      <c r="DQ236" s="4">
        <v>10</v>
      </c>
      <c r="DR236" s="4">
        <v>14</v>
      </c>
      <c r="DS236" s="4">
        <v>17</v>
      </c>
      <c r="DT236" s="4">
        <v>20</v>
      </c>
      <c r="DU236" s="4">
        <v>23</v>
      </c>
      <c r="DV236" s="4">
        <v>26</v>
      </c>
      <c r="DW236" s="4">
        <v>28</v>
      </c>
      <c r="DX236" s="4">
        <v>37</v>
      </c>
      <c r="DY236" s="4">
        <v>45.25</v>
      </c>
      <c r="DZ236" s="4">
        <v>56</v>
      </c>
      <c r="EA236" s="4">
        <v>87.525561999999994</v>
      </c>
      <c r="EB236" s="4">
        <v>54.870420000000003</v>
      </c>
      <c r="EC236" s="4">
        <v>100.449898</v>
      </c>
      <c r="ED236" s="4">
        <v>2140</v>
      </c>
      <c r="EE236" s="4">
        <v>2456</v>
      </c>
      <c r="EF236" s="4">
        <v>84.744376000000003</v>
      </c>
      <c r="EG236" s="4">
        <v>100</v>
      </c>
      <c r="EH236" s="4">
        <v>50.245755000000003</v>
      </c>
      <c r="EI236" s="4">
        <v>98.145666000000006</v>
      </c>
      <c r="EJ236" s="4">
        <v>91.983639999999994</v>
      </c>
      <c r="EK236" s="4">
        <v>179.67280199999999</v>
      </c>
      <c r="EL236" s="4">
        <v>2072</v>
      </c>
      <c r="EM236" s="4">
        <v>2445</v>
      </c>
      <c r="EN236" s="4">
        <v>2249</v>
      </c>
      <c r="EO236" s="4">
        <v>4393</v>
      </c>
      <c r="EP236" s="4">
        <v>2445</v>
      </c>
      <c r="EQ236" s="4">
        <v>4476</v>
      </c>
      <c r="ER236" s="4">
        <v>41.395932999999999</v>
      </c>
    </row>
    <row r="237" spans="1:148" x14ac:dyDescent="0.2">
      <c r="A237" s="1">
        <v>2022</v>
      </c>
      <c r="B237" s="1" t="str">
        <f t="shared" si="6"/>
        <v>RD</v>
      </c>
      <c r="C237" s="1" t="s">
        <v>1215</v>
      </c>
      <c r="D237" s="1" t="s">
        <v>1215</v>
      </c>
      <c r="E237" s="1">
        <v>26147</v>
      </c>
      <c r="F237" s="1" t="s">
        <v>2134</v>
      </c>
      <c r="G237" s="1" t="s">
        <v>1216</v>
      </c>
      <c r="H237" s="1" t="s">
        <v>1217</v>
      </c>
      <c r="I237" s="1">
        <v>57.39</v>
      </c>
      <c r="J237" s="1">
        <v>57.39</v>
      </c>
      <c r="K237" s="1" t="s">
        <v>226</v>
      </c>
      <c r="L237" s="1">
        <v>1</v>
      </c>
      <c r="M237" s="1">
        <v>2018</v>
      </c>
      <c r="N237" s="1">
        <v>4</v>
      </c>
      <c r="O237" s="1">
        <v>1</v>
      </c>
      <c r="P237" s="1" t="str">
        <f t="shared" si="7"/>
        <v>Alto fuste</v>
      </c>
      <c r="Q237" s="2">
        <v>43130</v>
      </c>
      <c r="R237" s="1" t="s">
        <v>227</v>
      </c>
      <c r="S237" s="1" t="s">
        <v>755</v>
      </c>
      <c r="T237" s="1" t="s">
        <v>2268</v>
      </c>
      <c r="U237" s="1" t="s">
        <v>228</v>
      </c>
      <c r="V237" s="1" t="s">
        <v>152</v>
      </c>
      <c r="W237" s="2">
        <v>44616</v>
      </c>
      <c r="X237" s="1" t="s">
        <v>1218</v>
      </c>
      <c r="Y237" s="1">
        <v>155.93</v>
      </c>
      <c r="Z237" s="1">
        <v>20</v>
      </c>
      <c r="AA237" s="1">
        <v>11</v>
      </c>
      <c r="AB237" s="1">
        <v>14.4</v>
      </c>
      <c r="AC237" s="1">
        <v>9</v>
      </c>
      <c r="AD237" s="3">
        <v>288</v>
      </c>
      <c r="AE237" s="3">
        <v>279.22801648392101</v>
      </c>
      <c r="AF237" s="2">
        <v>44616</v>
      </c>
      <c r="AG237" s="1">
        <v>49</v>
      </c>
      <c r="AH237" s="3">
        <v>4.0684462696782999</v>
      </c>
      <c r="AI237" s="4">
        <v>20.642841303381601</v>
      </c>
      <c r="AJ237" s="4">
        <v>12.497142857142901</v>
      </c>
      <c r="AK237" s="4">
        <v>15.563049543856501</v>
      </c>
      <c r="AL237" s="1">
        <v>35</v>
      </c>
      <c r="AM237" s="5">
        <v>1253.45588314257</v>
      </c>
      <c r="AN237" s="4">
        <v>148.15249857943999</v>
      </c>
      <c r="AO237" s="4">
        <v>0.118195223758497</v>
      </c>
      <c r="AP237" s="1" t="s">
        <v>755</v>
      </c>
      <c r="AQ237" s="1" t="s">
        <v>156</v>
      </c>
      <c r="AR237" s="1" t="s">
        <v>164</v>
      </c>
      <c r="AS237" s="1">
        <v>7.5</v>
      </c>
      <c r="AT237" s="4">
        <v>0.94009191235692757</v>
      </c>
      <c r="AU237" s="1" t="s">
        <v>1219</v>
      </c>
      <c r="AV237" s="1" t="s">
        <v>1220</v>
      </c>
      <c r="AW237" s="1">
        <v>7914</v>
      </c>
      <c r="AX237" s="1">
        <v>2506</v>
      </c>
      <c r="AY237" s="1">
        <v>2613</v>
      </c>
      <c r="AZ237" s="1">
        <v>1791</v>
      </c>
      <c r="BA237" s="1">
        <v>1004</v>
      </c>
      <c r="BB237" s="1">
        <v>0</v>
      </c>
      <c r="BC237" s="1">
        <v>0</v>
      </c>
      <c r="BD237" s="1">
        <v>0</v>
      </c>
      <c r="BE237" s="1">
        <v>0</v>
      </c>
      <c r="BF237" s="1">
        <v>0</v>
      </c>
      <c r="BG237" s="1">
        <v>0</v>
      </c>
      <c r="BH237" s="4">
        <v>-0.17</v>
      </c>
      <c r="BI237" s="4">
        <v>23.450001</v>
      </c>
      <c r="BJ237" s="4">
        <v>9.6638339999999996</v>
      </c>
      <c r="BK237" s="4">
        <v>-0.17</v>
      </c>
      <c r="BL237" s="4">
        <v>9.1343630000000005</v>
      </c>
      <c r="BM237" s="4">
        <v>83.436592000000005</v>
      </c>
      <c r="BN237" s="4">
        <v>0.94521100000000002</v>
      </c>
      <c r="BO237" s="4">
        <v>19.539999000000002</v>
      </c>
      <c r="BP237" s="4">
        <v>0.12295300000000001</v>
      </c>
      <c r="BQ237" s="4">
        <v>1.2272019999999999</v>
      </c>
      <c r="BR237" s="4">
        <v>8.7230349999999994</v>
      </c>
      <c r="BS237" s="4">
        <v>7.22</v>
      </c>
      <c r="BT237" s="4">
        <v>7.34</v>
      </c>
      <c r="BU237" s="4">
        <v>9.6638339999999996</v>
      </c>
      <c r="BV237" s="4">
        <v>5.0153699999999999</v>
      </c>
      <c r="BW237" s="4">
        <v>0.39546100000000001</v>
      </c>
      <c r="BX237" s="4">
        <v>-0.86782099999999995</v>
      </c>
      <c r="BY237" s="4">
        <v>0.51898299999999997</v>
      </c>
      <c r="BZ237" s="4">
        <v>7.8850000000000003E-2</v>
      </c>
      <c r="CA237" s="4">
        <v>-0.17303199999999999</v>
      </c>
      <c r="CB237" s="4">
        <v>-0.09</v>
      </c>
      <c r="CC237" s="4">
        <v>-0.05</v>
      </c>
      <c r="CD237" s="4">
        <v>-0.03</v>
      </c>
      <c r="CE237" s="4">
        <v>-0.01</v>
      </c>
      <c r="CF237" s="4">
        <v>0.01</v>
      </c>
      <c r="CG237" s="4">
        <v>0.03</v>
      </c>
      <c r="CH237" s="4">
        <v>2.2799999999999998</v>
      </c>
      <c r="CI237" s="4">
        <v>7.17</v>
      </c>
      <c r="CJ237" s="4">
        <v>15.505997000000001</v>
      </c>
      <c r="CK237" s="4">
        <v>18.649999999999999</v>
      </c>
      <c r="CL237" s="4">
        <v>19.549999</v>
      </c>
      <c r="CM237" s="4">
        <v>20.09</v>
      </c>
      <c r="CN237" s="4">
        <v>21.17</v>
      </c>
      <c r="CO237" s="4">
        <v>21.74</v>
      </c>
      <c r="CP237" s="4">
        <v>22.709999</v>
      </c>
      <c r="CQ237" s="4">
        <v>0.41633500000000001</v>
      </c>
      <c r="CR237" s="4">
        <v>13.297207999999999</v>
      </c>
      <c r="CS237" s="4">
        <v>15.058794000000001</v>
      </c>
      <c r="CT237" s="1">
        <v>1</v>
      </c>
      <c r="CU237" s="1">
        <v>165</v>
      </c>
      <c r="CV237" s="4">
        <v>35.030579000000003</v>
      </c>
      <c r="CW237" s="4">
        <v>1</v>
      </c>
      <c r="CX237" s="4">
        <v>36.292026</v>
      </c>
      <c r="CY237" s="4">
        <v>1317.111159</v>
      </c>
      <c r="CZ237" s="4">
        <v>1.0360100000000001</v>
      </c>
      <c r="DA237" s="4">
        <v>48</v>
      </c>
      <c r="DB237" s="4">
        <v>1.2619400000000001</v>
      </c>
      <c r="DC237" s="4">
        <v>3.9331999999999998</v>
      </c>
      <c r="DD237" s="4">
        <v>29.201325000000001</v>
      </c>
      <c r="DE237" s="4">
        <v>35.030579000000003</v>
      </c>
      <c r="DF237" s="4">
        <v>19.089734</v>
      </c>
      <c r="DG237" s="4">
        <v>6.1287890000000003</v>
      </c>
      <c r="DH237" s="4">
        <v>1.710718</v>
      </c>
      <c r="DI237" s="4">
        <v>0.54494500000000001</v>
      </c>
      <c r="DJ237" s="4">
        <v>0.321052</v>
      </c>
      <c r="DK237" s="4">
        <v>8.9615E-2</v>
      </c>
      <c r="DL237" s="4">
        <v>1</v>
      </c>
      <c r="DM237" s="4">
        <v>1</v>
      </c>
      <c r="DN237" s="4">
        <v>2</v>
      </c>
      <c r="DO237" s="4">
        <v>4</v>
      </c>
      <c r="DP237" s="4">
        <v>6</v>
      </c>
      <c r="DQ237" s="4">
        <v>8</v>
      </c>
      <c r="DR237" s="4">
        <v>13</v>
      </c>
      <c r="DS237" s="4">
        <v>21</v>
      </c>
      <c r="DT237" s="4">
        <v>33</v>
      </c>
      <c r="DU237" s="4">
        <v>47</v>
      </c>
      <c r="DV237" s="4">
        <v>54</v>
      </c>
      <c r="DW237" s="4">
        <v>63</v>
      </c>
      <c r="DX237" s="4">
        <v>88</v>
      </c>
      <c r="DY237" s="4">
        <v>115</v>
      </c>
      <c r="DZ237" s="4">
        <v>144</v>
      </c>
      <c r="EA237" s="4">
        <v>92.537908999999999</v>
      </c>
      <c r="EB237" s="4">
        <v>58.946171</v>
      </c>
      <c r="EC237" s="4">
        <v>186.153232</v>
      </c>
      <c r="ED237" s="4">
        <v>2319</v>
      </c>
      <c r="EE237" s="4">
        <v>4665</v>
      </c>
      <c r="EF237" s="4">
        <v>87.909018000000003</v>
      </c>
      <c r="EG237" s="4">
        <v>99.960095999999993</v>
      </c>
      <c r="EH237" s="4">
        <v>47.068486</v>
      </c>
      <c r="EI237" s="4">
        <v>99.949456999999995</v>
      </c>
      <c r="EJ237" s="4">
        <v>148.64325600000001</v>
      </c>
      <c r="EK237" s="4">
        <v>315.64245799999998</v>
      </c>
      <c r="EL237" s="4">
        <v>2203</v>
      </c>
      <c r="EM237" s="4">
        <v>2505</v>
      </c>
      <c r="EN237" s="4">
        <v>3725</v>
      </c>
      <c r="EO237" s="4">
        <v>7910</v>
      </c>
      <c r="EP237" s="4">
        <v>2506</v>
      </c>
      <c r="EQ237" s="4">
        <v>7914</v>
      </c>
      <c r="ER237" s="4">
        <v>41.589174</v>
      </c>
    </row>
    <row r="238" spans="1:148" x14ac:dyDescent="0.2">
      <c r="A238" s="1">
        <v>2022</v>
      </c>
      <c r="B238" s="1" t="str">
        <f t="shared" si="6"/>
        <v>RD</v>
      </c>
      <c r="C238" s="1" t="s">
        <v>1221</v>
      </c>
      <c r="D238" s="1" t="s">
        <v>1221</v>
      </c>
      <c r="E238" s="1">
        <v>26148</v>
      </c>
      <c r="F238" s="1" t="s">
        <v>2134</v>
      </c>
      <c r="G238" s="1" t="s">
        <v>1216</v>
      </c>
      <c r="H238" s="1" t="s">
        <v>1217</v>
      </c>
      <c r="I238" s="1">
        <v>57.39</v>
      </c>
      <c r="J238" s="1">
        <v>57.39</v>
      </c>
      <c r="K238" s="1" t="s">
        <v>226</v>
      </c>
      <c r="L238" s="1">
        <v>1</v>
      </c>
      <c r="M238" s="1">
        <v>2018</v>
      </c>
      <c r="N238" s="1">
        <v>4</v>
      </c>
      <c r="O238" s="1">
        <v>1</v>
      </c>
      <c r="P238" s="1" t="str">
        <f t="shared" si="7"/>
        <v>Alto fuste</v>
      </c>
      <c r="Q238" s="2">
        <v>43130</v>
      </c>
      <c r="R238" s="1" t="s">
        <v>227</v>
      </c>
      <c r="S238" s="1" t="s">
        <v>755</v>
      </c>
      <c r="T238" s="1" t="s">
        <v>2268</v>
      </c>
      <c r="U238" s="1" t="s">
        <v>228</v>
      </c>
      <c r="V238" s="1" t="s">
        <v>152</v>
      </c>
      <c r="W238" s="2">
        <v>44616</v>
      </c>
      <c r="X238" s="1" t="s">
        <v>1218</v>
      </c>
      <c r="Y238" s="1">
        <v>155.93</v>
      </c>
      <c r="Z238" s="1">
        <v>20</v>
      </c>
      <c r="AA238" s="1">
        <v>26</v>
      </c>
      <c r="AB238" s="1">
        <v>15</v>
      </c>
      <c r="AC238" s="1">
        <v>3</v>
      </c>
      <c r="AD238" s="3">
        <v>300</v>
      </c>
      <c r="AE238" s="3">
        <v>269.26868408877499</v>
      </c>
      <c r="AF238" s="2">
        <v>44616</v>
      </c>
      <c r="AG238" s="1">
        <v>49</v>
      </c>
      <c r="AH238" s="3">
        <v>4.0684462696782999</v>
      </c>
      <c r="AI238" s="4">
        <v>20.977130511483001</v>
      </c>
      <c r="AJ238" s="4">
        <v>11.7731707317073</v>
      </c>
      <c r="AK238" s="4">
        <v>16.863873403362199</v>
      </c>
      <c r="AL238" s="1">
        <v>41</v>
      </c>
      <c r="AM238" s="5">
        <v>1522.6427142371599</v>
      </c>
      <c r="AN238" s="4">
        <v>167.043782145298</v>
      </c>
      <c r="AO238" s="4">
        <v>0.109706486349943</v>
      </c>
      <c r="AP238" s="1" t="s">
        <v>755</v>
      </c>
      <c r="AQ238" s="1" t="s">
        <v>156</v>
      </c>
      <c r="AR238" s="1" t="s">
        <v>164</v>
      </c>
      <c r="AS238" s="1">
        <v>7.5</v>
      </c>
      <c r="AT238" s="4">
        <v>1.14198203567787</v>
      </c>
      <c r="AU238" s="1" t="s">
        <v>1222</v>
      </c>
      <c r="AV238" s="1" t="s">
        <v>1223</v>
      </c>
      <c r="AW238" s="1">
        <v>6885</v>
      </c>
      <c r="AX238" s="1">
        <v>2603</v>
      </c>
      <c r="AY238" s="1">
        <v>2398</v>
      </c>
      <c r="AZ238" s="1">
        <v>1356</v>
      </c>
      <c r="BA238" s="1">
        <v>528</v>
      </c>
      <c r="BB238" s="1">
        <v>0</v>
      </c>
      <c r="BC238" s="1">
        <v>0</v>
      </c>
      <c r="BD238" s="1">
        <v>0</v>
      </c>
      <c r="BE238" s="1">
        <v>0</v>
      </c>
      <c r="BF238" s="1">
        <v>0</v>
      </c>
      <c r="BG238" s="1">
        <v>0</v>
      </c>
      <c r="BH238" s="4">
        <v>-0.16</v>
      </c>
      <c r="BI238" s="4">
        <v>23.48</v>
      </c>
      <c r="BJ238" s="4">
        <v>9.4645679999999999</v>
      </c>
      <c r="BK238" s="4">
        <v>-0.16</v>
      </c>
      <c r="BL238" s="4">
        <v>9.1273110000000006</v>
      </c>
      <c r="BM238" s="4">
        <v>83.307811000000001</v>
      </c>
      <c r="BN238" s="4">
        <v>0.96436599999999995</v>
      </c>
      <c r="BO238" s="4">
        <v>19.290001</v>
      </c>
      <c r="BP238" s="4">
        <v>0.12132999999999999</v>
      </c>
      <c r="BQ238" s="4">
        <v>1.196536</v>
      </c>
      <c r="BR238" s="4">
        <v>8.765352</v>
      </c>
      <c r="BS238" s="4">
        <v>6.85</v>
      </c>
      <c r="BT238" s="4">
        <v>6.95</v>
      </c>
      <c r="BU238" s="4">
        <v>9.4645679999999999</v>
      </c>
      <c r="BV238" s="4">
        <v>4.9685290000000002</v>
      </c>
      <c r="BW238" s="4">
        <v>0.40409200000000001</v>
      </c>
      <c r="BX238" s="4">
        <v>-0.90990800000000005</v>
      </c>
      <c r="BY238" s="4">
        <v>0.52496100000000001</v>
      </c>
      <c r="BZ238" s="4">
        <v>8.133E-2</v>
      </c>
      <c r="CA238" s="4">
        <v>-0.18313399999999999</v>
      </c>
      <c r="CB238" s="4">
        <v>-0.1</v>
      </c>
      <c r="CC238" s="4">
        <v>-0.06</v>
      </c>
      <c r="CD238" s="4">
        <v>-0.04</v>
      </c>
      <c r="CE238" s="4">
        <v>-0.01</v>
      </c>
      <c r="CF238" s="4">
        <v>0</v>
      </c>
      <c r="CG238" s="4">
        <v>0.01</v>
      </c>
      <c r="CH238" s="4">
        <v>0.09</v>
      </c>
      <c r="CI238" s="4">
        <v>6.79</v>
      </c>
      <c r="CJ238" s="4">
        <v>15.773999</v>
      </c>
      <c r="CK238" s="4">
        <v>18.700001</v>
      </c>
      <c r="CL238" s="4">
        <v>19.290001</v>
      </c>
      <c r="CM238" s="4">
        <v>19.760000000000002</v>
      </c>
      <c r="CN238" s="4">
        <v>20.74</v>
      </c>
      <c r="CO238" s="4">
        <v>21.379999000000002</v>
      </c>
      <c r="CP238" s="4">
        <v>22.248007000000001</v>
      </c>
      <c r="CQ238" s="4">
        <v>0.40713100000000002</v>
      </c>
      <c r="CR238" s="4">
        <v>13.148147</v>
      </c>
      <c r="CS238" s="4">
        <v>14.895768</v>
      </c>
      <c r="CT238" s="1">
        <v>1</v>
      </c>
      <c r="CU238" s="1">
        <v>172</v>
      </c>
      <c r="CV238" s="4">
        <v>41.204211999999998</v>
      </c>
      <c r="CW238" s="4">
        <v>1</v>
      </c>
      <c r="CX238" s="4">
        <v>40.551735000000001</v>
      </c>
      <c r="CY238" s="4">
        <v>1644.443184</v>
      </c>
      <c r="CZ238" s="4">
        <v>0.98416499999999996</v>
      </c>
      <c r="DA238" s="4">
        <v>59</v>
      </c>
      <c r="DB238" s="4">
        <v>0.97631800000000002</v>
      </c>
      <c r="DC238" s="4">
        <v>2.910155</v>
      </c>
      <c r="DD238" s="4">
        <v>33.626505999999999</v>
      </c>
      <c r="DE238" s="4">
        <v>41.204211999999998</v>
      </c>
      <c r="DF238" s="4">
        <v>21.925906999999999</v>
      </c>
      <c r="DG238" s="4">
        <v>6.1596989999999998</v>
      </c>
      <c r="DH238" s="4">
        <v>1.0494730000000001</v>
      </c>
      <c r="DI238" s="4">
        <v>0.53212800000000005</v>
      </c>
      <c r="DJ238" s="4">
        <v>0.28093200000000002</v>
      </c>
      <c r="DK238" s="4">
        <v>4.7863999999999997E-2</v>
      </c>
      <c r="DL238" s="4">
        <v>1</v>
      </c>
      <c r="DM238" s="4">
        <v>1</v>
      </c>
      <c r="DN238" s="4">
        <v>2</v>
      </c>
      <c r="DO238" s="4">
        <v>5</v>
      </c>
      <c r="DP238" s="4">
        <v>7</v>
      </c>
      <c r="DQ238" s="4">
        <v>9</v>
      </c>
      <c r="DR238" s="4">
        <v>16</v>
      </c>
      <c r="DS238" s="4">
        <v>27</v>
      </c>
      <c r="DT238" s="4">
        <v>42</v>
      </c>
      <c r="DU238" s="4">
        <v>57</v>
      </c>
      <c r="DV238" s="4">
        <v>66</v>
      </c>
      <c r="DW238" s="4">
        <v>74</v>
      </c>
      <c r="DX238" s="4">
        <v>107</v>
      </c>
      <c r="DY238" s="4">
        <v>129</v>
      </c>
      <c r="DZ238" s="4">
        <v>143</v>
      </c>
      <c r="EA238" s="4">
        <v>89.166347000000002</v>
      </c>
      <c r="EB238" s="4">
        <v>56.935366999999999</v>
      </c>
      <c r="EC238" s="4">
        <v>150.59546700000001</v>
      </c>
      <c r="ED238" s="4">
        <v>2321</v>
      </c>
      <c r="EE238" s="4">
        <v>3920</v>
      </c>
      <c r="EF238" s="4">
        <v>82.558586000000005</v>
      </c>
      <c r="EG238" s="4">
        <v>100</v>
      </c>
      <c r="EH238" s="4">
        <v>47.145969000000001</v>
      </c>
      <c r="EI238" s="4">
        <v>99.956427000000005</v>
      </c>
      <c r="EJ238" s="4">
        <v>124.70226700000001</v>
      </c>
      <c r="EK238" s="4">
        <v>264.38724500000001</v>
      </c>
      <c r="EL238" s="4">
        <v>2149</v>
      </c>
      <c r="EM238" s="4">
        <v>2603</v>
      </c>
      <c r="EN238" s="4">
        <v>3246</v>
      </c>
      <c r="EO238" s="4">
        <v>6882</v>
      </c>
      <c r="EP238" s="4">
        <v>2603</v>
      </c>
      <c r="EQ238" s="4">
        <v>6885</v>
      </c>
      <c r="ER238" s="4">
        <v>41.569530999999998</v>
      </c>
    </row>
    <row r="239" spans="1:148" x14ac:dyDescent="0.2">
      <c r="A239" s="1">
        <v>2022</v>
      </c>
      <c r="B239" s="1" t="str">
        <f t="shared" si="6"/>
        <v>RD</v>
      </c>
      <c r="C239" s="1" t="s">
        <v>1224</v>
      </c>
      <c r="D239" s="1" t="s">
        <v>1224</v>
      </c>
      <c r="E239" s="1">
        <v>26149</v>
      </c>
      <c r="F239" s="1" t="s">
        <v>2134</v>
      </c>
      <c r="G239" s="1" t="s">
        <v>1216</v>
      </c>
      <c r="H239" s="1" t="s">
        <v>1217</v>
      </c>
      <c r="I239" s="1">
        <v>57.39</v>
      </c>
      <c r="J239" s="1">
        <v>57.39</v>
      </c>
      <c r="K239" s="1" t="s">
        <v>226</v>
      </c>
      <c r="L239" s="1">
        <v>1</v>
      </c>
      <c r="M239" s="1">
        <v>2018</v>
      </c>
      <c r="N239" s="1">
        <v>4</v>
      </c>
      <c r="O239" s="1">
        <v>1</v>
      </c>
      <c r="P239" s="1" t="str">
        <f t="shared" si="7"/>
        <v>Alto fuste</v>
      </c>
      <c r="Q239" s="2">
        <v>43130</v>
      </c>
      <c r="R239" s="1" t="s">
        <v>227</v>
      </c>
      <c r="S239" s="1" t="s">
        <v>755</v>
      </c>
      <c r="T239" s="1" t="s">
        <v>2268</v>
      </c>
      <c r="U239" s="1" t="s">
        <v>228</v>
      </c>
      <c r="V239" s="1" t="s">
        <v>152</v>
      </c>
      <c r="W239" s="2">
        <v>44616</v>
      </c>
      <c r="X239" s="1" t="s">
        <v>1218</v>
      </c>
      <c r="Y239" s="1">
        <v>155.93</v>
      </c>
      <c r="Z239" s="1">
        <v>20.5</v>
      </c>
      <c r="AA239" s="1">
        <v>10</v>
      </c>
      <c r="AB239" s="1">
        <v>15.2</v>
      </c>
      <c r="AC239" s="1">
        <v>3</v>
      </c>
      <c r="AD239" s="3">
        <v>311.60000000000002</v>
      </c>
      <c r="AE239" s="3">
        <v>306.44554651925802</v>
      </c>
      <c r="AF239" s="2">
        <v>44616</v>
      </c>
      <c r="AG239" s="1">
        <v>49</v>
      </c>
      <c r="AH239" s="3">
        <v>4.0684462696782999</v>
      </c>
      <c r="AI239" s="4">
        <v>22.147074656049799</v>
      </c>
      <c r="AJ239" s="4">
        <v>12.671052631578901</v>
      </c>
      <c r="AK239" s="4">
        <v>15.7670620271307</v>
      </c>
      <c r="AL239" s="1">
        <v>38</v>
      </c>
      <c r="AM239" s="5">
        <v>1240.0245469911599</v>
      </c>
      <c r="AN239" s="4">
        <v>162.41541654450199</v>
      </c>
      <c r="AO239" s="4">
        <v>0.130977581805612</v>
      </c>
      <c r="AP239" s="1" t="s">
        <v>755</v>
      </c>
      <c r="AQ239" s="1" t="s">
        <v>156</v>
      </c>
      <c r="AR239" s="1" t="s">
        <v>164</v>
      </c>
      <c r="AS239" s="1">
        <v>7.5</v>
      </c>
      <c r="AT239" s="4">
        <v>0.93001841024336995</v>
      </c>
      <c r="AU239" s="1" t="s">
        <v>1225</v>
      </c>
      <c r="AV239" s="1" t="s">
        <v>1226</v>
      </c>
      <c r="AW239" s="1">
        <v>14054</v>
      </c>
      <c r="AX239" s="1">
        <v>5611</v>
      </c>
      <c r="AY239" s="1">
        <v>4429</v>
      </c>
      <c r="AZ239" s="1">
        <v>2772</v>
      </c>
      <c r="BA239" s="1">
        <v>1242</v>
      </c>
      <c r="BB239" s="1">
        <v>0</v>
      </c>
      <c r="BC239" s="1">
        <v>0</v>
      </c>
      <c r="BD239" s="1">
        <v>0</v>
      </c>
      <c r="BE239" s="1">
        <v>0</v>
      </c>
      <c r="BF239" s="1">
        <v>0</v>
      </c>
      <c r="BG239" s="1">
        <v>0</v>
      </c>
      <c r="BH239" s="4">
        <v>-0.14000000000000001</v>
      </c>
      <c r="BI239" s="4">
        <v>24.639999</v>
      </c>
      <c r="BJ239" s="4">
        <v>12.533462999999999</v>
      </c>
      <c r="BK239" s="4">
        <v>-0.14000000000000001</v>
      </c>
      <c r="BL239" s="4">
        <v>9.4360409999999995</v>
      </c>
      <c r="BM239" s="4">
        <v>89.038867999999994</v>
      </c>
      <c r="BN239" s="4">
        <v>0.75286799999999998</v>
      </c>
      <c r="BO239" s="4">
        <v>21.49</v>
      </c>
      <c r="BP239" s="4">
        <v>-0.30299799999999999</v>
      </c>
      <c r="BQ239" s="4">
        <v>1.377464</v>
      </c>
      <c r="BR239" s="4">
        <v>8.7124919999999992</v>
      </c>
      <c r="BS239" s="4">
        <v>7.2649990000000004</v>
      </c>
      <c r="BT239" s="4">
        <v>15.255000000000001</v>
      </c>
      <c r="BU239" s="4">
        <v>12.533462999999999</v>
      </c>
      <c r="BV239" s="4">
        <v>5.2146160000000004</v>
      </c>
      <c r="BW239" s="4">
        <v>-0.51878599999999997</v>
      </c>
      <c r="BX239" s="4">
        <v>-0.74029599999999995</v>
      </c>
      <c r="BY239" s="4">
        <v>0.41605599999999998</v>
      </c>
      <c r="BZ239" s="4">
        <v>-9.9487000000000006E-2</v>
      </c>
      <c r="CA239" s="4">
        <v>-0.14196500000000001</v>
      </c>
      <c r="CB239" s="4">
        <v>-7.0000000000000007E-2</v>
      </c>
      <c r="CC239" s="4">
        <v>-0.04</v>
      </c>
      <c r="CD239" s="4">
        <v>-0.02</v>
      </c>
      <c r="CE239" s="4">
        <v>0.01</v>
      </c>
      <c r="CF239" s="4">
        <v>0.03</v>
      </c>
      <c r="CG239" s="4">
        <v>3.12</v>
      </c>
      <c r="CH239" s="4">
        <v>10.25</v>
      </c>
      <c r="CI239" s="4">
        <v>15.115</v>
      </c>
      <c r="CJ239" s="4">
        <v>19.870000999999998</v>
      </c>
      <c r="CK239" s="4">
        <v>21.139999</v>
      </c>
      <c r="CL239" s="4">
        <v>21.52</v>
      </c>
      <c r="CM239" s="4">
        <v>21.870000999999998</v>
      </c>
      <c r="CN239" s="4">
        <v>22.639999</v>
      </c>
      <c r="CO239" s="4">
        <v>23.153496000000001</v>
      </c>
      <c r="CP239" s="4">
        <v>23.93</v>
      </c>
      <c r="CQ239" s="4">
        <v>0.51143899999999998</v>
      </c>
      <c r="CR239" s="4">
        <v>15.688219</v>
      </c>
      <c r="CS239" s="4">
        <v>17.170096000000001</v>
      </c>
      <c r="CT239" s="1">
        <v>1</v>
      </c>
      <c r="CU239" s="1">
        <v>176</v>
      </c>
      <c r="CV239" s="4">
        <v>34.243845</v>
      </c>
      <c r="CW239" s="4">
        <v>1</v>
      </c>
      <c r="CX239" s="4">
        <v>35.428308999999999</v>
      </c>
      <c r="CY239" s="4">
        <v>1255.1651139999999</v>
      </c>
      <c r="CZ239" s="4">
        <v>1.034589</v>
      </c>
      <c r="DA239" s="4">
        <v>51</v>
      </c>
      <c r="DB239" s="4">
        <v>1.259034</v>
      </c>
      <c r="DC239" s="4">
        <v>4.1450180000000003</v>
      </c>
      <c r="DD239" s="4">
        <v>28.825516</v>
      </c>
      <c r="DE239" s="4">
        <v>34.243845</v>
      </c>
      <c r="DF239" s="4">
        <v>18.667269999999998</v>
      </c>
      <c r="DG239" s="4">
        <v>5.8562510000000003</v>
      </c>
      <c r="DH239" s="4">
        <v>1.3951039999999999</v>
      </c>
      <c r="DI239" s="4">
        <v>0.54512799999999995</v>
      </c>
      <c r="DJ239" s="4">
        <v>0.313718</v>
      </c>
      <c r="DK239" s="4">
        <v>7.4734999999999996E-2</v>
      </c>
      <c r="DL239" s="4">
        <v>1</v>
      </c>
      <c r="DM239" s="4">
        <v>1</v>
      </c>
      <c r="DN239" s="4">
        <v>2</v>
      </c>
      <c r="DO239" s="4">
        <v>4</v>
      </c>
      <c r="DP239" s="4">
        <v>5</v>
      </c>
      <c r="DQ239" s="4">
        <v>7</v>
      </c>
      <c r="DR239" s="4">
        <v>12</v>
      </c>
      <c r="DS239" s="4">
        <v>20</v>
      </c>
      <c r="DT239" s="4">
        <v>33</v>
      </c>
      <c r="DU239" s="4">
        <v>48</v>
      </c>
      <c r="DV239" s="4">
        <v>56</v>
      </c>
      <c r="DW239" s="4">
        <v>64</v>
      </c>
      <c r="DX239" s="4">
        <v>84</v>
      </c>
      <c r="DY239" s="4">
        <v>104</v>
      </c>
      <c r="DZ239" s="4">
        <v>150</v>
      </c>
      <c r="EA239" s="4">
        <v>96.310817999999998</v>
      </c>
      <c r="EB239" s="4">
        <v>70.037000000000006</v>
      </c>
      <c r="EC239" s="4">
        <v>175.42327599999999</v>
      </c>
      <c r="ED239" s="4">
        <v>5404</v>
      </c>
      <c r="EE239" s="4">
        <v>9843</v>
      </c>
      <c r="EF239" s="4">
        <v>89.609695000000002</v>
      </c>
      <c r="EG239" s="4">
        <v>100</v>
      </c>
      <c r="EH239" s="4">
        <v>57.513874999999999</v>
      </c>
      <c r="EI239" s="4">
        <v>99.978654000000006</v>
      </c>
      <c r="EJ239" s="4">
        <v>144.056318</v>
      </c>
      <c r="EK239" s="4">
        <v>250.41882000000001</v>
      </c>
      <c r="EL239" s="4">
        <v>5028</v>
      </c>
      <c r="EM239" s="4">
        <v>5611</v>
      </c>
      <c r="EN239" s="4">
        <v>8083</v>
      </c>
      <c r="EO239" s="4">
        <v>14051</v>
      </c>
      <c r="EP239" s="4">
        <v>5611</v>
      </c>
      <c r="EQ239" s="4">
        <v>14054</v>
      </c>
      <c r="ER239" s="4">
        <v>51.388449000000001</v>
      </c>
    </row>
    <row r="240" spans="1:148" x14ac:dyDescent="0.2">
      <c r="A240" s="1">
        <v>2022</v>
      </c>
      <c r="B240" s="1" t="str">
        <f t="shared" si="6"/>
        <v>RD</v>
      </c>
      <c r="C240" s="1" t="s">
        <v>1227</v>
      </c>
      <c r="D240" s="1" t="s">
        <v>1227</v>
      </c>
      <c r="E240" s="1">
        <v>26283</v>
      </c>
      <c r="F240" s="1" t="s">
        <v>2135</v>
      </c>
      <c r="G240" s="1" t="s">
        <v>1228</v>
      </c>
      <c r="H240" s="1" t="s">
        <v>1229</v>
      </c>
      <c r="I240" s="1">
        <v>34.549999999999997</v>
      </c>
      <c r="J240" s="1">
        <v>34.549999999999997</v>
      </c>
      <c r="K240" s="1" t="s">
        <v>249</v>
      </c>
      <c r="L240" s="1">
        <v>1</v>
      </c>
      <c r="M240" s="1">
        <v>2018</v>
      </c>
      <c r="N240" s="1">
        <v>2</v>
      </c>
      <c r="O240" s="1">
        <v>1</v>
      </c>
      <c r="P240" s="1" t="str">
        <f t="shared" si="7"/>
        <v>Alto fuste</v>
      </c>
      <c r="Q240" s="2">
        <v>43168</v>
      </c>
      <c r="R240" s="1" t="s">
        <v>227</v>
      </c>
      <c r="S240" s="1" t="s">
        <v>755</v>
      </c>
      <c r="T240" s="1" t="s">
        <v>2268</v>
      </c>
      <c r="U240" s="1" t="s">
        <v>212</v>
      </c>
      <c r="V240" s="1" t="s">
        <v>152</v>
      </c>
      <c r="W240" s="2">
        <v>44774</v>
      </c>
      <c r="X240" s="1" t="s">
        <v>1230</v>
      </c>
      <c r="Y240" s="1">
        <v>169.67</v>
      </c>
      <c r="Z240" s="1">
        <v>20.6</v>
      </c>
      <c r="AA240" s="1">
        <v>7</v>
      </c>
      <c r="AB240" s="1">
        <v>16</v>
      </c>
      <c r="AC240" s="1">
        <v>1</v>
      </c>
      <c r="AD240" s="3">
        <v>329.6</v>
      </c>
      <c r="AE240" s="3">
        <v>327.09338608530197</v>
      </c>
      <c r="AF240" s="2">
        <v>44774</v>
      </c>
      <c r="AG240" s="1">
        <v>53</v>
      </c>
      <c r="AH240" s="3">
        <v>4.3969883641341498</v>
      </c>
      <c r="AI240" s="4">
        <v>23.580341260586898</v>
      </c>
      <c r="AJ240" s="4">
        <v>13.6666666666667</v>
      </c>
      <c r="AK240" s="4">
        <v>17.850581135165498</v>
      </c>
      <c r="AL240" s="1">
        <v>39</v>
      </c>
      <c r="AM240" s="5">
        <v>1192.32004250399</v>
      </c>
      <c r="AN240" s="4">
        <v>201.38156991040501</v>
      </c>
      <c r="AO240" s="4">
        <v>0.16889892204402199</v>
      </c>
      <c r="AP240" s="1" t="s">
        <v>755</v>
      </c>
      <c r="AQ240" s="1" t="s">
        <v>156</v>
      </c>
      <c r="AR240" s="1" t="s">
        <v>282</v>
      </c>
      <c r="AS240" s="1">
        <v>7.5</v>
      </c>
      <c r="AT240" s="4">
        <v>0.8942400318779925</v>
      </c>
      <c r="AU240" s="1" t="s">
        <v>1231</v>
      </c>
      <c r="AV240" s="1" t="s">
        <v>1232</v>
      </c>
      <c r="AW240" s="1">
        <v>5828</v>
      </c>
      <c r="AX240" s="1">
        <v>3204</v>
      </c>
      <c r="AY240" s="1">
        <v>2317</v>
      </c>
      <c r="AZ240" s="1">
        <v>296</v>
      </c>
      <c r="BA240" s="1">
        <v>11</v>
      </c>
      <c r="BB240" s="1">
        <v>0</v>
      </c>
      <c r="BC240" s="1">
        <v>0</v>
      </c>
      <c r="BD240" s="1">
        <v>0</v>
      </c>
      <c r="BE240" s="1">
        <v>0</v>
      </c>
      <c r="BF240" s="1">
        <v>0</v>
      </c>
      <c r="BG240" s="1">
        <v>0</v>
      </c>
      <c r="BH240" s="4">
        <v>-1.02</v>
      </c>
      <c r="BI240" s="4">
        <v>25.67</v>
      </c>
      <c r="BJ240" s="4">
        <v>11.292569</v>
      </c>
      <c r="BK240" s="4">
        <v>-0.17269799999999999</v>
      </c>
      <c r="BL240" s="4">
        <v>10.539230999999999</v>
      </c>
      <c r="BM240" s="4">
        <v>111.075395</v>
      </c>
      <c r="BN240" s="4">
        <v>0.93328900000000004</v>
      </c>
      <c r="BO240" s="4">
        <v>22.139999</v>
      </c>
      <c r="BP240" s="4">
        <v>1.2539E-2</v>
      </c>
      <c r="BQ240" s="4">
        <v>1.149416</v>
      </c>
      <c r="BR240" s="4">
        <v>10.132116999999999</v>
      </c>
      <c r="BS240" s="4">
        <v>11.56</v>
      </c>
      <c r="BT240" s="4">
        <v>12.102698</v>
      </c>
      <c r="BU240" s="4">
        <v>11.292569</v>
      </c>
      <c r="BV240" s="4">
        <v>5.7034890000000003</v>
      </c>
      <c r="BW240" s="4">
        <v>0.177756</v>
      </c>
      <c r="BX240" s="4">
        <v>-1.116247</v>
      </c>
      <c r="BY240" s="4">
        <v>0.50506600000000001</v>
      </c>
      <c r="BZ240" s="4">
        <v>3.1165999999999999E-2</v>
      </c>
      <c r="CA240" s="4">
        <v>-0.195713</v>
      </c>
      <c r="CB240" s="4">
        <v>-0.43730000000000002</v>
      </c>
      <c r="CC240" s="4">
        <v>-0.2</v>
      </c>
      <c r="CD240" s="4">
        <v>-0.1</v>
      </c>
      <c r="CE240" s="4">
        <v>0.03</v>
      </c>
      <c r="CF240" s="4">
        <v>0.08</v>
      </c>
      <c r="CG240" s="4">
        <v>0.14000000000000001</v>
      </c>
      <c r="CH240" s="4">
        <v>0.43</v>
      </c>
      <c r="CI240" s="4">
        <v>11.93</v>
      </c>
      <c r="CJ240" s="4">
        <v>20.41</v>
      </c>
      <c r="CK240" s="4">
        <v>21.74</v>
      </c>
      <c r="CL240" s="4">
        <v>22.219999000000001</v>
      </c>
      <c r="CM240" s="4">
        <v>22.706001000000001</v>
      </c>
      <c r="CN240" s="4">
        <v>23.532999</v>
      </c>
      <c r="CO240" s="4">
        <v>24.026499000000001</v>
      </c>
      <c r="CP240" s="4">
        <v>24.774601000000001</v>
      </c>
      <c r="CQ240" s="4">
        <v>0.46131800000000001</v>
      </c>
      <c r="CR240" s="4">
        <v>15.445985</v>
      </c>
      <c r="CS240" s="4">
        <v>17.343705</v>
      </c>
      <c r="CT240" s="1">
        <v>1</v>
      </c>
      <c r="CU240" s="1">
        <v>49</v>
      </c>
      <c r="CV240" s="4">
        <v>12.887955</v>
      </c>
      <c r="CW240" s="4">
        <v>1</v>
      </c>
      <c r="CX240" s="4">
        <v>9.1388979999999993</v>
      </c>
      <c r="CY240" s="4">
        <v>83.519450000000006</v>
      </c>
      <c r="CZ240" s="4">
        <v>0.70910399999999996</v>
      </c>
      <c r="DA240" s="4">
        <v>12</v>
      </c>
      <c r="DB240" s="4">
        <v>0.87522500000000003</v>
      </c>
      <c r="DC240" s="4">
        <v>3.446402</v>
      </c>
      <c r="DD240" s="4">
        <v>7.3409360000000001</v>
      </c>
      <c r="DE240" s="4">
        <v>12.887955</v>
      </c>
      <c r="DF240" s="4">
        <v>5.048292</v>
      </c>
      <c r="DG240" s="4">
        <v>0.88437699999999997</v>
      </c>
      <c r="DH240" s="4">
        <v>0.48000599999999999</v>
      </c>
      <c r="DI240" s="4">
        <v>0.391706</v>
      </c>
      <c r="DJ240" s="4">
        <v>0.17518300000000001</v>
      </c>
      <c r="DK240" s="4">
        <v>9.5083000000000001E-2</v>
      </c>
      <c r="DL240" s="4">
        <v>1</v>
      </c>
      <c r="DM240" s="4">
        <v>1</v>
      </c>
      <c r="DN240" s="4">
        <v>2</v>
      </c>
      <c r="DO240" s="4">
        <v>4</v>
      </c>
      <c r="DP240" s="4">
        <v>6</v>
      </c>
      <c r="DQ240" s="4">
        <v>7</v>
      </c>
      <c r="DR240" s="4">
        <v>9</v>
      </c>
      <c r="DS240" s="4">
        <v>11</v>
      </c>
      <c r="DT240" s="4">
        <v>14</v>
      </c>
      <c r="DU240" s="4">
        <v>17</v>
      </c>
      <c r="DV240" s="4">
        <v>18</v>
      </c>
      <c r="DW240" s="4">
        <v>20</v>
      </c>
      <c r="DX240" s="4">
        <v>25</v>
      </c>
      <c r="DY240" s="4">
        <v>31</v>
      </c>
      <c r="DZ240" s="4">
        <v>39</v>
      </c>
      <c r="EA240" s="4">
        <v>89.232209999999995</v>
      </c>
      <c r="EB240" s="4">
        <v>56.503089000000003</v>
      </c>
      <c r="EC240" s="4">
        <v>102.777778</v>
      </c>
      <c r="ED240" s="4">
        <v>2859</v>
      </c>
      <c r="EE240" s="4">
        <v>3293</v>
      </c>
      <c r="EF240" s="4">
        <v>84.425718000000003</v>
      </c>
      <c r="EG240" s="4">
        <v>99.968789000000001</v>
      </c>
      <c r="EH240" s="4">
        <v>50.703499999999998</v>
      </c>
      <c r="EI240" s="4">
        <v>94.166094999999999</v>
      </c>
      <c r="EJ240" s="4">
        <v>92.228464000000002</v>
      </c>
      <c r="EK240" s="4">
        <v>171.28589299999999</v>
      </c>
      <c r="EL240" s="4">
        <v>2705</v>
      </c>
      <c r="EM240" s="4">
        <v>3203</v>
      </c>
      <c r="EN240" s="4">
        <v>2955</v>
      </c>
      <c r="EO240" s="4">
        <v>5488</v>
      </c>
      <c r="EP240" s="4">
        <v>3204</v>
      </c>
      <c r="EQ240" s="4">
        <v>5828</v>
      </c>
      <c r="ER240" s="4">
        <v>44.690688999999999</v>
      </c>
    </row>
    <row r="241" spans="1:148" x14ac:dyDescent="0.2">
      <c r="A241" s="1">
        <v>2022</v>
      </c>
      <c r="B241" s="1" t="str">
        <f t="shared" si="6"/>
        <v>GN</v>
      </c>
      <c r="C241" s="1" t="s">
        <v>1233</v>
      </c>
      <c r="D241" s="1" t="s">
        <v>1233</v>
      </c>
      <c r="E241" s="1">
        <v>26292</v>
      </c>
      <c r="F241" s="1" t="s">
        <v>2136</v>
      </c>
      <c r="G241" s="1" t="s">
        <v>1234</v>
      </c>
      <c r="H241" s="1" t="s">
        <v>1235</v>
      </c>
      <c r="I241" s="1">
        <v>14.98</v>
      </c>
      <c r="J241" s="1">
        <v>14.98</v>
      </c>
      <c r="K241" s="1" t="s">
        <v>192</v>
      </c>
      <c r="L241" s="1">
        <v>1</v>
      </c>
      <c r="M241" s="1">
        <v>2018</v>
      </c>
      <c r="N241" s="1">
        <v>3</v>
      </c>
      <c r="O241" s="1">
        <v>1</v>
      </c>
      <c r="P241" s="1" t="str">
        <f t="shared" si="7"/>
        <v>Alto fuste</v>
      </c>
      <c r="Q241" s="2">
        <v>43130</v>
      </c>
      <c r="R241" s="1" t="s">
        <v>169</v>
      </c>
      <c r="S241" s="1" t="s">
        <v>442</v>
      </c>
      <c r="T241" s="1" t="s">
        <v>2268</v>
      </c>
      <c r="U241" s="1" t="s">
        <v>192</v>
      </c>
      <c r="V241" s="1" t="s">
        <v>152</v>
      </c>
      <c r="W241" s="2">
        <v>44734</v>
      </c>
      <c r="X241" s="1" t="s">
        <v>1236</v>
      </c>
      <c r="Y241" s="1">
        <v>61.54</v>
      </c>
      <c r="Z241" s="1">
        <v>21</v>
      </c>
      <c r="AA241" s="1">
        <v>8</v>
      </c>
      <c r="AB241" s="1">
        <v>15.1</v>
      </c>
      <c r="AC241" s="1">
        <v>1</v>
      </c>
      <c r="AD241" s="3">
        <v>317.10000000000002</v>
      </c>
      <c r="AE241" s="3">
        <v>313.966178744091</v>
      </c>
      <c r="AF241" s="2">
        <v>44734</v>
      </c>
      <c r="AG241" s="1">
        <v>53</v>
      </c>
      <c r="AH241" s="3">
        <v>4.3915126625598901</v>
      </c>
      <c r="AI241" s="4">
        <v>23.241969869700998</v>
      </c>
      <c r="AJ241" s="4">
        <v>14.479487179487201</v>
      </c>
      <c r="AK241" s="4">
        <v>20.734868938966901</v>
      </c>
      <c r="AL241" s="1">
        <v>39</v>
      </c>
      <c r="AM241" s="5">
        <v>1242.17201215766</v>
      </c>
      <c r="AN241" s="4">
        <v>215.84231165916</v>
      </c>
      <c r="AO241" s="4">
        <v>0.17376201487927601</v>
      </c>
      <c r="AP241" s="1" t="s">
        <v>442</v>
      </c>
      <c r="AQ241" s="1" t="s">
        <v>156</v>
      </c>
      <c r="AR241" s="1" t="s">
        <v>796</v>
      </c>
      <c r="AS241" s="1">
        <v>9</v>
      </c>
      <c r="AT241" s="4">
        <v>1.117954810941894</v>
      </c>
      <c r="AU241" s="1" t="s">
        <v>1237</v>
      </c>
      <c r="AV241" s="1" t="s">
        <v>1238</v>
      </c>
      <c r="AW241" s="1">
        <v>2388</v>
      </c>
      <c r="AX241" s="1">
        <v>1349</v>
      </c>
      <c r="AY241" s="1">
        <v>920</v>
      </c>
      <c r="AZ241" s="1">
        <v>117</v>
      </c>
      <c r="BA241" s="1">
        <v>2</v>
      </c>
      <c r="BB241" s="1">
        <v>0</v>
      </c>
      <c r="BC241" s="1">
        <v>0</v>
      </c>
      <c r="BD241" s="1">
        <v>0</v>
      </c>
      <c r="BE241" s="1">
        <v>0</v>
      </c>
      <c r="BF241" s="1">
        <v>0</v>
      </c>
      <c r="BG241" s="1">
        <v>0</v>
      </c>
      <c r="BH241" s="4">
        <v>-0.84099999999999997</v>
      </c>
      <c r="BI241" s="4">
        <v>23.620999999999999</v>
      </c>
      <c r="BJ241" s="4">
        <v>10.164702999999999</v>
      </c>
      <c r="BK241" s="4">
        <v>-6.4429E-2</v>
      </c>
      <c r="BL241" s="4">
        <v>8.6274189999999997</v>
      </c>
      <c r="BM241" s="4">
        <v>74.432356999999996</v>
      </c>
      <c r="BN241" s="4">
        <v>0.84876300000000005</v>
      </c>
      <c r="BO241" s="4">
        <v>18.528751</v>
      </c>
      <c r="BP241" s="4">
        <v>-0.128249</v>
      </c>
      <c r="BQ241" s="4">
        <v>1.3457140000000001</v>
      </c>
      <c r="BR241" s="4">
        <v>7.966907</v>
      </c>
      <c r="BS241" s="4">
        <v>7.7794990000000004</v>
      </c>
      <c r="BT241" s="4">
        <v>12.848428999999999</v>
      </c>
      <c r="BU241" s="4">
        <v>10.164702999999999</v>
      </c>
      <c r="BV241" s="4">
        <v>4.7743169999999999</v>
      </c>
      <c r="BW241" s="4">
        <v>-1.565E-3</v>
      </c>
      <c r="BX241" s="4">
        <v>-0.61861100000000002</v>
      </c>
      <c r="BY241" s="4">
        <v>0.469696</v>
      </c>
      <c r="BZ241" s="4">
        <v>-3.28E-4</v>
      </c>
      <c r="CA241" s="4">
        <v>-0.12957099999999999</v>
      </c>
      <c r="CB241" s="4">
        <v>-0.43913000000000002</v>
      </c>
      <c r="CC241" s="4">
        <v>-0.20630000000000001</v>
      </c>
      <c r="CD241" s="4">
        <v>-0.11360000000000001</v>
      </c>
      <c r="CE241" s="4">
        <v>8.3999999999999995E-3</v>
      </c>
      <c r="CF241" s="4">
        <v>7.2999999999999995E-2</v>
      </c>
      <c r="CG241" s="4">
        <v>0.13619999999999999</v>
      </c>
      <c r="CH241" s="4">
        <v>9.2425990000000002</v>
      </c>
      <c r="CI241" s="4">
        <v>12.784000000000001</v>
      </c>
      <c r="CJ241" s="4">
        <v>14.3132</v>
      </c>
      <c r="CK241" s="4">
        <v>17.068999999999999</v>
      </c>
      <c r="CL241" s="4">
        <v>18.601751</v>
      </c>
      <c r="CM241" s="4">
        <v>19.525400000000001</v>
      </c>
      <c r="CN241" s="4">
        <v>20.674600999999999</v>
      </c>
      <c r="CO241" s="4">
        <v>21.340548999999999</v>
      </c>
      <c r="CP241" s="4">
        <v>22.523468000000001</v>
      </c>
      <c r="CQ241" s="4">
        <v>0.44990999999999998</v>
      </c>
      <c r="CR241" s="4">
        <v>13.331256</v>
      </c>
      <c r="CS241" s="4">
        <v>14.792251</v>
      </c>
      <c r="CT241" s="1">
        <v>1</v>
      </c>
      <c r="CU241" s="1">
        <v>49</v>
      </c>
      <c r="CV241" s="4">
        <v>13.029731999999999</v>
      </c>
      <c r="CW241" s="4">
        <v>1</v>
      </c>
      <c r="CX241" s="4">
        <v>8.7576619999999998</v>
      </c>
      <c r="CY241" s="4">
        <v>76.696644000000006</v>
      </c>
      <c r="CZ241" s="4">
        <v>0.67212899999999998</v>
      </c>
      <c r="DA241" s="4">
        <v>12</v>
      </c>
      <c r="DB241" s="4">
        <v>0.93135299999999999</v>
      </c>
      <c r="DC241" s="4">
        <v>4.082668</v>
      </c>
      <c r="DD241" s="4">
        <v>6.9022819999999996</v>
      </c>
      <c r="DE241" s="4">
        <v>13.029731999999999</v>
      </c>
      <c r="DF241" s="4">
        <v>4.8003470000000004</v>
      </c>
      <c r="DG241" s="4">
        <v>0.69664000000000004</v>
      </c>
      <c r="DH241" s="4">
        <v>0.53634999999999999</v>
      </c>
      <c r="DI241" s="4">
        <v>0.36841499999999999</v>
      </c>
      <c r="DJ241" s="4">
        <v>0.145123</v>
      </c>
      <c r="DK241" s="4">
        <v>0.111731</v>
      </c>
      <c r="DL241" s="4">
        <v>1</v>
      </c>
      <c r="DM241" s="4">
        <v>1</v>
      </c>
      <c r="DN241" s="4">
        <v>3</v>
      </c>
      <c r="DO241" s="4">
        <v>5</v>
      </c>
      <c r="DP241" s="4">
        <v>6</v>
      </c>
      <c r="DQ241" s="4">
        <v>7</v>
      </c>
      <c r="DR241" s="4">
        <v>10</v>
      </c>
      <c r="DS241" s="4">
        <v>12</v>
      </c>
      <c r="DT241" s="4">
        <v>15</v>
      </c>
      <c r="DU241" s="4">
        <v>17</v>
      </c>
      <c r="DV241" s="4">
        <v>18</v>
      </c>
      <c r="DW241" s="4">
        <v>19</v>
      </c>
      <c r="DX241" s="4">
        <v>23</v>
      </c>
      <c r="DY241" s="4">
        <v>30</v>
      </c>
      <c r="DZ241" s="4">
        <v>40</v>
      </c>
      <c r="EA241" s="4">
        <v>94.662712999999997</v>
      </c>
      <c r="EB241" s="4">
        <v>61.264657</v>
      </c>
      <c r="EC241" s="4">
        <v>108.450704</v>
      </c>
      <c r="ED241" s="4">
        <v>1277</v>
      </c>
      <c r="EE241" s="4">
        <v>1463</v>
      </c>
      <c r="EF241" s="4">
        <v>93.106003999999999</v>
      </c>
      <c r="EG241" s="4">
        <v>99.925871000000001</v>
      </c>
      <c r="EH241" s="4">
        <v>59.296481999999997</v>
      </c>
      <c r="EI241" s="4">
        <v>85.929648</v>
      </c>
      <c r="EJ241" s="4">
        <v>104.96664199999999</v>
      </c>
      <c r="EK241" s="4">
        <v>152.11267599999999</v>
      </c>
      <c r="EL241" s="4">
        <v>1256</v>
      </c>
      <c r="EM241" s="4">
        <v>1348</v>
      </c>
      <c r="EN241" s="4">
        <v>1416</v>
      </c>
      <c r="EO241" s="4">
        <v>2052</v>
      </c>
      <c r="EP241" s="4">
        <v>1349</v>
      </c>
      <c r="EQ241" s="4">
        <v>2388</v>
      </c>
      <c r="ER241" s="4">
        <v>44.267266999999997</v>
      </c>
    </row>
    <row r="242" spans="1:148" x14ac:dyDescent="0.2">
      <c r="A242" s="1">
        <v>2022</v>
      </c>
      <c r="B242" s="1" t="str">
        <f t="shared" si="6"/>
        <v>RD</v>
      </c>
      <c r="C242" s="1" t="s">
        <v>1239</v>
      </c>
      <c r="D242" s="1" t="s">
        <v>1239</v>
      </c>
      <c r="E242" s="1">
        <v>26296</v>
      </c>
      <c r="F242" s="1" t="s">
        <v>2135</v>
      </c>
      <c r="G242" s="1" t="s">
        <v>1228</v>
      </c>
      <c r="H242" s="1" t="s">
        <v>1240</v>
      </c>
      <c r="I242" s="1">
        <v>53.66</v>
      </c>
      <c r="J242" s="1">
        <v>53.66</v>
      </c>
      <c r="K242" s="1" t="s">
        <v>249</v>
      </c>
      <c r="L242" s="1">
        <v>1</v>
      </c>
      <c r="M242" s="1">
        <v>2018</v>
      </c>
      <c r="N242" s="1">
        <v>3</v>
      </c>
      <c r="O242" s="1">
        <v>1</v>
      </c>
      <c r="P242" s="1" t="str">
        <f t="shared" si="7"/>
        <v>Alto fuste</v>
      </c>
      <c r="Q242" s="2">
        <v>43182</v>
      </c>
      <c r="R242" s="1" t="s">
        <v>227</v>
      </c>
      <c r="S242" s="1" t="s">
        <v>767</v>
      </c>
      <c r="T242" s="1" t="s">
        <v>2268</v>
      </c>
      <c r="U242" s="1" t="s">
        <v>212</v>
      </c>
      <c r="V242" s="1" t="s">
        <v>152</v>
      </c>
      <c r="W242" s="2">
        <v>44774</v>
      </c>
      <c r="X242" s="1" t="s">
        <v>1230</v>
      </c>
      <c r="Y242" s="1">
        <v>169.67</v>
      </c>
      <c r="Z242" s="1">
        <v>19.7</v>
      </c>
      <c r="AA242" s="1">
        <v>22</v>
      </c>
      <c r="AB242" s="1">
        <v>15.5</v>
      </c>
      <c r="AC242" s="1">
        <v>2</v>
      </c>
      <c r="AD242" s="3">
        <v>305.35000000000002</v>
      </c>
      <c r="AE242" s="3">
        <v>282.943123624073</v>
      </c>
      <c r="AF242" s="2">
        <v>44774</v>
      </c>
      <c r="AG242" s="1">
        <v>53</v>
      </c>
      <c r="AH242" s="3">
        <v>4.3586584531143098</v>
      </c>
      <c r="AI242" s="4">
        <v>20.5898080486906</v>
      </c>
      <c r="AJ242" s="4">
        <v>13.8275862068966</v>
      </c>
      <c r="AK242" s="4">
        <v>16.365935926868701</v>
      </c>
      <c r="AL242" s="1">
        <v>29</v>
      </c>
      <c r="AM242" s="5">
        <v>1024.94097147702</v>
      </c>
      <c r="AN242" s="4">
        <v>160.68894434435299</v>
      </c>
      <c r="AO242" s="4">
        <v>0.156778730498779</v>
      </c>
      <c r="AP242" s="1" t="s">
        <v>767</v>
      </c>
      <c r="AQ242" s="1" t="s">
        <v>156</v>
      </c>
      <c r="AR242" s="1" t="s">
        <v>282</v>
      </c>
      <c r="AS242" s="1">
        <v>7.5</v>
      </c>
      <c r="AT242" s="4">
        <v>0.76870572860776498</v>
      </c>
      <c r="AU242" s="1" t="s">
        <v>1241</v>
      </c>
      <c r="AV242" s="1" t="s">
        <v>1242</v>
      </c>
      <c r="AW242" s="1">
        <v>3623</v>
      </c>
      <c r="AX242" s="1">
        <v>2295</v>
      </c>
      <c r="AY242" s="1">
        <v>1263</v>
      </c>
      <c r="AZ242" s="1">
        <v>65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0</v>
      </c>
      <c r="BG242" s="1">
        <v>0</v>
      </c>
      <c r="BH242" s="4">
        <v>-0.81</v>
      </c>
      <c r="BI242" s="4">
        <v>24.459999</v>
      </c>
      <c r="BJ242" s="4">
        <v>8.1683079999999997</v>
      </c>
      <c r="BK242" s="4">
        <v>-7.7780000000000002E-3</v>
      </c>
      <c r="BL242" s="4">
        <v>9.7971129999999995</v>
      </c>
      <c r="BM242" s="4">
        <v>95.983418</v>
      </c>
      <c r="BN242" s="4">
        <v>1.1994050000000001</v>
      </c>
      <c r="BO242" s="4">
        <v>20.044999000000001</v>
      </c>
      <c r="BP242" s="4">
        <v>0.46739999999999998</v>
      </c>
      <c r="BQ242" s="4">
        <v>1.317428</v>
      </c>
      <c r="BR242" s="4">
        <v>9.3688610000000008</v>
      </c>
      <c r="BS242" s="4">
        <v>0.53</v>
      </c>
      <c r="BT242" s="4">
        <v>0.38777800000000001</v>
      </c>
      <c r="BU242" s="4">
        <v>8.1683079999999997</v>
      </c>
      <c r="BV242" s="4">
        <v>5.0563250000000002</v>
      </c>
      <c r="BW242" s="4">
        <v>1.201989</v>
      </c>
      <c r="BX242" s="4">
        <v>-0.72872199999999998</v>
      </c>
      <c r="BY242" s="4">
        <v>0.61901700000000004</v>
      </c>
      <c r="BZ242" s="4">
        <v>0.23771999999999999</v>
      </c>
      <c r="CA242" s="4">
        <v>-0.144121</v>
      </c>
      <c r="CB242" s="4">
        <v>-0.39779999999999999</v>
      </c>
      <c r="CC242" s="4">
        <v>-0.219</v>
      </c>
      <c r="CD242" s="4">
        <v>-0.13</v>
      </c>
      <c r="CE242" s="4">
        <v>-0.03</v>
      </c>
      <c r="CF242" s="4">
        <v>0.02</v>
      </c>
      <c r="CG242" s="4">
        <v>0.06</v>
      </c>
      <c r="CH242" s="4">
        <v>0.16</v>
      </c>
      <c r="CI242" s="4">
        <v>0.34</v>
      </c>
      <c r="CJ242" s="4">
        <v>8.7119940000000007</v>
      </c>
      <c r="CK242" s="4">
        <v>19.450001</v>
      </c>
      <c r="CL242" s="4">
        <v>20.064999</v>
      </c>
      <c r="CM242" s="4">
        <v>20.486000000000001</v>
      </c>
      <c r="CN242" s="4">
        <v>21.57</v>
      </c>
      <c r="CO242" s="4">
        <v>22.348998999999999</v>
      </c>
      <c r="CP242" s="4">
        <v>23.48</v>
      </c>
      <c r="CQ242" s="4">
        <v>0.35529500000000003</v>
      </c>
      <c r="CR242" s="4">
        <v>12.754536</v>
      </c>
      <c r="CS242" s="4">
        <v>14.941725999999999</v>
      </c>
      <c r="CT242" s="1">
        <v>1</v>
      </c>
      <c r="CU242" s="1">
        <v>54</v>
      </c>
      <c r="CV242" s="4">
        <v>15.152084</v>
      </c>
      <c r="CW242" s="4">
        <v>1</v>
      </c>
      <c r="CX242" s="4">
        <v>11.169805</v>
      </c>
      <c r="CY242" s="4">
        <v>124.76455</v>
      </c>
      <c r="CZ242" s="4">
        <v>0.73717900000000003</v>
      </c>
      <c r="DA242" s="4">
        <v>18</v>
      </c>
      <c r="DB242" s="4">
        <v>0.57060299999999997</v>
      </c>
      <c r="DC242" s="4">
        <v>2.2258599999999999</v>
      </c>
      <c r="DD242" s="4">
        <v>9.533766</v>
      </c>
      <c r="DE242" s="4">
        <v>15.152084</v>
      </c>
      <c r="DF242" s="4">
        <v>6.3038990000000004</v>
      </c>
      <c r="DG242" s="4">
        <v>1.0047950000000001</v>
      </c>
      <c r="DH242" s="4">
        <v>0.140459</v>
      </c>
      <c r="DI242" s="4">
        <v>0.41604200000000002</v>
      </c>
      <c r="DJ242" s="4">
        <v>0.15939300000000001</v>
      </c>
      <c r="DK242" s="4">
        <v>2.2280999999999999E-2</v>
      </c>
      <c r="DL242" s="4">
        <v>1</v>
      </c>
      <c r="DM242" s="4">
        <v>1</v>
      </c>
      <c r="DN242" s="4">
        <v>2</v>
      </c>
      <c r="DO242" s="4">
        <v>4</v>
      </c>
      <c r="DP242" s="4">
        <v>6</v>
      </c>
      <c r="DQ242" s="4">
        <v>7</v>
      </c>
      <c r="DR242" s="4">
        <v>10</v>
      </c>
      <c r="DS242" s="4">
        <v>12</v>
      </c>
      <c r="DT242" s="4">
        <v>16</v>
      </c>
      <c r="DU242" s="4">
        <v>21</v>
      </c>
      <c r="DV242" s="4">
        <v>24</v>
      </c>
      <c r="DW242" s="4">
        <v>27</v>
      </c>
      <c r="DX242" s="4">
        <v>32</v>
      </c>
      <c r="DY242" s="4">
        <v>36</v>
      </c>
      <c r="DZ242" s="4">
        <v>40</v>
      </c>
      <c r="EA242" s="4">
        <v>63.877996000000003</v>
      </c>
      <c r="EB242" s="4">
        <v>42.451006999999997</v>
      </c>
      <c r="EC242" s="4">
        <v>67.015251000000006</v>
      </c>
      <c r="ED242" s="4">
        <v>1466</v>
      </c>
      <c r="EE242" s="4">
        <v>1538</v>
      </c>
      <c r="EF242" s="4">
        <v>61.960783999999997</v>
      </c>
      <c r="EG242" s="4">
        <v>95.119826000000003</v>
      </c>
      <c r="EH242" s="4">
        <v>40.491306000000002</v>
      </c>
      <c r="EI242" s="4">
        <v>77.642837</v>
      </c>
      <c r="EJ242" s="4">
        <v>63.921568999999998</v>
      </c>
      <c r="EK242" s="4">
        <v>122.570806</v>
      </c>
      <c r="EL242" s="4">
        <v>1422</v>
      </c>
      <c r="EM242" s="4">
        <v>2183</v>
      </c>
      <c r="EN242" s="4">
        <v>1467</v>
      </c>
      <c r="EO242" s="4">
        <v>2813</v>
      </c>
      <c r="EP242" s="4">
        <v>2295</v>
      </c>
      <c r="EQ242" s="4">
        <v>3623</v>
      </c>
      <c r="ER242" s="4">
        <v>33.928621</v>
      </c>
    </row>
    <row r="243" spans="1:148" x14ac:dyDescent="0.2">
      <c r="A243" s="1">
        <v>2022</v>
      </c>
      <c r="B243" s="1" t="str">
        <f t="shared" si="6"/>
        <v>RD</v>
      </c>
      <c r="C243" s="1" t="s">
        <v>1243</v>
      </c>
      <c r="D243" s="1" t="s">
        <v>1243</v>
      </c>
      <c r="E243" s="1">
        <v>26297</v>
      </c>
      <c r="F243" s="1" t="s">
        <v>2135</v>
      </c>
      <c r="G243" s="1" t="s">
        <v>1228</v>
      </c>
      <c r="H243" s="1" t="s">
        <v>1240</v>
      </c>
      <c r="I243" s="1">
        <v>53.66</v>
      </c>
      <c r="J243" s="1">
        <v>53.66</v>
      </c>
      <c r="K243" s="1" t="s">
        <v>249</v>
      </c>
      <c r="L243" s="1">
        <v>1</v>
      </c>
      <c r="M243" s="1">
        <v>2018</v>
      </c>
      <c r="N243" s="1">
        <v>3</v>
      </c>
      <c r="O243" s="1">
        <v>1</v>
      </c>
      <c r="P243" s="1" t="str">
        <f t="shared" si="7"/>
        <v>Alto fuste</v>
      </c>
      <c r="Q243" s="2">
        <v>43182</v>
      </c>
      <c r="R243" s="1" t="s">
        <v>227</v>
      </c>
      <c r="S243" s="1" t="s">
        <v>767</v>
      </c>
      <c r="T243" s="1" t="s">
        <v>2268</v>
      </c>
      <c r="U243" s="1" t="s">
        <v>212</v>
      </c>
      <c r="V243" s="1" t="s">
        <v>152</v>
      </c>
      <c r="W243" s="2">
        <v>44774</v>
      </c>
      <c r="X243" s="1" t="s">
        <v>1230</v>
      </c>
      <c r="Y243" s="1">
        <v>169.67</v>
      </c>
      <c r="Z243" s="1">
        <v>20.399999999999999</v>
      </c>
      <c r="AA243" s="1">
        <v>2</v>
      </c>
      <c r="AB243" s="1">
        <v>16.100000000000001</v>
      </c>
      <c r="AC243" s="1">
        <v>7</v>
      </c>
      <c r="AD243" s="3">
        <v>328.44</v>
      </c>
      <c r="AE243" s="3">
        <v>325.79327261316001</v>
      </c>
      <c r="AF243" s="2">
        <v>44774</v>
      </c>
      <c r="AG243" s="1">
        <v>53</v>
      </c>
      <c r="AH243" s="3">
        <v>4.3586584531143098</v>
      </c>
      <c r="AI243" s="4">
        <v>23.620866775761399</v>
      </c>
      <c r="AJ243" s="4">
        <v>13.785</v>
      </c>
      <c r="AK243" s="4">
        <v>18.613308334056399</v>
      </c>
      <c r="AL243" s="1">
        <v>40</v>
      </c>
      <c r="AM243" s="5">
        <v>1227.7724361575499</v>
      </c>
      <c r="AN243" s="4">
        <v>209.07603133670901</v>
      </c>
      <c r="AO243" s="4">
        <v>0.17028891118539499</v>
      </c>
      <c r="AP243" s="1" t="s">
        <v>767</v>
      </c>
      <c r="AQ243" s="1" t="s">
        <v>156</v>
      </c>
      <c r="AR243" s="1" t="s">
        <v>282</v>
      </c>
      <c r="AS243" s="1">
        <v>7.5</v>
      </c>
      <c r="AT243" s="4">
        <v>0.92082932711816246</v>
      </c>
      <c r="AU243" s="1" t="s">
        <v>1244</v>
      </c>
      <c r="AV243" s="1" t="s">
        <v>1245</v>
      </c>
      <c r="AW243" s="1">
        <v>3365</v>
      </c>
      <c r="AX243" s="1">
        <v>1939</v>
      </c>
      <c r="AY243" s="1">
        <v>1367</v>
      </c>
      <c r="AZ243" s="1">
        <v>58</v>
      </c>
      <c r="BA243" s="1">
        <v>1</v>
      </c>
      <c r="BB243" s="1">
        <v>0</v>
      </c>
      <c r="BC243" s="1">
        <v>0</v>
      </c>
      <c r="BD243" s="1">
        <v>0</v>
      </c>
      <c r="BE243" s="1">
        <v>0</v>
      </c>
      <c r="BF243" s="1">
        <v>0</v>
      </c>
      <c r="BG243" s="1">
        <v>0</v>
      </c>
      <c r="BH243" s="4">
        <v>-0.79</v>
      </c>
      <c r="BI243" s="4">
        <v>25.120000999999998</v>
      </c>
      <c r="BJ243" s="4">
        <v>10.408315</v>
      </c>
      <c r="BK243" s="4">
        <v>-0.37873000000000001</v>
      </c>
      <c r="BL243" s="4">
        <v>10.769679</v>
      </c>
      <c r="BM243" s="4">
        <v>115.985975</v>
      </c>
      <c r="BN243" s="4">
        <v>1.0347189999999999</v>
      </c>
      <c r="BO243" s="4">
        <v>21.81</v>
      </c>
      <c r="BP243" s="4">
        <v>0.122625</v>
      </c>
      <c r="BQ243" s="4">
        <v>1.071442</v>
      </c>
      <c r="BR243" s="4">
        <v>10.597500999999999</v>
      </c>
      <c r="BS243" s="4">
        <v>1.53</v>
      </c>
      <c r="BT243" s="4">
        <v>1.4687300000000001</v>
      </c>
      <c r="BU243" s="4">
        <v>10.408315</v>
      </c>
      <c r="BV243" s="4">
        <v>5.6206659999999999</v>
      </c>
      <c r="BW243" s="4">
        <v>0.46679500000000002</v>
      </c>
      <c r="BX243" s="4">
        <v>-1.184415</v>
      </c>
      <c r="BY243" s="4">
        <v>0.54001699999999997</v>
      </c>
      <c r="BZ243" s="4">
        <v>8.3049999999999999E-2</v>
      </c>
      <c r="CA243" s="4">
        <v>-0.210725</v>
      </c>
      <c r="CB243" s="4">
        <v>-0.36359999999999998</v>
      </c>
      <c r="CC243" s="4">
        <v>-0.19</v>
      </c>
      <c r="CD243" s="4">
        <v>-0.11</v>
      </c>
      <c r="CE243" s="4">
        <v>-0.02</v>
      </c>
      <c r="CF243" s="4">
        <v>0.02</v>
      </c>
      <c r="CG243" s="4">
        <v>0.06</v>
      </c>
      <c r="CH243" s="4">
        <v>0.15</v>
      </c>
      <c r="CI243" s="4">
        <v>1.0900000000000001</v>
      </c>
      <c r="CJ243" s="4">
        <v>20.629999000000002</v>
      </c>
      <c r="CK243" s="4">
        <v>21.530000999999999</v>
      </c>
      <c r="CL243" s="4">
        <v>21.83</v>
      </c>
      <c r="CM243" s="4">
        <v>22.129999000000002</v>
      </c>
      <c r="CN243" s="4">
        <v>22.84</v>
      </c>
      <c r="CO243" s="4">
        <v>23.360001</v>
      </c>
      <c r="CP243" s="4">
        <v>24.167202</v>
      </c>
      <c r="CQ243" s="4">
        <v>0.43219999999999997</v>
      </c>
      <c r="CR243" s="4">
        <v>14.976132</v>
      </c>
      <c r="CS243" s="4">
        <v>16.986457999999999</v>
      </c>
      <c r="CT243" s="1">
        <v>1</v>
      </c>
      <c r="CU243" s="1">
        <v>57</v>
      </c>
      <c r="CV243" s="4">
        <v>16.034472999999998</v>
      </c>
      <c r="CW243" s="4">
        <v>14.333333</v>
      </c>
      <c r="CX243" s="4">
        <v>11.831205000000001</v>
      </c>
      <c r="CY243" s="4">
        <v>139.977408</v>
      </c>
      <c r="CZ243" s="4">
        <v>0.73786099999999999</v>
      </c>
      <c r="DA243" s="4">
        <v>13</v>
      </c>
      <c r="DB243" s="4">
        <v>1.0547310000000001</v>
      </c>
      <c r="DC243" s="4">
        <v>3.3770340000000001</v>
      </c>
      <c r="DD243" s="4">
        <v>9.0839859999999994</v>
      </c>
      <c r="DE243" s="4">
        <v>16.034472999999998</v>
      </c>
      <c r="DF243" s="4">
        <v>6.3736920000000001</v>
      </c>
      <c r="DG243" s="4">
        <v>1.512529</v>
      </c>
      <c r="DH243" s="4">
        <v>0.88378699999999999</v>
      </c>
      <c r="DI243" s="4">
        <v>0.39749899999999999</v>
      </c>
      <c r="DJ243" s="4">
        <v>0.23730799999999999</v>
      </c>
      <c r="DK243" s="4">
        <v>0.13866200000000001</v>
      </c>
      <c r="DL243" s="4">
        <v>1</v>
      </c>
      <c r="DM243" s="4">
        <v>2</v>
      </c>
      <c r="DN243" s="4">
        <v>3</v>
      </c>
      <c r="DO243" s="4">
        <v>6</v>
      </c>
      <c r="DP243" s="4">
        <v>7</v>
      </c>
      <c r="DQ243" s="4">
        <v>9</v>
      </c>
      <c r="DR243" s="4">
        <v>11</v>
      </c>
      <c r="DS243" s="4">
        <v>13</v>
      </c>
      <c r="DT243" s="4">
        <v>16</v>
      </c>
      <c r="DU243" s="4">
        <v>18</v>
      </c>
      <c r="DV243" s="4">
        <v>20</v>
      </c>
      <c r="DW243" s="4">
        <v>23</v>
      </c>
      <c r="DX243" s="4">
        <v>37</v>
      </c>
      <c r="DY243" s="4">
        <v>42</v>
      </c>
      <c r="DZ243" s="4">
        <v>47</v>
      </c>
      <c r="EA243" s="4">
        <v>80.556988000000004</v>
      </c>
      <c r="EB243" s="4">
        <v>49.390788000000001</v>
      </c>
      <c r="EC243" s="4">
        <v>85.714286000000001</v>
      </c>
      <c r="ED243" s="4">
        <v>1562</v>
      </c>
      <c r="EE243" s="4">
        <v>1662</v>
      </c>
      <c r="EF243" s="4">
        <v>79.783394000000001</v>
      </c>
      <c r="EG243" s="4">
        <v>100</v>
      </c>
      <c r="EH243" s="4">
        <v>47.904902999999997</v>
      </c>
      <c r="EI243" s="4">
        <v>99.078751999999994</v>
      </c>
      <c r="EJ243" s="4">
        <v>83.135637000000003</v>
      </c>
      <c r="EK243" s="4">
        <v>171.944301</v>
      </c>
      <c r="EL243" s="4">
        <v>1547</v>
      </c>
      <c r="EM243" s="4">
        <v>1939</v>
      </c>
      <c r="EN243" s="4">
        <v>1612</v>
      </c>
      <c r="EO243" s="4">
        <v>3334</v>
      </c>
      <c r="EP243" s="4">
        <v>1939</v>
      </c>
      <c r="EQ243" s="4">
        <v>3365</v>
      </c>
      <c r="ER243" s="4">
        <v>42.162598000000003</v>
      </c>
    </row>
    <row r="244" spans="1:148" x14ac:dyDescent="0.2">
      <c r="A244" s="1">
        <v>2022</v>
      </c>
      <c r="B244" s="1" t="str">
        <f t="shared" si="6"/>
        <v>RD</v>
      </c>
      <c r="C244" s="1" t="s">
        <v>1246</v>
      </c>
      <c r="D244" s="1" t="s">
        <v>1246</v>
      </c>
      <c r="E244" s="1">
        <v>26328</v>
      </c>
      <c r="F244" s="1" t="s">
        <v>2137</v>
      </c>
      <c r="G244" s="1" t="s">
        <v>759</v>
      </c>
      <c r="H244" s="1" t="s">
        <v>1247</v>
      </c>
      <c r="I244" s="1">
        <v>88.34</v>
      </c>
      <c r="J244" s="1">
        <v>88.34</v>
      </c>
      <c r="K244" s="1" t="s">
        <v>249</v>
      </c>
      <c r="L244" s="1">
        <v>1</v>
      </c>
      <c r="M244" s="1">
        <v>2018</v>
      </c>
      <c r="N244" s="1">
        <v>2</v>
      </c>
      <c r="O244" s="1">
        <v>1</v>
      </c>
      <c r="P244" s="1" t="str">
        <f t="shared" si="7"/>
        <v>Alto fuste</v>
      </c>
      <c r="Q244" s="2">
        <v>43175</v>
      </c>
      <c r="R244" s="1" t="s">
        <v>227</v>
      </c>
      <c r="S244" s="1" t="s">
        <v>307</v>
      </c>
      <c r="T244" s="1" t="s">
        <v>2268</v>
      </c>
      <c r="U244" s="1" t="s">
        <v>212</v>
      </c>
      <c r="V244" s="1" t="s">
        <v>152</v>
      </c>
      <c r="W244" s="2">
        <v>44686</v>
      </c>
      <c r="X244" s="1" t="s">
        <v>762</v>
      </c>
      <c r="Y244" s="1">
        <v>320.37</v>
      </c>
      <c r="Z244" s="1">
        <v>19</v>
      </c>
      <c r="AA244" s="1">
        <v>25</v>
      </c>
      <c r="AB244" s="1">
        <v>15</v>
      </c>
      <c r="AC244" s="1">
        <v>7</v>
      </c>
      <c r="AD244" s="3">
        <v>285</v>
      </c>
      <c r="AE244" s="3">
        <v>256.37240727435</v>
      </c>
      <c r="AF244" s="2">
        <v>44686</v>
      </c>
      <c r="AG244" s="1">
        <v>50</v>
      </c>
      <c r="AH244" s="3">
        <v>4.1368925393566096</v>
      </c>
      <c r="AI244" s="4">
        <v>22.1509107345933</v>
      </c>
      <c r="AJ244" s="4">
        <v>12.8333333333333</v>
      </c>
      <c r="AK244" s="4">
        <v>17.082257315225299</v>
      </c>
      <c r="AL244" s="1">
        <v>33</v>
      </c>
      <c r="AM244" s="5">
        <v>1287.1900042146899</v>
      </c>
      <c r="AN244" s="4">
        <v>183.14846698326701</v>
      </c>
      <c r="AO244" s="4">
        <v>0.1422854950579</v>
      </c>
      <c r="AP244" s="1" t="s">
        <v>307</v>
      </c>
      <c r="AQ244" s="1" t="s">
        <v>156</v>
      </c>
      <c r="AR244" s="1" t="s">
        <v>291</v>
      </c>
      <c r="AS244" s="1">
        <v>7.5</v>
      </c>
      <c r="AT244" s="4">
        <v>0.96539250316101743</v>
      </c>
      <c r="AU244" s="1" t="s">
        <v>1248</v>
      </c>
      <c r="AV244" s="1" t="s">
        <v>1249</v>
      </c>
      <c r="AW244" s="1">
        <v>2817</v>
      </c>
      <c r="AX244" s="1">
        <v>1251</v>
      </c>
      <c r="AY244" s="1">
        <v>1177</v>
      </c>
      <c r="AZ244" s="1">
        <v>362</v>
      </c>
      <c r="BA244" s="1">
        <v>27</v>
      </c>
      <c r="BB244" s="1">
        <v>0</v>
      </c>
      <c r="BC244" s="1">
        <v>0</v>
      </c>
      <c r="BD244" s="1">
        <v>0</v>
      </c>
      <c r="BE244" s="1">
        <v>0</v>
      </c>
      <c r="BF244" s="1">
        <v>0</v>
      </c>
      <c r="BG244" s="1">
        <v>0</v>
      </c>
      <c r="BH244" s="4">
        <v>-0.91</v>
      </c>
      <c r="BI244" s="4">
        <v>26.49</v>
      </c>
      <c r="BJ244" s="4">
        <v>7.994796</v>
      </c>
      <c r="BK244" s="4">
        <v>-4.0159E-2</v>
      </c>
      <c r="BL244" s="4">
        <v>7.9901340000000003</v>
      </c>
      <c r="BM244" s="4">
        <v>63.842239999999997</v>
      </c>
      <c r="BN244" s="4">
        <v>0.999417</v>
      </c>
      <c r="BO244" s="4">
        <v>15.35</v>
      </c>
      <c r="BP244" s="4">
        <v>0.49340699999999998</v>
      </c>
      <c r="BQ244" s="4">
        <v>1.7428440000000001</v>
      </c>
      <c r="BR244" s="4">
        <v>7.210426</v>
      </c>
      <c r="BS244" s="4">
        <v>5.23</v>
      </c>
      <c r="BT244" s="4">
        <v>5.2901590000000001</v>
      </c>
      <c r="BU244" s="4">
        <v>7.994796</v>
      </c>
      <c r="BV244" s="4">
        <v>4.437824</v>
      </c>
      <c r="BW244" s="4">
        <v>0.868614</v>
      </c>
      <c r="BX244" s="4">
        <v>-0.30378899999999998</v>
      </c>
      <c r="BY244" s="4">
        <v>0.55508900000000005</v>
      </c>
      <c r="BZ244" s="4">
        <v>0.19572999999999999</v>
      </c>
      <c r="CA244" s="4">
        <v>-6.8454000000000001E-2</v>
      </c>
      <c r="CB244" s="4">
        <v>-0.37840000000000001</v>
      </c>
      <c r="CC244" s="4">
        <v>-0.15</v>
      </c>
      <c r="CD244" s="4">
        <v>-0.02</v>
      </c>
      <c r="CE244" s="4">
        <v>0.21</v>
      </c>
      <c r="CF244" s="4">
        <v>0.35</v>
      </c>
      <c r="CG244" s="4">
        <v>0.55800000000000005</v>
      </c>
      <c r="CH244" s="4">
        <v>1.81</v>
      </c>
      <c r="CI244" s="4">
        <v>5.25</v>
      </c>
      <c r="CJ244" s="4">
        <v>9.9619999999999997</v>
      </c>
      <c r="CK244" s="4">
        <v>13.575998</v>
      </c>
      <c r="CL244" s="4">
        <v>15.7</v>
      </c>
      <c r="CM244" s="4">
        <v>16.998000999999999</v>
      </c>
      <c r="CN244" s="4">
        <v>20.017997999999999</v>
      </c>
      <c r="CO244" s="4">
        <v>21.540001</v>
      </c>
      <c r="CP244" s="4">
        <v>23.965202000000001</v>
      </c>
      <c r="CQ244" s="4">
        <v>0.32499299999999998</v>
      </c>
      <c r="CR244" s="4">
        <v>11.302049999999999</v>
      </c>
      <c r="CS244" s="4">
        <v>13.187182</v>
      </c>
      <c r="CT244" s="1">
        <v>1</v>
      </c>
      <c r="CU244" s="1">
        <v>47</v>
      </c>
      <c r="CV244" s="4">
        <v>10.385161999999999</v>
      </c>
      <c r="CW244" s="4">
        <v>5.3809519999999997</v>
      </c>
      <c r="CX244" s="4">
        <v>7.8881810000000003</v>
      </c>
      <c r="CY244" s="4">
        <v>62.223402</v>
      </c>
      <c r="CZ244" s="4">
        <v>0.75956299999999999</v>
      </c>
      <c r="DA244" s="4">
        <v>9</v>
      </c>
      <c r="DB244" s="4">
        <v>1.2554240000000001</v>
      </c>
      <c r="DC244" s="4">
        <v>4.6381269999999999</v>
      </c>
      <c r="DD244" s="4">
        <v>6.1462050000000001</v>
      </c>
      <c r="DE244" s="4">
        <v>10.385161999999999</v>
      </c>
      <c r="DF244" s="4">
        <v>4.2169759999999998</v>
      </c>
      <c r="DG244" s="4">
        <v>1.025288</v>
      </c>
      <c r="DH244" s="4">
        <v>0.54283499999999996</v>
      </c>
      <c r="DI244" s="4">
        <v>0.40605799999999997</v>
      </c>
      <c r="DJ244" s="4">
        <v>0.24313299999999999</v>
      </c>
      <c r="DK244" s="4">
        <v>0.12872600000000001</v>
      </c>
      <c r="DL244" s="4">
        <v>1</v>
      </c>
      <c r="DM244" s="4">
        <v>1</v>
      </c>
      <c r="DN244" s="4">
        <v>2</v>
      </c>
      <c r="DO244" s="4">
        <v>4</v>
      </c>
      <c r="DP244" s="4">
        <v>5</v>
      </c>
      <c r="DQ244" s="4">
        <v>5</v>
      </c>
      <c r="DR244" s="4">
        <v>7</v>
      </c>
      <c r="DS244" s="4">
        <v>8</v>
      </c>
      <c r="DT244" s="4">
        <v>10</v>
      </c>
      <c r="DU244" s="4">
        <v>13</v>
      </c>
      <c r="DV244" s="4">
        <v>14</v>
      </c>
      <c r="DW244" s="4">
        <v>16</v>
      </c>
      <c r="DX244" s="4">
        <v>21</v>
      </c>
      <c r="DY244" s="4">
        <v>26</v>
      </c>
      <c r="DZ244" s="4">
        <v>36</v>
      </c>
      <c r="EA244" s="4">
        <v>83.373300999999998</v>
      </c>
      <c r="EB244" s="4">
        <v>55.697550999999997</v>
      </c>
      <c r="EC244" s="4">
        <v>125.419664</v>
      </c>
      <c r="ED244" s="4">
        <v>1043</v>
      </c>
      <c r="EE244" s="4">
        <v>1569</v>
      </c>
      <c r="EF244" s="4">
        <v>73.780974999999998</v>
      </c>
      <c r="EG244" s="4">
        <v>98.960830999999999</v>
      </c>
      <c r="EH244" s="4">
        <v>44.302449000000003</v>
      </c>
      <c r="EI244" s="4">
        <v>90.770323000000005</v>
      </c>
      <c r="EJ244" s="4">
        <v>99.760192000000004</v>
      </c>
      <c r="EK244" s="4">
        <v>204.39648299999999</v>
      </c>
      <c r="EL244" s="4">
        <v>923</v>
      </c>
      <c r="EM244" s="4">
        <v>1238</v>
      </c>
      <c r="EN244" s="4">
        <v>1248</v>
      </c>
      <c r="EO244" s="4">
        <v>2557</v>
      </c>
      <c r="EP244" s="4">
        <v>1251</v>
      </c>
      <c r="EQ244" s="4">
        <v>2817</v>
      </c>
      <c r="ER244" s="4">
        <v>32.416558999999999</v>
      </c>
    </row>
    <row r="245" spans="1:148" x14ac:dyDescent="0.2">
      <c r="A245" s="1">
        <v>2022</v>
      </c>
      <c r="B245" s="1" t="str">
        <f t="shared" si="6"/>
        <v>GN</v>
      </c>
      <c r="C245" s="1" t="s">
        <v>1250</v>
      </c>
      <c r="D245" s="1" t="s">
        <v>1250</v>
      </c>
      <c r="E245" s="1">
        <v>26352</v>
      </c>
      <c r="F245" s="1" t="s">
        <v>2138</v>
      </c>
      <c r="G245" s="1" t="s">
        <v>383</v>
      </c>
      <c r="H245" s="1" t="s">
        <v>1251</v>
      </c>
      <c r="I245" s="1">
        <v>76.650000000000006</v>
      </c>
      <c r="J245" s="1">
        <v>76.650000000000006</v>
      </c>
      <c r="K245" s="1" t="s">
        <v>192</v>
      </c>
      <c r="L245" s="1">
        <v>1</v>
      </c>
      <c r="M245" s="1">
        <v>2018</v>
      </c>
      <c r="N245" s="1">
        <v>3</v>
      </c>
      <c r="O245" s="1">
        <v>1</v>
      </c>
      <c r="P245" s="1" t="str">
        <f t="shared" si="7"/>
        <v>Alto fuste</v>
      </c>
      <c r="Q245" s="2">
        <v>43402</v>
      </c>
      <c r="R245" s="1" t="s">
        <v>169</v>
      </c>
      <c r="S245" s="1" t="s">
        <v>442</v>
      </c>
      <c r="T245" s="1" t="s">
        <v>2268</v>
      </c>
      <c r="U245" s="1" t="s">
        <v>192</v>
      </c>
      <c r="V245" s="1" t="s">
        <v>152</v>
      </c>
      <c r="W245" s="2">
        <v>44714</v>
      </c>
      <c r="X245" s="1" t="s">
        <v>385</v>
      </c>
      <c r="Y245" s="1">
        <v>137.77000000000001</v>
      </c>
      <c r="Z245" s="1">
        <v>21.2</v>
      </c>
      <c r="AA245" s="1">
        <v>7</v>
      </c>
      <c r="AB245" s="1">
        <v>15.8</v>
      </c>
      <c r="AC245" s="1">
        <v>1</v>
      </c>
      <c r="AD245" s="3">
        <v>334.96</v>
      </c>
      <c r="AE245" s="3">
        <v>332.41262318911703</v>
      </c>
      <c r="AF245" s="2">
        <v>44714</v>
      </c>
      <c r="AG245" s="1">
        <v>44</v>
      </c>
      <c r="AH245" s="3">
        <v>3.5920602327173201</v>
      </c>
      <c r="AI245" s="4">
        <v>24.521626804968101</v>
      </c>
      <c r="AJ245" s="4">
        <v>15.352941176470599</v>
      </c>
      <c r="AK245" s="4">
        <v>18.991737466222599</v>
      </c>
      <c r="AL245" s="1">
        <v>34</v>
      </c>
      <c r="AM245" s="5">
        <v>1022.82517654742</v>
      </c>
      <c r="AN245" s="4">
        <v>205.849346666174</v>
      </c>
      <c r="AO245" s="4">
        <v>0.20125565090314301</v>
      </c>
      <c r="AP245" s="1" t="s">
        <v>442</v>
      </c>
      <c r="AQ245" s="1" t="s">
        <v>156</v>
      </c>
      <c r="AR245" s="1" t="s">
        <v>500</v>
      </c>
      <c r="AS245" s="1">
        <v>9</v>
      </c>
      <c r="AT245" s="4">
        <v>0.92054265889267806</v>
      </c>
      <c r="AU245" s="1" t="s">
        <v>1252</v>
      </c>
      <c r="AV245" s="1" t="s">
        <v>1253</v>
      </c>
      <c r="AW245" s="1">
        <v>1872</v>
      </c>
      <c r="AX245" s="1">
        <v>1872</v>
      </c>
      <c r="AY245" s="1">
        <v>0</v>
      </c>
      <c r="AZ245" s="1">
        <v>0</v>
      </c>
      <c r="BA245" s="1">
        <v>0</v>
      </c>
      <c r="BB245" s="1">
        <v>0</v>
      </c>
      <c r="BC245" s="1">
        <v>0</v>
      </c>
      <c r="BD245" s="1">
        <v>0</v>
      </c>
      <c r="BE245" s="1">
        <v>0</v>
      </c>
      <c r="BF245" s="1">
        <v>0</v>
      </c>
      <c r="BG245" s="1">
        <v>0</v>
      </c>
      <c r="BH245" s="4">
        <v>-0.38800000000000001</v>
      </c>
      <c r="BI245" s="4">
        <v>24.844000000000001</v>
      </c>
      <c r="BJ245" s="4">
        <v>20.079311000000001</v>
      </c>
      <c r="BK245" s="4">
        <v>21.239428</v>
      </c>
      <c r="BL245" s="4">
        <v>5.7413410000000002</v>
      </c>
      <c r="BM245" s="4">
        <v>32.962997000000001</v>
      </c>
      <c r="BN245" s="4">
        <v>0.28593299999999999</v>
      </c>
      <c r="BO245" s="4">
        <v>1.7694989999999999</v>
      </c>
      <c r="BP245" s="4">
        <v>-2.9198379999999999</v>
      </c>
      <c r="BQ245" s="4">
        <v>10.222521</v>
      </c>
      <c r="BR245" s="4">
        <v>3.149756</v>
      </c>
      <c r="BS245" s="4">
        <v>0.88149999999999995</v>
      </c>
      <c r="BT245" s="4">
        <v>0.98350000000000004</v>
      </c>
      <c r="BU245" s="4">
        <v>20.079311000000001</v>
      </c>
      <c r="BV245" s="4">
        <v>2.1167549999999999</v>
      </c>
      <c r="BW245" s="4">
        <v>-1.1598250000000001</v>
      </c>
      <c r="BX245" s="4">
        <v>0.94576499999999997</v>
      </c>
      <c r="BY245" s="4">
        <v>0.10542</v>
      </c>
      <c r="BZ245" s="4">
        <v>-0.54792600000000002</v>
      </c>
      <c r="CA245" s="4">
        <v>0.446799</v>
      </c>
      <c r="CB245" s="4">
        <v>-3.9449999999999999E-2</v>
      </c>
      <c r="CC245" s="4">
        <v>0.107</v>
      </c>
      <c r="CD245" s="4">
        <v>19.338100000000001</v>
      </c>
      <c r="CE245" s="4">
        <v>20.394600000000001</v>
      </c>
      <c r="CF245" s="4">
        <v>20.679749999999999</v>
      </c>
      <c r="CG245" s="4">
        <v>20.900600000000001</v>
      </c>
      <c r="CH245" s="4">
        <v>21.257999000000002</v>
      </c>
      <c r="CI245" s="4">
        <v>21.582999999999998</v>
      </c>
      <c r="CJ245" s="4">
        <v>21.944201</v>
      </c>
      <c r="CK245" s="4">
        <v>22.284700000000001</v>
      </c>
      <c r="CL245" s="4">
        <v>22.449248999999998</v>
      </c>
      <c r="CM245" s="4">
        <v>22.681000000000001</v>
      </c>
      <c r="CN245" s="4">
        <v>23.328201</v>
      </c>
      <c r="CO245" s="4">
        <v>23.7806</v>
      </c>
      <c r="CP245" s="4">
        <v>24.332611</v>
      </c>
      <c r="CQ245" s="4">
        <v>0.81116500000000002</v>
      </c>
      <c r="CR245" s="4">
        <v>20.883585</v>
      </c>
      <c r="CS245" s="4">
        <v>21.199767999999999</v>
      </c>
      <c r="CT245" s="1">
        <v>1</v>
      </c>
      <c r="CU245" s="1">
        <v>53</v>
      </c>
      <c r="CV245" s="4">
        <v>16.655449000000001</v>
      </c>
      <c r="CW245" s="4">
        <v>16.682539999999999</v>
      </c>
      <c r="CX245" s="4">
        <v>8.8265779999999996</v>
      </c>
      <c r="CY245" s="4">
        <v>77.908479</v>
      </c>
      <c r="CZ245" s="4">
        <v>0.52995099999999995</v>
      </c>
      <c r="DA245" s="4">
        <v>10</v>
      </c>
      <c r="DB245" s="4">
        <v>0.798315</v>
      </c>
      <c r="DC245" s="4">
        <v>4.6128910000000003</v>
      </c>
      <c r="DD245" s="4">
        <v>6.6085120000000002</v>
      </c>
      <c r="DE245" s="4">
        <v>16.655449000000001</v>
      </c>
      <c r="DF245" s="4">
        <v>4.7875199999999998</v>
      </c>
      <c r="DG245" s="4">
        <v>0.35872399999999999</v>
      </c>
      <c r="DH245" s="4">
        <v>0.83828800000000003</v>
      </c>
      <c r="DI245" s="4">
        <v>0.28744500000000001</v>
      </c>
      <c r="DJ245" s="4">
        <v>7.4928999999999996E-2</v>
      </c>
      <c r="DK245" s="4">
        <v>0.175099</v>
      </c>
      <c r="DL245" s="4">
        <v>1</v>
      </c>
      <c r="DM245" s="4">
        <v>3</v>
      </c>
      <c r="DN245" s="4">
        <v>5</v>
      </c>
      <c r="DO245" s="4">
        <v>9</v>
      </c>
      <c r="DP245" s="4">
        <v>11</v>
      </c>
      <c r="DQ245" s="4">
        <v>12</v>
      </c>
      <c r="DR245" s="4">
        <v>15</v>
      </c>
      <c r="DS245" s="4">
        <v>17</v>
      </c>
      <c r="DT245" s="4">
        <v>18</v>
      </c>
      <c r="DU245" s="4">
        <v>20</v>
      </c>
      <c r="DV245" s="4">
        <v>21</v>
      </c>
      <c r="DW245" s="4">
        <v>22.800049000000001</v>
      </c>
      <c r="DX245" s="4">
        <v>26</v>
      </c>
      <c r="DY245" s="4">
        <v>31.449950999999999</v>
      </c>
      <c r="DZ245" s="4">
        <v>45.290039</v>
      </c>
      <c r="EA245" s="4">
        <v>93.376068000000004</v>
      </c>
      <c r="EB245" s="4">
        <v>93.376068000000004</v>
      </c>
      <c r="EC245" s="4">
        <v>93.376068000000004</v>
      </c>
      <c r="ED245" s="4">
        <v>1748</v>
      </c>
      <c r="EE245" s="4">
        <v>1748</v>
      </c>
      <c r="EF245" s="4">
        <v>83.920940000000002</v>
      </c>
      <c r="EG245" s="4">
        <v>60.576923000000001</v>
      </c>
      <c r="EH245" s="4">
        <v>83.920940000000002</v>
      </c>
      <c r="EI245" s="4">
        <v>60.576923000000001</v>
      </c>
      <c r="EJ245" s="4">
        <v>83.920940000000002</v>
      </c>
      <c r="EK245" s="4">
        <v>60.576923000000001</v>
      </c>
      <c r="EL245" s="4">
        <v>1571</v>
      </c>
      <c r="EM245" s="4">
        <v>1134</v>
      </c>
      <c r="EN245" s="4">
        <v>1571</v>
      </c>
      <c r="EO245" s="4">
        <v>1134</v>
      </c>
      <c r="EP245" s="4">
        <v>1872</v>
      </c>
      <c r="EQ245" s="4">
        <v>1872</v>
      </c>
      <c r="ER245" s="4">
        <v>81.550557999999995</v>
      </c>
    </row>
    <row r="246" spans="1:148" x14ac:dyDescent="0.2">
      <c r="A246" s="1">
        <v>2022</v>
      </c>
      <c r="B246" s="1" t="str">
        <f t="shared" si="6"/>
        <v>GN</v>
      </c>
      <c r="C246" s="1" t="s">
        <v>1254</v>
      </c>
      <c r="D246" s="1" t="s">
        <v>1254</v>
      </c>
      <c r="E246" s="1">
        <v>26353</v>
      </c>
      <c r="F246" s="1" t="s">
        <v>2138</v>
      </c>
      <c r="G246" s="1" t="s">
        <v>383</v>
      </c>
      <c r="H246" s="1" t="s">
        <v>1251</v>
      </c>
      <c r="I246" s="1">
        <v>76.650000000000006</v>
      </c>
      <c r="J246" s="1">
        <v>76.650000000000006</v>
      </c>
      <c r="K246" s="1" t="s">
        <v>192</v>
      </c>
      <c r="L246" s="1">
        <v>1</v>
      </c>
      <c r="M246" s="1">
        <v>2018</v>
      </c>
      <c r="N246" s="1">
        <v>3</v>
      </c>
      <c r="O246" s="1">
        <v>1</v>
      </c>
      <c r="P246" s="1" t="str">
        <f t="shared" si="7"/>
        <v>Alto fuste</v>
      </c>
      <c r="Q246" s="2">
        <v>43402</v>
      </c>
      <c r="R246" s="1" t="s">
        <v>169</v>
      </c>
      <c r="S246" s="1" t="s">
        <v>442</v>
      </c>
      <c r="T246" s="1" t="s">
        <v>2268</v>
      </c>
      <c r="U246" s="1" t="s">
        <v>192</v>
      </c>
      <c r="V246" s="1" t="s">
        <v>152</v>
      </c>
      <c r="W246" s="2">
        <v>44714</v>
      </c>
      <c r="X246" s="1" t="s">
        <v>385</v>
      </c>
      <c r="Y246" s="1">
        <v>137.77000000000001</v>
      </c>
      <c r="Z246" s="1">
        <v>20.8</v>
      </c>
      <c r="AA246" s="1">
        <v>15</v>
      </c>
      <c r="AB246" s="1">
        <v>15.7</v>
      </c>
      <c r="AC246" s="1">
        <v>1</v>
      </c>
      <c r="AD246" s="3">
        <v>326.56</v>
      </c>
      <c r="AE246" s="3">
        <v>315.38469589915297</v>
      </c>
      <c r="AF246" s="2">
        <v>44714</v>
      </c>
      <c r="AG246" s="1">
        <v>44</v>
      </c>
      <c r="AH246" s="3">
        <v>3.5920602327173201</v>
      </c>
      <c r="AI246" s="4">
        <v>25.104842294640498</v>
      </c>
      <c r="AJ246" s="4">
        <v>15.203448275862099</v>
      </c>
      <c r="AK246" s="4">
        <v>16.829179982654299</v>
      </c>
      <c r="AL246" s="1">
        <v>29</v>
      </c>
      <c r="AM246" s="5">
        <v>919.51196037974398</v>
      </c>
      <c r="AN246" s="4">
        <v>188.08383111971301</v>
      </c>
      <c r="AO246" s="4">
        <v>0.20454745476289099</v>
      </c>
      <c r="AP246" s="1" t="s">
        <v>442</v>
      </c>
      <c r="AQ246" s="1" t="s">
        <v>156</v>
      </c>
      <c r="AR246" s="1" t="s">
        <v>500</v>
      </c>
      <c r="AS246" s="1">
        <v>9</v>
      </c>
      <c r="AT246" s="4">
        <v>0.82756076434176962</v>
      </c>
      <c r="AU246" s="1" t="s">
        <v>1255</v>
      </c>
      <c r="AV246" s="1" t="s">
        <v>1256</v>
      </c>
      <c r="AW246" s="1">
        <v>2042</v>
      </c>
      <c r="AX246" s="1">
        <v>2042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0</v>
      </c>
      <c r="BF246" s="1">
        <v>0</v>
      </c>
      <c r="BG246" s="1">
        <v>0</v>
      </c>
      <c r="BH246" s="4">
        <v>-0.14000000000000001</v>
      </c>
      <c r="BI246" s="4">
        <v>26.673999999999999</v>
      </c>
      <c r="BJ246" s="4">
        <v>19.416063000000001</v>
      </c>
      <c r="BK246" s="4">
        <v>-0.14000000000000001</v>
      </c>
      <c r="BL246" s="4">
        <v>7.7468750000000002</v>
      </c>
      <c r="BM246" s="4">
        <v>60.014068000000002</v>
      </c>
      <c r="BN246" s="4">
        <v>0.39899299999999999</v>
      </c>
      <c r="BO246" s="4">
        <v>2.8052519999999999</v>
      </c>
      <c r="BP246" s="4">
        <v>-1.8407389999999999</v>
      </c>
      <c r="BQ246" s="4">
        <v>4.7756179999999997</v>
      </c>
      <c r="BR246" s="4">
        <v>5.520594</v>
      </c>
      <c r="BS246" s="4">
        <v>1.319501</v>
      </c>
      <c r="BT246" s="4">
        <v>22.543499000000001</v>
      </c>
      <c r="BU246" s="4">
        <v>19.416063000000001</v>
      </c>
      <c r="BV246" s="4">
        <v>3.4085450000000002</v>
      </c>
      <c r="BW246" s="4">
        <v>-1.7063250000000001</v>
      </c>
      <c r="BX246" s="4">
        <v>0.92556499999999997</v>
      </c>
      <c r="BY246" s="4">
        <v>0.17555299999999999</v>
      </c>
      <c r="BZ246" s="4">
        <v>-0.50060199999999999</v>
      </c>
      <c r="CA246" s="4">
        <v>0.27154299999999998</v>
      </c>
      <c r="CB246" s="4">
        <v>-3.7699999999999999E-3</v>
      </c>
      <c r="CC246" s="4">
        <v>0.11899999999999999</v>
      </c>
      <c r="CD246" s="4">
        <v>0.28320000000000001</v>
      </c>
      <c r="CE246" s="4">
        <v>19.720600000000001</v>
      </c>
      <c r="CF246" s="4">
        <v>20.763248000000001</v>
      </c>
      <c r="CG246" s="4">
        <v>21.2134</v>
      </c>
      <c r="CH246" s="4">
        <v>21.855399999999999</v>
      </c>
      <c r="CI246" s="4">
        <v>22.403500000000001</v>
      </c>
      <c r="CJ246" s="4">
        <v>22.903199999999998</v>
      </c>
      <c r="CK246" s="4">
        <v>23.355498999999998</v>
      </c>
      <c r="CL246" s="4">
        <v>23.568501000000001</v>
      </c>
      <c r="CM246" s="4">
        <v>23.822800000000001</v>
      </c>
      <c r="CN246" s="4">
        <v>24.450500000000002</v>
      </c>
      <c r="CO246" s="4">
        <v>25.028849000000001</v>
      </c>
      <c r="CP246" s="4">
        <v>25.853778999999999</v>
      </c>
      <c r="CQ246" s="4">
        <v>0.72932300000000005</v>
      </c>
      <c r="CR246" s="4">
        <v>20.903784000000002</v>
      </c>
      <c r="CS246" s="4">
        <v>21.514247000000001</v>
      </c>
      <c r="CT246" s="1">
        <v>1</v>
      </c>
      <c r="CU246" s="1">
        <v>56</v>
      </c>
      <c r="CV246" s="4">
        <v>18.600881000000001</v>
      </c>
      <c r="CW246" s="4">
        <v>21.952380999999999</v>
      </c>
      <c r="CX246" s="4">
        <v>11.073708</v>
      </c>
      <c r="CY246" s="4">
        <v>122.62700599999999</v>
      </c>
      <c r="CZ246" s="4">
        <v>0.59533199999999997</v>
      </c>
      <c r="DA246" s="4">
        <v>13</v>
      </c>
      <c r="DB246" s="4">
        <v>0.717414</v>
      </c>
      <c r="DC246" s="4">
        <v>3.47289</v>
      </c>
      <c r="DD246" s="4">
        <v>8.5568460000000002</v>
      </c>
      <c r="DE246" s="4">
        <v>18.600881000000001</v>
      </c>
      <c r="DF246" s="4">
        <v>6.1136650000000001</v>
      </c>
      <c r="DG246" s="4">
        <v>0.68837099999999996</v>
      </c>
      <c r="DH246" s="4">
        <v>0.89057200000000003</v>
      </c>
      <c r="DI246" s="4">
        <v>0.32867600000000002</v>
      </c>
      <c r="DJ246" s="4">
        <v>0.112595</v>
      </c>
      <c r="DK246" s="4">
        <v>0.14566899999999999</v>
      </c>
      <c r="DL246" s="4">
        <v>1</v>
      </c>
      <c r="DM246" s="4">
        <v>2</v>
      </c>
      <c r="DN246" s="4">
        <v>5</v>
      </c>
      <c r="DO246" s="4">
        <v>9</v>
      </c>
      <c r="DP246" s="4">
        <v>11</v>
      </c>
      <c r="DQ246" s="4">
        <v>12</v>
      </c>
      <c r="DR246" s="4">
        <v>15</v>
      </c>
      <c r="DS246" s="4">
        <v>18</v>
      </c>
      <c r="DT246" s="4">
        <v>21</v>
      </c>
      <c r="DU246" s="4">
        <v>23</v>
      </c>
      <c r="DV246" s="4">
        <v>24</v>
      </c>
      <c r="DW246" s="4">
        <v>26</v>
      </c>
      <c r="DX246" s="4">
        <v>32</v>
      </c>
      <c r="DY246" s="4">
        <v>42.949950999999999</v>
      </c>
      <c r="DZ246" s="4">
        <v>49</v>
      </c>
      <c r="EA246" s="4">
        <v>88.246816999999993</v>
      </c>
      <c r="EB246" s="4">
        <v>88.246816999999993</v>
      </c>
      <c r="EC246" s="4">
        <v>88.246816999999993</v>
      </c>
      <c r="ED246" s="4">
        <v>1802</v>
      </c>
      <c r="EE246" s="4">
        <v>1802</v>
      </c>
      <c r="EF246" s="4">
        <v>80.803134</v>
      </c>
      <c r="EG246" s="4">
        <v>99.951027999999994</v>
      </c>
      <c r="EH246" s="4">
        <v>80.803134</v>
      </c>
      <c r="EI246" s="4">
        <v>99.951027999999994</v>
      </c>
      <c r="EJ246" s="4">
        <v>80.803134</v>
      </c>
      <c r="EK246" s="4">
        <v>99.951027999999994</v>
      </c>
      <c r="EL246" s="4">
        <v>1650</v>
      </c>
      <c r="EM246" s="4">
        <v>2041</v>
      </c>
      <c r="EN246" s="4">
        <v>1650</v>
      </c>
      <c r="EO246" s="4">
        <v>2041</v>
      </c>
      <c r="EP246" s="4">
        <v>2042</v>
      </c>
      <c r="EQ246" s="4">
        <v>2042</v>
      </c>
      <c r="ER246" s="4">
        <v>74.078010000000006</v>
      </c>
    </row>
    <row r="247" spans="1:148" x14ac:dyDescent="0.2">
      <c r="A247" s="1">
        <v>2022</v>
      </c>
      <c r="B247" s="1" t="str">
        <f t="shared" si="6"/>
        <v>GN</v>
      </c>
      <c r="C247" s="1" t="s">
        <v>1257</v>
      </c>
      <c r="D247" s="1" t="s">
        <v>1257</v>
      </c>
      <c r="E247" s="1">
        <v>26354</v>
      </c>
      <c r="F247" s="1" t="s">
        <v>2138</v>
      </c>
      <c r="G247" s="1" t="s">
        <v>383</v>
      </c>
      <c r="H247" s="1" t="s">
        <v>1251</v>
      </c>
      <c r="I247" s="1">
        <v>76.650000000000006</v>
      </c>
      <c r="J247" s="1">
        <v>76.650000000000006</v>
      </c>
      <c r="K247" s="1" t="s">
        <v>192</v>
      </c>
      <c r="L247" s="1">
        <v>1</v>
      </c>
      <c r="M247" s="1">
        <v>2018</v>
      </c>
      <c r="N247" s="1">
        <v>3</v>
      </c>
      <c r="O247" s="1">
        <v>1</v>
      </c>
      <c r="P247" s="1" t="str">
        <f t="shared" si="7"/>
        <v>Alto fuste</v>
      </c>
      <c r="Q247" s="2">
        <v>43402</v>
      </c>
      <c r="R247" s="1" t="s">
        <v>169</v>
      </c>
      <c r="S247" s="1" t="s">
        <v>442</v>
      </c>
      <c r="T247" s="1" t="s">
        <v>2268</v>
      </c>
      <c r="U247" s="1" t="s">
        <v>192</v>
      </c>
      <c r="V247" s="1" t="s">
        <v>152</v>
      </c>
      <c r="W247" s="2">
        <v>44714</v>
      </c>
      <c r="X247" s="1" t="s">
        <v>385</v>
      </c>
      <c r="Y247" s="1">
        <v>137.77000000000001</v>
      </c>
      <c r="Z247" s="1">
        <v>21.7</v>
      </c>
      <c r="AA247" s="1">
        <v>3</v>
      </c>
      <c r="AB247" s="1">
        <v>16.399999999999999</v>
      </c>
      <c r="AC247" s="1">
        <v>1</v>
      </c>
      <c r="AD247" s="3">
        <v>355.88</v>
      </c>
      <c r="AE247" s="3">
        <v>355.33815086301098</v>
      </c>
      <c r="AF247" s="2">
        <v>44714</v>
      </c>
      <c r="AG247" s="1">
        <v>44</v>
      </c>
      <c r="AH247" s="3">
        <v>3.5920602327173201</v>
      </c>
      <c r="AI247" s="4">
        <v>25.3961612644909</v>
      </c>
      <c r="AJ247" s="4">
        <v>15.591666666666701</v>
      </c>
      <c r="AK247" s="4">
        <v>19.4480883575768</v>
      </c>
      <c r="AL247" s="1">
        <v>36</v>
      </c>
      <c r="AM247" s="5">
        <v>1013.11947260846</v>
      </c>
      <c r="AN247" s="4">
        <v>218.93806061861801</v>
      </c>
      <c r="AO247" s="4">
        <v>0.21610290448264899</v>
      </c>
      <c r="AP247" s="1" t="s">
        <v>442</v>
      </c>
      <c r="AQ247" s="1" t="s">
        <v>156</v>
      </c>
      <c r="AR247" s="1" t="s">
        <v>500</v>
      </c>
      <c r="AS247" s="1">
        <v>9</v>
      </c>
      <c r="AT247" s="4">
        <v>0.911807525347614</v>
      </c>
      <c r="AU247" s="1" t="s">
        <v>1258</v>
      </c>
      <c r="AV247" s="1" t="s">
        <v>1259</v>
      </c>
      <c r="AW247" s="1">
        <v>2148</v>
      </c>
      <c r="AX247" s="1">
        <v>2148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0</v>
      </c>
      <c r="BG247" s="1">
        <v>0</v>
      </c>
      <c r="BH247" s="4">
        <v>-0.183</v>
      </c>
      <c r="BI247" s="4">
        <v>24.705998999999998</v>
      </c>
      <c r="BJ247" s="4">
        <v>19.120649</v>
      </c>
      <c r="BK247" s="4">
        <v>21.545491999999999</v>
      </c>
      <c r="BL247" s="4">
        <v>6.6076129999999997</v>
      </c>
      <c r="BM247" s="4">
        <v>43.660544999999999</v>
      </c>
      <c r="BN247" s="4">
        <v>0.34557500000000002</v>
      </c>
      <c r="BO247" s="4">
        <v>2.1185</v>
      </c>
      <c r="BP247" s="4">
        <v>-2.3525140000000002</v>
      </c>
      <c r="BQ247" s="4">
        <v>6.9568450000000004</v>
      </c>
      <c r="BR247" s="4">
        <v>4.088743</v>
      </c>
      <c r="BS247" s="4">
        <v>1.0565</v>
      </c>
      <c r="BT247" s="4">
        <v>1.0729919999999999</v>
      </c>
      <c r="BU247" s="4">
        <v>19.120649</v>
      </c>
      <c r="BV247" s="4">
        <v>2.6319360000000001</v>
      </c>
      <c r="BW247" s="4">
        <v>-1.397246</v>
      </c>
      <c r="BX247" s="4">
        <v>0.99394499999999997</v>
      </c>
      <c r="BY247" s="4">
        <v>0.13764899999999999</v>
      </c>
      <c r="BZ247" s="4">
        <v>-0.53088199999999997</v>
      </c>
      <c r="CA247" s="4">
        <v>0.37764799999999998</v>
      </c>
      <c r="CB247" s="4">
        <v>-0.11906</v>
      </c>
      <c r="CC247" s="4">
        <v>-4.6499999999999996E-3</v>
      </c>
      <c r="CD247" s="4">
        <v>6.1037990000000004</v>
      </c>
      <c r="CE247" s="4">
        <v>19.725999999999999</v>
      </c>
      <c r="CF247" s="4">
        <v>20.028500000000001</v>
      </c>
      <c r="CG247" s="4">
        <v>20.2883</v>
      </c>
      <c r="CH247" s="4">
        <v>20.771601</v>
      </c>
      <c r="CI247" s="4">
        <v>21.155498999999999</v>
      </c>
      <c r="CJ247" s="4">
        <v>21.575201</v>
      </c>
      <c r="CK247" s="4">
        <v>21.902699999999999</v>
      </c>
      <c r="CL247" s="4">
        <v>22.146999000000001</v>
      </c>
      <c r="CM247" s="4">
        <v>22.417798999999999</v>
      </c>
      <c r="CN247" s="4">
        <v>23.114801</v>
      </c>
      <c r="CO247" s="4">
        <v>23.646650000000001</v>
      </c>
      <c r="CP247" s="4">
        <v>24.283892000000002</v>
      </c>
      <c r="CQ247" s="4">
        <v>0.77559</v>
      </c>
      <c r="CR247" s="4">
        <v>20.229666999999999</v>
      </c>
      <c r="CS247" s="4">
        <v>20.657644999999999</v>
      </c>
      <c r="CT247" s="1">
        <v>1</v>
      </c>
      <c r="CU247" s="1">
        <v>66</v>
      </c>
      <c r="CV247" s="4">
        <v>20.086592</v>
      </c>
      <c r="CW247" s="4">
        <v>22.666667</v>
      </c>
      <c r="CX247" s="4">
        <v>12.199358999999999</v>
      </c>
      <c r="CY247" s="4">
        <v>148.82435699999999</v>
      </c>
      <c r="CZ247" s="4">
        <v>0.60733800000000004</v>
      </c>
      <c r="DA247" s="4">
        <v>12</v>
      </c>
      <c r="DB247" s="4">
        <v>1.27678</v>
      </c>
      <c r="DC247" s="4">
        <v>5.1348640000000003</v>
      </c>
      <c r="DD247" s="4">
        <v>8.6535840000000004</v>
      </c>
      <c r="DE247" s="4">
        <v>20.086592</v>
      </c>
      <c r="DF247" s="4">
        <v>6.3711840000000004</v>
      </c>
      <c r="DG247" s="4">
        <v>1.1148579999999999</v>
      </c>
      <c r="DH247" s="4">
        <v>1.391025</v>
      </c>
      <c r="DI247" s="4">
        <v>0.31718600000000002</v>
      </c>
      <c r="DJ247" s="4">
        <v>0.174984</v>
      </c>
      <c r="DK247" s="4">
        <v>0.218331</v>
      </c>
      <c r="DL247" s="4">
        <v>1</v>
      </c>
      <c r="DM247" s="4">
        <v>3</v>
      </c>
      <c r="DN247" s="4">
        <v>6</v>
      </c>
      <c r="DO247" s="4">
        <v>11</v>
      </c>
      <c r="DP247" s="4">
        <v>12</v>
      </c>
      <c r="DQ247" s="4">
        <v>14</v>
      </c>
      <c r="DR247" s="4">
        <v>17</v>
      </c>
      <c r="DS247" s="4">
        <v>19</v>
      </c>
      <c r="DT247" s="4">
        <v>21</v>
      </c>
      <c r="DU247" s="4">
        <v>23</v>
      </c>
      <c r="DV247" s="4">
        <v>24</v>
      </c>
      <c r="DW247" s="4">
        <v>26</v>
      </c>
      <c r="DX247" s="4">
        <v>31</v>
      </c>
      <c r="DY247" s="4">
        <v>50</v>
      </c>
      <c r="DZ247" s="4">
        <v>59</v>
      </c>
      <c r="EA247" s="4">
        <v>90.130353999999997</v>
      </c>
      <c r="EB247" s="4">
        <v>90.130353999999997</v>
      </c>
      <c r="EC247" s="4">
        <v>90.130353999999997</v>
      </c>
      <c r="ED247" s="4">
        <v>1936</v>
      </c>
      <c r="EE247" s="4">
        <v>1936</v>
      </c>
      <c r="EF247" s="4">
        <v>86.312849</v>
      </c>
      <c r="EG247" s="4">
        <v>40.735568000000001</v>
      </c>
      <c r="EH247" s="4">
        <v>86.312849</v>
      </c>
      <c r="EI247" s="4">
        <v>40.735568000000001</v>
      </c>
      <c r="EJ247" s="4">
        <v>86.312849</v>
      </c>
      <c r="EK247" s="4">
        <v>40.735568000000001</v>
      </c>
      <c r="EL247" s="4">
        <v>1854</v>
      </c>
      <c r="EM247" s="4">
        <v>875</v>
      </c>
      <c r="EN247" s="4">
        <v>1854</v>
      </c>
      <c r="EO247" s="4">
        <v>875</v>
      </c>
      <c r="EP247" s="4">
        <v>2148</v>
      </c>
      <c r="EQ247" s="4">
        <v>2148</v>
      </c>
      <c r="ER247" s="4">
        <v>77.767304999999993</v>
      </c>
    </row>
    <row r="248" spans="1:148" x14ac:dyDescent="0.2">
      <c r="A248" s="1">
        <v>2022</v>
      </c>
      <c r="B248" s="1" t="str">
        <f t="shared" si="6"/>
        <v>GN</v>
      </c>
      <c r="C248" s="1" t="s">
        <v>1260</v>
      </c>
      <c r="D248" s="1" t="s">
        <v>1260</v>
      </c>
      <c r="E248" s="1">
        <v>26362</v>
      </c>
      <c r="F248" s="1" t="s">
        <v>2136</v>
      </c>
      <c r="G248" s="1" t="s">
        <v>1234</v>
      </c>
      <c r="H248" s="1" t="s">
        <v>1261</v>
      </c>
      <c r="I248" s="1">
        <v>33.78</v>
      </c>
      <c r="J248" s="1">
        <v>33.78</v>
      </c>
      <c r="K248" s="1" t="s">
        <v>192</v>
      </c>
      <c r="L248" s="1">
        <v>1</v>
      </c>
      <c r="M248" s="1">
        <v>2018</v>
      </c>
      <c r="N248" s="1">
        <v>3</v>
      </c>
      <c r="O248" s="1">
        <v>1</v>
      </c>
      <c r="P248" s="1" t="str">
        <f t="shared" si="7"/>
        <v>Alto fuste</v>
      </c>
      <c r="Q248" s="2">
        <v>43125</v>
      </c>
      <c r="R248" s="1" t="s">
        <v>169</v>
      </c>
      <c r="S248" s="1" t="s">
        <v>299</v>
      </c>
      <c r="T248" s="1" t="s">
        <v>2268</v>
      </c>
      <c r="U248" s="1" t="s">
        <v>192</v>
      </c>
      <c r="V248" s="1" t="s">
        <v>152</v>
      </c>
      <c r="W248" s="2">
        <v>44734</v>
      </c>
      <c r="X248" s="1" t="s">
        <v>1236</v>
      </c>
      <c r="Y248" s="1">
        <v>61.54</v>
      </c>
      <c r="Z248" s="1">
        <v>21.5</v>
      </c>
      <c r="AA248" s="1">
        <v>7</v>
      </c>
      <c r="AB248" s="1">
        <v>14.7</v>
      </c>
      <c r="AC248" s="1">
        <v>1</v>
      </c>
      <c r="AD248" s="3">
        <v>316.05</v>
      </c>
      <c r="AE248" s="3">
        <v>313.64643407845801</v>
      </c>
      <c r="AF248" s="2">
        <v>44734</v>
      </c>
      <c r="AG248" s="1">
        <v>53</v>
      </c>
      <c r="AH248" s="3">
        <v>4.4052019164955496</v>
      </c>
      <c r="AI248" s="4">
        <v>24.284280760566901</v>
      </c>
      <c r="AJ248" s="4">
        <v>15.1179487179487</v>
      </c>
      <c r="AK248" s="4">
        <v>23.0589412495723</v>
      </c>
      <c r="AL248" s="1">
        <v>39</v>
      </c>
      <c r="AM248" s="5">
        <v>1243.4383357358399</v>
      </c>
      <c r="AN248" s="4">
        <v>254.97099142180599</v>
      </c>
      <c r="AO248" s="4">
        <v>0.205053185263842</v>
      </c>
      <c r="AP248" s="1" t="s">
        <v>299</v>
      </c>
      <c r="AQ248" s="1" t="s">
        <v>156</v>
      </c>
      <c r="AR248" s="1" t="s">
        <v>1160</v>
      </c>
      <c r="AS248" s="1">
        <v>9</v>
      </c>
      <c r="AT248" s="4">
        <v>1.119094502162256</v>
      </c>
      <c r="AU248" s="1" t="s">
        <v>1262</v>
      </c>
      <c r="AV248" s="1" t="s">
        <v>1263</v>
      </c>
      <c r="AW248" s="1">
        <v>3737</v>
      </c>
      <c r="AX248" s="1">
        <v>1942</v>
      </c>
      <c r="AY248" s="1">
        <v>1618</v>
      </c>
      <c r="AZ248" s="1">
        <v>166</v>
      </c>
      <c r="BA248" s="1">
        <v>11</v>
      </c>
      <c r="BB248" s="1">
        <v>0</v>
      </c>
      <c r="BC248" s="1">
        <v>0</v>
      </c>
      <c r="BD248" s="1">
        <v>0</v>
      </c>
      <c r="BE248" s="1">
        <v>0</v>
      </c>
      <c r="BF248" s="1">
        <v>0</v>
      </c>
      <c r="BG248" s="1">
        <v>0</v>
      </c>
      <c r="BH248" s="4">
        <v>-0.78500000000000003</v>
      </c>
      <c r="BI248" s="4">
        <v>27.247999</v>
      </c>
      <c r="BJ248" s="4">
        <v>13.135187</v>
      </c>
      <c r="BK248" s="4">
        <v>0.104936</v>
      </c>
      <c r="BL248" s="4">
        <v>11.8492</v>
      </c>
      <c r="BM248" s="4">
        <v>140.40354199999999</v>
      </c>
      <c r="BN248" s="4">
        <v>0.90209600000000001</v>
      </c>
      <c r="BO248" s="4">
        <v>24.421001</v>
      </c>
      <c r="BP248" s="4">
        <v>-0.117317</v>
      </c>
      <c r="BQ248" s="4">
        <v>1.077558</v>
      </c>
      <c r="BR248" s="4">
        <v>11.646485999999999</v>
      </c>
      <c r="BS248" s="4">
        <v>6.074001</v>
      </c>
      <c r="BT248" s="4">
        <v>19.924063</v>
      </c>
      <c r="BU248" s="4">
        <v>13.135187</v>
      </c>
      <c r="BV248" s="4">
        <v>6.2281789999999999</v>
      </c>
      <c r="BW248" s="4">
        <v>-0.23247899999999999</v>
      </c>
      <c r="BX248" s="4">
        <v>-1.3331489999999999</v>
      </c>
      <c r="BY248" s="4">
        <v>0.47416000000000003</v>
      </c>
      <c r="BZ248" s="4">
        <v>-3.7326999999999999E-2</v>
      </c>
      <c r="CA248" s="4">
        <v>-0.21405099999999999</v>
      </c>
      <c r="CB248" s="4">
        <v>-0.38928000000000001</v>
      </c>
      <c r="CC248" s="4">
        <v>-0.14599999999999999</v>
      </c>
      <c r="CD248" s="4">
        <v>-2.8000000000000001E-2</v>
      </c>
      <c r="CE248" s="4">
        <v>0.10100000000000001</v>
      </c>
      <c r="CF248" s="4">
        <v>0.161</v>
      </c>
      <c r="CG248" s="4">
        <v>0.2288</v>
      </c>
      <c r="CH248" s="4">
        <v>0.5766</v>
      </c>
      <c r="CI248" s="4">
        <v>20.028998999999999</v>
      </c>
      <c r="CJ248" s="4">
        <v>23.677800999999999</v>
      </c>
      <c r="CK248" s="4">
        <v>24.328199000000001</v>
      </c>
      <c r="CL248" s="4">
        <v>24.582001000000002</v>
      </c>
      <c r="CM248" s="4">
        <v>24.823999000000001</v>
      </c>
      <c r="CN248" s="4">
        <v>25.402000000000001</v>
      </c>
      <c r="CO248" s="4">
        <v>25.802999</v>
      </c>
      <c r="CP248" s="4">
        <v>26.442837000000001</v>
      </c>
      <c r="CQ248" s="4">
        <v>0.49656400000000001</v>
      </c>
      <c r="CR248" s="4">
        <v>17.688955</v>
      </c>
      <c r="CS248" s="4">
        <v>19.662955</v>
      </c>
      <c r="CT248" s="1">
        <v>1</v>
      </c>
      <c r="CU248" s="1">
        <v>72</v>
      </c>
      <c r="CV248" s="4">
        <v>21.565694000000001</v>
      </c>
      <c r="CW248" s="4">
        <v>1</v>
      </c>
      <c r="CX248" s="4">
        <v>14.818966</v>
      </c>
      <c r="CY248" s="4">
        <v>219.60174599999999</v>
      </c>
      <c r="CZ248" s="4">
        <v>0.68715499999999996</v>
      </c>
      <c r="DA248" s="4">
        <v>24</v>
      </c>
      <c r="DB248" s="4">
        <v>0.42048000000000002</v>
      </c>
      <c r="DC248" s="4">
        <v>2.2751139999999999</v>
      </c>
      <c r="DD248" s="4">
        <v>12.634086</v>
      </c>
      <c r="DE248" s="4">
        <v>21.565694000000001</v>
      </c>
      <c r="DF248" s="4">
        <v>8.4380579999999998</v>
      </c>
      <c r="DG248" s="4">
        <v>0.87156299999999998</v>
      </c>
      <c r="DH248" s="4">
        <v>0.19530900000000001</v>
      </c>
      <c r="DI248" s="4">
        <v>0.39127200000000001</v>
      </c>
      <c r="DJ248" s="4">
        <v>0.10329000000000001</v>
      </c>
      <c r="DK248" s="4">
        <v>2.3146E-2</v>
      </c>
      <c r="DL248" s="4">
        <v>1</v>
      </c>
      <c r="DM248" s="4">
        <v>2</v>
      </c>
      <c r="DN248" s="4">
        <v>3</v>
      </c>
      <c r="DO248" s="4">
        <v>6</v>
      </c>
      <c r="DP248" s="4">
        <v>8</v>
      </c>
      <c r="DQ248" s="4">
        <v>10</v>
      </c>
      <c r="DR248" s="4">
        <v>15</v>
      </c>
      <c r="DS248" s="4">
        <v>21</v>
      </c>
      <c r="DT248" s="4">
        <v>26</v>
      </c>
      <c r="DU248" s="4">
        <v>30</v>
      </c>
      <c r="DV248" s="4">
        <v>32</v>
      </c>
      <c r="DW248" s="4">
        <v>35</v>
      </c>
      <c r="DX248" s="4">
        <v>42</v>
      </c>
      <c r="DY248" s="4">
        <v>48</v>
      </c>
      <c r="DZ248" s="4">
        <v>56</v>
      </c>
      <c r="EA248" s="4">
        <v>98.197733999999997</v>
      </c>
      <c r="EB248" s="4">
        <v>56.810276000000002</v>
      </c>
      <c r="EC248" s="4">
        <v>109.32028800000001</v>
      </c>
      <c r="ED248" s="4">
        <v>1907</v>
      </c>
      <c r="EE248" s="4">
        <v>2123</v>
      </c>
      <c r="EF248" s="4">
        <v>97.837281000000004</v>
      </c>
      <c r="EG248" s="4">
        <v>99.948507000000006</v>
      </c>
      <c r="EH248" s="4">
        <v>52.769601000000002</v>
      </c>
      <c r="EI248" s="4">
        <v>79.529033999999996</v>
      </c>
      <c r="EJ248" s="4">
        <v>101.544799</v>
      </c>
      <c r="EK248" s="4">
        <v>153.038105</v>
      </c>
      <c r="EL248" s="4">
        <v>1900</v>
      </c>
      <c r="EM248" s="4">
        <v>1941</v>
      </c>
      <c r="EN248" s="4">
        <v>1972</v>
      </c>
      <c r="EO248" s="4">
        <v>2972</v>
      </c>
      <c r="EP248" s="4">
        <v>1942</v>
      </c>
      <c r="EQ248" s="4">
        <v>3737</v>
      </c>
      <c r="ER248" s="4">
        <v>48.679940999999999</v>
      </c>
    </row>
    <row r="249" spans="1:148" x14ac:dyDescent="0.2">
      <c r="A249" s="1">
        <v>2022</v>
      </c>
      <c r="B249" s="1" t="str">
        <f t="shared" si="6"/>
        <v>GN</v>
      </c>
      <c r="C249" s="1" t="s">
        <v>1264</v>
      </c>
      <c r="D249" s="1" t="s">
        <v>1264</v>
      </c>
      <c r="E249" s="1">
        <v>26363</v>
      </c>
      <c r="F249" s="1" t="s">
        <v>2136</v>
      </c>
      <c r="G249" s="1" t="s">
        <v>1234</v>
      </c>
      <c r="H249" s="1" t="s">
        <v>1261</v>
      </c>
      <c r="I249" s="1">
        <v>33.78</v>
      </c>
      <c r="J249" s="1">
        <v>33.78</v>
      </c>
      <c r="K249" s="1" t="s">
        <v>192</v>
      </c>
      <c r="L249" s="1">
        <v>1</v>
      </c>
      <c r="M249" s="1">
        <v>2018</v>
      </c>
      <c r="N249" s="1">
        <v>3</v>
      </c>
      <c r="O249" s="1">
        <v>1</v>
      </c>
      <c r="P249" s="1" t="str">
        <f t="shared" si="7"/>
        <v>Alto fuste</v>
      </c>
      <c r="Q249" s="2">
        <v>43125</v>
      </c>
      <c r="R249" s="1" t="s">
        <v>169</v>
      </c>
      <c r="S249" s="1" t="s">
        <v>299</v>
      </c>
      <c r="T249" s="1" t="s">
        <v>2268</v>
      </c>
      <c r="U249" s="1" t="s">
        <v>192</v>
      </c>
      <c r="V249" s="1" t="s">
        <v>152</v>
      </c>
      <c r="W249" s="2">
        <v>44734</v>
      </c>
      <c r="X249" s="1" t="s">
        <v>1236</v>
      </c>
      <c r="Y249" s="1">
        <v>61.54</v>
      </c>
      <c r="Z249" s="1">
        <v>19.399999999999999</v>
      </c>
      <c r="AA249" s="1">
        <v>8</v>
      </c>
      <c r="AB249" s="1">
        <v>15.2</v>
      </c>
      <c r="AC249" s="1">
        <v>4</v>
      </c>
      <c r="AD249" s="3">
        <v>294.88</v>
      </c>
      <c r="AE249" s="3">
        <v>291.29892582250102</v>
      </c>
      <c r="AF249" s="2">
        <v>44734</v>
      </c>
      <c r="AG249" s="1">
        <v>53</v>
      </c>
      <c r="AH249" s="3">
        <v>4.4052019164955496</v>
      </c>
      <c r="AI249" s="4">
        <v>26.172911875603599</v>
      </c>
      <c r="AJ249" s="4">
        <v>15.6033333333333</v>
      </c>
      <c r="AK249" s="4">
        <v>20.022819950592599</v>
      </c>
      <c r="AL249" s="1">
        <v>30</v>
      </c>
      <c r="AM249" s="5">
        <v>1029.86991508098</v>
      </c>
      <c r="AN249" s="4">
        <v>235.198613412041</v>
      </c>
      <c r="AO249" s="4">
        <v>0.22837701147289699</v>
      </c>
      <c r="AP249" s="1" t="s">
        <v>299</v>
      </c>
      <c r="AQ249" s="1" t="s">
        <v>156</v>
      </c>
      <c r="AR249" s="1" t="s">
        <v>1160</v>
      </c>
      <c r="AS249" s="1">
        <v>9</v>
      </c>
      <c r="AT249" s="4">
        <v>0.92688292357288204</v>
      </c>
      <c r="AU249" s="1" t="s">
        <v>1265</v>
      </c>
      <c r="AV249" s="1" t="s">
        <v>1266</v>
      </c>
      <c r="AW249" s="1">
        <v>2969</v>
      </c>
      <c r="AX249" s="1">
        <v>1625</v>
      </c>
      <c r="AY249" s="1">
        <v>1194</v>
      </c>
      <c r="AZ249" s="1">
        <v>140</v>
      </c>
      <c r="BA249" s="1">
        <v>10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4">
        <v>-1.01</v>
      </c>
      <c r="BI249" s="4">
        <v>28.372</v>
      </c>
      <c r="BJ249" s="4">
        <v>14.077073</v>
      </c>
      <c r="BK249" s="4">
        <v>-7.7238000000000001E-2</v>
      </c>
      <c r="BL249" s="4">
        <v>12.138693</v>
      </c>
      <c r="BM249" s="4">
        <v>147.34786800000001</v>
      </c>
      <c r="BN249" s="4">
        <v>0.86230200000000001</v>
      </c>
      <c r="BO249" s="4">
        <v>25.106999999999999</v>
      </c>
      <c r="BP249" s="4">
        <v>-0.232991</v>
      </c>
      <c r="BQ249" s="4">
        <v>1.1311199999999999</v>
      </c>
      <c r="BR249" s="4">
        <v>11.836161000000001</v>
      </c>
      <c r="BS249" s="4">
        <v>3.8050000000000002</v>
      </c>
      <c r="BT249" s="4">
        <v>23.185237999999998</v>
      </c>
      <c r="BU249" s="4">
        <v>14.077073</v>
      </c>
      <c r="BV249" s="4">
        <v>6.3887530000000003</v>
      </c>
      <c r="BW249" s="4">
        <v>-0.53342599999999996</v>
      </c>
      <c r="BX249" s="4">
        <v>-1.2514559999999999</v>
      </c>
      <c r="BY249" s="4">
        <v>0.45384099999999999</v>
      </c>
      <c r="BZ249" s="4">
        <v>-8.3495E-2</v>
      </c>
      <c r="CA249" s="4">
        <v>-0.195884</v>
      </c>
      <c r="CB249" s="4">
        <v>-0.60231999999999997</v>
      </c>
      <c r="CC249" s="4">
        <v>-0.34160000000000001</v>
      </c>
      <c r="CD249" s="4">
        <v>-0.19500000000000001</v>
      </c>
      <c r="CE249" s="4">
        <v>-5.6000000000000001E-2</v>
      </c>
      <c r="CF249" s="4">
        <v>-3.0000000000000001E-3</v>
      </c>
      <c r="CG249" s="4">
        <v>5.74E-2</v>
      </c>
      <c r="CH249" s="4">
        <v>0.78379799999999999</v>
      </c>
      <c r="CI249" s="4">
        <v>23.108000000000001</v>
      </c>
      <c r="CJ249" s="4">
        <v>24.1556</v>
      </c>
      <c r="CK249" s="4">
        <v>24.756599000000001</v>
      </c>
      <c r="CL249" s="4">
        <v>25.103999999999999</v>
      </c>
      <c r="CM249" s="4">
        <v>25.472000000000001</v>
      </c>
      <c r="CN249" s="4">
        <v>26.250401</v>
      </c>
      <c r="CO249" s="4">
        <v>26.750401</v>
      </c>
      <c r="CP249" s="4">
        <v>27.472920999999999</v>
      </c>
      <c r="CQ249" s="4">
        <v>0.51348000000000005</v>
      </c>
      <c r="CR249" s="4">
        <v>18.586614000000001</v>
      </c>
      <c r="CS249" s="4">
        <v>20.482877999999999</v>
      </c>
      <c r="CT249" s="1">
        <v>1</v>
      </c>
      <c r="CU249" s="1">
        <v>65</v>
      </c>
      <c r="CV249" s="4">
        <v>16.942067999999999</v>
      </c>
      <c r="CW249" s="4">
        <v>1</v>
      </c>
      <c r="CX249" s="4">
        <v>11.850171</v>
      </c>
      <c r="CY249" s="4">
        <v>140.42656199999999</v>
      </c>
      <c r="CZ249" s="4">
        <v>0.69945199999999996</v>
      </c>
      <c r="DA249" s="4">
        <v>20</v>
      </c>
      <c r="DB249" s="4">
        <v>0.46725100000000003</v>
      </c>
      <c r="DC249" s="4">
        <v>2.4547819999999998</v>
      </c>
      <c r="DD249" s="4">
        <v>10.096223</v>
      </c>
      <c r="DE249" s="4">
        <v>16.942067999999999</v>
      </c>
      <c r="DF249" s="4">
        <v>6.7271409999999996</v>
      </c>
      <c r="DG249" s="4">
        <v>0.72099000000000002</v>
      </c>
      <c r="DH249" s="4">
        <v>0.148284</v>
      </c>
      <c r="DI249" s="4">
        <v>0.397067</v>
      </c>
      <c r="DJ249" s="4">
        <v>0.10717599999999999</v>
      </c>
      <c r="DK249" s="4">
        <v>2.2043E-2</v>
      </c>
      <c r="DL249" s="4">
        <v>1</v>
      </c>
      <c r="DM249" s="4">
        <v>1</v>
      </c>
      <c r="DN249" s="4">
        <v>2</v>
      </c>
      <c r="DO249" s="4">
        <v>5</v>
      </c>
      <c r="DP249" s="4">
        <v>6</v>
      </c>
      <c r="DQ249" s="4">
        <v>8</v>
      </c>
      <c r="DR249" s="4">
        <v>12</v>
      </c>
      <c r="DS249" s="4">
        <v>16</v>
      </c>
      <c r="DT249" s="4">
        <v>20</v>
      </c>
      <c r="DU249" s="4">
        <v>24</v>
      </c>
      <c r="DV249" s="4">
        <v>26</v>
      </c>
      <c r="DW249" s="4">
        <v>28</v>
      </c>
      <c r="DX249" s="4">
        <v>33</v>
      </c>
      <c r="DY249" s="4">
        <v>37</v>
      </c>
      <c r="DZ249" s="4">
        <v>46</v>
      </c>
      <c r="EA249" s="4">
        <v>98.4</v>
      </c>
      <c r="EB249" s="4">
        <v>59.885483000000001</v>
      </c>
      <c r="EC249" s="4">
        <v>109.415385</v>
      </c>
      <c r="ED249" s="4">
        <v>1599</v>
      </c>
      <c r="EE249" s="4">
        <v>1778</v>
      </c>
      <c r="EF249" s="4">
        <v>97.476922999999999</v>
      </c>
      <c r="EG249" s="4">
        <v>99.938462000000001</v>
      </c>
      <c r="EH249" s="4">
        <v>55.304816000000002</v>
      </c>
      <c r="EI249" s="4">
        <v>81.104748999999998</v>
      </c>
      <c r="EJ249" s="4">
        <v>101.046154</v>
      </c>
      <c r="EK249" s="4">
        <v>148.18461500000001</v>
      </c>
      <c r="EL249" s="4">
        <v>1584</v>
      </c>
      <c r="EM249" s="4">
        <v>1624</v>
      </c>
      <c r="EN249" s="4">
        <v>1642</v>
      </c>
      <c r="EO249" s="4">
        <v>2408</v>
      </c>
      <c r="EP249" s="4">
        <v>1625</v>
      </c>
      <c r="EQ249" s="4">
        <v>2969</v>
      </c>
      <c r="ER249" s="4">
        <v>50.366241000000002</v>
      </c>
    </row>
    <row r="250" spans="1:148" x14ac:dyDescent="0.2">
      <c r="A250" s="1">
        <v>2022</v>
      </c>
      <c r="B250" s="1" t="str">
        <f t="shared" si="6"/>
        <v>RD</v>
      </c>
      <c r="C250" s="1" t="s">
        <v>1267</v>
      </c>
      <c r="D250" s="1" t="s">
        <v>1267</v>
      </c>
      <c r="E250" s="1">
        <v>26366</v>
      </c>
      <c r="F250" s="1" t="s">
        <v>2139</v>
      </c>
      <c r="G250" s="1" t="s">
        <v>277</v>
      </c>
      <c r="H250" s="1" t="s">
        <v>1268</v>
      </c>
      <c r="I250" s="1">
        <v>37.51</v>
      </c>
      <c r="J250" s="1">
        <v>37.51</v>
      </c>
      <c r="K250" s="1" t="s">
        <v>210</v>
      </c>
      <c r="L250" s="1">
        <v>1</v>
      </c>
      <c r="M250" s="1">
        <v>2018</v>
      </c>
      <c r="N250" s="1">
        <v>3</v>
      </c>
      <c r="O250" s="1">
        <v>2</v>
      </c>
      <c r="P250" s="1" t="str">
        <f t="shared" si="7"/>
        <v>Talhadia</v>
      </c>
      <c r="Q250" s="2">
        <v>43231</v>
      </c>
      <c r="R250" s="1" t="s">
        <v>227</v>
      </c>
      <c r="S250" s="1" t="s">
        <v>238</v>
      </c>
      <c r="T250" s="1" t="s">
        <v>2268</v>
      </c>
      <c r="U250" s="1" t="s">
        <v>212</v>
      </c>
      <c r="V250" s="1" t="s">
        <v>152</v>
      </c>
      <c r="W250" s="2">
        <v>44685</v>
      </c>
      <c r="X250" s="1" t="s">
        <v>279</v>
      </c>
      <c r="Y250" s="1">
        <v>263.04000000000002</v>
      </c>
      <c r="Z250" s="1">
        <v>19.8</v>
      </c>
      <c r="AA250" s="1">
        <v>2</v>
      </c>
      <c r="AB250" s="1">
        <v>15.2</v>
      </c>
      <c r="AC250" s="1">
        <v>0</v>
      </c>
      <c r="AD250" s="3">
        <v>300.95999999999998</v>
      </c>
      <c r="AE250" s="3">
        <v>300.77666329966701</v>
      </c>
      <c r="AF250" s="2">
        <v>44685</v>
      </c>
      <c r="AG250" s="1">
        <v>48</v>
      </c>
      <c r="AH250" s="3">
        <v>3.98083504449008</v>
      </c>
      <c r="AI250" s="4">
        <v>20.237256599731602</v>
      </c>
      <c r="AJ250" s="4">
        <v>13.0444444444444</v>
      </c>
      <c r="AK250" s="4">
        <v>16.873531134509001</v>
      </c>
      <c r="AL250" s="1">
        <v>36</v>
      </c>
      <c r="AM250" s="5">
        <v>1196.9013687785</v>
      </c>
      <c r="AN250" s="4">
        <v>157.993138106911</v>
      </c>
      <c r="AO250" s="4">
        <v>0.13200180251122201</v>
      </c>
      <c r="AP250" s="1" t="s">
        <v>238</v>
      </c>
      <c r="AQ250" s="1" t="s">
        <v>254</v>
      </c>
      <c r="AR250" s="1" t="s">
        <v>1271</v>
      </c>
      <c r="AS250" s="1">
        <v>7.5</v>
      </c>
      <c r="AT250" s="4">
        <v>0.89767602658387502</v>
      </c>
      <c r="AU250" s="1" t="s">
        <v>1269</v>
      </c>
      <c r="AV250" s="1" t="s">
        <v>1270</v>
      </c>
      <c r="AW250" s="1">
        <v>2310</v>
      </c>
      <c r="AX250" s="1">
        <v>1337</v>
      </c>
      <c r="AY250" s="1">
        <v>830</v>
      </c>
      <c r="AZ250" s="1">
        <v>136</v>
      </c>
      <c r="BA250" s="1">
        <v>7</v>
      </c>
      <c r="BB250" s="1">
        <v>0</v>
      </c>
      <c r="BC250" s="1">
        <v>0</v>
      </c>
      <c r="BD250" s="1">
        <v>0</v>
      </c>
      <c r="BE250" s="1">
        <v>0</v>
      </c>
      <c r="BF250" s="1">
        <v>0</v>
      </c>
      <c r="BG250" s="1">
        <v>0</v>
      </c>
      <c r="BH250" s="4">
        <v>-0.75</v>
      </c>
      <c r="BI250" s="4">
        <v>24.200001</v>
      </c>
      <c r="BJ250" s="4">
        <v>9.1339480000000002</v>
      </c>
      <c r="BK250" s="4">
        <v>-0.353968</v>
      </c>
      <c r="BL250" s="4">
        <v>8.5809929999999994</v>
      </c>
      <c r="BM250" s="4">
        <v>73.633443</v>
      </c>
      <c r="BN250" s="4">
        <v>0.93946200000000002</v>
      </c>
      <c r="BO250" s="4">
        <v>17.077499</v>
      </c>
      <c r="BP250" s="4">
        <v>0.15596199999999999</v>
      </c>
      <c r="BQ250" s="4">
        <v>1.405057</v>
      </c>
      <c r="BR250" s="4">
        <v>7.9290589999999996</v>
      </c>
      <c r="BS250" s="4">
        <v>9.3099989999999995</v>
      </c>
      <c r="BT250" s="4">
        <v>9.8439680000000003</v>
      </c>
      <c r="BU250" s="4">
        <v>9.1339480000000002</v>
      </c>
      <c r="BV250" s="4">
        <v>4.7769740000000001</v>
      </c>
      <c r="BW250" s="4">
        <v>0.48757200000000001</v>
      </c>
      <c r="BX250" s="4">
        <v>-0.58562000000000003</v>
      </c>
      <c r="BY250" s="4">
        <v>0.52299099999999998</v>
      </c>
      <c r="BZ250" s="4">
        <v>0.102067</v>
      </c>
      <c r="CA250" s="4">
        <v>-0.12259200000000001</v>
      </c>
      <c r="CB250" s="4">
        <v>-0.38</v>
      </c>
      <c r="CC250" s="4">
        <v>-0.18</v>
      </c>
      <c r="CD250" s="4">
        <v>-0.09</v>
      </c>
      <c r="CE250" s="4">
        <v>0.04</v>
      </c>
      <c r="CF250" s="4">
        <v>0.08</v>
      </c>
      <c r="CG250" s="4">
        <v>0.15</v>
      </c>
      <c r="CH250" s="4">
        <v>0.68</v>
      </c>
      <c r="CI250" s="4">
        <v>9.49</v>
      </c>
      <c r="CJ250" s="4">
        <v>13.13</v>
      </c>
      <c r="CK250" s="4">
        <v>16.010000000000002</v>
      </c>
      <c r="CL250" s="4">
        <v>17.157499000000001</v>
      </c>
      <c r="CM250" s="4">
        <v>18.521999000000001</v>
      </c>
      <c r="CN250" s="4">
        <v>21.021001999999999</v>
      </c>
      <c r="CO250" s="4">
        <v>22.1355</v>
      </c>
      <c r="CP250" s="4">
        <v>23.109100000000002</v>
      </c>
      <c r="CQ250" s="4">
        <v>0.39615</v>
      </c>
      <c r="CR250" s="4">
        <v>12.531184</v>
      </c>
      <c r="CS250" s="4">
        <v>14.223215</v>
      </c>
      <c r="CT250" s="1">
        <v>1</v>
      </c>
      <c r="CU250" s="1">
        <v>45</v>
      </c>
      <c r="CV250" s="4">
        <v>12.188745000000001</v>
      </c>
      <c r="CW250" s="4">
        <v>3.7936510000000001</v>
      </c>
      <c r="CX250" s="4">
        <v>9.3157800000000002</v>
      </c>
      <c r="CY250" s="4">
        <v>86.783761999999996</v>
      </c>
      <c r="CZ250" s="4">
        <v>0.76429400000000003</v>
      </c>
      <c r="DA250" s="4">
        <v>12</v>
      </c>
      <c r="DB250" s="4">
        <v>1.102322</v>
      </c>
      <c r="DC250" s="4">
        <v>3.766492</v>
      </c>
      <c r="DD250" s="4">
        <v>7.3170440000000001</v>
      </c>
      <c r="DE250" s="4">
        <v>12.188745000000001</v>
      </c>
      <c r="DF250" s="4">
        <v>5.0362730000000004</v>
      </c>
      <c r="DG250" s="4">
        <v>1.2000869999999999</v>
      </c>
      <c r="DH250" s="4">
        <v>0.59304400000000002</v>
      </c>
      <c r="DI250" s="4">
        <v>0.41319</v>
      </c>
      <c r="DJ250" s="4">
        <v>0.238289</v>
      </c>
      <c r="DK250" s="4">
        <v>0.117755</v>
      </c>
      <c r="DL250" s="4">
        <v>1</v>
      </c>
      <c r="DM250" s="4">
        <v>1</v>
      </c>
      <c r="DN250" s="4">
        <v>2</v>
      </c>
      <c r="DO250" s="4">
        <v>4</v>
      </c>
      <c r="DP250" s="4">
        <v>5</v>
      </c>
      <c r="DQ250" s="4">
        <v>6</v>
      </c>
      <c r="DR250" s="4">
        <v>8</v>
      </c>
      <c r="DS250" s="4">
        <v>10</v>
      </c>
      <c r="DT250" s="4">
        <v>12</v>
      </c>
      <c r="DU250" s="4">
        <v>15</v>
      </c>
      <c r="DV250" s="4">
        <v>17</v>
      </c>
      <c r="DW250" s="4">
        <v>19</v>
      </c>
      <c r="DX250" s="4">
        <v>26</v>
      </c>
      <c r="DY250" s="4">
        <v>32</v>
      </c>
      <c r="DZ250" s="4">
        <v>40</v>
      </c>
      <c r="EA250" s="4">
        <v>83.994016000000002</v>
      </c>
      <c r="EB250" s="4">
        <v>57.489176999999998</v>
      </c>
      <c r="EC250" s="4">
        <v>99.326851000000005</v>
      </c>
      <c r="ED250" s="4">
        <v>1123</v>
      </c>
      <c r="EE250" s="4">
        <v>1328</v>
      </c>
      <c r="EF250" s="4">
        <v>77.711293999999995</v>
      </c>
      <c r="EG250" s="4">
        <v>100</v>
      </c>
      <c r="EH250" s="4">
        <v>50.952381000000003</v>
      </c>
      <c r="EI250" s="4">
        <v>98.614718999999994</v>
      </c>
      <c r="EJ250" s="4">
        <v>88.032909000000004</v>
      </c>
      <c r="EK250" s="4">
        <v>170.381451</v>
      </c>
      <c r="EL250" s="4">
        <v>1039</v>
      </c>
      <c r="EM250" s="4">
        <v>1337</v>
      </c>
      <c r="EN250" s="4">
        <v>1177</v>
      </c>
      <c r="EO250" s="4">
        <v>2278</v>
      </c>
      <c r="EP250" s="4">
        <v>1337</v>
      </c>
      <c r="EQ250" s="4">
        <v>2310</v>
      </c>
      <c r="ER250" s="4">
        <v>38.626173999999999</v>
      </c>
    </row>
    <row r="251" spans="1:148" x14ac:dyDescent="0.2">
      <c r="A251" s="1">
        <v>2022</v>
      </c>
      <c r="B251" s="1" t="str">
        <f t="shared" si="6"/>
        <v>RD</v>
      </c>
      <c r="C251" s="1" t="s">
        <v>1272</v>
      </c>
      <c r="D251" s="1" t="s">
        <v>1272</v>
      </c>
      <c r="E251" s="1">
        <v>26369</v>
      </c>
      <c r="F251" s="1" t="s">
        <v>2137</v>
      </c>
      <c r="G251" s="1" t="s">
        <v>759</v>
      </c>
      <c r="H251" s="1" t="s">
        <v>1273</v>
      </c>
      <c r="I251" s="1">
        <v>57.34</v>
      </c>
      <c r="J251" s="1">
        <v>57.34</v>
      </c>
      <c r="K251" s="1" t="s">
        <v>249</v>
      </c>
      <c r="L251" s="1">
        <v>1</v>
      </c>
      <c r="M251" s="1">
        <v>2018</v>
      </c>
      <c r="N251" s="1">
        <v>3</v>
      </c>
      <c r="O251" s="1">
        <v>1</v>
      </c>
      <c r="P251" s="1" t="str">
        <f t="shared" si="7"/>
        <v>Alto fuste</v>
      </c>
      <c r="Q251" s="2">
        <v>43152</v>
      </c>
      <c r="R251" s="1" t="s">
        <v>227</v>
      </c>
      <c r="S251" s="1" t="s">
        <v>755</v>
      </c>
      <c r="T251" s="1" t="s">
        <v>2268</v>
      </c>
      <c r="U251" s="1" t="s">
        <v>212</v>
      </c>
      <c r="V251" s="1" t="s">
        <v>152</v>
      </c>
      <c r="W251" s="2">
        <v>44686</v>
      </c>
      <c r="X251" s="1" t="s">
        <v>762</v>
      </c>
      <c r="Y251" s="1">
        <v>320.37</v>
      </c>
      <c r="Z251" s="1">
        <v>20.3</v>
      </c>
      <c r="AA251" s="1">
        <v>17</v>
      </c>
      <c r="AB251" s="1">
        <v>14.7</v>
      </c>
      <c r="AC251" s="1">
        <v>3</v>
      </c>
      <c r="AD251" s="3">
        <v>298.41000000000003</v>
      </c>
      <c r="AE251" s="3">
        <v>284.979811323371</v>
      </c>
      <c r="AF251" s="2">
        <v>44686</v>
      </c>
      <c r="AG251" s="1">
        <v>51</v>
      </c>
      <c r="AH251" s="3">
        <v>4.1998631074606401</v>
      </c>
      <c r="AI251" s="4">
        <v>19.2013747983898</v>
      </c>
      <c r="AJ251" s="4">
        <v>10.935714285714299</v>
      </c>
      <c r="AK251" s="4">
        <v>14.5238124923768</v>
      </c>
      <c r="AL251" s="1">
        <v>42</v>
      </c>
      <c r="AM251" s="5">
        <v>1473.78860997076</v>
      </c>
      <c r="AN251" s="4">
        <v>138.487524658361</v>
      </c>
      <c r="AO251" s="4">
        <v>9.3967020589953695E-2</v>
      </c>
      <c r="AP251" s="1" t="s">
        <v>755</v>
      </c>
      <c r="AQ251" s="1" t="s">
        <v>156</v>
      </c>
      <c r="AR251" s="1" t="s">
        <v>842</v>
      </c>
      <c r="AS251" s="1">
        <v>7.5</v>
      </c>
      <c r="AT251" s="4">
        <v>1.10534145747807</v>
      </c>
      <c r="AU251" s="1" t="s">
        <v>1274</v>
      </c>
      <c r="AV251" s="1" t="s">
        <v>1275</v>
      </c>
      <c r="AW251" s="1">
        <v>1809</v>
      </c>
      <c r="AX251" s="1">
        <v>1164</v>
      </c>
      <c r="AY251" s="1">
        <v>538</v>
      </c>
      <c r="AZ251" s="1">
        <v>103</v>
      </c>
      <c r="BA251" s="1">
        <v>4</v>
      </c>
      <c r="BB251" s="1">
        <v>0</v>
      </c>
      <c r="BC251" s="1">
        <v>0</v>
      </c>
      <c r="BD251" s="1">
        <v>0</v>
      </c>
      <c r="BE251" s="1">
        <v>0</v>
      </c>
      <c r="BF251" s="1">
        <v>0</v>
      </c>
      <c r="BG251" s="1">
        <v>0</v>
      </c>
      <c r="BH251" s="4">
        <v>-1.32</v>
      </c>
      <c r="BI251" s="4">
        <v>25.23</v>
      </c>
      <c r="BJ251" s="4">
        <v>13.120756999999999</v>
      </c>
      <c r="BK251" s="4">
        <v>-0.47714299999999998</v>
      </c>
      <c r="BL251" s="4">
        <v>9.0770309999999998</v>
      </c>
      <c r="BM251" s="4">
        <v>82.392495999999994</v>
      </c>
      <c r="BN251" s="4">
        <v>0.69180699999999995</v>
      </c>
      <c r="BO251" s="4">
        <v>20.130001</v>
      </c>
      <c r="BP251" s="4">
        <v>-0.58138299999999998</v>
      </c>
      <c r="BQ251" s="4">
        <v>1.609613</v>
      </c>
      <c r="BR251" s="4">
        <v>8.2431839999999994</v>
      </c>
      <c r="BS251" s="4">
        <v>3.699999</v>
      </c>
      <c r="BT251" s="4">
        <v>18.507142999999999</v>
      </c>
      <c r="BU251" s="4">
        <v>13.120756999999999</v>
      </c>
      <c r="BV251" s="4">
        <v>4.8947960000000004</v>
      </c>
      <c r="BW251" s="4">
        <v>-0.95522799999999997</v>
      </c>
      <c r="BX251" s="4">
        <v>-0.35660900000000001</v>
      </c>
      <c r="BY251" s="4">
        <v>0.37305700000000003</v>
      </c>
      <c r="BZ251" s="4">
        <v>-0.19515199999999999</v>
      </c>
      <c r="CA251" s="4">
        <v>-7.2855000000000003E-2</v>
      </c>
      <c r="CB251" s="4">
        <v>-0.84840000000000004</v>
      </c>
      <c r="CC251" s="4">
        <v>-0.47</v>
      </c>
      <c r="CD251" s="4">
        <v>-0.33200000000000002</v>
      </c>
      <c r="CE251" s="4">
        <v>-7.3999999999999996E-2</v>
      </c>
      <c r="CF251" s="4">
        <v>0.31</v>
      </c>
      <c r="CG251" s="4">
        <v>5.8540039999999998</v>
      </c>
      <c r="CH251" s="4">
        <v>14.716001</v>
      </c>
      <c r="CI251" s="4">
        <v>18.030000999999999</v>
      </c>
      <c r="CJ251" s="4">
        <v>19.038001999999999</v>
      </c>
      <c r="CK251" s="4">
        <v>19.986000000000001</v>
      </c>
      <c r="CL251" s="4">
        <v>20.440000999999999</v>
      </c>
      <c r="CM251" s="4">
        <v>20.809999000000001</v>
      </c>
      <c r="CN251" s="4">
        <v>21.751999000000001</v>
      </c>
      <c r="CO251" s="4">
        <v>22.792000000000002</v>
      </c>
      <c r="CP251" s="4">
        <v>24.195204</v>
      </c>
      <c r="CQ251" s="4">
        <v>0.54390799999999995</v>
      </c>
      <c r="CR251" s="4">
        <v>15.953094</v>
      </c>
      <c r="CS251" s="4">
        <v>17.174205000000001</v>
      </c>
      <c r="CT251" s="1">
        <v>1</v>
      </c>
      <c r="CU251" s="1">
        <v>40</v>
      </c>
      <c r="CV251" s="4">
        <v>13.537865999999999</v>
      </c>
      <c r="CW251" s="4">
        <v>16.476189999999999</v>
      </c>
      <c r="CX251" s="4">
        <v>7.964372</v>
      </c>
      <c r="CY251" s="4">
        <v>63.431226000000002</v>
      </c>
      <c r="CZ251" s="4">
        <v>0.58830300000000002</v>
      </c>
      <c r="DA251" s="4">
        <v>14</v>
      </c>
      <c r="DB251" s="4">
        <v>0.14804500000000001</v>
      </c>
      <c r="DC251" s="4">
        <v>2.2307130000000002</v>
      </c>
      <c r="DD251" s="4">
        <v>6.8082859999999998</v>
      </c>
      <c r="DE251" s="4">
        <v>13.537865999999999</v>
      </c>
      <c r="DF251" s="4">
        <v>4.5582190000000002</v>
      </c>
      <c r="DG251" s="4">
        <v>8.319E-2</v>
      </c>
      <c r="DH251" s="4">
        <v>0.13364300000000001</v>
      </c>
      <c r="DI251" s="4">
        <v>0.33670099999999997</v>
      </c>
      <c r="DJ251" s="4">
        <v>1.8251E-2</v>
      </c>
      <c r="DK251" s="4">
        <v>2.9319000000000001E-2</v>
      </c>
      <c r="DL251" s="4">
        <v>1</v>
      </c>
      <c r="DM251" s="4">
        <v>1</v>
      </c>
      <c r="DN251" s="4">
        <v>3</v>
      </c>
      <c r="DO251" s="4">
        <v>5</v>
      </c>
      <c r="DP251" s="4">
        <v>6</v>
      </c>
      <c r="DQ251" s="4">
        <v>8</v>
      </c>
      <c r="DR251" s="4">
        <v>11</v>
      </c>
      <c r="DS251" s="4">
        <v>14</v>
      </c>
      <c r="DT251" s="4">
        <v>17</v>
      </c>
      <c r="DU251" s="4">
        <v>18</v>
      </c>
      <c r="DV251" s="4">
        <v>20</v>
      </c>
      <c r="DW251" s="4">
        <v>21</v>
      </c>
      <c r="DX251" s="4">
        <v>24</v>
      </c>
      <c r="DY251" s="4">
        <v>26</v>
      </c>
      <c r="DZ251" s="4">
        <v>31</v>
      </c>
      <c r="EA251" s="4">
        <v>95.962198999999998</v>
      </c>
      <c r="EB251" s="4">
        <v>71.807629000000006</v>
      </c>
      <c r="EC251" s="4">
        <v>111.597938</v>
      </c>
      <c r="ED251" s="4">
        <v>1117</v>
      </c>
      <c r="EE251" s="4">
        <v>1299</v>
      </c>
      <c r="EF251" s="4">
        <v>91.580755999999994</v>
      </c>
      <c r="EG251" s="4">
        <v>100</v>
      </c>
      <c r="EH251" s="4">
        <v>62.023217000000002</v>
      </c>
      <c r="EI251" s="4">
        <v>95.245992000000001</v>
      </c>
      <c r="EJ251" s="4">
        <v>96.391752999999994</v>
      </c>
      <c r="EK251" s="4">
        <v>148.024055</v>
      </c>
      <c r="EL251" s="4">
        <v>1066</v>
      </c>
      <c r="EM251" s="4">
        <v>1164</v>
      </c>
      <c r="EN251" s="4">
        <v>1122</v>
      </c>
      <c r="EO251" s="4">
        <v>1723</v>
      </c>
      <c r="EP251" s="4">
        <v>1164</v>
      </c>
      <c r="EQ251" s="4">
        <v>1809</v>
      </c>
      <c r="ER251" s="4">
        <v>53.530808</v>
      </c>
    </row>
    <row r="252" spans="1:148" x14ac:dyDescent="0.2">
      <c r="A252" s="1">
        <v>2022</v>
      </c>
      <c r="B252" s="1" t="str">
        <f t="shared" si="6"/>
        <v>RD</v>
      </c>
      <c r="C252" s="1" t="s">
        <v>1276</v>
      </c>
      <c r="D252" s="1" t="s">
        <v>1276</v>
      </c>
      <c r="E252" s="1">
        <v>26370</v>
      </c>
      <c r="F252" s="1" t="s">
        <v>2137</v>
      </c>
      <c r="G252" s="1" t="s">
        <v>759</v>
      </c>
      <c r="H252" s="1" t="s">
        <v>1273</v>
      </c>
      <c r="I252" s="1">
        <v>57.34</v>
      </c>
      <c r="J252" s="1">
        <v>57.34</v>
      </c>
      <c r="K252" s="1" t="s">
        <v>249</v>
      </c>
      <c r="L252" s="1">
        <v>1</v>
      </c>
      <c r="M252" s="1">
        <v>2018</v>
      </c>
      <c r="N252" s="1">
        <v>3</v>
      </c>
      <c r="O252" s="1">
        <v>1</v>
      </c>
      <c r="P252" s="1" t="str">
        <f t="shared" si="7"/>
        <v>Alto fuste</v>
      </c>
      <c r="Q252" s="2">
        <v>43152</v>
      </c>
      <c r="R252" s="1" t="s">
        <v>227</v>
      </c>
      <c r="S252" s="1" t="s">
        <v>755</v>
      </c>
      <c r="T252" s="1" t="s">
        <v>2268</v>
      </c>
      <c r="U252" s="1" t="s">
        <v>212</v>
      </c>
      <c r="V252" s="1" t="s">
        <v>152</v>
      </c>
      <c r="W252" s="2">
        <v>44686</v>
      </c>
      <c r="X252" s="1" t="s">
        <v>762</v>
      </c>
      <c r="Y252" s="1">
        <v>320.37</v>
      </c>
      <c r="Z252" s="1">
        <v>19.2</v>
      </c>
      <c r="AA252" s="1">
        <v>21</v>
      </c>
      <c r="AB252" s="1">
        <v>14.5</v>
      </c>
      <c r="AC252" s="1">
        <v>3</v>
      </c>
      <c r="AD252" s="3">
        <v>278.39999999999998</v>
      </c>
      <c r="AE252" s="3">
        <v>259.55259477213502</v>
      </c>
      <c r="AF252" s="2">
        <v>44686</v>
      </c>
      <c r="AG252" s="1">
        <v>51</v>
      </c>
      <c r="AH252" s="3">
        <v>4.1998631074606401</v>
      </c>
      <c r="AI252" s="4">
        <v>21.269101633259101</v>
      </c>
      <c r="AJ252" s="4">
        <v>12.994444444444399</v>
      </c>
      <c r="AK252" s="4">
        <v>19.138468582739399</v>
      </c>
      <c r="AL252" s="1">
        <v>36</v>
      </c>
      <c r="AM252" s="5">
        <v>1387.00212308048</v>
      </c>
      <c r="AN252" s="4">
        <v>195.60252299521201</v>
      </c>
      <c r="AO252" s="4">
        <v>0.14102539552050999</v>
      </c>
      <c r="AP252" s="1" t="s">
        <v>755</v>
      </c>
      <c r="AQ252" s="1" t="s">
        <v>156</v>
      </c>
      <c r="AR252" s="1" t="s">
        <v>842</v>
      </c>
      <c r="AS252" s="1">
        <v>7.5</v>
      </c>
      <c r="AT252" s="4">
        <v>1.0402515923103601</v>
      </c>
      <c r="AU252" s="1" t="s">
        <v>1277</v>
      </c>
      <c r="AV252" s="1" t="s">
        <v>1278</v>
      </c>
      <c r="AW252" s="1">
        <v>3229</v>
      </c>
      <c r="AX252" s="1">
        <v>1782</v>
      </c>
      <c r="AY252" s="1">
        <v>1257</v>
      </c>
      <c r="AZ252" s="1">
        <v>185</v>
      </c>
      <c r="BA252" s="1">
        <v>5</v>
      </c>
      <c r="BB252" s="1">
        <v>0</v>
      </c>
      <c r="BC252" s="1">
        <v>0</v>
      </c>
      <c r="BD252" s="1">
        <v>0</v>
      </c>
      <c r="BE252" s="1">
        <v>0</v>
      </c>
      <c r="BF252" s="1">
        <v>0</v>
      </c>
      <c r="BG252" s="1">
        <v>0</v>
      </c>
      <c r="BH252" s="4">
        <v>-1.19</v>
      </c>
      <c r="BI252" s="4">
        <v>25.950001</v>
      </c>
      <c r="BJ252" s="4">
        <v>10.866989999999999</v>
      </c>
      <c r="BK252" s="4">
        <v>-0.32841300000000001</v>
      </c>
      <c r="BL252" s="4">
        <v>10.197858999999999</v>
      </c>
      <c r="BM252" s="4">
        <v>103.99632</v>
      </c>
      <c r="BN252" s="4">
        <v>0.93842499999999995</v>
      </c>
      <c r="BO252" s="4">
        <v>21.560001</v>
      </c>
      <c r="BP252" s="4">
        <v>4.6174E-2</v>
      </c>
      <c r="BQ252" s="4">
        <v>1.1781170000000001</v>
      </c>
      <c r="BR252" s="4">
        <v>9.8038050000000005</v>
      </c>
      <c r="BS252" s="4">
        <v>10.96</v>
      </c>
      <c r="BT252" s="4">
        <v>12.098413000000001</v>
      </c>
      <c r="BU252" s="4">
        <v>10.866989999999999</v>
      </c>
      <c r="BV252" s="4">
        <v>5.5805420000000003</v>
      </c>
      <c r="BW252" s="4">
        <v>0.25049500000000002</v>
      </c>
      <c r="BX252" s="4">
        <v>-0.99830600000000003</v>
      </c>
      <c r="BY252" s="4">
        <v>0.51353199999999999</v>
      </c>
      <c r="BZ252" s="4">
        <v>4.4887000000000003E-2</v>
      </c>
      <c r="CA252" s="4">
        <v>-0.17888999999999999</v>
      </c>
      <c r="CB252" s="4">
        <v>-0.6</v>
      </c>
      <c r="CC252" s="4">
        <v>-0.36</v>
      </c>
      <c r="CD252" s="4">
        <v>-0.25</v>
      </c>
      <c r="CE252" s="4">
        <v>-0.11</v>
      </c>
      <c r="CF252" s="4">
        <v>-0.03</v>
      </c>
      <c r="CG252" s="4">
        <v>0.08</v>
      </c>
      <c r="CH252" s="4">
        <v>1.87</v>
      </c>
      <c r="CI252" s="4">
        <v>11.77</v>
      </c>
      <c r="CJ252" s="4">
        <v>18.618002000000001</v>
      </c>
      <c r="CK252" s="4">
        <v>20.82</v>
      </c>
      <c r="CL252" s="4">
        <v>21.530000999999999</v>
      </c>
      <c r="CM252" s="4">
        <v>22.030000999999999</v>
      </c>
      <c r="CN252" s="4">
        <v>23.16</v>
      </c>
      <c r="CO252" s="4">
        <v>23.782003</v>
      </c>
      <c r="CP252" s="4">
        <v>24.76</v>
      </c>
      <c r="CQ252" s="4">
        <v>0.44425199999999998</v>
      </c>
      <c r="CR252" s="4">
        <v>14.901529</v>
      </c>
      <c r="CS252" s="4">
        <v>16.776284</v>
      </c>
      <c r="CT252" s="1">
        <v>1</v>
      </c>
      <c r="CU252" s="1">
        <v>48</v>
      </c>
      <c r="CV252" s="4">
        <v>14.012078000000001</v>
      </c>
      <c r="CW252" s="4">
        <v>1</v>
      </c>
      <c r="CX252" s="4">
        <v>9.8728680000000004</v>
      </c>
      <c r="CY252" s="4">
        <v>97.473522000000003</v>
      </c>
      <c r="CZ252" s="4">
        <v>0.70459700000000003</v>
      </c>
      <c r="DA252" s="4">
        <v>15</v>
      </c>
      <c r="DB252" s="4">
        <v>0.69623699999999999</v>
      </c>
      <c r="DC252" s="4">
        <v>2.9068239999999999</v>
      </c>
      <c r="DD252" s="4">
        <v>8.1616040000000005</v>
      </c>
      <c r="DE252" s="4">
        <v>14.012078000000001</v>
      </c>
      <c r="DF252" s="4">
        <v>5.5308510000000002</v>
      </c>
      <c r="DG252" s="4">
        <v>0.84430300000000003</v>
      </c>
      <c r="DH252" s="4">
        <v>0.34706799999999999</v>
      </c>
      <c r="DI252" s="4">
        <v>0.39472000000000002</v>
      </c>
      <c r="DJ252" s="4">
        <v>0.15265300000000001</v>
      </c>
      <c r="DK252" s="4">
        <v>6.2751000000000001E-2</v>
      </c>
      <c r="DL252" s="4">
        <v>1</v>
      </c>
      <c r="DM252" s="4">
        <v>1</v>
      </c>
      <c r="DN252" s="4">
        <v>2</v>
      </c>
      <c r="DO252" s="4">
        <v>4</v>
      </c>
      <c r="DP252" s="4">
        <v>6</v>
      </c>
      <c r="DQ252" s="4">
        <v>7</v>
      </c>
      <c r="DR252" s="4">
        <v>10</v>
      </c>
      <c r="DS252" s="4">
        <v>12</v>
      </c>
      <c r="DT252" s="4">
        <v>16</v>
      </c>
      <c r="DU252" s="4">
        <v>19</v>
      </c>
      <c r="DV252" s="4">
        <v>21</v>
      </c>
      <c r="DW252" s="4">
        <v>23</v>
      </c>
      <c r="DX252" s="4">
        <v>28</v>
      </c>
      <c r="DY252" s="4">
        <v>33</v>
      </c>
      <c r="DZ252" s="4">
        <v>40</v>
      </c>
      <c r="EA252" s="4">
        <v>87.654320999999996</v>
      </c>
      <c r="EB252" s="4">
        <v>56.240321999999999</v>
      </c>
      <c r="EC252" s="4">
        <v>101.90796899999999</v>
      </c>
      <c r="ED252" s="4">
        <v>1562</v>
      </c>
      <c r="EE252" s="4">
        <v>1816</v>
      </c>
      <c r="EF252" s="4">
        <v>84.062850999999995</v>
      </c>
      <c r="EG252" s="4">
        <v>100</v>
      </c>
      <c r="EH252" s="4">
        <v>50.758749000000002</v>
      </c>
      <c r="EI252" s="4">
        <v>93.899039999999999</v>
      </c>
      <c r="EJ252" s="4">
        <v>91.975308999999996</v>
      </c>
      <c r="EK252" s="4">
        <v>170.145903</v>
      </c>
      <c r="EL252" s="4">
        <v>1498</v>
      </c>
      <c r="EM252" s="4">
        <v>1782</v>
      </c>
      <c r="EN252" s="4">
        <v>1639</v>
      </c>
      <c r="EO252" s="4">
        <v>3032</v>
      </c>
      <c r="EP252" s="4">
        <v>1782</v>
      </c>
      <c r="EQ252" s="4">
        <v>3229</v>
      </c>
      <c r="ER252" s="4">
        <v>43.121437999999998</v>
      </c>
    </row>
    <row r="253" spans="1:148" x14ac:dyDescent="0.2">
      <c r="A253" s="1">
        <v>2022</v>
      </c>
      <c r="B253" s="1" t="str">
        <f t="shared" si="6"/>
        <v>GN</v>
      </c>
      <c r="C253" s="1" t="s">
        <v>1279</v>
      </c>
      <c r="D253" s="1" t="s">
        <v>1279</v>
      </c>
      <c r="E253" s="1">
        <v>26401</v>
      </c>
      <c r="F253" s="1" t="s">
        <v>2140</v>
      </c>
      <c r="G253" s="1" t="s">
        <v>1280</v>
      </c>
      <c r="H253" s="1" t="s">
        <v>1281</v>
      </c>
      <c r="I253" s="1">
        <v>27.04</v>
      </c>
      <c r="J253" s="1">
        <v>27.04</v>
      </c>
      <c r="K253" s="1" t="s">
        <v>192</v>
      </c>
      <c r="L253" s="1">
        <v>1</v>
      </c>
      <c r="M253" s="1">
        <v>2018</v>
      </c>
      <c r="N253" s="1">
        <v>2</v>
      </c>
      <c r="O253" s="1">
        <v>2</v>
      </c>
      <c r="P253" s="1" t="str">
        <f t="shared" si="7"/>
        <v>Talhadia</v>
      </c>
      <c r="Q253" s="2">
        <v>43347</v>
      </c>
      <c r="R253" s="1" t="s">
        <v>169</v>
      </c>
      <c r="S253" s="1" t="s">
        <v>265</v>
      </c>
      <c r="T253" s="1" t="s">
        <v>2268</v>
      </c>
      <c r="U253" s="1" t="s">
        <v>192</v>
      </c>
      <c r="V253" s="1" t="s">
        <v>152</v>
      </c>
      <c r="W253" s="2">
        <v>44642</v>
      </c>
      <c r="X253" s="1" t="s">
        <v>1282</v>
      </c>
      <c r="Y253" s="1">
        <v>431.88</v>
      </c>
      <c r="Z253" s="1">
        <v>21.5</v>
      </c>
      <c r="AA253" s="1">
        <v>21</v>
      </c>
      <c r="AB253" s="1">
        <v>15.1</v>
      </c>
      <c r="AC253" s="1">
        <v>2</v>
      </c>
      <c r="AD253" s="3">
        <v>324.64999999999998</v>
      </c>
      <c r="AE253" s="3">
        <v>302.902253120826</v>
      </c>
      <c r="AF253" s="2">
        <v>44642</v>
      </c>
      <c r="AG253" s="1">
        <v>42</v>
      </c>
      <c r="AH253" s="3">
        <v>3.5455167693360701</v>
      </c>
      <c r="AI253" s="4">
        <v>25.2286391668964</v>
      </c>
      <c r="AJ253" s="4">
        <v>15.3185185185185</v>
      </c>
      <c r="AK253" s="4">
        <v>16.681795135545801</v>
      </c>
      <c r="AL253" s="1">
        <v>27</v>
      </c>
      <c r="AM253" s="5">
        <v>891.37666431387697</v>
      </c>
      <c r="AN253" s="4">
        <v>190.634863259517</v>
      </c>
      <c r="AO253" s="4">
        <v>0.21386566520254999</v>
      </c>
      <c r="AP253" s="1" t="s">
        <v>265</v>
      </c>
      <c r="AQ253" s="1" t="s">
        <v>254</v>
      </c>
      <c r="AR253" s="1" t="s">
        <v>270</v>
      </c>
      <c r="AS253" s="1">
        <v>9</v>
      </c>
      <c r="AT253" s="4">
        <v>0.80223899788248931</v>
      </c>
      <c r="AU253" s="1" t="s">
        <v>1283</v>
      </c>
      <c r="AV253" s="1" t="s">
        <v>1284</v>
      </c>
      <c r="AW253" s="1">
        <v>1691</v>
      </c>
      <c r="AX253" s="1">
        <v>1691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0</v>
      </c>
      <c r="BG253" s="1">
        <v>0</v>
      </c>
      <c r="BH253" s="4">
        <v>-7.8E-2</v>
      </c>
      <c r="BI253" s="4">
        <v>27.391000999999999</v>
      </c>
      <c r="BJ253" s="4">
        <v>17.100384999999999</v>
      </c>
      <c r="BK253" s="4">
        <v>-7.8E-2</v>
      </c>
      <c r="BL253" s="4">
        <v>9.3654820000000001</v>
      </c>
      <c r="BM253" s="4">
        <v>87.712256999999994</v>
      </c>
      <c r="BN253" s="4">
        <v>0.54767699999999997</v>
      </c>
      <c r="BO253" s="4">
        <v>7.4130000000000003</v>
      </c>
      <c r="BP253" s="4">
        <v>-1.1344989999999999</v>
      </c>
      <c r="BQ253" s="4">
        <v>2.4973890000000001</v>
      </c>
      <c r="BR253" s="4">
        <v>7.8327819999999999</v>
      </c>
      <c r="BS253" s="4">
        <v>2.0120010000000002</v>
      </c>
      <c r="BT253" s="4">
        <v>21.501999000000001</v>
      </c>
      <c r="BU253" s="4">
        <v>17.100384999999999</v>
      </c>
      <c r="BV253" s="4">
        <v>4.5915990000000004</v>
      </c>
      <c r="BW253" s="4">
        <v>-1.64893</v>
      </c>
      <c r="BX253" s="4">
        <v>0.34378900000000001</v>
      </c>
      <c r="BY253" s="4">
        <v>0.268509</v>
      </c>
      <c r="BZ253" s="4">
        <v>-0.35911900000000002</v>
      </c>
      <c r="CA253" s="4">
        <v>7.4872999999999995E-2</v>
      </c>
      <c r="CB253" s="4">
        <v>-2.5999999999999999E-2</v>
      </c>
      <c r="CC253" s="4">
        <v>0.1055</v>
      </c>
      <c r="CD253" s="4">
        <v>0.17899999999999999</v>
      </c>
      <c r="CE253" s="4">
        <v>0.33900000000000002</v>
      </c>
      <c r="CF253" s="4">
        <v>15.739000000000001</v>
      </c>
      <c r="CG253" s="4">
        <v>19.548999999999999</v>
      </c>
      <c r="CH253" s="4">
        <v>20.690000999999999</v>
      </c>
      <c r="CI253" s="4">
        <v>21.423999999999999</v>
      </c>
      <c r="CJ253" s="4">
        <v>22.070999</v>
      </c>
      <c r="CK253" s="4">
        <v>22.715</v>
      </c>
      <c r="CL253" s="4">
        <v>23.152000000000001</v>
      </c>
      <c r="CM253" s="4">
        <v>23.527999999999999</v>
      </c>
      <c r="CN253" s="4">
        <v>24.415001</v>
      </c>
      <c r="CO253" s="4">
        <v>25.2395</v>
      </c>
      <c r="CP253" s="4">
        <v>26.517099000000002</v>
      </c>
      <c r="CQ253" s="4">
        <v>0.62537299999999996</v>
      </c>
      <c r="CR253" s="4">
        <v>19.495732</v>
      </c>
      <c r="CS253" s="4">
        <v>20.461133</v>
      </c>
      <c r="CT253" s="1">
        <v>1</v>
      </c>
      <c r="CU253" s="1">
        <v>57</v>
      </c>
      <c r="CV253" s="4">
        <v>16.726198</v>
      </c>
      <c r="CW253" s="4">
        <v>11.666667</v>
      </c>
      <c r="CX253" s="4">
        <v>12.537051</v>
      </c>
      <c r="CY253" s="4">
        <v>157.177651</v>
      </c>
      <c r="CZ253" s="4">
        <v>0.74954600000000005</v>
      </c>
      <c r="DA253" s="4">
        <v>13</v>
      </c>
      <c r="DB253" s="4">
        <v>1.1628069999999999</v>
      </c>
      <c r="DC253" s="4">
        <v>3.4657789999999999</v>
      </c>
      <c r="DD253" s="4">
        <v>9.8097580000000004</v>
      </c>
      <c r="DE253" s="4">
        <v>16.726198</v>
      </c>
      <c r="DF253" s="4">
        <v>6.6263009999999998</v>
      </c>
      <c r="DG253" s="4">
        <v>1.8893850000000001</v>
      </c>
      <c r="DH253" s="4">
        <v>1.0069220000000001</v>
      </c>
      <c r="DI253" s="4">
        <v>0.39616299999999999</v>
      </c>
      <c r="DJ253" s="4">
        <v>0.285134</v>
      </c>
      <c r="DK253" s="4">
        <v>0.15195800000000001</v>
      </c>
      <c r="DL253" s="4">
        <v>1</v>
      </c>
      <c r="DM253" s="4">
        <v>2</v>
      </c>
      <c r="DN253" s="4">
        <v>5</v>
      </c>
      <c r="DO253" s="4">
        <v>7</v>
      </c>
      <c r="DP253" s="4">
        <v>8</v>
      </c>
      <c r="DQ253" s="4">
        <v>9</v>
      </c>
      <c r="DR253" s="4">
        <v>11</v>
      </c>
      <c r="DS253" s="4">
        <v>13</v>
      </c>
      <c r="DT253" s="4">
        <v>15</v>
      </c>
      <c r="DU253" s="4">
        <v>18</v>
      </c>
      <c r="DV253" s="4">
        <v>21</v>
      </c>
      <c r="DW253" s="4">
        <v>27</v>
      </c>
      <c r="DX253" s="4">
        <v>38</v>
      </c>
      <c r="DY253" s="4">
        <v>44</v>
      </c>
      <c r="DZ253" s="4">
        <v>51.099975999999998</v>
      </c>
      <c r="EA253" s="4">
        <v>77.942046000000005</v>
      </c>
      <c r="EB253" s="4">
        <v>77.942046000000005</v>
      </c>
      <c r="EC253" s="4">
        <v>77.942046000000005</v>
      </c>
      <c r="ED253" s="4">
        <v>1318</v>
      </c>
      <c r="EE253" s="4">
        <v>1318</v>
      </c>
      <c r="EF253" s="4">
        <v>74.807805999999999</v>
      </c>
      <c r="EG253" s="4">
        <v>99.940862999999993</v>
      </c>
      <c r="EH253" s="4">
        <v>74.807805999999999</v>
      </c>
      <c r="EI253" s="4">
        <v>99.940862999999993</v>
      </c>
      <c r="EJ253" s="4">
        <v>74.807805999999999</v>
      </c>
      <c r="EK253" s="4">
        <v>99.940862999999993</v>
      </c>
      <c r="EL253" s="4">
        <v>1265</v>
      </c>
      <c r="EM253" s="4">
        <v>1690</v>
      </c>
      <c r="EN253" s="4">
        <v>1265</v>
      </c>
      <c r="EO253" s="4">
        <v>1690</v>
      </c>
      <c r="EP253" s="4">
        <v>1691</v>
      </c>
      <c r="EQ253" s="4">
        <v>1691</v>
      </c>
      <c r="ER253" s="4">
        <v>63.354875999999997</v>
      </c>
    </row>
    <row r="254" spans="1:148" x14ac:dyDescent="0.2">
      <c r="A254" s="1">
        <v>2022</v>
      </c>
      <c r="B254" s="1" t="str">
        <f t="shared" si="6"/>
        <v>NE</v>
      </c>
      <c r="C254" s="1" t="s">
        <v>1285</v>
      </c>
      <c r="D254" s="1" t="s">
        <v>1285</v>
      </c>
      <c r="E254" s="1">
        <v>26420</v>
      </c>
      <c r="F254" s="1" t="s">
        <v>2141</v>
      </c>
      <c r="G254" s="1" t="s">
        <v>1286</v>
      </c>
      <c r="H254" s="1" t="s">
        <v>1287</v>
      </c>
      <c r="I254" s="1">
        <v>11.3</v>
      </c>
      <c r="J254" s="1">
        <v>11.3</v>
      </c>
      <c r="K254" s="1" t="s">
        <v>148</v>
      </c>
      <c r="L254" s="1">
        <v>1</v>
      </c>
      <c r="M254" s="1">
        <v>2018</v>
      </c>
      <c r="N254" s="1">
        <v>3</v>
      </c>
      <c r="O254" s="1">
        <v>1</v>
      </c>
      <c r="P254" s="1" t="str">
        <f t="shared" si="7"/>
        <v>Alto fuste</v>
      </c>
      <c r="Q254" s="2">
        <v>43447</v>
      </c>
      <c r="R254" s="1" t="s">
        <v>169</v>
      </c>
      <c r="S254" s="1" t="s">
        <v>651</v>
      </c>
      <c r="T254" s="1" t="s">
        <v>2268</v>
      </c>
      <c r="U254" s="1" t="s">
        <v>151</v>
      </c>
      <c r="V254" s="1" t="s">
        <v>152</v>
      </c>
      <c r="W254" s="2">
        <v>44711</v>
      </c>
      <c r="X254" s="1" t="s">
        <v>1288</v>
      </c>
      <c r="Y254" s="1">
        <v>42.78</v>
      </c>
      <c r="Z254" s="1">
        <v>19</v>
      </c>
      <c r="AA254" s="1">
        <v>25</v>
      </c>
      <c r="AB254" s="1">
        <v>15.6</v>
      </c>
      <c r="AC254" s="1">
        <v>2</v>
      </c>
      <c r="AD254" s="3">
        <v>296.39999999999998</v>
      </c>
      <c r="AE254" s="3">
        <v>268.465986166368</v>
      </c>
      <c r="AF254" s="2">
        <v>44711</v>
      </c>
      <c r="AG254" s="1">
        <v>41</v>
      </c>
      <c r="AH254" s="3">
        <v>3.46064339493498</v>
      </c>
      <c r="AI254" s="4">
        <v>19.501697724849901</v>
      </c>
      <c r="AJ254" s="4">
        <v>15.519047619047599</v>
      </c>
      <c r="AK254" s="4">
        <v>15.086791936010499</v>
      </c>
      <c r="AL254" s="1">
        <v>21</v>
      </c>
      <c r="AM254" s="5">
        <v>782.22199764950301</v>
      </c>
      <c r="AN254" s="4">
        <v>125.785199390176</v>
      </c>
      <c r="AO254" s="4">
        <v>0.160804988568651</v>
      </c>
      <c r="AP254" s="1" t="s">
        <v>651</v>
      </c>
      <c r="AQ254" s="1" t="s">
        <v>156</v>
      </c>
      <c r="AR254" s="1" t="s">
        <v>275</v>
      </c>
      <c r="AS254" s="1">
        <v>9</v>
      </c>
      <c r="AT254" s="4">
        <v>0.70399979788455269</v>
      </c>
      <c r="AU254" s="1" t="s">
        <v>1289</v>
      </c>
      <c r="AV254" s="1" t="s">
        <v>1290</v>
      </c>
      <c r="AW254" s="1">
        <v>11800</v>
      </c>
      <c r="AX254" s="1">
        <v>8138</v>
      </c>
      <c r="AY254" s="1">
        <v>3385</v>
      </c>
      <c r="AZ254" s="1">
        <v>277</v>
      </c>
      <c r="BA254" s="1">
        <v>0</v>
      </c>
      <c r="BB254" s="1">
        <v>0</v>
      </c>
      <c r="BC254" s="1">
        <v>0</v>
      </c>
      <c r="BD254" s="1">
        <v>0</v>
      </c>
      <c r="BE254" s="1">
        <v>0</v>
      </c>
      <c r="BF254" s="1">
        <v>0</v>
      </c>
      <c r="BG254" s="1">
        <v>0</v>
      </c>
      <c r="BH254" s="4">
        <v>-1.43</v>
      </c>
      <c r="BI254" s="4">
        <v>25.100999999999999</v>
      </c>
      <c r="BJ254" s="4">
        <v>11.515202</v>
      </c>
      <c r="BK254" s="4">
        <v>-0.16661899999999999</v>
      </c>
      <c r="BL254" s="4">
        <v>9.6682570000000005</v>
      </c>
      <c r="BM254" s="4">
        <v>93.475188000000003</v>
      </c>
      <c r="BN254" s="4">
        <v>0.83960800000000002</v>
      </c>
      <c r="BO254" s="4">
        <v>20.253</v>
      </c>
      <c r="BP254" s="4">
        <v>-0.233046</v>
      </c>
      <c r="BQ254" s="4">
        <v>1.1806680000000001</v>
      </c>
      <c r="BR254" s="4">
        <v>9.354616</v>
      </c>
      <c r="BS254" s="4">
        <v>5.1044980000000004</v>
      </c>
      <c r="BT254" s="4">
        <v>17.21312</v>
      </c>
      <c r="BU254" s="4">
        <v>11.515202</v>
      </c>
      <c r="BV254" s="4">
        <v>5.1953120000000004</v>
      </c>
      <c r="BW254" s="4">
        <v>-0.32281399999999999</v>
      </c>
      <c r="BX254" s="4">
        <v>-0.88399700000000003</v>
      </c>
      <c r="BY254" s="4">
        <v>0.45117000000000002</v>
      </c>
      <c r="BZ254" s="4">
        <v>-6.2135999999999997E-2</v>
      </c>
      <c r="CA254" s="4">
        <v>-0.170153</v>
      </c>
      <c r="CB254" s="4">
        <v>-0.41299999999999998</v>
      </c>
      <c r="CC254" s="4">
        <v>-0.17299999999999999</v>
      </c>
      <c r="CD254" s="4">
        <v>-5.8000000000000003E-2</v>
      </c>
      <c r="CE254" s="4">
        <v>9.1999999999999998E-2</v>
      </c>
      <c r="CF254" s="4">
        <v>0.157</v>
      </c>
      <c r="CG254" s="4">
        <v>0.25700000000000001</v>
      </c>
      <c r="CH254" s="4">
        <v>2.8140000000000001</v>
      </c>
      <c r="CI254" s="4">
        <v>17.046500999999999</v>
      </c>
      <c r="CJ254" s="4">
        <v>18.603000999999999</v>
      </c>
      <c r="CK254" s="4">
        <v>19.812999999999999</v>
      </c>
      <c r="CL254" s="4">
        <v>20.41</v>
      </c>
      <c r="CM254" s="4">
        <v>20.956600000000002</v>
      </c>
      <c r="CN254" s="4">
        <v>21.798100000000002</v>
      </c>
      <c r="CO254" s="4">
        <v>22.460999999999999</v>
      </c>
      <c r="CP254" s="4">
        <v>23.25601</v>
      </c>
      <c r="CQ254" s="4">
        <v>0.487927</v>
      </c>
      <c r="CR254" s="4">
        <v>15.03553</v>
      </c>
      <c r="CS254" s="4">
        <v>16.564727000000001</v>
      </c>
      <c r="CT254" s="1">
        <v>1</v>
      </c>
      <c r="CU254" s="1">
        <v>35</v>
      </c>
      <c r="CV254" s="4">
        <v>12.453390000000001</v>
      </c>
      <c r="CW254" s="4">
        <v>1</v>
      </c>
      <c r="CX254" s="4">
        <v>7.8176430000000003</v>
      </c>
      <c r="CY254" s="4">
        <v>61.115549000000001</v>
      </c>
      <c r="CZ254" s="4">
        <v>0.62775199999999998</v>
      </c>
      <c r="DA254" s="4">
        <v>11</v>
      </c>
      <c r="DB254" s="4">
        <v>0.49058800000000002</v>
      </c>
      <c r="DC254" s="4">
        <v>2.6685629999999998</v>
      </c>
      <c r="DD254" s="4">
        <v>6.3643939999999999</v>
      </c>
      <c r="DE254" s="4">
        <v>12.453390000000001</v>
      </c>
      <c r="DF254" s="4">
        <v>4.4191370000000001</v>
      </c>
      <c r="DG254" s="4">
        <v>0.434867</v>
      </c>
      <c r="DH254" s="4">
        <v>0.35882700000000001</v>
      </c>
      <c r="DI254" s="4">
        <v>0.354854</v>
      </c>
      <c r="DJ254" s="4">
        <v>9.8405000000000006E-2</v>
      </c>
      <c r="DK254" s="4">
        <v>8.1198000000000006E-2</v>
      </c>
      <c r="DL254" s="4">
        <v>1</v>
      </c>
      <c r="DM254" s="4">
        <v>1</v>
      </c>
      <c r="DN254" s="4">
        <v>2</v>
      </c>
      <c r="DO254" s="4">
        <v>5</v>
      </c>
      <c r="DP254" s="4">
        <v>6</v>
      </c>
      <c r="DQ254" s="4">
        <v>7</v>
      </c>
      <c r="DR254" s="4">
        <v>10</v>
      </c>
      <c r="DS254" s="4">
        <v>12</v>
      </c>
      <c r="DT254" s="4">
        <v>14</v>
      </c>
      <c r="DU254" s="4">
        <v>16</v>
      </c>
      <c r="DV254" s="4">
        <v>17</v>
      </c>
      <c r="DW254" s="4">
        <v>19</v>
      </c>
      <c r="DX254" s="4">
        <v>23</v>
      </c>
      <c r="DY254" s="4">
        <v>27</v>
      </c>
      <c r="DZ254" s="4">
        <v>32</v>
      </c>
      <c r="EA254" s="4">
        <v>81.371343999999993</v>
      </c>
      <c r="EB254" s="4">
        <v>59.610168999999999</v>
      </c>
      <c r="EC254" s="4">
        <v>86.434012999999993</v>
      </c>
      <c r="ED254" s="4">
        <v>6622</v>
      </c>
      <c r="EE254" s="4">
        <v>7034</v>
      </c>
      <c r="EF254" s="4">
        <v>79.995085000000003</v>
      </c>
      <c r="EG254" s="4">
        <v>99.901696000000001</v>
      </c>
      <c r="EH254" s="4">
        <v>57.474575999999999</v>
      </c>
      <c r="EI254" s="4">
        <v>94.779661000000004</v>
      </c>
      <c r="EJ254" s="4">
        <v>83.337429</v>
      </c>
      <c r="EK254" s="4">
        <v>137.42934399999999</v>
      </c>
      <c r="EL254" s="4">
        <v>6510</v>
      </c>
      <c r="EM254" s="4">
        <v>8130</v>
      </c>
      <c r="EN254" s="4">
        <v>6782</v>
      </c>
      <c r="EO254" s="4">
        <v>11184</v>
      </c>
      <c r="EP254" s="4">
        <v>8138</v>
      </c>
      <c r="EQ254" s="4">
        <v>11800</v>
      </c>
      <c r="ER254" s="4">
        <v>48.594413000000003</v>
      </c>
    </row>
    <row r="255" spans="1:148" x14ac:dyDescent="0.2">
      <c r="A255" s="1">
        <v>2022</v>
      </c>
      <c r="B255" s="1" t="str">
        <f t="shared" si="6"/>
        <v>NE</v>
      </c>
      <c r="C255" s="1" t="s">
        <v>1291</v>
      </c>
      <c r="D255" s="1" t="s">
        <v>1291</v>
      </c>
      <c r="E255" s="1">
        <v>26432</v>
      </c>
      <c r="F255" s="1" t="s">
        <v>2131</v>
      </c>
      <c r="G255" s="1" t="s">
        <v>1190</v>
      </c>
      <c r="H255" s="1" t="s">
        <v>1292</v>
      </c>
      <c r="I255" s="1">
        <v>29.21</v>
      </c>
      <c r="J255" s="1">
        <v>29.21</v>
      </c>
      <c r="K255" s="1" t="s">
        <v>434</v>
      </c>
      <c r="L255" s="1">
        <v>1</v>
      </c>
      <c r="M255" s="1">
        <v>2018</v>
      </c>
      <c r="N255" s="1">
        <v>3</v>
      </c>
      <c r="O255" s="1">
        <v>1</v>
      </c>
      <c r="P255" s="1" t="str">
        <f t="shared" si="7"/>
        <v>Alto fuste</v>
      </c>
      <c r="Q255" s="2">
        <v>43132</v>
      </c>
      <c r="R255" s="1" t="s">
        <v>169</v>
      </c>
      <c r="S255" s="1" t="s">
        <v>299</v>
      </c>
      <c r="T255" s="1" t="s">
        <v>2268</v>
      </c>
      <c r="U255" s="1" t="s">
        <v>151</v>
      </c>
      <c r="V255" s="1" t="s">
        <v>152</v>
      </c>
      <c r="W255" s="2">
        <v>44741</v>
      </c>
      <c r="X255" s="1" t="s">
        <v>1192</v>
      </c>
      <c r="Y255" s="1">
        <v>449.8</v>
      </c>
      <c r="Z255" s="1">
        <v>20.9</v>
      </c>
      <c r="AA255" s="1">
        <v>21</v>
      </c>
      <c r="AB255" s="1">
        <v>15</v>
      </c>
      <c r="AC255" s="1">
        <v>1</v>
      </c>
      <c r="AD255" s="3">
        <v>313.5</v>
      </c>
      <c r="AE255" s="3">
        <v>292.63288751153499</v>
      </c>
      <c r="AF255" s="2">
        <v>44741</v>
      </c>
      <c r="AG255" s="1">
        <v>52</v>
      </c>
      <c r="AH255" s="3">
        <v>4.4052019164955496</v>
      </c>
      <c r="AI255" s="4">
        <v>25.122587353779998</v>
      </c>
      <c r="AJ255" s="4">
        <v>14.972727272727299</v>
      </c>
      <c r="AK255" s="4">
        <v>20.112924427205002</v>
      </c>
      <c r="AL255" s="1">
        <v>33</v>
      </c>
      <c r="AM255" s="5">
        <v>1127.6927990091101</v>
      </c>
      <c r="AN255" s="4">
        <v>224.06407112989601</v>
      </c>
      <c r="AO255" s="4">
        <v>0.198692473097974</v>
      </c>
      <c r="AP255" s="1" t="s">
        <v>299</v>
      </c>
      <c r="AQ255" s="1" t="s">
        <v>156</v>
      </c>
      <c r="AR255" s="1" t="s">
        <v>164</v>
      </c>
      <c r="AS255" s="1">
        <v>9</v>
      </c>
      <c r="AT255" s="4">
        <v>1.0149235191081991</v>
      </c>
      <c r="AU255" s="1" t="s">
        <v>1293</v>
      </c>
      <c r="AV255" s="1" t="s">
        <v>1294</v>
      </c>
      <c r="AW255" s="1">
        <v>5908</v>
      </c>
      <c r="AX255" s="1">
        <v>3145</v>
      </c>
      <c r="AY255" s="1">
        <v>2588</v>
      </c>
      <c r="AZ255" s="1">
        <v>175</v>
      </c>
      <c r="BA255" s="1">
        <v>0</v>
      </c>
      <c r="BB255" s="1">
        <v>0</v>
      </c>
      <c r="BC255" s="1">
        <v>0</v>
      </c>
      <c r="BD255" s="1">
        <v>0</v>
      </c>
      <c r="BE255" s="1">
        <v>0</v>
      </c>
      <c r="BF255" s="1">
        <v>0</v>
      </c>
      <c r="BG255" s="1">
        <v>0</v>
      </c>
      <c r="BH255" s="4">
        <v>-1.1100000000000001</v>
      </c>
      <c r="BI255" s="4">
        <v>26.075001</v>
      </c>
      <c r="BJ255" s="4">
        <v>11.685002000000001</v>
      </c>
      <c r="BK255" s="4">
        <v>-0.24698400000000001</v>
      </c>
      <c r="BL255" s="4">
        <v>11.401759</v>
      </c>
      <c r="BM255" s="4">
        <v>130.00011599999999</v>
      </c>
      <c r="BN255" s="4">
        <v>0.97575999999999996</v>
      </c>
      <c r="BO255" s="4">
        <v>23.158999999999999</v>
      </c>
      <c r="BP255" s="4">
        <v>4.6889999999999996E-3</v>
      </c>
      <c r="BQ255" s="4">
        <v>1.0541739999999999</v>
      </c>
      <c r="BR255" s="4">
        <v>11.234311999999999</v>
      </c>
      <c r="BS255" s="4">
        <v>11.507999</v>
      </c>
      <c r="BT255" s="4">
        <v>11.747984000000001</v>
      </c>
      <c r="BU255" s="4">
        <v>11.685002000000001</v>
      </c>
      <c r="BV255" s="4">
        <v>5.9576560000000001</v>
      </c>
      <c r="BW255" s="4">
        <v>0.12955800000000001</v>
      </c>
      <c r="BX255" s="4">
        <v>-1.3000480000000001</v>
      </c>
      <c r="BY255" s="4">
        <v>0.50985499999999995</v>
      </c>
      <c r="BZ255" s="4">
        <v>2.1746000000000001E-2</v>
      </c>
      <c r="CA255" s="4">
        <v>-0.21821499999999999</v>
      </c>
      <c r="CB255" s="4">
        <v>-0.49686000000000002</v>
      </c>
      <c r="CC255" s="4">
        <v>-0.24465000000000001</v>
      </c>
      <c r="CD255" s="4">
        <v>-0.13</v>
      </c>
      <c r="CE255" s="4">
        <v>-2.5999999999999999E-2</v>
      </c>
      <c r="CF255" s="4">
        <v>2.1999999999999999E-2</v>
      </c>
      <c r="CG255" s="4">
        <v>7.0000000000000007E-2</v>
      </c>
      <c r="CH255" s="4">
        <v>0.188</v>
      </c>
      <c r="CI255" s="4">
        <v>11.500999</v>
      </c>
      <c r="CJ255" s="4">
        <v>22.292998999999998</v>
      </c>
      <c r="CK255" s="4">
        <v>22.913900000000002</v>
      </c>
      <c r="CL255" s="4">
        <v>23.181000000000001</v>
      </c>
      <c r="CM255" s="4">
        <v>23.456600000000002</v>
      </c>
      <c r="CN255" s="4">
        <v>24.055299999999999</v>
      </c>
      <c r="CO255" s="4">
        <v>24.558651000000001</v>
      </c>
      <c r="CP255" s="4">
        <v>25.248791000000001</v>
      </c>
      <c r="CQ255" s="4">
        <v>0.47066400000000003</v>
      </c>
      <c r="CR255" s="4">
        <v>16.32536</v>
      </c>
      <c r="CS255" s="4">
        <v>18.330110999999999</v>
      </c>
      <c r="CT255" s="1">
        <v>1</v>
      </c>
      <c r="CU255" s="1">
        <v>41</v>
      </c>
      <c r="CV255" s="4">
        <v>12.114929</v>
      </c>
      <c r="CW255" s="4">
        <v>1</v>
      </c>
      <c r="CX255" s="4">
        <v>7.9145269999999996</v>
      </c>
      <c r="CY255" s="4">
        <v>62.639743000000003</v>
      </c>
      <c r="CZ255" s="4">
        <v>0.65328699999999995</v>
      </c>
      <c r="DA255" s="4">
        <v>13</v>
      </c>
      <c r="DB255" s="4">
        <v>0.453148</v>
      </c>
      <c r="DC255" s="4">
        <v>2.5243630000000001</v>
      </c>
      <c r="DD255" s="4">
        <v>6.6949829999999997</v>
      </c>
      <c r="DE255" s="4">
        <v>12.114929</v>
      </c>
      <c r="DF255" s="4">
        <v>4.4917590000000001</v>
      </c>
      <c r="DG255" s="4">
        <v>0.430672</v>
      </c>
      <c r="DH255" s="4">
        <v>0.15274499999999999</v>
      </c>
      <c r="DI255" s="4">
        <v>0.37076199999999998</v>
      </c>
      <c r="DJ255" s="4">
        <v>9.5880000000000007E-2</v>
      </c>
      <c r="DK255" s="4">
        <v>3.4006000000000002E-2</v>
      </c>
      <c r="DL255" s="4">
        <v>1</v>
      </c>
      <c r="DM255" s="4">
        <v>1</v>
      </c>
      <c r="DN255" s="4">
        <v>2</v>
      </c>
      <c r="DO255" s="4">
        <v>4</v>
      </c>
      <c r="DP255" s="4">
        <v>5</v>
      </c>
      <c r="DQ255" s="4">
        <v>6</v>
      </c>
      <c r="DR255" s="4">
        <v>9</v>
      </c>
      <c r="DS255" s="4">
        <v>12</v>
      </c>
      <c r="DT255" s="4">
        <v>14</v>
      </c>
      <c r="DU255" s="4">
        <v>17</v>
      </c>
      <c r="DV255" s="4">
        <v>18</v>
      </c>
      <c r="DW255" s="4">
        <v>19</v>
      </c>
      <c r="DX255" s="4">
        <v>23</v>
      </c>
      <c r="DY255" s="4">
        <v>25</v>
      </c>
      <c r="DZ255" s="4">
        <v>32</v>
      </c>
      <c r="EA255" s="4">
        <v>93.449921000000003</v>
      </c>
      <c r="EB255" s="4">
        <v>52.911307000000001</v>
      </c>
      <c r="EC255" s="4">
        <v>99.395865999999998</v>
      </c>
      <c r="ED255" s="4">
        <v>2939</v>
      </c>
      <c r="EE255" s="4">
        <v>3126</v>
      </c>
      <c r="EF255" s="4">
        <v>91.701113000000007</v>
      </c>
      <c r="EG255" s="4">
        <v>100</v>
      </c>
      <c r="EH255" s="4">
        <v>49.966147999999997</v>
      </c>
      <c r="EI255" s="4">
        <v>95.040622999999997</v>
      </c>
      <c r="EJ255" s="4">
        <v>93.863275000000002</v>
      </c>
      <c r="EK255" s="4">
        <v>178.537361</v>
      </c>
      <c r="EL255" s="4">
        <v>2884</v>
      </c>
      <c r="EM255" s="4">
        <v>3145</v>
      </c>
      <c r="EN255" s="4">
        <v>2952</v>
      </c>
      <c r="EO255" s="4">
        <v>5615</v>
      </c>
      <c r="EP255" s="4">
        <v>3145</v>
      </c>
      <c r="EQ255" s="4">
        <v>5908</v>
      </c>
      <c r="ER255" s="4">
        <v>45.405627000000003</v>
      </c>
    </row>
    <row r="256" spans="1:148" x14ac:dyDescent="0.2">
      <c r="A256" s="1">
        <v>2022</v>
      </c>
      <c r="B256" s="1" t="str">
        <f t="shared" si="6"/>
        <v>RD</v>
      </c>
      <c r="C256" s="1" t="s">
        <v>1295</v>
      </c>
      <c r="D256" s="1" t="s">
        <v>1295</v>
      </c>
      <c r="E256" s="1">
        <v>26439</v>
      </c>
      <c r="F256" s="1" t="s">
        <v>2142</v>
      </c>
      <c r="G256" s="1" t="s">
        <v>724</v>
      </c>
      <c r="H256" s="1" t="s">
        <v>1296</v>
      </c>
      <c r="I256" s="1">
        <v>59.84</v>
      </c>
      <c r="J256" s="1">
        <v>59.84</v>
      </c>
      <c r="K256" s="1" t="s">
        <v>210</v>
      </c>
      <c r="L256" s="1">
        <v>1</v>
      </c>
      <c r="M256" s="1">
        <v>2018</v>
      </c>
      <c r="N256" s="1">
        <v>2</v>
      </c>
      <c r="O256" s="1">
        <v>1</v>
      </c>
      <c r="P256" s="1" t="str">
        <f t="shared" si="7"/>
        <v>Alto fuste</v>
      </c>
      <c r="Q256" s="2">
        <v>43434</v>
      </c>
      <c r="R256" s="1" t="s">
        <v>227</v>
      </c>
      <c r="S256" s="1" t="s">
        <v>348</v>
      </c>
      <c r="T256" s="1" t="s">
        <v>2268</v>
      </c>
      <c r="U256" s="1" t="s">
        <v>212</v>
      </c>
      <c r="V256" s="1" t="s">
        <v>152</v>
      </c>
      <c r="W256" s="2">
        <v>44798</v>
      </c>
      <c r="X256" s="1" t="s">
        <v>726</v>
      </c>
      <c r="Y256" s="1">
        <v>235.67</v>
      </c>
      <c r="Z256" s="1">
        <v>19.100000000000001</v>
      </c>
      <c r="AA256" s="1">
        <v>7</v>
      </c>
      <c r="AB256" s="1">
        <v>15.6</v>
      </c>
      <c r="AC256" s="1">
        <v>2</v>
      </c>
      <c r="AD256" s="3">
        <v>297.95999999999998</v>
      </c>
      <c r="AE256" s="3">
        <v>295.55889510357201</v>
      </c>
      <c r="AF256" s="2">
        <v>44798</v>
      </c>
      <c r="AG256" s="1">
        <v>45</v>
      </c>
      <c r="AH256" s="3">
        <v>3.7344284736481899</v>
      </c>
      <c r="AI256" s="4">
        <v>22.695818674680599</v>
      </c>
      <c r="AJ256" s="4">
        <v>13.939285714285701</v>
      </c>
      <c r="AK256" s="4">
        <v>14.786751497517599</v>
      </c>
      <c r="AL256" s="1">
        <v>28</v>
      </c>
      <c r="AM256" s="5">
        <v>947.35771664689798</v>
      </c>
      <c r="AN256" s="4">
        <v>157.01461793398701</v>
      </c>
      <c r="AO256" s="4">
        <v>0.16573952497028099</v>
      </c>
      <c r="AP256" s="1" t="s">
        <v>348</v>
      </c>
      <c r="AQ256" s="1" t="s">
        <v>156</v>
      </c>
      <c r="AR256" s="1" t="s">
        <v>282</v>
      </c>
      <c r="AS256" s="1">
        <v>7.5</v>
      </c>
      <c r="AT256" s="4">
        <v>0.71051828748517354</v>
      </c>
      <c r="AU256" s="1" t="s">
        <v>1297</v>
      </c>
      <c r="AV256" s="1" t="s">
        <v>1298</v>
      </c>
      <c r="AW256" s="1">
        <v>3444</v>
      </c>
      <c r="AX256" s="1">
        <v>1893</v>
      </c>
      <c r="AY256" s="1">
        <v>1499</v>
      </c>
      <c r="AZ256" s="1">
        <v>50</v>
      </c>
      <c r="BA256" s="1">
        <v>2</v>
      </c>
      <c r="BB256" s="1">
        <v>0</v>
      </c>
      <c r="BC256" s="1">
        <v>0</v>
      </c>
      <c r="BD256" s="1">
        <v>0</v>
      </c>
      <c r="BE256" s="1">
        <v>0</v>
      </c>
      <c r="BF256" s="1">
        <v>0</v>
      </c>
      <c r="BG256" s="1">
        <v>0</v>
      </c>
      <c r="BH256" s="4">
        <v>-0.85</v>
      </c>
      <c r="BI256" s="4">
        <v>24.139999</v>
      </c>
      <c r="BJ256" s="4">
        <v>6.4882609999999996</v>
      </c>
      <c r="BK256" s="4">
        <v>-5.6667000000000002E-2</v>
      </c>
      <c r="BL256" s="4">
        <v>9.5238960000000006</v>
      </c>
      <c r="BM256" s="4">
        <v>90.704604000000003</v>
      </c>
      <c r="BN256" s="4">
        <v>1.4678659999999999</v>
      </c>
      <c r="BO256" s="4">
        <v>19.484999999999999</v>
      </c>
      <c r="BP256" s="4">
        <v>0.84582299999999999</v>
      </c>
      <c r="BQ256" s="4">
        <v>1.7813840000000001</v>
      </c>
      <c r="BR256" s="4">
        <v>8.7223240000000004</v>
      </c>
      <c r="BS256" s="4">
        <v>0.21</v>
      </c>
      <c r="BT256" s="4">
        <v>0.19666700000000001</v>
      </c>
      <c r="BU256" s="4">
        <v>6.4882609999999996</v>
      </c>
      <c r="BV256" s="4">
        <v>4.5752790000000001</v>
      </c>
      <c r="BW256" s="4">
        <v>1.795893</v>
      </c>
      <c r="BX256" s="4">
        <v>-0.15335199999999999</v>
      </c>
      <c r="BY256" s="4">
        <v>0.70516299999999998</v>
      </c>
      <c r="BZ256" s="4">
        <v>0.39252100000000001</v>
      </c>
      <c r="CA256" s="4">
        <v>-3.3517999999999999E-2</v>
      </c>
      <c r="CB256" s="4">
        <v>-0.4</v>
      </c>
      <c r="CC256" s="4">
        <v>-0.22</v>
      </c>
      <c r="CD256" s="4">
        <v>-0.14000000000000001</v>
      </c>
      <c r="CE256" s="4">
        <v>-0.06</v>
      </c>
      <c r="CF256" s="4">
        <v>-0.03</v>
      </c>
      <c r="CG256" s="4">
        <v>-0.01</v>
      </c>
      <c r="CH256" s="4">
        <v>0.05</v>
      </c>
      <c r="CI256" s="4">
        <v>0.11</v>
      </c>
      <c r="CJ256" s="4">
        <v>0.21</v>
      </c>
      <c r="CK256" s="4">
        <v>15.305005</v>
      </c>
      <c r="CL256" s="4">
        <v>19.454999999999998</v>
      </c>
      <c r="CM256" s="4">
        <v>20.58</v>
      </c>
      <c r="CN256" s="4">
        <v>21.546999</v>
      </c>
      <c r="CO256" s="4">
        <v>22.18</v>
      </c>
      <c r="CP256" s="4">
        <v>23.101402</v>
      </c>
      <c r="CQ256" s="4">
        <v>0.29364800000000002</v>
      </c>
      <c r="CR256" s="4">
        <v>11.522838</v>
      </c>
      <c r="CS256" s="4">
        <v>14.041767</v>
      </c>
      <c r="CT256" s="1">
        <v>1</v>
      </c>
      <c r="CU256" s="1">
        <v>49</v>
      </c>
      <c r="CV256" s="4">
        <v>17.986643000000001</v>
      </c>
      <c r="CW256" s="4">
        <v>1</v>
      </c>
      <c r="CX256" s="4">
        <v>12.089311</v>
      </c>
      <c r="CY256" s="4">
        <v>146.15143399999999</v>
      </c>
      <c r="CZ256" s="4">
        <v>0.67212700000000003</v>
      </c>
      <c r="DA256" s="4">
        <v>18.25</v>
      </c>
      <c r="DB256" s="4">
        <v>0.49123099999999997</v>
      </c>
      <c r="DC256" s="4">
        <v>2.2082079999999999</v>
      </c>
      <c r="DD256" s="4">
        <v>10.009026</v>
      </c>
      <c r="DE256" s="4">
        <v>17.986643000000001</v>
      </c>
      <c r="DF256" s="4">
        <v>6.8582789999999996</v>
      </c>
      <c r="DG256" s="4">
        <v>0.88517599999999996</v>
      </c>
      <c r="DH256" s="4">
        <v>0.32949400000000001</v>
      </c>
      <c r="DI256" s="4">
        <v>0.38129800000000003</v>
      </c>
      <c r="DJ256" s="4">
        <v>0.12906699999999999</v>
      </c>
      <c r="DK256" s="4">
        <v>4.8043000000000002E-2</v>
      </c>
      <c r="DL256" s="4">
        <v>1</v>
      </c>
      <c r="DM256" s="4">
        <v>1</v>
      </c>
      <c r="DN256" s="4">
        <v>3</v>
      </c>
      <c r="DO256" s="4">
        <v>6</v>
      </c>
      <c r="DP256" s="4">
        <v>8</v>
      </c>
      <c r="DQ256" s="4">
        <v>10</v>
      </c>
      <c r="DR256" s="4">
        <v>13</v>
      </c>
      <c r="DS256" s="4">
        <v>16</v>
      </c>
      <c r="DT256" s="4">
        <v>19</v>
      </c>
      <c r="DU256" s="4">
        <v>23</v>
      </c>
      <c r="DV256" s="4">
        <v>26.25</v>
      </c>
      <c r="DW256" s="4">
        <v>30</v>
      </c>
      <c r="DX256" s="4">
        <v>37</v>
      </c>
      <c r="DY256" s="4">
        <v>40</v>
      </c>
      <c r="DZ256" s="4">
        <v>44</v>
      </c>
      <c r="EA256" s="4">
        <v>57.210777</v>
      </c>
      <c r="EB256" s="4">
        <v>32.723576999999999</v>
      </c>
      <c r="EC256" s="4">
        <v>59.535128999999998</v>
      </c>
      <c r="ED256" s="4">
        <v>1083</v>
      </c>
      <c r="EE256" s="4">
        <v>1127</v>
      </c>
      <c r="EF256" s="4">
        <v>56.524036000000002</v>
      </c>
      <c r="EG256" s="4">
        <v>96.883253999999994</v>
      </c>
      <c r="EH256" s="4">
        <v>31.765388999999999</v>
      </c>
      <c r="EI256" s="4">
        <v>79.239256999999995</v>
      </c>
      <c r="EJ256" s="4">
        <v>57.791865000000001</v>
      </c>
      <c r="EK256" s="4">
        <v>144.16270499999999</v>
      </c>
      <c r="EL256" s="4">
        <v>1070</v>
      </c>
      <c r="EM256" s="4">
        <v>1834</v>
      </c>
      <c r="EN256" s="4">
        <v>1094</v>
      </c>
      <c r="EO256" s="4">
        <v>2729</v>
      </c>
      <c r="EP256" s="4">
        <v>1893</v>
      </c>
      <c r="EQ256" s="4">
        <v>3444</v>
      </c>
      <c r="ER256" s="4">
        <v>27.204412999999999</v>
      </c>
    </row>
    <row r="257" spans="1:148" x14ac:dyDescent="0.2">
      <c r="A257" s="1">
        <v>2022</v>
      </c>
      <c r="B257" s="1" t="str">
        <f t="shared" si="6"/>
        <v>RD</v>
      </c>
      <c r="C257" s="1" t="s">
        <v>1299</v>
      </c>
      <c r="D257" s="1" t="s">
        <v>1299</v>
      </c>
      <c r="E257" s="1">
        <v>26440</v>
      </c>
      <c r="F257" s="1" t="s">
        <v>2142</v>
      </c>
      <c r="G257" s="1" t="s">
        <v>724</v>
      </c>
      <c r="H257" s="1" t="s">
        <v>1296</v>
      </c>
      <c r="I257" s="1">
        <v>59.84</v>
      </c>
      <c r="J257" s="1">
        <v>59.84</v>
      </c>
      <c r="K257" s="1" t="s">
        <v>210</v>
      </c>
      <c r="L257" s="1">
        <v>1</v>
      </c>
      <c r="M257" s="1">
        <v>2018</v>
      </c>
      <c r="N257" s="1">
        <v>2</v>
      </c>
      <c r="O257" s="1">
        <v>1</v>
      </c>
      <c r="P257" s="1" t="str">
        <f t="shared" si="7"/>
        <v>Alto fuste</v>
      </c>
      <c r="Q257" s="2">
        <v>43434</v>
      </c>
      <c r="R257" s="1" t="s">
        <v>227</v>
      </c>
      <c r="S257" s="1" t="s">
        <v>348</v>
      </c>
      <c r="T257" s="1" t="s">
        <v>2268</v>
      </c>
      <c r="U257" s="1" t="s">
        <v>212</v>
      </c>
      <c r="V257" s="1" t="s">
        <v>152</v>
      </c>
      <c r="W257" s="2">
        <v>44798</v>
      </c>
      <c r="X257" s="1" t="s">
        <v>726</v>
      </c>
      <c r="Y257" s="1">
        <v>235.67</v>
      </c>
      <c r="Z257" s="1">
        <v>20.8</v>
      </c>
      <c r="AA257" s="1">
        <v>2</v>
      </c>
      <c r="AB257" s="1">
        <v>15.7</v>
      </c>
      <c r="AC257" s="1">
        <v>2</v>
      </c>
      <c r="AD257" s="3">
        <v>326.56</v>
      </c>
      <c r="AE257" s="3">
        <v>326.16225812642398</v>
      </c>
      <c r="AF257" s="2">
        <v>44798</v>
      </c>
      <c r="AG257" s="1">
        <v>45</v>
      </c>
      <c r="AH257" s="3">
        <v>3.7344284736481899</v>
      </c>
      <c r="AI257" s="4">
        <v>19.273560764395601</v>
      </c>
      <c r="AJ257" s="4">
        <v>12.897777777777801</v>
      </c>
      <c r="AK257" s="4">
        <v>18.4826872811695</v>
      </c>
      <c r="AL257" s="1">
        <v>45</v>
      </c>
      <c r="AM257" s="5">
        <v>1379.6813971823001</v>
      </c>
      <c r="AN257" s="4">
        <v>163.50729617410701</v>
      </c>
      <c r="AO257" s="4">
        <v>0.118510908756206</v>
      </c>
      <c r="AP257" s="1" t="s">
        <v>348</v>
      </c>
      <c r="AQ257" s="1" t="s">
        <v>156</v>
      </c>
      <c r="AR257" s="1" t="s">
        <v>282</v>
      </c>
      <c r="AS257" s="1">
        <v>7.5</v>
      </c>
      <c r="AT257" s="4">
        <v>1.0347610478867251</v>
      </c>
      <c r="AU257" s="1" t="s">
        <v>1300</v>
      </c>
      <c r="AV257" s="1" t="s">
        <v>1301</v>
      </c>
      <c r="AW257" s="1">
        <v>3060</v>
      </c>
      <c r="AX257" s="1">
        <v>1730</v>
      </c>
      <c r="AY257" s="1">
        <v>1253</v>
      </c>
      <c r="AZ257" s="1">
        <v>77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0</v>
      </c>
      <c r="BG257" s="1">
        <v>0</v>
      </c>
      <c r="BH257" s="4">
        <v>-0.57999999999999996</v>
      </c>
      <c r="BI257" s="4">
        <v>22.389999</v>
      </c>
      <c r="BJ257" s="4">
        <v>7.3291899999999996</v>
      </c>
      <c r="BK257" s="4">
        <v>-0.21539700000000001</v>
      </c>
      <c r="BL257" s="4">
        <v>9.0357090000000007</v>
      </c>
      <c r="BM257" s="4">
        <v>81.644029000000003</v>
      </c>
      <c r="BN257" s="4">
        <v>1.232839</v>
      </c>
      <c r="BO257" s="4">
        <v>18.595001</v>
      </c>
      <c r="BP257" s="4">
        <v>0.49123299999999998</v>
      </c>
      <c r="BQ257" s="4">
        <v>1.328632</v>
      </c>
      <c r="BR257" s="4">
        <v>8.6525040000000004</v>
      </c>
      <c r="BS257" s="4">
        <v>0.31</v>
      </c>
      <c r="BT257" s="4">
        <v>0.37539699999999998</v>
      </c>
      <c r="BU257" s="4">
        <v>7.3291899999999996</v>
      </c>
      <c r="BV257" s="4">
        <v>4.6139530000000004</v>
      </c>
      <c r="BW257" s="4">
        <v>1.166482</v>
      </c>
      <c r="BX257" s="4">
        <v>-0.65281800000000001</v>
      </c>
      <c r="BY257" s="4">
        <v>0.62953099999999995</v>
      </c>
      <c r="BZ257" s="4">
        <v>0.25281599999999999</v>
      </c>
      <c r="CA257" s="4">
        <v>-0.141488</v>
      </c>
      <c r="CB257" s="4">
        <v>-0.35</v>
      </c>
      <c r="CC257" s="4">
        <v>-0.2</v>
      </c>
      <c r="CD257" s="4">
        <v>-0.13</v>
      </c>
      <c r="CE257" s="4">
        <v>-0.04</v>
      </c>
      <c r="CF257" s="4">
        <v>-0.02</v>
      </c>
      <c r="CG257" s="4">
        <v>0.01</v>
      </c>
      <c r="CH257" s="4">
        <v>7.0000000000000007E-2</v>
      </c>
      <c r="CI257" s="4">
        <v>0.16</v>
      </c>
      <c r="CJ257" s="4">
        <v>8.14</v>
      </c>
      <c r="CK257" s="4">
        <v>17.920000000000002</v>
      </c>
      <c r="CL257" s="4">
        <v>18.575001</v>
      </c>
      <c r="CM257" s="4">
        <v>18.98</v>
      </c>
      <c r="CN257" s="4">
        <v>19.801000999999999</v>
      </c>
      <c r="CO257" s="4">
        <v>20.32</v>
      </c>
      <c r="CP257" s="4">
        <v>21.156396999999998</v>
      </c>
      <c r="CQ257" s="4">
        <v>0.34432699999999999</v>
      </c>
      <c r="CR257" s="4">
        <v>11.633330000000001</v>
      </c>
      <c r="CS257" s="4">
        <v>13.662932</v>
      </c>
      <c r="CT257" s="1">
        <v>1</v>
      </c>
      <c r="CU257" s="1">
        <v>52</v>
      </c>
      <c r="CV257" s="4">
        <v>18.264706</v>
      </c>
      <c r="CW257" s="4">
        <v>1</v>
      </c>
      <c r="CX257" s="4">
        <v>12.892236</v>
      </c>
      <c r="CY257" s="4">
        <v>166.20973799999999</v>
      </c>
      <c r="CZ257" s="4">
        <v>0.70585500000000001</v>
      </c>
      <c r="DA257" s="4">
        <v>21</v>
      </c>
      <c r="DB257" s="4">
        <v>0.45876699999999998</v>
      </c>
      <c r="DC257" s="4">
        <v>2.0557729999999999</v>
      </c>
      <c r="DD257" s="4">
        <v>10.982853</v>
      </c>
      <c r="DE257" s="4">
        <v>18.264706</v>
      </c>
      <c r="DF257" s="4">
        <v>7.3337820000000002</v>
      </c>
      <c r="DG257" s="4">
        <v>0.95420199999999999</v>
      </c>
      <c r="DH257" s="4">
        <v>0.11321199999999999</v>
      </c>
      <c r="DI257" s="4">
        <v>0.401528</v>
      </c>
      <c r="DJ257" s="4">
        <v>0.130111</v>
      </c>
      <c r="DK257" s="4">
        <v>1.5436999999999999E-2</v>
      </c>
      <c r="DL257" s="4">
        <v>1</v>
      </c>
      <c r="DM257" s="4">
        <v>1</v>
      </c>
      <c r="DN257" s="4">
        <v>3</v>
      </c>
      <c r="DO257" s="4">
        <v>5</v>
      </c>
      <c r="DP257" s="4">
        <v>7</v>
      </c>
      <c r="DQ257" s="4">
        <v>9</v>
      </c>
      <c r="DR257" s="4">
        <v>12</v>
      </c>
      <c r="DS257" s="4">
        <v>16</v>
      </c>
      <c r="DT257" s="4">
        <v>20</v>
      </c>
      <c r="DU257" s="4">
        <v>25</v>
      </c>
      <c r="DV257" s="4">
        <v>28</v>
      </c>
      <c r="DW257" s="4">
        <v>32</v>
      </c>
      <c r="DX257" s="4">
        <v>38</v>
      </c>
      <c r="DY257" s="4">
        <v>41</v>
      </c>
      <c r="DZ257" s="4">
        <v>46</v>
      </c>
      <c r="EA257" s="4">
        <v>69.248554999999996</v>
      </c>
      <c r="EB257" s="4">
        <v>40.915033000000001</v>
      </c>
      <c r="EC257" s="4">
        <v>72.369941999999995</v>
      </c>
      <c r="ED257" s="4">
        <v>1198</v>
      </c>
      <c r="EE257" s="4">
        <v>1252</v>
      </c>
      <c r="EF257" s="4">
        <v>68.959537999999995</v>
      </c>
      <c r="EG257" s="4">
        <v>100</v>
      </c>
      <c r="EH257" s="4">
        <v>40.392156999999997</v>
      </c>
      <c r="EI257" s="4">
        <v>95.849672999999996</v>
      </c>
      <c r="EJ257" s="4">
        <v>71.445087000000001</v>
      </c>
      <c r="EK257" s="4">
        <v>169.53757200000001</v>
      </c>
      <c r="EL257" s="4">
        <v>1193</v>
      </c>
      <c r="EM257" s="4">
        <v>1730</v>
      </c>
      <c r="EN257" s="4">
        <v>1236</v>
      </c>
      <c r="EO257" s="4">
        <v>2933</v>
      </c>
      <c r="EP257" s="4">
        <v>1730</v>
      </c>
      <c r="EQ257" s="4">
        <v>3060</v>
      </c>
      <c r="ER257" s="4">
        <v>33.67174</v>
      </c>
    </row>
    <row r="258" spans="1:148" x14ac:dyDescent="0.2">
      <c r="A258" s="1">
        <v>2022</v>
      </c>
      <c r="B258" s="1" t="str">
        <f t="shared" si="6"/>
        <v>RD</v>
      </c>
      <c r="C258" s="1" t="s">
        <v>1302</v>
      </c>
      <c r="D258" s="1" t="s">
        <v>1302</v>
      </c>
      <c r="E258" s="1">
        <v>26441</v>
      </c>
      <c r="F258" s="1" t="s">
        <v>2142</v>
      </c>
      <c r="G258" s="1" t="s">
        <v>724</v>
      </c>
      <c r="H258" s="1" t="s">
        <v>1296</v>
      </c>
      <c r="I258" s="1">
        <v>59.84</v>
      </c>
      <c r="J258" s="1">
        <v>59.84</v>
      </c>
      <c r="K258" s="1" t="s">
        <v>210</v>
      </c>
      <c r="L258" s="1">
        <v>1</v>
      </c>
      <c r="M258" s="1">
        <v>2018</v>
      </c>
      <c r="N258" s="1">
        <v>2</v>
      </c>
      <c r="O258" s="1">
        <v>1</v>
      </c>
      <c r="P258" s="1" t="str">
        <f t="shared" si="7"/>
        <v>Alto fuste</v>
      </c>
      <c r="Q258" s="2">
        <v>43434</v>
      </c>
      <c r="R258" s="1" t="s">
        <v>227</v>
      </c>
      <c r="S258" s="1" t="s">
        <v>348</v>
      </c>
      <c r="T258" s="1" t="s">
        <v>2268</v>
      </c>
      <c r="U258" s="1" t="s">
        <v>212</v>
      </c>
      <c r="V258" s="1" t="s">
        <v>152</v>
      </c>
      <c r="W258" s="2">
        <v>44798</v>
      </c>
      <c r="X258" s="1" t="s">
        <v>726</v>
      </c>
      <c r="Y258" s="1">
        <v>235.67</v>
      </c>
      <c r="Z258" s="1">
        <v>19.5</v>
      </c>
      <c r="AA258" s="1">
        <v>8</v>
      </c>
      <c r="AB258" s="1">
        <v>14.8</v>
      </c>
      <c r="AC258" s="1">
        <v>0</v>
      </c>
      <c r="AD258" s="3">
        <v>288.60000000000002</v>
      </c>
      <c r="AE258" s="3">
        <v>285.79136463881702</v>
      </c>
      <c r="AF258" s="2">
        <v>44798</v>
      </c>
      <c r="AG258" s="1">
        <v>45</v>
      </c>
      <c r="AH258" s="3">
        <v>3.7344284736481899</v>
      </c>
      <c r="AI258" s="4">
        <v>21.161771867058299</v>
      </c>
      <c r="AJ258" s="4">
        <v>13.3324324324324</v>
      </c>
      <c r="AK258" s="4">
        <v>18.696531249200099</v>
      </c>
      <c r="AL258" s="1">
        <v>37</v>
      </c>
      <c r="AM258" s="5">
        <v>1294.65073399823</v>
      </c>
      <c r="AN258" s="4">
        <v>185.97168999517399</v>
      </c>
      <c r="AO258" s="4">
        <v>0.14364622450785899</v>
      </c>
      <c r="AP258" s="1" t="s">
        <v>348</v>
      </c>
      <c r="AQ258" s="1" t="s">
        <v>156</v>
      </c>
      <c r="AR258" s="1" t="s">
        <v>282</v>
      </c>
      <c r="AS258" s="1">
        <v>7.5</v>
      </c>
      <c r="AT258" s="4">
        <v>0.97098805049867254</v>
      </c>
      <c r="AU258" s="1" t="s">
        <v>1303</v>
      </c>
      <c r="AV258" s="1" t="s">
        <v>1304</v>
      </c>
      <c r="AW258" s="1">
        <v>6120</v>
      </c>
      <c r="AX258" s="1">
        <v>3636</v>
      </c>
      <c r="AY258" s="1">
        <v>2400</v>
      </c>
      <c r="AZ258" s="1">
        <v>84</v>
      </c>
      <c r="BA258" s="1">
        <v>0</v>
      </c>
      <c r="BB258" s="1">
        <v>0</v>
      </c>
      <c r="BC258" s="1">
        <v>0</v>
      </c>
      <c r="BD258" s="1">
        <v>0</v>
      </c>
      <c r="BE258" s="1">
        <v>0</v>
      </c>
      <c r="BF258" s="1">
        <v>0</v>
      </c>
      <c r="BG258" s="1">
        <v>0</v>
      </c>
      <c r="BH258" s="4">
        <v>-0.86</v>
      </c>
      <c r="BI258" s="4">
        <v>23.84</v>
      </c>
      <c r="BJ258" s="4">
        <v>8.6084359999999993</v>
      </c>
      <c r="BK258" s="4">
        <v>-7.5872999999999996E-2</v>
      </c>
      <c r="BL258" s="4">
        <v>9.7285620000000002</v>
      </c>
      <c r="BM258" s="4">
        <v>94.644925000000001</v>
      </c>
      <c r="BN258" s="4">
        <v>1.13012</v>
      </c>
      <c r="BO258" s="4">
        <v>19.512501</v>
      </c>
      <c r="BP258" s="4">
        <v>0.30265999999999998</v>
      </c>
      <c r="BQ258" s="4">
        <v>1.162469</v>
      </c>
      <c r="BR258" s="4">
        <v>9.5058319999999998</v>
      </c>
      <c r="BS258" s="4">
        <v>0.38</v>
      </c>
      <c r="BT258" s="4">
        <v>0.28587299999999999</v>
      </c>
      <c r="BU258" s="4">
        <v>8.6084359999999993</v>
      </c>
      <c r="BV258" s="4">
        <v>5.0461970000000003</v>
      </c>
      <c r="BW258" s="4">
        <v>0.87307900000000005</v>
      </c>
      <c r="BX258" s="4">
        <v>-0.90464800000000001</v>
      </c>
      <c r="BY258" s="4">
        <v>0.58619200000000005</v>
      </c>
      <c r="BZ258" s="4">
        <v>0.173017</v>
      </c>
      <c r="CA258" s="4">
        <v>-0.17927299999999999</v>
      </c>
      <c r="CB258" s="4">
        <v>-0.34</v>
      </c>
      <c r="CC258" s="4">
        <v>-0.18</v>
      </c>
      <c r="CD258" s="4">
        <v>-0.12</v>
      </c>
      <c r="CE258" s="4">
        <v>-0.03</v>
      </c>
      <c r="CF258" s="4">
        <v>0</v>
      </c>
      <c r="CG258" s="4">
        <v>0.03</v>
      </c>
      <c r="CH258" s="4">
        <v>0.09</v>
      </c>
      <c r="CI258" s="4">
        <v>0.19</v>
      </c>
      <c r="CJ258" s="4">
        <v>16.66</v>
      </c>
      <c r="CK258" s="4">
        <v>19.079999999999998</v>
      </c>
      <c r="CL258" s="4">
        <v>19.512501</v>
      </c>
      <c r="CM258" s="4">
        <v>20.030000999999999</v>
      </c>
      <c r="CN258" s="4">
        <v>21.02</v>
      </c>
      <c r="CO258" s="4">
        <v>21.620000999999998</v>
      </c>
      <c r="CP258" s="4">
        <v>22.6</v>
      </c>
      <c r="CQ258" s="4">
        <v>0.38333699999999998</v>
      </c>
      <c r="CR258" s="4">
        <v>12.989789999999999</v>
      </c>
      <c r="CS258" s="4">
        <v>14.978329</v>
      </c>
      <c r="CT258" s="1">
        <v>1</v>
      </c>
      <c r="CU258" s="1">
        <v>55</v>
      </c>
      <c r="CV258" s="4">
        <v>18.375</v>
      </c>
      <c r="CW258" s="4">
        <v>1</v>
      </c>
      <c r="CX258" s="4">
        <v>13.253499</v>
      </c>
      <c r="CY258" s="4">
        <v>175.65523400000001</v>
      </c>
      <c r="CZ258" s="4">
        <v>0.721279</v>
      </c>
      <c r="DA258" s="4">
        <v>19</v>
      </c>
      <c r="DB258" s="4">
        <v>0.65346400000000004</v>
      </c>
      <c r="DC258" s="4">
        <v>2.3462360000000002</v>
      </c>
      <c r="DD258" s="4">
        <v>11.008456000000001</v>
      </c>
      <c r="DE258" s="4">
        <v>18.375</v>
      </c>
      <c r="DF258" s="4">
        <v>7.4288959999999999</v>
      </c>
      <c r="DG258" s="4">
        <v>1.30593</v>
      </c>
      <c r="DH258" s="4">
        <v>0.396588</v>
      </c>
      <c r="DI258" s="4">
        <v>0.40429399999999999</v>
      </c>
      <c r="DJ258" s="4">
        <v>0.175791</v>
      </c>
      <c r="DK258" s="4">
        <v>5.3384000000000001E-2</v>
      </c>
      <c r="DL258" s="4">
        <v>1</v>
      </c>
      <c r="DM258" s="4">
        <v>1</v>
      </c>
      <c r="DN258" s="4">
        <v>3</v>
      </c>
      <c r="DO258" s="4">
        <v>6</v>
      </c>
      <c r="DP258" s="4">
        <v>8</v>
      </c>
      <c r="DQ258" s="4">
        <v>9</v>
      </c>
      <c r="DR258" s="4">
        <v>12</v>
      </c>
      <c r="DS258" s="4">
        <v>15</v>
      </c>
      <c r="DT258" s="4">
        <v>19</v>
      </c>
      <c r="DU258" s="4">
        <v>23.299804999999999</v>
      </c>
      <c r="DV258" s="4">
        <v>27</v>
      </c>
      <c r="DW258" s="4">
        <v>32</v>
      </c>
      <c r="DX258" s="4">
        <v>40</v>
      </c>
      <c r="DY258" s="4">
        <v>43</v>
      </c>
      <c r="DZ258" s="4">
        <v>48</v>
      </c>
      <c r="EA258" s="4">
        <v>73.624861999999993</v>
      </c>
      <c r="EB258" s="4">
        <v>45.163398999999998</v>
      </c>
      <c r="EC258" s="4">
        <v>76.017601999999997</v>
      </c>
      <c r="ED258" s="4">
        <v>2677</v>
      </c>
      <c r="EE258" s="4">
        <v>2764</v>
      </c>
      <c r="EF258" s="4">
        <v>72.194719000000006</v>
      </c>
      <c r="EG258" s="4">
        <v>99.394938999999994</v>
      </c>
      <c r="EH258" s="4">
        <v>43.529412000000001</v>
      </c>
      <c r="EI258" s="4">
        <v>85.343136999999999</v>
      </c>
      <c r="EJ258" s="4">
        <v>73.267326999999995</v>
      </c>
      <c r="EK258" s="4">
        <v>143.64686499999999</v>
      </c>
      <c r="EL258" s="4">
        <v>2625</v>
      </c>
      <c r="EM258" s="4">
        <v>3614</v>
      </c>
      <c r="EN258" s="4">
        <v>2664</v>
      </c>
      <c r="EO258" s="4">
        <v>5223</v>
      </c>
      <c r="EP258" s="4">
        <v>3636</v>
      </c>
      <c r="EQ258" s="4">
        <v>6120</v>
      </c>
      <c r="ER258" s="4">
        <v>37.273845000000001</v>
      </c>
    </row>
    <row r="259" spans="1:148" x14ac:dyDescent="0.2">
      <c r="A259" s="1">
        <v>2022</v>
      </c>
      <c r="B259" s="1" t="str">
        <f t="shared" ref="B259:B322" si="8">LEFT(C259,2)</f>
        <v>NE</v>
      </c>
      <c r="C259" s="1" t="s">
        <v>1305</v>
      </c>
      <c r="D259" s="1" t="s">
        <v>1305</v>
      </c>
      <c r="E259" s="1">
        <v>26452</v>
      </c>
      <c r="F259" s="1" t="s">
        <v>2141</v>
      </c>
      <c r="G259" s="1" t="s">
        <v>1286</v>
      </c>
      <c r="H259" s="1" t="s">
        <v>1306</v>
      </c>
      <c r="I259" s="1">
        <v>21.3</v>
      </c>
      <c r="J259" s="1">
        <v>21.3</v>
      </c>
      <c r="K259" s="1" t="s">
        <v>148</v>
      </c>
      <c r="L259" s="1">
        <v>1</v>
      </c>
      <c r="M259" s="1">
        <v>2018</v>
      </c>
      <c r="N259" s="1">
        <v>3</v>
      </c>
      <c r="O259" s="1">
        <v>1</v>
      </c>
      <c r="P259" s="1" t="str">
        <f t="shared" ref="P259:P322" si="9">IF(MID(H259,12,1)="R","Talhadia","Alto fuste")</f>
        <v>Alto fuste</v>
      </c>
      <c r="Q259" s="2">
        <v>43445</v>
      </c>
      <c r="R259" s="1" t="s">
        <v>169</v>
      </c>
      <c r="S259" s="1" t="s">
        <v>163</v>
      </c>
      <c r="T259" s="1" t="s">
        <v>2268</v>
      </c>
      <c r="U259" s="1" t="s">
        <v>151</v>
      </c>
      <c r="V259" s="1" t="s">
        <v>152</v>
      </c>
      <c r="W259" s="2">
        <v>44711</v>
      </c>
      <c r="X259" s="1" t="s">
        <v>1288</v>
      </c>
      <c r="Y259" s="1">
        <v>42.78</v>
      </c>
      <c r="Z259" s="1">
        <v>20</v>
      </c>
      <c r="AA259" s="1">
        <v>25</v>
      </c>
      <c r="AB259" s="1">
        <v>14.4</v>
      </c>
      <c r="AC259" s="1">
        <v>3</v>
      </c>
      <c r="AD259" s="3">
        <v>288</v>
      </c>
      <c r="AE259" s="3">
        <v>260.65892842930299</v>
      </c>
      <c r="AF259" s="2">
        <v>44711</v>
      </c>
      <c r="AG259" s="1">
        <v>41</v>
      </c>
      <c r="AH259" s="3">
        <v>3.4661190965092401</v>
      </c>
      <c r="AI259" s="4">
        <v>17.407525350935501</v>
      </c>
      <c r="AJ259" s="4">
        <v>12.55</v>
      </c>
      <c r="AK259" s="4">
        <v>14.4282026273718</v>
      </c>
      <c r="AL259" s="1">
        <v>30</v>
      </c>
      <c r="AM259" s="5">
        <v>1150.92930753518</v>
      </c>
      <c r="AN259" s="4">
        <v>108.99997691203301</v>
      </c>
      <c r="AO259" s="4">
        <v>9.4706057269031196E-2</v>
      </c>
      <c r="AP259" s="1" t="s">
        <v>163</v>
      </c>
      <c r="AQ259" s="1" t="s">
        <v>156</v>
      </c>
      <c r="AR259" s="1" t="s">
        <v>291</v>
      </c>
      <c r="AS259" s="1">
        <v>9</v>
      </c>
      <c r="AT259" s="4">
        <v>1.0358363767816621</v>
      </c>
      <c r="AU259" s="1" t="s">
        <v>1307</v>
      </c>
      <c r="AV259" s="1" t="s">
        <v>1308</v>
      </c>
      <c r="AW259" s="1">
        <v>2229</v>
      </c>
      <c r="AX259" s="1">
        <v>993</v>
      </c>
      <c r="AY259" s="1">
        <v>1193</v>
      </c>
      <c r="AZ259" s="1">
        <v>42</v>
      </c>
      <c r="BA259" s="1">
        <v>1</v>
      </c>
      <c r="BB259" s="1">
        <v>0</v>
      </c>
      <c r="BC259" s="1">
        <v>0</v>
      </c>
      <c r="BD259" s="1">
        <v>0</v>
      </c>
      <c r="BE259" s="1">
        <v>0</v>
      </c>
      <c r="BF259" s="1">
        <v>0</v>
      </c>
      <c r="BG259" s="1">
        <v>0</v>
      </c>
      <c r="BH259" s="4">
        <v>-1.6240000000000001</v>
      </c>
      <c r="BI259" s="4">
        <v>17.728999999999999</v>
      </c>
      <c r="BJ259" s="4">
        <v>5.2185090000000001</v>
      </c>
      <c r="BK259" s="4">
        <v>-8.8048000000000001E-2</v>
      </c>
      <c r="BL259" s="4">
        <v>6.8312559999999998</v>
      </c>
      <c r="BM259" s="4">
        <v>46.666057000000002</v>
      </c>
      <c r="BN259" s="4">
        <v>1.3090440000000001</v>
      </c>
      <c r="BO259" s="4">
        <v>13.702</v>
      </c>
      <c r="BP259" s="4">
        <v>0.64209000000000005</v>
      </c>
      <c r="BQ259" s="4">
        <v>1.515115</v>
      </c>
      <c r="BR259" s="4">
        <v>6.437227</v>
      </c>
      <c r="BS259" s="4">
        <v>0.39900000000000002</v>
      </c>
      <c r="BT259" s="4">
        <v>0.37604799999999999</v>
      </c>
      <c r="BU259" s="4">
        <v>5.2185090000000001</v>
      </c>
      <c r="BV259" s="4">
        <v>3.4508179999999999</v>
      </c>
      <c r="BW259" s="4">
        <v>1.067137</v>
      </c>
      <c r="BX259" s="4">
        <v>-0.299151</v>
      </c>
      <c r="BY259" s="4">
        <v>0.66126499999999999</v>
      </c>
      <c r="BZ259" s="4">
        <v>0.30924200000000002</v>
      </c>
      <c r="CA259" s="4">
        <v>-8.6690000000000003E-2</v>
      </c>
      <c r="CB259" s="4">
        <v>-0.51571999999999996</v>
      </c>
      <c r="CC259" s="4">
        <v>-0.22459999999999999</v>
      </c>
      <c r="CD259" s="4">
        <v>-0.14699999999999999</v>
      </c>
      <c r="CE259" s="4">
        <v>-2.3400000000000001E-2</v>
      </c>
      <c r="CF259" s="4">
        <v>2.5000000000000001E-2</v>
      </c>
      <c r="CG259" s="4">
        <v>6.54E-2</v>
      </c>
      <c r="CH259" s="4">
        <v>0.15620000000000001</v>
      </c>
      <c r="CI259" s="4">
        <v>0.27100000000000002</v>
      </c>
      <c r="CJ259" s="4">
        <v>0.53979999999999995</v>
      </c>
      <c r="CK259" s="4">
        <v>12.5722</v>
      </c>
      <c r="CL259" s="4">
        <v>13.727</v>
      </c>
      <c r="CM259" s="4">
        <v>14.2828</v>
      </c>
      <c r="CN259" s="4">
        <v>15.284801</v>
      </c>
      <c r="CO259" s="4">
        <v>16.080400000000001</v>
      </c>
      <c r="CP259" s="4">
        <v>16.730639</v>
      </c>
      <c r="CQ259" s="4">
        <v>0.35356300000000002</v>
      </c>
      <c r="CR259" s="4">
        <v>8.5952289999999998</v>
      </c>
      <c r="CS259" s="4">
        <v>10.250241000000001</v>
      </c>
      <c r="CT259" s="1">
        <v>1</v>
      </c>
      <c r="CU259" s="1">
        <v>50</v>
      </c>
      <c r="CV259" s="4">
        <v>13.259758</v>
      </c>
      <c r="CW259" s="4">
        <v>1</v>
      </c>
      <c r="CX259" s="4">
        <v>9.5802530000000008</v>
      </c>
      <c r="CY259" s="4">
        <v>91.781238999999999</v>
      </c>
      <c r="CZ259" s="4">
        <v>0.72250599999999998</v>
      </c>
      <c r="DA259" s="4">
        <v>15</v>
      </c>
      <c r="DB259" s="4">
        <v>0.68396400000000002</v>
      </c>
      <c r="DC259" s="4">
        <v>2.928223</v>
      </c>
      <c r="DD259" s="4">
        <v>7.9501689999999998</v>
      </c>
      <c r="DE259" s="4">
        <v>13.259758</v>
      </c>
      <c r="DF259" s="4">
        <v>5.3686100000000003</v>
      </c>
      <c r="DG259" s="4">
        <v>0.80585099999999998</v>
      </c>
      <c r="DH259" s="4">
        <v>0.26343100000000003</v>
      </c>
      <c r="DI259" s="4">
        <v>0.40488000000000002</v>
      </c>
      <c r="DJ259" s="4">
        <v>0.15010399999999999</v>
      </c>
      <c r="DK259" s="4">
        <v>4.9069000000000002E-2</v>
      </c>
      <c r="DL259" s="4">
        <v>1</v>
      </c>
      <c r="DM259" s="4">
        <v>1</v>
      </c>
      <c r="DN259" s="4">
        <v>2</v>
      </c>
      <c r="DO259" s="4">
        <v>4</v>
      </c>
      <c r="DP259" s="4">
        <v>5</v>
      </c>
      <c r="DQ259" s="4">
        <v>6</v>
      </c>
      <c r="DR259" s="4">
        <v>9</v>
      </c>
      <c r="DS259" s="4">
        <v>12</v>
      </c>
      <c r="DT259" s="4">
        <v>15</v>
      </c>
      <c r="DU259" s="4">
        <v>18</v>
      </c>
      <c r="DV259" s="4">
        <v>20</v>
      </c>
      <c r="DW259" s="4">
        <v>22</v>
      </c>
      <c r="DX259" s="4">
        <v>27</v>
      </c>
      <c r="DY259" s="4">
        <v>30</v>
      </c>
      <c r="DZ259" s="4">
        <v>39</v>
      </c>
      <c r="EA259" s="4">
        <v>80.060423</v>
      </c>
      <c r="EB259" s="4">
        <v>37.371017999999999</v>
      </c>
      <c r="EC259" s="4">
        <v>83.887209999999996</v>
      </c>
      <c r="ED259" s="4">
        <v>795</v>
      </c>
      <c r="EE259" s="4">
        <v>833</v>
      </c>
      <c r="EF259" s="4">
        <v>79.758308</v>
      </c>
      <c r="EG259" s="4">
        <v>99.899294999999995</v>
      </c>
      <c r="EH259" s="4">
        <v>36.96725</v>
      </c>
      <c r="EI259" s="4">
        <v>86.002691999999996</v>
      </c>
      <c r="EJ259" s="4">
        <v>82.980866000000006</v>
      </c>
      <c r="EK259" s="4">
        <v>193.05135999999999</v>
      </c>
      <c r="EL259" s="4">
        <v>792</v>
      </c>
      <c r="EM259" s="4">
        <v>992</v>
      </c>
      <c r="EN259" s="4">
        <v>824</v>
      </c>
      <c r="EO259" s="4">
        <v>1917</v>
      </c>
      <c r="EP259" s="4">
        <v>993</v>
      </c>
      <c r="EQ259" s="4">
        <v>2229</v>
      </c>
      <c r="ER259" s="4">
        <v>30.437709999999999</v>
      </c>
    </row>
    <row r="260" spans="1:148" x14ac:dyDescent="0.2">
      <c r="A260" s="1">
        <v>2022</v>
      </c>
      <c r="B260" s="1" t="str">
        <f t="shared" si="8"/>
        <v>NE</v>
      </c>
      <c r="C260" s="1" t="s">
        <v>1309</v>
      </c>
      <c r="D260" s="1" t="s">
        <v>1309</v>
      </c>
      <c r="E260" s="1">
        <v>26453</v>
      </c>
      <c r="F260" s="1" t="s">
        <v>2141</v>
      </c>
      <c r="G260" s="1" t="s">
        <v>1286</v>
      </c>
      <c r="H260" s="1" t="s">
        <v>1306</v>
      </c>
      <c r="I260" s="1">
        <v>21.3</v>
      </c>
      <c r="J260" s="1">
        <v>21.3</v>
      </c>
      <c r="K260" s="1" t="s">
        <v>148</v>
      </c>
      <c r="L260" s="1">
        <v>1</v>
      </c>
      <c r="M260" s="1">
        <v>2018</v>
      </c>
      <c r="N260" s="1">
        <v>3</v>
      </c>
      <c r="O260" s="1">
        <v>1</v>
      </c>
      <c r="P260" s="1" t="str">
        <f t="shared" si="9"/>
        <v>Alto fuste</v>
      </c>
      <c r="Q260" s="2">
        <v>43445</v>
      </c>
      <c r="R260" s="1" t="s">
        <v>169</v>
      </c>
      <c r="S260" s="1" t="s">
        <v>163</v>
      </c>
      <c r="T260" s="1" t="s">
        <v>2268</v>
      </c>
      <c r="U260" s="1" t="s">
        <v>151</v>
      </c>
      <c r="V260" s="1" t="s">
        <v>152</v>
      </c>
      <c r="W260" s="2">
        <v>44711</v>
      </c>
      <c r="X260" s="1" t="s">
        <v>1288</v>
      </c>
      <c r="Y260" s="1">
        <v>42.78</v>
      </c>
      <c r="Z260" s="1">
        <v>21</v>
      </c>
      <c r="AA260" s="1">
        <v>30</v>
      </c>
      <c r="AB260" s="1">
        <v>15.3</v>
      </c>
      <c r="AC260" s="1">
        <v>2</v>
      </c>
      <c r="AD260" s="3">
        <v>321.3</v>
      </c>
      <c r="AE260" s="3">
        <v>278.08445744031599</v>
      </c>
      <c r="AF260" s="2">
        <v>44711</v>
      </c>
      <c r="AG260" s="1">
        <v>41</v>
      </c>
      <c r="AH260" s="3">
        <v>3.4661190965092401</v>
      </c>
      <c r="AI260" s="4">
        <v>20.944447561927301</v>
      </c>
      <c r="AJ260" s="4">
        <v>13.979411764705899</v>
      </c>
      <c r="AK260" s="4">
        <v>18.9986883006959</v>
      </c>
      <c r="AL260" s="1">
        <v>34</v>
      </c>
      <c r="AM260" s="5">
        <v>1222.65013704684</v>
      </c>
      <c r="AN260" s="4">
        <v>173.02120535349101</v>
      </c>
      <c r="AO260" s="4">
        <v>0.14151325887175001</v>
      </c>
      <c r="AP260" s="1" t="s">
        <v>163</v>
      </c>
      <c r="AQ260" s="1" t="s">
        <v>156</v>
      </c>
      <c r="AR260" s="1" t="s">
        <v>291</v>
      </c>
      <c r="AS260" s="1">
        <v>9</v>
      </c>
      <c r="AT260" s="4">
        <v>1.100385123342156</v>
      </c>
      <c r="AU260" s="1" t="s">
        <v>1310</v>
      </c>
      <c r="AV260" s="1" t="s">
        <v>1311</v>
      </c>
      <c r="AW260" s="1">
        <v>1260</v>
      </c>
      <c r="AX260" s="1">
        <v>841</v>
      </c>
      <c r="AY260" s="1">
        <v>404</v>
      </c>
      <c r="AZ260" s="1">
        <v>15</v>
      </c>
      <c r="BA260" s="1">
        <v>0</v>
      </c>
      <c r="BB260" s="1">
        <v>0</v>
      </c>
      <c r="BC260" s="1">
        <v>0</v>
      </c>
      <c r="BD260" s="1">
        <v>0</v>
      </c>
      <c r="BE260" s="1">
        <v>0</v>
      </c>
      <c r="BF260" s="1">
        <v>0</v>
      </c>
      <c r="BG260" s="1">
        <v>0</v>
      </c>
      <c r="BH260" s="4">
        <v>-0.77400000000000002</v>
      </c>
      <c r="BI260" s="4">
        <v>22.614999999999998</v>
      </c>
      <c r="BJ260" s="4">
        <v>11.96913</v>
      </c>
      <c r="BK260" s="4">
        <v>-3.1491999999999999E-2</v>
      </c>
      <c r="BL260" s="4">
        <v>9.1857780000000009</v>
      </c>
      <c r="BM260" s="4">
        <v>84.378524999999996</v>
      </c>
      <c r="BN260" s="4">
        <v>0.76745600000000003</v>
      </c>
      <c r="BO260" s="4">
        <v>19.216749</v>
      </c>
      <c r="BP260" s="4">
        <v>-0.48063</v>
      </c>
      <c r="BQ260" s="4">
        <v>1.294014</v>
      </c>
      <c r="BR260" s="4">
        <v>8.8103490000000004</v>
      </c>
      <c r="BS260" s="4">
        <v>2.2989989999999998</v>
      </c>
      <c r="BT260" s="4">
        <v>17.966991</v>
      </c>
      <c r="BU260" s="4">
        <v>11.96913</v>
      </c>
      <c r="BV260" s="4">
        <v>4.7465739999999998</v>
      </c>
      <c r="BW260" s="4">
        <v>-0.83367500000000005</v>
      </c>
      <c r="BX260" s="4">
        <v>-0.67970200000000003</v>
      </c>
      <c r="BY260" s="4">
        <v>0.39656799999999998</v>
      </c>
      <c r="BZ260" s="4">
        <v>-0.17563699999999999</v>
      </c>
      <c r="CA260" s="4">
        <v>-0.14319799999999999</v>
      </c>
      <c r="CB260" s="4">
        <v>-0.34982000000000002</v>
      </c>
      <c r="CC260" s="4">
        <v>-0.13544999999999999</v>
      </c>
      <c r="CD260" s="4">
        <v>-4.1099999999999998E-2</v>
      </c>
      <c r="CE260" s="4">
        <v>9.3799999999999994E-2</v>
      </c>
      <c r="CF260" s="4">
        <v>0.1835</v>
      </c>
      <c r="CG260" s="4">
        <v>0.31640000000000001</v>
      </c>
      <c r="CH260" s="4">
        <v>16.571000999999999</v>
      </c>
      <c r="CI260" s="4">
        <v>17.935500999999999</v>
      </c>
      <c r="CJ260" s="4">
        <v>18.6614</v>
      </c>
      <c r="CK260" s="4">
        <v>19.108000000000001</v>
      </c>
      <c r="CL260" s="4">
        <v>19.400248999999999</v>
      </c>
      <c r="CM260" s="4">
        <v>19.667998999999998</v>
      </c>
      <c r="CN260" s="4">
        <v>20.407</v>
      </c>
      <c r="CO260" s="4">
        <v>20.982151000000002</v>
      </c>
      <c r="CP260" s="4">
        <v>21.546379000000002</v>
      </c>
      <c r="CQ260" s="4">
        <v>0.54483400000000004</v>
      </c>
      <c r="CR260" s="4">
        <v>15.085478</v>
      </c>
      <c r="CS260" s="4">
        <v>16.348938</v>
      </c>
      <c r="CT260" s="1">
        <v>1</v>
      </c>
      <c r="CU260" s="1">
        <v>37</v>
      </c>
      <c r="CV260" s="4">
        <v>11.616667</v>
      </c>
      <c r="CW260" s="4">
        <v>13.571429</v>
      </c>
      <c r="CX260" s="4">
        <v>6.4896719999999997</v>
      </c>
      <c r="CY260" s="4">
        <v>42.115845999999998</v>
      </c>
      <c r="CZ260" s="4">
        <v>0.55865200000000004</v>
      </c>
      <c r="DA260" s="4">
        <v>9</v>
      </c>
      <c r="DB260" s="4">
        <v>0.44958500000000001</v>
      </c>
      <c r="DC260" s="4">
        <v>3.5797560000000002</v>
      </c>
      <c r="DD260" s="4">
        <v>5.1265869999999998</v>
      </c>
      <c r="DE260" s="4">
        <v>11.616667</v>
      </c>
      <c r="DF260" s="4">
        <v>3.6111559999999998</v>
      </c>
      <c r="DG260" s="4">
        <v>0.10559200000000001</v>
      </c>
      <c r="DH260" s="4">
        <v>0.41681099999999999</v>
      </c>
      <c r="DI260" s="4">
        <v>0.31086000000000003</v>
      </c>
      <c r="DJ260" s="4">
        <v>2.9241E-2</v>
      </c>
      <c r="DK260" s="4">
        <v>0.115423</v>
      </c>
      <c r="DL260" s="4">
        <v>1</v>
      </c>
      <c r="DM260" s="4">
        <v>1</v>
      </c>
      <c r="DN260" s="4">
        <v>2</v>
      </c>
      <c r="DO260" s="4">
        <v>6</v>
      </c>
      <c r="DP260" s="4">
        <v>7</v>
      </c>
      <c r="DQ260" s="4">
        <v>8</v>
      </c>
      <c r="DR260" s="4">
        <v>10</v>
      </c>
      <c r="DS260" s="4">
        <v>12</v>
      </c>
      <c r="DT260" s="4">
        <v>13</v>
      </c>
      <c r="DU260" s="4">
        <v>15</v>
      </c>
      <c r="DV260" s="4">
        <v>16</v>
      </c>
      <c r="DW260" s="4">
        <v>17</v>
      </c>
      <c r="DX260" s="4">
        <v>19</v>
      </c>
      <c r="DY260" s="4">
        <v>22</v>
      </c>
      <c r="DZ260" s="4">
        <v>31.410034</v>
      </c>
      <c r="EA260" s="4">
        <v>92.746729999999999</v>
      </c>
      <c r="EB260" s="4">
        <v>63.253968</v>
      </c>
      <c r="EC260" s="4">
        <v>94.768133000000006</v>
      </c>
      <c r="ED260" s="4">
        <v>780</v>
      </c>
      <c r="EE260" s="4">
        <v>797</v>
      </c>
      <c r="EF260" s="4">
        <v>92.271106000000003</v>
      </c>
      <c r="EG260" s="4">
        <v>99.524376000000004</v>
      </c>
      <c r="EH260" s="4">
        <v>62.301586999999998</v>
      </c>
      <c r="EI260" s="4">
        <v>89.444444000000004</v>
      </c>
      <c r="EJ260" s="4">
        <v>93.341260000000005</v>
      </c>
      <c r="EK260" s="4">
        <v>134.00713400000001</v>
      </c>
      <c r="EL260" s="4">
        <v>776</v>
      </c>
      <c r="EM260" s="4">
        <v>837</v>
      </c>
      <c r="EN260" s="4">
        <v>785</v>
      </c>
      <c r="EO260" s="4">
        <v>1127</v>
      </c>
      <c r="EP260" s="4">
        <v>841</v>
      </c>
      <c r="EQ260" s="4">
        <v>1260</v>
      </c>
      <c r="ER260" s="4">
        <v>54.673355999999998</v>
      </c>
    </row>
    <row r="261" spans="1:148" x14ac:dyDescent="0.2">
      <c r="A261" s="1">
        <v>2022</v>
      </c>
      <c r="B261" s="1" t="str">
        <f t="shared" si="8"/>
        <v>NE</v>
      </c>
      <c r="C261" s="1" t="s">
        <v>1312</v>
      </c>
      <c r="D261" s="1" t="s">
        <v>1312</v>
      </c>
      <c r="E261" s="1">
        <v>26456</v>
      </c>
      <c r="F261" s="1" t="s">
        <v>2143</v>
      </c>
      <c r="G261" s="1" t="s">
        <v>1190</v>
      </c>
      <c r="H261" s="1" t="s">
        <v>1313</v>
      </c>
      <c r="I261" s="1">
        <v>31.95</v>
      </c>
      <c r="J261" s="1">
        <v>31.95</v>
      </c>
      <c r="K261" s="1" t="s">
        <v>434</v>
      </c>
      <c r="L261" s="1">
        <v>1</v>
      </c>
      <c r="M261" s="1">
        <v>2018</v>
      </c>
      <c r="N261" s="1">
        <v>3</v>
      </c>
      <c r="O261" s="1">
        <v>2</v>
      </c>
      <c r="P261" s="1" t="str">
        <f t="shared" si="9"/>
        <v>Talhadia</v>
      </c>
      <c r="Q261" s="2">
        <v>43368</v>
      </c>
      <c r="R261" s="1" t="s">
        <v>169</v>
      </c>
      <c r="S261" s="1" t="s">
        <v>299</v>
      </c>
      <c r="T261" s="1" t="s">
        <v>2268</v>
      </c>
      <c r="U261" s="1" t="s">
        <v>151</v>
      </c>
      <c r="V261" s="1" t="s">
        <v>152</v>
      </c>
      <c r="W261" s="2">
        <v>44741</v>
      </c>
      <c r="X261" s="1" t="s">
        <v>1192</v>
      </c>
      <c r="Y261" s="1">
        <v>83.79</v>
      </c>
      <c r="Z261" s="1">
        <v>19.600000000000001</v>
      </c>
      <c r="AA261" s="1">
        <v>18</v>
      </c>
      <c r="AB261" s="1">
        <v>15.4</v>
      </c>
      <c r="AC261" s="1">
        <v>5</v>
      </c>
      <c r="AD261" s="3">
        <v>301.83999999999997</v>
      </c>
      <c r="AE261" s="3">
        <v>285.97452266043001</v>
      </c>
      <c r="AF261" s="2">
        <v>44741</v>
      </c>
      <c r="AG261" s="1">
        <v>45</v>
      </c>
      <c r="AH261" s="3">
        <v>3.7590691307323798</v>
      </c>
      <c r="AI261" s="4">
        <v>28.568765096647098</v>
      </c>
      <c r="AJ261" s="4">
        <v>20.035294117647101</v>
      </c>
      <c r="AK261" s="4">
        <v>19.060565226498699</v>
      </c>
      <c r="AL261" s="1">
        <v>17</v>
      </c>
      <c r="AM261" s="5">
        <v>594.45854972843301</v>
      </c>
      <c r="AN261" s="4">
        <v>225.737910377151</v>
      </c>
      <c r="AO261" s="4">
        <v>0.37973700686158102</v>
      </c>
      <c r="AP261" s="1" t="s">
        <v>299</v>
      </c>
      <c r="AQ261" s="1" t="s">
        <v>254</v>
      </c>
      <c r="AR261" s="1" t="s">
        <v>1316</v>
      </c>
      <c r="AS261" s="1">
        <v>9</v>
      </c>
      <c r="AT261" s="4">
        <v>0.53501269475558977</v>
      </c>
      <c r="AU261" s="1" t="s">
        <v>1314</v>
      </c>
      <c r="AV261" s="1" t="s">
        <v>1315</v>
      </c>
      <c r="AW261" s="1">
        <v>3903</v>
      </c>
      <c r="AX261" s="1">
        <v>2468</v>
      </c>
      <c r="AY261" s="1">
        <v>1375</v>
      </c>
      <c r="AZ261" s="1">
        <v>60</v>
      </c>
      <c r="BA261" s="1">
        <v>0</v>
      </c>
      <c r="BB261" s="1">
        <v>0</v>
      </c>
      <c r="BC261" s="1">
        <v>0</v>
      </c>
      <c r="BD261" s="1">
        <v>0</v>
      </c>
      <c r="BE261" s="1">
        <v>0</v>
      </c>
      <c r="BF261" s="1">
        <v>0</v>
      </c>
      <c r="BG261" s="1">
        <v>0</v>
      </c>
      <c r="BH261" s="4">
        <v>-0.84699999999999998</v>
      </c>
      <c r="BI261" s="4">
        <v>27.891000999999999</v>
      </c>
      <c r="BJ261" s="4">
        <v>13.154773</v>
      </c>
      <c r="BK261" s="4">
        <v>-0.39084099999999999</v>
      </c>
      <c r="BL261" s="4">
        <v>11.829935000000001</v>
      </c>
      <c r="BM261" s="4">
        <v>139.94736900000001</v>
      </c>
      <c r="BN261" s="4">
        <v>0.89928799999999998</v>
      </c>
      <c r="BO261" s="4">
        <v>24.096501</v>
      </c>
      <c r="BP261" s="4">
        <v>-0.15770600000000001</v>
      </c>
      <c r="BQ261" s="4">
        <v>1.0864830000000001</v>
      </c>
      <c r="BR261" s="4">
        <v>11.633333</v>
      </c>
      <c r="BS261" s="4">
        <v>4.9389989999999999</v>
      </c>
      <c r="BT261" s="4">
        <v>21.802841000000001</v>
      </c>
      <c r="BU261" s="4">
        <v>13.154773</v>
      </c>
      <c r="BV261" s="4">
        <v>6.218642</v>
      </c>
      <c r="BW261" s="4">
        <v>-0.238787</v>
      </c>
      <c r="BX261" s="4">
        <v>-1.2450730000000001</v>
      </c>
      <c r="BY261" s="4">
        <v>0.47272900000000001</v>
      </c>
      <c r="BZ261" s="4">
        <v>-3.8399000000000003E-2</v>
      </c>
      <c r="CA261" s="4">
        <v>-0.20021600000000001</v>
      </c>
      <c r="CB261" s="4">
        <v>-0.41199999999999998</v>
      </c>
      <c r="CC261" s="4">
        <v>-0.2019</v>
      </c>
      <c r="CD261" s="4">
        <v>-9.8799999999999999E-2</v>
      </c>
      <c r="CE261" s="4">
        <v>2.1999999999999999E-2</v>
      </c>
      <c r="CF261" s="4">
        <v>6.9000000000000006E-2</v>
      </c>
      <c r="CG261" s="4">
        <v>0.1246</v>
      </c>
      <c r="CH261" s="4">
        <v>0.375</v>
      </c>
      <c r="CI261" s="4">
        <v>21.412001</v>
      </c>
      <c r="CJ261" s="4">
        <v>22.877200999999999</v>
      </c>
      <c r="CK261" s="4">
        <v>23.783999999999999</v>
      </c>
      <c r="CL261" s="4">
        <v>24.165500999999999</v>
      </c>
      <c r="CM261" s="4">
        <v>24.599599999999999</v>
      </c>
      <c r="CN261" s="4">
        <v>25.535799000000001</v>
      </c>
      <c r="CO261" s="4">
        <v>26.165800000000001</v>
      </c>
      <c r="CP261" s="4">
        <v>26.99296</v>
      </c>
      <c r="CQ261" s="4">
        <v>0.48722199999999999</v>
      </c>
      <c r="CR261" s="4">
        <v>17.690663000000001</v>
      </c>
      <c r="CS261" s="4">
        <v>19.606376999999998</v>
      </c>
      <c r="CT261" s="1">
        <v>1</v>
      </c>
      <c r="CU261" s="1">
        <v>51</v>
      </c>
      <c r="CV261" s="4">
        <v>13.713297000000001</v>
      </c>
      <c r="CW261" s="4">
        <v>1</v>
      </c>
      <c r="CX261" s="4">
        <v>8.9004429999999992</v>
      </c>
      <c r="CY261" s="4">
        <v>79.217883</v>
      </c>
      <c r="CZ261" s="4">
        <v>0.64903699999999998</v>
      </c>
      <c r="DA261" s="4">
        <v>11</v>
      </c>
      <c r="DB261" s="4">
        <v>0.71202200000000004</v>
      </c>
      <c r="DC261" s="4">
        <v>3.2982450000000001</v>
      </c>
      <c r="DD261" s="4">
        <v>7.0237100000000003</v>
      </c>
      <c r="DE261" s="4">
        <v>13.713297000000001</v>
      </c>
      <c r="DF261" s="4">
        <v>4.9462710000000003</v>
      </c>
      <c r="DG261" s="4">
        <v>0.61133999999999999</v>
      </c>
      <c r="DH261" s="4">
        <v>0.55716500000000002</v>
      </c>
      <c r="DI261" s="4">
        <v>0.36069200000000001</v>
      </c>
      <c r="DJ261" s="4">
        <v>0.123596</v>
      </c>
      <c r="DK261" s="4">
        <v>0.11264299999999999</v>
      </c>
      <c r="DL261" s="4">
        <v>1</v>
      </c>
      <c r="DM261" s="4">
        <v>1</v>
      </c>
      <c r="DN261" s="4">
        <v>3</v>
      </c>
      <c r="DO261" s="4">
        <v>5</v>
      </c>
      <c r="DP261" s="4">
        <v>7</v>
      </c>
      <c r="DQ261" s="4">
        <v>8</v>
      </c>
      <c r="DR261" s="4">
        <v>11</v>
      </c>
      <c r="DS261" s="4">
        <v>13</v>
      </c>
      <c r="DT261" s="4">
        <v>15</v>
      </c>
      <c r="DU261" s="4">
        <v>17</v>
      </c>
      <c r="DV261" s="4">
        <v>18</v>
      </c>
      <c r="DW261" s="4">
        <v>20</v>
      </c>
      <c r="DX261" s="4">
        <v>25</v>
      </c>
      <c r="DY261" s="4">
        <v>32</v>
      </c>
      <c r="DZ261" s="4">
        <v>38</v>
      </c>
      <c r="EA261" s="4">
        <v>85.858994999999993</v>
      </c>
      <c r="EB261" s="4">
        <v>55.956955999999998</v>
      </c>
      <c r="EC261" s="4">
        <v>88.492706999999996</v>
      </c>
      <c r="ED261" s="4">
        <v>2119</v>
      </c>
      <c r="EE261" s="4">
        <v>2184</v>
      </c>
      <c r="EF261" s="4">
        <v>84.886548000000005</v>
      </c>
      <c r="EG261" s="4">
        <v>100</v>
      </c>
      <c r="EH261" s="4">
        <v>54.342813</v>
      </c>
      <c r="EI261" s="4">
        <v>98.770177000000004</v>
      </c>
      <c r="EJ261" s="4">
        <v>85.940032000000002</v>
      </c>
      <c r="EK261" s="4">
        <v>156.199352</v>
      </c>
      <c r="EL261" s="4">
        <v>2095</v>
      </c>
      <c r="EM261" s="4">
        <v>2468</v>
      </c>
      <c r="EN261" s="4">
        <v>2121</v>
      </c>
      <c r="EO261" s="4">
        <v>3855</v>
      </c>
      <c r="EP261" s="4">
        <v>2468</v>
      </c>
      <c r="EQ261" s="4">
        <v>3903</v>
      </c>
      <c r="ER261" s="4">
        <v>47.773356999999997</v>
      </c>
    </row>
    <row r="262" spans="1:148" x14ac:dyDescent="0.2">
      <c r="A262" s="1">
        <v>2022</v>
      </c>
      <c r="B262" s="1" t="str">
        <f t="shared" si="8"/>
        <v>RD</v>
      </c>
      <c r="C262" s="1" t="s">
        <v>1317</v>
      </c>
      <c r="D262" s="1" t="s">
        <v>1317</v>
      </c>
      <c r="E262" s="1">
        <v>26493</v>
      </c>
      <c r="F262" s="1" t="s">
        <v>2137</v>
      </c>
      <c r="G262" s="1" t="s">
        <v>759</v>
      </c>
      <c r="H262" s="1" t="s">
        <v>1318</v>
      </c>
      <c r="I262" s="1">
        <v>32.090000000000003</v>
      </c>
      <c r="J262" s="1">
        <v>32.090000000000003</v>
      </c>
      <c r="K262" s="1" t="s">
        <v>249</v>
      </c>
      <c r="L262" s="1">
        <v>1</v>
      </c>
      <c r="M262" s="1">
        <v>2018</v>
      </c>
      <c r="N262" s="1">
        <v>2</v>
      </c>
      <c r="O262" s="1">
        <v>1</v>
      </c>
      <c r="P262" s="1" t="str">
        <f t="shared" si="9"/>
        <v>Alto fuste</v>
      </c>
      <c r="Q262" s="2">
        <v>43196</v>
      </c>
      <c r="R262" s="1" t="s">
        <v>227</v>
      </c>
      <c r="S262" s="1" t="s">
        <v>761</v>
      </c>
      <c r="T262" s="1" t="s">
        <v>2268</v>
      </c>
      <c r="U262" s="1" t="s">
        <v>212</v>
      </c>
      <c r="V262" s="1" t="s">
        <v>152</v>
      </c>
      <c r="W262" s="2">
        <v>44685</v>
      </c>
      <c r="X262" s="1" t="s">
        <v>762</v>
      </c>
      <c r="Y262" s="1">
        <v>320.37</v>
      </c>
      <c r="Z262" s="1">
        <v>20</v>
      </c>
      <c r="AA262" s="1">
        <v>3</v>
      </c>
      <c r="AB262" s="1">
        <v>15.3</v>
      </c>
      <c r="AC262" s="1">
        <v>0</v>
      </c>
      <c r="AD262" s="3">
        <v>306</v>
      </c>
      <c r="AE262" s="3">
        <v>305.58063763489997</v>
      </c>
      <c r="AF262" s="2">
        <v>44685</v>
      </c>
      <c r="AG262" s="1">
        <v>49</v>
      </c>
      <c r="AH262" s="3">
        <v>4.0766598220396997</v>
      </c>
      <c r="AI262" s="4">
        <v>18.994942874057202</v>
      </c>
      <c r="AJ262" s="4">
        <v>11.8</v>
      </c>
      <c r="AK262" s="4">
        <v>13.957687266044401</v>
      </c>
      <c r="AL262" s="1">
        <v>38</v>
      </c>
      <c r="AM262" s="5">
        <v>1243.5342858797701</v>
      </c>
      <c r="AN262" s="4">
        <v>125.40185292879499</v>
      </c>
      <c r="AO262" s="4">
        <v>0.100843100469945</v>
      </c>
      <c r="AP262" s="1" t="s">
        <v>761</v>
      </c>
      <c r="AQ262" s="1" t="s">
        <v>156</v>
      </c>
      <c r="AR262" s="1" t="s">
        <v>164</v>
      </c>
      <c r="AS262" s="1">
        <v>7.5</v>
      </c>
      <c r="AT262" s="4">
        <v>0.93265071440982761</v>
      </c>
      <c r="AU262" s="1" t="s">
        <v>1319</v>
      </c>
      <c r="AV262" s="1" t="s">
        <v>1320</v>
      </c>
      <c r="AW262" s="1">
        <v>2636</v>
      </c>
      <c r="AX262" s="1">
        <v>1494</v>
      </c>
      <c r="AY262" s="1">
        <v>1016</v>
      </c>
      <c r="AZ262" s="1">
        <v>123</v>
      </c>
      <c r="BA262" s="1">
        <v>3</v>
      </c>
      <c r="BB262" s="1">
        <v>0</v>
      </c>
      <c r="BC262" s="1">
        <v>0</v>
      </c>
      <c r="BD262" s="1">
        <v>0</v>
      </c>
      <c r="BE262" s="1">
        <v>0</v>
      </c>
      <c r="BF262" s="1">
        <v>0</v>
      </c>
      <c r="BG262" s="1">
        <v>0</v>
      </c>
      <c r="BH262" s="4">
        <v>-0.82</v>
      </c>
      <c r="BI262" s="4">
        <v>22.02</v>
      </c>
      <c r="BJ262" s="4">
        <v>9.8838810000000006</v>
      </c>
      <c r="BK262" s="4">
        <v>-9.4921000000000005E-2</v>
      </c>
      <c r="BL262" s="4">
        <v>8.4657309999999999</v>
      </c>
      <c r="BM262" s="4">
        <v>71.668604999999999</v>
      </c>
      <c r="BN262" s="4">
        <v>0.85651900000000003</v>
      </c>
      <c r="BO262" s="4">
        <v>17.620000999999998</v>
      </c>
      <c r="BP262" s="4">
        <v>-0.16419300000000001</v>
      </c>
      <c r="BQ262" s="4">
        <v>1.1722129999999999</v>
      </c>
      <c r="BR262" s="4">
        <v>8.1393550000000001</v>
      </c>
      <c r="BS262" s="4">
        <v>5.89</v>
      </c>
      <c r="BT262" s="4">
        <v>13.609921</v>
      </c>
      <c r="BU262" s="4">
        <v>9.8838810000000006</v>
      </c>
      <c r="BV262" s="4">
        <v>4.5764769999999997</v>
      </c>
      <c r="BW262" s="4">
        <v>-0.19602700000000001</v>
      </c>
      <c r="BX262" s="4">
        <v>-0.81597699999999995</v>
      </c>
      <c r="BY262" s="4">
        <v>0.46302399999999999</v>
      </c>
      <c r="BZ262" s="4">
        <v>-4.2833999999999997E-2</v>
      </c>
      <c r="CA262" s="4">
        <v>-0.17829800000000001</v>
      </c>
      <c r="CB262" s="4">
        <v>-0.4</v>
      </c>
      <c r="CC262" s="4">
        <v>-0.18</v>
      </c>
      <c r="CD262" s="4">
        <v>-0.06</v>
      </c>
      <c r="CE262" s="4">
        <v>0.09</v>
      </c>
      <c r="CF262" s="4">
        <v>0.16</v>
      </c>
      <c r="CG262" s="4">
        <v>0.24</v>
      </c>
      <c r="CH262" s="4">
        <v>3.44</v>
      </c>
      <c r="CI262" s="4">
        <v>13.514999</v>
      </c>
      <c r="CJ262" s="4">
        <v>16.799999</v>
      </c>
      <c r="CK262" s="4">
        <v>17.450001</v>
      </c>
      <c r="CL262" s="4">
        <v>17.780000999999999</v>
      </c>
      <c r="CM262" s="4">
        <v>18.129999000000002</v>
      </c>
      <c r="CN262" s="4">
        <v>18.994999</v>
      </c>
      <c r="CO262" s="4">
        <v>19.622501</v>
      </c>
      <c r="CP262" s="4">
        <v>20.649495999999999</v>
      </c>
      <c r="CQ262" s="4">
        <v>0.46864600000000001</v>
      </c>
      <c r="CR262" s="4">
        <v>13.012783000000001</v>
      </c>
      <c r="CS262" s="4">
        <v>14.406883000000001</v>
      </c>
      <c r="CT262" s="1">
        <v>1</v>
      </c>
      <c r="CU262" s="1">
        <v>49</v>
      </c>
      <c r="CV262" s="4">
        <v>14.236722</v>
      </c>
      <c r="CW262" s="4">
        <v>4.8095239999999997</v>
      </c>
      <c r="CX262" s="4">
        <v>9.2950429999999997</v>
      </c>
      <c r="CY262" s="4">
        <v>86.397830999999996</v>
      </c>
      <c r="CZ262" s="4">
        <v>0.65289200000000003</v>
      </c>
      <c r="DA262" s="4">
        <v>13</v>
      </c>
      <c r="DB262" s="4">
        <v>0.80047999999999997</v>
      </c>
      <c r="DC262" s="4">
        <v>3.5198489999999998</v>
      </c>
      <c r="DD262" s="4">
        <v>7.4078609999999996</v>
      </c>
      <c r="DE262" s="4">
        <v>14.236722</v>
      </c>
      <c r="DF262" s="4">
        <v>5.1546799999999999</v>
      </c>
      <c r="DG262" s="4">
        <v>0.72971200000000003</v>
      </c>
      <c r="DH262" s="4">
        <v>0.53556000000000004</v>
      </c>
      <c r="DI262" s="4">
        <v>0.36206899999999997</v>
      </c>
      <c r="DJ262" s="4">
        <v>0.14156299999999999</v>
      </c>
      <c r="DK262" s="4">
        <v>0.103898</v>
      </c>
      <c r="DL262" s="4">
        <v>1</v>
      </c>
      <c r="DM262" s="4">
        <v>2</v>
      </c>
      <c r="DN262" s="4">
        <v>3</v>
      </c>
      <c r="DO262" s="4">
        <v>5</v>
      </c>
      <c r="DP262" s="4">
        <v>7</v>
      </c>
      <c r="DQ262" s="4">
        <v>8</v>
      </c>
      <c r="DR262" s="4">
        <v>11</v>
      </c>
      <c r="DS262" s="4">
        <v>13</v>
      </c>
      <c r="DT262" s="4">
        <v>16</v>
      </c>
      <c r="DU262" s="4">
        <v>18</v>
      </c>
      <c r="DV262" s="4">
        <v>20</v>
      </c>
      <c r="DW262" s="4">
        <v>21</v>
      </c>
      <c r="DX262" s="4">
        <v>26</v>
      </c>
      <c r="DY262" s="4">
        <v>32</v>
      </c>
      <c r="DZ262" s="4">
        <v>42</v>
      </c>
      <c r="EA262" s="4">
        <v>92.235608999999997</v>
      </c>
      <c r="EB262" s="4">
        <v>60.318665000000003</v>
      </c>
      <c r="EC262" s="4">
        <v>106.425703</v>
      </c>
      <c r="ED262" s="4">
        <v>1378</v>
      </c>
      <c r="EE262" s="4">
        <v>1590</v>
      </c>
      <c r="EF262" s="4">
        <v>90.763052000000002</v>
      </c>
      <c r="EG262" s="4">
        <v>99.866130999999996</v>
      </c>
      <c r="EH262" s="4">
        <v>55.235205000000001</v>
      </c>
      <c r="EI262" s="4">
        <v>91.312595000000002</v>
      </c>
      <c r="EJ262" s="4">
        <v>97.456492999999995</v>
      </c>
      <c r="EK262" s="4">
        <v>161.11111099999999</v>
      </c>
      <c r="EL262" s="4">
        <v>1356</v>
      </c>
      <c r="EM262" s="4">
        <v>1492</v>
      </c>
      <c r="EN262" s="4">
        <v>1456</v>
      </c>
      <c r="EO262" s="4">
        <v>2407</v>
      </c>
      <c r="EP262" s="4">
        <v>1494</v>
      </c>
      <c r="EQ262" s="4">
        <v>2636</v>
      </c>
      <c r="ER262" s="4">
        <v>46.980528999999997</v>
      </c>
    </row>
    <row r="263" spans="1:148" x14ac:dyDescent="0.2">
      <c r="A263" s="1">
        <v>2022</v>
      </c>
      <c r="B263" s="1" t="str">
        <f t="shared" si="8"/>
        <v>GN</v>
      </c>
      <c r="C263" s="1" t="s">
        <v>1321</v>
      </c>
      <c r="D263" s="1" t="s">
        <v>1321</v>
      </c>
      <c r="E263" s="1">
        <v>26501</v>
      </c>
      <c r="F263" s="1" t="s">
        <v>2140</v>
      </c>
      <c r="G263" s="1" t="s">
        <v>1280</v>
      </c>
      <c r="H263" s="1" t="s">
        <v>1322</v>
      </c>
      <c r="I263" s="1">
        <v>27.36</v>
      </c>
      <c r="J263" s="1">
        <v>27.36</v>
      </c>
      <c r="K263" s="1" t="s">
        <v>192</v>
      </c>
      <c r="L263" s="1">
        <v>1</v>
      </c>
      <c r="M263" s="1">
        <v>2018</v>
      </c>
      <c r="N263" s="1">
        <v>2</v>
      </c>
      <c r="O263" s="1">
        <v>2</v>
      </c>
      <c r="P263" s="1" t="str">
        <f t="shared" si="9"/>
        <v>Talhadia</v>
      </c>
      <c r="Q263" s="2">
        <v>43332</v>
      </c>
      <c r="R263" s="1" t="s">
        <v>169</v>
      </c>
      <c r="S263" s="1" t="s">
        <v>238</v>
      </c>
      <c r="T263" s="1" t="s">
        <v>2268</v>
      </c>
      <c r="U263" s="1" t="s">
        <v>192</v>
      </c>
      <c r="V263" s="1" t="s">
        <v>152</v>
      </c>
      <c r="W263" s="2">
        <v>44642</v>
      </c>
      <c r="X263" s="1" t="s">
        <v>1282</v>
      </c>
      <c r="Y263" s="1">
        <v>431.88</v>
      </c>
      <c r="Z263" s="1">
        <v>19.399999999999999</v>
      </c>
      <c r="AA263" s="1">
        <v>10</v>
      </c>
      <c r="AB263" s="1">
        <v>15.4</v>
      </c>
      <c r="AC263" s="1">
        <v>3</v>
      </c>
      <c r="AD263" s="3">
        <v>298.76</v>
      </c>
      <c r="AE263" s="3">
        <v>293.817944409799</v>
      </c>
      <c r="AF263" s="2">
        <v>44642</v>
      </c>
      <c r="AG263" s="1">
        <v>43</v>
      </c>
      <c r="AH263" s="3">
        <v>3.5865845311430502</v>
      </c>
      <c r="AI263" s="4">
        <v>24.374218929364901</v>
      </c>
      <c r="AJ263" s="4">
        <v>15.5103448275862</v>
      </c>
      <c r="AK263" s="4">
        <v>19.025415918986798</v>
      </c>
      <c r="AL263" s="1">
        <v>29</v>
      </c>
      <c r="AM263" s="5">
        <v>987.00574800675201</v>
      </c>
      <c r="AN263" s="4">
        <v>209.201393762229</v>
      </c>
      <c r="AO263" s="4">
        <v>0.21195559821683799</v>
      </c>
      <c r="AP263" s="1" t="s">
        <v>238</v>
      </c>
      <c r="AQ263" s="1" t="s">
        <v>254</v>
      </c>
      <c r="AR263" s="1" t="s">
        <v>500</v>
      </c>
      <c r="AS263" s="1">
        <v>9</v>
      </c>
      <c r="AT263" s="4">
        <v>0.88830517320607683</v>
      </c>
      <c r="AU263" s="1" t="s">
        <v>1323</v>
      </c>
      <c r="AV263" s="1" t="s">
        <v>1324</v>
      </c>
      <c r="AW263" s="1">
        <v>1891</v>
      </c>
      <c r="AX263" s="1">
        <v>1891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0</v>
      </c>
      <c r="BG263" s="1">
        <v>0</v>
      </c>
      <c r="BH263" s="4">
        <v>-0.159</v>
      </c>
      <c r="BI263" s="4">
        <v>26.789000000000001</v>
      </c>
      <c r="BJ263" s="4">
        <v>20.560654</v>
      </c>
      <c r="BK263" s="4">
        <v>22.939285000000002</v>
      </c>
      <c r="BL263" s="4">
        <v>6.7761230000000001</v>
      </c>
      <c r="BM263" s="4">
        <v>45.915846999999999</v>
      </c>
      <c r="BN263" s="4">
        <v>0.329567</v>
      </c>
      <c r="BO263" s="4">
        <v>2.731001</v>
      </c>
      <c r="BP263" s="4">
        <v>-2.2699829999999999</v>
      </c>
      <c r="BQ263" s="4">
        <v>6.9185249999999998</v>
      </c>
      <c r="BR263" s="4">
        <v>4.3687760000000004</v>
      </c>
      <c r="BS263" s="4">
        <v>1.3419989999999999</v>
      </c>
      <c r="BT263" s="4">
        <v>1.301285</v>
      </c>
      <c r="BU263" s="4">
        <v>20.560654</v>
      </c>
      <c r="BV263" s="4">
        <v>2.864519</v>
      </c>
      <c r="BW263" s="4">
        <v>-1.4481809999999999</v>
      </c>
      <c r="BX263" s="4">
        <v>0.99879300000000004</v>
      </c>
      <c r="BY263" s="4">
        <v>0.13932</v>
      </c>
      <c r="BZ263" s="4">
        <v>-0.50555799999999995</v>
      </c>
      <c r="CA263" s="4">
        <v>0.34867700000000001</v>
      </c>
      <c r="CB263" s="4">
        <v>-7.5200000000000003E-2</v>
      </c>
      <c r="CC263" s="4">
        <v>6.7500000000000004E-2</v>
      </c>
      <c r="CD263" s="4">
        <v>9.3629999999999995</v>
      </c>
      <c r="CE263" s="4">
        <v>20.885999999999999</v>
      </c>
      <c r="CF263" s="4">
        <v>21.231999999999999</v>
      </c>
      <c r="CG263" s="4">
        <v>21.664000000000001</v>
      </c>
      <c r="CH263" s="4">
        <v>22.266999999999999</v>
      </c>
      <c r="CI263" s="4">
        <v>22.747999</v>
      </c>
      <c r="CJ263" s="4">
        <v>23.155999999999999</v>
      </c>
      <c r="CK263" s="4">
        <v>23.646000000000001</v>
      </c>
      <c r="CL263" s="4">
        <v>23.963000999999998</v>
      </c>
      <c r="CM263" s="4">
        <v>24.26</v>
      </c>
      <c r="CN263" s="4">
        <v>25.059999000000001</v>
      </c>
      <c r="CO263" s="4">
        <v>25.518501000000001</v>
      </c>
      <c r="CP263" s="4">
        <v>26.171099000000002</v>
      </c>
      <c r="CQ263" s="4">
        <v>0.76887499999999998</v>
      </c>
      <c r="CR263" s="4">
        <v>21.647911000000001</v>
      </c>
      <c r="CS263" s="4">
        <v>22.115511000000001</v>
      </c>
      <c r="CT263" s="1">
        <v>1</v>
      </c>
      <c r="CU263" s="1">
        <v>74</v>
      </c>
      <c r="CV263" s="4">
        <v>19.884188000000002</v>
      </c>
      <c r="CW263" s="4">
        <v>21.857143000000001</v>
      </c>
      <c r="CX263" s="4">
        <v>12.453801</v>
      </c>
      <c r="CY263" s="4">
        <v>155.09716299999999</v>
      </c>
      <c r="CZ263" s="4">
        <v>0.62631700000000001</v>
      </c>
      <c r="DA263" s="4">
        <v>16</v>
      </c>
      <c r="DB263" s="4">
        <v>0.76739999999999997</v>
      </c>
      <c r="DC263" s="4">
        <v>3.7189299999999998</v>
      </c>
      <c r="DD263" s="4">
        <v>9.7669619999999995</v>
      </c>
      <c r="DE263" s="4">
        <v>19.884188000000002</v>
      </c>
      <c r="DF263" s="4">
        <v>6.8962820000000002</v>
      </c>
      <c r="DG263" s="4">
        <v>0.81614900000000001</v>
      </c>
      <c r="DH263" s="4">
        <v>0.85679000000000005</v>
      </c>
      <c r="DI263" s="4">
        <v>0.34682200000000002</v>
      </c>
      <c r="DJ263" s="4">
        <v>0.11834600000000001</v>
      </c>
      <c r="DK263" s="4">
        <v>0.124239</v>
      </c>
      <c r="DL263" s="4">
        <v>1</v>
      </c>
      <c r="DM263" s="4">
        <v>2</v>
      </c>
      <c r="DN263" s="4">
        <v>4</v>
      </c>
      <c r="DO263" s="4">
        <v>9</v>
      </c>
      <c r="DP263" s="4">
        <v>11</v>
      </c>
      <c r="DQ263" s="4">
        <v>12</v>
      </c>
      <c r="DR263" s="4">
        <v>16</v>
      </c>
      <c r="DS263" s="4">
        <v>19</v>
      </c>
      <c r="DT263" s="4">
        <v>22</v>
      </c>
      <c r="DU263" s="4">
        <v>25</v>
      </c>
      <c r="DV263" s="4">
        <v>27</v>
      </c>
      <c r="DW263" s="4">
        <v>29</v>
      </c>
      <c r="DX263" s="4">
        <v>36</v>
      </c>
      <c r="DY263" s="4">
        <v>42</v>
      </c>
      <c r="DZ263" s="4">
        <v>57</v>
      </c>
      <c r="EA263" s="4">
        <v>92.384980999999996</v>
      </c>
      <c r="EB263" s="4">
        <v>92.384980999999996</v>
      </c>
      <c r="EC263" s="4">
        <v>92.384980999999996</v>
      </c>
      <c r="ED263" s="4">
        <v>1747</v>
      </c>
      <c r="EE263" s="4">
        <v>1747</v>
      </c>
      <c r="EF263" s="4">
        <v>82.390270000000001</v>
      </c>
      <c r="EG263" s="4">
        <v>45.478583</v>
      </c>
      <c r="EH263" s="4">
        <v>82.390270000000001</v>
      </c>
      <c r="EI263" s="4">
        <v>45.478583</v>
      </c>
      <c r="EJ263" s="4">
        <v>82.390270000000001</v>
      </c>
      <c r="EK263" s="4">
        <v>45.478583</v>
      </c>
      <c r="EL263" s="4">
        <v>1558</v>
      </c>
      <c r="EM263" s="4">
        <v>860</v>
      </c>
      <c r="EN263" s="4">
        <v>1558</v>
      </c>
      <c r="EO263" s="4">
        <v>860</v>
      </c>
      <c r="EP263" s="4">
        <v>1891</v>
      </c>
      <c r="EQ263" s="4">
        <v>1891</v>
      </c>
      <c r="ER263" s="4">
        <v>77.633780999999999</v>
      </c>
    </row>
    <row r="264" spans="1:148" x14ac:dyDescent="0.2">
      <c r="A264" s="1">
        <v>2022</v>
      </c>
      <c r="B264" s="1" t="str">
        <f t="shared" si="8"/>
        <v>NE</v>
      </c>
      <c r="C264" s="1" t="s">
        <v>1325</v>
      </c>
      <c r="D264" s="1" t="s">
        <v>1325</v>
      </c>
      <c r="E264" s="1">
        <v>26506</v>
      </c>
      <c r="F264" s="1" t="s">
        <v>2144</v>
      </c>
      <c r="G264" s="1" t="s">
        <v>1035</v>
      </c>
      <c r="H264" s="1" t="s">
        <v>1326</v>
      </c>
      <c r="I264" s="1">
        <v>54.01</v>
      </c>
      <c r="J264" s="1">
        <v>54.01</v>
      </c>
      <c r="K264" s="1" t="s">
        <v>1022</v>
      </c>
      <c r="L264" s="1">
        <v>1</v>
      </c>
      <c r="M264" s="1">
        <v>2018</v>
      </c>
      <c r="N264" s="1">
        <v>3</v>
      </c>
      <c r="O264" s="1">
        <v>2</v>
      </c>
      <c r="P264" s="1" t="str">
        <f t="shared" si="9"/>
        <v>Talhadia</v>
      </c>
      <c r="Q264" s="2">
        <v>43143</v>
      </c>
      <c r="R264" s="1" t="s">
        <v>169</v>
      </c>
      <c r="S264" s="1" t="s">
        <v>265</v>
      </c>
      <c r="T264" s="1" t="s">
        <v>2268</v>
      </c>
      <c r="U264" s="1" t="s">
        <v>1022</v>
      </c>
      <c r="V264" s="1" t="s">
        <v>152</v>
      </c>
      <c r="W264" s="2">
        <v>44826</v>
      </c>
      <c r="X264" s="1" t="s">
        <v>1037</v>
      </c>
      <c r="Y264" s="1">
        <v>105.9</v>
      </c>
      <c r="Z264" s="1">
        <v>19.3</v>
      </c>
      <c r="AA264" s="1">
        <v>21</v>
      </c>
      <c r="AB264" s="1">
        <v>16.2</v>
      </c>
      <c r="AC264" s="1">
        <v>4</v>
      </c>
      <c r="AD264" s="3">
        <v>312.66000000000003</v>
      </c>
      <c r="AE264" s="3">
        <v>291.18221884714097</v>
      </c>
      <c r="AF264" s="2">
        <v>44826</v>
      </c>
      <c r="AG264" s="1">
        <v>55</v>
      </c>
      <c r="AH264" s="3">
        <v>4.6078028747433297</v>
      </c>
      <c r="AI264" s="4">
        <v>22.739443260462501</v>
      </c>
      <c r="AJ264" s="4">
        <v>15.9161290322581</v>
      </c>
      <c r="AK264" s="4">
        <v>22.741416513029801</v>
      </c>
      <c r="AL264" s="1">
        <v>31</v>
      </c>
      <c r="AM264" s="5">
        <v>1064.62544734827</v>
      </c>
      <c r="AN264" s="4">
        <v>246.03283546447199</v>
      </c>
      <c r="AO264" s="4">
        <v>0.231098022386447</v>
      </c>
      <c r="AP264" s="1" t="s">
        <v>265</v>
      </c>
      <c r="AQ264" s="1" t="s">
        <v>254</v>
      </c>
      <c r="AR264" s="1" t="s">
        <v>1050</v>
      </c>
      <c r="AS264" s="1">
        <v>9</v>
      </c>
      <c r="AT264" s="4">
        <v>0.95816290261344295</v>
      </c>
      <c r="AU264" s="1" t="s">
        <v>1327</v>
      </c>
      <c r="AV264" s="1" t="s">
        <v>1328</v>
      </c>
      <c r="AW264" s="1">
        <v>5713</v>
      </c>
      <c r="AX264" s="1">
        <v>2616</v>
      </c>
      <c r="AY264" s="1">
        <v>2212</v>
      </c>
      <c r="AZ264" s="1">
        <v>794</v>
      </c>
      <c r="BA264" s="1">
        <v>91</v>
      </c>
      <c r="BB264" s="1">
        <v>0</v>
      </c>
      <c r="BC264" s="1">
        <v>0</v>
      </c>
      <c r="BD264" s="1">
        <v>0</v>
      </c>
      <c r="BE264" s="1">
        <v>0</v>
      </c>
      <c r="BF264" s="1">
        <v>0</v>
      </c>
      <c r="BG264" s="1">
        <v>0</v>
      </c>
      <c r="BH264" s="4">
        <v>-1.1299999999999999</v>
      </c>
      <c r="BI264" s="4">
        <v>31.084</v>
      </c>
      <c r="BJ264" s="4">
        <v>12.885922000000001</v>
      </c>
      <c r="BK264" s="4">
        <v>-0.107333</v>
      </c>
      <c r="BL264" s="4">
        <v>11.428983000000001</v>
      </c>
      <c r="BM264" s="4">
        <v>130.621644</v>
      </c>
      <c r="BN264" s="4">
        <v>0.88693599999999995</v>
      </c>
      <c r="BO264" s="4">
        <v>24.684000000000001</v>
      </c>
      <c r="BP264" s="4">
        <v>8.7312000000000001E-2</v>
      </c>
      <c r="BQ264" s="4">
        <v>1.325847</v>
      </c>
      <c r="BR264" s="4">
        <v>10.492475000000001</v>
      </c>
      <c r="BS264" s="4">
        <v>12.089</v>
      </c>
      <c r="BT264" s="4">
        <v>12.286333000000001</v>
      </c>
      <c r="BU264" s="4">
        <v>12.885922000000001</v>
      </c>
      <c r="BV264" s="4">
        <v>6.3863750000000001</v>
      </c>
      <c r="BW264" s="4">
        <v>0.347723</v>
      </c>
      <c r="BX264" s="4">
        <v>-0.91920000000000002</v>
      </c>
      <c r="BY264" s="4">
        <v>0.49560900000000002</v>
      </c>
      <c r="BZ264" s="4">
        <v>5.4448000000000003E-2</v>
      </c>
      <c r="CA264" s="4">
        <v>-0.143931</v>
      </c>
      <c r="CB264" s="4">
        <v>-0.40388000000000002</v>
      </c>
      <c r="CC264" s="4">
        <v>-0.1678</v>
      </c>
      <c r="CD264" s="4">
        <v>-7.4999999999999997E-2</v>
      </c>
      <c r="CE264" s="4">
        <v>8.4000000000000005E-2</v>
      </c>
      <c r="CF264" s="4">
        <v>0.17100000000000001</v>
      </c>
      <c r="CG264" s="4">
        <v>0.30059999999999998</v>
      </c>
      <c r="CH264" s="4">
        <v>6.0578000000000003</v>
      </c>
      <c r="CI264" s="4">
        <v>12.179</v>
      </c>
      <c r="CJ264" s="4">
        <v>20.020800000000001</v>
      </c>
      <c r="CK264" s="4">
        <v>24.211599</v>
      </c>
      <c r="CL264" s="4">
        <v>24.855</v>
      </c>
      <c r="CM264" s="4">
        <v>25.523001000000001</v>
      </c>
      <c r="CN264" s="4">
        <v>27.376200000000001</v>
      </c>
      <c r="CO264" s="4">
        <v>28.555</v>
      </c>
      <c r="CP264" s="4">
        <v>29.703759999999999</v>
      </c>
      <c r="CQ264" s="4">
        <v>0.43508799999999997</v>
      </c>
      <c r="CR264" s="4">
        <v>17.223407999999999</v>
      </c>
      <c r="CS264" s="4">
        <v>19.415272999999999</v>
      </c>
      <c r="CT264" s="1">
        <v>1</v>
      </c>
      <c r="CU264" s="1">
        <v>47</v>
      </c>
      <c r="CV264" s="4">
        <v>11.849116</v>
      </c>
      <c r="CW264" s="4">
        <v>1</v>
      </c>
      <c r="CX264" s="4">
        <v>8.5069169999999996</v>
      </c>
      <c r="CY264" s="4">
        <v>72.367636000000005</v>
      </c>
      <c r="CZ264" s="4">
        <v>0.71793700000000005</v>
      </c>
      <c r="DA264" s="4">
        <v>13</v>
      </c>
      <c r="DB264" s="4">
        <v>0.74571900000000002</v>
      </c>
      <c r="DC264" s="4">
        <v>3.105289</v>
      </c>
      <c r="DD264" s="4">
        <v>7.1141800000000002</v>
      </c>
      <c r="DE264" s="4">
        <v>11.849116</v>
      </c>
      <c r="DF264" s="4">
        <v>4.7469770000000002</v>
      </c>
      <c r="DG264" s="4">
        <v>0.76296799999999998</v>
      </c>
      <c r="DH264" s="4">
        <v>0.23372200000000001</v>
      </c>
      <c r="DI264" s="4">
        <v>0.400619</v>
      </c>
      <c r="DJ264" s="4">
        <v>0.16072700000000001</v>
      </c>
      <c r="DK264" s="4">
        <v>4.9236000000000002E-2</v>
      </c>
      <c r="DL264" s="4">
        <v>1</v>
      </c>
      <c r="DM264" s="4">
        <v>1</v>
      </c>
      <c r="DN264" s="4">
        <v>2</v>
      </c>
      <c r="DO264" s="4">
        <v>4</v>
      </c>
      <c r="DP264" s="4">
        <v>5</v>
      </c>
      <c r="DQ264" s="4">
        <v>6</v>
      </c>
      <c r="DR264" s="4">
        <v>8</v>
      </c>
      <c r="DS264" s="4">
        <v>10</v>
      </c>
      <c r="DT264" s="4">
        <v>13</v>
      </c>
      <c r="DU264" s="4">
        <v>16</v>
      </c>
      <c r="DV264" s="4">
        <v>18</v>
      </c>
      <c r="DW264" s="4">
        <v>20</v>
      </c>
      <c r="DX264" s="4">
        <v>23</v>
      </c>
      <c r="DY264" s="4">
        <v>27</v>
      </c>
      <c r="DZ264" s="4">
        <v>35.879883</v>
      </c>
      <c r="EA264" s="4">
        <v>96.330275</v>
      </c>
      <c r="EB264" s="4">
        <v>63.731839999999998</v>
      </c>
      <c r="EC264" s="4">
        <v>139.18195700000001</v>
      </c>
      <c r="ED264" s="4">
        <v>2520</v>
      </c>
      <c r="EE264" s="4">
        <v>3641</v>
      </c>
      <c r="EF264" s="4">
        <v>88.532110000000003</v>
      </c>
      <c r="EG264" s="4">
        <v>99.923546999999999</v>
      </c>
      <c r="EH264" s="4">
        <v>47.243130000000001</v>
      </c>
      <c r="EI264" s="4">
        <v>92.053212000000002</v>
      </c>
      <c r="EJ264" s="4">
        <v>103.172783</v>
      </c>
      <c r="EK264" s="4">
        <v>201.03210999999999</v>
      </c>
      <c r="EL264" s="4">
        <v>2316</v>
      </c>
      <c r="EM264" s="4">
        <v>2614</v>
      </c>
      <c r="EN264" s="4">
        <v>2699</v>
      </c>
      <c r="EO264" s="4">
        <v>5259</v>
      </c>
      <c r="EP264" s="4">
        <v>2616</v>
      </c>
      <c r="EQ264" s="4">
        <v>5713</v>
      </c>
      <c r="ER264" s="4">
        <v>42.437185999999997</v>
      </c>
    </row>
    <row r="265" spans="1:148" x14ac:dyDescent="0.2">
      <c r="A265" s="1">
        <v>2022</v>
      </c>
      <c r="B265" s="1" t="str">
        <f t="shared" si="8"/>
        <v>NE</v>
      </c>
      <c r="C265" s="1" t="s">
        <v>1329</v>
      </c>
      <c r="D265" s="1" t="s">
        <v>1329</v>
      </c>
      <c r="E265" s="1">
        <v>26507</v>
      </c>
      <c r="F265" s="1" t="s">
        <v>2144</v>
      </c>
      <c r="G265" s="1" t="s">
        <v>1035</v>
      </c>
      <c r="H265" s="1" t="s">
        <v>1326</v>
      </c>
      <c r="I265" s="1">
        <v>54.01</v>
      </c>
      <c r="J265" s="1">
        <v>54.01</v>
      </c>
      <c r="K265" s="1" t="s">
        <v>1022</v>
      </c>
      <c r="L265" s="1">
        <v>1</v>
      </c>
      <c r="M265" s="1">
        <v>2018</v>
      </c>
      <c r="N265" s="1">
        <v>3</v>
      </c>
      <c r="O265" s="1">
        <v>2</v>
      </c>
      <c r="P265" s="1" t="str">
        <f t="shared" si="9"/>
        <v>Talhadia</v>
      </c>
      <c r="Q265" s="2">
        <v>43143</v>
      </c>
      <c r="R265" s="1" t="s">
        <v>169</v>
      </c>
      <c r="S265" s="1" t="s">
        <v>265</v>
      </c>
      <c r="T265" s="1" t="s">
        <v>2268</v>
      </c>
      <c r="U265" s="1" t="s">
        <v>1022</v>
      </c>
      <c r="V265" s="1" t="s">
        <v>152</v>
      </c>
      <c r="W265" s="2">
        <v>44826</v>
      </c>
      <c r="X265" s="1" t="s">
        <v>1037</v>
      </c>
      <c r="Y265" s="1">
        <v>105.9</v>
      </c>
      <c r="Z265" s="1">
        <v>19.7</v>
      </c>
      <c r="AA265" s="1">
        <v>12</v>
      </c>
      <c r="AB265" s="1">
        <v>14.8</v>
      </c>
      <c r="AC265" s="1">
        <v>4</v>
      </c>
      <c r="AD265" s="3">
        <v>291.56</v>
      </c>
      <c r="AE265" s="3">
        <v>284.49400909503402</v>
      </c>
      <c r="AF265" s="2">
        <v>44826</v>
      </c>
      <c r="AG265" s="1">
        <v>55</v>
      </c>
      <c r="AH265" s="3">
        <v>4.6078028747433297</v>
      </c>
      <c r="AI265" s="4">
        <v>25.002399630595601</v>
      </c>
      <c r="AJ265" s="4">
        <v>16.804347826087</v>
      </c>
      <c r="AK265" s="4">
        <v>19.5983467850766</v>
      </c>
      <c r="AL265" s="1">
        <v>23</v>
      </c>
      <c r="AM265" s="5">
        <v>808.45287650036005</v>
      </c>
      <c r="AN265" s="4">
        <v>239.41058240925301</v>
      </c>
      <c r="AO265" s="4">
        <v>0.29613424525819698</v>
      </c>
      <c r="AP265" s="1" t="s">
        <v>265</v>
      </c>
      <c r="AQ265" s="1" t="s">
        <v>254</v>
      </c>
      <c r="AR265" s="1" t="s">
        <v>1050</v>
      </c>
      <c r="AS265" s="1">
        <v>9</v>
      </c>
      <c r="AT265" s="4">
        <v>0.72760758885032406</v>
      </c>
      <c r="AU265" s="1" t="s">
        <v>1330</v>
      </c>
      <c r="AV265" s="1" t="s">
        <v>1331</v>
      </c>
      <c r="AW265" s="1">
        <v>5284</v>
      </c>
      <c r="AX265" s="1">
        <v>2426</v>
      </c>
      <c r="AY265" s="1">
        <v>1956</v>
      </c>
      <c r="AZ265" s="1">
        <v>804</v>
      </c>
      <c r="BA265" s="1">
        <v>98</v>
      </c>
      <c r="BB265" s="1">
        <v>0</v>
      </c>
      <c r="BC265" s="1">
        <v>0</v>
      </c>
      <c r="BD265" s="1">
        <v>0</v>
      </c>
      <c r="BE265" s="1">
        <v>0</v>
      </c>
      <c r="BF265" s="1">
        <v>0</v>
      </c>
      <c r="BG265" s="1">
        <v>0</v>
      </c>
      <c r="BH265" s="4">
        <v>-1.022</v>
      </c>
      <c r="BI265" s="4">
        <v>29.332001000000002</v>
      </c>
      <c r="BJ265" s="4">
        <v>10.464689</v>
      </c>
      <c r="BK265" s="4">
        <v>-5.8381000000000002E-2</v>
      </c>
      <c r="BL265" s="4">
        <v>9.2823139999999995</v>
      </c>
      <c r="BM265" s="4">
        <v>86.161356999999995</v>
      </c>
      <c r="BN265" s="4">
        <v>0.88701300000000005</v>
      </c>
      <c r="BO265" s="4">
        <v>18.328999</v>
      </c>
      <c r="BP265" s="4">
        <v>0.27776800000000001</v>
      </c>
      <c r="BQ265" s="4">
        <v>1.694377</v>
      </c>
      <c r="BR265" s="4">
        <v>8.2066020000000002</v>
      </c>
      <c r="BS265" s="4">
        <v>9.4655000000000005</v>
      </c>
      <c r="BT265" s="4">
        <v>9.7763810000000007</v>
      </c>
      <c r="BU265" s="4">
        <v>10.464689</v>
      </c>
      <c r="BV265" s="4">
        <v>5.2588569999999999</v>
      </c>
      <c r="BW265" s="4">
        <v>0.60175500000000004</v>
      </c>
      <c r="BX265" s="4">
        <v>-0.34018399999999999</v>
      </c>
      <c r="BY265" s="4">
        <v>0.50253300000000001</v>
      </c>
      <c r="BZ265" s="4">
        <v>0.114427</v>
      </c>
      <c r="CA265" s="4">
        <v>-6.4687999999999996E-2</v>
      </c>
      <c r="CB265" s="4">
        <v>-0.30151</v>
      </c>
      <c r="CC265" s="4">
        <v>-0.12584999999999999</v>
      </c>
      <c r="CD265" s="4">
        <v>-4.8000000000000001E-2</v>
      </c>
      <c r="CE265" s="4">
        <v>8.5999999999999993E-2</v>
      </c>
      <c r="CF265" s="4">
        <v>0.18</v>
      </c>
      <c r="CG265" s="4">
        <v>0.38979999999999998</v>
      </c>
      <c r="CH265" s="4">
        <v>5.8397990000000002</v>
      </c>
      <c r="CI265" s="4">
        <v>9.718</v>
      </c>
      <c r="CJ265" s="4">
        <v>13.4788</v>
      </c>
      <c r="CK265" s="4">
        <v>16.622101000000001</v>
      </c>
      <c r="CL265" s="4">
        <v>18.508998999999999</v>
      </c>
      <c r="CM265" s="4">
        <v>20.346397</v>
      </c>
      <c r="CN265" s="4">
        <v>24.105702999999998</v>
      </c>
      <c r="CO265" s="4">
        <v>25.702801000000001</v>
      </c>
      <c r="CP265" s="4">
        <v>28.198208000000001</v>
      </c>
      <c r="CQ265" s="4">
        <v>0.37842399999999998</v>
      </c>
      <c r="CR265" s="4">
        <v>13.987665</v>
      </c>
      <c r="CS265" s="4">
        <v>15.969389</v>
      </c>
      <c r="CT265" s="1">
        <v>1</v>
      </c>
      <c r="CU265" s="1">
        <v>59</v>
      </c>
      <c r="CV265" s="4">
        <v>13.811128</v>
      </c>
      <c r="CW265" s="4">
        <v>2.8412700000000002</v>
      </c>
      <c r="CX265" s="4">
        <v>9.9958679999999998</v>
      </c>
      <c r="CY265" s="4">
        <v>99.917377999999999</v>
      </c>
      <c r="CZ265" s="4">
        <v>0.72375500000000004</v>
      </c>
      <c r="DA265" s="4">
        <v>14</v>
      </c>
      <c r="DB265" s="4">
        <v>1.0249250000000001</v>
      </c>
      <c r="DC265" s="4">
        <v>3.99668</v>
      </c>
      <c r="DD265" s="4">
        <v>7.9949719999999997</v>
      </c>
      <c r="DE265" s="4">
        <v>13.811128</v>
      </c>
      <c r="DF265" s="4">
        <v>5.463724</v>
      </c>
      <c r="DG265" s="4">
        <v>1.0797600000000001</v>
      </c>
      <c r="DH265" s="4">
        <v>0.53551300000000002</v>
      </c>
      <c r="DI265" s="4">
        <v>0.39560299999999998</v>
      </c>
      <c r="DJ265" s="4">
        <v>0.19762299999999999</v>
      </c>
      <c r="DK265" s="4">
        <v>9.8012000000000002E-2</v>
      </c>
      <c r="DL265" s="4">
        <v>1</v>
      </c>
      <c r="DM265" s="4">
        <v>2</v>
      </c>
      <c r="DN265" s="4">
        <v>3</v>
      </c>
      <c r="DO265" s="4">
        <v>5</v>
      </c>
      <c r="DP265" s="4">
        <v>6</v>
      </c>
      <c r="DQ265" s="4">
        <v>7</v>
      </c>
      <c r="DR265" s="4">
        <v>9</v>
      </c>
      <c r="DS265" s="4">
        <v>12</v>
      </c>
      <c r="DT265" s="4">
        <v>15</v>
      </c>
      <c r="DU265" s="4">
        <v>18</v>
      </c>
      <c r="DV265" s="4">
        <v>20</v>
      </c>
      <c r="DW265" s="4">
        <v>22</v>
      </c>
      <c r="DX265" s="4">
        <v>27</v>
      </c>
      <c r="DY265" s="4">
        <v>33</v>
      </c>
      <c r="DZ265" s="4">
        <v>45.169922</v>
      </c>
      <c r="EA265" s="4">
        <v>97.073372000000006</v>
      </c>
      <c r="EB265" s="4">
        <v>66.180924000000005</v>
      </c>
      <c r="EC265" s="4">
        <v>144.14674400000001</v>
      </c>
      <c r="ED265" s="4">
        <v>2355</v>
      </c>
      <c r="EE265" s="4">
        <v>3497</v>
      </c>
      <c r="EF265" s="4">
        <v>85.284419</v>
      </c>
      <c r="EG265" s="4">
        <v>100</v>
      </c>
      <c r="EH265" s="4">
        <v>47.445117000000003</v>
      </c>
      <c r="EI265" s="4">
        <v>90.802422000000007</v>
      </c>
      <c r="EJ265" s="4">
        <v>103.338829</v>
      </c>
      <c r="EK265" s="4">
        <v>197.774114</v>
      </c>
      <c r="EL265" s="4">
        <v>2069</v>
      </c>
      <c r="EM265" s="4">
        <v>2426</v>
      </c>
      <c r="EN265" s="4">
        <v>2507</v>
      </c>
      <c r="EO265" s="4">
        <v>4798</v>
      </c>
      <c r="EP265" s="4">
        <v>2426</v>
      </c>
      <c r="EQ265" s="4">
        <v>5284</v>
      </c>
      <c r="ER265" s="4">
        <v>36.160285000000002</v>
      </c>
    </row>
    <row r="266" spans="1:148" x14ac:dyDescent="0.2">
      <c r="A266" s="1">
        <v>2022</v>
      </c>
      <c r="B266" s="1" t="str">
        <f t="shared" si="8"/>
        <v>NE</v>
      </c>
      <c r="C266" s="1" t="s">
        <v>1332</v>
      </c>
      <c r="D266" s="1" t="s">
        <v>1332</v>
      </c>
      <c r="E266" s="1">
        <v>26508</v>
      </c>
      <c r="F266" s="1" t="s">
        <v>2144</v>
      </c>
      <c r="G266" s="1" t="s">
        <v>1035</v>
      </c>
      <c r="H266" s="1" t="s">
        <v>1326</v>
      </c>
      <c r="I266" s="1">
        <v>54.01</v>
      </c>
      <c r="J266" s="1">
        <v>54.01</v>
      </c>
      <c r="K266" s="1" t="s">
        <v>1022</v>
      </c>
      <c r="L266" s="1">
        <v>1</v>
      </c>
      <c r="M266" s="1">
        <v>2018</v>
      </c>
      <c r="N266" s="1">
        <v>3</v>
      </c>
      <c r="O266" s="1">
        <v>2</v>
      </c>
      <c r="P266" s="1" t="str">
        <f t="shared" si="9"/>
        <v>Talhadia</v>
      </c>
      <c r="Q266" s="2">
        <v>43143</v>
      </c>
      <c r="R266" s="1" t="s">
        <v>169</v>
      </c>
      <c r="S266" s="1" t="s">
        <v>265</v>
      </c>
      <c r="T266" s="1" t="s">
        <v>2268</v>
      </c>
      <c r="U266" s="1" t="s">
        <v>1022</v>
      </c>
      <c r="V266" s="1" t="s">
        <v>152</v>
      </c>
      <c r="W266" s="2">
        <v>44826</v>
      </c>
      <c r="X266" s="1" t="s">
        <v>1037</v>
      </c>
      <c r="Y266" s="1">
        <v>105.9</v>
      </c>
      <c r="Z266" s="1">
        <v>21.1</v>
      </c>
      <c r="AA266" s="1">
        <v>25</v>
      </c>
      <c r="AB266" s="1">
        <v>14.1</v>
      </c>
      <c r="AC266" s="1">
        <v>6</v>
      </c>
      <c r="AD266" s="3">
        <v>297.51</v>
      </c>
      <c r="AE266" s="3">
        <v>268.15853752921902</v>
      </c>
      <c r="AF266" s="2">
        <v>44826</v>
      </c>
      <c r="AG266" s="1">
        <v>55</v>
      </c>
      <c r="AH266" s="3">
        <v>4.6078028747433297</v>
      </c>
      <c r="AI266" s="4">
        <v>15.9667782811748</v>
      </c>
      <c r="AJ266" s="4">
        <v>13.366666666666699</v>
      </c>
      <c r="AK266" s="4">
        <v>13.373397988506399</v>
      </c>
      <c r="AL266" s="1">
        <v>24</v>
      </c>
      <c r="AM266" s="5">
        <v>894.99294787080601</v>
      </c>
      <c r="AN266" s="4">
        <v>100.209925667378</v>
      </c>
      <c r="AO266" s="4">
        <v>0.111967279636983</v>
      </c>
      <c r="AP266" s="1" t="s">
        <v>265</v>
      </c>
      <c r="AQ266" s="1" t="s">
        <v>254</v>
      </c>
      <c r="AR266" s="1" t="s">
        <v>1050</v>
      </c>
      <c r="AS266" s="1">
        <v>9</v>
      </c>
      <c r="AT266" s="4">
        <v>0.80549365308372545</v>
      </c>
      <c r="AU266" s="1" t="s">
        <v>1333</v>
      </c>
      <c r="AV266" s="1" t="s">
        <v>1334</v>
      </c>
      <c r="AW266" s="1">
        <v>4269</v>
      </c>
      <c r="AX266" s="1">
        <v>2268</v>
      </c>
      <c r="AY266" s="1">
        <v>1677</v>
      </c>
      <c r="AZ266" s="1">
        <v>316</v>
      </c>
      <c r="BA266" s="1">
        <v>8</v>
      </c>
      <c r="BB266" s="1">
        <v>0</v>
      </c>
      <c r="BC266" s="1">
        <v>0</v>
      </c>
      <c r="BD266" s="1">
        <v>0</v>
      </c>
      <c r="BE266" s="1">
        <v>0</v>
      </c>
      <c r="BF266" s="1">
        <v>0</v>
      </c>
      <c r="BG266" s="1">
        <v>0</v>
      </c>
      <c r="BH266" s="4">
        <v>-0.873</v>
      </c>
      <c r="BI266" s="4">
        <v>16.864000000000001</v>
      </c>
      <c r="BJ266" s="4">
        <v>8.4769179999999995</v>
      </c>
      <c r="BK266" s="4">
        <v>-2.8381E-2</v>
      </c>
      <c r="BL266" s="4">
        <v>6.5861910000000004</v>
      </c>
      <c r="BM266" s="4">
        <v>43.377907999999998</v>
      </c>
      <c r="BN266" s="4">
        <v>0.77695599999999998</v>
      </c>
      <c r="BO266" s="4">
        <v>14.227</v>
      </c>
      <c r="BP266" s="4">
        <v>-0.30676900000000001</v>
      </c>
      <c r="BQ266" s="4">
        <v>1.303134</v>
      </c>
      <c r="BR266" s="4">
        <v>6.2009569999999998</v>
      </c>
      <c r="BS266" s="4">
        <v>3.7130000000000001</v>
      </c>
      <c r="BT266" s="4">
        <v>11.973381</v>
      </c>
      <c r="BU266" s="4">
        <v>8.4769179999999995</v>
      </c>
      <c r="BV266" s="4">
        <v>3.600482</v>
      </c>
      <c r="BW266" s="4">
        <v>-0.364373</v>
      </c>
      <c r="BX266" s="4">
        <v>-0.52813299999999996</v>
      </c>
      <c r="BY266" s="4">
        <v>0.42473899999999998</v>
      </c>
      <c r="BZ266" s="4">
        <v>-0.101201</v>
      </c>
      <c r="CA266" s="4">
        <v>-0.14668400000000001</v>
      </c>
      <c r="CB266" s="4">
        <v>-0.36931999999999998</v>
      </c>
      <c r="CC266" s="4">
        <v>-0.14699999999999999</v>
      </c>
      <c r="CD266" s="4">
        <v>-5.3999999999999999E-2</v>
      </c>
      <c r="CE266" s="4">
        <v>0.11</v>
      </c>
      <c r="CF266" s="4">
        <v>0.21199999999999999</v>
      </c>
      <c r="CG266" s="4">
        <v>0.47320000000000001</v>
      </c>
      <c r="CH266" s="4">
        <v>6.3638000000000003</v>
      </c>
      <c r="CI266" s="4">
        <v>11.945</v>
      </c>
      <c r="CJ266" s="4">
        <v>13.3988</v>
      </c>
      <c r="CK266" s="4">
        <v>14.1356</v>
      </c>
      <c r="CL266" s="4">
        <v>14.439</v>
      </c>
      <c r="CM266" s="4">
        <v>14.7384</v>
      </c>
      <c r="CN266" s="4">
        <v>15.458</v>
      </c>
      <c r="CO266" s="4">
        <v>15.8622</v>
      </c>
      <c r="CP266" s="4">
        <v>16.492918</v>
      </c>
      <c r="CQ266" s="4">
        <v>0.527142</v>
      </c>
      <c r="CR266" s="4">
        <v>10.734332</v>
      </c>
      <c r="CS266" s="4">
        <v>11.755195000000001</v>
      </c>
      <c r="CT266" s="1">
        <v>1</v>
      </c>
      <c r="CU266" s="1">
        <v>45</v>
      </c>
      <c r="CV266" s="4">
        <v>14.412743000000001</v>
      </c>
      <c r="CW266" s="4">
        <v>2.3968250000000002</v>
      </c>
      <c r="CX266" s="4">
        <v>9.1946659999999998</v>
      </c>
      <c r="CY266" s="4">
        <v>84.541881000000004</v>
      </c>
      <c r="CZ266" s="4">
        <v>0.63795400000000002</v>
      </c>
      <c r="DA266" s="4">
        <v>14</v>
      </c>
      <c r="DB266" s="4">
        <v>0.48352400000000001</v>
      </c>
      <c r="DC266" s="4">
        <v>2.3305820000000002</v>
      </c>
      <c r="DD266" s="4">
        <v>7.7799759999999996</v>
      </c>
      <c r="DE266" s="4">
        <v>14.412743000000001</v>
      </c>
      <c r="DF266" s="4">
        <v>5.2237710000000002</v>
      </c>
      <c r="DG266" s="4">
        <v>0.62807000000000002</v>
      </c>
      <c r="DH266" s="4">
        <v>0.196409</v>
      </c>
      <c r="DI266" s="4">
        <v>0.36244100000000001</v>
      </c>
      <c r="DJ266" s="4">
        <v>0.12023300000000001</v>
      </c>
      <c r="DK266" s="4">
        <v>3.7599E-2</v>
      </c>
      <c r="DL266" s="4">
        <v>1</v>
      </c>
      <c r="DM266" s="4">
        <v>2</v>
      </c>
      <c r="DN266" s="4">
        <v>3</v>
      </c>
      <c r="DO266" s="4">
        <v>5</v>
      </c>
      <c r="DP266" s="4">
        <v>7</v>
      </c>
      <c r="DQ266" s="4">
        <v>8</v>
      </c>
      <c r="DR266" s="4">
        <v>10</v>
      </c>
      <c r="DS266" s="4">
        <v>13</v>
      </c>
      <c r="DT266" s="4">
        <v>16</v>
      </c>
      <c r="DU266" s="4">
        <v>20</v>
      </c>
      <c r="DV266" s="4">
        <v>21</v>
      </c>
      <c r="DW266" s="4">
        <v>23</v>
      </c>
      <c r="DX266" s="4">
        <v>27</v>
      </c>
      <c r="DY266" s="4">
        <v>31</v>
      </c>
      <c r="DZ266" s="4">
        <v>36</v>
      </c>
      <c r="EA266" s="4">
        <v>98.765432000000004</v>
      </c>
      <c r="EB266" s="4">
        <v>64.933239999999998</v>
      </c>
      <c r="EC266" s="4">
        <v>122.222222</v>
      </c>
      <c r="ED266" s="4">
        <v>2240</v>
      </c>
      <c r="EE266" s="4">
        <v>2772</v>
      </c>
      <c r="EF266" s="4">
        <v>97.354496999999995</v>
      </c>
      <c r="EG266" s="4">
        <v>99.955907999999994</v>
      </c>
      <c r="EH266" s="4">
        <v>57.132818</v>
      </c>
      <c r="EI266" s="4">
        <v>88.428202999999996</v>
      </c>
      <c r="EJ266" s="4">
        <v>107.539683</v>
      </c>
      <c r="EK266" s="4">
        <v>166.44620800000001</v>
      </c>
      <c r="EL266" s="4">
        <v>2208</v>
      </c>
      <c r="EM266" s="4">
        <v>2267</v>
      </c>
      <c r="EN266" s="4">
        <v>2439</v>
      </c>
      <c r="EO266" s="4">
        <v>3775</v>
      </c>
      <c r="EP266" s="4">
        <v>2268</v>
      </c>
      <c r="EQ266" s="4">
        <v>4269</v>
      </c>
      <c r="ER266" s="4">
        <v>50.509372999999997</v>
      </c>
    </row>
    <row r="267" spans="1:148" x14ac:dyDescent="0.2">
      <c r="A267" s="1">
        <v>2022</v>
      </c>
      <c r="B267" s="1" t="str">
        <f t="shared" si="8"/>
        <v>NE</v>
      </c>
      <c r="C267" s="1" t="s">
        <v>1335</v>
      </c>
      <c r="D267" s="1" t="s">
        <v>1335</v>
      </c>
      <c r="E267" s="1">
        <v>26520</v>
      </c>
      <c r="F267" s="1" t="s">
        <v>2145</v>
      </c>
      <c r="G267" s="1" t="s">
        <v>1336</v>
      </c>
      <c r="H267" s="1" t="s">
        <v>1337</v>
      </c>
      <c r="I267" s="1">
        <v>17.489999999999998</v>
      </c>
      <c r="J267" s="1">
        <v>17.489999999999998</v>
      </c>
      <c r="K267" s="1" t="s">
        <v>184</v>
      </c>
      <c r="L267" s="1">
        <v>1</v>
      </c>
      <c r="M267" s="1">
        <v>2018</v>
      </c>
      <c r="N267" s="1">
        <v>2</v>
      </c>
      <c r="O267" s="1">
        <v>2</v>
      </c>
      <c r="P267" s="1" t="str">
        <f t="shared" si="9"/>
        <v>Talhadia</v>
      </c>
      <c r="Q267" s="2">
        <v>43454</v>
      </c>
      <c r="R267" s="1" t="s">
        <v>306</v>
      </c>
      <c r="S267" s="1" t="s">
        <v>614</v>
      </c>
      <c r="T267" s="1" t="s">
        <v>2268</v>
      </c>
      <c r="U267" s="1" t="s">
        <v>170</v>
      </c>
      <c r="V267" s="1" t="s">
        <v>152</v>
      </c>
      <c r="W267" s="2">
        <v>44586</v>
      </c>
      <c r="X267" s="1" t="s">
        <v>1338</v>
      </c>
      <c r="Y267" s="1">
        <v>65.34</v>
      </c>
      <c r="Z267" s="1">
        <v>20</v>
      </c>
      <c r="AA267" s="1">
        <v>26</v>
      </c>
      <c r="AB267" s="1">
        <v>16.2</v>
      </c>
      <c r="AC267" s="1">
        <v>9</v>
      </c>
      <c r="AD267" s="3">
        <v>324</v>
      </c>
      <c r="AE267" s="3">
        <v>287.624001640828</v>
      </c>
      <c r="AF267" s="2">
        <v>44586</v>
      </c>
      <c r="AG267" s="1">
        <v>37</v>
      </c>
      <c r="AH267" s="3">
        <v>3.0992470910335399</v>
      </c>
      <c r="AI267" s="4">
        <v>17.5173938084931</v>
      </c>
      <c r="AJ267" s="4">
        <v>13.4296296296296</v>
      </c>
      <c r="AK267" s="4">
        <v>14.382946482608499</v>
      </c>
      <c r="AL267" s="1">
        <v>27</v>
      </c>
      <c r="AM267" s="5">
        <v>938.72555301265697</v>
      </c>
      <c r="AN267" s="4">
        <v>110.985352662051</v>
      </c>
      <c r="AO267" s="4">
        <v>0.118229819467325</v>
      </c>
      <c r="AP267" s="1" t="s">
        <v>614</v>
      </c>
      <c r="AQ267" s="1" t="s">
        <v>254</v>
      </c>
      <c r="AR267" s="1" t="s">
        <v>1050</v>
      </c>
      <c r="AS267" s="1">
        <v>9.99</v>
      </c>
      <c r="AT267" s="4">
        <v>0.93778682745964437</v>
      </c>
      <c r="AU267" s="1" t="s">
        <v>1339</v>
      </c>
      <c r="AV267" s="1" t="s">
        <v>1340</v>
      </c>
      <c r="AW267" s="1">
        <v>821</v>
      </c>
      <c r="AX267" s="1">
        <v>821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0</v>
      </c>
      <c r="BG267" s="1">
        <v>0</v>
      </c>
      <c r="BH267" s="4">
        <v>-0.318</v>
      </c>
      <c r="BI267" s="4">
        <v>20.934999000000001</v>
      </c>
      <c r="BJ267" s="4">
        <v>14.969485000000001</v>
      </c>
      <c r="BK267" s="4">
        <v>17.224157999999999</v>
      </c>
      <c r="BL267" s="4">
        <v>4.231293</v>
      </c>
      <c r="BM267" s="4">
        <v>17.903842000000001</v>
      </c>
      <c r="BN267" s="4">
        <v>0.282661</v>
      </c>
      <c r="BO267" s="4">
        <v>3.268999</v>
      </c>
      <c r="BP267" s="4">
        <v>-1.8706609999999999</v>
      </c>
      <c r="BQ267" s="4">
        <v>6.7908150000000003</v>
      </c>
      <c r="BR267" s="4">
        <v>2.9057840000000001</v>
      </c>
      <c r="BS267" s="4">
        <v>1.585</v>
      </c>
      <c r="BT267" s="4">
        <v>1.8371580000000001</v>
      </c>
      <c r="BU267" s="4">
        <v>14.969485000000001</v>
      </c>
      <c r="BV267" s="4">
        <v>2.0841959999999999</v>
      </c>
      <c r="BW267" s="4">
        <v>-0.64706799999999998</v>
      </c>
      <c r="BX267" s="4">
        <v>0.52922499999999995</v>
      </c>
      <c r="BY267" s="4">
        <v>0.13922999999999999</v>
      </c>
      <c r="BZ267" s="4">
        <v>-0.31046400000000002</v>
      </c>
      <c r="CA267" s="4">
        <v>0.25392300000000001</v>
      </c>
      <c r="CB267" s="4">
        <v>5.7599999999999998E-2</v>
      </c>
      <c r="CC267" s="4">
        <v>6.2439999999999998</v>
      </c>
      <c r="CD267" s="4">
        <v>9.0190000000000001</v>
      </c>
      <c r="CE267" s="4">
        <v>13.504</v>
      </c>
      <c r="CF267" s="4">
        <v>14.106999999999999</v>
      </c>
      <c r="CG267" s="4">
        <v>14.574999999999999</v>
      </c>
      <c r="CH267" s="4">
        <v>15.279</v>
      </c>
      <c r="CI267" s="4">
        <v>15.991</v>
      </c>
      <c r="CJ267" s="4">
        <v>16.600999999999999</v>
      </c>
      <c r="CK267" s="4">
        <v>17.170000000000002</v>
      </c>
      <c r="CL267" s="4">
        <v>17.375999</v>
      </c>
      <c r="CM267" s="4">
        <v>17.754999000000002</v>
      </c>
      <c r="CN267" s="4">
        <v>18.889999</v>
      </c>
      <c r="CO267" s="4">
        <v>19.478999999999999</v>
      </c>
      <c r="CP267" s="4">
        <v>20.381001000000001</v>
      </c>
      <c r="CQ267" s="4">
        <v>0.71931</v>
      </c>
      <c r="CR267" s="4">
        <v>15.555305000000001</v>
      </c>
      <c r="CS267" s="4">
        <v>15.895085999999999</v>
      </c>
      <c r="CT267" s="1">
        <v>1</v>
      </c>
      <c r="CU267" s="1">
        <v>33</v>
      </c>
      <c r="CV267" s="4">
        <v>13.387333</v>
      </c>
      <c r="CW267" s="4">
        <v>15.730159</v>
      </c>
      <c r="CX267" s="4">
        <v>5.3938569999999997</v>
      </c>
      <c r="CY267" s="4">
        <v>29.093692999999998</v>
      </c>
      <c r="CZ267" s="4">
        <v>0.40290799999999999</v>
      </c>
      <c r="DA267" s="4">
        <v>7</v>
      </c>
      <c r="DB267" s="4">
        <v>0.14229600000000001</v>
      </c>
      <c r="DC267" s="4">
        <v>3.465684</v>
      </c>
      <c r="DD267" s="4">
        <v>4.2332349999999996</v>
      </c>
      <c r="DE267" s="4">
        <v>13.387333</v>
      </c>
      <c r="DF267" s="4">
        <v>3.0064500000000001</v>
      </c>
      <c r="DG267" s="4">
        <v>-2.5954000000000001E-2</v>
      </c>
      <c r="DH267" s="4">
        <v>0.42768200000000001</v>
      </c>
      <c r="DI267" s="4">
        <v>0.224574</v>
      </c>
      <c r="DJ267" s="4">
        <v>-8.633E-3</v>
      </c>
      <c r="DK267" s="4">
        <v>0.14225499999999999</v>
      </c>
      <c r="DL267" s="4">
        <v>1</v>
      </c>
      <c r="DM267" s="4">
        <v>4</v>
      </c>
      <c r="DN267" s="4">
        <v>6</v>
      </c>
      <c r="DO267" s="4">
        <v>9</v>
      </c>
      <c r="DP267" s="4">
        <v>10</v>
      </c>
      <c r="DQ267" s="4">
        <v>11</v>
      </c>
      <c r="DR267" s="4">
        <v>12</v>
      </c>
      <c r="DS267" s="4">
        <v>13</v>
      </c>
      <c r="DT267" s="4">
        <v>15</v>
      </c>
      <c r="DU267" s="4">
        <v>16</v>
      </c>
      <c r="DV267" s="4">
        <v>17</v>
      </c>
      <c r="DW267" s="4">
        <v>18</v>
      </c>
      <c r="DX267" s="4">
        <v>19</v>
      </c>
      <c r="DY267" s="4">
        <v>22</v>
      </c>
      <c r="DZ267" s="4">
        <v>28.799987999999999</v>
      </c>
      <c r="EA267" s="4">
        <v>96.102314000000007</v>
      </c>
      <c r="EB267" s="4">
        <v>96.102314000000007</v>
      </c>
      <c r="EC267" s="4">
        <v>96.102314000000007</v>
      </c>
      <c r="ED267" s="4">
        <v>789</v>
      </c>
      <c r="EE267" s="4">
        <v>789</v>
      </c>
      <c r="EF267" s="4">
        <v>63.702801000000001</v>
      </c>
      <c r="EG267" s="4">
        <v>29.232642999999999</v>
      </c>
      <c r="EH267" s="4">
        <v>63.702801000000001</v>
      </c>
      <c r="EI267" s="4">
        <v>29.232642999999999</v>
      </c>
      <c r="EJ267" s="4">
        <v>63.702801000000001</v>
      </c>
      <c r="EK267" s="4">
        <v>29.232642999999999</v>
      </c>
      <c r="EL267" s="4">
        <v>523</v>
      </c>
      <c r="EM267" s="4">
        <v>240</v>
      </c>
      <c r="EN267" s="4">
        <v>523</v>
      </c>
      <c r="EO267" s="4">
        <v>240</v>
      </c>
      <c r="EP267" s="4">
        <v>821</v>
      </c>
      <c r="EQ267" s="4">
        <v>821</v>
      </c>
      <c r="ER267" s="4">
        <v>72.512186</v>
      </c>
    </row>
    <row r="268" spans="1:148" x14ac:dyDescent="0.2">
      <c r="A268" s="1">
        <v>2022</v>
      </c>
      <c r="B268" s="1" t="str">
        <f t="shared" si="8"/>
        <v>NE</v>
      </c>
      <c r="C268" s="1" t="s">
        <v>1341</v>
      </c>
      <c r="D268" s="1" t="s">
        <v>1341</v>
      </c>
      <c r="E268" s="1">
        <v>26524</v>
      </c>
      <c r="F268" s="1" t="s">
        <v>2146</v>
      </c>
      <c r="G268" s="1" t="s">
        <v>1035</v>
      </c>
      <c r="H268" s="1" t="s">
        <v>1342</v>
      </c>
      <c r="I268" s="1">
        <v>30.63</v>
      </c>
      <c r="J268" s="1">
        <v>30.63</v>
      </c>
      <c r="K268" s="1" t="s">
        <v>1022</v>
      </c>
      <c r="L268" s="1">
        <v>1</v>
      </c>
      <c r="M268" s="1">
        <v>2018</v>
      </c>
      <c r="N268" s="1">
        <v>4</v>
      </c>
      <c r="O268" s="1">
        <v>1</v>
      </c>
      <c r="P268" s="1" t="str">
        <f t="shared" si="9"/>
        <v>Alto fuste</v>
      </c>
      <c r="Q268" s="2">
        <v>43306</v>
      </c>
      <c r="R268" s="1" t="s">
        <v>169</v>
      </c>
      <c r="S268" s="1" t="s">
        <v>442</v>
      </c>
      <c r="T268" s="1" t="s">
        <v>2268</v>
      </c>
      <c r="U268" s="1" t="s">
        <v>1022</v>
      </c>
      <c r="V268" s="1" t="s">
        <v>152</v>
      </c>
      <c r="W268" s="2">
        <v>44825</v>
      </c>
      <c r="X268" s="1" t="s">
        <v>1037</v>
      </c>
      <c r="Y268" s="1">
        <v>154.9</v>
      </c>
      <c r="Z268" s="1">
        <v>20.7</v>
      </c>
      <c r="AA268" s="1">
        <v>9</v>
      </c>
      <c r="AB268" s="1">
        <v>15.9</v>
      </c>
      <c r="AC268" s="1">
        <v>2</v>
      </c>
      <c r="AD268" s="3">
        <v>329.13</v>
      </c>
      <c r="AE268" s="3">
        <v>324.87983488891899</v>
      </c>
      <c r="AF268" s="2">
        <v>44825</v>
      </c>
      <c r="AG268" s="1">
        <v>50</v>
      </c>
      <c r="AH268" s="3">
        <v>4.1587953456536599</v>
      </c>
      <c r="AI268" s="4">
        <v>22.838202551463901</v>
      </c>
      <c r="AJ268" s="4">
        <v>15.2967741935484</v>
      </c>
      <c r="AK268" s="4">
        <v>18.250894917523301</v>
      </c>
      <c r="AL268" s="1">
        <v>31</v>
      </c>
      <c r="AM268" s="5">
        <v>954.19895822710396</v>
      </c>
      <c r="AN268" s="4">
        <v>187.05589185574499</v>
      </c>
      <c r="AO268" s="4">
        <v>0.196034475035787</v>
      </c>
      <c r="AP268" s="1" t="s">
        <v>442</v>
      </c>
      <c r="AQ268" s="1" t="s">
        <v>156</v>
      </c>
      <c r="AR268" s="1" t="s">
        <v>705</v>
      </c>
      <c r="AS268" s="1">
        <v>9</v>
      </c>
      <c r="AT268" s="4">
        <v>0.85877906240439361</v>
      </c>
      <c r="AU268" s="1" t="s">
        <v>1343</v>
      </c>
      <c r="AV268" s="1" t="s">
        <v>1344</v>
      </c>
      <c r="AW268" s="1">
        <v>7021</v>
      </c>
      <c r="AX268" s="1">
        <v>2784</v>
      </c>
      <c r="AY268" s="1">
        <v>3475</v>
      </c>
      <c r="AZ268" s="1">
        <v>712</v>
      </c>
      <c r="BA268" s="1">
        <v>50</v>
      </c>
      <c r="BB268" s="1">
        <v>0</v>
      </c>
      <c r="BC268" s="1">
        <v>0</v>
      </c>
      <c r="BD268" s="1">
        <v>0</v>
      </c>
      <c r="BE268" s="1">
        <v>0</v>
      </c>
      <c r="BF268" s="1">
        <v>0</v>
      </c>
      <c r="BG268" s="1">
        <v>0</v>
      </c>
      <c r="BH268" s="4">
        <v>-1.1619999999999999</v>
      </c>
      <c r="BI268" s="4">
        <v>27.186001000000001</v>
      </c>
      <c r="BJ268" s="4">
        <v>7.5888350000000004</v>
      </c>
      <c r="BK268" s="4">
        <v>-0.26206299999999999</v>
      </c>
      <c r="BL268" s="4">
        <v>9.9550640000000001</v>
      </c>
      <c r="BM268" s="4">
        <v>99.103305000000006</v>
      </c>
      <c r="BN268" s="4">
        <v>1.311804</v>
      </c>
      <c r="BO268" s="4">
        <v>17.847000000000001</v>
      </c>
      <c r="BP268" s="4">
        <v>0.82426200000000005</v>
      </c>
      <c r="BQ268" s="4">
        <v>1.91805</v>
      </c>
      <c r="BR268" s="4">
        <v>8.9086459999999992</v>
      </c>
      <c r="BS268" s="4">
        <v>0.501</v>
      </c>
      <c r="BT268" s="4">
        <v>0.55706299999999997</v>
      </c>
      <c r="BU268" s="4">
        <v>7.5888350000000004</v>
      </c>
      <c r="BV268" s="4">
        <v>5.0930039999999996</v>
      </c>
      <c r="BW268" s="4">
        <v>1.797428</v>
      </c>
      <c r="BX268" s="4">
        <v>-0.213477</v>
      </c>
      <c r="BY268" s="4">
        <v>0.67111799999999999</v>
      </c>
      <c r="BZ268" s="4">
        <v>0.35292099999999998</v>
      </c>
      <c r="CA268" s="4">
        <v>-4.1916000000000002E-2</v>
      </c>
      <c r="CB268" s="4">
        <v>-0.36699999999999999</v>
      </c>
      <c r="CC268" s="4">
        <v>-0.18</v>
      </c>
      <c r="CD268" s="4">
        <v>-0.111</v>
      </c>
      <c r="CE268" s="4">
        <v>-2.8000000000000001E-2</v>
      </c>
      <c r="CF268" s="4">
        <v>8.0000000000000002E-3</v>
      </c>
      <c r="CG268" s="4">
        <v>4.4999999999999998E-2</v>
      </c>
      <c r="CH268" s="4">
        <v>0.123</v>
      </c>
      <c r="CI268" s="4">
        <v>0.28899999999999998</v>
      </c>
      <c r="CJ268" s="4">
        <v>4.6550000000000002</v>
      </c>
      <c r="CK268" s="4">
        <v>12.225</v>
      </c>
      <c r="CL268" s="4">
        <v>17.855</v>
      </c>
      <c r="CM268" s="4">
        <v>21.908000999999999</v>
      </c>
      <c r="CN268" s="4">
        <v>24.163</v>
      </c>
      <c r="CO268" s="4">
        <v>25.010999999999999</v>
      </c>
      <c r="CP268" s="4">
        <v>26.106998000000001</v>
      </c>
      <c r="CQ268" s="4">
        <v>0.308693</v>
      </c>
      <c r="CR268" s="4">
        <v>12.517173</v>
      </c>
      <c r="CS268" s="4">
        <v>15.191674000000001</v>
      </c>
      <c r="CT268" s="1">
        <v>1</v>
      </c>
      <c r="CU268" s="1">
        <v>59</v>
      </c>
      <c r="CV268" s="4">
        <v>16.728670999999999</v>
      </c>
      <c r="CW268" s="4">
        <v>1</v>
      </c>
      <c r="CX268" s="4">
        <v>13.012421</v>
      </c>
      <c r="CY268" s="4">
        <v>169.323094</v>
      </c>
      <c r="CZ268" s="4">
        <v>0.77785099999999996</v>
      </c>
      <c r="DA268" s="4">
        <v>20</v>
      </c>
      <c r="DB268" s="4">
        <v>0.71416900000000005</v>
      </c>
      <c r="DC268" s="4">
        <v>2.5506799999999998</v>
      </c>
      <c r="DD268" s="4">
        <v>10.947479</v>
      </c>
      <c r="DE268" s="4">
        <v>16.728670999999999</v>
      </c>
      <c r="DF268" s="4">
        <v>7.2697909999999997</v>
      </c>
      <c r="DG268" s="4">
        <v>1.383904</v>
      </c>
      <c r="DH268" s="4">
        <v>0.28384700000000002</v>
      </c>
      <c r="DI268" s="4">
        <v>0.43457099999999999</v>
      </c>
      <c r="DJ268" s="4">
        <v>0.19036400000000001</v>
      </c>
      <c r="DK268" s="4">
        <v>3.9045000000000003E-2</v>
      </c>
      <c r="DL268" s="4">
        <v>1</v>
      </c>
      <c r="DM268" s="4">
        <v>1</v>
      </c>
      <c r="DN268" s="4">
        <v>2</v>
      </c>
      <c r="DO268" s="4">
        <v>4</v>
      </c>
      <c r="DP268" s="4">
        <v>6</v>
      </c>
      <c r="DQ268" s="4">
        <v>7</v>
      </c>
      <c r="DR268" s="4">
        <v>10</v>
      </c>
      <c r="DS268" s="4">
        <v>14</v>
      </c>
      <c r="DT268" s="4">
        <v>18</v>
      </c>
      <c r="DU268" s="4">
        <v>23</v>
      </c>
      <c r="DV268" s="4">
        <v>26</v>
      </c>
      <c r="DW268" s="4">
        <v>29</v>
      </c>
      <c r="DX268" s="4">
        <v>37</v>
      </c>
      <c r="DY268" s="4">
        <v>41</v>
      </c>
      <c r="DZ268" s="4">
        <v>49</v>
      </c>
      <c r="EA268" s="4">
        <v>77.693966000000003</v>
      </c>
      <c r="EB268" s="4">
        <v>43.469591000000001</v>
      </c>
      <c r="EC268" s="4">
        <v>109.626437</v>
      </c>
      <c r="ED268" s="4">
        <v>2163</v>
      </c>
      <c r="EE268" s="4">
        <v>3052</v>
      </c>
      <c r="EF268" s="4">
        <v>73.275862000000004</v>
      </c>
      <c r="EG268" s="4">
        <v>100</v>
      </c>
      <c r="EH268" s="4">
        <v>33.969520000000003</v>
      </c>
      <c r="EI268" s="4">
        <v>97.735365000000002</v>
      </c>
      <c r="EJ268" s="4">
        <v>85.668103000000002</v>
      </c>
      <c r="EK268" s="4">
        <v>246.479885</v>
      </c>
      <c r="EL268" s="4">
        <v>2040</v>
      </c>
      <c r="EM268" s="4">
        <v>2784</v>
      </c>
      <c r="EN268" s="4">
        <v>2385</v>
      </c>
      <c r="EO268" s="4">
        <v>6862</v>
      </c>
      <c r="EP268" s="4">
        <v>2784</v>
      </c>
      <c r="EQ268" s="4">
        <v>7021</v>
      </c>
      <c r="ER268" s="4">
        <v>28.155328000000001</v>
      </c>
    </row>
    <row r="269" spans="1:148" x14ac:dyDescent="0.2">
      <c r="A269" s="1">
        <v>2022</v>
      </c>
      <c r="B269" s="1" t="str">
        <f t="shared" si="8"/>
        <v>NE</v>
      </c>
      <c r="C269" s="1" t="s">
        <v>1345</v>
      </c>
      <c r="D269" s="1" t="s">
        <v>1345</v>
      </c>
      <c r="E269" s="1">
        <v>26525</v>
      </c>
      <c r="F269" s="1" t="s">
        <v>2146</v>
      </c>
      <c r="G269" s="1" t="s">
        <v>1035</v>
      </c>
      <c r="H269" s="1" t="s">
        <v>1342</v>
      </c>
      <c r="I269" s="1">
        <v>30.63</v>
      </c>
      <c r="J269" s="1">
        <v>30.63</v>
      </c>
      <c r="K269" s="1" t="s">
        <v>1022</v>
      </c>
      <c r="L269" s="1">
        <v>1</v>
      </c>
      <c r="M269" s="1">
        <v>2018</v>
      </c>
      <c r="N269" s="1">
        <v>4</v>
      </c>
      <c r="O269" s="1">
        <v>1</v>
      </c>
      <c r="P269" s="1" t="str">
        <f t="shared" si="9"/>
        <v>Alto fuste</v>
      </c>
      <c r="Q269" s="2">
        <v>43306</v>
      </c>
      <c r="R269" s="1" t="s">
        <v>169</v>
      </c>
      <c r="S269" s="1" t="s">
        <v>442</v>
      </c>
      <c r="T269" s="1" t="s">
        <v>2268</v>
      </c>
      <c r="U269" s="1" t="s">
        <v>1022</v>
      </c>
      <c r="V269" s="1" t="s">
        <v>152</v>
      </c>
      <c r="W269" s="2">
        <v>44825</v>
      </c>
      <c r="X269" s="1" t="s">
        <v>1037</v>
      </c>
      <c r="Y269" s="1">
        <v>154.9</v>
      </c>
      <c r="Z269" s="1">
        <v>21.3</v>
      </c>
      <c r="AA269" s="1">
        <v>19</v>
      </c>
      <c r="AB269" s="1">
        <v>15.7</v>
      </c>
      <c r="AC269" s="1">
        <v>6</v>
      </c>
      <c r="AD269" s="3">
        <v>334.41</v>
      </c>
      <c r="AE269" s="3">
        <v>314.458740213878</v>
      </c>
      <c r="AF269" s="2">
        <v>44825</v>
      </c>
      <c r="AG269" s="1">
        <v>50</v>
      </c>
      <c r="AH269" s="3">
        <v>4.1587953456536599</v>
      </c>
      <c r="AI269" s="4">
        <v>22.778264509736601</v>
      </c>
      <c r="AJ269" s="4">
        <v>15.2269230769231</v>
      </c>
      <c r="AK269" s="4">
        <v>15.3812127368459</v>
      </c>
      <c r="AL269" s="1">
        <v>26</v>
      </c>
      <c r="AM269" s="5">
        <v>826.81753359172501</v>
      </c>
      <c r="AN269" s="4">
        <v>154.39318964848499</v>
      </c>
      <c r="AO269" s="4">
        <v>0.18673187659409701</v>
      </c>
      <c r="AP269" s="1" t="s">
        <v>442</v>
      </c>
      <c r="AQ269" s="1" t="s">
        <v>156</v>
      </c>
      <c r="AR269" s="1" t="s">
        <v>705</v>
      </c>
      <c r="AS269" s="1">
        <v>9</v>
      </c>
      <c r="AT269" s="4">
        <v>0.74413578023255256</v>
      </c>
      <c r="AU269" s="1" t="s">
        <v>1346</v>
      </c>
      <c r="AV269" s="1" t="s">
        <v>1347</v>
      </c>
      <c r="AW269" s="1">
        <v>5133</v>
      </c>
      <c r="AX269" s="1">
        <v>2792</v>
      </c>
      <c r="AY269" s="1">
        <v>1960</v>
      </c>
      <c r="AZ269" s="1">
        <v>361</v>
      </c>
      <c r="BA269" s="1">
        <v>20</v>
      </c>
      <c r="BB269" s="1">
        <v>0</v>
      </c>
      <c r="BC269" s="1">
        <v>0</v>
      </c>
      <c r="BD269" s="1">
        <v>0</v>
      </c>
      <c r="BE269" s="1">
        <v>0</v>
      </c>
      <c r="BF269" s="1">
        <v>0</v>
      </c>
      <c r="BG269" s="1">
        <v>0</v>
      </c>
      <c r="BH269" s="4">
        <v>-0.75700000000000001</v>
      </c>
      <c r="BI269" s="4">
        <v>26.01</v>
      </c>
      <c r="BJ269" s="4">
        <v>10.079510000000001</v>
      </c>
      <c r="BK269" s="4">
        <v>-0.33212700000000001</v>
      </c>
      <c r="BL269" s="4">
        <v>10.318752999999999</v>
      </c>
      <c r="BM269" s="4">
        <v>106.47665600000001</v>
      </c>
      <c r="BN269" s="4">
        <v>1.0237350000000001</v>
      </c>
      <c r="BO269" s="4">
        <v>21.947998999999999</v>
      </c>
      <c r="BP269" s="4">
        <v>0.29206399999999999</v>
      </c>
      <c r="BQ269" s="4">
        <v>1.235339</v>
      </c>
      <c r="BR269" s="4">
        <v>9.8587009999999999</v>
      </c>
      <c r="BS269" s="4">
        <v>5.008</v>
      </c>
      <c r="BT269" s="4">
        <v>5.218127</v>
      </c>
      <c r="BU269" s="4">
        <v>10.079510000000001</v>
      </c>
      <c r="BV269" s="4">
        <v>5.5597200000000004</v>
      </c>
      <c r="BW269" s="4">
        <v>0.73330300000000004</v>
      </c>
      <c r="BX269" s="4">
        <v>-0.96345999999999998</v>
      </c>
      <c r="BY269" s="4">
        <v>0.55158600000000002</v>
      </c>
      <c r="BZ269" s="4">
        <v>0.13189600000000001</v>
      </c>
      <c r="CA269" s="4">
        <v>-0.173293</v>
      </c>
      <c r="CB269" s="4">
        <v>-0.34267999999999998</v>
      </c>
      <c r="CC269" s="4">
        <v>-0.16900000000000001</v>
      </c>
      <c r="CD269" s="4">
        <v>-7.2999999999999995E-2</v>
      </c>
      <c r="CE269" s="4">
        <v>5.2999999999999999E-2</v>
      </c>
      <c r="CF269" s="4">
        <v>0.11600000000000001</v>
      </c>
      <c r="CG269" s="4">
        <v>0.20899999999999999</v>
      </c>
      <c r="CH269" s="4">
        <v>0.85960000000000003</v>
      </c>
      <c r="CI269" s="4">
        <v>4.8860000000000001</v>
      </c>
      <c r="CJ269" s="4">
        <v>15.225199</v>
      </c>
      <c r="CK269" s="4">
        <v>21.577998999999998</v>
      </c>
      <c r="CL269" s="4">
        <v>22.063998999999999</v>
      </c>
      <c r="CM269" s="4">
        <v>22.494599999999998</v>
      </c>
      <c r="CN269" s="4">
        <v>23.339797999999998</v>
      </c>
      <c r="CO269" s="4">
        <v>23.905401000000001</v>
      </c>
      <c r="CP269" s="4">
        <v>24.767361000000001</v>
      </c>
      <c r="CQ269" s="4">
        <v>0.40484599999999998</v>
      </c>
      <c r="CR269" s="4">
        <v>14.424023</v>
      </c>
      <c r="CS269" s="4">
        <v>16.587464000000001</v>
      </c>
      <c r="CT269" s="1">
        <v>1</v>
      </c>
      <c r="CU269" s="1">
        <v>58</v>
      </c>
      <c r="CV269" s="4">
        <v>15.160920000000001</v>
      </c>
      <c r="CW269" s="4">
        <v>1</v>
      </c>
      <c r="CX269" s="4">
        <v>10.992549</v>
      </c>
      <c r="CY269" s="4">
        <v>120.836142</v>
      </c>
      <c r="CZ269" s="4">
        <v>0.72505799999999998</v>
      </c>
      <c r="DA269" s="4">
        <v>16</v>
      </c>
      <c r="DB269" s="4">
        <v>0.82641399999999998</v>
      </c>
      <c r="DC269" s="4">
        <v>3.2309739999999998</v>
      </c>
      <c r="DD269" s="4">
        <v>8.8823139999999992</v>
      </c>
      <c r="DE269" s="4">
        <v>15.160920000000001</v>
      </c>
      <c r="DF269" s="4">
        <v>6.0990609999999998</v>
      </c>
      <c r="DG269" s="4">
        <v>1.06941</v>
      </c>
      <c r="DH269" s="4">
        <v>0.514903</v>
      </c>
      <c r="DI269" s="4">
        <v>0.40228799999999998</v>
      </c>
      <c r="DJ269" s="4">
        <v>0.17534</v>
      </c>
      <c r="DK269" s="4">
        <v>8.4422999999999998E-2</v>
      </c>
      <c r="DL269" s="4">
        <v>1</v>
      </c>
      <c r="DM269" s="4">
        <v>1</v>
      </c>
      <c r="DN269" s="4">
        <v>2</v>
      </c>
      <c r="DO269" s="4">
        <v>5</v>
      </c>
      <c r="DP269" s="4">
        <v>6</v>
      </c>
      <c r="DQ269" s="4">
        <v>7.5999759999999998</v>
      </c>
      <c r="DR269" s="4">
        <v>10</v>
      </c>
      <c r="DS269" s="4">
        <v>13</v>
      </c>
      <c r="DT269" s="4">
        <v>16</v>
      </c>
      <c r="DU269" s="4">
        <v>20</v>
      </c>
      <c r="DV269" s="4">
        <v>22</v>
      </c>
      <c r="DW269" s="4">
        <v>24</v>
      </c>
      <c r="DX269" s="4">
        <v>31</v>
      </c>
      <c r="DY269" s="4">
        <v>37</v>
      </c>
      <c r="DZ269" s="4">
        <v>46</v>
      </c>
      <c r="EA269" s="4">
        <v>85.100286999999994</v>
      </c>
      <c r="EB269" s="4">
        <v>56.516657000000002</v>
      </c>
      <c r="EC269" s="4">
        <v>103.904011</v>
      </c>
      <c r="ED269" s="4">
        <v>2376</v>
      </c>
      <c r="EE269" s="4">
        <v>2901</v>
      </c>
      <c r="EF269" s="4">
        <v>74.749284000000003</v>
      </c>
      <c r="EG269" s="4">
        <v>100</v>
      </c>
      <c r="EH269" s="4">
        <v>42.548217000000001</v>
      </c>
      <c r="EI269" s="4">
        <v>98.831092999999996</v>
      </c>
      <c r="EJ269" s="4">
        <v>78.223495999999997</v>
      </c>
      <c r="EK269" s="4">
        <v>181.69770800000001</v>
      </c>
      <c r="EL269" s="4">
        <v>2087</v>
      </c>
      <c r="EM269" s="4">
        <v>2792</v>
      </c>
      <c r="EN269" s="4">
        <v>2184</v>
      </c>
      <c r="EO269" s="4">
        <v>5073</v>
      </c>
      <c r="EP269" s="4">
        <v>2792</v>
      </c>
      <c r="EQ269" s="4">
        <v>5133</v>
      </c>
      <c r="ER269" s="4">
        <v>39.767415</v>
      </c>
    </row>
    <row r="270" spans="1:148" x14ac:dyDescent="0.2">
      <c r="A270" s="1">
        <v>2022</v>
      </c>
      <c r="B270" s="1" t="str">
        <f t="shared" si="8"/>
        <v>GN</v>
      </c>
      <c r="C270" s="1" t="s">
        <v>1348</v>
      </c>
      <c r="D270" s="1" t="s">
        <v>1348</v>
      </c>
      <c r="E270" s="1">
        <v>26532</v>
      </c>
      <c r="F270" s="1" t="s">
        <v>2140</v>
      </c>
      <c r="G270" s="1" t="s">
        <v>1280</v>
      </c>
      <c r="H270" s="1" t="s">
        <v>1349</v>
      </c>
      <c r="I270" s="1">
        <v>57.57</v>
      </c>
      <c r="J270" s="1">
        <v>57.57</v>
      </c>
      <c r="K270" s="1" t="s">
        <v>192</v>
      </c>
      <c r="L270" s="1">
        <v>1</v>
      </c>
      <c r="M270" s="1">
        <v>2018</v>
      </c>
      <c r="N270" s="1">
        <v>2</v>
      </c>
      <c r="O270" s="1">
        <v>2</v>
      </c>
      <c r="P270" s="1" t="str">
        <f t="shared" si="9"/>
        <v>Talhadia</v>
      </c>
      <c r="Q270" s="2">
        <v>43440</v>
      </c>
      <c r="R270" s="1" t="s">
        <v>169</v>
      </c>
      <c r="S270" s="1" t="s">
        <v>348</v>
      </c>
      <c r="T270" s="1" t="s">
        <v>2268</v>
      </c>
      <c r="U270" s="1" t="s">
        <v>192</v>
      </c>
      <c r="V270" s="1" t="s">
        <v>152</v>
      </c>
      <c r="W270" s="2">
        <v>44642</v>
      </c>
      <c r="X270" s="1" t="s">
        <v>1282</v>
      </c>
      <c r="Y270" s="1">
        <v>431.88</v>
      </c>
      <c r="Z270" s="1">
        <v>19.7</v>
      </c>
      <c r="AA270" s="1">
        <v>7</v>
      </c>
      <c r="AB270" s="1">
        <v>14.8</v>
      </c>
      <c r="AC270" s="1">
        <v>1</v>
      </c>
      <c r="AD270" s="3">
        <v>291.56</v>
      </c>
      <c r="AE270" s="3">
        <v>289.34268096793301</v>
      </c>
      <c r="AF270" s="2">
        <v>44642</v>
      </c>
      <c r="AG270" s="1">
        <v>39</v>
      </c>
      <c r="AH270" s="3">
        <v>3.29089664613279</v>
      </c>
      <c r="AI270" s="4">
        <v>20.078022821958999</v>
      </c>
      <c r="AJ270" s="4">
        <v>13.8185185185185</v>
      </c>
      <c r="AK270" s="4">
        <v>14.612684134029699</v>
      </c>
      <c r="AL270" s="1">
        <v>27</v>
      </c>
      <c r="AM270" s="5">
        <v>933.14957577905102</v>
      </c>
      <c r="AN270" s="4">
        <v>133.95743978279</v>
      </c>
      <c r="AO270" s="4">
        <v>0.14355409171241901</v>
      </c>
      <c r="AP270" s="1" t="s">
        <v>348</v>
      </c>
      <c r="AQ270" s="1" t="s">
        <v>254</v>
      </c>
      <c r="AR270" s="1" t="s">
        <v>1160</v>
      </c>
      <c r="AS270" s="1">
        <v>9</v>
      </c>
      <c r="AT270" s="4">
        <v>0.83983461820114591</v>
      </c>
      <c r="AU270" s="1" t="s">
        <v>1350</v>
      </c>
      <c r="AV270" s="1" t="s">
        <v>1351</v>
      </c>
      <c r="AW270" s="1">
        <v>1569</v>
      </c>
      <c r="AX270" s="1">
        <v>1569</v>
      </c>
      <c r="AY270" s="1">
        <v>0</v>
      </c>
      <c r="AZ270" s="1">
        <v>0</v>
      </c>
      <c r="BA270" s="1">
        <v>0</v>
      </c>
      <c r="BB270" s="1">
        <v>0</v>
      </c>
      <c r="BC270" s="1">
        <v>0</v>
      </c>
      <c r="BD270" s="1">
        <v>0</v>
      </c>
      <c r="BE270" s="1">
        <v>0</v>
      </c>
      <c r="BF270" s="1">
        <v>0</v>
      </c>
      <c r="BG270" s="1">
        <v>0</v>
      </c>
      <c r="BH270" s="4">
        <v>-0.20899999999999999</v>
      </c>
      <c r="BI270" s="4">
        <v>23.992000999999998</v>
      </c>
      <c r="BJ270" s="4">
        <v>17.192112000000002</v>
      </c>
      <c r="BK270" s="4">
        <v>-0.20899999999999999</v>
      </c>
      <c r="BL270" s="4">
        <v>7.411937</v>
      </c>
      <c r="BM270" s="4">
        <v>54.936816999999998</v>
      </c>
      <c r="BN270" s="4">
        <v>0.43112400000000001</v>
      </c>
      <c r="BO270" s="4">
        <v>4.4780009999999999</v>
      </c>
      <c r="BP270" s="4">
        <v>-1.6413850000000001</v>
      </c>
      <c r="BQ270" s="4">
        <v>4.1179350000000001</v>
      </c>
      <c r="BR270" s="4">
        <v>5.6128650000000002</v>
      </c>
      <c r="BS270" s="4">
        <v>1.330999</v>
      </c>
      <c r="BT270" s="4">
        <v>20.629000000000001</v>
      </c>
      <c r="BU270" s="4">
        <v>17.192112000000002</v>
      </c>
      <c r="BV270" s="4">
        <v>3.4160330000000001</v>
      </c>
      <c r="BW270" s="4">
        <v>-1.623092</v>
      </c>
      <c r="BX270" s="4">
        <v>0.69865200000000005</v>
      </c>
      <c r="BY270" s="4">
        <v>0.19869800000000001</v>
      </c>
      <c r="BZ270" s="4">
        <v>-0.47513899999999998</v>
      </c>
      <c r="CA270" s="4">
        <v>0.20452100000000001</v>
      </c>
      <c r="CB270" s="4">
        <v>-7.9920000000000005E-2</v>
      </c>
      <c r="CC270" s="4">
        <v>0.02</v>
      </c>
      <c r="CD270" s="4">
        <v>9.4600000000000004E-2</v>
      </c>
      <c r="CE270" s="4">
        <v>14.025001</v>
      </c>
      <c r="CF270" s="4">
        <v>17.038</v>
      </c>
      <c r="CG270" s="4">
        <v>19.167998999999998</v>
      </c>
      <c r="CH270" s="4">
        <v>19.919198999999999</v>
      </c>
      <c r="CI270" s="4">
        <v>20.420000000000002</v>
      </c>
      <c r="CJ270" s="4">
        <v>20.864999999999998</v>
      </c>
      <c r="CK270" s="4">
        <v>21.315199</v>
      </c>
      <c r="CL270" s="4">
        <v>21.516000999999999</v>
      </c>
      <c r="CM270" s="4">
        <v>21.754801</v>
      </c>
      <c r="CN270" s="4">
        <v>22.255998999999999</v>
      </c>
      <c r="CO270" s="4">
        <v>22.673601000000001</v>
      </c>
      <c r="CP270" s="4">
        <v>23.390478000000002</v>
      </c>
      <c r="CQ270" s="4">
        <v>0.719024</v>
      </c>
      <c r="CR270" s="4">
        <v>18.720858</v>
      </c>
      <c r="CS270" s="4">
        <v>19.350068</v>
      </c>
      <c r="CT270" s="1">
        <v>1</v>
      </c>
      <c r="CU270" s="1">
        <v>56</v>
      </c>
      <c r="CV270" s="4">
        <v>18.033142000000002</v>
      </c>
      <c r="CW270" s="4">
        <v>18.460317</v>
      </c>
      <c r="CX270" s="4">
        <v>10.607271000000001</v>
      </c>
      <c r="CY270" s="4">
        <v>112.514207</v>
      </c>
      <c r="CZ270" s="4">
        <v>0.58821000000000001</v>
      </c>
      <c r="DA270" s="4">
        <v>11</v>
      </c>
      <c r="DB270" s="4">
        <v>0.74301499999999998</v>
      </c>
      <c r="DC270" s="4">
        <v>3.3702529999999999</v>
      </c>
      <c r="DD270" s="4">
        <v>8.0084920000000004</v>
      </c>
      <c r="DE270" s="4">
        <v>18.033142000000002</v>
      </c>
      <c r="DF270" s="4">
        <v>5.8260509999999996</v>
      </c>
      <c r="DG270" s="4">
        <v>0.77212999999999998</v>
      </c>
      <c r="DH270" s="4">
        <v>0.96967000000000003</v>
      </c>
      <c r="DI270" s="4">
        <v>0.323075</v>
      </c>
      <c r="DJ270" s="4">
        <v>0.13253100000000001</v>
      </c>
      <c r="DK270" s="4">
        <v>0.166437</v>
      </c>
      <c r="DL270" s="4">
        <v>1</v>
      </c>
      <c r="DM270" s="4">
        <v>2</v>
      </c>
      <c r="DN270" s="4">
        <v>5</v>
      </c>
      <c r="DO270" s="4">
        <v>9</v>
      </c>
      <c r="DP270" s="4">
        <v>11</v>
      </c>
      <c r="DQ270" s="4">
        <v>13</v>
      </c>
      <c r="DR270" s="4">
        <v>15</v>
      </c>
      <c r="DS270" s="4">
        <v>17</v>
      </c>
      <c r="DT270" s="4">
        <v>19</v>
      </c>
      <c r="DU270" s="4">
        <v>21</v>
      </c>
      <c r="DV270" s="4">
        <v>22</v>
      </c>
      <c r="DW270" s="4">
        <v>24</v>
      </c>
      <c r="DX270" s="4">
        <v>35</v>
      </c>
      <c r="DY270" s="4">
        <v>40</v>
      </c>
      <c r="DZ270" s="4">
        <v>46</v>
      </c>
      <c r="EA270" s="4">
        <v>86.042064999999994</v>
      </c>
      <c r="EB270" s="4">
        <v>86.042064999999994</v>
      </c>
      <c r="EC270" s="4">
        <v>86.042064999999994</v>
      </c>
      <c r="ED270" s="4">
        <v>1350</v>
      </c>
      <c r="EE270" s="4">
        <v>1350</v>
      </c>
      <c r="EF270" s="4">
        <v>74.633525000000006</v>
      </c>
      <c r="EG270" s="4">
        <v>99.936265000000006</v>
      </c>
      <c r="EH270" s="4">
        <v>74.633525000000006</v>
      </c>
      <c r="EI270" s="4">
        <v>99.936265000000006</v>
      </c>
      <c r="EJ270" s="4">
        <v>74.633525000000006</v>
      </c>
      <c r="EK270" s="4">
        <v>99.936265000000006</v>
      </c>
      <c r="EL270" s="4">
        <v>1171</v>
      </c>
      <c r="EM270" s="4">
        <v>1568</v>
      </c>
      <c r="EN270" s="4">
        <v>1171</v>
      </c>
      <c r="EO270" s="4">
        <v>1568</v>
      </c>
      <c r="EP270" s="4">
        <v>1569</v>
      </c>
      <c r="EQ270" s="4">
        <v>1569</v>
      </c>
      <c r="ER270" s="4">
        <v>72.619255999999993</v>
      </c>
    </row>
    <row r="271" spans="1:148" x14ac:dyDescent="0.2">
      <c r="A271" s="1">
        <v>2022</v>
      </c>
      <c r="B271" s="1" t="str">
        <f t="shared" si="8"/>
        <v>GN</v>
      </c>
      <c r="C271" s="1" t="s">
        <v>1352</v>
      </c>
      <c r="D271" s="1" t="s">
        <v>1352</v>
      </c>
      <c r="E271" s="1">
        <v>26533</v>
      </c>
      <c r="F271" s="1" t="s">
        <v>2140</v>
      </c>
      <c r="G271" s="1" t="s">
        <v>1280</v>
      </c>
      <c r="H271" s="1" t="s">
        <v>1349</v>
      </c>
      <c r="I271" s="1">
        <v>57.57</v>
      </c>
      <c r="J271" s="1">
        <v>57.57</v>
      </c>
      <c r="K271" s="1" t="s">
        <v>192</v>
      </c>
      <c r="L271" s="1">
        <v>1</v>
      </c>
      <c r="M271" s="1">
        <v>2018</v>
      </c>
      <c r="N271" s="1">
        <v>2</v>
      </c>
      <c r="O271" s="1">
        <v>2</v>
      </c>
      <c r="P271" s="1" t="str">
        <f t="shared" si="9"/>
        <v>Talhadia</v>
      </c>
      <c r="Q271" s="2">
        <v>43440</v>
      </c>
      <c r="R271" s="1" t="s">
        <v>169</v>
      </c>
      <c r="S271" s="1" t="s">
        <v>348</v>
      </c>
      <c r="T271" s="1" t="s">
        <v>2268</v>
      </c>
      <c r="U271" s="1" t="s">
        <v>192</v>
      </c>
      <c r="V271" s="1" t="s">
        <v>152</v>
      </c>
      <c r="W271" s="2">
        <v>44642</v>
      </c>
      <c r="X271" s="1" t="s">
        <v>1282</v>
      </c>
      <c r="Y271" s="1">
        <v>431.88</v>
      </c>
      <c r="Z271" s="1">
        <v>21.3</v>
      </c>
      <c r="AA271" s="1">
        <v>6</v>
      </c>
      <c r="AB271" s="1">
        <v>15.3</v>
      </c>
      <c r="AC271" s="1">
        <v>4</v>
      </c>
      <c r="AD271" s="3">
        <v>325.89</v>
      </c>
      <c r="AE271" s="3">
        <v>323.31523762320103</v>
      </c>
      <c r="AF271" s="2">
        <v>44642</v>
      </c>
      <c r="AG271" s="1">
        <v>39</v>
      </c>
      <c r="AH271" s="3">
        <v>3.29089664613279</v>
      </c>
      <c r="AI271" s="4">
        <v>20.444982044204</v>
      </c>
      <c r="AJ271" s="4">
        <v>13.3</v>
      </c>
      <c r="AK271" s="4">
        <v>15.3286074725736</v>
      </c>
      <c r="AL271" s="1">
        <v>34</v>
      </c>
      <c r="AM271" s="5">
        <v>1051.6052460114599</v>
      </c>
      <c r="AN271" s="4">
        <v>145.907589826014</v>
      </c>
      <c r="AO271" s="4">
        <v>0.138747491398901</v>
      </c>
      <c r="AP271" s="1" t="s">
        <v>348</v>
      </c>
      <c r="AQ271" s="1" t="s">
        <v>254</v>
      </c>
      <c r="AR271" s="1" t="s">
        <v>1160</v>
      </c>
      <c r="AS271" s="1">
        <v>9</v>
      </c>
      <c r="AT271" s="4">
        <v>0.94644472141031399</v>
      </c>
      <c r="AU271" s="1" t="s">
        <v>1353</v>
      </c>
      <c r="AV271" s="1" t="s">
        <v>1354</v>
      </c>
      <c r="AW271" s="1">
        <v>2021</v>
      </c>
      <c r="AX271" s="1">
        <v>2021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0</v>
      </c>
      <c r="BG271" s="1">
        <v>0</v>
      </c>
      <c r="BH271" s="4">
        <v>-0.11700000000000001</v>
      </c>
      <c r="BI271" s="4">
        <v>24.584999</v>
      </c>
      <c r="BJ271" s="4">
        <v>18.275655</v>
      </c>
      <c r="BK271" s="4">
        <v>21.056142000000001</v>
      </c>
      <c r="BL271" s="4">
        <v>6.6808930000000002</v>
      </c>
      <c r="BM271" s="4">
        <v>44.634331000000003</v>
      </c>
      <c r="BN271" s="4">
        <v>0.365562</v>
      </c>
      <c r="BO271" s="4">
        <v>2.35</v>
      </c>
      <c r="BP271" s="4">
        <v>-1.9803219999999999</v>
      </c>
      <c r="BQ271" s="4">
        <v>5.5243500000000001</v>
      </c>
      <c r="BR271" s="4">
        <v>4.7533649999999996</v>
      </c>
      <c r="BS271" s="4">
        <v>1.028999</v>
      </c>
      <c r="BT271" s="4">
        <v>1.012858</v>
      </c>
      <c r="BU271" s="4">
        <v>18.275655</v>
      </c>
      <c r="BV271" s="4">
        <v>2.9119250000000001</v>
      </c>
      <c r="BW271" s="4">
        <v>-1.537433</v>
      </c>
      <c r="BX271" s="4">
        <v>0.859877</v>
      </c>
      <c r="BY271" s="4">
        <v>0.159334</v>
      </c>
      <c r="BZ271" s="4">
        <v>-0.52797799999999995</v>
      </c>
      <c r="CA271" s="4">
        <v>0.29529499999999997</v>
      </c>
      <c r="CB271" s="4">
        <v>-2.98E-2</v>
      </c>
      <c r="CC271" s="4">
        <v>6.7000000000000004E-2</v>
      </c>
      <c r="CD271" s="4">
        <v>5.9210000000000003</v>
      </c>
      <c r="CE271" s="4">
        <v>17.997</v>
      </c>
      <c r="CF271" s="4">
        <v>19.462</v>
      </c>
      <c r="CG271" s="4">
        <v>20.007000000000001</v>
      </c>
      <c r="CH271" s="4">
        <v>20.506001000000001</v>
      </c>
      <c r="CI271" s="4">
        <v>20.947001</v>
      </c>
      <c r="CJ271" s="4">
        <v>21.268000000000001</v>
      </c>
      <c r="CK271" s="4">
        <v>21.622999</v>
      </c>
      <c r="CL271" s="4">
        <v>21.812000000000001</v>
      </c>
      <c r="CM271" s="4">
        <v>22.044001000000002</v>
      </c>
      <c r="CN271" s="4">
        <v>22.466999000000001</v>
      </c>
      <c r="CO271" s="4">
        <v>22.847000000000001</v>
      </c>
      <c r="CP271" s="4">
        <v>23.562201000000002</v>
      </c>
      <c r="CQ271" s="4">
        <v>0.74458199999999997</v>
      </c>
      <c r="CR271" s="4">
        <v>19.45795</v>
      </c>
      <c r="CS271" s="4">
        <v>19.966422000000001</v>
      </c>
      <c r="CT271" s="1">
        <v>1</v>
      </c>
      <c r="CU271" s="1">
        <v>65</v>
      </c>
      <c r="CV271" s="4">
        <v>16.533894</v>
      </c>
      <c r="CW271" s="4">
        <v>1</v>
      </c>
      <c r="CX271" s="4">
        <v>10.420584</v>
      </c>
      <c r="CY271" s="4">
        <v>108.588578</v>
      </c>
      <c r="CZ271" s="4">
        <v>0.63025600000000004</v>
      </c>
      <c r="DA271" s="4">
        <v>13</v>
      </c>
      <c r="DB271" s="4">
        <v>1.0174369999999999</v>
      </c>
      <c r="DC271" s="4">
        <v>4.7022640000000004</v>
      </c>
      <c r="DD271" s="4">
        <v>7.822654</v>
      </c>
      <c r="DE271" s="4">
        <v>16.533894</v>
      </c>
      <c r="DF271" s="4">
        <v>5.6375640000000002</v>
      </c>
      <c r="DG271" s="4">
        <v>0.76052699999999995</v>
      </c>
      <c r="DH271" s="4">
        <v>0.90946700000000003</v>
      </c>
      <c r="DI271" s="4">
        <v>0.34097</v>
      </c>
      <c r="DJ271" s="4">
        <v>0.134903</v>
      </c>
      <c r="DK271" s="4">
        <v>0.16132299999999999</v>
      </c>
      <c r="DL271" s="4">
        <v>1</v>
      </c>
      <c r="DM271" s="4">
        <v>2</v>
      </c>
      <c r="DN271" s="4">
        <v>4</v>
      </c>
      <c r="DO271" s="4">
        <v>7</v>
      </c>
      <c r="DP271" s="4">
        <v>9</v>
      </c>
      <c r="DQ271" s="4">
        <v>11</v>
      </c>
      <c r="DR271" s="4">
        <v>14</v>
      </c>
      <c r="DS271" s="4">
        <v>16</v>
      </c>
      <c r="DT271" s="4">
        <v>18</v>
      </c>
      <c r="DU271" s="4">
        <v>20</v>
      </c>
      <c r="DV271" s="4">
        <v>22</v>
      </c>
      <c r="DW271" s="4">
        <v>23</v>
      </c>
      <c r="DX271" s="4">
        <v>29</v>
      </c>
      <c r="DY271" s="4">
        <v>37</v>
      </c>
      <c r="DZ271" s="4">
        <v>51.800049000000001</v>
      </c>
      <c r="EA271" s="4">
        <v>90.499752999999998</v>
      </c>
      <c r="EB271" s="4">
        <v>90.499752999999998</v>
      </c>
      <c r="EC271" s="4">
        <v>90.499752999999998</v>
      </c>
      <c r="ED271" s="4">
        <v>1829</v>
      </c>
      <c r="EE271" s="4">
        <v>1829</v>
      </c>
      <c r="EF271" s="4">
        <v>79.811974000000006</v>
      </c>
      <c r="EG271" s="4">
        <v>47.253835000000002</v>
      </c>
      <c r="EH271" s="4">
        <v>79.811974000000006</v>
      </c>
      <c r="EI271" s="4">
        <v>47.253835000000002</v>
      </c>
      <c r="EJ271" s="4">
        <v>79.811974000000006</v>
      </c>
      <c r="EK271" s="4">
        <v>47.253835000000002</v>
      </c>
      <c r="EL271" s="4">
        <v>1613</v>
      </c>
      <c r="EM271" s="4">
        <v>955</v>
      </c>
      <c r="EN271" s="4">
        <v>1613</v>
      </c>
      <c r="EO271" s="4">
        <v>955</v>
      </c>
      <c r="EP271" s="4">
        <v>2021</v>
      </c>
      <c r="EQ271" s="4">
        <v>2021</v>
      </c>
      <c r="ER271" s="4">
        <v>76.562292999999997</v>
      </c>
    </row>
    <row r="272" spans="1:148" x14ac:dyDescent="0.2">
      <c r="A272" s="1">
        <v>2022</v>
      </c>
      <c r="B272" s="1" t="str">
        <f t="shared" si="8"/>
        <v>GN</v>
      </c>
      <c r="C272" s="1" t="s">
        <v>1355</v>
      </c>
      <c r="D272" s="1" t="s">
        <v>1355</v>
      </c>
      <c r="E272" s="1">
        <v>26534</v>
      </c>
      <c r="F272" s="1" t="s">
        <v>2140</v>
      </c>
      <c r="G272" s="1" t="s">
        <v>1280</v>
      </c>
      <c r="H272" s="1" t="s">
        <v>1349</v>
      </c>
      <c r="I272" s="1">
        <v>57.57</v>
      </c>
      <c r="J272" s="1">
        <v>57.57</v>
      </c>
      <c r="K272" s="1" t="s">
        <v>192</v>
      </c>
      <c r="L272" s="1">
        <v>1</v>
      </c>
      <c r="M272" s="1">
        <v>2018</v>
      </c>
      <c r="N272" s="1">
        <v>2</v>
      </c>
      <c r="O272" s="1">
        <v>2</v>
      </c>
      <c r="P272" s="1" t="str">
        <f t="shared" si="9"/>
        <v>Talhadia</v>
      </c>
      <c r="Q272" s="2">
        <v>43440</v>
      </c>
      <c r="R272" s="1" t="s">
        <v>169</v>
      </c>
      <c r="S272" s="1" t="s">
        <v>348</v>
      </c>
      <c r="T272" s="1" t="s">
        <v>2268</v>
      </c>
      <c r="U272" s="1" t="s">
        <v>192</v>
      </c>
      <c r="V272" s="1" t="s">
        <v>152</v>
      </c>
      <c r="W272" s="2">
        <v>44642</v>
      </c>
      <c r="X272" s="1" t="s">
        <v>1282</v>
      </c>
      <c r="Y272" s="1">
        <v>431.88</v>
      </c>
      <c r="Z272" s="1">
        <v>20</v>
      </c>
      <c r="AA272" s="1">
        <v>30</v>
      </c>
      <c r="AB272" s="1">
        <v>15.1</v>
      </c>
      <c r="AC272" s="1">
        <v>2</v>
      </c>
      <c r="AD272" s="3">
        <v>302</v>
      </c>
      <c r="AE272" s="3">
        <v>261.38034904131803</v>
      </c>
      <c r="AF272" s="2">
        <v>44642</v>
      </c>
      <c r="AG272" s="1">
        <v>39</v>
      </c>
      <c r="AH272" s="3">
        <v>3.29089664613279</v>
      </c>
      <c r="AI272" s="4">
        <v>21.428111632284399</v>
      </c>
      <c r="AJ272" s="4">
        <v>13.234615384615401</v>
      </c>
      <c r="AK272" s="4">
        <v>13.9970337962132</v>
      </c>
      <c r="AL272" s="1">
        <v>26</v>
      </c>
      <c r="AM272" s="5">
        <v>994.71900222652096</v>
      </c>
      <c r="AN272" s="4">
        <v>137.035334579877</v>
      </c>
      <c r="AO272" s="4">
        <v>0.13776285993647</v>
      </c>
      <c r="AP272" s="1" t="s">
        <v>348</v>
      </c>
      <c r="AQ272" s="1" t="s">
        <v>254</v>
      </c>
      <c r="AR272" s="1" t="s">
        <v>1160</v>
      </c>
      <c r="AS272" s="1">
        <v>9</v>
      </c>
      <c r="AT272" s="4">
        <v>0.89524710200386892</v>
      </c>
      <c r="AU272" s="1" t="s">
        <v>1356</v>
      </c>
      <c r="AV272" s="1" t="s">
        <v>1357</v>
      </c>
      <c r="AW272" s="1">
        <v>1118</v>
      </c>
      <c r="AX272" s="1">
        <v>1118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0</v>
      </c>
      <c r="BG272" s="1">
        <v>0</v>
      </c>
      <c r="BH272" s="4">
        <v>-2.7E-2</v>
      </c>
      <c r="BI272" s="4">
        <v>23.978000999999999</v>
      </c>
      <c r="BJ272" s="4">
        <v>16.031773000000001</v>
      </c>
      <c r="BK272" s="4">
        <v>-2.7E-2</v>
      </c>
      <c r="BL272" s="4">
        <v>7.110036</v>
      </c>
      <c r="BM272" s="4">
        <v>50.552618000000002</v>
      </c>
      <c r="BN272" s="4">
        <v>0.44349699999999997</v>
      </c>
      <c r="BO272" s="4">
        <v>3.7720009999999999</v>
      </c>
      <c r="BP272" s="4">
        <v>-1.5908310000000001</v>
      </c>
      <c r="BQ272" s="4">
        <v>3.929182</v>
      </c>
      <c r="BR272" s="4">
        <v>5.1824870000000001</v>
      </c>
      <c r="BS272" s="4">
        <v>1.667999</v>
      </c>
      <c r="BT272" s="4">
        <v>18.752500999999999</v>
      </c>
      <c r="BU272" s="4">
        <v>16.031773000000001</v>
      </c>
      <c r="BV272" s="4">
        <v>3.3196620000000001</v>
      </c>
      <c r="BW272" s="4">
        <v>-1.3931659999999999</v>
      </c>
      <c r="BX272" s="4">
        <v>0.66568499999999997</v>
      </c>
      <c r="BY272" s="4">
        <v>0.207068</v>
      </c>
      <c r="BZ272" s="4">
        <v>-0.41967100000000002</v>
      </c>
      <c r="CA272" s="4">
        <v>0.20052800000000001</v>
      </c>
      <c r="CB272" s="4">
        <v>0.11700000000000001</v>
      </c>
      <c r="CC272" s="4">
        <v>0.20369999999999999</v>
      </c>
      <c r="CD272" s="4">
        <v>0.27700000000000002</v>
      </c>
      <c r="CE272" s="4">
        <v>15.4274</v>
      </c>
      <c r="CF272" s="4">
        <v>16.372499000000001</v>
      </c>
      <c r="CG272" s="4">
        <v>17.084098999999998</v>
      </c>
      <c r="CH272" s="4">
        <v>17.916</v>
      </c>
      <c r="CI272" s="4">
        <v>18.7255</v>
      </c>
      <c r="CJ272" s="4">
        <v>19.416201000000001</v>
      </c>
      <c r="CK272" s="4">
        <v>19.901700999999999</v>
      </c>
      <c r="CL272" s="4">
        <v>20.144501000000002</v>
      </c>
      <c r="CM272" s="4">
        <v>20.420400999999998</v>
      </c>
      <c r="CN272" s="4">
        <v>21.265799999999999</v>
      </c>
      <c r="CO272" s="4">
        <v>22.022449000000002</v>
      </c>
      <c r="CP272" s="4">
        <v>22.857469999999999</v>
      </c>
      <c r="CQ272" s="4">
        <v>0.66897600000000002</v>
      </c>
      <c r="CR272" s="4">
        <v>17.536394999999999</v>
      </c>
      <c r="CS272" s="4">
        <v>18.149304999999998</v>
      </c>
      <c r="CT272" s="1">
        <v>1</v>
      </c>
      <c r="CU272" s="1">
        <v>67</v>
      </c>
      <c r="CV272" s="4">
        <v>22.401610000000002</v>
      </c>
      <c r="CW272" s="4">
        <v>23</v>
      </c>
      <c r="CX272" s="4">
        <v>14.409185000000001</v>
      </c>
      <c r="CY272" s="4">
        <v>207.62459899999999</v>
      </c>
      <c r="CZ272" s="4">
        <v>0.64322100000000004</v>
      </c>
      <c r="DA272" s="4">
        <v>15</v>
      </c>
      <c r="DB272" s="4">
        <v>0.85936500000000005</v>
      </c>
      <c r="DC272" s="4">
        <v>3.179033</v>
      </c>
      <c r="DD272" s="4">
        <v>10.940726</v>
      </c>
      <c r="DE272" s="4">
        <v>22.401610000000002</v>
      </c>
      <c r="DF272" s="4">
        <v>7.8713559999999996</v>
      </c>
      <c r="DG272" s="4">
        <v>1.3912279999999999</v>
      </c>
      <c r="DH272" s="4">
        <v>1.1976</v>
      </c>
      <c r="DI272" s="4">
        <v>0.35137499999999999</v>
      </c>
      <c r="DJ272" s="4">
        <v>0.17674599999999999</v>
      </c>
      <c r="DK272" s="4">
        <v>0.152147</v>
      </c>
      <c r="DL272" s="4">
        <v>1</v>
      </c>
      <c r="DM272" s="4">
        <v>3</v>
      </c>
      <c r="DN272" s="4">
        <v>5</v>
      </c>
      <c r="DO272" s="4">
        <v>10</v>
      </c>
      <c r="DP272" s="4">
        <v>13</v>
      </c>
      <c r="DQ272" s="4">
        <v>14</v>
      </c>
      <c r="DR272" s="4">
        <v>18</v>
      </c>
      <c r="DS272" s="4">
        <v>20</v>
      </c>
      <c r="DT272" s="4">
        <v>23</v>
      </c>
      <c r="DU272" s="4">
        <v>26</v>
      </c>
      <c r="DV272" s="4">
        <v>28</v>
      </c>
      <c r="DW272" s="4">
        <v>30</v>
      </c>
      <c r="DX272" s="4">
        <v>48</v>
      </c>
      <c r="DY272" s="4">
        <v>53</v>
      </c>
      <c r="DZ272" s="4">
        <v>59</v>
      </c>
      <c r="EA272" s="4">
        <v>84.347048000000001</v>
      </c>
      <c r="EB272" s="4">
        <v>84.347048000000001</v>
      </c>
      <c r="EC272" s="4">
        <v>84.347048000000001</v>
      </c>
      <c r="ED272" s="4">
        <v>943</v>
      </c>
      <c r="EE272" s="4">
        <v>943</v>
      </c>
      <c r="EF272" s="4">
        <v>77.191412999999997</v>
      </c>
      <c r="EG272" s="4">
        <v>99.910555000000002</v>
      </c>
      <c r="EH272" s="4">
        <v>77.191412999999997</v>
      </c>
      <c r="EI272" s="4">
        <v>99.910555000000002</v>
      </c>
      <c r="EJ272" s="4">
        <v>77.191412999999997</v>
      </c>
      <c r="EK272" s="4">
        <v>99.910555000000002</v>
      </c>
      <c r="EL272" s="4">
        <v>863</v>
      </c>
      <c r="EM272" s="4">
        <v>1117</v>
      </c>
      <c r="EN272" s="4">
        <v>863</v>
      </c>
      <c r="EO272" s="4">
        <v>1117</v>
      </c>
      <c r="EP272" s="4">
        <v>1118</v>
      </c>
      <c r="EQ272" s="4">
        <v>1118</v>
      </c>
      <c r="ER272" s="4">
        <v>69.069117000000006</v>
      </c>
    </row>
    <row r="273" spans="1:148" x14ac:dyDescent="0.2">
      <c r="A273" s="1">
        <v>2022</v>
      </c>
      <c r="B273" s="1" t="str">
        <f t="shared" si="8"/>
        <v>GN</v>
      </c>
      <c r="C273" s="1" t="s">
        <v>1358</v>
      </c>
      <c r="D273" s="1" t="s">
        <v>1358</v>
      </c>
      <c r="E273" s="1">
        <v>26535</v>
      </c>
      <c r="F273" s="1" t="s">
        <v>2140</v>
      </c>
      <c r="G273" s="1" t="s">
        <v>1280</v>
      </c>
      <c r="H273" s="1" t="s">
        <v>1359</v>
      </c>
      <c r="I273" s="1">
        <v>47.83</v>
      </c>
      <c r="J273" s="1">
        <v>47.83</v>
      </c>
      <c r="K273" s="1" t="s">
        <v>192</v>
      </c>
      <c r="L273" s="1">
        <v>1</v>
      </c>
      <c r="M273" s="1">
        <v>2018</v>
      </c>
      <c r="N273" s="1">
        <v>3</v>
      </c>
      <c r="O273" s="1">
        <v>2</v>
      </c>
      <c r="P273" s="1" t="str">
        <f t="shared" si="9"/>
        <v>Talhadia</v>
      </c>
      <c r="Q273" s="2">
        <v>43389</v>
      </c>
      <c r="R273" s="1" t="s">
        <v>169</v>
      </c>
      <c r="S273" s="1" t="s">
        <v>160</v>
      </c>
      <c r="T273" s="1" t="s">
        <v>2268</v>
      </c>
      <c r="U273" s="1" t="s">
        <v>192</v>
      </c>
      <c r="V273" s="1" t="s">
        <v>152</v>
      </c>
      <c r="W273" s="2">
        <v>44642</v>
      </c>
      <c r="X273" s="1" t="s">
        <v>1282</v>
      </c>
      <c r="Y273" s="1">
        <v>431.88</v>
      </c>
      <c r="Z273" s="1">
        <v>19.8</v>
      </c>
      <c r="AA273" s="1">
        <v>25</v>
      </c>
      <c r="AB273" s="1">
        <v>14.7</v>
      </c>
      <c r="AC273" s="1">
        <v>5</v>
      </c>
      <c r="AD273" s="3">
        <v>291.06</v>
      </c>
      <c r="AE273" s="3">
        <v>262.786144115723</v>
      </c>
      <c r="AF273" s="2">
        <v>44642</v>
      </c>
      <c r="AG273" s="1">
        <v>41</v>
      </c>
      <c r="AH273" s="3">
        <v>3.4305270362765201</v>
      </c>
      <c r="AI273" s="4">
        <v>21.413833679115399</v>
      </c>
      <c r="AJ273" s="4">
        <v>11.81</v>
      </c>
      <c r="AK273" s="4">
        <v>12.9449587500373</v>
      </c>
      <c r="AL273" s="1">
        <v>30</v>
      </c>
      <c r="AM273" s="5">
        <v>1141.6127018778</v>
      </c>
      <c r="AN273" s="4">
        <v>131.05920411862999</v>
      </c>
      <c r="AO273" s="4">
        <v>0.114801809670701</v>
      </c>
      <c r="AP273" s="1" t="s">
        <v>160</v>
      </c>
      <c r="AQ273" s="1" t="s">
        <v>254</v>
      </c>
      <c r="AR273" s="1" t="s">
        <v>1160</v>
      </c>
      <c r="AS273" s="1">
        <v>9</v>
      </c>
      <c r="AT273" s="4">
        <v>1.0274514316900201</v>
      </c>
      <c r="AU273" s="1" t="s">
        <v>1360</v>
      </c>
      <c r="AV273" s="1" t="s">
        <v>1361</v>
      </c>
      <c r="AW273" s="1">
        <v>1628</v>
      </c>
      <c r="AX273" s="1">
        <v>1628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0</v>
      </c>
      <c r="BG273" s="1">
        <v>0</v>
      </c>
      <c r="BH273" s="4">
        <v>-0.27700000000000002</v>
      </c>
      <c r="BI273" s="4">
        <v>23.388999999999999</v>
      </c>
      <c r="BJ273" s="4">
        <v>14.538231</v>
      </c>
      <c r="BK273" s="4">
        <v>-0.27700000000000002</v>
      </c>
      <c r="BL273" s="4">
        <v>8.9954970000000003</v>
      </c>
      <c r="BM273" s="4">
        <v>80.918966999999995</v>
      </c>
      <c r="BN273" s="4">
        <v>0.61874799999999996</v>
      </c>
      <c r="BO273" s="4">
        <v>16.72625</v>
      </c>
      <c r="BP273" s="4">
        <v>-0.812697</v>
      </c>
      <c r="BQ273" s="4">
        <v>1.8599840000000001</v>
      </c>
      <c r="BR273" s="4">
        <v>8.0882760000000005</v>
      </c>
      <c r="BS273" s="4">
        <v>2.1395</v>
      </c>
      <c r="BT273" s="4">
        <v>20.040500999999999</v>
      </c>
      <c r="BU273" s="4">
        <v>14.538231</v>
      </c>
      <c r="BV273" s="4">
        <v>4.6310450000000003</v>
      </c>
      <c r="BW273" s="4">
        <v>-1.388431</v>
      </c>
      <c r="BX273" s="4">
        <v>-0.20663200000000001</v>
      </c>
      <c r="BY273" s="4">
        <v>0.31854300000000002</v>
      </c>
      <c r="BZ273" s="4">
        <v>-0.29981000000000002</v>
      </c>
      <c r="CA273" s="4">
        <v>-4.4618999999999999E-2</v>
      </c>
      <c r="CB273" s="4">
        <v>-0.13292000000000001</v>
      </c>
      <c r="CC273" s="4">
        <v>-9.6500000000000006E-3</v>
      </c>
      <c r="CD273" s="4">
        <v>6.6400000000000001E-2</v>
      </c>
      <c r="CE273" s="4">
        <v>0.19439999999999999</v>
      </c>
      <c r="CF273" s="4">
        <v>4.5622499999999997</v>
      </c>
      <c r="CG273" s="4">
        <v>9.9635999999999996</v>
      </c>
      <c r="CH273" s="4">
        <v>18.825201</v>
      </c>
      <c r="CI273" s="4">
        <v>19.763500000000001</v>
      </c>
      <c r="CJ273" s="4">
        <v>20.5002</v>
      </c>
      <c r="CK273" s="4">
        <v>21.038799000000001</v>
      </c>
      <c r="CL273" s="4">
        <v>21.288499999999999</v>
      </c>
      <c r="CM273" s="4">
        <v>21.524999999999999</v>
      </c>
      <c r="CN273" s="4">
        <v>22.1264</v>
      </c>
      <c r="CO273" s="4">
        <v>22.519600000000001</v>
      </c>
      <c r="CP273" s="4">
        <v>23.011869000000001</v>
      </c>
      <c r="CQ273" s="4">
        <v>0.62601300000000004</v>
      </c>
      <c r="CR273" s="4">
        <v>17.094719000000001</v>
      </c>
      <c r="CS273" s="4">
        <v>18.179966</v>
      </c>
      <c r="CT273" s="1">
        <v>1</v>
      </c>
      <c r="CU273" s="1">
        <v>41</v>
      </c>
      <c r="CV273" s="4">
        <v>15.802826</v>
      </c>
      <c r="CW273" s="4">
        <v>1</v>
      </c>
      <c r="CX273" s="4">
        <v>9.7359010000000001</v>
      </c>
      <c r="CY273" s="4">
        <v>94.787773000000001</v>
      </c>
      <c r="CZ273" s="4">
        <v>0.61608600000000002</v>
      </c>
      <c r="DA273" s="4">
        <v>14</v>
      </c>
      <c r="DB273" s="4">
        <v>0.354792</v>
      </c>
      <c r="DC273" s="4">
        <v>2.2698170000000002</v>
      </c>
      <c r="DD273" s="4">
        <v>7.9407639999999997</v>
      </c>
      <c r="DE273" s="4">
        <v>15.802826</v>
      </c>
      <c r="DF273" s="4">
        <v>5.5482459999999998</v>
      </c>
      <c r="DG273" s="4">
        <v>0.46512999999999999</v>
      </c>
      <c r="DH273" s="4">
        <v>0.369946</v>
      </c>
      <c r="DI273" s="4">
        <v>0.35109200000000002</v>
      </c>
      <c r="DJ273" s="4">
        <v>8.3834000000000006E-2</v>
      </c>
      <c r="DK273" s="4">
        <v>6.6678000000000001E-2</v>
      </c>
      <c r="DL273" s="4">
        <v>1</v>
      </c>
      <c r="DM273" s="4">
        <v>1</v>
      </c>
      <c r="DN273" s="4">
        <v>3</v>
      </c>
      <c r="DO273" s="4">
        <v>6</v>
      </c>
      <c r="DP273" s="4">
        <v>8</v>
      </c>
      <c r="DQ273" s="4">
        <v>10</v>
      </c>
      <c r="DR273" s="4">
        <v>13</v>
      </c>
      <c r="DS273" s="4">
        <v>15</v>
      </c>
      <c r="DT273" s="4">
        <v>17</v>
      </c>
      <c r="DU273" s="4">
        <v>20</v>
      </c>
      <c r="DV273" s="4">
        <v>22</v>
      </c>
      <c r="DW273" s="4">
        <v>25</v>
      </c>
      <c r="DX273" s="4">
        <v>30.300049000000001</v>
      </c>
      <c r="DY273" s="4">
        <v>33</v>
      </c>
      <c r="DZ273" s="4">
        <v>37</v>
      </c>
      <c r="EA273" s="4">
        <v>75.061425</v>
      </c>
      <c r="EB273" s="4">
        <v>75.061425</v>
      </c>
      <c r="EC273" s="4">
        <v>75.061425</v>
      </c>
      <c r="ED273" s="4">
        <v>1222</v>
      </c>
      <c r="EE273" s="4">
        <v>1222</v>
      </c>
      <c r="EF273" s="4">
        <v>65.724816000000004</v>
      </c>
      <c r="EG273" s="4">
        <v>99.938575</v>
      </c>
      <c r="EH273" s="4">
        <v>65.724816000000004</v>
      </c>
      <c r="EI273" s="4">
        <v>99.938575</v>
      </c>
      <c r="EJ273" s="4">
        <v>65.724816000000004</v>
      </c>
      <c r="EK273" s="4">
        <v>99.938575</v>
      </c>
      <c r="EL273" s="4">
        <v>1070</v>
      </c>
      <c r="EM273" s="4">
        <v>1627</v>
      </c>
      <c r="EN273" s="4">
        <v>1070</v>
      </c>
      <c r="EO273" s="4">
        <v>1627</v>
      </c>
      <c r="EP273" s="4">
        <v>1628</v>
      </c>
      <c r="EQ273" s="4">
        <v>1628</v>
      </c>
      <c r="ER273" s="4">
        <v>62.235627000000001</v>
      </c>
    </row>
    <row r="274" spans="1:148" x14ac:dyDescent="0.2">
      <c r="A274" s="1">
        <v>2022</v>
      </c>
      <c r="B274" s="1" t="str">
        <f t="shared" si="8"/>
        <v>NE</v>
      </c>
      <c r="C274" s="1" t="s">
        <v>1362</v>
      </c>
      <c r="D274" s="1" t="s">
        <v>1362</v>
      </c>
      <c r="E274" s="1">
        <v>26537</v>
      </c>
      <c r="F274" s="1" t="s">
        <v>2133</v>
      </c>
      <c r="G274" s="1" t="s">
        <v>333</v>
      </c>
      <c r="H274" s="1" t="s">
        <v>1363</v>
      </c>
      <c r="I274" s="1">
        <v>18.77</v>
      </c>
      <c r="J274" s="1">
        <v>18.77</v>
      </c>
      <c r="K274" s="1" t="s">
        <v>148</v>
      </c>
      <c r="L274" s="1">
        <v>1</v>
      </c>
      <c r="M274" s="1">
        <v>2018</v>
      </c>
      <c r="N274" s="1">
        <v>3</v>
      </c>
      <c r="O274" s="1">
        <v>2</v>
      </c>
      <c r="P274" s="1" t="str">
        <f t="shared" si="9"/>
        <v>Talhadia</v>
      </c>
      <c r="Q274" s="2">
        <v>43189</v>
      </c>
      <c r="R274" s="1" t="s">
        <v>306</v>
      </c>
      <c r="S274" s="1" t="s">
        <v>619</v>
      </c>
      <c r="T274" s="1" t="s">
        <v>2268</v>
      </c>
      <c r="U274" s="1" t="s">
        <v>151</v>
      </c>
      <c r="V274" s="1" t="s">
        <v>152</v>
      </c>
      <c r="W274" s="2">
        <v>44743</v>
      </c>
      <c r="X274" s="1" t="s">
        <v>335</v>
      </c>
      <c r="Y274" s="1">
        <v>103.75</v>
      </c>
      <c r="Z274" s="1">
        <v>18.8</v>
      </c>
      <c r="AA274" s="1">
        <v>22</v>
      </c>
      <c r="AB274" s="1">
        <v>16.3</v>
      </c>
      <c r="AC274" s="1">
        <v>0</v>
      </c>
      <c r="AD274" s="3">
        <v>306.44</v>
      </c>
      <c r="AE274" s="3">
        <v>284.12622039344598</v>
      </c>
      <c r="AF274" s="2">
        <v>44743</v>
      </c>
      <c r="AG274" s="1">
        <v>52</v>
      </c>
      <c r="AH274" s="3">
        <v>4.2546201232032903</v>
      </c>
      <c r="AI274" s="4">
        <v>22.163474941672799</v>
      </c>
      <c r="AJ274" s="4">
        <v>15.810714285714299</v>
      </c>
      <c r="AK274" s="4">
        <v>20.100495180815201</v>
      </c>
      <c r="AL274" s="1">
        <v>28</v>
      </c>
      <c r="AM274" s="5">
        <v>985.47750929945005</v>
      </c>
      <c r="AN274" s="4">
        <v>201.603403116995</v>
      </c>
      <c r="AO274" s="4">
        <v>0.20457433195031399</v>
      </c>
      <c r="AP274" s="1" t="s">
        <v>619</v>
      </c>
      <c r="AQ274" s="1" t="s">
        <v>254</v>
      </c>
      <c r="AR274" s="1" t="s">
        <v>302</v>
      </c>
      <c r="AS274" s="1">
        <v>9.99</v>
      </c>
      <c r="AT274" s="4">
        <v>0.98449203179015066</v>
      </c>
      <c r="AU274" s="1" t="s">
        <v>1364</v>
      </c>
      <c r="AV274" s="1" t="s">
        <v>1365</v>
      </c>
      <c r="AW274" s="1">
        <v>5300</v>
      </c>
      <c r="AX274" s="1">
        <v>3059</v>
      </c>
      <c r="AY274" s="1">
        <v>2149</v>
      </c>
      <c r="AZ274" s="1">
        <v>91</v>
      </c>
      <c r="BA274" s="1">
        <v>1</v>
      </c>
      <c r="BB274" s="1">
        <v>0</v>
      </c>
      <c r="BC274" s="1">
        <v>0</v>
      </c>
      <c r="BD274" s="1">
        <v>0</v>
      </c>
      <c r="BE274" s="1">
        <v>0</v>
      </c>
      <c r="BF274" s="1">
        <v>0</v>
      </c>
      <c r="BG274" s="1">
        <v>0</v>
      </c>
      <c r="BH274" s="4">
        <v>-0.877</v>
      </c>
      <c r="BI274" s="4">
        <v>26.802999</v>
      </c>
      <c r="BJ274" s="4">
        <v>11.949289</v>
      </c>
      <c r="BK274" s="4">
        <v>1.73E-3</v>
      </c>
      <c r="BL274" s="4">
        <v>11.321077000000001</v>
      </c>
      <c r="BM274" s="4">
        <v>128.16679400000001</v>
      </c>
      <c r="BN274" s="4">
        <v>0.94742700000000002</v>
      </c>
      <c r="BO274" s="4">
        <v>22.925249999999998</v>
      </c>
      <c r="BP274" s="4">
        <v>-5.2824000000000003E-2</v>
      </c>
      <c r="BQ274" s="4">
        <v>1.0762130000000001</v>
      </c>
      <c r="BR274" s="4">
        <v>11.139286</v>
      </c>
      <c r="BS274" s="4">
        <v>9.0235000000000003</v>
      </c>
      <c r="BT274" s="4">
        <v>16.332768999999999</v>
      </c>
      <c r="BU274" s="4">
        <v>11.949289</v>
      </c>
      <c r="BV274" s="4">
        <v>5.9742749999999996</v>
      </c>
      <c r="BW274" s="4">
        <v>7.0437E-2</v>
      </c>
      <c r="BX274" s="4">
        <v>-1.220323</v>
      </c>
      <c r="BY274" s="4">
        <v>0.499969</v>
      </c>
      <c r="BZ274" s="4">
        <v>1.179E-2</v>
      </c>
      <c r="CA274" s="4">
        <v>-0.204263</v>
      </c>
      <c r="CB274" s="4">
        <v>-0.45402999999999999</v>
      </c>
      <c r="CC274" s="4">
        <v>-0.215</v>
      </c>
      <c r="CD274" s="4">
        <v>-0.114</v>
      </c>
      <c r="CE274" s="4">
        <v>-3.0000000000000001E-3</v>
      </c>
      <c r="CF274" s="4">
        <v>4.2999999999999997E-2</v>
      </c>
      <c r="CG274" s="4">
        <v>8.3000000000000004E-2</v>
      </c>
      <c r="CH274" s="4">
        <v>0.20100000000000001</v>
      </c>
      <c r="CI274" s="4">
        <v>16.334499000000001</v>
      </c>
      <c r="CJ274" s="4">
        <v>21.6126</v>
      </c>
      <c r="CK274" s="4">
        <v>22.605</v>
      </c>
      <c r="CL274" s="4">
        <v>22.968250000000001</v>
      </c>
      <c r="CM274" s="4">
        <v>23.382000000000001</v>
      </c>
      <c r="CN274" s="4">
        <v>24.401699000000001</v>
      </c>
      <c r="CO274" s="4">
        <v>25.042148999999998</v>
      </c>
      <c r="CP274" s="4">
        <v>26.013216</v>
      </c>
      <c r="CQ274" s="4">
        <v>0.46337699999999998</v>
      </c>
      <c r="CR274" s="4">
        <v>16.459893999999998</v>
      </c>
      <c r="CS274" s="4">
        <v>18.393778000000001</v>
      </c>
      <c r="CT274" s="1">
        <v>1</v>
      </c>
      <c r="CU274" s="1">
        <v>54</v>
      </c>
      <c r="CV274" s="4">
        <v>13.681509</v>
      </c>
      <c r="CW274" s="4">
        <v>1</v>
      </c>
      <c r="CX274" s="4">
        <v>9.490138</v>
      </c>
      <c r="CY274" s="4">
        <v>90.062726999999995</v>
      </c>
      <c r="CZ274" s="4">
        <v>0.69364700000000001</v>
      </c>
      <c r="DA274" s="4">
        <v>12</v>
      </c>
      <c r="DB274" s="4">
        <v>1.034402</v>
      </c>
      <c r="DC274" s="4">
        <v>4.1698120000000003</v>
      </c>
      <c r="DD274" s="4">
        <v>7.2949289999999998</v>
      </c>
      <c r="DE274" s="4">
        <v>13.681509</v>
      </c>
      <c r="DF274" s="4">
        <v>5.1611859999999998</v>
      </c>
      <c r="DG274" s="4">
        <v>0.91256999999999999</v>
      </c>
      <c r="DH274" s="4">
        <v>0.69824200000000003</v>
      </c>
      <c r="DI274" s="4">
        <v>0.37723800000000002</v>
      </c>
      <c r="DJ274" s="4">
        <v>0.176814</v>
      </c>
      <c r="DK274" s="4">
        <v>0.13528699999999999</v>
      </c>
      <c r="DL274" s="4">
        <v>1</v>
      </c>
      <c r="DM274" s="4">
        <v>1</v>
      </c>
      <c r="DN274" s="4">
        <v>2</v>
      </c>
      <c r="DO274" s="4">
        <v>5</v>
      </c>
      <c r="DP274" s="4">
        <v>6</v>
      </c>
      <c r="DQ274" s="4">
        <v>8</v>
      </c>
      <c r="DR274" s="4">
        <v>10</v>
      </c>
      <c r="DS274" s="4">
        <v>13</v>
      </c>
      <c r="DT274" s="4">
        <v>15</v>
      </c>
      <c r="DU274" s="4">
        <v>17</v>
      </c>
      <c r="DV274" s="4">
        <v>18</v>
      </c>
      <c r="DW274" s="4">
        <v>20</v>
      </c>
      <c r="DX274" s="4">
        <v>26</v>
      </c>
      <c r="DY274" s="4">
        <v>33</v>
      </c>
      <c r="DZ274" s="4">
        <v>43</v>
      </c>
      <c r="EA274" s="4">
        <v>89.931349999999995</v>
      </c>
      <c r="EB274" s="4">
        <v>53.924528000000002</v>
      </c>
      <c r="EC274" s="4">
        <v>93.429225000000002</v>
      </c>
      <c r="ED274" s="4">
        <v>2751</v>
      </c>
      <c r="EE274" s="4">
        <v>2858</v>
      </c>
      <c r="EF274" s="4">
        <v>88.656424000000001</v>
      </c>
      <c r="EG274" s="4">
        <v>99.640405000000001</v>
      </c>
      <c r="EH274" s="4">
        <v>52.094340000000003</v>
      </c>
      <c r="EI274" s="4">
        <v>79.566038000000006</v>
      </c>
      <c r="EJ274" s="4">
        <v>90.258253999999994</v>
      </c>
      <c r="EK274" s="4">
        <v>137.85550799999999</v>
      </c>
      <c r="EL274" s="4">
        <v>2712</v>
      </c>
      <c r="EM274" s="4">
        <v>3048</v>
      </c>
      <c r="EN274" s="4">
        <v>2761</v>
      </c>
      <c r="EO274" s="4">
        <v>4217</v>
      </c>
      <c r="EP274" s="4">
        <v>3059</v>
      </c>
      <c r="EQ274" s="4">
        <v>5300</v>
      </c>
      <c r="ER274" s="4">
        <v>44.990974000000001</v>
      </c>
    </row>
    <row r="275" spans="1:148" x14ac:dyDescent="0.2">
      <c r="A275" s="1">
        <v>2022</v>
      </c>
      <c r="B275" s="1" t="str">
        <f t="shared" si="8"/>
        <v>RD</v>
      </c>
      <c r="C275" s="1" t="s">
        <v>1366</v>
      </c>
      <c r="D275" s="1" t="s">
        <v>1366</v>
      </c>
      <c r="E275" s="1">
        <v>26540</v>
      </c>
      <c r="F275" s="1" t="s">
        <v>2139</v>
      </c>
      <c r="G275" s="1" t="s">
        <v>277</v>
      </c>
      <c r="H275" s="1" t="s">
        <v>1367</v>
      </c>
      <c r="I275" s="1">
        <v>42.27</v>
      </c>
      <c r="J275" s="1">
        <v>42.27</v>
      </c>
      <c r="K275" s="1" t="s">
        <v>210</v>
      </c>
      <c r="L275" s="1">
        <v>1</v>
      </c>
      <c r="M275" s="1">
        <v>2018</v>
      </c>
      <c r="N275" s="1">
        <v>2</v>
      </c>
      <c r="O275" s="1">
        <v>2</v>
      </c>
      <c r="P275" s="1" t="str">
        <f t="shared" si="9"/>
        <v>Talhadia</v>
      </c>
      <c r="Q275" s="2">
        <v>43182</v>
      </c>
      <c r="R275" s="1" t="s">
        <v>227</v>
      </c>
      <c r="S275" s="1" t="s">
        <v>822</v>
      </c>
      <c r="T275" s="1" t="s">
        <v>2268</v>
      </c>
      <c r="U275" s="1" t="s">
        <v>212</v>
      </c>
      <c r="V275" s="1" t="s">
        <v>152</v>
      </c>
      <c r="W275" s="2">
        <v>44685</v>
      </c>
      <c r="X275" s="1" t="s">
        <v>279</v>
      </c>
      <c r="Y275" s="1">
        <v>263.04000000000002</v>
      </c>
      <c r="Z275" s="1">
        <v>19.3</v>
      </c>
      <c r="AA275" s="1">
        <v>2</v>
      </c>
      <c r="AB275" s="1">
        <v>13.8</v>
      </c>
      <c r="AC275" s="1">
        <v>0</v>
      </c>
      <c r="AD275" s="3">
        <v>266.33999999999997</v>
      </c>
      <c r="AE275" s="3">
        <v>266.177752868266</v>
      </c>
      <c r="AF275" s="2">
        <v>44685</v>
      </c>
      <c r="AG275" s="1">
        <v>50</v>
      </c>
      <c r="AH275" s="3">
        <v>4.1149897330595504</v>
      </c>
      <c r="AI275" s="4">
        <v>24.628655567907298</v>
      </c>
      <c r="AJ275" s="4">
        <v>15.308695652173901</v>
      </c>
      <c r="AK275" s="4">
        <v>16.117794037933098</v>
      </c>
      <c r="AL275" s="1">
        <v>23</v>
      </c>
      <c r="AM275" s="5">
        <v>864.08423514578703</v>
      </c>
      <c r="AN275" s="4">
        <v>176.63246350977099</v>
      </c>
      <c r="AO275" s="4">
        <v>0.204415792263552</v>
      </c>
      <c r="AP275" s="1" t="s">
        <v>822</v>
      </c>
      <c r="AQ275" s="1" t="s">
        <v>254</v>
      </c>
      <c r="AR275" s="1" t="s">
        <v>1370</v>
      </c>
      <c r="AS275" s="1">
        <v>7.5</v>
      </c>
      <c r="AT275" s="4">
        <v>0.6480631763593403</v>
      </c>
      <c r="AU275" s="1" t="s">
        <v>1368</v>
      </c>
      <c r="AV275" s="1" t="s">
        <v>1369</v>
      </c>
      <c r="AW275" s="1">
        <v>2168</v>
      </c>
      <c r="AX275" s="1">
        <v>1087</v>
      </c>
      <c r="AY275" s="1">
        <v>892</v>
      </c>
      <c r="AZ275" s="1">
        <v>182</v>
      </c>
      <c r="BA275" s="1">
        <v>7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4">
        <v>-0.83</v>
      </c>
      <c r="BI275" s="4">
        <v>25.049999</v>
      </c>
      <c r="BJ275" s="4">
        <v>6.4366240000000001</v>
      </c>
      <c r="BK275" s="4">
        <v>-8.4130000000000003E-3</v>
      </c>
      <c r="BL275" s="4">
        <v>8.446555</v>
      </c>
      <c r="BM275" s="4">
        <v>71.344295000000002</v>
      </c>
      <c r="BN275" s="4">
        <v>1.312265</v>
      </c>
      <c r="BO275" s="4">
        <v>14.465</v>
      </c>
      <c r="BP275" s="4">
        <v>0.79129099999999997</v>
      </c>
      <c r="BQ275" s="4">
        <v>1.9808539999999999</v>
      </c>
      <c r="BR275" s="4">
        <v>7.6249900000000004</v>
      </c>
      <c r="BS275" s="4">
        <v>0.32500000000000001</v>
      </c>
      <c r="BT275" s="4">
        <v>0.23841300000000001</v>
      </c>
      <c r="BU275" s="4">
        <v>6.4366240000000001</v>
      </c>
      <c r="BV275" s="4">
        <v>4.3484730000000003</v>
      </c>
      <c r="BW275" s="4">
        <v>1.54043</v>
      </c>
      <c r="BX275" s="4">
        <v>-0.12704799999999999</v>
      </c>
      <c r="BY275" s="4">
        <v>0.67558300000000004</v>
      </c>
      <c r="BZ275" s="4">
        <v>0.35424600000000001</v>
      </c>
      <c r="CA275" s="4">
        <v>-2.9217E-2</v>
      </c>
      <c r="CB275" s="4">
        <v>-0.4133</v>
      </c>
      <c r="CC275" s="4">
        <v>-0.23</v>
      </c>
      <c r="CD275" s="4">
        <v>-0.14000000000000001</v>
      </c>
      <c r="CE275" s="4">
        <v>-7.0000000000000007E-2</v>
      </c>
      <c r="CF275" s="4">
        <v>-0.03</v>
      </c>
      <c r="CG275" s="4">
        <v>0</v>
      </c>
      <c r="CH275" s="4">
        <v>0.08</v>
      </c>
      <c r="CI275" s="4">
        <v>0.16</v>
      </c>
      <c r="CJ275" s="4">
        <v>5.6059989999999997</v>
      </c>
      <c r="CK275" s="4">
        <v>11.734000999999999</v>
      </c>
      <c r="CL275" s="4">
        <v>14.435</v>
      </c>
      <c r="CM275" s="4">
        <v>16.977999000000001</v>
      </c>
      <c r="CN275" s="4">
        <v>20.055002000000002</v>
      </c>
      <c r="CO275" s="4">
        <v>22.232997999999998</v>
      </c>
      <c r="CP275" s="4">
        <v>24.033301999999999</v>
      </c>
      <c r="CQ275" s="4">
        <v>0.280781</v>
      </c>
      <c r="CR275" s="4">
        <v>10.617981</v>
      </c>
      <c r="CS275" s="4">
        <v>12.846932000000001</v>
      </c>
      <c r="CT275" s="1">
        <v>1</v>
      </c>
      <c r="CU275" s="1">
        <v>45</v>
      </c>
      <c r="CV275" s="4">
        <v>12.191882</v>
      </c>
      <c r="CW275" s="4">
        <v>1</v>
      </c>
      <c r="CX275" s="4">
        <v>10.225021999999999</v>
      </c>
      <c r="CY275" s="4">
        <v>104.551074</v>
      </c>
      <c r="CZ275" s="4">
        <v>0.83867499999999995</v>
      </c>
      <c r="DA275" s="4">
        <v>12</v>
      </c>
      <c r="DB275" s="4">
        <v>1.1250599999999999</v>
      </c>
      <c r="DC275" s="4">
        <v>3.3555709999999999</v>
      </c>
      <c r="DD275" s="4">
        <v>8.1836610000000007</v>
      </c>
      <c r="DE275" s="4">
        <v>12.191882</v>
      </c>
      <c r="DF275" s="4">
        <v>5.4613610000000001</v>
      </c>
      <c r="DG275" s="4">
        <v>1.572786</v>
      </c>
      <c r="DH275" s="4">
        <v>0.59913799999999995</v>
      </c>
      <c r="DI275" s="4">
        <v>0.44795099999999999</v>
      </c>
      <c r="DJ275" s="4">
        <v>0.28798400000000002</v>
      </c>
      <c r="DK275" s="4">
        <v>0.109705</v>
      </c>
      <c r="DL275" s="4">
        <v>1</v>
      </c>
      <c r="DM275" s="4">
        <v>1</v>
      </c>
      <c r="DN275" s="4">
        <v>2</v>
      </c>
      <c r="DO275" s="4">
        <v>4</v>
      </c>
      <c r="DP275" s="4">
        <v>5</v>
      </c>
      <c r="DQ275" s="4">
        <v>5</v>
      </c>
      <c r="DR275" s="4">
        <v>7</v>
      </c>
      <c r="DS275" s="4">
        <v>9</v>
      </c>
      <c r="DT275" s="4">
        <v>11</v>
      </c>
      <c r="DU275" s="4">
        <v>14</v>
      </c>
      <c r="DV275" s="4">
        <v>17</v>
      </c>
      <c r="DW275" s="4">
        <v>21</v>
      </c>
      <c r="DX275" s="4">
        <v>29</v>
      </c>
      <c r="DY275" s="4">
        <v>34</v>
      </c>
      <c r="DZ275" s="4">
        <v>40</v>
      </c>
      <c r="EA275" s="4">
        <v>70.009200000000007</v>
      </c>
      <c r="EB275" s="4">
        <v>41.051661000000003</v>
      </c>
      <c r="EC275" s="4">
        <v>81.876724999999993</v>
      </c>
      <c r="ED275" s="4">
        <v>761</v>
      </c>
      <c r="EE275" s="4">
        <v>890</v>
      </c>
      <c r="EF275" s="4">
        <v>67.157314</v>
      </c>
      <c r="EG275" s="4">
        <v>94.940201999999999</v>
      </c>
      <c r="EH275" s="4">
        <v>38.653137000000001</v>
      </c>
      <c r="EI275" s="4">
        <v>70.848708000000002</v>
      </c>
      <c r="EJ275" s="4">
        <v>77.092916000000002</v>
      </c>
      <c r="EK275" s="4">
        <v>141.30634800000001</v>
      </c>
      <c r="EL275" s="4">
        <v>730</v>
      </c>
      <c r="EM275" s="4">
        <v>1032</v>
      </c>
      <c r="EN275" s="4">
        <v>838</v>
      </c>
      <c r="EO275" s="4">
        <v>1536</v>
      </c>
      <c r="EP275" s="4">
        <v>1087</v>
      </c>
      <c r="EQ275" s="4">
        <v>2168</v>
      </c>
      <c r="ER275" s="4">
        <v>25.946753000000001</v>
      </c>
    </row>
    <row r="276" spans="1:148" x14ac:dyDescent="0.2">
      <c r="A276" s="1">
        <v>2022</v>
      </c>
      <c r="B276" s="1" t="str">
        <f t="shared" si="8"/>
        <v>RD</v>
      </c>
      <c r="C276" s="1" t="s">
        <v>1371</v>
      </c>
      <c r="D276" s="1" t="s">
        <v>1371</v>
      </c>
      <c r="E276" s="1">
        <v>26541</v>
      </c>
      <c r="F276" s="1" t="s">
        <v>2139</v>
      </c>
      <c r="G276" s="1" t="s">
        <v>277</v>
      </c>
      <c r="H276" s="1" t="s">
        <v>1367</v>
      </c>
      <c r="I276" s="1">
        <v>42.27</v>
      </c>
      <c r="J276" s="1">
        <v>42.27</v>
      </c>
      <c r="K276" s="1" t="s">
        <v>210</v>
      </c>
      <c r="L276" s="1">
        <v>1</v>
      </c>
      <c r="M276" s="1">
        <v>2018</v>
      </c>
      <c r="N276" s="1">
        <v>2</v>
      </c>
      <c r="O276" s="1">
        <v>2</v>
      </c>
      <c r="P276" s="1" t="str">
        <f t="shared" si="9"/>
        <v>Talhadia</v>
      </c>
      <c r="Q276" s="2">
        <v>43182</v>
      </c>
      <c r="R276" s="1" t="s">
        <v>227</v>
      </c>
      <c r="S276" s="1" t="s">
        <v>822</v>
      </c>
      <c r="T276" s="1" t="s">
        <v>2268</v>
      </c>
      <c r="U276" s="1" t="s">
        <v>212</v>
      </c>
      <c r="V276" s="1" t="s">
        <v>152</v>
      </c>
      <c r="W276" s="2">
        <v>44685</v>
      </c>
      <c r="X276" s="1" t="s">
        <v>279</v>
      </c>
      <c r="Y276" s="1">
        <v>263.04000000000002</v>
      </c>
      <c r="Z276" s="1">
        <v>19.399999999999999</v>
      </c>
      <c r="AA276" s="1">
        <v>0</v>
      </c>
      <c r="AB276" s="1">
        <v>16.399999999999999</v>
      </c>
      <c r="AC276" s="1">
        <v>0</v>
      </c>
      <c r="AD276" s="3">
        <v>318.16000000000003</v>
      </c>
      <c r="AE276" s="3">
        <v>318.16000000000003</v>
      </c>
      <c r="AF276" s="2">
        <v>44685</v>
      </c>
      <c r="AG276" s="1">
        <v>50</v>
      </c>
      <c r="AH276" s="3">
        <v>4.1149897330595504</v>
      </c>
      <c r="AI276" s="4">
        <v>22.488480617354501</v>
      </c>
      <c r="AJ276" s="4">
        <v>15.115384615384601</v>
      </c>
      <c r="AK276" s="4">
        <v>14.931797533994001</v>
      </c>
      <c r="AL276" s="1">
        <v>26</v>
      </c>
      <c r="AM276" s="5">
        <v>817.19889363842105</v>
      </c>
      <c r="AN276" s="4">
        <v>148.29441248926699</v>
      </c>
      <c r="AO276" s="4">
        <v>0.18146673183686601</v>
      </c>
      <c r="AP276" s="1" t="s">
        <v>822</v>
      </c>
      <c r="AQ276" s="1" t="s">
        <v>254</v>
      </c>
      <c r="AR276" s="1" t="s">
        <v>1370</v>
      </c>
      <c r="AS276" s="1">
        <v>7.5</v>
      </c>
      <c r="AT276" s="4">
        <v>0.61289917022881579</v>
      </c>
      <c r="AU276" s="1" t="s">
        <v>1372</v>
      </c>
      <c r="AV276" s="1" t="s">
        <v>1373</v>
      </c>
      <c r="AW276" s="1">
        <v>2423</v>
      </c>
      <c r="AX276" s="1">
        <v>1421</v>
      </c>
      <c r="AY276" s="1">
        <v>859</v>
      </c>
      <c r="AZ276" s="1">
        <v>141</v>
      </c>
      <c r="BA276" s="1">
        <v>2</v>
      </c>
      <c r="BB276" s="1">
        <v>0</v>
      </c>
      <c r="BC276" s="1">
        <v>0</v>
      </c>
      <c r="BD276" s="1">
        <v>0</v>
      </c>
      <c r="BE276" s="1">
        <v>0</v>
      </c>
      <c r="BF276" s="1">
        <v>0</v>
      </c>
      <c r="BG276" s="1">
        <v>0</v>
      </c>
      <c r="BH276" s="4">
        <v>-0.73</v>
      </c>
      <c r="BI276" s="4">
        <v>20.239999999999998</v>
      </c>
      <c r="BJ276" s="4">
        <v>5.9014899999999999</v>
      </c>
      <c r="BK276" s="4">
        <v>-6.4285999999999996E-2</v>
      </c>
      <c r="BL276" s="4">
        <v>6.919308</v>
      </c>
      <c r="BM276" s="4">
        <v>47.876817000000003</v>
      </c>
      <c r="BN276" s="4">
        <v>1.1724680000000001</v>
      </c>
      <c r="BO276" s="4">
        <v>12.865</v>
      </c>
      <c r="BP276" s="4">
        <v>0.58124799999999999</v>
      </c>
      <c r="BQ276" s="4">
        <v>1.687694</v>
      </c>
      <c r="BR276" s="4">
        <v>6.2940610000000001</v>
      </c>
      <c r="BS276" s="4">
        <v>0.51</v>
      </c>
      <c r="BT276" s="4">
        <v>0.33428600000000003</v>
      </c>
      <c r="BU276" s="4">
        <v>5.9014899999999999</v>
      </c>
      <c r="BV276" s="4">
        <v>3.6954579999999999</v>
      </c>
      <c r="BW276" s="4">
        <v>0.99534100000000003</v>
      </c>
      <c r="BX276" s="4">
        <v>-0.29936400000000002</v>
      </c>
      <c r="BY276" s="4">
        <v>0.62619100000000005</v>
      </c>
      <c r="BZ276" s="4">
        <v>0.26934200000000003</v>
      </c>
      <c r="CA276" s="4">
        <v>-8.1008999999999998E-2</v>
      </c>
      <c r="CB276" s="4">
        <v>-0.36780000000000002</v>
      </c>
      <c r="CC276" s="4">
        <v>-0.19</v>
      </c>
      <c r="CD276" s="4">
        <v>-0.12</v>
      </c>
      <c r="CE276" s="4">
        <v>-0.04</v>
      </c>
      <c r="CF276" s="4">
        <v>0</v>
      </c>
      <c r="CG276" s="4">
        <v>0.04</v>
      </c>
      <c r="CH276" s="4">
        <v>0.11</v>
      </c>
      <c r="CI276" s="4">
        <v>0.24</v>
      </c>
      <c r="CJ276" s="4">
        <v>6.77</v>
      </c>
      <c r="CK276" s="4">
        <v>11.278001</v>
      </c>
      <c r="CL276" s="4">
        <v>12.865</v>
      </c>
      <c r="CM276" s="4">
        <v>14.226000000000001</v>
      </c>
      <c r="CN276" s="4">
        <v>16.510000000000002</v>
      </c>
      <c r="CO276" s="4">
        <v>17.649999999999999</v>
      </c>
      <c r="CP276" s="4">
        <v>18.997800999999999</v>
      </c>
      <c r="CQ276" s="4">
        <v>0.31623699999999999</v>
      </c>
      <c r="CR276" s="4">
        <v>9.0931099999999994</v>
      </c>
      <c r="CS276" s="4">
        <v>10.758629000000001</v>
      </c>
      <c r="CT276" s="1">
        <v>1</v>
      </c>
      <c r="CU276" s="1">
        <v>46</v>
      </c>
      <c r="CV276" s="4">
        <v>12.602145999999999</v>
      </c>
      <c r="CW276" s="4">
        <v>1.714286</v>
      </c>
      <c r="CX276" s="4">
        <v>10.818457</v>
      </c>
      <c r="CY276" s="4">
        <v>117.03900400000001</v>
      </c>
      <c r="CZ276" s="4">
        <v>0.85846100000000003</v>
      </c>
      <c r="DA276" s="4">
        <v>15</v>
      </c>
      <c r="DB276" s="4">
        <v>1.04148</v>
      </c>
      <c r="DC276" s="4">
        <v>2.9396089999999999</v>
      </c>
      <c r="DD276" s="4">
        <v>8.8443670000000001</v>
      </c>
      <c r="DE276" s="4">
        <v>12.602145999999999</v>
      </c>
      <c r="DF276" s="4">
        <v>5.7968950000000001</v>
      </c>
      <c r="DG276" s="4">
        <v>1.687325</v>
      </c>
      <c r="DH276" s="4">
        <v>0.49928699999999998</v>
      </c>
      <c r="DI276" s="4">
        <v>0.45999299999999999</v>
      </c>
      <c r="DJ276" s="4">
        <v>0.291074</v>
      </c>
      <c r="DK276" s="4">
        <v>8.6129999999999998E-2</v>
      </c>
      <c r="DL276" s="4">
        <v>1</v>
      </c>
      <c r="DM276" s="4">
        <v>1</v>
      </c>
      <c r="DN276" s="4">
        <v>2</v>
      </c>
      <c r="DO276" s="4">
        <v>4</v>
      </c>
      <c r="DP276" s="4">
        <v>4</v>
      </c>
      <c r="DQ276" s="4">
        <v>5</v>
      </c>
      <c r="DR276" s="4">
        <v>7</v>
      </c>
      <c r="DS276" s="4">
        <v>9</v>
      </c>
      <c r="DT276" s="4">
        <v>11</v>
      </c>
      <c r="DU276" s="4">
        <v>15</v>
      </c>
      <c r="DV276" s="4">
        <v>19</v>
      </c>
      <c r="DW276" s="4">
        <v>22.599976000000002</v>
      </c>
      <c r="DX276" s="4">
        <v>31.800049000000001</v>
      </c>
      <c r="DY276" s="4">
        <v>35</v>
      </c>
      <c r="DZ276" s="4">
        <v>40</v>
      </c>
      <c r="EA276" s="4">
        <v>69.176636000000002</v>
      </c>
      <c r="EB276" s="4">
        <v>47.29674</v>
      </c>
      <c r="EC276" s="4">
        <v>80.647430999999997</v>
      </c>
      <c r="ED276" s="4">
        <v>983</v>
      </c>
      <c r="EE276" s="4">
        <v>1146</v>
      </c>
      <c r="EF276" s="4">
        <v>64.461646999999999</v>
      </c>
      <c r="EG276" s="4">
        <v>97.255454</v>
      </c>
      <c r="EH276" s="4">
        <v>42.798183999999999</v>
      </c>
      <c r="EI276" s="4">
        <v>83.739165999999997</v>
      </c>
      <c r="EJ276" s="4">
        <v>72.976776999999998</v>
      </c>
      <c r="EK276" s="4">
        <v>142.78676999999999</v>
      </c>
      <c r="EL276" s="4">
        <v>916</v>
      </c>
      <c r="EM276" s="4">
        <v>1382</v>
      </c>
      <c r="EN276" s="4">
        <v>1037</v>
      </c>
      <c r="EO276" s="4">
        <v>2029</v>
      </c>
      <c r="EP276" s="4">
        <v>1421</v>
      </c>
      <c r="EQ276" s="4">
        <v>2423</v>
      </c>
      <c r="ER276" s="4">
        <v>30.226315</v>
      </c>
    </row>
    <row r="277" spans="1:148" x14ac:dyDescent="0.2">
      <c r="A277" s="1">
        <v>2022</v>
      </c>
      <c r="B277" s="1" t="str">
        <f t="shared" si="8"/>
        <v>NE</v>
      </c>
      <c r="C277" s="1" t="s">
        <v>1374</v>
      </c>
      <c r="D277" s="1" t="s">
        <v>1374</v>
      </c>
      <c r="E277" s="1">
        <v>26547</v>
      </c>
      <c r="F277" s="1" t="s">
        <v>2147</v>
      </c>
      <c r="G277" s="1" t="s">
        <v>1375</v>
      </c>
      <c r="H277" s="1" t="s">
        <v>1376</v>
      </c>
      <c r="I277" s="1">
        <v>44.19</v>
      </c>
      <c r="J277" s="1">
        <v>44.19</v>
      </c>
      <c r="K277" s="1" t="s">
        <v>168</v>
      </c>
      <c r="L277" s="1">
        <v>1</v>
      </c>
      <c r="M277" s="1">
        <v>2018</v>
      </c>
      <c r="N277" s="1">
        <v>3</v>
      </c>
      <c r="O277" s="1">
        <v>1</v>
      </c>
      <c r="P277" s="1" t="str">
        <f t="shared" si="9"/>
        <v>Alto fuste</v>
      </c>
      <c r="Q277" s="2">
        <v>43461</v>
      </c>
      <c r="R277" s="1" t="s">
        <v>169</v>
      </c>
      <c r="S277" s="1" t="s">
        <v>299</v>
      </c>
      <c r="T277" s="1" t="s">
        <v>2268</v>
      </c>
      <c r="U277" s="1" t="s">
        <v>170</v>
      </c>
      <c r="V277" s="1" t="s">
        <v>152</v>
      </c>
      <c r="W277" s="2">
        <v>44593</v>
      </c>
      <c r="X277" s="1" t="s">
        <v>1377</v>
      </c>
      <c r="Y277" s="1">
        <v>116.96</v>
      </c>
      <c r="Z277" s="1">
        <v>21.6</v>
      </c>
      <c r="AA277" s="1">
        <v>25</v>
      </c>
      <c r="AB277" s="1">
        <v>16.8</v>
      </c>
      <c r="AC277" s="1">
        <v>0</v>
      </c>
      <c r="AD277" s="3">
        <v>362.88</v>
      </c>
      <c r="AE277" s="3">
        <v>328.88096975986002</v>
      </c>
      <c r="AF277" s="2">
        <v>44593</v>
      </c>
      <c r="AG277" s="1">
        <v>38</v>
      </c>
      <c r="AH277" s="3">
        <v>3.0992470910335399</v>
      </c>
      <c r="AI277" s="4">
        <v>22.673555653434999</v>
      </c>
      <c r="AJ277" s="4">
        <v>14.0852941176471</v>
      </c>
      <c r="AK277" s="4">
        <v>16.175242765603802</v>
      </c>
      <c r="AL277" s="1">
        <v>34</v>
      </c>
      <c r="AM277" s="5">
        <v>1033.8086762765799</v>
      </c>
      <c r="AN277" s="4">
        <v>156.877215871397</v>
      </c>
      <c r="AO277" s="4">
        <v>0.15174685555591699</v>
      </c>
      <c r="AP277" s="1" t="s">
        <v>299</v>
      </c>
      <c r="AQ277" s="1" t="s">
        <v>156</v>
      </c>
      <c r="AR277" s="1" t="s">
        <v>302</v>
      </c>
      <c r="AS277" s="1">
        <v>9</v>
      </c>
      <c r="AT277" s="4">
        <v>0.93042780864892194</v>
      </c>
      <c r="AU277" s="1" t="s">
        <v>1378</v>
      </c>
      <c r="AV277" s="1" t="s">
        <v>1379</v>
      </c>
      <c r="AW277" s="1">
        <v>2509</v>
      </c>
      <c r="AX277" s="1">
        <v>1535</v>
      </c>
      <c r="AY277" s="1">
        <v>897</v>
      </c>
      <c r="AZ277" s="1">
        <v>77</v>
      </c>
      <c r="BA277" s="1">
        <v>0</v>
      </c>
      <c r="BB277" s="1">
        <v>0</v>
      </c>
      <c r="BC277" s="1">
        <v>0</v>
      </c>
      <c r="BD277" s="1">
        <v>0</v>
      </c>
      <c r="BE277" s="1">
        <v>0</v>
      </c>
      <c r="BF277" s="1">
        <v>0</v>
      </c>
      <c r="BG277" s="1">
        <v>0</v>
      </c>
      <c r="BH277" s="4">
        <v>-0.77600000000000002</v>
      </c>
      <c r="BI277" s="4">
        <v>22.582999999999998</v>
      </c>
      <c r="BJ277" s="4">
        <v>12.350287</v>
      </c>
      <c r="BK277" s="4">
        <v>-3.4444000000000002E-2</v>
      </c>
      <c r="BL277" s="4">
        <v>9.4979049999999994</v>
      </c>
      <c r="BM277" s="4">
        <v>90.210203000000007</v>
      </c>
      <c r="BN277" s="4">
        <v>0.76904300000000003</v>
      </c>
      <c r="BO277" s="4">
        <v>20.185001</v>
      </c>
      <c r="BP277" s="4">
        <v>-0.48364299999999999</v>
      </c>
      <c r="BQ277" s="4">
        <v>1.3131330000000001</v>
      </c>
      <c r="BR277" s="4">
        <v>9.058764</v>
      </c>
      <c r="BS277" s="4">
        <v>2.9750000000000001</v>
      </c>
      <c r="BT277" s="4">
        <v>18.092445000000001</v>
      </c>
      <c r="BU277" s="4">
        <v>12.350287</v>
      </c>
      <c r="BV277" s="4">
        <v>4.9384189999999997</v>
      </c>
      <c r="BW277" s="4">
        <v>-0.84817799999999999</v>
      </c>
      <c r="BX277" s="4">
        <v>-0.73770400000000003</v>
      </c>
      <c r="BY277" s="4">
        <v>0.39986300000000002</v>
      </c>
      <c r="BZ277" s="4">
        <v>-0.17175099999999999</v>
      </c>
      <c r="CA277" s="4">
        <v>-0.14938100000000001</v>
      </c>
      <c r="CB277" s="4">
        <v>-0.41676000000000002</v>
      </c>
      <c r="CC277" s="4">
        <v>-0.17460000000000001</v>
      </c>
      <c r="CD277" s="4">
        <v>-7.3400000000000007E-2</v>
      </c>
      <c r="CE277" s="4">
        <v>5.2999999999999999E-2</v>
      </c>
      <c r="CF277" s="4">
        <v>9.8000000000000004E-2</v>
      </c>
      <c r="CG277" s="4">
        <v>0.1734</v>
      </c>
      <c r="CH277" s="4">
        <v>15.968800999999999</v>
      </c>
      <c r="CI277" s="4">
        <v>18.058001000000001</v>
      </c>
      <c r="CJ277" s="4">
        <v>19.399799000000002</v>
      </c>
      <c r="CK277" s="4">
        <v>20.024799000000002</v>
      </c>
      <c r="CL277" s="4">
        <v>20.283000999999999</v>
      </c>
      <c r="CM277" s="4">
        <v>20.545000000000002</v>
      </c>
      <c r="CN277" s="4">
        <v>21.202000000000002</v>
      </c>
      <c r="CO277" s="4">
        <v>21.595600000000001</v>
      </c>
      <c r="CP277" s="4">
        <v>22.074359999999999</v>
      </c>
      <c r="CQ277" s="4">
        <v>0.56193700000000002</v>
      </c>
      <c r="CR277" s="4">
        <v>15.578955000000001</v>
      </c>
      <c r="CS277" s="4">
        <v>16.881049000000001</v>
      </c>
      <c r="CT277" s="1">
        <v>1</v>
      </c>
      <c r="CU277" s="1">
        <v>53</v>
      </c>
      <c r="CV277" s="4">
        <v>16.538063000000001</v>
      </c>
      <c r="CW277" s="4">
        <v>25.761904999999999</v>
      </c>
      <c r="CX277" s="4">
        <v>9.5522910000000003</v>
      </c>
      <c r="CY277" s="4">
        <v>91.246257999999997</v>
      </c>
      <c r="CZ277" s="4">
        <v>0.57759400000000005</v>
      </c>
      <c r="DA277" s="4">
        <v>16</v>
      </c>
      <c r="DB277" s="4">
        <v>9.5485E-2</v>
      </c>
      <c r="DC277" s="4">
        <v>2.3950849999999999</v>
      </c>
      <c r="DD277" s="4">
        <v>8.1286380000000005</v>
      </c>
      <c r="DE277" s="4">
        <v>16.538063000000001</v>
      </c>
      <c r="DF277" s="4">
        <v>5.4455650000000002</v>
      </c>
      <c r="DG277" s="4">
        <v>-4.8497999999999999E-2</v>
      </c>
      <c r="DH277" s="4">
        <v>0.16131100000000001</v>
      </c>
      <c r="DI277" s="4">
        <v>0.32927499999999998</v>
      </c>
      <c r="DJ277" s="4">
        <v>-8.9060000000000007E-3</v>
      </c>
      <c r="DK277" s="4">
        <v>2.9621999999999999E-2</v>
      </c>
      <c r="DL277" s="4">
        <v>1</v>
      </c>
      <c r="DM277" s="4">
        <v>2</v>
      </c>
      <c r="DN277" s="4">
        <v>3</v>
      </c>
      <c r="DO277" s="4">
        <v>6</v>
      </c>
      <c r="DP277" s="4">
        <v>8</v>
      </c>
      <c r="DQ277" s="4">
        <v>10</v>
      </c>
      <c r="DR277" s="4">
        <v>14</v>
      </c>
      <c r="DS277" s="4">
        <v>18</v>
      </c>
      <c r="DT277" s="4">
        <v>20</v>
      </c>
      <c r="DU277" s="4">
        <v>23</v>
      </c>
      <c r="DV277" s="4">
        <v>24</v>
      </c>
      <c r="DW277" s="4">
        <v>25</v>
      </c>
      <c r="DX277" s="4">
        <v>28</v>
      </c>
      <c r="DY277" s="4">
        <v>31</v>
      </c>
      <c r="DZ277" s="4">
        <v>38</v>
      </c>
      <c r="EA277" s="4">
        <v>98.110748999999998</v>
      </c>
      <c r="EB277" s="4">
        <v>63.491430999999999</v>
      </c>
      <c r="EC277" s="4">
        <v>103.778502</v>
      </c>
      <c r="ED277" s="4">
        <v>1506</v>
      </c>
      <c r="EE277" s="4">
        <v>1593</v>
      </c>
      <c r="EF277" s="4">
        <v>97.915308999999993</v>
      </c>
      <c r="EG277" s="4">
        <v>100</v>
      </c>
      <c r="EH277" s="4">
        <v>63.013153000000003</v>
      </c>
      <c r="EI277" s="4">
        <v>87.485054000000005</v>
      </c>
      <c r="EJ277" s="4">
        <v>102.996743</v>
      </c>
      <c r="EK277" s="4">
        <v>142.99674300000001</v>
      </c>
      <c r="EL277" s="4">
        <v>1503</v>
      </c>
      <c r="EM277" s="4">
        <v>1535</v>
      </c>
      <c r="EN277" s="4">
        <v>1581</v>
      </c>
      <c r="EO277" s="4">
        <v>2195</v>
      </c>
      <c r="EP277" s="4">
        <v>1535</v>
      </c>
      <c r="EQ277" s="4">
        <v>2509</v>
      </c>
      <c r="ER277" s="4">
        <v>55.174146999999998</v>
      </c>
    </row>
    <row r="278" spans="1:148" x14ac:dyDescent="0.2">
      <c r="A278" s="1">
        <v>2022</v>
      </c>
      <c r="B278" s="1" t="str">
        <f t="shared" si="8"/>
        <v>NE</v>
      </c>
      <c r="C278" s="1" t="s">
        <v>1380</v>
      </c>
      <c r="D278" s="1" t="s">
        <v>1380</v>
      </c>
      <c r="E278" s="1">
        <v>26549</v>
      </c>
      <c r="F278" s="1" t="s">
        <v>2147</v>
      </c>
      <c r="G278" s="1" t="s">
        <v>1375</v>
      </c>
      <c r="H278" s="1" t="s">
        <v>1376</v>
      </c>
      <c r="I278" s="1">
        <v>44.19</v>
      </c>
      <c r="J278" s="1">
        <v>44.19</v>
      </c>
      <c r="K278" s="1" t="s">
        <v>168</v>
      </c>
      <c r="L278" s="1">
        <v>1</v>
      </c>
      <c r="M278" s="1">
        <v>2018</v>
      </c>
      <c r="N278" s="1">
        <v>3</v>
      </c>
      <c r="O278" s="1">
        <v>1</v>
      </c>
      <c r="P278" s="1" t="str">
        <f t="shared" si="9"/>
        <v>Alto fuste</v>
      </c>
      <c r="Q278" s="2">
        <v>43461</v>
      </c>
      <c r="R278" s="1" t="s">
        <v>169</v>
      </c>
      <c r="S278" s="1" t="s">
        <v>299</v>
      </c>
      <c r="T278" s="1" t="s">
        <v>2268</v>
      </c>
      <c r="U278" s="1" t="s">
        <v>170</v>
      </c>
      <c r="V278" s="1" t="s">
        <v>152</v>
      </c>
      <c r="W278" s="2">
        <v>44593</v>
      </c>
      <c r="X278" s="1" t="s">
        <v>1377</v>
      </c>
      <c r="Y278" s="1">
        <v>116.96</v>
      </c>
      <c r="Z278" s="1">
        <v>19.2</v>
      </c>
      <c r="AA278" s="1">
        <v>11</v>
      </c>
      <c r="AB278" s="1">
        <v>15.4</v>
      </c>
      <c r="AC278" s="1">
        <v>3</v>
      </c>
      <c r="AD278" s="3">
        <v>295.68</v>
      </c>
      <c r="AE278" s="3">
        <v>289.84975145539698</v>
      </c>
      <c r="AF278" s="2">
        <v>44593</v>
      </c>
      <c r="AG278" s="1">
        <v>38</v>
      </c>
      <c r="AH278" s="3">
        <v>3.0992470910335399</v>
      </c>
      <c r="AI278" s="4">
        <v>21.884938155037201</v>
      </c>
      <c r="AJ278" s="4">
        <v>15.3357142857143</v>
      </c>
      <c r="AK278" s="4">
        <v>17.9575476018587</v>
      </c>
      <c r="AL278" s="1">
        <v>28</v>
      </c>
      <c r="AM278" s="5">
        <v>966.01773365014299</v>
      </c>
      <c r="AN278" s="4">
        <v>166.461942711364</v>
      </c>
      <c r="AO278" s="4">
        <v>0.17231768829168301</v>
      </c>
      <c r="AP278" s="1" t="s">
        <v>299</v>
      </c>
      <c r="AQ278" s="1" t="s">
        <v>156</v>
      </c>
      <c r="AR278" s="1" t="s">
        <v>302</v>
      </c>
      <c r="AS278" s="1">
        <v>9</v>
      </c>
      <c r="AT278" s="4">
        <v>0.86941596028512869</v>
      </c>
      <c r="AU278" s="1" t="s">
        <v>1381</v>
      </c>
      <c r="AV278" s="1" t="s">
        <v>1382</v>
      </c>
      <c r="AW278" s="1">
        <v>4939</v>
      </c>
      <c r="AX278" s="1">
        <v>2868</v>
      </c>
      <c r="AY278" s="1">
        <v>1989</v>
      </c>
      <c r="AZ278" s="1">
        <v>81</v>
      </c>
      <c r="BA278" s="1">
        <v>1</v>
      </c>
      <c r="BB278" s="1">
        <v>0</v>
      </c>
      <c r="BC278" s="1">
        <v>0</v>
      </c>
      <c r="BD278" s="1">
        <v>0</v>
      </c>
      <c r="BE278" s="1">
        <v>0</v>
      </c>
      <c r="BF278" s="1">
        <v>0</v>
      </c>
      <c r="BG278" s="1">
        <v>0</v>
      </c>
      <c r="BH278" s="4">
        <v>-0.82699999999999996</v>
      </c>
      <c r="BI278" s="4">
        <v>21.042998999999998</v>
      </c>
      <c r="BJ278" s="4">
        <v>10.057959</v>
      </c>
      <c r="BK278" s="4">
        <v>-0.132714</v>
      </c>
      <c r="BL278" s="4">
        <v>8.6432420000000008</v>
      </c>
      <c r="BM278" s="4">
        <v>74.705639000000005</v>
      </c>
      <c r="BN278" s="4">
        <v>0.859344</v>
      </c>
      <c r="BO278" s="4">
        <v>17.633001</v>
      </c>
      <c r="BP278" s="4">
        <v>-0.257492</v>
      </c>
      <c r="BQ278" s="4">
        <v>1.135856</v>
      </c>
      <c r="BR278" s="4">
        <v>8.4410550000000004</v>
      </c>
      <c r="BS278" s="4">
        <v>3.2410009999999998</v>
      </c>
      <c r="BT278" s="4">
        <v>16.144714</v>
      </c>
      <c r="BU278" s="4">
        <v>10.057959</v>
      </c>
      <c r="BV278" s="4">
        <v>4.5414589999999997</v>
      </c>
      <c r="BW278" s="4">
        <v>-0.35821199999999997</v>
      </c>
      <c r="BX278" s="4">
        <v>-0.82559400000000005</v>
      </c>
      <c r="BY278" s="4">
        <v>0.45152900000000001</v>
      </c>
      <c r="BZ278" s="4">
        <v>-7.8876000000000002E-2</v>
      </c>
      <c r="CA278" s="4">
        <v>-0.18179000000000001</v>
      </c>
      <c r="CB278" s="4">
        <v>-0.48361999999999999</v>
      </c>
      <c r="CC278" s="4">
        <v>-0.23100000000000001</v>
      </c>
      <c r="CD278" s="4">
        <v>-0.11219999999999999</v>
      </c>
      <c r="CE278" s="4">
        <v>1.9E-2</v>
      </c>
      <c r="CF278" s="4">
        <v>0.08</v>
      </c>
      <c r="CG278" s="4">
        <v>0.14000000000000001</v>
      </c>
      <c r="CH278" s="4">
        <v>0.377</v>
      </c>
      <c r="CI278" s="4">
        <v>16.011998999999999</v>
      </c>
      <c r="CJ278" s="4">
        <v>16.804600000000001</v>
      </c>
      <c r="CK278" s="4">
        <v>17.406600999999998</v>
      </c>
      <c r="CL278" s="4">
        <v>17.713000999999998</v>
      </c>
      <c r="CM278" s="4">
        <v>18.019400000000001</v>
      </c>
      <c r="CN278" s="4">
        <v>18.793199999999999</v>
      </c>
      <c r="CO278" s="4">
        <v>19.402401000000001</v>
      </c>
      <c r="CP278" s="4">
        <v>20.091961000000001</v>
      </c>
      <c r="CQ278" s="4">
        <v>0.49771199999999999</v>
      </c>
      <c r="CR278" s="4">
        <v>13.260959</v>
      </c>
      <c r="CS278" s="4">
        <v>14.58877</v>
      </c>
      <c r="CT278" s="1">
        <v>1</v>
      </c>
      <c r="CU278" s="1">
        <v>54</v>
      </c>
      <c r="CV278" s="4">
        <v>14.209152</v>
      </c>
      <c r="CW278" s="4">
        <v>1</v>
      </c>
      <c r="CX278" s="4">
        <v>9.2117979999999999</v>
      </c>
      <c r="CY278" s="4">
        <v>84.857219000000001</v>
      </c>
      <c r="CZ278" s="4">
        <v>0.64829999999999999</v>
      </c>
      <c r="DA278" s="4">
        <v>16</v>
      </c>
      <c r="DB278" s="4">
        <v>0.332509</v>
      </c>
      <c r="DC278" s="4">
        <v>2.8392689999999998</v>
      </c>
      <c r="DD278" s="4">
        <v>7.8292650000000004</v>
      </c>
      <c r="DE278" s="4">
        <v>14.209152</v>
      </c>
      <c r="DF278" s="4">
        <v>5.19475</v>
      </c>
      <c r="DG278" s="4">
        <v>0.17439199999999999</v>
      </c>
      <c r="DH278" s="4">
        <v>9.7332000000000002E-2</v>
      </c>
      <c r="DI278" s="4">
        <v>0.36559199999999997</v>
      </c>
      <c r="DJ278" s="4">
        <v>3.3570999999999997E-2</v>
      </c>
      <c r="DK278" s="4">
        <v>1.8737E-2</v>
      </c>
      <c r="DL278" s="4">
        <v>1</v>
      </c>
      <c r="DM278" s="4">
        <v>1</v>
      </c>
      <c r="DN278" s="4">
        <v>2</v>
      </c>
      <c r="DO278" s="4">
        <v>4</v>
      </c>
      <c r="DP278" s="4">
        <v>5</v>
      </c>
      <c r="DQ278" s="4">
        <v>7</v>
      </c>
      <c r="DR278" s="4">
        <v>12</v>
      </c>
      <c r="DS278" s="4">
        <v>15</v>
      </c>
      <c r="DT278" s="4">
        <v>18</v>
      </c>
      <c r="DU278" s="4">
        <v>20</v>
      </c>
      <c r="DV278" s="4">
        <v>21</v>
      </c>
      <c r="DW278" s="4">
        <v>22</v>
      </c>
      <c r="DX278" s="4">
        <v>25</v>
      </c>
      <c r="DY278" s="4">
        <v>28</v>
      </c>
      <c r="DZ278" s="4">
        <v>39</v>
      </c>
      <c r="EA278" s="4">
        <v>96.861924999999999</v>
      </c>
      <c r="EB278" s="4">
        <v>58.311399000000002</v>
      </c>
      <c r="EC278" s="4">
        <v>100.41840999999999</v>
      </c>
      <c r="ED278" s="4">
        <v>2778</v>
      </c>
      <c r="EE278" s="4">
        <v>2880</v>
      </c>
      <c r="EF278" s="4">
        <v>96.408647000000002</v>
      </c>
      <c r="EG278" s="4">
        <v>99.965131999999997</v>
      </c>
      <c r="EH278" s="4">
        <v>57.278801000000001</v>
      </c>
      <c r="EI278" s="4">
        <v>91.010326000000006</v>
      </c>
      <c r="EJ278" s="4">
        <v>98.640167000000005</v>
      </c>
      <c r="EK278" s="4">
        <v>156.72942800000001</v>
      </c>
      <c r="EL278" s="4">
        <v>2765</v>
      </c>
      <c r="EM278" s="4">
        <v>2867</v>
      </c>
      <c r="EN278" s="4">
        <v>2829</v>
      </c>
      <c r="EO278" s="4">
        <v>4495</v>
      </c>
      <c r="EP278" s="4">
        <v>2868</v>
      </c>
      <c r="EQ278" s="4">
        <v>4939</v>
      </c>
      <c r="ER278" s="4">
        <v>49.234327999999998</v>
      </c>
    </row>
    <row r="279" spans="1:148" x14ac:dyDescent="0.2">
      <c r="A279" s="1">
        <v>2022</v>
      </c>
      <c r="B279" s="1" t="str">
        <f t="shared" si="8"/>
        <v>NE</v>
      </c>
      <c r="C279" s="1" t="s">
        <v>1383</v>
      </c>
      <c r="D279" s="1" t="s">
        <v>1383</v>
      </c>
      <c r="E279" s="1">
        <v>26551</v>
      </c>
      <c r="F279" s="1" t="s">
        <v>2148</v>
      </c>
      <c r="G279" s="1" t="s">
        <v>1375</v>
      </c>
      <c r="H279" s="1" t="s">
        <v>1384</v>
      </c>
      <c r="I279" s="1">
        <v>14.21</v>
      </c>
      <c r="J279" s="1">
        <v>14.21</v>
      </c>
      <c r="K279" s="1" t="s">
        <v>168</v>
      </c>
      <c r="L279" s="1">
        <v>1</v>
      </c>
      <c r="M279" s="1">
        <v>2018</v>
      </c>
      <c r="N279" s="1">
        <v>3</v>
      </c>
      <c r="O279" s="1">
        <v>2</v>
      </c>
      <c r="P279" s="1" t="str">
        <f t="shared" si="9"/>
        <v>Talhadia</v>
      </c>
      <c r="Q279" s="2">
        <v>43363</v>
      </c>
      <c r="R279" s="1" t="s">
        <v>169</v>
      </c>
      <c r="S279" s="1" t="s">
        <v>294</v>
      </c>
      <c r="T279" s="1" t="s">
        <v>2268</v>
      </c>
      <c r="U279" s="1" t="s">
        <v>170</v>
      </c>
      <c r="V279" s="1" t="s">
        <v>152</v>
      </c>
      <c r="W279" s="2">
        <v>44593</v>
      </c>
      <c r="X279" s="1" t="s">
        <v>1377</v>
      </c>
      <c r="Y279" s="1">
        <v>141.27000000000001</v>
      </c>
      <c r="Z279" s="1">
        <v>19.2</v>
      </c>
      <c r="AA279" s="1">
        <v>14</v>
      </c>
      <c r="AB279" s="1">
        <v>15.6</v>
      </c>
      <c r="AC279" s="1">
        <v>0</v>
      </c>
      <c r="AD279" s="3">
        <v>299.52</v>
      </c>
      <c r="AE279" s="3">
        <v>290.622975934186</v>
      </c>
      <c r="AF279" s="2">
        <v>44593</v>
      </c>
      <c r="AG279" s="1">
        <v>41</v>
      </c>
      <c r="AH279" s="3">
        <v>3.3675564681724799</v>
      </c>
      <c r="AI279" s="4">
        <v>18.706517942951599</v>
      </c>
      <c r="AJ279" s="4">
        <v>14.8633333333333</v>
      </c>
      <c r="AK279" s="4">
        <v>18.484503227285401</v>
      </c>
      <c r="AL279" s="1">
        <v>30</v>
      </c>
      <c r="AM279" s="5">
        <v>1032.26525375591</v>
      </c>
      <c r="AN279" s="4">
        <v>145.94183890887501</v>
      </c>
      <c r="AO279" s="4">
        <v>0.141380171790017</v>
      </c>
      <c r="AP279" s="1" t="s">
        <v>294</v>
      </c>
      <c r="AQ279" s="1" t="s">
        <v>254</v>
      </c>
      <c r="AR279" s="1" t="s">
        <v>302</v>
      </c>
      <c r="AS279" s="1">
        <v>9</v>
      </c>
      <c r="AT279" s="4">
        <v>0.92903872838031898</v>
      </c>
      <c r="AU279" s="1" t="s">
        <v>1385</v>
      </c>
      <c r="AV279" s="1" t="s">
        <v>1386</v>
      </c>
      <c r="AW279" s="1">
        <v>3402</v>
      </c>
      <c r="AX279" s="1">
        <v>1944</v>
      </c>
      <c r="AY279" s="1">
        <v>1133</v>
      </c>
      <c r="AZ279" s="1">
        <v>304</v>
      </c>
      <c r="BA279" s="1">
        <v>21</v>
      </c>
      <c r="BB279" s="1">
        <v>0</v>
      </c>
      <c r="BC279" s="1">
        <v>0</v>
      </c>
      <c r="BD279" s="1">
        <v>0</v>
      </c>
      <c r="BE279" s="1">
        <v>0</v>
      </c>
      <c r="BF279" s="1">
        <v>0</v>
      </c>
      <c r="BG279" s="1">
        <v>0</v>
      </c>
      <c r="BH279" s="4">
        <v>-0.86099999999999999</v>
      </c>
      <c r="BI279" s="4">
        <v>22.965</v>
      </c>
      <c r="BJ279" s="4">
        <v>9.727169</v>
      </c>
      <c r="BK279" s="4">
        <v>-0.104619</v>
      </c>
      <c r="BL279" s="4">
        <v>7.0485499999999996</v>
      </c>
      <c r="BM279" s="4">
        <v>49.682054000000001</v>
      </c>
      <c r="BN279" s="4">
        <v>0.72462499999999996</v>
      </c>
      <c r="BO279" s="4">
        <v>15.62125</v>
      </c>
      <c r="BP279" s="4">
        <v>-0.165801</v>
      </c>
      <c r="BQ279" s="4">
        <v>1.675154</v>
      </c>
      <c r="BR279" s="4">
        <v>6.0834330000000003</v>
      </c>
      <c r="BS279" s="4">
        <v>6.2824999999999998</v>
      </c>
      <c r="BT279" s="4">
        <v>10.978119</v>
      </c>
      <c r="BU279" s="4">
        <v>9.727169</v>
      </c>
      <c r="BV279" s="4">
        <v>4.0070110000000003</v>
      </c>
      <c r="BW279" s="4">
        <v>-0.13106699999999999</v>
      </c>
      <c r="BX279" s="4">
        <v>-0.175899</v>
      </c>
      <c r="BY279" s="4">
        <v>0.41193999999999997</v>
      </c>
      <c r="BZ279" s="4">
        <v>-3.2709000000000002E-2</v>
      </c>
      <c r="CA279" s="4">
        <v>-4.3898E-2</v>
      </c>
      <c r="CB279" s="4">
        <v>-0.29196</v>
      </c>
      <c r="CC279" s="4">
        <v>-9.2999999999999999E-2</v>
      </c>
      <c r="CD279" s="4">
        <v>-9.7999999999999997E-3</v>
      </c>
      <c r="CE279" s="4">
        <v>0.189</v>
      </c>
      <c r="CF279" s="4">
        <v>0.52100000000000002</v>
      </c>
      <c r="CG279" s="4">
        <v>4.8613</v>
      </c>
      <c r="CH279" s="4">
        <v>9.3228010000000001</v>
      </c>
      <c r="CI279" s="4">
        <v>10.8735</v>
      </c>
      <c r="CJ279" s="4">
        <v>12.202800999999999</v>
      </c>
      <c r="CK279" s="4">
        <v>14.5425</v>
      </c>
      <c r="CL279" s="4">
        <v>16.142250000000001</v>
      </c>
      <c r="CM279" s="4">
        <v>17.203600000000002</v>
      </c>
      <c r="CN279" s="4">
        <v>18.686700999999999</v>
      </c>
      <c r="CO279" s="4">
        <v>19.297999999999998</v>
      </c>
      <c r="CP279" s="4">
        <v>21.603919999999999</v>
      </c>
      <c r="CQ279" s="4">
        <v>0.44439600000000001</v>
      </c>
      <c r="CR279" s="4">
        <v>12.011881000000001</v>
      </c>
      <c r="CS279" s="4">
        <v>13.222384999999999</v>
      </c>
      <c r="CT279" s="1">
        <v>1</v>
      </c>
      <c r="CU279" s="1">
        <v>72</v>
      </c>
      <c r="CV279" s="4">
        <v>21.444444000000001</v>
      </c>
      <c r="CW279" s="4">
        <v>17.904762000000002</v>
      </c>
      <c r="CX279" s="4">
        <v>13.38635</v>
      </c>
      <c r="CY279" s="4">
        <v>179.194355</v>
      </c>
      <c r="CZ279" s="4">
        <v>0.62423399999999996</v>
      </c>
      <c r="DA279" s="4">
        <v>22</v>
      </c>
      <c r="DB279" s="4">
        <v>0.39882400000000001</v>
      </c>
      <c r="DC279" s="4">
        <v>2.3733399999999998</v>
      </c>
      <c r="DD279" s="4">
        <v>11.304657000000001</v>
      </c>
      <c r="DE279" s="4">
        <v>21.444444000000001</v>
      </c>
      <c r="DF279" s="4">
        <v>7.6317029999999999</v>
      </c>
      <c r="DG279" s="4">
        <v>0.67965900000000001</v>
      </c>
      <c r="DH279" s="4">
        <v>0.278557</v>
      </c>
      <c r="DI279" s="4">
        <v>0.355883</v>
      </c>
      <c r="DJ279" s="4">
        <v>8.9056999999999997E-2</v>
      </c>
      <c r="DK279" s="4">
        <v>3.6499999999999998E-2</v>
      </c>
      <c r="DL279" s="4">
        <v>1</v>
      </c>
      <c r="DM279" s="4">
        <v>3</v>
      </c>
      <c r="DN279" s="4">
        <v>5</v>
      </c>
      <c r="DO279" s="4">
        <v>8</v>
      </c>
      <c r="DP279" s="4">
        <v>10</v>
      </c>
      <c r="DQ279" s="4">
        <v>12</v>
      </c>
      <c r="DR279" s="4">
        <v>16</v>
      </c>
      <c r="DS279" s="4">
        <v>20</v>
      </c>
      <c r="DT279" s="4">
        <v>25</v>
      </c>
      <c r="DU279" s="4">
        <v>29</v>
      </c>
      <c r="DV279" s="4">
        <v>32</v>
      </c>
      <c r="DW279" s="4">
        <v>34</v>
      </c>
      <c r="DX279" s="4">
        <v>40</v>
      </c>
      <c r="DY279" s="4">
        <v>44.949950999999999</v>
      </c>
      <c r="DZ279" s="4">
        <v>53</v>
      </c>
      <c r="EA279" s="4">
        <v>99.588476999999997</v>
      </c>
      <c r="EB279" s="4">
        <v>72.427983999999995</v>
      </c>
      <c r="EC279" s="4">
        <v>126.748971</v>
      </c>
      <c r="ED279" s="4">
        <v>1936</v>
      </c>
      <c r="EE279" s="4">
        <v>2464</v>
      </c>
      <c r="EF279" s="4">
        <v>91.203704000000002</v>
      </c>
      <c r="EG279" s="4">
        <v>100</v>
      </c>
      <c r="EH279" s="4">
        <v>58.230452999999997</v>
      </c>
      <c r="EI279" s="4">
        <v>95.473251000000005</v>
      </c>
      <c r="EJ279" s="4">
        <v>101.90329199999999</v>
      </c>
      <c r="EK279" s="4">
        <v>167.07818900000001</v>
      </c>
      <c r="EL279" s="4">
        <v>1773</v>
      </c>
      <c r="EM279" s="4">
        <v>1944</v>
      </c>
      <c r="EN279" s="4">
        <v>1981</v>
      </c>
      <c r="EO279" s="4">
        <v>3248</v>
      </c>
      <c r="EP279" s="4">
        <v>1944</v>
      </c>
      <c r="EQ279" s="4">
        <v>3402</v>
      </c>
      <c r="ER279" s="4">
        <v>44.052411999999997</v>
      </c>
    </row>
    <row r="280" spans="1:148" x14ac:dyDescent="0.2">
      <c r="A280" s="1">
        <v>2022</v>
      </c>
      <c r="B280" s="1" t="str">
        <f t="shared" si="8"/>
        <v>NE</v>
      </c>
      <c r="C280" s="1" t="s">
        <v>1387</v>
      </c>
      <c r="D280" s="1" t="s">
        <v>1387</v>
      </c>
      <c r="E280" s="1">
        <v>26557</v>
      </c>
      <c r="F280" s="1" t="s">
        <v>2145</v>
      </c>
      <c r="G280" s="1" t="s">
        <v>1336</v>
      </c>
      <c r="H280" s="1" t="s">
        <v>1388</v>
      </c>
      <c r="I280" s="1">
        <v>47.85</v>
      </c>
      <c r="J280" s="1">
        <v>47.85</v>
      </c>
      <c r="K280" s="1" t="s">
        <v>184</v>
      </c>
      <c r="L280" s="1">
        <v>1</v>
      </c>
      <c r="M280" s="1">
        <v>2018</v>
      </c>
      <c r="N280" s="1">
        <v>2</v>
      </c>
      <c r="O280" s="1">
        <v>2</v>
      </c>
      <c r="P280" s="1" t="str">
        <f t="shared" si="9"/>
        <v>Talhadia</v>
      </c>
      <c r="Q280" s="2">
        <v>43454</v>
      </c>
      <c r="R280" s="1" t="s">
        <v>306</v>
      </c>
      <c r="S280" s="1" t="s">
        <v>150</v>
      </c>
      <c r="T280" s="1" t="s">
        <v>2268</v>
      </c>
      <c r="U280" s="1" t="s">
        <v>170</v>
      </c>
      <c r="V280" s="1" t="s">
        <v>152</v>
      </c>
      <c r="W280" s="2">
        <v>44586</v>
      </c>
      <c r="X280" s="1" t="s">
        <v>1338</v>
      </c>
      <c r="Y280" s="1">
        <v>65.34</v>
      </c>
      <c r="Z280" s="1">
        <v>20.7</v>
      </c>
      <c r="AA280" s="1">
        <v>27</v>
      </c>
      <c r="AB280" s="1">
        <v>14.6</v>
      </c>
      <c r="AC280" s="1">
        <v>2</v>
      </c>
      <c r="AD280" s="3">
        <v>302.22000000000003</v>
      </c>
      <c r="AE280" s="3">
        <v>269.11595364494201</v>
      </c>
      <c r="AF280" s="2">
        <v>44586</v>
      </c>
      <c r="AG280" s="1">
        <v>37</v>
      </c>
      <c r="AH280" s="3">
        <v>3.0992470910335399</v>
      </c>
      <c r="AI280" s="4">
        <v>20.460854121397698</v>
      </c>
      <c r="AJ280" s="4">
        <v>14.159090909090899</v>
      </c>
      <c r="AK280" s="4">
        <v>13.626682080348001</v>
      </c>
      <c r="AL280" s="1">
        <v>22</v>
      </c>
      <c r="AM280" s="5">
        <v>817.49148283589602</v>
      </c>
      <c r="AN280" s="4">
        <v>123.53565323518301</v>
      </c>
      <c r="AO280" s="4">
        <v>0.151115523316079</v>
      </c>
      <c r="AP280" s="1" t="s">
        <v>150</v>
      </c>
      <c r="AQ280" s="1" t="s">
        <v>254</v>
      </c>
      <c r="AR280" s="1" t="s">
        <v>1050</v>
      </c>
      <c r="AS280" s="1">
        <v>9.99</v>
      </c>
      <c r="AT280" s="4">
        <v>0.81667399135306018</v>
      </c>
      <c r="AU280" s="1" t="s">
        <v>1389</v>
      </c>
      <c r="AV280" s="1" t="s">
        <v>1390</v>
      </c>
      <c r="AW280" s="1">
        <v>4899</v>
      </c>
      <c r="AX280" s="1">
        <v>4899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0</v>
      </c>
      <c r="BG280" s="1">
        <v>0</v>
      </c>
      <c r="BH280" s="4">
        <v>-0.36799999999999999</v>
      </c>
      <c r="BI280" s="4">
        <v>24.422001000000002</v>
      </c>
      <c r="BJ280" s="4">
        <v>16.096011000000001</v>
      </c>
      <c r="BK280" s="4">
        <v>16.158667000000001</v>
      </c>
      <c r="BL280" s="4">
        <v>6.0026279999999996</v>
      </c>
      <c r="BM280" s="4">
        <v>36.031543999999997</v>
      </c>
      <c r="BN280" s="4">
        <v>0.37292599999999998</v>
      </c>
      <c r="BO280" s="4">
        <v>4.4524990000000004</v>
      </c>
      <c r="BP280" s="4">
        <v>-1.6865810000000001</v>
      </c>
      <c r="BQ280" s="4">
        <v>5.1482679999999998</v>
      </c>
      <c r="BR280" s="4">
        <v>4.0786179999999996</v>
      </c>
      <c r="BS280" s="4">
        <v>2.2149999999999999</v>
      </c>
      <c r="BT280" s="4">
        <v>2.647332</v>
      </c>
      <c r="BU280" s="4">
        <v>16.096011000000001</v>
      </c>
      <c r="BV280" s="4">
        <v>2.93987</v>
      </c>
      <c r="BW280" s="4">
        <v>-0.93409399999999998</v>
      </c>
      <c r="BX280" s="4">
        <v>0.69734799999999997</v>
      </c>
      <c r="BY280" s="4">
        <v>0.182646</v>
      </c>
      <c r="BZ280" s="4">
        <v>-0.31773299999999999</v>
      </c>
      <c r="CA280" s="4">
        <v>0.237204</v>
      </c>
      <c r="CB280" s="4">
        <v>-0.17702000000000001</v>
      </c>
      <c r="CC280" s="4">
        <v>5.5E-2</v>
      </c>
      <c r="CD280" s="4">
        <v>5.4965999999999999</v>
      </c>
      <c r="CE280" s="4">
        <v>14.6258</v>
      </c>
      <c r="CF280" s="4">
        <v>15.3025</v>
      </c>
      <c r="CG280" s="4">
        <v>15.8058</v>
      </c>
      <c r="CH280" s="4">
        <v>16.5914</v>
      </c>
      <c r="CI280" s="4">
        <v>17.399999999999999</v>
      </c>
      <c r="CJ280" s="4">
        <v>18.302399000000001</v>
      </c>
      <c r="CK280" s="4">
        <v>19.157599999999999</v>
      </c>
      <c r="CL280" s="4">
        <v>19.754999000000002</v>
      </c>
      <c r="CM280" s="4">
        <v>20.424600999999999</v>
      </c>
      <c r="CN280" s="4">
        <v>21.748199</v>
      </c>
      <c r="CO280" s="4">
        <v>22.301400999999998</v>
      </c>
      <c r="CP280" s="4">
        <v>23.061001000000001</v>
      </c>
      <c r="CQ280" s="4">
        <v>0.66413900000000003</v>
      </c>
      <c r="CR280" s="4">
        <v>17.178643000000001</v>
      </c>
      <c r="CS280" s="4">
        <v>17.699759</v>
      </c>
      <c r="CT280" s="1">
        <v>1</v>
      </c>
      <c r="CU280" s="1">
        <v>39</v>
      </c>
      <c r="CV280" s="4">
        <v>10.082262</v>
      </c>
      <c r="CW280" s="4">
        <v>8.8412699999999997</v>
      </c>
      <c r="CX280" s="4">
        <v>6.12967</v>
      </c>
      <c r="CY280" s="4">
        <v>37.572856000000002</v>
      </c>
      <c r="CZ280" s="4">
        <v>0.60796600000000001</v>
      </c>
      <c r="DA280" s="4">
        <v>7</v>
      </c>
      <c r="DB280" s="4">
        <v>1.1971780000000001</v>
      </c>
      <c r="DC280" s="4">
        <v>5.0510359999999999</v>
      </c>
      <c r="DD280" s="4">
        <v>4.7053209999999996</v>
      </c>
      <c r="DE280" s="4">
        <v>10.082262</v>
      </c>
      <c r="DF280" s="4">
        <v>3.293444</v>
      </c>
      <c r="DG280" s="4">
        <v>0.61590999999999996</v>
      </c>
      <c r="DH280" s="4">
        <v>0.47823599999999999</v>
      </c>
      <c r="DI280" s="4">
        <v>0.32665699999999998</v>
      </c>
      <c r="DJ280" s="4">
        <v>0.18701100000000001</v>
      </c>
      <c r="DK280" s="4">
        <v>0.145209</v>
      </c>
      <c r="DL280" s="4">
        <v>1</v>
      </c>
      <c r="DM280" s="4">
        <v>2</v>
      </c>
      <c r="DN280" s="4">
        <v>3</v>
      </c>
      <c r="DO280" s="4">
        <v>5</v>
      </c>
      <c r="DP280" s="4">
        <v>6</v>
      </c>
      <c r="DQ280" s="4">
        <v>6</v>
      </c>
      <c r="DR280" s="4">
        <v>8</v>
      </c>
      <c r="DS280" s="4">
        <v>9</v>
      </c>
      <c r="DT280" s="4">
        <v>11</v>
      </c>
      <c r="DU280" s="4">
        <v>12</v>
      </c>
      <c r="DV280" s="4">
        <v>13</v>
      </c>
      <c r="DW280" s="4">
        <v>14</v>
      </c>
      <c r="DX280" s="4">
        <v>18</v>
      </c>
      <c r="DY280" s="4">
        <v>21</v>
      </c>
      <c r="DZ280" s="4">
        <v>31.020019999999999</v>
      </c>
      <c r="EA280" s="4">
        <v>90.385793000000007</v>
      </c>
      <c r="EB280" s="4">
        <v>90.385793000000007</v>
      </c>
      <c r="EC280" s="4">
        <v>90.385793000000007</v>
      </c>
      <c r="ED280" s="4">
        <v>4428</v>
      </c>
      <c r="EE280" s="4">
        <v>4428</v>
      </c>
      <c r="EF280" s="4">
        <v>66.748316000000003</v>
      </c>
      <c r="EG280" s="4">
        <v>65.707286999999994</v>
      </c>
      <c r="EH280" s="4">
        <v>66.748316000000003</v>
      </c>
      <c r="EI280" s="4">
        <v>65.707286999999994</v>
      </c>
      <c r="EJ280" s="4">
        <v>66.748316000000003</v>
      </c>
      <c r="EK280" s="4">
        <v>65.707286999999994</v>
      </c>
      <c r="EL280" s="4">
        <v>3270</v>
      </c>
      <c r="EM280" s="4">
        <v>3219</v>
      </c>
      <c r="EN280" s="4">
        <v>3270</v>
      </c>
      <c r="EO280" s="4">
        <v>3219</v>
      </c>
      <c r="EP280" s="4">
        <v>4899</v>
      </c>
      <c r="EQ280" s="4">
        <v>4899</v>
      </c>
      <c r="ER280" s="4">
        <v>68.816732999999999</v>
      </c>
    </row>
    <row r="281" spans="1:148" x14ac:dyDescent="0.2">
      <c r="A281" s="1">
        <v>2022</v>
      </c>
      <c r="B281" s="1" t="str">
        <f t="shared" si="8"/>
        <v>NE</v>
      </c>
      <c r="C281" s="1" t="s">
        <v>1391</v>
      </c>
      <c r="D281" s="1" t="s">
        <v>1391</v>
      </c>
      <c r="E281" s="1">
        <v>26561</v>
      </c>
      <c r="F281" s="1" t="s">
        <v>2149</v>
      </c>
      <c r="G281" s="1" t="s">
        <v>1392</v>
      </c>
      <c r="H281" s="1" t="s">
        <v>1393</v>
      </c>
      <c r="I281" s="1">
        <v>78.34</v>
      </c>
      <c r="J281" s="1">
        <v>78.34</v>
      </c>
      <c r="K281" s="1" t="s">
        <v>1022</v>
      </c>
      <c r="L281" s="1">
        <v>1</v>
      </c>
      <c r="M281" s="1">
        <v>2018</v>
      </c>
      <c r="N281" s="1">
        <v>3</v>
      </c>
      <c r="O281" s="1">
        <v>2</v>
      </c>
      <c r="P281" s="1" t="str">
        <f t="shared" si="9"/>
        <v>Talhadia</v>
      </c>
      <c r="Q281" s="2">
        <v>43269</v>
      </c>
      <c r="R281" s="1" t="s">
        <v>169</v>
      </c>
      <c r="S281" s="1" t="s">
        <v>163</v>
      </c>
      <c r="T281" s="1" t="s">
        <v>2268</v>
      </c>
      <c r="U281" s="1" t="s">
        <v>1022</v>
      </c>
      <c r="V281" s="1" t="s">
        <v>152</v>
      </c>
      <c r="W281" s="2">
        <v>44805</v>
      </c>
      <c r="X281" s="1" t="s">
        <v>1394</v>
      </c>
      <c r="Y281" s="1">
        <v>78.34</v>
      </c>
      <c r="Z281" s="1">
        <v>20.2</v>
      </c>
      <c r="AA281" s="1">
        <v>12</v>
      </c>
      <c r="AB281" s="1">
        <v>15.4</v>
      </c>
      <c r="AC281" s="1">
        <v>5</v>
      </c>
      <c r="AD281" s="3">
        <v>311.08</v>
      </c>
      <c r="AE281" s="3">
        <v>303.124270168782</v>
      </c>
      <c r="AF281" s="2">
        <v>44805</v>
      </c>
      <c r="AG281" s="1">
        <v>51</v>
      </c>
      <c r="AH281" s="3">
        <v>4.2053388090349104</v>
      </c>
      <c r="AI281" s="4">
        <v>21.442726902517801</v>
      </c>
      <c r="AJ281" s="4">
        <v>15.0628571428571</v>
      </c>
      <c r="AK281" s="4">
        <v>22.346118142802801</v>
      </c>
      <c r="AL281" s="1">
        <v>35</v>
      </c>
      <c r="AM281" s="5">
        <v>1154.64195527833</v>
      </c>
      <c r="AN281" s="4">
        <v>232.35181140551299</v>
      </c>
      <c r="AO281" s="4">
        <v>0.20123278072768699</v>
      </c>
      <c r="AP281" s="1" t="s">
        <v>163</v>
      </c>
      <c r="AQ281" s="1" t="s">
        <v>254</v>
      </c>
      <c r="AR281" s="1" t="s">
        <v>1397</v>
      </c>
      <c r="AS281" s="1">
        <v>9</v>
      </c>
      <c r="AT281" s="4">
        <v>1.039177759750497</v>
      </c>
      <c r="AU281" s="1" t="s">
        <v>1395</v>
      </c>
      <c r="AV281" s="1" t="s">
        <v>1396</v>
      </c>
      <c r="AW281" s="1">
        <v>3479</v>
      </c>
      <c r="AX281" s="1">
        <v>1843</v>
      </c>
      <c r="AY281" s="1">
        <v>1490</v>
      </c>
      <c r="AZ281" s="1">
        <v>138</v>
      </c>
      <c r="BA281" s="1">
        <v>8</v>
      </c>
      <c r="BB281" s="1">
        <v>0</v>
      </c>
      <c r="BC281" s="1">
        <v>0</v>
      </c>
      <c r="BD281" s="1">
        <v>0</v>
      </c>
      <c r="BE281" s="1">
        <v>0</v>
      </c>
      <c r="BF281" s="1">
        <v>0</v>
      </c>
      <c r="BG281" s="1">
        <v>0</v>
      </c>
      <c r="BH281" s="4">
        <v>-1.0189999999999999</v>
      </c>
      <c r="BI281" s="4">
        <v>27.702000000000002</v>
      </c>
      <c r="BJ281" s="4">
        <v>12.075032</v>
      </c>
      <c r="BK281" s="4">
        <v>-0.56311100000000003</v>
      </c>
      <c r="BL281" s="4">
        <v>11.706948000000001</v>
      </c>
      <c r="BM281" s="4">
        <v>137.05262300000001</v>
      </c>
      <c r="BN281" s="4">
        <v>0.96951699999999996</v>
      </c>
      <c r="BO281" s="4">
        <v>24.061001000000001</v>
      </c>
      <c r="BP281" s="4">
        <v>3.6600000000000001E-4</v>
      </c>
      <c r="BQ281" s="4">
        <v>1.1025050000000001</v>
      </c>
      <c r="BR281" s="4">
        <v>11.429163000000001</v>
      </c>
      <c r="BS281" s="4">
        <v>11.422000000000001</v>
      </c>
      <c r="BT281" s="4">
        <v>15.339111000000001</v>
      </c>
      <c r="BU281" s="4">
        <v>12.075032</v>
      </c>
      <c r="BV281" s="4">
        <v>6.2375819999999997</v>
      </c>
      <c r="BW281" s="4">
        <v>0.22018199999999999</v>
      </c>
      <c r="BX281" s="4">
        <v>-1.2644679999999999</v>
      </c>
      <c r="BY281" s="4">
        <v>0.51656899999999994</v>
      </c>
      <c r="BZ281" s="4">
        <v>3.5298999999999997E-2</v>
      </c>
      <c r="CA281" s="4">
        <v>-0.20271800000000001</v>
      </c>
      <c r="CB281" s="4">
        <v>-0.52822000000000002</v>
      </c>
      <c r="CC281" s="4">
        <v>-0.34399999999999997</v>
      </c>
      <c r="CD281" s="4">
        <v>-0.2492</v>
      </c>
      <c r="CE281" s="4">
        <v>-0.14699999999999999</v>
      </c>
      <c r="CF281" s="4">
        <v>-0.105</v>
      </c>
      <c r="CG281" s="4">
        <v>-6.5000000000000002E-2</v>
      </c>
      <c r="CH281" s="4">
        <v>5.7000000000000002E-2</v>
      </c>
      <c r="CI281" s="4">
        <v>14.776</v>
      </c>
      <c r="CJ281" s="4">
        <v>22.032202000000002</v>
      </c>
      <c r="CK281" s="4">
        <v>23.387599999999999</v>
      </c>
      <c r="CL281" s="4">
        <v>23.956001000000001</v>
      </c>
      <c r="CM281" s="4">
        <v>24.412400999999999</v>
      </c>
      <c r="CN281" s="4">
        <v>25.356999999999999</v>
      </c>
      <c r="CO281" s="4">
        <v>26.045400999999998</v>
      </c>
      <c r="CP281" s="4">
        <v>27.056878999999999</v>
      </c>
      <c r="CQ281" s="4">
        <v>0.45590399999999998</v>
      </c>
      <c r="CR281" s="4">
        <v>16.817242</v>
      </c>
      <c r="CS281" s="4">
        <v>18.875001999999999</v>
      </c>
      <c r="CT281" s="1">
        <v>1</v>
      </c>
      <c r="CU281" s="1">
        <v>59</v>
      </c>
      <c r="CV281" s="4">
        <v>16.169301999999998</v>
      </c>
      <c r="CW281" s="4">
        <v>2.8412700000000002</v>
      </c>
      <c r="CX281" s="4">
        <v>10.756722999999999</v>
      </c>
      <c r="CY281" s="4">
        <v>115.70709600000001</v>
      </c>
      <c r="CZ281" s="4">
        <v>0.66525599999999996</v>
      </c>
      <c r="DA281" s="4">
        <v>14</v>
      </c>
      <c r="DB281" s="4">
        <v>0.79657599999999995</v>
      </c>
      <c r="DC281" s="4">
        <v>3.644863</v>
      </c>
      <c r="DD281" s="4">
        <v>8.548845</v>
      </c>
      <c r="DE281" s="4">
        <v>16.169301999999998</v>
      </c>
      <c r="DF281" s="4">
        <v>5.9507389999999996</v>
      </c>
      <c r="DG281" s="4">
        <v>0.76189399999999996</v>
      </c>
      <c r="DH281" s="4">
        <v>0.62653400000000004</v>
      </c>
      <c r="DI281" s="4">
        <v>0.36802699999999999</v>
      </c>
      <c r="DJ281" s="4">
        <v>0.12803300000000001</v>
      </c>
      <c r="DK281" s="4">
        <v>0.10528700000000001</v>
      </c>
      <c r="DL281" s="4">
        <v>1</v>
      </c>
      <c r="DM281" s="4">
        <v>2</v>
      </c>
      <c r="DN281" s="4">
        <v>3</v>
      </c>
      <c r="DO281" s="4">
        <v>6</v>
      </c>
      <c r="DP281" s="4">
        <v>8</v>
      </c>
      <c r="DQ281" s="4">
        <v>9</v>
      </c>
      <c r="DR281" s="4">
        <v>12</v>
      </c>
      <c r="DS281" s="4">
        <v>15</v>
      </c>
      <c r="DT281" s="4">
        <v>19</v>
      </c>
      <c r="DU281" s="4">
        <v>21</v>
      </c>
      <c r="DV281" s="4">
        <v>22</v>
      </c>
      <c r="DW281" s="4">
        <v>24</v>
      </c>
      <c r="DX281" s="4">
        <v>29</v>
      </c>
      <c r="DY281" s="4">
        <v>37</v>
      </c>
      <c r="DZ281" s="4">
        <v>48</v>
      </c>
      <c r="EA281" s="4">
        <v>93.977210999999997</v>
      </c>
      <c r="EB281" s="4">
        <v>54.096004999999998</v>
      </c>
      <c r="EC281" s="4">
        <v>102.11611499999999</v>
      </c>
      <c r="ED281" s="4">
        <v>1732</v>
      </c>
      <c r="EE281" s="4">
        <v>1882</v>
      </c>
      <c r="EF281" s="4">
        <v>93.000542999999993</v>
      </c>
      <c r="EG281" s="4">
        <v>100</v>
      </c>
      <c r="EH281" s="4">
        <v>50.962919999999997</v>
      </c>
      <c r="EI281" s="4">
        <v>99.223915000000005</v>
      </c>
      <c r="EJ281" s="4">
        <v>96.201845000000006</v>
      </c>
      <c r="EK281" s="4">
        <v>187.30331000000001</v>
      </c>
      <c r="EL281" s="4">
        <v>1714</v>
      </c>
      <c r="EM281" s="4">
        <v>1843</v>
      </c>
      <c r="EN281" s="4">
        <v>1773</v>
      </c>
      <c r="EO281" s="4">
        <v>3452</v>
      </c>
      <c r="EP281" s="4">
        <v>1843</v>
      </c>
      <c r="EQ281" s="4">
        <v>3479</v>
      </c>
      <c r="ER281" s="4">
        <v>43.911639999999998</v>
      </c>
    </row>
    <row r="282" spans="1:148" x14ac:dyDescent="0.2">
      <c r="A282" s="1">
        <v>2022</v>
      </c>
      <c r="B282" s="1" t="str">
        <f t="shared" si="8"/>
        <v>NE</v>
      </c>
      <c r="C282" s="1" t="s">
        <v>1398</v>
      </c>
      <c r="D282" s="1" t="s">
        <v>1398</v>
      </c>
      <c r="E282" s="1">
        <v>26562</v>
      </c>
      <c r="F282" s="1" t="s">
        <v>2149</v>
      </c>
      <c r="G282" s="1" t="s">
        <v>1392</v>
      </c>
      <c r="H282" s="1" t="s">
        <v>1393</v>
      </c>
      <c r="I282" s="1">
        <v>78.34</v>
      </c>
      <c r="J282" s="1">
        <v>78.34</v>
      </c>
      <c r="K282" s="1" t="s">
        <v>1022</v>
      </c>
      <c r="L282" s="1">
        <v>1</v>
      </c>
      <c r="M282" s="1">
        <v>2018</v>
      </c>
      <c r="N282" s="1">
        <v>3</v>
      </c>
      <c r="O282" s="1">
        <v>2</v>
      </c>
      <c r="P282" s="1" t="str">
        <f t="shared" si="9"/>
        <v>Talhadia</v>
      </c>
      <c r="Q282" s="2">
        <v>43269</v>
      </c>
      <c r="R282" s="1" t="s">
        <v>169</v>
      </c>
      <c r="S282" s="1" t="s">
        <v>163</v>
      </c>
      <c r="T282" s="1" t="s">
        <v>2268</v>
      </c>
      <c r="U282" s="1" t="s">
        <v>1022</v>
      </c>
      <c r="V282" s="1" t="s">
        <v>152</v>
      </c>
      <c r="W282" s="2">
        <v>44805</v>
      </c>
      <c r="X282" s="1" t="s">
        <v>1394</v>
      </c>
      <c r="Y282" s="1">
        <v>78.34</v>
      </c>
      <c r="Z282" s="1">
        <v>19.5</v>
      </c>
      <c r="AA282" s="1">
        <v>14</v>
      </c>
      <c r="AB282" s="1">
        <v>15.3</v>
      </c>
      <c r="AC282" s="1">
        <v>2</v>
      </c>
      <c r="AD282" s="3">
        <v>298.35000000000002</v>
      </c>
      <c r="AE282" s="3">
        <v>289.31138183106401</v>
      </c>
      <c r="AF282" s="2">
        <v>44805</v>
      </c>
      <c r="AG282" s="1">
        <v>51</v>
      </c>
      <c r="AH282" s="3">
        <v>4.2053388090349104</v>
      </c>
      <c r="AI282" s="4">
        <v>23.939072372641899</v>
      </c>
      <c r="AJ282" s="4">
        <v>17.039130434782599</v>
      </c>
      <c r="AK282" s="4">
        <v>18.978496332680599</v>
      </c>
      <c r="AL282" s="1">
        <v>23</v>
      </c>
      <c r="AM282" s="5">
        <v>794.99119095944297</v>
      </c>
      <c r="AN282" s="4">
        <v>210.07150419879201</v>
      </c>
      <c r="AO282" s="4">
        <v>0.26424381375253397</v>
      </c>
      <c r="AP282" s="1" t="s">
        <v>163</v>
      </c>
      <c r="AQ282" s="1" t="s">
        <v>254</v>
      </c>
      <c r="AR282" s="1" t="s">
        <v>1397</v>
      </c>
      <c r="AS282" s="1">
        <v>9</v>
      </c>
      <c r="AT282" s="4">
        <v>0.71549207186349872</v>
      </c>
      <c r="AU282" s="1" t="s">
        <v>1399</v>
      </c>
      <c r="AV282" s="1" t="s">
        <v>1400</v>
      </c>
      <c r="AW282" s="1">
        <v>2261</v>
      </c>
      <c r="AX282" s="1">
        <v>1244</v>
      </c>
      <c r="AY282" s="1">
        <v>916</v>
      </c>
      <c r="AZ282" s="1">
        <v>92</v>
      </c>
      <c r="BA282" s="1">
        <v>9</v>
      </c>
      <c r="BB282" s="1">
        <v>0</v>
      </c>
      <c r="BC282" s="1">
        <v>0</v>
      </c>
      <c r="BD282" s="1">
        <v>0</v>
      </c>
      <c r="BE282" s="1">
        <v>0</v>
      </c>
      <c r="BF282" s="1">
        <v>0</v>
      </c>
      <c r="BG282" s="1">
        <v>0</v>
      </c>
      <c r="BH282" s="4">
        <v>-0.49299999999999999</v>
      </c>
      <c r="BI282" s="4">
        <v>28.153998999999999</v>
      </c>
      <c r="BJ282" s="4">
        <v>11.262314</v>
      </c>
      <c r="BK282" s="4">
        <v>-3.8286000000000001E-2</v>
      </c>
      <c r="BL282" s="4">
        <v>11.137501</v>
      </c>
      <c r="BM282" s="4">
        <v>124.04393899999999</v>
      </c>
      <c r="BN282" s="4">
        <v>0.98891799999999996</v>
      </c>
      <c r="BO282" s="4">
        <v>22.68</v>
      </c>
      <c r="BP282" s="4">
        <v>0.115298</v>
      </c>
      <c r="BQ282" s="4">
        <v>1.173602</v>
      </c>
      <c r="BR282" s="4">
        <v>10.740615999999999</v>
      </c>
      <c r="BS282" s="4">
        <v>11.455999</v>
      </c>
      <c r="BT282" s="4">
        <v>11.669285</v>
      </c>
      <c r="BU282" s="4">
        <v>11.262314</v>
      </c>
      <c r="BV282" s="4">
        <v>5.9911180000000002</v>
      </c>
      <c r="BW282" s="4">
        <v>0.58490799999999998</v>
      </c>
      <c r="BX282" s="4">
        <v>-1.077941</v>
      </c>
      <c r="BY282" s="4">
        <v>0.53196200000000005</v>
      </c>
      <c r="BZ282" s="4">
        <v>9.7628999999999994E-2</v>
      </c>
      <c r="CA282" s="4">
        <v>-0.179923</v>
      </c>
      <c r="CB282" s="4">
        <v>-0.189</v>
      </c>
      <c r="CC282" s="4">
        <v>-4.2999999999999997E-2</v>
      </c>
      <c r="CD282" s="4">
        <v>2.7E-2</v>
      </c>
      <c r="CE282" s="4">
        <v>0.11899999999999999</v>
      </c>
      <c r="CF282" s="4">
        <v>0.161</v>
      </c>
      <c r="CG282" s="4">
        <v>0.2</v>
      </c>
      <c r="CH282" s="4">
        <v>0.28599999999999998</v>
      </c>
      <c r="CI282" s="4">
        <v>11.631</v>
      </c>
      <c r="CJ282" s="4">
        <v>18.972999999999999</v>
      </c>
      <c r="CK282" s="4">
        <v>22.138999999999999</v>
      </c>
      <c r="CL282" s="4">
        <v>22.841000000000001</v>
      </c>
      <c r="CM282" s="4">
        <v>23.513999999999999</v>
      </c>
      <c r="CN282" s="4">
        <v>25.120000999999998</v>
      </c>
      <c r="CO282" s="4">
        <v>25.957001000000002</v>
      </c>
      <c r="CP282" s="4">
        <v>27.302793999999999</v>
      </c>
      <c r="CQ282" s="4">
        <v>0.41035100000000002</v>
      </c>
      <c r="CR282" s="4">
        <v>15.837574999999999</v>
      </c>
      <c r="CS282" s="4">
        <v>17.943168</v>
      </c>
      <c r="CT282" s="1">
        <v>1</v>
      </c>
      <c r="CU282" s="1">
        <v>51</v>
      </c>
      <c r="CV282" s="4">
        <v>15.205219</v>
      </c>
      <c r="CW282" s="4">
        <v>13.698413</v>
      </c>
      <c r="CX282" s="4">
        <v>10.969241</v>
      </c>
      <c r="CY282" s="4">
        <v>120.32423799999999</v>
      </c>
      <c r="CZ282" s="4">
        <v>0.72141299999999997</v>
      </c>
      <c r="DA282" s="4">
        <v>11</v>
      </c>
      <c r="DB282" s="4">
        <v>1.1967840000000001</v>
      </c>
      <c r="DC282" s="4">
        <v>3.9693849999999999</v>
      </c>
      <c r="DD282" s="4">
        <v>8.2796579999999995</v>
      </c>
      <c r="DE282" s="4">
        <v>15.205219</v>
      </c>
      <c r="DF282" s="4">
        <v>5.838578</v>
      </c>
      <c r="DG282" s="4">
        <v>1.430112</v>
      </c>
      <c r="DH282" s="4">
        <v>0.95265599999999995</v>
      </c>
      <c r="DI282" s="4">
        <v>0.38398500000000002</v>
      </c>
      <c r="DJ282" s="4">
        <v>0.24494199999999999</v>
      </c>
      <c r="DK282" s="4">
        <v>0.16316600000000001</v>
      </c>
      <c r="DL282" s="4">
        <v>1</v>
      </c>
      <c r="DM282" s="4">
        <v>2</v>
      </c>
      <c r="DN282" s="4">
        <v>4</v>
      </c>
      <c r="DO282" s="4">
        <v>6</v>
      </c>
      <c r="DP282" s="4">
        <v>8</v>
      </c>
      <c r="DQ282" s="4">
        <v>9</v>
      </c>
      <c r="DR282" s="4">
        <v>11</v>
      </c>
      <c r="DS282" s="4">
        <v>13</v>
      </c>
      <c r="DT282" s="4">
        <v>15</v>
      </c>
      <c r="DU282" s="4">
        <v>18</v>
      </c>
      <c r="DV282" s="4">
        <v>19</v>
      </c>
      <c r="DW282" s="4">
        <v>21</v>
      </c>
      <c r="DX282" s="4">
        <v>33</v>
      </c>
      <c r="DY282" s="4">
        <v>41</v>
      </c>
      <c r="DZ282" s="4">
        <v>47</v>
      </c>
      <c r="EA282" s="4">
        <v>84.807074</v>
      </c>
      <c r="EB282" s="4">
        <v>52.012383999999997</v>
      </c>
      <c r="EC282" s="4">
        <v>94.533761999999996</v>
      </c>
      <c r="ED282" s="4">
        <v>1055</v>
      </c>
      <c r="EE282" s="4">
        <v>1176</v>
      </c>
      <c r="EF282" s="4">
        <v>84.083601000000002</v>
      </c>
      <c r="EG282" s="4">
        <v>99.919613999999996</v>
      </c>
      <c r="EH282" s="4">
        <v>50.287483000000002</v>
      </c>
      <c r="EI282" s="4">
        <v>94.78107</v>
      </c>
      <c r="EJ282" s="4">
        <v>91.398713999999998</v>
      </c>
      <c r="EK282" s="4">
        <v>172.26688100000001</v>
      </c>
      <c r="EL282" s="4">
        <v>1046</v>
      </c>
      <c r="EM282" s="4">
        <v>1243</v>
      </c>
      <c r="EN282" s="4">
        <v>1137</v>
      </c>
      <c r="EO282" s="4">
        <v>2143</v>
      </c>
      <c r="EP282" s="4">
        <v>1244</v>
      </c>
      <c r="EQ282" s="4">
        <v>2261</v>
      </c>
      <c r="ER282" s="4">
        <v>40.263416999999997</v>
      </c>
    </row>
    <row r="283" spans="1:148" x14ac:dyDescent="0.2">
      <c r="A283" s="1">
        <v>2022</v>
      </c>
      <c r="B283" s="1" t="str">
        <f t="shared" si="8"/>
        <v>NE</v>
      </c>
      <c r="C283" s="1" t="s">
        <v>1401</v>
      </c>
      <c r="D283" s="1" t="s">
        <v>1401</v>
      </c>
      <c r="E283" s="1">
        <v>26563</v>
      </c>
      <c r="F283" s="1" t="s">
        <v>2149</v>
      </c>
      <c r="G283" s="1" t="s">
        <v>1392</v>
      </c>
      <c r="H283" s="1" t="s">
        <v>1393</v>
      </c>
      <c r="I283" s="1">
        <v>78.34</v>
      </c>
      <c r="J283" s="1">
        <v>78.34</v>
      </c>
      <c r="K283" s="1" t="s">
        <v>1022</v>
      </c>
      <c r="L283" s="1">
        <v>1</v>
      </c>
      <c r="M283" s="1">
        <v>2018</v>
      </c>
      <c r="N283" s="1">
        <v>3</v>
      </c>
      <c r="O283" s="1">
        <v>2</v>
      </c>
      <c r="P283" s="1" t="str">
        <f t="shared" si="9"/>
        <v>Talhadia</v>
      </c>
      <c r="Q283" s="2">
        <v>43269</v>
      </c>
      <c r="R283" s="1" t="s">
        <v>169</v>
      </c>
      <c r="S283" s="1" t="s">
        <v>163</v>
      </c>
      <c r="T283" s="1" t="s">
        <v>2268</v>
      </c>
      <c r="U283" s="1" t="s">
        <v>1022</v>
      </c>
      <c r="V283" s="1" t="s">
        <v>152</v>
      </c>
      <c r="W283" s="2">
        <v>44805</v>
      </c>
      <c r="X283" s="1" t="s">
        <v>1394</v>
      </c>
      <c r="Y283" s="1">
        <v>78.34</v>
      </c>
      <c r="Z283" s="1">
        <v>19.8</v>
      </c>
      <c r="AA283" s="1">
        <v>12</v>
      </c>
      <c r="AB283" s="1">
        <v>15.7</v>
      </c>
      <c r="AC283" s="1">
        <v>6</v>
      </c>
      <c r="AD283" s="3">
        <v>310.86</v>
      </c>
      <c r="AE283" s="3">
        <v>302.40125252484597</v>
      </c>
      <c r="AF283" s="2">
        <v>44805</v>
      </c>
      <c r="AG283" s="1">
        <v>51</v>
      </c>
      <c r="AH283" s="3">
        <v>4.2053388090349104</v>
      </c>
      <c r="AI283" s="4">
        <v>20.847878075456201</v>
      </c>
      <c r="AJ283" s="4">
        <v>16.237931034482799</v>
      </c>
      <c r="AK283" s="4">
        <v>20.920567345922599</v>
      </c>
      <c r="AL283" s="1">
        <v>29</v>
      </c>
      <c r="AM283" s="5">
        <v>958.99073690567002</v>
      </c>
      <c r="AN283" s="4">
        <v>202.87245705492001</v>
      </c>
      <c r="AO283" s="4">
        <v>0.211547879711038</v>
      </c>
      <c r="AP283" s="1" t="s">
        <v>163</v>
      </c>
      <c r="AQ283" s="1" t="s">
        <v>254</v>
      </c>
      <c r="AR283" s="1" t="s">
        <v>1397</v>
      </c>
      <c r="AS283" s="1">
        <v>9</v>
      </c>
      <c r="AT283" s="4">
        <v>0.863091663215103</v>
      </c>
      <c r="AU283" s="1" t="s">
        <v>1402</v>
      </c>
      <c r="AV283" s="1" t="s">
        <v>1403</v>
      </c>
      <c r="AW283" s="1">
        <v>3471</v>
      </c>
      <c r="AX283" s="1">
        <v>1922</v>
      </c>
      <c r="AY283" s="1">
        <v>1453</v>
      </c>
      <c r="AZ283" s="1">
        <v>95</v>
      </c>
      <c r="BA283" s="1">
        <v>1</v>
      </c>
      <c r="BB283" s="1">
        <v>0</v>
      </c>
      <c r="BC283" s="1">
        <v>0</v>
      </c>
      <c r="BD283" s="1">
        <v>0</v>
      </c>
      <c r="BE283" s="1">
        <v>0</v>
      </c>
      <c r="BF283" s="1">
        <v>0</v>
      </c>
      <c r="BG283" s="1">
        <v>0</v>
      </c>
      <c r="BH283" s="4">
        <v>-0.61299999999999999</v>
      </c>
      <c r="BI283" s="4">
        <v>27.426000999999999</v>
      </c>
      <c r="BJ283" s="4">
        <v>10.404863000000001</v>
      </c>
      <c r="BK283" s="4">
        <v>-0.167936</v>
      </c>
      <c r="BL283" s="4">
        <v>10.569998999999999</v>
      </c>
      <c r="BM283" s="4">
        <v>111.72488</v>
      </c>
      <c r="BN283" s="4">
        <v>1.015871</v>
      </c>
      <c r="BO283" s="4">
        <v>21.435500999999999</v>
      </c>
      <c r="BP283" s="4">
        <v>0.16580400000000001</v>
      </c>
      <c r="BQ283" s="4">
        <v>1.1715899999999999</v>
      </c>
      <c r="BR283" s="4">
        <v>10.248314000000001</v>
      </c>
      <c r="BS283" s="4">
        <v>5.4429999999999996</v>
      </c>
      <c r="BT283" s="4">
        <v>5.4719360000000004</v>
      </c>
      <c r="BU283" s="4">
        <v>10.404863000000001</v>
      </c>
      <c r="BV283" s="4">
        <v>5.6505169999999998</v>
      </c>
      <c r="BW283" s="4">
        <v>0.66810599999999998</v>
      </c>
      <c r="BX283" s="4">
        <v>-1.0069539999999999</v>
      </c>
      <c r="BY283" s="4">
        <v>0.54306500000000002</v>
      </c>
      <c r="BZ283" s="4">
        <v>0.118238</v>
      </c>
      <c r="CA283" s="4">
        <v>-0.178206</v>
      </c>
      <c r="CB283" s="4">
        <v>-0.1883</v>
      </c>
      <c r="CC283" s="4">
        <v>-2.8000000000000001E-2</v>
      </c>
      <c r="CD283" s="4">
        <v>3.7999999999999999E-2</v>
      </c>
      <c r="CE283" s="4">
        <v>0.122</v>
      </c>
      <c r="CF283" s="4">
        <v>0.16</v>
      </c>
      <c r="CG283" s="4">
        <v>0.20300000000000001</v>
      </c>
      <c r="CH283" s="4">
        <v>0.29799999999999999</v>
      </c>
      <c r="CI283" s="4">
        <v>5.3040000000000003</v>
      </c>
      <c r="CJ283" s="4">
        <v>18.176000999999999</v>
      </c>
      <c r="CK283" s="4">
        <v>20.870999999999999</v>
      </c>
      <c r="CL283" s="4">
        <v>21.595500999999999</v>
      </c>
      <c r="CM283" s="4">
        <v>22.16</v>
      </c>
      <c r="CN283" s="4">
        <v>23.559000000000001</v>
      </c>
      <c r="CO283" s="4">
        <v>24.494999</v>
      </c>
      <c r="CP283" s="4">
        <v>26.206900000000001</v>
      </c>
      <c r="CQ283" s="4">
        <v>0.39294800000000002</v>
      </c>
      <c r="CR283" s="4">
        <v>14.830842000000001</v>
      </c>
      <c r="CS283" s="4">
        <v>16.878753</v>
      </c>
      <c r="CT283" s="1">
        <v>1</v>
      </c>
      <c r="CU283" s="1">
        <v>53</v>
      </c>
      <c r="CV283" s="4">
        <v>15.759147</v>
      </c>
      <c r="CW283" s="4">
        <v>11.730159</v>
      </c>
      <c r="CX283" s="4">
        <v>11.363811</v>
      </c>
      <c r="CY283" s="4">
        <v>129.13621000000001</v>
      </c>
      <c r="CZ283" s="4">
        <v>0.72109299999999998</v>
      </c>
      <c r="DA283" s="4">
        <v>12</v>
      </c>
      <c r="DB283" s="4">
        <v>1.1375930000000001</v>
      </c>
      <c r="DC283" s="4">
        <v>3.7174330000000002</v>
      </c>
      <c r="DD283" s="4">
        <v>8.6714509999999994</v>
      </c>
      <c r="DE283" s="4">
        <v>15.759147</v>
      </c>
      <c r="DF283" s="4">
        <v>6.0840759999999996</v>
      </c>
      <c r="DG283" s="4">
        <v>1.4838169999999999</v>
      </c>
      <c r="DH283" s="4">
        <v>0.92613199999999996</v>
      </c>
      <c r="DI283" s="4">
        <v>0.38606600000000002</v>
      </c>
      <c r="DJ283" s="4">
        <v>0.24388499999999999</v>
      </c>
      <c r="DK283" s="4">
        <v>0.152222</v>
      </c>
      <c r="DL283" s="4">
        <v>1</v>
      </c>
      <c r="DM283" s="4">
        <v>2</v>
      </c>
      <c r="DN283" s="4">
        <v>4</v>
      </c>
      <c r="DO283" s="4">
        <v>6</v>
      </c>
      <c r="DP283" s="4">
        <v>8</v>
      </c>
      <c r="DQ283" s="4">
        <v>9</v>
      </c>
      <c r="DR283" s="4">
        <v>11</v>
      </c>
      <c r="DS283" s="4">
        <v>13</v>
      </c>
      <c r="DT283" s="4">
        <v>15</v>
      </c>
      <c r="DU283" s="4">
        <v>18</v>
      </c>
      <c r="DV283" s="4">
        <v>20</v>
      </c>
      <c r="DW283" s="4">
        <v>23</v>
      </c>
      <c r="DX283" s="4">
        <v>34</v>
      </c>
      <c r="DY283" s="4">
        <v>42</v>
      </c>
      <c r="DZ283" s="4">
        <v>48</v>
      </c>
      <c r="EA283" s="4">
        <v>84.755463000000006</v>
      </c>
      <c r="EB283" s="4">
        <v>50.590608000000003</v>
      </c>
      <c r="EC283" s="4">
        <v>91.363163</v>
      </c>
      <c r="ED283" s="4">
        <v>1629</v>
      </c>
      <c r="EE283" s="4">
        <v>1756</v>
      </c>
      <c r="EF283" s="4">
        <v>82.466181000000006</v>
      </c>
      <c r="EG283" s="4">
        <v>100</v>
      </c>
      <c r="EH283" s="4">
        <v>48.631518</v>
      </c>
      <c r="EI283" s="4">
        <v>98.876403999999994</v>
      </c>
      <c r="EJ283" s="4">
        <v>87.825181999999998</v>
      </c>
      <c r="EK283" s="4">
        <v>178.563996</v>
      </c>
      <c r="EL283" s="4">
        <v>1585</v>
      </c>
      <c r="EM283" s="4">
        <v>1922</v>
      </c>
      <c r="EN283" s="4">
        <v>1688</v>
      </c>
      <c r="EO283" s="4">
        <v>3432</v>
      </c>
      <c r="EP283" s="4">
        <v>1922</v>
      </c>
      <c r="EQ283" s="4">
        <v>3471</v>
      </c>
      <c r="ER283" s="4">
        <v>38.695289000000002</v>
      </c>
    </row>
    <row r="284" spans="1:148" x14ac:dyDescent="0.2">
      <c r="A284" s="1">
        <v>2022</v>
      </c>
      <c r="B284" s="1" t="str">
        <f t="shared" si="8"/>
        <v>RD</v>
      </c>
      <c r="C284" s="1" t="s">
        <v>1404</v>
      </c>
      <c r="D284" s="1" t="s">
        <v>1404</v>
      </c>
      <c r="E284" s="1">
        <v>26599</v>
      </c>
      <c r="F284" s="1" t="s">
        <v>2137</v>
      </c>
      <c r="G284" s="1" t="s">
        <v>759</v>
      </c>
      <c r="H284" s="1" t="s">
        <v>1405</v>
      </c>
      <c r="I284" s="1">
        <v>37.85</v>
      </c>
      <c r="J284" s="1">
        <v>37.85</v>
      </c>
      <c r="K284" s="1" t="s">
        <v>249</v>
      </c>
      <c r="L284" s="1">
        <v>1</v>
      </c>
      <c r="M284" s="1">
        <v>2018</v>
      </c>
      <c r="N284" s="1">
        <v>2</v>
      </c>
      <c r="O284" s="1">
        <v>1</v>
      </c>
      <c r="P284" s="1" t="str">
        <f t="shared" si="9"/>
        <v>Alto fuste</v>
      </c>
      <c r="Q284" s="2">
        <v>43202</v>
      </c>
      <c r="R284" s="1" t="s">
        <v>227</v>
      </c>
      <c r="S284" s="1" t="s">
        <v>767</v>
      </c>
      <c r="T284" s="1" t="s">
        <v>2268</v>
      </c>
      <c r="U284" s="1" t="s">
        <v>212</v>
      </c>
      <c r="V284" s="1" t="s">
        <v>152</v>
      </c>
      <c r="W284" s="2">
        <v>44685</v>
      </c>
      <c r="X284" s="1" t="s">
        <v>762</v>
      </c>
      <c r="Y284" s="1">
        <v>320.37</v>
      </c>
      <c r="Z284" s="1">
        <v>20.5</v>
      </c>
      <c r="AA284" s="1">
        <v>12</v>
      </c>
      <c r="AB284" s="1">
        <v>14.5</v>
      </c>
      <c r="AC284" s="1">
        <v>2</v>
      </c>
      <c r="AD284" s="3">
        <v>297.25</v>
      </c>
      <c r="AE284" s="3">
        <v>290.57725460920898</v>
      </c>
      <c r="AF284" s="2">
        <v>44685</v>
      </c>
      <c r="AG284" s="1">
        <v>49</v>
      </c>
      <c r="AH284" s="3">
        <v>4.0602327173169099</v>
      </c>
      <c r="AI284" s="4">
        <v>20.290229921077</v>
      </c>
      <c r="AJ284" s="4">
        <v>12.633333333333301</v>
      </c>
      <c r="AK284" s="4">
        <v>16.980821182579401</v>
      </c>
      <c r="AL284" s="1">
        <v>39</v>
      </c>
      <c r="AM284" s="5">
        <v>1342.1559802555801</v>
      </c>
      <c r="AN284" s="4">
        <v>160.06069546820601</v>
      </c>
      <c r="AO284" s="4">
        <v>0.11925640374356899</v>
      </c>
      <c r="AP284" s="1" t="s">
        <v>767</v>
      </c>
      <c r="AQ284" s="1" t="s">
        <v>156</v>
      </c>
      <c r="AR284" s="1" t="s">
        <v>291</v>
      </c>
      <c r="AS284" s="1">
        <v>7.5</v>
      </c>
      <c r="AT284" s="4">
        <v>1.0066169851916851</v>
      </c>
      <c r="AU284" s="1" t="s">
        <v>1406</v>
      </c>
      <c r="AV284" s="1" t="s">
        <v>1407</v>
      </c>
      <c r="AW284" s="1">
        <v>3227</v>
      </c>
      <c r="AX284" s="1">
        <v>1768</v>
      </c>
      <c r="AY284" s="1">
        <v>1404</v>
      </c>
      <c r="AZ284" s="1">
        <v>55</v>
      </c>
      <c r="BA284" s="1">
        <v>0</v>
      </c>
      <c r="BB284" s="1">
        <v>0</v>
      </c>
      <c r="BC284" s="1">
        <v>0</v>
      </c>
      <c r="BD284" s="1">
        <v>0</v>
      </c>
      <c r="BE284" s="1">
        <v>0</v>
      </c>
      <c r="BF284" s="1">
        <v>0</v>
      </c>
      <c r="BG284" s="1">
        <v>0</v>
      </c>
      <c r="BH284" s="4">
        <v>-1.32</v>
      </c>
      <c r="BI284" s="4">
        <v>22.77</v>
      </c>
      <c r="BJ284" s="4">
        <v>9.9050419999999999</v>
      </c>
      <c r="BK284" s="4">
        <v>-0.17285700000000001</v>
      </c>
      <c r="BL284" s="4">
        <v>9.8206089999999993</v>
      </c>
      <c r="BM284" s="4">
        <v>96.444359000000006</v>
      </c>
      <c r="BN284" s="4">
        <v>0.99147600000000002</v>
      </c>
      <c r="BO284" s="4">
        <v>19.79</v>
      </c>
      <c r="BP284" s="4">
        <v>4.0689999999999997E-2</v>
      </c>
      <c r="BQ284" s="4">
        <v>1.050276</v>
      </c>
      <c r="BR284" s="4">
        <v>9.7082080000000008</v>
      </c>
      <c r="BS284" s="4">
        <v>9.27</v>
      </c>
      <c r="BT284" s="4">
        <v>9.3828569999999996</v>
      </c>
      <c r="BU284" s="4">
        <v>9.9050419999999999</v>
      </c>
      <c r="BV284" s="4">
        <v>5.127154</v>
      </c>
      <c r="BW284" s="4">
        <v>0.249029</v>
      </c>
      <c r="BX284" s="4">
        <v>-1.087961</v>
      </c>
      <c r="BY284" s="4">
        <v>0.51763099999999995</v>
      </c>
      <c r="BZ284" s="4">
        <v>4.8571000000000003E-2</v>
      </c>
      <c r="CA284" s="4">
        <v>-0.212196</v>
      </c>
      <c r="CB284" s="4">
        <v>-0.37</v>
      </c>
      <c r="CC284" s="4">
        <v>-0.11</v>
      </c>
      <c r="CD284" s="4">
        <v>-0.02</v>
      </c>
      <c r="CE284" s="4">
        <v>0.1</v>
      </c>
      <c r="CF284" s="4">
        <v>0.14000000000000001</v>
      </c>
      <c r="CG284" s="4">
        <v>0.18</v>
      </c>
      <c r="CH284" s="4">
        <v>0.28000000000000003</v>
      </c>
      <c r="CI284" s="4">
        <v>9.2100000000000009</v>
      </c>
      <c r="CJ284" s="4">
        <v>18.826000000000001</v>
      </c>
      <c r="CK284" s="4">
        <v>19.629999000000002</v>
      </c>
      <c r="CL284" s="4">
        <v>19.93</v>
      </c>
      <c r="CM284" s="4">
        <v>20.238001000000001</v>
      </c>
      <c r="CN284" s="4">
        <v>20.950001</v>
      </c>
      <c r="CO284" s="4">
        <v>21.34</v>
      </c>
      <c r="CP284" s="4">
        <v>21.957398999999999</v>
      </c>
      <c r="CQ284" s="4">
        <v>0.46596300000000002</v>
      </c>
      <c r="CR284" s="4">
        <v>13.947198</v>
      </c>
      <c r="CS284" s="4">
        <v>15.707274</v>
      </c>
      <c r="CT284" s="1">
        <v>1</v>
      </c>
      <c r="CU284" s="1">
        <v>47</v>
      </c>
      <c r="CV284" s="4">
        <v>12.534242000000001</v>
      </c>
      <c r="CW284" s="4">
        <v>9.7619050000000005</v>
      </c>
      <c r="CX284" s="4">
        <v>8.2573109999999996</v>
      </c>
      <c r="CY284" s="4">
        <v>68.183188999999999</v>
      </c>
      <c r="CZ284" s="4">
        <v>0.65878000000000003</v>
      </c>
      <c r="DA284" s="4">
        <v>9</v>
      </c>
      <c r="DB284" s="4">
        <v>1.131769</v>
      </c>
      <c r="DC284" s="4">
        <v>4.5079010000000004</v>
      </c>
      <c r="DD284" s="4">
        <v>6.2599679999999998</v>
      </c>
      <c r="DE284" s="4">
        <v>12.534242000000001</v>
      </c>
      <c r="DF284" s="4">
        <v>4.4457789999999999</v>
      </c>
      <c r="DG284" s="4">
        <v>0.83242799999999995</v>
      </c>
      <c r="DH284" s="4">
        <v>0.70197500000000002</v>
      </c>
      <c r="DI284" s="4">
        <v>0.35469099999999998</v>
      </c>
      <c r="DJ284" s="4">
        <v>0.18723999999999999</v>
      </c>
      <c r="DK284" s="4">
        <v>0.15789700000000001</v>
      </c>
      <c r="DL284" s="4">
        <v>1</v>
      </c>
      <c r="DM284" s="4">
        <v>2</v>
      </c>
      <c r="DN284" s="4">
        <v>3</v>
      </c>
      <c r="DO284" s="4">
        <v>6</v>
      </c>
      <c r="DP284" s="4">
        <v>7</v>
      </c>
      <c r="DQ284" s="4">
        <v>8</v>
      </c>
      <c r="DR284" s="4">
        <v>10</v>
      </c>
      <c r="DS284" s="4">
        <v>11</v>
      </c>
      <c r="DT284" s="4">
        <v>13</v>
      </c>
      <c r="DU284" s="4">
        <v>15</v>
      </c>
      <c r="DV284" s="4">
        <v>16</v>
      </c>
      <c r="DW284" s="4">
        <v>18</v>
      </c>
      <c r="DX284" s="4">
        <v>23</v>
      </c>
      <c r="DY284" s="4">
        <v>30</v>
      </c>
      <c r="DZ284" s="4">
        <v>38</v>
      </c>
      <c r="EA284" s="4">
        <v>89.083709999999996</v>
      </c>
      <c r="EB284" s="4">
        <v>50.511310999999999</v>
      </c>
      <c r="EC284" s="4">
        <v>92.194569999999999</v>
      </c>
      <c r="ED284" s="4">
        <v>1575</v>
      </c>
      <c r="EE284" s="4">
        <v>1630</v>
      </c>
      <c r="EF284" s="4">
        <v>88.631221999999994</v>
      </c>
      <c r="EG284" s="4">
        <v>100</v>
      </c>
      <c r="EH284" s="4">
        <v>49.767586000000001</v>
      </c>
      <c r="EI284" s="4">
        <v>96.591261000000003</v>
      </c>
      <c r="EJ284" s="4">
        <v>90.837103999999997</v>
      </c>
      <c r="EK284" s="4">
        <v>176.300905</v>
      </c>
      <c r="EL284" s="4">
        <v>1567</v>
      </c>
      <c r="EM284" s="4">
        <v>1768</v>
      </c>
      <c r="EN284" s="4">
        <v>1606</v>
      </c>
      <c r="EO284" s="4">
        <v>3117</v>
      </c>
      <c r="EP284" s="4">
        <v>1768</v>
      </c>
      <c r="EQ284" s="4">
        <v>3227</v>
      </c>
      <c r="ER284" s="4">
        <v>44.171137000000002</v>
      </c>
    </row>
    <row r="285" spans="1:148" x14ac:dyDescent="0.2">
      <c r="A285" s="1">
        <v>2022</v>
      </c>
      <c r="B285" s="1" t="str">
        <f t="shared" si="8"/>
        <v>RD</v>
      </c>
      <c r="C285" s="1" t="s">
        <v>1408</v>
      </c>
      <c r="D285" s="1" t="s">
        <v>1408</v>
      </c>
      <c r="E285" s="1">
        <v>26600</v>
      </c>
      <c r="F285" s="1" t="s">
        <v>2137</v>
      </c>
      <c r="G285" s="1" t="s">
        <v>759</v>
      </c>
      <c r="H285" s="1" t="s">
        <v>1405</v>
      </c>
      <c r="I285" s="1">
        <v>37.85</v>
      </c>
      <c r="J285" s="1">
        <v>37.85</v>
      </c>
      <c r="K285" s="1" t="s">
        <v>249</v>
      </c>
      <c r="L285" s="1">
        <v>1</v>
      </c>
      <c r="M285" s="1">
        <v>2018</v>
      </c>
      <c r="N285" s="1">
        <v>2</v>
      </c>
      <c r="O285" s="1">
        <v>1</v>
      </c>
      <c r="P285" s="1" t="str">
        <f t="shared" si="9"/>
        <v>Alto fuste</v>
      </c>
      <c r="Q285" s="2">
        <v>43202</v>
      </c>
      <c r="R285" s="1" t="s">
        <v>227</v>
      </c>
      <c r="S285" s="1" t="s">
        <v>767</v>
      </c>
      <c r="T285" s="1" t="s">
        <v>2268</v>
      </c>
      <c r="U285" s="1" t="s">
        <v>212</v>
      </c>
      <c r="V285" s="1" t="s">
        <v>152</v>
      </c>
      <c r="W285" s="2">
        <v>44685</v>
      </c>
      <c r="X285" s="1" t="s">
        <v>762</v>
      </c>
      <c r="Y285" s="1">
        <v>320.37</v>
      </c>
      <c r="Z285" s="1">
        <v>19.5</v>
      </c>
      <c r="AA285" s="1">
        <v>17</v>
      </c>
      <c r="AB285" s="1">
        <v>14.6</v>
      </c>
      <c r="AC285" s="1">
        <v>1</v>
      </c>
      <c r="AD285" s="3">
        <v>284.7</v>
      </c>
      <c r="AE285" s="3">
        <v>272.21849751143498</v>
      </c>
      <c r="AF285" s="2">
        <v>44685</v>
      </c>
      <c r="AG285" s="1">
        <v>49</v>
      </c>
      <c r="AH285" s="3">
        <v>4.0602327173169099</v>
      </c>
      <c r="AI285" s="4">
        <v>19.547772019083901</v>
      </c>
      <c r="AJ285" s="4">
        <v>11.8880952380952</v>
      </c>
      <c r="AK285" s="4">
        <v>17.6329525656135</v>
      </c>
      <c r="AL285" s="1">
        <v>42</v>
      </c>
      <c r="AM285" s="5">
        <v>1542.8782534601901</v>
      </c>
      <c r="AN285" s="4">
        <v>164.43987026134201</v>
      </c>
      <c r="AO285" s="4">
        <v>0.106579939079804</v>
      </c>
      <c r="AP285" s="1" t="s">
        <v>767</v>
      </c>
      <c r="AQ285" s="1" t="s">
        <v>156</v>
      </c>
      <c r="AR285" s="1" t="s">
        <v>291</v>
      </c>
      <c r="AS285" s="1">
        <v>7.5</v>
      </c>
      <c r="AT285" s="4">
        <v>1.1571586900951427</v>
      </c>
      <c r="AU285" s="1" t="s">
        <v>1409</v>
      </c>
      <c r="AV285" s="1" t="s">
        <v>1410</v>
      </c>
      <c r="AW285" s="1">
        <v>1561</v>
      </c>
      <c r="AX285" s="1">
        <v>881</v>
      </c>
      <c r="AY285" s="1">
        <v>650</v>
      </c>
      <c r="AZ285" s="1">
        <v>30</v>
      </c>
      <c r="BA285" s="1">
        <v>0</v>
      </c>
      <c r="BB285" s="1">
        <v>0</v>
      </c>
      <c r="BC285" s="1">
        <v>0</v>
      </c>
      <c r="BD285" s="1">
        <v>0</v>
      </c>
      <c r="BE285" s="1">
        <v>0</v>
      </c>
      <c r="BF285" s="1">
        <v>0</v>
      </c>
      <c r="BG285" s="1">
        <v>0</v>
      </c>
      <c r="BH285" s="4">
        <v>-0.98</v>
      </c>
      <c r="BI285" s="4">
        <v>23.450001</v>
      </c>
      <c r="BJ285" s="4">
        <v>10.850724</v>
      </c>
      <c r="BK285" s="4">
        <v>-0.20444399999999999</v>
      </c>
      <c r="BL285" s="4">
        <v>9.8773619999999998</v>
      </c>
      <c r="BM285" s="4">
        <v>97.562271999999993</v>
      </c>
      <c r="BN285" s="4">
        <v>0.91029499999999997</v>
      </c>
      <c r="BO285" s="4">
        <v>20.47</v>
      </c>
      <c r="BP285" s="4">
        <v>-7.8153E-2</v>
      </c>
      <c r="BQ285" s="4">
        <v>1.094822</v>
      </c>
      <c r="BR285" s="4">
        <v>9.6663409999999992</v>
      </c>
      <c r="BS285" s="4">
        <v>6.5499989999999997</v>
      </c>
      <c r="BT285" s="4">
        <v>15.874445</v>
      </c>
      <c r="BU285" s="4">
        <v>10.850724</v>
      </c>
      <c r="BV285" s="4">
        <v>5.2774450000000002</v>
      </c>
      <c r="BW285" s="4">
        <v>-9.0206999999999996E-2</v>
      </c>
      <c r="BX285" s="4">
        <v>-1.058667</v>
      </c>
      <c r="BY285" s="4">
        <v>0.48636800000000002</v>
      </c>
      <c r="BZ285" s="4">
        <v>-1.7093000000000001E-2</v>
      </c>
      <c r="CA285" s="4">
        <v>-0.200602</v>
      </c>
      <c r="CB285" s="4">
        <v>-0.51400000000000001</v>
      </c>
      <c r="CC285" s="4">
        <v>-0.28000000000000003</v>
      </c>
      <c r="CD285" s="4">
        <v>-0.2</v>
      </c>
      <c r="CE285" s="4">
        <v>-0.04</v>
      </c>
      <c r="CF285" s="4">
        <v>0.04</v>
      </c>
      <c r="CG285" s="4">
        <v>0.16</v>
      </c>
      <c r="CH285" s="4">
        <v>1.68</v>
      </c>
      <c r="CI285" s="4">
        <v>15.67</v>
      </c>
      <c r="CJ285" s="4">
        <v>19.440000999999999</v>
      </c>
      <c r="CK285" s="4">
        <v>20.219999000000001</v>
      </c>
      <c r="CL285" s="4">
        <v>20.51</v>
      </c>
      <c r="CM285" s="4">
        <v>20.860001</v>
      </c>
      <c r="CN285" s="4">
        <v>21.530000999999999</v>
      </c>
      <c r="CO285" s="4">
        <v>22</v>
      </c>
      <c r="CP285" s="4">
        <v>22.844000000000001</v>
      </c>
      <c r="CQ285" s="4">
        <v>0.48426999999999998</v>
      </c>
      <c r="CR285" s="4">
        <v>14.670991000000001</v>
      </c>
      <c r="CS285" s="4">
        <v>16.35671</v>
      </c>
      <c r="CT285" s="1">
        <v>1</v>
      </c>
      <c r="CU285" s="1">
        <v>45</v>
      </c>
      <c r="CV285" s="4">
        <v>12.698270000000001</v>
      </c>
      <c r="CW285" s="4">
        <v>8.6825399999999995</v>
      </c>
      <c r="CX285" s="4">
        <v>8.4841820000000006</v>
      </c>
      <c r="CY285" s="4">
        <v>71.981336999999996</v>
      </c>
      <c r="CZ285" s="4">
        <v>0.66813699999999998</v>
      </c>
      <c r="DA285" s="4">
        <v>9</v>
      </c>
      <c r="DB285" s="4">
        <v>1.1621440000000001</v>
      </c>
      <c r="DC285" s="4">
        <v>4.3379580000000004</v>
      </c>
      <c r="DD285" s="4">
        <v>6.3891669999999996</v>
      </c>
      <c r="DE285" s="4">
        <v>12.698270000000001</v>
      </c>
      <c r="DF285" s="4">
        <v>4.5489300000000004</v>
      </c>
      <c r="DG285" s="4">
        <v>0.951878</v>
      </c>
      <c r="DH285" s="4">
        <v>0.75112500000000004</v>
      </c>
      <c r="DI285" s="4">
        <v>0.35823199999999999</v>
      </c>
      <c r="DJ285" s="4">
        <v>0.20925299999999999</v>
      </c>
      <c r="DK285" s="4">
        <v>0.16512099999999999</v>
      </c>
      <c r="DL285" s="4">
        <v>1</v>
      </c>
      <c r="DM285" s="4">
        <v>2</v>
      </c>
      <c r="DN285" s="4">
        <v>3</v>
      </c>
      <c r="DO285" s="4">
        <v>6</v>
      </c>
      <c r="DP285" s="4">
        <v>7</v>
      </c>
      <c r="DQ285" s="4">
        <v>8</v>
      </c>
      <c r="DR285" s="4">
        <v>10</v>
      </c>
      <c r="DS285" s="4">
        <v>11</v>
      </c>
      <c r="DT285" s="4">
        <v>13</v>
      </c>
      <c r="DU285" s="4">
        <v>15</v>
      </c>
      <c r="DV285" s="4">
        <v>16</v>
      </c>
      <c r="DW285" s="4">
        <v>18</v>
      </c>
      <c r="DX285" s="4">
        <v>24</v>
      </c>
      <c r="DY285" s="4">
        <v>32</v>
      </c>
      <c r="DZ285" s="4">
        <v>39</v>
      </c>
      <c r="EA285" s="4">
        <v>90.465379999999996</v>
      </c>
      <c r="EB285" s="4">
        <v>55.605381000000001</v>
      </c>
      <c r="EC285" s="4">
        <v>98.524404000000004</v>
      </c>
      <c r="ED285" s="4">
        <v>797</v>
      </c>
      <c r="EE285" s="4">
        <v>868</v>
      </c>
      <c r="EF285" s="4">
        <v>88.989784</v>
      </c>
      <c r="EG285" s="4">
        <v>99.659477999999993</v>
      </c>
      <c r="EH285" s="4">
        <v>52.274183000000001</v>
      </c>
      <c r="EI285" s="4">
        <v>90.454836999999998</v>
      </c>
      <c r="EJ285" s="4">
        <v>92.622020000000006</v>
      </c>
      <c r="EK285" s="4">
        <v>160.27241799999999</v>
      </c>
      <c r="EL285" s="4">
        <v>784</v>
      </c>
      <c r="EM285" s="4">
        <v>878</v>
      </c>
      <c r="EN285" s="4">
        <v>816</v>
      </c>
      <c r="EO285" s="4">
        <v>1412</v>
      </c>
      <c r="EP285" s="4">
        <v>881</v>
      </c>
      <c r="EQ285" s="4">
        <v>1561</v>
      </c>
      <c r="ER285" s="4">
        <v>46.699440000000003</v>
      </c>
    </row>
    <row r="286" spans="1:148" x14ac:dyDescent="0.2">
      <c r="A286" s="1">
        <v>2022</v>
      </c>
      <c r="B286" s="1" t="str">
        <f t="shared" si="8"/>
        <v>NE</v>
      </c>
      <c r="C286" s="1" t="s">
        <v>1411</v>
      </c>
      <c r="D286" s="1" t="s">
        <v>1411</v>
      </c>
      <c r="E286" s="1">
        <v>26640</v>
      </c>
      <c r="F286" s="1" t="s">
        <v>2148</v>
      </c>
      <c r="G286" s="1" t="s">
        <v>1375</v>
      </c>
      <c r="H286" s="1" t="s">
        <v>1412</v>
      </c>
      <c r="I286" s="1">
        <v>13.66</v>
      </c>
      <c r="J286" s="1">
        <v>13.66</v>
      </c>
      <c r="K286" s="1" t="s">
        <v>168</v>
      </c>
      <c r="L286" s="1">
        <v>1</v>
      </c>
      <c r="M286" s="1">
        <v>2018</v>
      </c>
      <c r="N286" s="1">
        <v>3</v>
      </c>
      <c r="O286" s="1">
        <v>2</v>
      </c>
      <c r="P286" s="1" t="str">
        <f t="shared" si="9"/>
        <v>Talhadia</v>
      </c>
      <c r="Q286" s="2">
        <v>43335</v>
      </c>
      <c r="R286" s="1" t="s">
        <v>169</v>
      </c>
      <c r="S286" s="1" t="s">
        <v>307</v>
      </c>
      <c r="T286" s="1" t="s">
        <v>2268</v>
      </c>
      <c r="U286" s="1" t="s">
        <v>170</v>
      </c>
      <c r="V286" s="1" t="s">
        <v>152</v>
      </c>
      <c r="W286" s="2">
        <v>44593</v>
      </c>
      <c r="X286" s="1" t="s">
        <v>1377</v>
      </c>
      <c r="Y286" s="1">
        <v>141.27000000000001</v>
      </c>
      <c r="Z286" s="1">
        <v>20.399999999999999</v>
      </c>
      <c r="AA286" s="1">
        <v>14</v>
      </c>
      <c r="AB286" s="1">
        <v>14</v>
      </c>
      <c r="AC286" s="1">
        <v>12</v>
      </c>
      <c r="AD286" s="3">
        <v>285.60000000000002</v>
      </c>
      <c r="AE286" s="3">
        <v>271.06079990984801</v>
      </c>
      <c r="AF286" s="2">
        <v>44593</v>
      </c>
      <c r="AG286" s="1">
        <v>42</v>
      </c>
      <c r="AH286" s="3">
        <v>3.44421629021218</v>
      </c>
      <c r="AI286" s="4">
        <v>19.6616947999856</v>
      </c>
      <c r="AJ286" s="4">
        <v>15.2541666666667</v>
      </c>
      <c r="AK286" s="4">
        <v>16.9556085892151</v>
      </c>
      <c r="AL286" s="1">
        <v>24</v>
      </c>
      <c r="AM286" s="5">
        <v>885.410210845027</v>
      </c>
      <c r="AN286" s="4">
        <v>143.34274000736599</v>
      </c>
      <c r="AO286" s="4">
        <v>0.16189415736527399</v>
      </c>
      <c r="AP286" s="1" t="s">
        <v>307</v>
      </c>
      <c r="AQ286" s="1" t="s">
        <v>254</v>
      </c>
      <c r="AR286" s="1" t="s">
        <v>302</v>
      </c>
      <c r="AS286" s="1">
        <v>9</v>
      </c>
      <c r="AT286" s="4">
        <v>0.79686918976052434</v>
      </c>
      <c r="AU286" s="1" t="s">
        <v>1413</v>
      </c>
      <c r="AV286" s="1" t="s">
        <v>1414</v>
      </c>
      <c r="AW286" s="1">
        <v>4466</v>
      </c>
      <c r="AX286" s="1">
        <v>2396</v>
      </c>
      <c r="AY286" s="1">
        <v>1841</v>
      </c>
      <c r="AZ286" s="1">
        <v>224</v>
      </c>
      <c r="BA286" s="1">
        <v>5</v>
      </c>
      <c r="BB286" s="1">
        <v>0</v>
      </c>
      <c r="BC286" s="1">
        <v>0</v>
      </c>
      <c r="BD286" s="1">
        <v>0</v>
      </c>
      <c r="BE286" s="1">
        <v>0</v>
      </c>
      <c r="BF286" s="1">
        <v>0</v>
      </c>
      <c r="BG286" s="1">
        <v>0</v>
      </c>
      <c r="BH286" s="4">
        <v>-0.98799999999999999</v>
      </c>
      <c r="BI286" s="4">
        <v>25.148001000000001</v>
      </c>
      <c r="BJ286" s="4">
        <v>11.23762</v>
      </c>
      <c r="BK286" s="4">
        <v>-0.15828600000000001</v>
      </c>
      <c r="BL286" s="4">
        <v>10.046976000000001</v>
      </c>
      <c r="BM286" s="4">
        <v>100.941717</v>
      </c>
      <c r="BN286" s="4">
        <v>0.89404799999999995</v>
      </c>
      <c r="BO286" s="4">
        <v>21.020250000000001</v>
      </c>
      <c r="BP286" s="4">
        <v>-7.2543999999999997E-2</v>
      </c>
      <c r="BQ286" s="4">
        <v>1.1393709999999999</v>
      </c>
      <c r="BR286" s="4">
        <v>9.7146279999999994</v>
      </c>
      <c r="BS286" s="4">
        <v>7.8624999999999998</v>
      </c>
      <c r="BT286" s="4">
        <v>15.198286</v>
      </c>
      <c r="BU286" s="4">
        <v>11.23762</v>
      </c>
      <c r="BV286" s="4">
        <v>5.4215799999999996</v>
      </c>
      <c r="BW286" s="4">
        <v>5.9999999999999995E-4</v>
      </c>
      <c r="BX286" s="4">
        <v>-1.0368170000000001</v>
      </c>
      <c r="BY286" s="4">
        <v>0.48244900000000002</v>
      </c>
      <c r="BZ286" s="4">
        <v>1.11E-4</v>
      </c>
      <c r="CA286" s="4">
        <v>-0.19123899999999999</v>
      </c>
      <c r="CB286" s="4">
        <v>-0.2888</v>
      </c>
      <c r="CC286" s="4">
        <v>-7.775E-2</v>
      </c>
      <c r="CD286" s="4">
        <v>0.02</v>
      </c>
      <c r="CE286" s="4">
        <v>0.186</v>
      </c>
      <c r="CF286" s="4">
        <v>0.27200000000000002</v>
      </c>
      <c r="CG286" s="4">
        <v>0.377</v>
      </c>
      <c r="CH286" s="4">
        <v>0.84199999999999997</v>
      </c>
      <c r="CI286" s="4">
        <v>15.04</v>
      </c>
      <c r="CJ286" s="4">
        <v>19.355</v>
      </c>
      <c r="CK286" s="4">
        <v>20.823499999999999</v>
      </c>
      <c r="CL286" s="4">
        <v>21.292249999999999</v>
      </c>
      <c r="CM286" s="4">
        <v>21.693000999999999</v>
      </c>
      <c r="CN286" s="4">
        <v>22.464001</v>
      </c>
      <c r="CO286" s="4">
        <v>23.016749999999998</v>
      </c>
      <c r="CP286" s="4">
        <v>24.170850999999999</v>
      </c>
      <c r="CQ286" s="4">
        <v>0.46776899999999999</v>
      </c>
      <c r="CR286" s="4">
        <v>15.073262</v>
      </c>
      <c r="CS286" s="4">
        <v>16.807335999999999</v>
      </c>
      <c r="CT286" s="1">
        <v>1</v>
      </c>
      <c r="CU286" s="1">
        <v>52</v>
      </c>
      <c r="CV286" s="4">
        <v>11.799821</v>
      </c>
      <c r="CW286" s="4">
        <v>10.714286</v>
      </c>
      <c r="CX286" s="4">
        <v>8.0485509999999998</v>
      </c>
      <c r="CY286" s="4">
        <v>64.779179999999997</v>
      </c>
      <c r="CZ286" s="4">
        <v>0.682091</v>
      </c>
      <c r="DA286" s="4">
        <v>9</v>
      </c>
      <c r="DB286" s="4">
        <v>1.394774</v>
      </c>
      <c r="DC286" s="4">
        <v>5.6443260000000004</v>
      </c>
      <c r="DD286" s="4">
        <v>5.9590480000000001</v>
      </c>
      <c r="DE286" s="4">
        <v>11.799821</v>
      </c>
      <c r="DF286" s="4">
        <v>4.2429560000000004</v>
      </c>
      <c r="DG286" s="4">
        <v>0.90584299999999995</v>
      </c>
      <c r="DH286" s="4">
        <v>0.72897199999999995</v>
      </c>
      <c r="DI286" s="4">
        <v>0.35957800000000001</v>
      </c>
      <c r="DJ286" s="4">
        <v>0.21349299999999999</v>
      </c>
      <c r="DK286" s="4">
        <v>0.17180799999999999</v>
      </c>
      <c r="DL286" s="4">
        <v>1</v>
      </c>
      <c r="DM286" s="4">
        <v>2</v>
      </c>
      <c r="DN286" s="4">
        <v>3</v>
      </c>
      <c r="DO286" s="4">
        <v>5</v>
      </c>
      <c r="DP286" s="4">
        <v>6</v>
      </c>
      <c r="DQ286" s="4">
        <v>7</v>
      </c>
      <c r="DR286" s="4">
        <v>9</v>
      </c>
      <c r="DS286" s="4">
        <v>11</v>
      </c>
      <c r="DT286" s="4">
        <v>12</v>
      </c>
      <c r="DU286" s="4">
        <v>14</v>
      </c>
      <c r="DV286" s="4">
        <v>15</v>
      </c>
      <c r="DW286" s="4">
        <v>17</v>
      </c>
      <c r="DX286" s="4">
        <v>21</v>
      </c>
      <c r="DY286" s="4">
        <v>28</v>
      </c>
      <c r="DZ286" s="4">
        <v>39</v>
      </c>
      <c r="EA286" s="4">
        <v>93.238731000000001</v>
      </c>
      <c r="EB286" s="4">
        <v>56.784595000000003</v>
      </c>
      <c r="EC286" s="4">
        <v>105.84307200000001</v>
      </c>
      <c r="ED286" s="4">
        <v>2234</v>
      </c>
      <c r="EE286" s="4">
        <v>2536</v>
      </c>
      <c r="EF286" s="4">
        <v>92.111852999999996</v>
      </c>
      <c r="EG286" s="4">
        <v>100</v>
      </c>
      <c r="EH286" s="4">
        <v>52.507837000000002</v>
      </c>
      <c r="EI286" s="4">
        <v>97.268248999999997</v>
      </c>
      <c r="EJ286" s="4">
        <v>97.871452000000005</v>
      </c>
      <c r="EK286" s="4">
        <v>181.30216999999999</v>
      </c>
      <c r="EL286" s="4">
        <v>2207</v>
      </c>
      <c r="EM286" s="4">
        <v>2396</v>
      </c>
      <c r="EN286" s="4">
        <v>2345</v>
      </c>
      <c r="EO286" s="4">
        <v>4344</v>
      </c>
      <c r="EP286" s="4">
        <v>2396</v>
      </c>
      <c r="EQ286" s="4">
        <v>4466</v>
      </c>
      <c r="ER286" s="4">
        <v>45.501151</v>
      </c>
    </row>
    <row r="287" spans="1:148" x14ac:dyDescent="0.2">
      <c r="A287" s="1">
        <v>2022</v>
      </c>
      <c r="B287" s="1" t="str">
        <f t="shared" si="8"/>
        <v>NE</v>
      </c>
      <c r="C287" s="1" t="s">
        <v>1415</v>
      </c>
      <c r="D287" s="1" t="s">
        <v>1415</v>
      </c>
      <c r="E287" s="1">
        <v>26641</v>
      </c>
      <c r="F287" s="1" t="s">
        <v>2147</v>
      </c>
      <c r="G287" s="1" t="s">
        <v>1375</v>
      </c>
      <c r="H287" s="1" t="s">
        <v>1416</v>
      </c>
      <c r="I287" s="1">
        <v>12.1</v>
      </c>
      <c r="J287" s="1">
        <v>12.1</v>
      </c>
      <c r="K287" s="1" t="s">
        <v>168</v>
      </c>
      <c r="L287" s="1">
        <v>1</v>
      </c>
      <c r="M287" s="1">
        <v>2018</v>
      </c>
      <c r="N287" s="1">
        <v>3</v>
      </c>
      <c r="O287" s="1">
        <v>1</v>
      </c>
      <c r="P287" s="1" t="str">
        <f t="shared" si="9"/>
        <v>Alto fuste</v>
      </c>
      <c r="Q287" s="2">
        <v>43447</v>
      </c>
      <c r="R287" s="1" t="s">
        <v>169</v>
      </c>
      <c r="S287" s="1" t="s">
        <v>299</v>
      </c>
      <c r="T287" s="1" t="s">
        <v>2268</v>
      </c>
      <c r="U287" s="1" t="s">
        <v>170</v>
      </c>
      <c r="V287" s="1" t="s">
        <v>152</v>
      </c>
      <c r="W287" s="2">
        <v>44593</v>
      </c>
      <c r="X287" s="1" t="s">
        <v>1377</v>
      </c>
      <c r="Y287" s="1">
        <v>116.96</v>
      </c>
      <c r="Z287" s="1">
        <v>19.399999999999999</v>
      </c>
      <c r="AA287" s="1">
        <v>14</v>
      </c>
      <c r="AB287" s="1">
        <v>16.2</v>
      </c>
      <c r="AC287" s="1">
        <v>3</v>
      </c>
      <c r="AD287" s="3">
        <v>314.27999999999997</v>
      </c>
      <c r="AE287" s="3">
        <v>304.52662495899699</v>
      </c>
      <c r="AF287" s="2">
        <v>44593</v>
      </c>
      <c r="AG287" s="1">
        <v>38</v>
      </c>
      <c r="AH287" s="3">
        <v>3.1375770020533902</v>
      </c>
      <c r="AI287" s="4">
        <v>18.478680617067301</v>
      </c>
      <c r="AJ287" s="4">
        <v>14.5</v>
      </c>
      <c r="AK287" s="4">
        <v>15.0475063244456</v>
      </c>
      <c r="AL287" s="1">
        <v>27</v>
      </c>
      <c r="AM287" s="5">
        <v>886.62198268001703</v>
      </c>
      <c r="AN287" s="4">
        <v>118.10869648961101</v>
      </c>
      <c r="AO287" s="4">
        <v>0.13321201007514</v>
      </c>
      <c r="AP287" s="1" t="s">
        <v>299</v>
      </c>
      <c r="AQ287" s="1" t="s">
        <v>156</v>
      </c>
      <c r="AR287" s="1" t="s">
        <v>302</v>
      </c>
      <c r="AS287" s="1">
        <v>9</v>
      </c>
      <c r="AT287" s="4">
        <v>0.79795978441201532</v>
      </c>
      <c r="AU287" s="1" t="s">
        <v>1417</v>
      </c>
      <c r="AV287" s="1" t="s">
        <v>1418</v>
      </c>
      <c r="AW287" s="1">
        <v>4683</v>
      </c>
      <c r="AX287" s="1">
        <v>2605</v>
      </c>
      <c r="AY287" s="1">
        <v>1824</v>
      </c>
      <c r="AZ287" s="1">
        <v>242</v>
      </c>
      <c r="BA287" s="1">
        <v>12</v>
      </c>
      <c r="BB287" s="1">
        <v>0</v>
      </c>
      <c r="BC287" s="1">
        <v>0</v>
      </c>
      <c r="BD287" s="1">
        <v>0</v>
      </c>
      <c r="BE287" s="1">
        <v>0</v>
      </c>
      <c r="BF287" s="1">
        <v>0</v>
      </c>
      <c r="BG287" s="1">
        <v>0</v>
      </c>
      <c r="BH287" s="4">
        <v>-0.79</v>
      </c>
      <c r="BI287" s="4">
        <v>23.070999</v>
      </c>
      <c r="BJ287" s="4">
        <v>10.951441000000001</v>
      </c>
      <c r="BK287" s="4">
        <v>-3.2508000000000002E-2</v>
      </c>
      <c r="BL287" s="4">
        <v>9.6530509999999996</v>
      </c>
      <c r="BM287" s="4">
        <v>93.181403000000003</v>
      </c>
      <c r="BN287" s="4">
        <v>0.88144100000000003</v>
      </c>
      <c r="BO287" s="4">
        <v>20.016999999999999</v>
      </c>
      <c r="BP287" s="4">
        <v>-0.17461399999999999</v>
      </c>
      <c r="BQ287" s="4">
        <v>1.1398250000000001</v>
      </c>
      <c r="BR287" s="4">
        <v>9.3653870000000001</v>
      </c>
      <c r="BS287" s="4">
        <v>5.6589999999999998</v>
      </c>
      <c r="BT287" s="4">
        <v>16.167508999999999</v>
      </c>
      <c r="BU287" s="4">
        <v>10.951441000000001</v>
      </c>
      <c r="BV287" s="4">
        <v>5.1541439999999996</v>
      </c>
      <c r="BW287" s="4">
        <v>-0.20135</v>
      </c>
      <c r="BX287" s="4">
        <v>-0.98240499999999997</v>
      </c>
      <c r="BY287" s="4">
        <v>0.470636</v>
      </c>
      <c r="BZ287" s="4">
        <v>-3.9065999999999997E-2</v>
      </c>
      <c r="CA287" s="4">
        <v>-0.190605</v>
      </c>
      <c r="CB287" s="4">
        <v>-0.48736000000000002</v>
      </c>
      <c r="CC287" s="4">
        <v>-0.21590000000000001</v>
      </c>
      <c r="CD287" s="4">
        <v>-0.104</v>
      </c>
      <c r="CE287" s="4">
        <v>1.6E-2</v>
      </c>
      <c r="CF287" s="4">
        <v>5.8500000000000003E-2</v>
      </c>
      <c r="CG287" s="4">
        <v>0.11700000000000001</v>
      </c>
      <c r="CH287" s="4">
        <v>0.29260000000000003</v>
      </c>
      <c r="CI287" s="4">
        <v>16.135000000000002</v>
      </c>
      <c r="CJ287" s="4">
        <v>18.807199000000001</v>
      </c>
      <c r="CK287" s="4">
        <v>19.666</v>
      </c>
      <c r="CL287" s="4">
        <v>20.075500000000002</v>
      </c>
      <c r="CM287" s="4">
        <v>20.441599</v>
      </c>
      <c r="CN287" s="4">
        <v>21.329599000000002</v>
      </c>
      <c r="CO287" s="4">
        <v>21.871500000000001</v>
      </c>
      <c r="CP287" s="4">
        <v>22.464361</v>
      </c>
      <c r="CQ287" s="4">
        <v>0.49207699999999999</v>
      </c>
      <c r="CR287" s="4">
        <v>14.597792999999999</v>
      </c>
      <c r="CS287" s="4">
        <v>16.156251000000001</v>
      </c>
      <c r="CT287" s="1">
        <v>1</v>
      </c>
      <c r="CU287" s="1">
        <v>65</v>
      </c>
      <c r="CV287" s="4">
        <v>14.99338</v>
      </c>
      <c r="CW287" s="4">
        <v>1</v>
      </c>
      <c r="CX287" s="4">
        <v>11.092162</v>
      </c>
      <c r="CY287" s="4">
        <v>123.036052</v>
      </c>
      <c r="CZ287" s="4">
        <v>0.73980400000000002</v>
      </c>
      <c r="DA287" s="4">
        <v>18</v>
      </c>
      <c r="DB287" s="4">
        <v>0.942778</v>
      </c>
      <c r="DC287" s="4">
        <v>4.2491709999999996</v>
      </c>
      <c r="DD287" s="4">
        <v>9.0953219999999995</v>
      </c>
      <c r="DE287" s="4">
        <v>14.99338</v>
      </c>
      <c r="DF287" s="4">
        <v>6.0992139999999999</v>
      </c>
      <c r="DG287" s="4">
        <v>0.94047700000000001</v>
      </c>
      <c r="DH287" s="4">
        <v>0.36346299999999998</v>
      </c>
      <c r="DI287" s="4">
        <v>0.40679399999999999</v>
      </c>
      <c r="DJ287" s="4">
        <v>0.154196</v>
      </c>
      <c r="DK287" s="4">
        <v>5.9591999999999999E-2</v>
      </c>
      <c r="DL287" s="4">
        <v>1</v>
      </c>
      <c r="DM287" s="4">
        <v>1</v>
      </c>
      <c r="DN287" s="4">
        <v>2</v>
      </c>
      <c r="DO287" s="4">
        <v>4</v>
      </c>
      <c r="DP287" s="4">
        <v>5</v>
      </c>
      <c r="DQ287" s="4">
        <v>7</v>
      </c>
      <c r="DR287" s="4">
        <v>10</v>
      </c>
      <c r="DS287" s="4">
        <v>13</v>
      </c>
      <c r="DT287" s="4">
        <v>18</v>
      </c>
      <c r="DU287" s="4">
        <v>21</v>
      </c>
      <c r="DV287" s="4">
        <v>23</v>
      </c>
      <c r="DW287" s="4">
        <v>24</v>
      </c>
      <c r="DX287" s="4">
        <v>29</v>
      </c>
      <c r="DY287" s="4">
        <v>32</v>
      </c>
      <c r="DZ287" s="4">
        <v>53</v>
      </c>
      <c r="EA287" s="4">
        <v>93.013435999999999</v>
      </c>
      <c r="EB287" s="4">
        <v>57.847534000000003</v>
      </c>
      <c r="EC287" s="4">
        <v>103.992322</v>
      </c>
      <c r="ED287" s="4">
        <v>2423</v>
      </c>
      <c r="EE287" s="4">
        <v>2709</v>
      </c>
      <c r="EF287" s="4">
        <v>91.669865999999999</v>
      </c>
      <c r="EG287" s="4">
        <v>99.462571999999994</v>
      </c>
      <c r="EH287" s="4">
        <v>55.584026999999999</v>
      </c>
      <c r="EI287" s="4">
        <v>84.710656</v>
      </c>
      <c r="EJ287" s="4">
        <v>99.923225000000002</v>
      </c>
      <c r="EK287" s="4">
        <v>152.28406899999999</v>
      </c>
      <c r="EL287" s="4">
        <v>2388</v>
      </c>
      <c r="EM287" s="4">
        <v>2591</v>
      </c>
      <c r="EN287" s="4">
        <v>2603</v>
      </c>
      <c r="EO287" s="4">
        <v>3967</v>
      </c>
      <c r="EP287" s="4">
        <v>2605</v>
      </c>
      <c r="EQ287" s="4">
        <v>4683</v>
      </c>
      <c r="ER287" s="4">
        <v>47.811700999999999</v>
      </c>
    </row>
    <row r="288" spans="1:148" x14ac:dyDescent="0.2">
      <c r="A288" s="1">
        <v>2022</v>
      </c>
      <c r="B288" s="1" t="str">
        <f t="shared" si="8"/>
        <v>NE</v>
      </c>
      <c r="C288" s="1" t="s">
        <v>1419</v>
      </c>
      <c r="D288" s="1" t="s">
        <v>1419</v>
      </c>
      <c r="E288" s="1">
        <v>26664</v>
      </c>
      <c r="F288" s="1" t="s">
        <v>2143</v>
      </c>
      <c r="G288" s="1" t="s">
        <v>1190</v>
      </c>
      <c r="H288" s="1" t="s">
        <v>1420</v>
      </c>
      <c r="I288" s="1">
        <v>41.02</v>
      </c>
      <c r="J288" s="1">
        <v>41.02</v>
      </c>
      <c r="K288" s="1" t="s">
        <v>434</v>
      </c>
      <c r="L288" s="1">
        <v>1</v>
      </c>
      <c r="M288" s="1">
        <v>2018</v>
      </c>
      <c r="N288" s="1">
        <v>3</v>
      </c>
      <c r="O288" s="1">
        <v>2</v>
      </c>
      <c r="P288" s="1" t="str">
        <f t="shared" si="9"/>
        <v>Talhadia</v>
      </c>
      <c r="Q288" s="2">
        <v>43337</v>
      </c>
      <c r="R288" s="1" t="s">
        <v>169</v>
      </c>
      <c r="S288" s="1" t="s">
        <v>150</v>
      </c>
      <c r="T288" s="1" t="s">
        <v>2268</v>
      </c>
      <c r="U288" s="1" t="s">
        <v>151</v>
      </c>
      <c r="V288" s="1" t="s">
        <v>152</v>
      </c>
      <c r="W288" s="2">
        <v>44741</v>
      </c>
      <c r="X288" s="1" t="s">
        <v>1192</v>
      </c>
      <c r="Y288" s="1">
        <v>83.79</v>
      </c>
      <c r="Z288" s="1">
        <v>21</v>
      </c>
      <c r="AA288" s="1">
        <v>32</v>
      </c>
      <c r="AB288" s="1">
        <v>15.2</v>
      </c>
      <c r="AC288" s="1">
        <v>1</v>
      </c>
      <c r="AD288" s="3">
        <v>319.2</v>
      </c>
      <c r="AE288" s="3">
        <v>270.65572383614699</v>
      </c>
      <c r="AF288" s="2">
        <v>44741</v>
      </c>
      <c r="AG288" s="1">
        <v>46</v>
      </c>
      <c r="AH288" s="3">
        <v>3.8439425051334699</v>
      </c>
      <c r="AI288" s="4">
        <v>19.575865875890699</v>
      </c>
      <c r="AJ288" s="4">
        <v>15.1</v>
      </c>
      <c r="AK288" s="4">
        <v>18.423138944831098</v>
      </c>
      <c r="AL288" s="1">
        <v>27</v>
      </c>
      <c r="AM288" s="5">
        <v>997.57727704091099</v>
      </c>
      <c r="AN288" s="4">
        <v>142.280574615538</v>
      </c>
      <c r="AO288" s="4">
        <v>0.14262611818663401</v>
      </c>
      <c r="AP288" s="1" t="s">
        <v>150</v>
      </c>
      <c r="AQ288" s="1" t="s">
        <v>254</v>
      </c>
      <c r="AR288" s="1" t="s">
        <v>302</v>
      </c>
      <c r="AS288" s="1">
        <v>9</v>
      </c>
      <c r="AT288" s="4">
        <v>0.89781954933681996</v>
      </c>
      <c r="AU288" s="1" t="s">
        <v>1421</v>
      </c>
      <c r="AV288" s="1" t="s">
        <v>1422</v>
      </c>
      <c r="AW288" s="1">
        <v>4346</v>
      </c>
      <c r="AX288" s="1">
        <v>2363</v>
      </c>
      <c r="AY288" s="1">
        <v>1688</v>
      </c>
      <c r="AZ288" s="1">
        <v>277</v>
      </c>
      <c r="BA288" s="1">
        <v>18</v>
      </c>
      <c r="BB288" s="1">
        <v>0</v>
      </c>
      <c r="BC288" s="1">
        <v>0</v>
      </c>
      <c r="BD288" s="1">
        <v>0</v>
      </c>
      <c r="BE288" s="1">
        <v>0</v>
      </c>
      <c r="BF288" s="1">
        <v>0</v>
      </c>
      <c r="BG288" s="1">
        <v>0</v>
      </c>
      <c r="BH288" s="4">
        <v>-1.133</v>
      </c>
      <c r="BI288" s="4">
        <v>21.853999999999999</v>
      </c>
      <c r="BJ288" s="4">
        <v>9.8552820000000008</v>
      </c>
      <c r="BK288" s="4">
        <v>-3.8380999999999998E-2</v>
      </c>
      <c r="BL288" s="4">
        <v>8.550338</v>
      </c>
      <c r="BM288" s="4">
        <v>73.108282000000003</v>
      </c>
      <c r="BN288" s="4">
        <v>0.86758900000000005</v>
      </c>
      <c r="BO288" s="4">
        <v>17.797249999999998</v>
      </c>
      <c r="BP288" s="4">
        <v>-0.14463799999999999</v>
      </c>
      <c r="BQ288" s="4">
        <v>1.2100610000000001</v>
      </c>
      <c r="BR288" s="4">
        <v>8.1654079999999993</v>
      </c>
      <c r="BS288" s="4">
        <v>6.44</v>
      </c>
      <c r="BT288" s="4">
        <v>13.486381</v>
      </c>
      <c r="BU288" s="4">
        <v>9.8552820000000008</v>
      </c>
      <c r="BV288" s="4">
        <v>4.6636850000000001</v>
      </c>
      <c r="BW288" s="4">
        <v>-8.6371000000000003E-2</v>
      </c>
      <c r="BX288" s="4">
        <v>-0.78040500000000002</v>
      </c>
      <c r="BY288" s="4">
        <v>0.473217</v>
      </c>
      <c r="BZ288" s="4">
        <v>-1.8519999999999998E-2</v>
      </c>
      <c r="CA288" s="4">
        <v>-0.16733700000000001</v>
      </c>
      <c r="CB288" s="4">
        <v>-0.41585</v>
      </c>
      <c r="CC288" s="4">
        <v>-0.21</v>
      </c>
      <c r="CD288" s="4">
        <v>-0.109</v>
      </c>
      <c r="CE288" s="4">
        <v>2.4E-2</v>
      </c>
      <c r="CF288" s="4">
        <v>8.7999999999999995E-2</v>
      </c>
      <c r="CG288" s="4">
        <v>0.16700000000000001</v>
      </c>
      <c r="CH288" s="4">
        <v>0.66100000000000003</v>
      </c>
      <c r="CI288" s="4">
        <v>13.448</v>
      </c>
      <c r="CJ288" s="4">
        <v>16.037001</v>
      </c>
      <c r="CK288" s="4">
        <v>17.2395</v>
      </c>
      <c r="CL288" s="4">
        <v>17.885249999999999</v>
      </c>
      <c r="CM288" s="4">
        <v>18.638000000000002</v>
      </c>
      <c r="CN288" s="4">
        <v>19.640999000000001</v>
      </c>
      <c r="CO288" s="4">
        <v>20.22175</v>
      </c>
      <c r="CP288" s="4">
        <v>21.004698000000001</v>
      </c>
      <c r="CQ288" s="4">
        <v>0.478022</v>
      </c>
      <c r="CR288" s="4">
        <v>13.046764</v>
      </c>
      <c r="CS288" s="4">
        <v>14.466949</v>
      </c>
      <c r="CT288" s="1">
        <v>1</v>
      </c>
      <c r="CU288" s="1">
        <v>48</v>
      </c>
      <c r="CV288" s="4">
        <v>11.509664000000001</v>
      </c>
      <c r="CW288" s="4">
        <v>3.984127</v>
      </c>
      <c r="CX288" s="4">
        <v>7.5233439999999998</v>
      </c>
      <c r="CY288" s="4">
        <v>56.600712000000001</v>
      </c>
      <c r="CZ288" s="4">
        <v>0.65365499999999999</v>
      </c>
      <c r="DA288" s="4">
        <v>12</v>
      </c>
      <c r="DB288" s="4">
        <v>0.55822799999999995</v>
      </c>
      <c r="DC288" s="4">
        <v>2.704736</v>
      </c>
      <c r="DD288" s="4">
        <v>6.3246570000000002</v>
      </c>
      <c r="DE288" s="4">
        <v>11.509664000000001</v>
      </c>
      <c r="DF288" s="4">
        <v>4.2513949999999996</v>
      </c>
      <c r="DG288" s="4">
        <v>0.51711399999999996</v>
      </c>
      <c r="DH288" s="4">
        <v>0.19055800000000001</v>
      </c>
      <c r="DI288" s="4">
        <v>0.36937599999999998</v>
      </c>
      <c r="DJ288" s="4">
        <v>0.12163400000000001</v>
      </c>
      <c r="DK288" s="4">
        <v>4.4823000000000002E-2</v>
      </c>
      <c r="DL288" s="4">
        <v>1</v>
      </c>
      <c r="DM288" s="4">
        <v>1</v>
      </c>
      <c r="DN288" s="4">
        <v>2</v>
      </c>
      <c r="DO288" s="4">
        <v>4</v>
      </c>
      <c r="DP288" s="4">
        <v>5</v>
      </c>
      <c r="DQ288" s="4">
        <v>6</v>
      </c>
      <c r="DR288" s="4">
        <v>8</v>
      </c>
      <c r="DS288" s="4">
        <v>11</v>
      </c>
      <c r="DT288" s="4">
        <v>13</v>
      </c>
      <c r="DU288" s="4">
        <v>16</v>
      </c>
      <c r="DV288" s="4">
        <v>17</v>
      </c>
      <c r="DW288" s="4">
        <v>18</v>
      </c>
      <c r="DX288" s="4">
        <v>22</v>
      </c>
      <c r="DY288" s="4">
        <v>25</v>
      </c>
      <c r="DZ288" s="4">
        <v>31</v>
      </c>
      <c r="EA288" s="4">
        <v>95.090986000000001</v>
      </c>
      <c r="EB288" s="4">
        <v>59.664059000000002</v>
      </c>
      <c r="EC288" s="4">
        <v>109.73339</v>
      </c>
      <c r="ED288" s="4">
        <v>2247</v>
      </c>
      <c r="EE288" s="4">
        <v>2593</v>
      </c>
      <c r="EF288" s="4">
        <v>93.736774999999994</v>
      </c>
      <c r="EG288" s="4">
        <v>99.661446999999995</v>
      </c>
      <c r="EH288" s="4">
        <v>55.200184</v>
      </c>
      <c r="EI288" s="4">
        <v>84.445466999999994</v>
      </c>
      <c r="EJ288" s="4">
        <v>101.523487</v>
      </c>
      <c r="EK288" s="4">
        <v>155.31104500000001</v>
      </c>
      <c r="EL288" s="4">
        <v>2215</v>
      </c>
      <c r="EM288" s="4">
        <v>2355</v>
      </c>
      <c r="EN288" s="4">
        <v>2399</v>
      </c>
      <c r="EO288" s="4">
        <v>3670</v>
      </c>
      <c r="EP288" s="4">
        <v>2363</v>
      </c>
      <c r="EQ288" s="4">
        <v>4346</v>
      </c>
      <c r="ER288" s="4">
        <v>46.033721</v>
      </c>
    </row>
    <row r="289" spans="1:148" x14ac:dyDescent="0.2">
      <c r="A289" s="1">
        <v>2022</v>
      </c>
      <c r="B289" s="1" t="str">
        <f t="shared" si="8"/>
        <v>GN</v>
      </c>
      <c r="C289" s="1" t="s">
        <v>1423</v>
      </c>
      <c r="D289" s="1" t="s">
        <v>1423</v>
      </c>
      <c r="E289" s="1">
        <v>26678</v>
      </c>
      <c r="F289" s="1" t="s">
        <v>2150</v>
      </c>
      <c r="G289" s="1" t="s">
        <v>1424</v>
      </c>
      <c r="H289" s="1" t="s">
        <v>1425</v>
      </c>
      <c r="I289" s="1">
        <v>51.86</v>
      </c>
      <c r="J289" s="1">
        <v>51.86</v>
      </c>
      <c r="K289" s="1" t="s">
        <v>266</v>
      </c>
      <c r="L289" s="1">
        <v>1</v>
      </c>
      <c r="M289" s="1">
        <v>2018</v>
      </c>
      <c r="N289" s="1">
        <v>3</v>
      </c>
      <c r="O289" s="1">
        <v>2</v>
      </c>
      <c r="P289" s="1" t="str">
        <f t="shared" si="9"/>
        <v>Talhadia</v>
      </c>
      <c r="Q289" s="2">
        <v>43245</v>
      </c>
      <c r="R289" s="1" t="s">
        <v>169</v>
      </c>
      <c r="S289" s="1" t="s">
        <v>619</v>
      </c>
      <c r="T289" s="1" t="s">
        <v>2268</v>
      </c>
      <c r="U289" s="1" t="s">
        <v>266</v>
      </c>
      <c r="V289" s="1" t="s">
        <v>152</v>
      </c>
      <c r="W289" s="2">
        <v>44693</v>
      </c>
      <c r="X289" s="1" t="s">
        <v>1426</v>
      </c>
      <c r="Y289" s="1">
        <v>161.27000000000001</v>
      </c>
      <c r="Z289" s="1">
        <v>21</v>
      </c>
      <c r="AA289" s="1">
        <v>16</v>
      </c>
      <c r="AB289" s="1">
        <v>15.3</v>
      </c>
      <c r="AC289" s="1">
        <v>0</v>
      </c>
      <c r="AD289" s="3">
        <v>321.3</v>
      </c>
      <c r="AE289" s="3">
        <v>308.85338290498203</v>
      </c>
      <c r="AF289" s="2">
        <v>44693</v>
      </c>
      <c r="AG289" s="1">
        <v>48</v>
      </c>
      <c r="AH289" s="3">
        <v>3.96440793976728</v>
      </c>
      <c r="AI289" s="4">
        <v>21.2811796523442</v>
      </c>
      <c r="AJ289" s="4">
        <v>14.882352941176499</v>
      </c>
      <c r="AK289" s="4">
        <v>19.8558483723242</v>
      </c>
      <c r="AL289" s="1">
        <v>34</v>
      </c>
      <c r="AM289" s="5">
        <v>1100.8459638747099</v>
      </c>
      <c r="AN289" s="4">
        <v>209.00884418812899</v>
      </c>
      <c r="AO289" s="4">
        <v>0.18986202524871701</v>
      </c>
      <c r="AP289" s="1" t="s">
        <v>619</v>
      </c>
      <c r="AQ289" s="1" t="s">
        <v>254</v>
      </c>
      <c r="AR289" s="1" t="s">
        <v>164</v>
      </c>
      <c r="AS289" s="1">
        <v>9</v>
      </c>
      <c r="AT289" s="4">
        <v>0.99076136748723898</v>
      </c>
      <c r="AU289" s="1" t="s">
        <v>1427</v>
      </c>
      <c r="AV289" s="1" t="s">
        <v>1428</v>
      </c>
      <c r="AW289" s="1">
        <v>4001</v>
      </c>
      <c r="AX289" s="1">
        <v>1837</v>
      </c>
      <c r="AY289" s="1">
        <v>2052</v>
      </c>
      <c r="AZ289" s="1">
        <v>109</v>
      </c>
      <c r="BA289" s="1">
        <v>3</v>
      </c>
      <c r="BB289" s="1">
        <v>0</v>
      </c>
      <c r="BC289" s="1">
        <v>0</v>
      </c>
      <c r="BD289" s="1">
        <v>0</v>
      </c>
      <c r="BE289" s="1">
        <v>0</v>
      </c>
      <c r="BF289" s="1">
        <v>0</v>
      </c>
      <c r="BG289" s="1">
        <v>0</v>
      </c>
      <c r="BH289" s="4">
        <v>-0.89400000000000002</v>
      </c>
      <c r="BI289" s="4">
        <v>24.900998999999999</v>
      </c>
      <c r="BJ289" s="4">
        <v>8.4194940000000003</v>
      </c>
      <c r="BK289" s="4">
        <v>-7.5110999999999997E-2</v>
      </c>
      <c r="BL289" s="4">
        <v>10.063238</v>
      </c>
      <c r="BM289" s="4">
        <v>101.268764</v>
      </c>
      <c r="BN289" s="4">
        <v>1.1952309999999999</v>
      </c>
      <c r="BO289" s="4">
        <v>20.450001</v>
      </c>
      <c r="BP289" s="4">
        <v>0.42627900000000002</v>
      </c>
      <c r="BQ289" s="4">
        <v>1.249687</v>
      </c>
      <c r="BR289" s="4">
        <v>9.7494099999999992</v>
      </c>
      <c r="BS289" s="4">
        <v>0.41</v>
      </c>
      <c r="BT289" s="4">
        <v>0.35911100000000001</v>
      </c>
      <c r="BU289" s="4">
        <v>8.4194940000000003</v>
      </c>
      <c r="BV289" s="4">
        <v>5.1559210000000002</v>
      </c>
      <c r="BW289" s="4">
        <v>1.1558839999999999</v>
      </c>
      <c r="BX289" s="4">
        <v>-0.80364599999999997</v>
      </c>
      <c r="BY289" s="4">
        <v>0.61237900000000001</v>
      </c>
      <c r="BZ289" s="4">
        <v>0.224186</v>
      </c>
      <c r="CA289" s="4">
        <v>-0.15586900000000001</v>
      </c>
      <c r="CB289" s="4">
        <v>-0.47399999999999998</v>
      </c>
      <c r="CC289" s="4">
        <v>-0.20100000000000001</v>
      </c>
      <c r="CD289" s="4">
        <v>-0.104</v>
      </c>
      <c r="CE289" s="4">
        <v>4.0000000000000001E-3</v>
      </c>
      <c r="CF289" s="4">
        <v>4.4999999999999998E-2</v>
      </c>
      <c r="CG289" s="4">
        <v>8.4000000000000005E-2</v>
      </c>
      <c r="CH289" s="4">
        <v>0.16600000000000001</v>
      </c>
      <c r="CI289" s="4">
        <v>0.26400000000000001</v>
      </c>
      <c r="CJ289" s="4">
        <v>12.413</v>
      </c>
      <c r="CK289" s="4">
        <v>19.902999999999999</v>
      </c>
      <c r="CL289" s="4">
        <v>20.495000999999998</v>
      </c>
      <c r="CM289" s="4">
        <v>20.900998999999999</v>
      </c>
      <c r="CN289" s="4">
        <v>21.843</v>
      </c>
      <c r="CO289" s="4">
        <v>22.431999000000001</v>
      </c>
      <c r="CP289" s="4">
        <v>23.513000000000002</v>
      </c>
      <c r="CQ289" s="4">
        <v>0.36105799999999999</v>
      </c>
      <c r="CR289" s="4">
        <v>13.119883</v>
      </c>
      <c r="CS289" s="4">
        <v>15.309711999999999</v>
      </c>
      <c r="CT289" s="1">
        <v>1</v>
      </c>
      <c r="CU289" s="1">
        <v>68</v>
      </c>
      <c r="CV289" s="4">
        <v>17.328168000000002</v>
      </c>
      <c r="CW289" s="4">
        <v>1</v>
      </c>
      <c r="CX289" s="4">
        <v>12.978811</v>
      </c>
      <c r="CY289" s="4">
        <v>168.44952900000001</v>
      </c>
      <c r="CZ289" s="4">
        <v>0.74900100000000003</v>
      </c>
      <c r="DA289" s="4">
        <v>19</v>
      </c>
      <c r="DB289" s="4">
        <v>0.781443</v>
      </c>
      <c r="DC289" s="4">
        <v>3.087269</v>
      </c>
      <c r="DD289" s="4">
        <v>10.610722000000001</v>
      </c>
      <c r="DE289" s="4">
        <v>17.328168000000002</v>
      </c>
      <c r="DF289" s="4">
        <v>7.2210000000000001</v>
      </c>
      <c r="DG289" s="4">
        <v>1.2406550000000001</v>
      </c>
      <c r="DH289" s="4">
        <v>0.47845900000000002</v>
      </c>
      <c r="DI289" s="4">
        <v>0.41671999999999998</v>
      </c>
      <c r="DJ289" s="4">
        <v>0.17181199999999999</v>
      </c>
      <c r="DK289" s="4">
        <v>6.6258999999999998E-2</v>
      </c>
      <c r="DL289" s="4">
        <v>1</v>
      </c>
      <c r="DM289" s="4">
        <v>1</v>
      </c>
      <c r="DN289" s="4">
        <v>3</v>
      </c>
      <c r="DO289" s="4">
        <v>5</v>
      </c>
      <c r="DP289" s="4">
        <v>6</v>
      </c>
      <c r="DQ289" s="4">
        <v>7</v>
      </c>
      <c r="DR289" s="4">
        <v>11</v>
      </c>
      <c r="DS289" s="4">
        <v>16</v>
      </c>
      <c r="DT289" s="4">
        <v>20</v>
      </c>
      <c r="DU289" s="4">
        <v>23</v>
      </c>
      <c r="DV289" s="4">
        <v>25</v>
      </c>
      <c r="DW289" s="4">
        <v>28</v>
      </c>
      <c r="DX289" s="4">
        <v>36</v>
      </c>
      <c r="DY289" s="4">
        <v>43</v>
      </c>
      <c r="DZ289" s="4">
        <v>53</v>
      </c>
      <c r="EA289" s="4">
        <v>84.921066999999994</v>
      </c>
      <c r="EB289" s="4">
        <v>41.814546</v>
      </c>
      <c r="EC289" s="4">
        <v>91.072400999999999</v>
      </c>
      <c r="ED289" s="4">
        <v>1560</v>
      </c>
      <c r="EE289" s="4">
        <v>1673</v>
      </c>
      <c r="EF289" s="4">
        <v>84.540011000000007</v>
      </c>
      <c r="EG289" s="4">
        <v>100</v>
      </c>
      <c r="EH289" s="4">
        <v>41.014746000000002</v>
      </c>
      <c r="EI289" s="4">
        <v>87.878029999999995</v>
      </c>
      <c r="EJ289" s="4">
        <v>89.330430000000007</v>
      </c>
      <c r="EK289" s="4">
        <v>191.39902000000001</v>
      </c>
      <c r="EL289" s="4">
        <v>1553</v>
      </c>
      <c r="EM289" s="4">
        <v>1837</v>
      </c>
      <c r="EN289" s="4">
        <v>1641</v>
      </c>
      <c r="EO289" s="4">
        <v>3516</v>
      </c>
      <c r="EP289" s="4">
        <v>1837</v>
      </c>
      <c r="EQ289" s="4">
        <v>4001</v>
      </c>
      <c r="ER289" s="4">
        <v>34.973906999999997</v>
      </c>
    </row>
    <row r="290" spans="1:148" x14ac:dyDescent="0.2">
      <c r="A290" s="1">
        <v>2022</v>
      </c>
      <c r="B290" s="1" t="str">
        <f t="shared" si="8"/>
        <v>GN</v>
      </c>
      <c r="C290" s="1" t="s">
        <v>1429</v>
      </c>
      <c r="D290" s="1" t="s">
        <v>1429</v>
      </c>
      <c r="E290" s="1">
        <v>26679</v>
      </c>
      <c r="F290" s="1" t="s">
        <v>2150</v>
      </c>
      <c r="G290" s="1" t="s">
        <v>1424</v>
      </c>
      <c r="H290" s="1" t="s">
        <v>1425</v>
      </c>
      <c r="I290" s="1">
        <v>51.86</v>
      </c>
      <c r="J290" s="1">
        <v>51.86</v>
      </c>
      <c r="K290" s="1" t="s">
        <v>266</v>
      </c>
      <c r="L290" s="1">
        <v>1</v>
      </c>
      <c r="M290" s="1">
        <v>2018</v>
      </c>
      <c r="N290" s="1">
        <v>3</v>
      </c>
      <c r="O290" s="1">
        <v>2</v>
      </c>
      <c r="P290" s="1" t="str">
        <f t="shared" si="9"/>
        <v>Talhadia</v>
      </c>
      <c r="Q290" s="2">
        <v>43245</v>
      </c>
      <c r="R290" s="1" t="s">
        <v>169</v>
      </c>
      <c r="S290" s="1" t="s">
        <v>619</v>
      </c>
      <c r="T290" s="1" t="s">
        <v>2268</v>
      </c>
      <c r="U290" s="1" t="s">
        <v>266</v>
      </c>
      <c r="V290" s="1" t="s">
        <v>152</v>
      </c>
      <c r="W290" s="2">
        <v>44693</v>
      </c>
      <c r="X290" s="1" t="s">
        <v>1426</v>
      </c>
      <c r="Y290" s="1">
        <v>161.27000000000001</v>
      </c>
      <c r="Z290" s="1">
        <v>21.4</v>
      </c>
      <c r="AA290" s="1">
        <v>9</v>
      </c>
      <c r="AB290" s="1">
        <v>14.8</v>
      </c>
      <c r="AC290" s="1">
        <v>1</v>
      </c>
      <c r="AD290" s="3">
        <v>316.72000000000003</v>
      </c>
      <c r="AE290" s="3">
        <v>312.773007132928</v>
      </c>
      <c r="AF290" s="2">
        <v>44693</v>
      </c>
      <c r="AG290" s="1">
        <v>48</v>
      </c>
      <c r="AH290" s="3">
        <v>3.96440793976728</v>
      </c>
      <c r="AI290" s="4">
        <v>21.878944706817499</v>
      </c>
      <c r="AJ290" s="4">
        <v>14.966666666666701</v>
      </c>
      <c r="AK290" s="4">
        <v>17.735258550653299</v>
      </c>
      <c r="AL290" s="1">
        <v>30</v>
      </c>
      <c r="AM290" s="5">
        <v>959.16205413627699</v>
      </c>
      <c r="AN290" s="4">
        <v>194.06570559070801</v>
      </c>
      <c r="AO290" s="4">
        <v>0.20232838106326501</v>
      </c>
      <c r="AP290" s="1" t="s">
        <v>619</v>
      </c>
      <c r="AQ290" s="1" t="s">
        <v>254</v>
      </c>
      <c r="AR290" s="1" t="s">
        <v>164</v>
      </c>
      <c r="AS290" s="1">
        <v>9</v>
      </c>
      <c r="AT290" s="4">
        <v>0.86324584872264931</v>
      </c>
      <c r="AU290" s="1" t="s">
        <v>1430</v>
      </c>
      <c r="AV290" s="1" t="s">
        <v>1431</v>
      </c>
      <c r="AW290" s="1">
        <v>2654</v>
      </c>
      <c r="AX290" s="1">
        <v>1522</v>
      </c>
      <c r="AY290" s="1">
        <v>1088</v>
      </c>
      <c r="AZ290" s="1">
        <v>42</v>
      </c>
      <c r="BA290" s="1">
        <v>2</v>
      </c>
      <c r="BB290" s="1">
        <v>0</v>
      </c>
      <c r="BC290" s="1">
        <v>0</v>
      </c>
      <c r="BD290" s="1">
        <v>0</v>
      </c>
      <c r="BE290" s="1">
        <v>0</v>
      </c>
      <c r="BF290" s="1">
        <v>0</v>
      </c>
      <c r="BG290" s="1">
        <v>0</v>
      </c>
      <c r="BH290" s="4">
        <v>-0.72499999999999998</v>
      </c>
      <c r="BI290" s="4">
        <v>25.577998999999998</v>
      </c>
      <c r="BJ290" s="4">
        <v>10.804830000000001</v>
      </c>
      <c r="BK290" s="4">
        <v>0.110016</v>
      </c>
      <c r="BL290" s="4">
        <v>10.549811</v>
      </c>
      <c r="BM290" s="4">
        <v>111.298512</v>
      </c>
      <c r="BN290" s="4">
        <v>0.97639799999999999</v>
      </c>
      <c r="BO290" s="4">
        <v>21.373999999999999</v>
      </c>
      <c r="BP290" s="4">
        <v>4.9224999999999998E-2</v>
      </c>
      <c r="BQ290" s="4">
        <v>1.0995090000000001</v>
      </c>
      <c r="BR290" s="4">
        <v>10.279609000000001</v>
      </c>
      <c r="BS290" s="4">
        <v>10.454499999999999</v>
      </c>
      <c r="BT290" s="4">
        <v>10.403484000000001</v>
      </c>
      <c r="BU290" s="4">
        <v>10.804830000000001</v>
      </c>
      <c r="BV290" s="4">
        <v>5.6032190000000002</v>
      </c>
      <c r="BW290" s="4">
        <v>0.317353</v>
      </c>
      <c r="BX290" s="4">
        <v>-1.12178</v>
      </c>
      <c r="BY290" s="4">
        <v>0.51858499999999996</v>
      </c>
      <c r="BZ290" s="4">
        <v>5.6638000000000001E-2</v>
      </c>
      <c r="CA290" s="4">
        <v>-0.20020299999999999</v>
      </c>
      <c r="CB290" s="4">
        <v>-0.35328999999999999</v>
      </c>
      <c r="CC290" s="4">
        <v>-0.1167</v>
      </c>
      <c r="CD290" s="4">
        <v>-2.47E-2</v>
      </c>
      <c r="CE290" s="4">
        <v>0.08</v>
      </c>
      <c r="CF290" s="4">
        <v>0.11924999999999999</v>
      </c>
      <c r="CG290" s="4">
        <v>0.16089999999999999</v>
      </c>
      <c r="CH290" s="4">
        <v>0.26400000000000001</v>
      </c>
      <c r="CI290" s="4">
        <v>10.513500000000001</v>
      </c>
      <c r="CJ290" s="4">
        <v>20.112801000000001</v>
      </c>
      <c r="CK290" s="4">
        <v>21.129200000000001</v>
      </c>
      <c r="CL290" s="4">
        <v>21.49325</v>
      </c>
      <c r="CM290" s="4">
        <v>21.849997999999999</v>
      </c>
      <c r="CN290" s="4">
        <v>23.092699</v>
      </c>
      <c r="CO290" s="4">
        <v>23.748450999999999</v>
      </c>
      <c r="CP290" s="4">
        <v>24.574349999999999</v>
      </c>
      <c r="CQ290" s="4">
        <v>0.43834699999999999</v>
      </c>
      <c r="CR290" s="4">
        <v>15.0997</v>
      </c>
      <c r="CS290" s="4">
        <v>17.014406000000001</v>
      </c>
      <c r="CT290" s="1">
        <v>1</v>
      </c>
      <c r="CU290" s="1">
        <v>69</v>
      </c>
      <c r="CV290" s="4">
        <v>18.233232999999998</v>
      </c>
      <c r="CW290" s="4">
        <v>13.952381000000001</v>
      </c>
      <c r="CX290" s="4">
        <v>13.812003000000001</v>
      </c>
      <c r="CY290" s="4">
        <v>190.77143899999999</v>
      </c>
      <c r="CZ290" s="4">
        <v>0.75751800000000002</v>
      </c>
      <c r="DA290" s="4">
        <v>14</v>
      </c>
      <c r="DB290" s="4">
        <v>1.272867</v>
      </c>
      <c r="DC290" s="4">
        <v>4.2664249999999999</v>
      </c>
      <c r="DD290" s="4">
        <v>10.194148999999999</v>
      </c>
      <c r="DE290" s="4">
        <v>18.233232999999998</v>
      </c>
      <c r="DF290" s="4">
        <v>7.2811089999999998</v>
      </c>
      <c r="DG290" s="4">
        <v>1.792645</v>
      </c>
      <c r="DH290" s="4">
        <v>1.2965390000000001</v>
      </c>
      <c r="DI290" s="4">
        <v>0.39933200000000002</v>
      </c>
      <c r="DJ290" s="4">
        <v>0.24620500000000001</v>
      </c>
      <c r="DK290" s="4">
        <v>0.17806900000000001</v>
      </c>
      <c r="DL290" s="4">
        <v>1</v>
      </c>
      <c r="DM290" s="4">
        <v>2</v>
      </c>
      <c r="DN290" s="4">
        <v>3</v>
      </c>
      <c r="DO290" s="4">
        <v>7</v>
      </c>
      <c r="DP290" s="4">
        <v>9</v>
      </c>
      <c r="DQ290" s="4">
        <v>10</v>
      </c>
      <c r="DR290" s="4">
        <v>13</v>
      </c>
      <c r="DS290" s="4">
        <v>16</v>
      </c>
      <c r="DT290" s="4">
        <v>18</v>
      </c>
      <c r="DU290" s="4">
        <v>21</v>
      </c>
      <c r="DV290" s="4">
        <v>23</v>
      </c>
      <c r="DW290" s="4">
        <v>25</v>
      </c>
      <c r="DX290" s="4">
        <v>40</v>
      </c>
      <c r="DY290" s="4">
        <v>51</v>
      </c>
      <c r="DZ290" s="4">
        <v>59</v>
      </c>
      <c r="EA290" s="4">
        <v>88.042050000000003</v>
      </c>
      <c r="EB290" s="4">
        <v>52.562170000000002</v>
      </c>
      <c r="EC290" s="4">
        <v>91.655715999999998</v>
      </c>
      <c r="ED290" s="4">
        <v>1340</v>
      </c>
      <c r="EE290" s="4">
        <v>1395</v>
      </c>
      <c r="EF290" s="4">
        <v>85.216819999999998</v>
      </c>
      <c r="EG290" s="4">
        <v>98.685940000000002</v>
      </c>
      <c r="EH290" s="4">
        <v>49.585531000000003</v>
      </c>
      <c r="EI290" s="4">
        <v>76.299925000000002</v>
      </c>
      <c r="EJ290" s="4">
        <v>86.465176999999997</v>
      </c>
      <c r="EK290" s="4">
        <v>133.04862</v>
      </c>
      <c r="EL290" s="4">
        <v>1297</v>
      </c>
      <c r="EM290" s="4">
        <v>1502</v>
      </c>
      <c r="EN290" s="4">
        <v>1316</v>
      </c>
      <c r="EO290" s="4">
        <v>2025</v>
      </c>
      <c r="EP290" s="4">
        <v>1522</v>
      </c>
      <c r="EQ290" s="4">
        <v>2654</v>
      </c>
      <c r="ER290" s="4">
        <v>43.011735000000002</v>
      </c>
    </row>
    <row r="291" spans="1:148" x14ac:dyDescent="0.2">
      <c r="A291" s="1">
        <v>2022</v>
      </c>
      <c r="B291" s="1" t="str">
        <f t="shared" si="8"/>
        <v>GN</v>
      </c>
      <c r="C291" s="1" t="s">
        <v>1432</v>
      </c>
      <c r="D291" s="1" t="s">
        <v>1432</v>
      </c>
      <c r="E291" s="1">
        <v>26680</v>
      </c>
      <c r="F291" s="1" t="s">
        <v>2150</v>
      </c>
      <c r="G291" s="1" t="s">
        <v>1424</v>
      </c>
      <c r="H291" s="1" t="s">
        <v>1425</v>
      </c>
      <c r="I291" s="1">
        <v>51.86</v>
      </c>
      <c r="J291" s="1">
        <v>51.86</v>
      </c>
      <c r="K291" s="1" t="s">
        <v>266</v>
      </c>
      <c r="L291" s="1">
        <v>1</v>
      </c>
      <c r="M291" s="1">
        <v>2018</v>
      </c>
      <c r="N291" s="1">
        <v>3</v>
      </c>
      <c r="O291" s="1">
        <v>2</v>
      </c>
      <c r="P291" s="1" t="str">
        <f t="shared" si="9"/>
        <v>Talhadia</v>
      </c>
      <c r="Q291" s="2">
        <v>43245</v>
      </c>
      <c r="R291" s="1" t="s">
        <v>169</v>
      </c>
      <c r="S291" s="1" t="s">
        <v>619</v>
      </c>
      <c r="T291" s="1" t="s">
        <v>2268</v>
      </c>
      <c r="U291" s="1" t="s">
        <v>266</v>
      </c>
      <c r="V291" s="1" t="s">
        <v>152</v>
      </c>
      <c r="W291" s="2">
        <v>44693</v>
      </c>
      <c r="X291" s="1" t="s">
        <v>1426</v>
      </c>
      <c r="Y291" s="1">
        <v>161.27000000000001</v>
      </c>
      <c r="Z291" s="1">
        <v>20.6</v>
      </c>
      <c r="AA291" s="1">
        <v>15</v>
      </c>
      <c r="AB291" s="1">
        <v>15.4</v>
      </c>
      <c r="AC291" s="1">
        <v>1</v>
      </c>
      <c r="AD291" s="3">
        <v>317.24</v>
      </c>
      <c r="AE291" s="3">
        <v>306.38363831163502</v>
      </c>
      <c r="AF291" s="2">
        <v>44693</v>
      </c>
      <c r="AG291" s="1">
        <v>48</v>
      </c>
      <c r="AH291" s="3">
        <v>3.96440793976728</v>
      </c>
      <c r="AI291" s="4">
        <v>21.508051844557901</v>
      </c>
      <c r="AJ291" s="4">
        <v>13.786111111111101</v>
      </c>
      <c r="AK291" s="4">
        <v>18.2377705771788</v>
      </c>
      <c r="AL291" s="1">
        <v>36</v>
      </c>
      <c r="AM291" s="5">
        <v>1174.9974704387801</v>
      </c>
      <c r="AN291" s="4">
        <v>194.45725520510999</v>
      </c>
      <c r="AO291" s="4">
        <v>0.16549589262732101</v>
      </c>
      <c r="AP291" s="1" t="s">
        <v>619</v>
      </c>
      <c r="AQ291" s="1" t="s">
        <v>254</v>
      </c>
      <c r="AR291" s="1" t="s">
        <v>164</v>
      </c>
      <c r="AS291" s="1">
        <v>9</v>
      </c>
      <c r="AT291" s="4">
        <v>1.0574977233949021</v>
      </c>
      <c r="AU291" s="1" t="s">
        <v>1433</v>
      </c>
      <c r="AV291" s="1" t="s">
        <v>1434</v>
      </c>
      <c r="AW291" s="1">
        <v>3915</v>
      </c>
      <c r="AX291" s="1">
        <v>2143</v>
      </c>
      <c r="AY291" s="1">
        <v>1689</v>
      </c>
      <c r="AZ291" s="1">
        <v>80</v>
      </c>
      <c r="BA291" s="1">
        <v>3</v>
      </c>
      <c r="BB291" s="1">
        <v>0</v>
      </c>
      <c r="BC291" s="1">
        <v>0</v>
      </c>
      <c r="BD291" s="1">
        <v>0</v>
      </c>
      <c r="BE291" s="1">
        <v>0</v>
      </c>
      <c r="BF291" s="1">
        <v>0</v>
      </c>
      <c r="BG291" s="1">
        <v>0</v>
      </c>
      <c r="BH291" s="4">
        <v>-0.78800000000000003</v>
      </c>
      <c r="BI291" s="4">
        <v>23.908000999999999</v>
      </c>
      <c r="BJ291" s="4">
        <v>10.684533</v>
      </c>
      <c r="BK291" s="4">
        <v>-4.0000000000000001E-3</v>
      </c>
      <c r="BL291" s="4">
        <v>10.075430000000001</v>
      </c>
      <c r="BM291" s="4">
        <v>101.514291</v>
      </c>
      <c r="BN291" s="4">
        <v>0.94299200000000005</v>
      </c>
      <c r="BO291" s="4">
        <v>20.496499</v>
      </c>
      <c r="BP291" s="4">
        <v>-4.8486000000000001E-2</v>
      </c>
      <c r="BQ291" s="4">
        <v>1.0834360000000001</v>
      </c>
      <c r="BR291" s="4">
        <v>9.8844049999999992</v>
      </c>
      <c r="BS291" s="4">
        <v>8.4839990000000007</v>
      </c>
      <c r="BT291" s="4">
        <v>14.202</v>
      </c>
      <c r="BU291" s="4">
        <v>10.684533</v>
      </c>
      <c r="BV291" s="4">
        <v>5.3315650000000003</v>
      </c>
      <c r="BW291" s="4">
        <v>6.694E-2</v>
      </c>
      <c r="BX291" s="4">
        <v>-1.0882540000000001</v>
      </c>
      <c r="BY291" s="4">
        <v>0.498998</v>
      </c>
      <c r="BZ291" s="4">
        <v>1.2555E-2</v>
      </c>
      <c r="CA291" s="4">
        <v>-0.20411499999999999</v>
      </c>
      <c r="CB291" s="4">
        <v>-0.42859999999999998</v>
      </c>
      <c r="CC291" s="4">
        <v>-0.17399999999999999</v>
      </c>
      <c r="CD291" s="4">
        <v>-7.22E-2</v>
      </c>
      <c r="CE291" s="4">
        <v>3.4799999999999998E-2</v>
      </c>
      <c r="CF291" s="4">
        <v>8.1500000000000003E-2</v>
      </c>
      <c r="CG291" s="4">
        <v>0.12820000000000001</v>
      </c>
      <c r="CH291" s="4">
        <v>0.251</v>
      </c>
      <c r="CI291" s="4">
        <v>14.198</v>
      </c>
      <c r="CJ291" s="4">
        <v>19.394798000000002</v>
      </c>
      <c r="CK291" s="4">
        <v>20.290800000000001</v>
      </c>
      <c r="CL291" s="4">
        <v>20.577998999999998</v>
      </c>
      <c r="CM291" s="4">
        <v>20.921199999999999</v>
      </c>
      <c r="CN291" s="4">
        <v>21.724001000000001</v>
      </c>
      <c r="CO291" s="4">
        <v>22.410298999999998</v>
      </c>
      <c r="CP291" s="4">
        <v>23.212299000000002</v>
      </c>
      <c r="CQ291" s="4">
        <v>0.46455000000000002</v>
      </c>
      <c r="CR291" s="4">
        <v>14.684945000000001</v>
      </c>
      <c r="CS291" s="4">
        <v>16.415203000000002</v>
      </c>
      <c r="CT291" s="1">
        <v>1</v>
      </c>
      <c r="CU291" s="1">
        <v>51</v>
      </c>
      <c r="CV291" s="4">
        <v>13.350447000000001</v>
      </c>
      <c r="CW291" s="4">
        <v>13.698413</v>
      </c>
      <c r="CX291" s="4">
        <v>9.1705740000000002</v>
      </c>
      <c r="CY291" s="4">
        <v>84.099435</v>
      </c>
      <c r="CZ291" s="4">
        <v>0.68691100000000005</v>
      </c>
      <c r="DA291" s="4">
        <v>11</v>
      </c>
      <c r="DB291" s="4">
        <v>1.1832549999999999</v>
      </c>
      <c r="DC291" s="4">
        <v>4.7695949999999998</v>
      </c>
      <c r="DD291" s="4">
        <v>6.8681099999999997</v>
      </c>
      <c r="DE291" s="4">
        <v>13.350447000000001</v>
      </c>
      <c r="DF291" s="4">
        <v>4.9143980000000003</v>
      </c>
      <c r="DG291" s="4">
        <v>0.911277</v>
      </c>
      <c r="DH291" s="4">
        <v>0.78059800000000001</v>
      </c>
      <c r="DI291" s="4">
        <v>0.36810700000000002</v>
      </c>
      <c r="DJ291" s="4">
        <v>0.18543000000000001</v>
      </c>
      <c r="DK291" s="4">
        <v>0.15883900000000001</v>
      </c>
      <c r="DL291" s="4">
        <v>1</v>
      </c>
      <c r="DM291" s="4">
        <v>2</v>
      </c>
      <c r="DN291" s="4">
        <v>3</v>
      </c>
      <c r="DO291" s="4">
        <v>5</v>
      </c>
      <c r="DP291" s="4">
        <v>6</v>
      </c>
      <c r="DQ291" s="4">
        <v>8</v>
      </c>
      <c r="DR291" s="4">
        <v>10</v>
      </c>
      <c r="DS291" s="4">
        <v>12</v>
      </c>
      <c r="DT291" s="4">
        <v>14</v>
      </c>
      <c r="DU291" s="4">
        <v>16</v>
      </c>
      <c r="DV291" s="4">
        <v>17</v>
      </c>
      <c r="DW291" s="4">
        <v>19</v>
      </c>
      <c r="DX291" s="4">
        <v>25</v>
      </c>
      <c r="DY291" s="4">
        <v>32</v>
      </c>
      <c r="DZ291" s="4">
        <v>43</v>
      </c>
      <c r="EA291" s="4">
        <v>93.187121000000005</v>
      </c>
      <c r="EB291" s="4">
        <v>54.022989000000003</v>
      </c>
      <c r="EC291" s="4">
        <v>98.693420000000003</v>
      </c>
      <c r="ED291" s="4">
        <v>1997</v>
      </c>
      <c r="EE291" s="4">
        <v>2115</v>
      </c>
      <c r="EF291" s="4">
        <v>92.25385</v>
      </c>
      <c r="EG291" s="4">
        <v>99.860009000000005</v>
      </c>
      <c r="EH291" s="4">
        <v>52.337164999999999</v>
      </c>
      <c r="EI291" s="4">
        <v>83.908045999999999</v>
      </c>
      <c r="EJ291" s="4">
        <v>95.613625999999996</v>
      </c>
      <c r="EK291" s="4">
        <v>153.289781</v>
      </c>
      <c r="EL291" s="4">
        <v>1977</v>
      </c>
      <c r="EM291" s="4">
        <v>2140</v>
      </c>
      <c r="EN291" s="4">
        <v>2049</v>
      </c>
      <c r="EO291" s="4">
        <v>3285</v>
      </c>
      <c r="EP291" s="4">
        <v>2143</v>
      </c>
      <c r="EQ291" s="4">
        <v>3915</v>
      </c>
      <c r="ER291" s="4">
        <v>45.170192</v>
      </c>
    </row>
    <row r="292" spans="1:148" x14ac:dyDescent="0.2">
      <c r="A292" s="1">
        <v>2022</v>
      </c>
      <c r="B292" s="1" t="str">
        <f t="shared" si="8"/>
        <v>NE</v>
      </c>
      <c r="C292" s="1" t="s">
        <v>1435</v>
      </c>
      <c r="D292" s="1" t="s">
        <v>1435</v>
      </c>
      <c r="E292" s="1">
        <v>26686</v>
      </c>
      <c r="F292" s="1" t="s">
        <v>2146</v>
      </c>
      <c r="G292" s="1" t="s">
        <v>1035</v>
      </c>
      <c r="H292" s="1" t="s">
        <v>1436</v>
      </c>
      <c r="I292" s="1">
        <v>46.06</v>
      </c>
      <c r="J292" s="1">
        <v>46.06</v>
      </c>
      <c r="K292" s="1" t="s">
        <v>1022</v>
      </c>
      <c r="L292" s="1">
        <v>1</v>
      </c>
      <c r="M292" s="1">
        <v>2018</v>
      </c>
      <c r="N292" s="1">
        <v>3</v>
      </c>
      <c r="O292" s="1">
        <v>1</v>
      </c>
      <c r="P292" s="1" t="str">
        <f t="shared" si="9"/>
        <v>Alto fuste</v>
      </c>
      <c r="Q292" s="2">
        <v>43297</v>
      </c>
      <c r="R292" s="1" t="s">
        <v>169</v>
      </c>
      <c r="S292" s="1" t="s">
        <v>403</v>
      </c>
      <c r="T292" s="1" t="s">
        <v>2268</v>
      </c>
      <c r="U292" s="1" t="s">
        <v>1022</v>
      </c>
      <c r="V292" s="1" t="s">
        <v>152</v>
      </c>
      <c r="W292" s="2">
        <v>44823</v>
      </c>
      <c r="X292" s="1" t="s">
        <v>1037</v>
      </c>
      <c r="Y292" s="1">
        <v>154.9</v>
      </c>
      <c r="Z292" s="1">
        <v>20.2</v>
      </c>
      <c r="AA292" s="1">
        <v>12</v>
      </c>
      <c r="AB292" s="1">
        <v>15.1</v>
      </c>
      <c r="AC292" s="1">
        <v>2</v>
      </c>
      <c r="AD292" s="3">
        <v>305.02</v>
      </c>
      <c r="AE292" s="3">
        <v>298.17283162624398</v>
      </c>
      <c r="AF292" s="2">
        <v>44823</v>
      </c>
      <c r="AG292" s="1">
        <v>50</v>
      </c>
      <c r="AH292" s="3">
        <v>4.1779603011635897</v>
      </c>
      <c r="AI292" s="4">
        <v>20.0656800343295</v>
      </c>
      <c r="AJ292" s="4">
        <v>15.42</v>
      </c>
      <c r="AK292" s="4">
        <v>19.2417956960245</v>
      </c>
      <c r="AL292" s="1">
        <v>30</v>
      </c>
      <c r="AM292" s="5">
        <v>1006.12788349559</v>
      </c>
      <c r="AN292" s="4">
        <v>167.65299948189701</v>
      </c>
      <c r="AO292" s="4">
        <v>0.16663189862050101</v>
      </c>
      <c r="AP292" s="1" t="s">
        <v>403</v>
      </c>
      <c r="AQ292" s="1" t="s">
        <v>156</v>
      </c>
      <c r="AR292" s="1" t="s">
        <v>1050</v>
      </c>
      <c r="AS292" s="1">
        <v>9</v>
      </c>
      <c r="AT292" s="4">
        <v>0.90551509514603101</v>
      </c>
      <c r="AU292" s="1" t="s">
        <v>1437</v>
      </c>
      <c r="AV292" s="1" t="s">
        <v>1438</v>
      </c>
      <c r="AW292" s="1">
        <v>4372</v>
      </c>
      <c r="AX292" s="1">
        <v>2288</v>
      </c>
      <c r="AY292" s="1">
        <v>1845</v>
      </c>
      <c r="AZ292" s="1">
        <v>235</v>
      </c>
      <c r="BA292" s="1">
        <v>4</v>
      </c>
      <c r="BB292" s="1">
        <v>0</v>
      </c>
      <c r="BC292" s="1">
        <v>0</v>
      </c>
      <c r="BD292" s="1">
        <v>0</v>
      </c>
      <c r="BE292" s="1">
        <v>0</v>
      </c>
      <c r="BF292" s="1">
        <v>0</v>
      </c>
      <c r="BG292" s="1">
        <v>0</v>
      </c>
      <c r="BH292" s="4">
        <v>-1.0820000000000001</v>
      </c>
      <c r="BI292" s="4">
        <v>23.292000000000002</v>
      </c>
      <c r="BJ292" s="4">
        <v>10.304129</v>
      </c>
      <c r="BK292" s="4">
        <v>-0.308222</v>
      </c>
      <c r="BL292" s="4">
        <v>9.6904160000000008</v>
      </c>
      <c r="BM292" s="4">
        <v>93.904156999999998</v>
      </c>
      <c r="BN292" s="4">
        <v>0.94044000000000005</v>
      </c>
      <c r="BO292" s="4">
        <v>19.978750000000002</v>
      </c>
      <c r="BP292" s="4">
        <v>-3.4492000000000002E-2</v>
      </c>
      <c r="BQ292" s="4">
        <v>1.0947739999999999</v>
      </c>
      <c r="BR292" s="4">
        <v>9.4744329999999994</v>
      </c>
      <c r="BS292" s="4">
        <v>8.5980000000000008</v>
      </c>
      <c r="BT292" s="4">
        <v>13.221221999999999</v>
      </c>
      <c r="BU292" s="4">
        <v>10.304129</v>
      </c>
      <c r="BV292" s="4">
        <v>5.1565310000000002</v>
      </c>
      <c r="BW292" s="4">
        <v>6.3140000000000002E-2</v>
      </c>
      <c r="BX292" s="4">
        <v>-1.059431</v>
      </c>
      <c r="BY292" s="4">
        <v>0.50043400000000005</v>
      </c>
      <c r="BZ292" s="4">
        <v>1.2245000000000001E-2</v>
      </c>
      <c r="CA292" s="4">
        <v>-0.205454</v>
      </c>
      <c r="CB292" s="4">
        <v>-0.43186999999999998</v>
      </c>
      <c r="CC292" s="4">
        <v>-0.20845</v>
      </c>
      <c r="CD292" s="4">
        <v>-0.108</v>
      </c>
      <c r="CE292" s="4">
        <v>1.1999999999999999E-3</v>
      </c>
      <c r="CF292" s="4">
        <v>4.5999999999999999E-2</v>
      </c>
      <c r="CG292" s="4">
        <v>0.1</v>
      </c>
      <c r="CH292" s="4">
        <v>0.251</v>
      </c>
      <c r="CI292" s="4">
        <v>12.913</v>
      </c>
      <c r="CJ292" s="4">
        <v>18.718201000000001</v>
      </c>
      <c r="CK292" s="4">
        <v>19.6327</v>
      </c>
      <c r="CL292" s="4">
        <v>20.024750000000001</v>
      </c>
      <c r="CM292" s="4">
        <v>20.3538</v>
      </c>
      <c r="CN292" s="4">
        <v>21.065398999999999</v>
      </c>
      <c r="CO292" s="4">
        <v>21.500250000000001</v>
      </c>
      <c r="CP292" s="4">
        <v>22.208382</v>
      </c>
      <c r="CQ292" s="4">
        <v>0.467142</v>
      </c>
      <c r="CR292" s="4">
        <v>14.144177000000001</v>
      </c>
      <c r="CS292" s="4">
        <v>15.827305000000001</v>
      </c>
      <c r="CT292" s="1">
        <v>1</v>
      </c>
      <c r="CU292" s="1">
        <v>45</v>
      </c>
      <c r="CV292" s="4">
        <v>11.857044999999999</v>
      </c>
      <c r="CW292" s="4">
        <v>3.7936510000000001</v>
      </c>
      <c r="CX292" s="4">
        <v>7.651014</v>
      </c>
      <c r="CY292" s="4">
        <v>58.538012999999999</v>
      </c>
      <c r="CZ292" s="4">
        <v>0.64527199999999996</v>
      </c>
      <c r="DA292" s="4">
        <v>11</v>
      </c>
      <c r="DB292" s="4">
        <v>0.70012300000000005</v>
      </c>
      <c r="DC292" s="4">
        <v>3.2498079999999998</v>
      </c>
      <c r="DD292" s="4">
        <v>6.2682279999999997</v>
      </c>
      <c r="DE292" s="4">
        <v>11.857044999999999</v>
      </c>
      <c r="DF292" s="4">
        <v>4.2793390000000002</v>
      </c>
      <c r="DG292" s="4">
        <v>0.55627400000000005</v>
      </c>
      <c r="DH292" s="4">
        <v>0.31390200000000001</v>
      </c>
      <c r="DI292" s="4">
        <v>0.36091099999999998</v>
      </c>
      <c r="DJ292" s="4">
        <v>0.129991</v>
      </c>
      <c r="DK292" s="4">
        <v>7.3353000000000002E-2</v>
      </c>
      <c r="DL292" s="4">
        <v>1</v>
      </c>
      <c r="DM292" s="4">
        <v>2</v>
      </c>
      <c r="DN292" s="4">
        <v>3</v>
      </c>
      <c r="DO292" s="4">
        <v>5</v>
      </c>
      <c r="DP292" s="4">
        <v>6</v>
      </c>
      <c r="DQ292" s="4">
        <v>7</v>
      </c>
      <c r="DR292" s="4">
        <v>9</v>
      </c>
      <c r="DS292" s="4">
        <v>11</v>
      </c>
      <c r="DT292" s="4">
        <v>13</v>
      </c>
      <c r="DU292" s="4">
        <v>16</v>
      </c>
      <c r="DV292" s="4">
        <v>17</v>
      </c>
      <c r="DW292" s="4">
        <v>18</v>
      </c>
      <c r="DX292" s="4">
        <v>22</v>
      </c>
      <c r="DY292" s="4">
        <v>25</v>
      </c>
      <c r="DZ292" s="4">
        <v>34</v>
      </c>
      <c r="EA292" s="4">
        <v>94.580420000000004</v>
      </c>
      <c r="EB292" s="4">
        <v>55.215004999999998</v>
      </c>
      <c r="EC292" s="4">
        <v>105.50699299999999</v>
      </c>
      <c r="ED292" s="4">
        <v>2164</v>
      </c>
      <c r="EE292" s="4">
        <v>2414</v>
      </c>
      <c r="EF292" s="4">
        <v>92.613636</v>
      </c>
      <c r="EG292" s="4">
        <v>100</v>
      </c>
      <c r="EH292" s="4">
        <v>51.235132999999998</v>
      </c>
      <c r="EI292" s="4">
        <v>97.621225999999993</v>
      </c>
      <c r="EJ292" s="4">
        <v>97.902097999999995</v>
      </c>
      <c r="EK292" s="4">
        <v>186.53846200000001</v>
      </c>
      <c r="EL292" s="4">
        <v>2119</v>
      </c>
      <c r="EM292" s="4">
        <v>2288</v>
      </c>
      <c r="EN292" s="4">
        <v>2240</v>
      </c>
      <c r="EO292" s="4">
        <v>4268</v>
      </c>
      <c r="EP292" s="4">
        <v>2288</v>
      </c>
      <c r="EQ292" s="4">
        <v>4372</v>
      </c>
      <c r="ER292" s="4">
        <v>45.541612000000001</v>
      </c>
    </row>
    <row r="293" spans="1:148" x14ac:dyDescent="0.2">
      <c r="A293" s="1">
        <v>2022</v>
      </c>
      <c r="B293" s="1" t="str">
        <f t="shared" si="8"/>
        <v>NE</v>
      </c>
      <c r="C293" s="1" t="s">
        <v>1439</v>
      </c>
      <c r="D293" s="1" t="s">
        <v>1439</v>
      </c>
      <c r="E293" s="1">
        <v>26831</v>
      </c>
      <c r="F293" s="1" t="s">
        <v>2151</v>
      </c>
      <c r="G293" s="1" t="s">
        <v>1440</v>
      </c>
      <c r="H293" s="1" t="s">
        <v>1441</v>
      </c>
      <c r="I293" s="1">
        <v>14.06</v>
      </c>
      <c r="J293" s="1">
        <v>14.06</v>
      </c>
      <c r="K293" s="1" t="s">
        <v>1022</v>
      </c>
      <c r="L293" s="1">
        <v>1</v>
      </c>
      <c r="M293" s="1">
        <v>2019</v>
      </c>
      <c r="N293" s="1">
        <v>3</v>
      </c>
      <c r="O293" s="1">
        <v>2</v>
      </c>
      <c r="P293" s="1" t="str">
        <f t="shared" si="9"/>
        <v>Talhadia</v>
      </c>
      <c r="Q293" s="2">
        <v>43494</v>
      </c>
      <c r="R293" s="1" t="s">
        <v>169</v>
      </c>
      <c r="S293" s="1" t="s">
        <v>348</v>
      </c>
      <c r="T293" s="1" t="s">
        <v>2268</v>
      </c>
      <c r="U293" s="1" t="s">
        <v>1022</v>
      </c>
      <c r="V293" s="1" t="s">
        <v>152</v>
      </c>
      <c r="W293" s="2">
        <v>44693</v>
      </c>
      <c r="X293" s="1" t="s">
        <v>1442</v>
      </c>
      <c r="Y293" s="1">
        <v>57.22</v>
      </c>
      <c r="Z293" s="1">
        <v>20.399999999999999</v>
      </c>
      <c r="AA293" s="1">
        <v>9</v>
      </c>
      <c r="AB293" s="1">
        <v>15.3</v>
      </c>
      <c r="AC293" s="1">
        <v>1</v>
      </c>
      <c r="AD293" s="3">
        <v>312.12</v>
      </c>
      <c r="AE293" s="3">
        <v>308.23033274289497</v>
      </c>
      <c r="AF293" s="2">
        <v>44693</v>
      </c>
      <c r="AG293" s="1">
        <v>40</v>
      </c>
      <c r="AH293" s="3">
        <v>3.2826830937713898</v>
      </c>
      <c r="AI293" s="4">
        <v>23.4624144673462</v>
      </c>
      <c r="AJ293" s="4">
        <v>17.2130434782609</v>
      </c>
      <c r="AK293" s="4">
        <v>18.331891398413202</v>
      </c>
      <c r="AL293" s="1">
        <v>23</v>
      </c>
      <c r="AM293" s="5">
        <v>746.19521691218699</v>
      </c>
      <c r="AN293" s="4">
        <v>200.60127352513999</v>
      </c>
      <c r="AO293" s="4">
        <v>0.26883216211870498</v>
      </c>
      <c r="AP293" s="1" t="s">
        <v>348</v>
      </c>
      <c r="AQ293" s="1" t="s">
        <v>254</v>
      </c>
      <c r="AR293" s="1" t="s">
        <v>302</v>
      </c>
      <c r="AS293" s="1">
        <v>9</v>
      </c>
      <c r="AT293" s="4">
        <v>0.67157569522096827</v>
      </c>
      <c r="AU293" s="1" t="s">
        <v>1443</v>
      </c>
      <c r="AV293" s="1" t="s">
        <v>1444</v>
      </c>
      <c r="AW293" s="1">
        <v>4521</v>
      </c>
      <c r="AX293" s="1">
        <v>2905</v>
      </c>
      <c r="AY293" s="1">
        <v>1490</v>
      </c>
      <c r="AZ293" s="1">
        <v>125</v>
      </c>
      <c r="BA293" s="1">
        <v>1</v>
      </c>
      <c r="BB293" s="1">
        <v>0</v>
      </c>
      <c r="BC293" s="1">
        <v>0</v>
      </c>
      <c r="BD293" s="1">
        <v>0</v>
      </c>
      <c r="BE293" s="1">
        <v>0</v>
      </c>
      <c r="BF293" s="1">
        <v>0</v>
      </c>
      <c r="BG293" s="1">
        <v>0</v>
      </c>
      <c r="BH293" s="4">
        <v>-0.98199999999999998</v>
      </c>
      <c r="BI293" s="4">
        <v>26.533000999999999</v>
      </c>
      <c r="BJ293" s="4">
        <v>9.3456069999999993</v>
      </c>
      <c r="BK293" s="4">
        <v>-0.10850799999999999</v>
      </c>
      <c r="BL293" s="4">
        <v>10.721814999999999</v>
      </c>
      <c r="BM293" s="4">
        <v>114.95732700000001</v>
      </c>
      <c r="BN293" s="4">
        <v>1.147257</v>
      </c>
      <c r="BO293" s="4">
        <v>21.981999999999999</v>
      </c>
      <c r="BP293" s="4">
        <v>0.41819200000000001</v>
      </c>
      <c r="BQ293" s="4">
        <v>1.2861359999999999</v>
      </c>
      <c r="BR293" s="4">
        <v>10.281420000000001</v>
      </c>
      <c r="BS293" s="4">
        <v>1.2050000000000001</v>
      </c>
      <c r="BT293" s="4">
        <v>1.072508</v>
      </c>
      <c r="BU293" s="4">
        <v>9.3456069999999993</v>
      </c>
      <c r="BV293" s="4">
        <v>5.6157859999999999</v>
      </c>
      <c r="BW293" s="4">
        <v>1.174725</v>
      </c>
      <c r="BX293" s="4">
        <v>-0.87676100000000001</v>
      </c>
      <c r="BY293" s="4">
        <v>0.60090100000000002</v>
      </c>
      <c r="BZ293" s="4">
        <v>0.20918300000000001</v>
      </c>
      <c r="CA293" s="4">
        <v>-0.15612400000000001</v>
      </c>
      <c r="CB293" s="4">
        <v>-0.38579999999999998</v>
      </c>
      <c r="CC293" s="4">
        <v>-0.19500000000000001</v>
      </c>
      <c r="CD293" s="4">
        <v>-0.113</v>
      </c>
      <c r="CE293" s="4">
        <v>-1.0999999999999999E-2</v>
      </c>
      <c r="CF293" s="4">
        <v>3.1E-2</v>
      </c>
      <c r="CG293" s="4">
        <v>7.8E-2</v>
      </c>
      <c r="CH293" s="4">
        <v>0.215</v>
      </c>
      <c r="CI293" s="4">
        <v>0.96399999999999997</v>
      </c>
      <c r="CJ293" s="4">
        <v>12.54</v>
      </c>
      <c r="CK293" s="4">
        <v>21.407</v>
      </c>
      <c r="CL293" s="4">
        <v>22.013000000000002</v>
      </c>
      <c r="CM293" s="4">
        <v>22.625</v>
      </c>
      <c r="CN293" s="4">
        <v>23.934000000000001</v>
      </c>
      <c r="CO293" s="4">
        <v>24.608000000000001</v>
      </c>
      <c r="CP293" s="4">
        <v>25.499599</v>
      </c>
      <c r="CQ293" s="4">
        <v>0.37534499999999998</v>
      </c>
      <c r="CR293" s="4">
        <v>14.222244999999999</v>
      </c>
      <c r="CS293" s="4">
        <v>16.575289999999999</v>
      </c>
      <c r="CT293" s="1">
        <v>1</v>
      </c>
      <c r="CU293" s="1">
        <v>55</v>
      </c>
      <c r="CV293" s="4">
        <v>19.308339</v>
      </c>
      <c r="CW293" s="4">
        <v>1</v>
      </c>
      <c r="CX293" s="4">
        <v>13.275753</v>
      </c>
      <c r="CY293" s="4">
        <v>176.24561399999999</v>
      </c>
      <c r="CZ293" s="4">
        <v>0.68756600000000001</v>
      </c>
      <c r="DA293" s="4">
        <v>21</v>
      </c>
      <c r="DB293" s="4">
        <v>0.479597</v>
      </c>
      <c r="DC293" s="4">
        <v>2.1507909999999999</v>
      </c>
      <c r="DD293" s="4">
        <v>11.177154</v>
      </c>
      <c r="DE293" s="4">
        <v>19.308339</v>
      </c>
      <c r="DF293" s="4">
        <v>7.5446479999999996</v>
      </c>
      <c r="DG293" s="4">
        <v>0.98040899999999997</v>
      </c>
      <c r="DH293" s="4">
        <v>0.254276</v>
      </c>
      <c r="DI293" s="4">
        <v>0.39074599999999998</v>
      </c>
      <c r="DJ293" s="4">
        <v>0.12994800000000001</v>
      </c>
      <c r="DK293" s="4">
        <v>3.3702999999999997E-2</v>
      </c>
      <c r="DL293" s="4">
        <v>1</v>
      </c>
      <c r="DM293" s="4">
        <v>1</v>
      </c>
      <c r="DN293" s="4">
        <v>3</v>
      </c>
      <c r="DO293" s="4">
        <v>7</v>
      </c>
      <c r="DP293" s="4">
        <v>8</v>
      </c>
      <c r="DQ293" s="4">
        <v>10</v>
      </c>
      <c r="DR293" s="4">
        <v>13</v>
      </c>
      <c r="DS293" s="4">
        <v>17</v>
      </c>
      <c r="DT293" s="4">
        <v>21</v>
      </c>
      <c r="DU293" s="4">
        <v>26</v>
      </c>
      <c r="DV293" s="4">
        <v>29</v>
      </c>
      <c r="DW293" s="4">
        <v>33</v>
      </c>
      <c r="DX293" s="4">
        <v>40</v>
      </c>
      <c r="DY293" s="4">
        <v>43</v>
      </c>
      <c r="DZ293" s="4">
        <v>48</v>
      </c>
      <c r="EA293" s="4">
        <v>65.748709000000005</v>
      </c>
      <c r="EB293" s="4">
        <v>45.675735000000003</v>
      </c>
      <c r="EC293" s="4">
        <v>71.084337000000005</v>
      </c>
      <c r="ED293" s="4">
        <v>1910</v>
      </c>
      <c r="EE293" s="4">
        <v>2065</v>
      </c>
      <c r="EF293" s="4">
        <v>61.893287000000001</v>
      </c>
      <c r="EG293" s="4">
        <v>99.104990999999998</v>
      </c>
      <c r="EH293" s="4">
        <v>41.340411000000003</v>
      </c>
      <c r="EI293" s="4">
        <v>89.604069999999993</v>
      </c>
      <c r="EJ293" s="4">
        <v>64.337349000000003</v>
      </c>
      <c r="EK293" s="4">
        <v>139.44922500000001</v>
      </c>
      <c r="EL293" s="4">
        <v>1798</v>
      </c>
      <c r="EM293" s="4">
        <v>2879</v>
      </c>
      <c r="EN293" s="4">
        <v>1869</v>
      </c>
      <c r="EO293" s="4">
        <v>4051</v>
      </c>
      <c r="EP293" s="4">
        <v>2905</v>
      </c>
      <c r="EQ293" s="4">
        <v>4521</v>
      </c>
      <c r="ER293" s="4">
        <v>35.748514</v>
      </c>
    </row>
    <row r="294" spans="1:148" x14ac:dyDescent="0.2">
      <c r="A294" s="1">
        <v>2022</v>
      </c>
      <c r="B294" s="1" t="str">
        <f t="shared" si="8"/>
        <v>NE</v>
      </c>
      <c r="C294" s="1" t="s">
        <v>1445</v>
      </c>
      <c r="D294" s="1" t="s">
        <v>1445</v>
      </c>
      <c r="E294" s="1">
        <v>26845</v>
      </c>
      <c r="F294" s="1" t="s">
        <v>2151</v>
      </c>
      <c r="G294" s="1" t="s">
        <v>1440</v>
      </c>
      <c r="H294" s="1" t="s">
        <v>1446</v>
      </c>
      <c r="I294" s="1">
        <v>34.28</v>
      </c>
      <c r="J294" s="1">
        <v>34.28</v>
      </c>
      <c r="K294" s="1" t="s">
        <v>1022</v>
      </c>
      <c r="L294" s="1">
        <v>1</v>
      </c>
      <c r="M294" s="1">
        <v>2019</v>
      </c>
      <c r="N294" s="1">
        <v>3</v>
      </c>
      <c r="O294" s="1">
        <v>2</v>
      </c>
      <c r="P294" s="1" t="str">
        <f t="shared" si="9"/>
        <v>Talhadia</v>
      </c>
      <c r="Q294" s="2">
        <v>43500</v>
      </c>
      <c r="R294" s="1" t="s">
        <v>169</v>
      </c>
      <c r="S294" s="1" t="s">
        <v>163</v>
      </c>
      <c r="T294" s="1" t="s">
        <v>2268</v>
      </c>
      <c r="U294" s="1" t="s">
        <v>1022</v>
      </c>
      <c r="V294" s="1" t="s">
        <v>152</v>
      </c>
      <c r="W294" s="2">
        <v>44693</v>
      </c>
      <c r="X294" s="1" t="s">
        <v>1442</v>
      </c>
      <c r="Y294" s="1">
        <v>57.22</v>
      </c>
      <c r="Z294" s="1">
        <v>18.2</v>
      </c>
      <c r="AA294" s="1">
        <v>7</v>
      </c>
      <c r="AB294" s="1">
        <v>15.3</v>
      </c>
      <c r="AC294" s="1">
        <v>1</v>
      </c>
      <c r="AD294" s="3">
        <v>278.45999999999998</v>
      </c>
      <c r="AE294" s="3">
        <v>276.342306703014</v>
      </c>
      <c r="AF294" s="2">
        <v>44693</v>
      </c>
      <c r="AG294" s="1">
        <v>39</v>
      </c>
      <c r="AH294" s="3">
        <v>3.2662559890486</v>
      </c>
      <c r="AI294" s="4">
        <v>21.145103023194199</v>
      </c>
      <c r="AJ294" s="4">
        <v>16.6260869565217</v>
      </c>
      <c r="AK294" s="4">
        <v>18.637490069527001</v>
      </c>
      <c r="AL294" s="1">
        <v>23</v>
      </c>
      <c r="AM294" s="5">
        <v>832.30107884704796</v>
      </c>
      <c r="AN294" s="4">
        <v>178.81955001112999</v>
      </c>
      <c r="AO294" s="4">
        <v>0.21484959536378501</v>
      </c>
      <c r="AP294" s="1" t="s">
        <v>163</v>
      </c>
      <c r="AQ294" s="1" t="s">
        <v>254</v>
      </c>
      <c r="AR294" s="1" t="s">
        <v>282</v>
      </c>
      <c r="AS294" s="1">
        <v>9</v>
      </c>
      <c r="AT294" s="4">
        <v>0.74907097096234321</v>
      </c>
      <c r="AU294" s="1" t="s">
        <v>1447</v>
      </c>
      <c r="AV294" s="1" t="s">
        <v>1448</v>
      </c>
      <c r="AW294" s="1">
        <v>2244</v>
      </c>
      <c r="AX294" s="1">
        <v>1389</v>
      </c>
      <c r="AY294" s="1">
        <v>830</v>
      </c>
      <c r="AZ294" s="1">
        <v>25</v>
      </c>
      <c r="BA294" s="1">
        <v>0</v>
      </c>
      <c r="BB294" s="1">
        <v>0</v>
      </c>
      <c r="BC294" s="1">
        <v>0</v>
      </c>
      <c r="BD294" s="1">
        <v>0</v>
      </c>
      <c r="BE294" s="1">
        <v>0</v>
      </c>
      <c r="BF294" s="1">
        <v>0</v>
      </c>
      <c r="BG294" s="1">
        <v>0</v>
      </c>
      <c r="BH294" s="4">
        <v>-0.72099999999999997</v>
      </c>
      <c r="BI294" s="4">
        <v>24.742000999999998</v>
      </c>
      <c r="BJ294" s="4">
        <v>8.7599300000000007</v>
      </c>
      <c r="BK294" s="4">
        <v>-0.31682500000000002</v>
      </c>
      <c r="BL294" s="4">
        <v>9.3543620000000001</v>
      </c>
      <c r="BM294" s="4">
        <v>87.504088999999993</v>
      </c>
      <c r="BN294" s="4">
        <v>1.067858</v>
      </c>
      <c r="BO294" s="4">
        <v>18.329000000000001</v>
      </c>
      <c r="BP294" s="4">
        <v>0.22058800000000001</v>
      </c>
      <c r="BQ294" s="4">
        <v>1.183233</v>
      </c>
      <c r="BR294" s="4">
        <v>9.1326579999999993</v>
      </c>
      <c r="BS294" s="4">
        <v>0.8</v>
      </c>
      <c r="BT294" s="4">
        <v>0.793825</v>
      </c>
      <c r="BU294" s="4">
        <v>8.7599300000000007</v>
      </c>
      <c r="BV294" s="4">
        <v>4.9593879999999997</v>
      </c>
      <c r="BW294" s="4">
        <v>0.72396700000000003</v>
      </c>
      <c r="BX294" s="4">
        <v>-0.82147999999999999</v>
      </c>
      <c r="BY294" s="4">
        <v>0.56614500000000001</v>
      </c>
      <c r="BZ294" s="4">
        <v>0.145979</v>
      </c>
      <c r="CA294" s="4">
        <v>-0.16564100000000001</v>
      </c>
      <c r="CB294" s="4">
        <v>-0.32400000000000001</v>
      </c>
      <c r="CC294" s="4">
        <v>-0.1857</v>
      </c>
      <c r="CD294" s="4">
        <v>-0.124</v>
      </c>
      <c r="CE294" s="4">
        <v>-3.1399999999999997E-2</v>
      </c>
      <c r="CF294" s="4">
        <v>4.0000000000000001E-3</v>
      </c>
      <c r="CG294" s="4">
        <v>4.3900000000000002E-2</v>
      </c>
      <c r="CH294" s="4">
        <v>0.124</v>
      </c>
      <c r="CI294" s="4">
        <v>0.47699999999999998</v>
      </c>
      <c r="CJ294" s="4">
        <v>15.923</v>
      </c>
      <c r="CK294" s="4">
        <v>17.591999000000001</v>
      </c>
      <c r="CL294" s="4">
        <v>18.332999999999998</v>
      </c>
      <c r="CM294" s="4">
        <v>18.969999000000001</v>
      </c>
      <c r="CN294" s="4">
        <v>20.710999999999999</v>
      </c>
      <c r="CO294" s="4">
        <v>21.677353</v>
      </c>
      <c r="CP294" s="4">
        <v>23.445999</v>
      </c>
      <c r="CQ294" s="4">
        <v>0.37234099999999998</v>
      </c>
      <c r="CR294" s="4">
        <v>12.814112</v>
      </c>
      <c r="CS294" s="4">
        <v>14.660907999999999</v>
      </c>
      <c r="CT294" s="1">
        <v>1</v>
      </c>
      <c r="CU294" s="1">
        <v>58</v>
      </c>
      <c r="CV294" s="4">
        <v>18.313725000000002</v>
      </c>
      <c r="CW294" s="4">
        <v>9.1428569999999993</v>
      </c>
      <c r="CX294" s="4">
        <v>12.8452</v>
      </c>
      <c r="CY294" s="4">
        <v>164.99916999999999</v>
      </c>
      <c r="CZ294" s="4">
        <v>0.70139700000000005</v>
      </c>
      <c r="DA294" s="4">
        <v>15</v>
      </c>
      <c r="DB294" s="4">
        <v>0.82570699999999997</v>
      </c>
      <c r="DC294" s="4">
        <v>2.7394790000000002</v>
      </c>
      <c r="DD294" s="4">
        <v>10.29936</v>
      </c>
      <c r="DE294" s="4">
        <v>18.313725000000002</v>
      </c>
      <c r="DF294" s="4">
        <v>7.0881740000000004</v>
      </c>
      <c r="DG294" s="4">
        <v>1.45533</v>
      </c>
      <c r="DH294" s="4">
        <v>0.65898400000000001</v>
      </c>
      <c r="DI294" s="4">
        <v>0.387042</v>
      </c>
      <c r="DJ294" s="4">
        <v>0.205318</v>
      </c>
      <c r="DK294" s="4">
        <v>9.2968999999999996E-2</v>
      </c>
      <c r="DL294" s="4">
        <v>1</v>
      </c>
      <c r="DM294" s="4">
        <v>2.1500020000000002</v>
      </c>
      <c r="DN294" s="4">
        <v>4</v>
      </c>
      <c r="DO294" s="4">
        <v>7</v>
      </c>
      <c r="DP294" s="4">
        <v>9</v>
      </c>
      <c r="DQ294" s="4">
        <v>10</v>
      </c>
      <c r="DR294" s="4">
        <v>13</v>
      </c>
      <c r="DS294" s="4">
        <v>15</v>
      </c>
      <c r="DT294" s="4">
        <v>18</v>
      </c>
      <c r="DU294" s="4">
        <v>22</v>
      </c>
      <c r="DV294" s="4">
        <v>24</v>
      </c>
      <c r="DW294" s="4">
        <v>29</v>
      </c>
      <c r="DX294" s="4">
        <v>41</v>
      </c>
      <c r="DY294" s="4">
        <v>44</v>
      </c>
      <c r="DZ294" s="4">
        <v>49</v>
      </c>
      <c r="EA294" s="4">
        <v>74.298056000000003</v>
      </c>
      <c r="EB294" s="4">
        <v>47.994652000000002</v>
      </c>
      <c r="EC294" s="4">
        <v>77.537796999999998</v>
      </c>
      <c r="ED294" s="4">
        <v>1032</v>
      </c>
      <c r="EE294" s="4">
        <v>1077</v>
      </c>
      <c r="EF294" s="4">
        <v>73.650108000000003</v>
      </c>
      <c r="EG294" s="4">
        <v>100</v>
      </c>
      <c r="EH294" s="4">
        <v>46.524064000000003</v>
      </c>
      <c r="EI294" s="4">
        <v>98.573975000000004</v>
      </c>
      <c r="EJ294" s="4">
        <v>75.161986999999996</v>
      </c>
      <c r="EK294" s="4">
        <v>159.25126</v>
      </c>
      <c r="EL294" s="4">
        <v>1023</v>
      </c>
      <c r="EM294" s="4">
        <v>1389</v>
      </c>
      <c r="EN294" s="4">
        <v>1044</v>
      </c>
      <c r="EO294" s="4">
        <v>2212</v>
      </c>
      <c r="EP294" s="4">
        <v>1389</v>
      </c>
      <c r="EQ294" s="4">
        <v>2244</v>
      </c>
      <c r="ER294" s="4">
        <v>36.446406000000003</v>
      </c>
    </row>
    <row r="295" spans="1:148" x14ac:dyDescent="0.2">
      <c r="A295" s="1">
        <v>2022</v>
      </c>
      <c r="B295" s="1" t="str">
        <f t="shared" si="8"/>
        <v>NE</v>
      </c>
      <c r="C295" s="1" t="s">
        <v>1449</v>
      </c>
      <c r="D295" s="1" t="s">
        <v>1449</v>
      </c>
      <c r="E295" s="1">
        <v>26846</v>
      </c>
      <c r="F295" s="1" t="s">
        <v>2151</v>
      </c>
      <c r="G295" s="1" t="s">
        <v>1440</v>
      </c>
      <c r="H295" s="1" t="s">
        <v>1446</v>
      </c>
      <c r="I295" s="1">
        <v>34.28</v>
      </c>
      <c r="J295" s="1">
        <v>34.28</v>
      </c>
      <c r="K295" s="1" t="s">
        <v>1022</v>
      </c>
      <c r="L295" s="1">
        <v>1</v>
      </c>
      <c r="M295" s="1">
        <v>2019</v>
      </c>
      <c r="N295" s="1">
        <v>3</v>
      </c>
      <c r="O295" s="1">
        <v>2</v>
      </c>
      <c r="P295" s="1" t="str">
        <f t="shared" si="9"/>
        <v>Talhadia</v>
      </c>
      <c r="Q295" s="2">
        <v>43500</v>
      </c>
      <c r="R295" s="1" t="s">
        <v>169</v>
      </c>
      <c r="S295" s="1" t="s">
        <v>163</v>
      </c>
      <c r="T295" s="1" t="s">
        <v>2268</v>
      </c>
      <c r="U295" s="1" t="s">
        <v>1022</v>
      </c>
      <c r="V295" s="1" t="s">
        <v>152</v>
      </c>
      <c r="W295" s="2">
        <v>44693</v>
      </c>
      <c r="X295" s="1" t="s">
        <v>1442</v>
      </c>
      <c r="Y295" s="1">
        <v>57.22</v>
      </c>
      <c r="Z295" s="1">
        <v>20.7</v>
      </c>
      <c r="AA295" s="1">
        <v>7</v>
      </c>
      <c r="AB295" s="1">
        <v>15.1</v>
      </c>
      <c r="AC295" s="1">
        <v>3</v>
      </c>
      <c r="AD295" s="3">
        <v>312.57</v>
      </c>
      <c r="AE295" s="3">
        <v>309.81497727436999</v>
      </c>
      <c r="AF295" s="2">
        <v>44693</v>
      </c>
      <c r="AG295" s="1">
        <v>39</v>
      </c>
      <c r="AH295" s="3">
        <v>3.2662559890486</v>
      </c>
      <c r="AI295" s="4">
        <v>19.026030103179501</v>
      </c>
      <c r="AJ295" s="4">
        <v>13.8709677419355</v>
      </c>
      <c r="AK295" s="4">
        <v>16.3152116177503</v>
      </c>
      <c r="AL295" s="1">
        <v>31</v>
      </c>
      <c r="AM295" s="5">
        <v>1000.5972039417099</v>
      </c>
      <c r="AN295" s="4">
        <v>149.376432530416</v>
      </c>
      <c r="AO295" s="4">
        <v>0.14928727757979701</v>
      </c>
      <c r="AP295" s="1" t="s">
        <v>163</v>
      </c>
      <c r="AQ295" s="1" t="s">
        <v>254</v>
      </c>
      <c r="AR295" s="1" t="s">
        <v>282</v>
      </c>
      <c r="AS295" s="1">
        <v>9</v>
      </c>
      <c r="AT295" s="4">
        <v>0.90053748354753893</v>
      </c>
      <c r="AU295" s="1" t="s">
        <v>1450</v>
      </c>
      <c r="AV295" s="1" t="s">
        <v>1451</v>
      </c>
      <c r="AW295" s="1">
        <v>21232</v>
      </c>
      <c r="AX295" s="1">
        <v>12670</v>
      </c>
      <c r="AY295" s="1">
        <v>7825</v>
      </c>
      <c r="AZ295" s="1">
        <v>721</v>
      </c>
      <c r="BA295" s="1">
        <v>16</v>
      </c>
      <c r="BB295" s="1">
        <v>0</v>
      </c>
      <c r="BC295" s="1">
        <v>0</v>
      </c>
      <c r="BD295" s="1">
        <v>0</v>
      </c>
      <c r="BE295" s="1">
        <v>0</v>
      </c>
      <c r="BF295" s="1">
        <v>0</v>
      </c>
      <c r="BG295" s="1">
        <v>0</v>
      </c>
      <c r="BH295" s="4">
        <v>-0.81599999999999995</v>
      </c>
      <c r="BI295" s="4">
        <v>24.613001000000001</v>
      </c>
      <c r="BJ295" s="4">
        <v>11.246193999999999</v>
      </c>
      <c r="BK295" s="4">
        <v>-8.7299999999999999E-3</v>
      </c>
      <c r="BL295" s="4">
        <v>9.9743779999999997</v>
      </c>
      <c r="BM295" s="4">
        <v>99.488214999999997</v>
      </c>
      <c r="BN295" s="4">
        <v>0.886911</v>
      </c>
      <c r="BO295" s="4">
        <v>20.883001</v>
      </c>
      <c r="BP295" s="4">
        <v>-0.123062</v>
      </c>
      <c r="BQ295" s="4">
        <v>1.1677230000000001</v>
      </c>
      <c r="BR295" s="4">
        <v>9.5723830000000003</v>
      </c>
      <c r="BS295" s="4">
        <v>7.7265009999999998</v>
      </c>
      <c r="BT295" s="4">
        <v>15.114229</v>
      </c>
      <c r="BU295" s="4">
        <v>11.246193999999999</v>
      </c>
      <c r="BV295" s="4">
        <v>5.3938610000000002</v>
      </c>
      <c r="BW295" s="4">
        <v>-7.1248000000000006E-2</v>
      </c>
      <c r="BX295" s="4">
        <v>-0.98878299999999997</v>
      </c>
      <c r="BY295" s="4">
        <v>0.47961700000000002</v>
      </c>
      <c r="BZ295" s="4">
        <v>-1.3209E-2</v>
      </c>
      <c r="CA295" s="4">
        <v>-0.18331600000000001</v>
      </c>
      <c r="CB295" s="4">
        <v>-0.41</v>
      </c>
      <c r="CC295" s="4">
        <v>-0.183</v>
      </c>
      <c r="CD295" s="4">
        <v>-9.4E-2</v>
      </c>
      <c r="CE295" s="4">
        <v>1.4999999999999999E-2</v>
      </c>
      <c r="CF295" s="4">
        <v>6.4000000000000001E-2</v>
      </c>
      <c r="CG295" s="4">
        <v>0.11600000000000001</v>
      </c>
      <c r="CH295" s="4">
        <v>0.39939999999999998</v>
      </c>
      <c r="CI295" s="4">
        <v>15.105499</v>
      </c>
      <c r="CJ295" s="4">
        <v>18.948</v>
      </c>
      <c r="CK295" s="4">
        <v>20.345800000000001</v>
      </c>
      <c r="CL295" s="4">
        <v>20.947001</v>
      </c>
      <c r="CM295" s="4">
        <v>21.344999000000001</v>
      </c>
      <c r="CN295" s="4">
        <v>22.5</v>
      </c>
      <c r="CO295" s="4">
        <v>23.091898</v>
      </c>
      <c r="CP295" s="4">
        <v>23.790001</v>
      </c>
      <c r="CQ295" s="4">
        <v>0.47434799999999999</v>
      </c>
      <c r="CR295" s="4">
        <v>15.031980000000001</v>
      </c>
      <c r="CS295" s="4">
        <v>16.699089000000001</v>
      </c>
      <c r="CT295" s="1">
        <v>1</v>
      </c>
      <c r="CU295" s="1">
        <v>69</v>
      </c>
      <c r="CV295" s="4">
        <v>15.895346999999999</v>
      </c>
      <c r="CW295" s="4">
        <v>1</v>
      </c>
      <c r="CX295" s="4">
        <v>11.249428999999999</v>
      </c>
      <c r="CY295" s="4">
        <v>126.549643</v>
      </c>
      <c r="CZ295" s="4">
        <v>0.70771799999999996</v>
      </c>
      <c r="DA295" s="4">
        <v>14</v>
      </c>
      <c r="DB295" s="4">
        <v>1.155267</v>
      </c>
      <c r="DC295" s="4">
        <v>4.6385259999999997</v>
      </c>
      <c r="DD295" s="4">
        <v>8.5023759999999999</v>
      </c>
      <c r="DE295" s="4">
        <v>15.895346999999999</v>
      </c>
      <c r="DF295" s="4">
        <v>6.0489110000000004</v>
      </c>
      <c r="DG295" s="4">
        <v>1.123766</v>
      </c>
      <c r="DH295" s="4">
        <v>0.906748</v>
      </c>
      <c r="DI295" s="4">
        <v>0.380546</v>
      </c>
      <c r="DJ295" s="4">
        <v>0.18578</v>
      </c>
      <c r="DK295" s="4">
        <v>0.14990300000000001</v>
      </c>
      <c r="DL295" s="4">
        <v>1</v>
      </c>
      <c r="DM295" s="4">
        <v>2</v>
      </c>
      <c r="DN295" s="4">
        <v>3</v>
      </c>
      <c r="DO295" s="4">
        <v>6</v>
      </c>
      <c r="DP295" s="4">
        <v>7</v>
      </c>
      <c r="DQ295" s="4">
        <v>9</v>
      </c>
      <c r="DR295" s="4">
        <v>12</v>
      </c>
      <c r="DS295" s="4">
        <v>15</v>
      </c>
      <c r="DT295" s="4">
        <v>17</v>
      </c>
      <c r="DU295" s="4">
        <v>19.700195000000001</v>
      </c>
      <c r="DV295" s="4">
        <v>21</v>
      </c>
      <c r="DW295" s="4">
        <v>23</v>
      </c>
      <c r="DX295" s="4">
        <v>30</v>
      </c>
      <c r="DY295" s="4">
        <v>40</v>
      </c>
      <c r="DZ295" s="4">
        <v>52</v>
      </c>
      <c r="EA295" s="4">
        <v>89.273875000000004</v>
      </c>
      <c r="EB295" s="4">
        <v>58.246986</v>
      </c>
      <c r="EC295" s="4">
        <v>97.608524000000003</v>
      </c>
      <c r="ED295" s="4">
        <v>11311</v>
      </c>
      <c r="EE295" s="4">
        <v>12367</v>
      </c>
      <c r="EF295" s="4">
        <v>87.261246999999997</v>
      </c>
      <c r="EG295" s="4">
        <v>99.431728000000007</v>
      </c>
      <c r="EH295" s="4">
        <v>54.860588</v>
      </c>
      <c r="EI295" s="4">
        <v>82.375658999999999</v>
      </c>
      <c r="EJ295" s="4">
        <v>91.933701999999997</v>
      </c>
      <c r="EK295" s="4">
        <v>138.04262</v>
      </c>
      <c r="EL295" s="4">
        <v>11056</v>
      </c>
      <c r="EM295" s="4">
        <v>12598</v>
      </c>
      <c r="EN295" s="4">
        <v>11648</v>
      </c>
      <c r="EO295" s="4">
        <v>17490</v>
      </c>
      <c r="EP295" s="4">
        <v>12670</v>
      </c>
      <c r="EQ295" s="4">
        <v>21232</v>
      </c>
      <c r="ER295" s="4">
        <v>46.381824999999999</v>
      </c>
    </row>
    <row r="296" spans="1:148" x14ac:dyDescent="0.2">
      <c r="A296" s="1">
        <v>2022</v>
      </c>
      <c r="B296" s="1" t="str">
        <f t="shared" si="8"/>
        <v>RD</v>
      </c>
      <c r="C296" s="1" t="s">
        <v>1452</v>
      </c>
      <c r="D296" s="1" t="s">
        <v>1452</v>
      </c>
      <c r="E296" s="1">
        <v>26887</v>
      </c>
      <c r="F296" s="1" t="s">
        <v>2152</v>
      </c>
      <c r="G296" s="1" t="s">
        <v>724</v>
      </c>
      <c r="H296" s="1" t="s">
        <v>1453</v>
      </c>
      <c r="I296" s="1">
        <v>55.09</v>
      </c>
      <c r="J296" s="1">
        <v>55.09</v>
      </c>
      <c r="K296" s="1" t="s">
        <v>210</v>
      </c>
      <c r="L296" s="1">
        <v>1</v>
      </c>
      <c r="M296" s="1">
        <v>2019</v>
      </c>
      <c r="N296" s="1">
        <v>3</v>
      </c>
      <c r="O296" s="1">
        <v>1</v>
      </c>
      <c r="P296" s="1" t="str">
        <f t="shared" si="9"/>
        <v>Alto fuste</v>
      </c>
      <c r="Q296" s="2">
        <v>43692</v>
      </c>
      <c r="R296" s="1" t="s">
        <v>227</v>
      </c>
      <c r="S296" s="1" t="s">
        <v>348</v>
      </c>
      <c r="T296" s="1" t="s">
        <v>2268</v>
      </c>
      <c r="U296" s="1" t="s">
        <v>212</v>
      </c>
      <c r="V296" s="1" t="s">
        <v>152</v>
      </c>
      <c r="W296" s="2">
        <v>44797</v>
      </c>
      <c r="X296" s="1" t="s">
        <v>726</v>
      </c>
      <c r="Y296" s="1">
        <v>250.77</v>
      </c>
      <c r="Z296" s="1">
        <v>20</v>
      </c>
      <c r="AA296" s="1">
        <v>0</v>
      </c>
      <c r="AB296" s="1">
        <v>14.6</v>
      </c>
      <c r="AC296" s="1">
        <v>0</v>
      </c>
      <c r="AD296" s="3">
        <v>292</v>
      </c>
      <c r="AE296" s="3">
        <v>292</v>
      </c>
      <c r="AF296" s="2">
        <v>44797</v>
      </c>
      <c r="AG296" s="1">
        <v>36</v>
      </c>
      <c r="AH296" s="3">
        <v>3.0253251197809701</v>
      </c>
      <c r="AI296" s="4">
        <v>19.494663153480602</v>
      </c>
      <c r="AJ296" s="4">
        <v>12.3025641025641</v>
      </c>
      <c r="AK296" s="4">
        <v>16.084416444532401</v>
      </c>
      <c r="AL296" s="1">
        <v>39</v>
      </c>
      <c r="AM296" s="5">
        <v>1335.61643835616</v>
      </c>
      <c r="AN296" s="4">
        <v>144.20692736070001</v>
      </c>
      <c r="AO296" s="4">
        <v>0.107970314844421</v>
      </c>
      <c r="AP296" s="1" t="s">
        <v>348</v>
      </c>
      <c r="AQ296" s="1" t="s">
        <v>156</v>
      </c>
      <c r="AR296" s="1" t="s">
        <v>282</v>
      </c>
      <c r="AS296" s="1">
        <v>7.5</v>
      </c>
      <c r="AT296" s="4">
        <v>1.0017123287671201</v>
      </c>
      <c r="AU296" s="1" t="s">
        <v>1454</v>
      </c>
      <c r="AV296" s="1" t="s">
        <v>1455</v>
      </c>
      <c r="AW296" s="1">
        <v>2848</v>
      </c>
      <c r="AX296" s="1">
        <v>1755</v>
      </c>
      <c r="AY296" s="1">
        <v>1075</v>
      </c>
      <c r="AZ296" s="1">
        <v>17</v>
      </c>
      <c r="BA296" s="1">
        <v>1</v>
      </c>
      <c r="BB296" s="1">
        <v>0</v>
      </c>
      <c r="BC296" s="1">
        <v>0</v>
      </c>
      <c r="BD296" s="1">
        <v>0</v>
      </c>
      <c r="BE296" s="1">
        <v>0</v>
      </c>
      <c r="BF296" s="1">
        <v>0</v>
      </c>
      <c r="BG296" s="1">
        <v>0</v>
      </c>
      <c r="BH296" s="4">
        <v>-0.88</v>
      </c>
      <c r="BI296" s="4">
        <v>20.84</v>
      </c>
      <c r="BJ296" s="4">
        <v>7.7287679999999996</v>
      </c>
      <c r="BK296" s="4">
        <v>-0.19047600000000001</v>
      </c>
      <c r="BL296" s="4">
        <v>8.7982150000000008</v>
      </c>
      <c r="BM296" s="4">
        <v>77.408586</v>
      </c>
      <c r="BN296" s="4">
        <v>1.1383719999999999</v>
      </c>
      <c r="BO296" s="4">
        <v>17.59</v>
      </c>
      <c r="BP296" s="4">
        <v>0.28501199999999999</v>
      </c>
      <c r="BQ296" s="4">
        <v>1.1159349999999999</v>
      </c>
      <c r="BR296" s="4">
        <v>8.6583389999999998</v>
      </c>
      <c r="BS296" s="4">
        <v>0.35</v>
      </c>
      <c r="BT296" s="4">
        <v>0.37047600000000003</v>
      </c>
      <c r="BU296" s="4">
        <v>7.7287679999999996</v>
      </c>
      <c r="BV296" s="4">
        <v>4.5034729999999996</v>
      </c>
      <c r="BW296" s="4">
        <v>0.72249600000000003</v>
      </c>
      <c r="BX296" s="4">
        <v>-0.85166500000000001</v>
      </c>
      <c r="BY296" s="4">
        <v>0.58269000000000004</v>
      </c>
      <c r="BZ296" s="4">
        <v>0.16043099999999999</v>
      </c>
      <c r="CA296" s="4">
        <v>-0.189113</v>
      </c>
      <c r="CB296" s="4">
        <v>-0.37</v>
      </c>
      <c r="CC296" s="4">
        <v>-0.18</v>
      </c>
      <c r="CD296" s="4">
        <v>-0.113</v>
      </c>
      <c r="CE296" s="4">
        <v>-0.03</v>
      </c>
      <c r="CF296" s="4">
        <v>0</v>
      </c>
      <c r="CG296" s="4">
        <v>0.03</v>
      </c>
      <c r="CH296" s="4">
        <v>0.09</v>
      </c>
      <c r="CI296" s="4">
        <v>0.18</v>
      </c>
      <c r="CJ296" s="4">
        <v>16.351998999999999</v>
      </c>
      <c r="CK296" s="4">
        <v>17.309999000000001</v>
      </c>
      <c r="CL296" s="4">
        <v>17.59</v>
      </c>
      <c r="CM296" s="4">
        <v>17.84</v>
      </c>
      <c r="CN296" s="4">
        <v>18.510000000000002</v>
      </c>
      <c r="CO296" s="4">
        <v>19.026499000000001</v>
      </c>
      <c r="CP296" s="4">
        <v>19.865300999999999</v>
      </c>
      <c r="CQ296" s="4">
        <v>0.39635199999999998</v>
      </c>
      <c r="CR296" s="4">
        <v>11.709622</v>
      </c>
      <c r="CS296" s="4">
        <v>13.480809000000001</v>
      </c>
      <c r="CT296" s="1">
        <v>1</v>
      </c>
      <c r="CU296" s="1">
        <v>61</v>
      </c>
      <c r="CV296" s="4">
        <v>19.231390000000001</v>
      </c>
      <c r="CW296" s="4">
        <v>13.380952000000001</v>
      </c>
      <c r="CX296" s="4">
        <v>14.130015999999999</v>
      </c>
      <c r="CY296" s="4">
        <v>199.657363</v>
      </c>
      <c r="CZ296" s="4">
        <v>0.73473699999999997</v>
      </c>
      <c r="DA296" s="4">
        <v>20</v>
      </c>
      <c r="DB296" s="4">
        <v>0.76790899999999995</v>
      </c>
      <c r="DC296" s="4">
        <v>2.4598640000000001</v>
      </c>
      <c r="DD296" s="4">
        <v>11.543480000000001</v>
      </c>
      <c r="DE296" s="4">
        <v>19.231390000000001</v>
      </c>
      <c r="DF296" s="4">
        <v>7.7984980000000004</v>
      </c>
      <c r="DG296" s="4">
        <v>1.6008070000000001</v>
      </c>
      <c r="DH296" s="4">
        <v>0.59519699999999998</v>
      </c>
      <c r="DI296" s="4">
        <v>0.40550900000000001</v>
      </c>
      <c r="DJ296" s="4">
        <v>0.20527100000000001</v>
      </c>
      <c r="DK296" s="4">
        <v>7.6322000000000001E-2</v>
      </c>
      <c r="DL296" s="4">
        <v>1</v>
      </c>
      <c r="DM296" s="4">
        <v>2</v>
      </c>
      <c r="DN296" s="4">
        <v>3</v>
      </c>
      <c r="DO296" s="4">
        <v>7</v>
      </c>
      <c r="DP296" s="4">
        <v>9</v>
      </c>
      <c r="DQ296" s="4">
        <v>10</v>
      </c>
      <c r="DR296" s="4">
        <v>13</v>
      </c>
      <c r="DS296" s="4">
        <v>15</v>
      </c>
      <c r="DT296" s="4">
        <v>18</v>
      </c>
      <c r="DU296" s="4">
        <v>22</v>
      </c>
      <c r="DV296" s="4">
        <v>29</v>
      </c>
      <c r="DW296" s="4">
        <v>35</v>
      </c>
      <c r="DX296" s="4">
        <v>43</v>
      </c>
      <c r="DY296" s="4">
        <v>46</v>
      </c>
      <c r="DZ296" s="4">
        <v>51</v>
      </c>
      <c r="EA296" s="4">
        <v>70.541310999999993</v>
      </c>
      <c r="EB296" s="4">
        <v>44.030898999999998</v>
      </c>
      <c r="EC296" s="4">
        <v>71.452990999999997</v>
      </c>
      <c r="ED296" s="4">
        <v>1238</v>
      </c>
      <c r="EE296" s="4">
        <v>1254</v>
      </c>
      <c r="EF296" s="4">
        <v>70.028490000000005</v>
      </c>
      <c r="EG296" s="4">
        <v>100</v>
      </c>
      <c r="EH296" s="4">
        <v>43.433988999999997</v>
      </c>
      <c r="EI296" s="4">
        <v>95.610955000000004</v>
      </c>
      <c r="EJ296" s="4">
        <v>70.48433</v>
      </c>
      <c r="EK296" s="4">
        <v>155.15669500000001</v>
      </c>
      <c r="EL296" s="4">
        <v>1229</v>
      </c>
      <c r="EM296" s="4">
        <v>1755</v>
      </c>
      <c r="EN296" s="4">
        <v>1237</v>
      </c>
      <c r="EO296" s="4">
        <v>2723</v>
      </c>
      <c r="EP296" s="4">
        <v>1755</v>
      </c>
      <c r="EQ296" s="4">
        <v>2848</v>
      </c>
      <c r="ER296" s="4">
        <v>38.081381</v>
      </c>
    </row>
    <row r="297" spans="1:148" x14ac:dyDescent="0.2">
      <c r="A297" s="1">
        <v>2022</v>
      </c>
      <c r="B297" s="1" t="str">
        <f t="shared" si="8"/>
        <v>RD</v>
      </c>
      <c r="C297" s="1" t="s">
        <v>1456</v>
      </c>
      <c r="D297" s="1" t="s">
        <v>1456</v>
      </c>
      <c r="E297" s="1">
        <v>26888</v>
      </c>
      <c r="F297" s="1" t="s">
        <v>2152</v>
      </c>
      <c r="G297" s="1" t="s">
        <v>724</v>
      </c>
      <c r="H297" s="1" t="s">
        <v>1453</v>
      </c>
      <c r="I297" s="1">
        <v>55.09</v>
      </c>
      <c r="J297" s="1">
        <v>55.09</v>
      </c>
      <c r="K297" s="1" t="s">
        <v>210</v>
      </c>
      <c r="L297" s="1">
        <v>1</v>
      </c>
      <c r="M297" s="1">
        <v>2019</v>
      </c>
      <c r="N297" s="1">
        <v>3</v>
      </c>
      <c r="O297" s="1">
        <v>1</v>
      </c>
      <c r="P297" s="1" t="str">
        <f t="shared" si="9"/>
        <v>Alto fuste</v>
      </c>
      <c r="Q297" s="2">
        <v>43692</v>
      </c>
      <c r="R297" s="1" t="s">
        <v>227</v>
      </c>
      <c r="S297" s="1" t="s">
        <v>348</v>
      </c>
      <c r="T297" s="1" t="s">
        <v>2268</v>
      </c>
      <c r="U297" s="1" t="s">
        <v>212</v>
      </c>
      <c r="V297" s="1" t="s">
        <v>152</v>
      </c>
      <c r="W297" s="2">
        <v>44797</v>
      </c>
      <c r="X297" s="1" t="s">
        <v>726</v>
      </c>
      <c r="Y297" s="1">
        <v>250.77</v>
      </c>
      <c r="Z297" s="1">
        <v>20.8</v>
      </c>
      <c r="AA297" s="1">
        <v>25</v>
      </c>
      <c r="AB297" s="1">
        <v>15</v>
      </c>
      <c r="AC297" s="1">
        <v>0</v>
      </c>
      <c r="AD297" s="3">
        <v>312</v>
      </c>
      <c r="AE297" s="3">
        <v>282.76802955543502</v>
      </c>
      <c r="AF297" s="2">
        <v>44797</v>
      </c>
      <c r="AG297" s="1">
        <v>36</v>
      </c>
      <c r="AH297" s="3">
        <v>3.0253251197809701</v>
      </c>
      <c r="AI297" s="4">
        <v>19.071241374668499</v>
      </c>
      <c r="AJ297" s="4">
        <v>10.7023255813953</v>
      </c>
      <c r="AK297" s="4">
        <v>13.9373384708994</v>
      </c>
      <c r="AL297" s="1">
        <v>43</v>
      </c>
      <c r="AM297" s="5">
        <v>1520.6811062624099</v>
      </c>
      <c r="AN297" s="4">
        <v>127.23033394007599</v>
      </c>
      <c r="AO297" s="4">
        <v>8.3666676343989096E-2</v>
      </c>
      <c r="AP297" s="1" t="s">
        <v>348</v>
      </c>
      <c r="AQ297" s="1" t="s">
        <v>156</v>
      </c>
      <c r="AR297" s="1" t="s">
        <v>282</v>
      </c>
      <c r="AS297" s="1">
        <v>7.5</v>
      </c>
      <c r="AT297" s="4">
        <v>1.1405108296968074</v>
      </c>
      <c r="AU297" s="1" t="s">
        <v>1457</v>
      </c>
      <c r="AV297" s="1" t="s">
        <v>1458</v>
      </c>
      <c r="AW297" s="1">
        <v>5135</v>
      </c>
      <c r="AX297" s="1">
        <v>3014</v>
      </c>
      <c r="AY297" s="1">
        <v>2003</v>
      </c>
      <c r="AZ297" s="1">
        <v>115</v>
      </c>
      <c r="BA297" s="1">
        <v>3</v>
      </c>
      <c r="BB297" s="1">
        <v>0</v>
      </c>
      <c r="BC297" s="1">
        <v>0</v>
      </c>
      <c r="BD297" s="1">
        <v>0</v>
      </c>
      <c r="BE297" s="1">
        <v>0</v>
      </c>
      <c r="BF297" s="1">
        <v>0</v>
      </c>
      <c r="BG297" s="1">
        <v>0</v>
      </c>
      <c r="BH297" s="4">
        <v>-0.96</v>
      </c>
      <c r="BI297" s="4">
        <v>23.09</v>
      </c>
      <c r="BJ297" s="4">
        <v>8.9810809999999996</v>
      </c>
      <c r="BK297" s="4">
        <v>-0.19650799999999999</v>
      </c>
      <c r="BL297" s="4">
        <v>9.0216530000000006</v>
      </c>
      <c r="BM297" s="4">
        <v>81.390220999999997</v>
      </c>
      <c r="BN297" s="4">
        <v>1.004518</v>
      </c>
      <c r="BO297" s="4">
        <v>18.04</v>
      </c>
      <c r="BP297" s="4">
        <v>7.0638999999999993E-2</v>
      </c>
      <c r="BQ297" s="4">
        <v>1.083305</v>
      </c>
      <c r="BR297" s="4">
        <v>8.8888119999999997</v>
      </c>
      <c r="BS297" s="4">
        <v>6.72</v>
      </c>
      <c r="BT297" s="4">
        <v>6.5865080000000003</v>
      </c>
      <c r="BU297" s="4">
        <v>8.9810809999999996</v>
      </c>
      <c r="BV297" s="4">
        <v>4.7606080000000004</v>
      </c>
      <c r="BW297" s="4">
        <v>0.335366</v>
      </c>
      <c r="BX297" s="4">
        <v>-0.92633799999999999</v>
      </c>
      <c r="BY297" s="4">
        <v>0.53007099999999996</v>
      </c>
      <c r="BZ297" s="4">
        <v>7.0445999999999995E-2</v>
      </c>
      <c r="CA297" s="4">
        <v>-0.19458400000000001</v>
      </c>
      <c r="CB297" s="4">
        <v>-0.43659999999999999</v>
      </c>
      <c r="CC297" s="4">
        <v>-0.2</v>
      </c>
      <c r="CD297" s="4">
        <v>-0.11</v>
      </c>
      <c r="CE297" s="4">
        <v>0</v>
      </c>
      <c r="CF297" s="4">
        <v>0.05</v>
      </c>
      <c r="CG297" s="4">
        <v>0.1</v>
      </c>
      <c r="CH297" s="4">
        <v>0.22</v>
      </c>
      <c r="CI297" s="4">
        <v>6.39</v>
      </c>
      <c r="CJ297" s="4">
        <v>16.719999000000001</v>
      </c>
      <c r="CK297" s="4">
        <v>17.709999</v>
      </c>
      <c r="CL297" s="4">
        <v>18.09</v>
      </c>
      <c r="CM297" s="4">
        <v>18.472002</v>
      </c>
      <c r="CN297" s="4">
        <v>19.489999999999998</v>
      </c>
      <c r="CO297" s="4">
        <v>20.139999</v>
      </c>
      <c r="CP297" s="4">
        <v>21.226600999999999</v>
      </c>
      <c r="CQ297" s="4">
        <v>0.41335100000000002</v>
      </c>
      <c r="CR297" s="4">
        <v>12.729265</v>
      </c>
      <c r="CS297" s="4">
        <v>14.372254999999999</v>
      </c>
      <c r="CT297" s="1">
        <v>1</v>
      </c>
      <c r="CU297" s="1">
        <v>42</v>
      </c>
      <c r="CV297" s="4">
        <v>12.290554999999999</v>
      </c>
      <c r="CW297" s="4">
        <v>1</v>
      </c>
      <c r="CX297" s="4">
        <v>8.5346799999999998</v>
      </c>
      <c r="CY297" s="4">
        <v>72.840766000000002</v>
      </c>
      <c r="CZ297" s="4">
        <v>0.69440999999999997</v>
      </c>
      <c r="DA297" s="4">
        <v>11</v>
      </c>
      <c r="DB297" s="4">
        <v>0.843024</v>
      </c>
      <c r="DC297" s="4">
        <v>3.135256</v>
      </c>
      <c r="DD297" s="4">
        <v>6.7794299999999996</v>
      </c>
      <c r="DE297" s="4">
        <v>12.290554999999999</v>
      </c>
      <c r="DF297" s="4">
        <v>4.7184220000000003</v>
      </c>
      <c r="DG297" s="4">
        <v>0.86975199999999997</v>
      </c>
      <c r="DH297" s="4">
        <v>0.49764999999999998</v>
      </c>
      <c r="DI297" s="4">
        <v>0.38390600000000003</v>
      </c>
      <c r="DJ297" s="4">
        <v>0.18433099999999999</v>
      </c>
      <c r="DK297" s="4">
        <v>0.10546999999999999</v>
      </c>
      <c r="DL297" s="4">
        <v>1</v>
      </c>
      <c r="DM297" s="4">
        <v>1</v>
      </c>
      <c r="DN297" s="4">
        <v>2</v>
      </c>
      <c r="DO297" s="4">
        <v>4</v>
      </c>
      <c r="DP297" s="4">
        <v>6</v>
      </c>
      <c r="DQ297" s="4">
        <v>7</v>
      </c>
      <c r="DR297" s="4">
        <v>9</v>
      </c>
      <c r="DS297" s="4">
        <v>11</v>
      </c>
      <c r="DT297" s="4">
        <v>13</v>
      </c>
      <c r="DU297" s="4">
        <v>15</v>
      </c>
      <c r="DV297" s="4">
        <v>17</v>
      </c>
      <c r="DW297" s="4">
        <v>19</v>
      </c>
      <c r="DX297" s="4">
        <v>25</v>
      </c>
      <c r="DY297" s="4">
        <v>30</v>
      </c>
      <c r="DZ297" s="4">
        <v>35</v>
      </c>
      <c r="EA297" s="4">
        <v>82.315859000000003</v>
      </c>
      <c r="EB297" s="4">
        <v>50.360272999999999</v>
      </c>
      <c r="EC297" s="4">
        <v>85.799601999999993</v>
      </c>
      <c r="ED297" s="4">
        <v>2481</v>
      </c>
      <c r="EE297" s="4">
        <v>2586</v>
      </c>
      <c r="EF297" s="4">
        <v>81.818181999999993</v>
      </c>
      <c r="EG297" s="4">
        <v>99.966820999999996</v>
      </c>
      <c r="EH297" s="4">
        <v>49.639727000000001</v>
      </c>
      <c r="EI297" s="4">
        <v>94.527750999999995</v>
      </c>
      <c r="EJ297" s="4">
        <v>84.571996999999996</v>
      </c>
      <c r="EK297" s="4">
        <v>161.048441</v>
      </c>
      <c r="EL297" s="4">
        <v>2466</v>
      </c>
      <c r="EM297" s="4">
        <v>3013</v>
      </c>
      <c r="EN297" s="4">
        <v>2549</v>
      </c>
      <c r="EO297" s="4">
        <v>4854</v>
      </c>
      <c r="EP297" s="4">
        <v>3014</v>
      </c>
      <c r="EQ297" s="4">
        <v>5135</v>
      </c>
      <c r="ER297" s="4">
        <v>41.432620999999997</v>
      </c>
    </row>
    <row r="298" spans="1:148" x14ac:dyDescent="0.2">
      <c r="A298" s="1">
        <v>2022</v>
      </c>
      <c r="B298" s="1" t="str">
        <f t="shared" si="8"/>
        <v>RD</v>
      </c>
      <c r="C298" s="1" t="s">
        <v>1459</v>
      </c>
      <c r="D298" s="1" t="s">
        <v>1459</v>
      </c>
      <c r="E298" s="1">
        <v>26889</v>
      </c>
      <c r="F298" s="1" t="s">
        <v>2152</v>
      </c>
      <c r="G298" s="1" t="s">
        <v>724</v>
      </c>
      <c r="H298" s="1" t="s">
        <v>1453</v>
      </c>
      <c r="I298" s="1">
        <v>55.09</v>
      </c>
      <c r="J298" s="1">
        <v>55.09</v>
      </c>
      <c r="K298" s="1" t="s">
        <v>210</v>
      </c>
      <c r="L298" s="1">
        <v>1</v>
      </c>
      <c r="M298" s="1">
        <v>2019</v>
      </c>
      <c r="N298" s="1">
        <v>3</v>
      </c>
      <c r="O298" s="1">
        <v>1</v>
      </c>
      <c r="P298" s="1" t="str">
        <f t="shared" si="9"/>
        <v>Alto fuste</v>
      </c>
      <c r="Q298" s="2">
        <v>43692</v>
      </c>
      <c r="R298" s="1" t="s">
        <v>227</v>
      </c>
      <c r="S298" s="1" t="s">
        <v>348</v>
      </c>
      <c r="T298" s="1" t="s">
        <v>2268</v>
      </c>
      <c r="U298" s="1" t="s">
        <v>212</v>
      </c>
      <c r="V298" s="1" t="s">
        <v>152</v>
      </c>
      <c r="W298" s="2">
        <v>44797</v>
      </c>
      <c r="X298" s="1" t="s">
        <v>726</v>
      </c>
      <c r="Y298" s="1">
        <v>250.77</v>
      </c>
      <c r="Z298" s="1">
        <v>19.2</v>
      </c>
      <c r="AA298" s="1">
        <v>30</v>
      </c>
      <c r="AB298" s="1">
        <v>15</v>
      </c>
      <c r="AC298" s="1">
        <v>2</v>
      </c>
      <c r="AD298" s="3">
        <v>288</v>
      </c>
      <c r="AE298" s="3">
        <v>249.26337921821101</v>
      </c>
      <c r="AF298" s="2">
        <v>44797</v>
      </c>
      <c r="AG298" s="1">
        <v>36</v>
      </c>
      <c r="AH298" s="3">
        <v>3.0253251197809701</v>
      </c>
      <c r="AI298" s="4">
        <v>17.167839198366099</v>
      </c>
      <c r="AJ298" s="4">
        <v>11.8263157894737</v>
      </c>
      <c r="AK298" s="4">
        <v>17.044289181181298</v>
      </c>
      <c r="AL298" s="1">
        <v>38</v>
      </c>
      <c r="AM298" s="5">
        <v>1524.49188963028</v>
      </c>
      <c r="AN298" s="4">
        <v>132.30574416692099</v>
      </c>
      <c r="AO298" s="4">
        <v>8.6786781265859703E-2</v>
      </c>
      <c r="AP298" s="1" t="s">
        <v>348</v>
      </c>
      <c r="AQ298" s="1" t="s">
        <v>156</v>
      </c>
      <c r="AR298" s="1" t="s">
        <v>282</v>
      </c>
      <c r="AS298" s="1">
        <v>7.5</v>
      </c>
      <c r="AT298" s="4">
        <v>1.1433689172227099</v>
      </c>
      <c r="AU298" s="1" t="s">
        <v>1460</v>
      </c>
      <c r="AV298" s="1" t="s">
        <v>1461</v>
      </c>
      <c r="AW298" s="1">
        <v>4412</v>
      </c>
      <c r="AX298" s="1">
        <v>2567</v>
      </c>
      <c r="AY298" s="1">
        <v>1688</v>
      </c>
      <c r="AZ298" s="1">
        <v>150</v>
      </c>
      <c r="BA298" s="1">
        <v>7</v>
      </c>
      <c r="BB298" s="1">
        <v>0</v>
      </c>
      <c r="BC298" s="1">
        <v>0</v>
      </c>
      <c r="BD298" s="1">
        <v>0</v>
      </c>
      <c r="BE298" s="1">
        <v>0</v>
      </c>
      <c r="BF298" s="1">
        <v>0</v>
      </c>
      <c r="BG298" s="1">
        <v>0</v>
      </c>
      <c r="BH298" s="4">
        <v>-1.1599999999999999</v>
      </c>
      <c r="BI298" s="4">
        <v>24.110001</v>
      </c>
      <c r="BJ298" s="4">
        <v>8.42483</v>
      </c>
      <c r="BK298" s="4">
        <v>4.3333000000000003E-2</v>
      </c>
      <c r="BL298" s="4">
        <v>9.3704490000000007</v>
      </c>
      <c r="BM298" s="4">
        <v>87.805318999999997</v>
      </c>
      <c r="BN298" s="4">
        <v>1.112242</v>
      </c>
      <c r="BO298" s="4">
        <v>19.3</v>
      </c>
      <c r="BP298" s="4">
        <v>0.33206000000000002</v>
      </c>
      <c r="BQ298" s="4">
        <v>1.2346360000000001</v>
      </c>
      <c r="BR298" s="4">
        <v>9.0202299999999997</v>
      </c>
      <c r="BS298" s="4">
        <v>0.66500000000000004</v>
      </c>
      <c r="BT298" s="4">
        <v>0.42333300000000001</v>
      </c>
      <c r="BU298" s="4">
        <v>8.42483</v>
      </c>
      <c r="BV298" s="4">
        <v>4.9433790000000002</v>
      </c>
      <c r="BW298" s="4">
        <v>0.88212900000000005</v>
      </c>
      <c r="BX298" s="4">
        <v>-0.83403400000000005</v>
      </c>
      <c r="BY298" s="4">
        <v>0.58676300000000003</v>
      </c>
      <c r="BZ298" s="4">
        <v>0.17844699999999999</v>
      </c>
      <c r="CA298" s="4">
        <v>-0.16871700000000001</v>
      </c>
      <c r="CB298" s="4">
        <v>-0.44</v>
      </c>
      <c r="CC298" s="4">
        <v>-0.21</v>
      </c>
      <c r="CD298" s="4">
        <v>-0.13</v>
      </c>
      <c r="CE298" s="4">
        <v>-0.01</v>
      </c>
      <c r="CF298" s="4">
        <v>0.05</v>
      </c>
      <c r="CG298" s="4">
        <v>0.09</v>
      </c>
      <c r="CH298" s="4">
        <v>0.18</v>
      </c>
      <c r="CI298" s="4">
        <v>0.37</v>
      </c>
      <c r="CJ298" s="4">
        <v>13.06</v>
      </c>
      <c r="CK298" s="4">
        <v>18.780000999999999</v>
      </c>
      <c r="CL298" s="4">
        <v>19.350000000000001</v>
      </c>
      <c r="CM298" s="4">
        <v>19.850000000000001</v>
      </c>
      <c r="CN298" s="4">
        <v>20.709999</v>
      </c>
      <c r="CO298" s="4">
        <v>21.224501</v>
      </c>
      <c r="CP298" s="4">
        <v>22.43</v>
      </c>
      <c r="CQ298" s="4">
        <v>0.379297</v>
      </c>
      <c r="CR298" s="4">
        <v>12.600125999999999</v>
      </c>
      <c r="CS298" s="4">
        <v>14.565071</v>
      </c>
      <c r="CT298" s="1">
        <v>1</v>
      </c>
      <c r="CU298" s="1">
        <v>42</v>
      </c>
      <c r="CV298" s="4">
        <v>12.798731</v>
      </c>
      <c r="CW298" s="4">
        <v>1</v>
      </c>
      <c r="CX298" s="4">
        <v>9.4970470000000002</v>
      </c>
      <c r="CY298" s="4">
        <v>90.193894999999998</v>
      </c>
      <c r="CZ298" s="4">
        <v>0.74202999999999997</v>
      </c>
      <c r="DA298" s="4">
        <v>13</v>
      </c>
      <c r="DB298" s="4">
        <v>0.77686200000000005</v>
      </c>
      <c r="DC298" s="4">
        <v>2.6819839999999999</v>
      </c>
      <c r="DD298" s="4">
        <v>7.7155709999999997</v>
      </c>
      <c r="DE298" s="4">
        <v>12.798731</v>
      </c>
      <c r="DF298" s="4">
        <v>5.2748910000000002</v>
      </c>
      <c r="DG298" s="4">
        <v>1.033962</v>
      </c>
      <c r="DH298" s="4">
        <v>0.39422099999999999</v>
      </c>
      <c r="DI298" s="4">
        <v>0.41214200000000001</v>
      </c>
      <c r="DJ298" s="4">
        <v>0.196016</v>
      </c>
      <c r="DK298" s="4">
        <v>7.4734999999999996E-2</v>
      </c>
      <c r="DL298" s="4">
        <v>1</v>
      </c>
      <c r="DM298" s="4">
        <v>1</v>
      </c>
      <c r="DN298" s="4">
        <v>2</v>
      </c>
      <c r="DO298" s="4">
        <v>4</v>
      </c>
      <c r="DP298" s="4">
        <v>5</v>
      </c>
      <c r="DQ298" s="4">
        <v>6</v>
      </c>
      <c r="DR298" s="4">
        <v>9</v>
      </c>
      <c r="DS298" s="4">
        <v>11</v>
      </c>
      <c r="DT298" s="4">
        <v>13</v>
      </c>
      <c r="DU298" s="4">
        <v>16</v>
      </c>
      <c r="DV298" s="4">
        <v>18</v>
      </c>
      <c r="DW298" s="4">
        <v>21</v>
      </c>
      <c r="DX298" s="4">
        <v>28</v>
      </c>
      <c r="DY298" s="4">
        <v>32</v>
      </c>
      <c r="DZ298" s="4">
        <v>36</v>
      </c>
      <c r="EA298" s="4">
        <v>73.704713999999996</v>
      </c>
      <c r="EB298" s="4">
        <v>47.144151999999998</v>
      </c>
      <c r="EC298" s="4">
        <v>81.028437999999994</v>
      </c>
      <c r="ED298" s="4">
        <v>1892</v>
      </c>
      <c r="EE298" s="4">
        <v>2080</v>
      </c>
      <c r="EF298" s="4">
        <v>70.938839000000002</v>
      </c>
      <c r="EG298" s="4">
        <v>96.883521999999999</v>
      </c>
      <c r="EH298" s="4">
        <v>43.563009999999998</v>
      </c>
      <c r="EI298" s="4">
        <v>75.022665000000003</v>
      </c>
      <c r="EJ298" s="4">
        <v>74.873392999999993</v>
      </c>
      <c r="EK298" s="4">
        <v>128.94429299999999</v>
      </c>
      <c r="EL298" s="4">
        <v>1821</v>
      </c>
      <c r="EM298" s="4">
        <v>2487</v>
      </c>
      <c r="EN298" s="4">
        <v>1922</v>
      </c>
      <c r="EO298" s="4">
        <v>3310</v>
      </c>
      <c r="EP298" s="4">
        <v>2567</v>
      </c>
      <c r="EQ298" s="4">
        <v>4412</v>
      </c>
      <c r="ER298" s="4">
        <v>36.700285000000001</v>
      </c>
    </row>
    <row r="299" spans="1:148" x14ac:dyDescent="0.2">
      <c r="A299" s="1">
        <v>2022</v>
      </c>
      <c r="B299" s="1" t="str">
        <f t="shared" si="8"/>
        <v>RD</v>
      </c>
      <c r="C299" s="1" t="s">
        <v>1462</v>
      </c>
      <c r="D299" s="1" t="s">
        <v>1462</v>
      </c>
      <c r="E299" s="1">
        <v>27130</v>
      </c>
      <c r="F299" s="1" t="s">
        <v>2153</v>
      </c>
      <c r="G299" s="1" t="s">
        <v>1463</v>
      </c>
      <c r="H299" s="1" t="s">
        <v>1464</v>
      </c>
      <c r="I299" s="1">
        <v>46</v>
      </c>
      <c r="J299" s="1">
        <v>46</v>
      </c>
      <c r="K299" s="1" t="s">
        <v>210</v>
      </c>
      <c r="L299" s="1">
        <v>1</v>
      </c>
      <c r="M299" s="1">
        <v>2019</v>
      </c>
      <c r="N299" s="1">
        <v>2</v>
      </c>
      <c r="O299" s="1">
        <v>2</v>
      </c>
      <c r="P299" s="1" t="str">
        <f t="shared" si="9"/>
        <v>Talhadia</v>
      </c>
      <c r="Q299" s="2">
        <v>43672</v>
      </c>
      <c r="R299" s="1" t="s">
        <v>227</v>
      </c>
      <c r="S299" s="1" t="s">
        <v>163</v>
      </c>
      <c r="T299" s="1" t="s">
        <v>2268</v>
      </c>
      <c r="U299" s="1" t="s">
        <v>212</v>
      </c>
      <c r="V299" s="1" t="s">
        <v>152</v>
      </c>
      <c r="W299" s="2">
        <v>44810</v>
      </c>
      <c r="X299" s="1" t="s">
        <v>1465</v>
      </c>
      <c r="Y299" s="1">
        <v>373.12</v>
      </c>
      <c r="Z299" s="1">
        <v>19.100000000000001</v>
      </c>
      <c r="AA299" s="1">
        <v>8</v>
      </c>
      <c r="AB299" s="1">
        <v>15.3</v>
      </c>
      <c r="AC299" s="1">
        <v>6</v>
      </c>
      <c r="AD299" s="3">
        <v>292.23</v>
      </c>
      <c r="AE299" s="3">
        <v>287.80075073471198</v>
      </c>
      <c r="AF299" s="2">
        <v>44810</v>
      </c>
      <c r="AG299" s="1">
        <v>38</v>
      </c>
      <c r="AH299" s="3">
        <v>3.1156741957563301</v>
      </c>
      <c r="AI299" s="4">
        <v>23.073983368539899</v>
      </c>
      <c r="AJ299" s="4">
        <v>13.593548387096799</v>
      </c>
      <c r="AK299" s="4">
        <v>16.211962123077601</v>
      </c>
      <c r="AL299" s="1">
        <v>31</v>
      </c>
      <c r="AM299" s="5">
        <v>1077.13409088967</v>
      </c>
      <c r="AN299" s="4">
        <v>172.55321458248099</v>
      </c>
      <c r="AO299" s="4">
        <v>0.16019659580169701</v>
      </c>
      <c r="AP299" s="1" t="s">
        <v>163</v>
      </c>
      <c r="AQ299" s="1" t="s">
        <v>254</v>
      </c>
      <c r="AR299" s="1" t="s">
        <v>282</v>
      </c>
      <c r="AS299" s="1">
        <v>7.5</v>
      </c>
      <c r="AT299" s="4">
        <v>0.80785056816725254</v>
      </c>
      <c r="AU299" s="1" t="s">
        <v>1466</v>
      </c>
      <c r="AV299" s="1" t="s">
        <v>1467</v>
      </c>
      <c r="AW299" s="1">
        <v>9845</v>
      </c>
      <c r="AX299" s="1">
        <v>5523</v>
      </c>
      <c r="AY299" s="1">
        <v>3840</v>
      </c>
      <c r="AZ299" s="1">
        <v>460</v>
      </c>
      <c r="BA299" s="1">
        <v>22</v>
      </c>
      <c r="BB299" s="1">
        <v>0</v>
      </c>
      <c r="BC299" s="1">
        <v>0</v>
      </c>
      <c r="BD299" s="1">
        <v>0</v>
      </c>
      <c r="BE299" s="1">
        <v>0</v>
      </c>
      <c r="BF299" s="1">
        <v>0</v>
      </c>
      <c r="BG299" s="1">
        <v>0</v>
      </c>
      <c r="BH299" s="4">
        <v>-1.28</v>
      </c>
      <c r="BI299" s="4">
        <v>27.690000999999999</v>
      </c>
      <c r="BJ299" s="4">
        <v>10.624434000000001</v>
      </c>
      <c r="BK299" s="4">
        <v>-0.360317</v>
      </c>
      <c r="BL299" s="4">
        <v>10.612007999999999</v>
      </c>
      <c r="BM299" s="4">
        <v>112.614724</v>
      </c>
      <c r="BN299" s="4">
        <v>0.99883100000000002</v>
      </c>
      <c r="BO299" s="4">
        <v>21.899999000000001</v>
      </c>
      <c r="BP299" s="4">
        <v>0.146734</v>
      </c>
      <c r="BQ299" s="4">
        <v>1.166812</v>
      </c>
      <c r="BR299" s="4">
        <v>10.272380999999999</v>
      </c>
      <c r="BS299" s="4">
        <v>6.19</v>
      </c>
      <c r="BT299" s="4">
        <v>6.3003169999999997</v>
      </c>
      <c r="BU299" s="4">
        <v>10.624434000000001</v>
      </c>
      <c r="BV299" s="4">
        <v>5.7204050000000004</v>
      </c>
      <c r="BW299" s="4">
        <v>0.55013800000000002</v>
      </c>
      <c r="BX299" s="4">
        <v>-1.0449550000000001</v>
      </c>
      <c r="BY299" s="4">
        <v>0.53842000000000001</v>
      </c>
      <c r="BZ299" s="4">
        <v>9.6171000000000006E-2</v>
      </c>
      <c r="CA299" s="4">
        <v>-0.182672</v>
      </c>
      <c r="CB299" s="4">
        <v>-0.46</v>
      </c>
      <c r="CC299" s="4">
        <v>-0.19</v>
      </c>
      <c r="CD299" s="4">
        <v>-0.1</v>
      </c>
      <c r="CE299" s="4">
        <v>0.01</v>
      </c>
      <c r="CF299" s="4">
        <v>0.06</v>
      </c>
      <c r="CG299" s="4">
        <v>0.11</v>
      </c>
      <c r="CH299" s="4">
        <v>0.25</v>
      </c>
      <c r="CI299" s="4">
        <v>5.94</v>
      </c>
      <c r="CJ299" s="4">
        <v>18.600000000000001</v>
      </c>
      <c r="CK299" s="4">
        <v>21.370000999999998</v>
      </c>
      <c r="CL299" s="4">
        <v>21.959999</v>
      </c>
      <c r="CM299" s="4">
        <v>22.530000999999999</v>
      </c>
      <c r="CN299" s="4">
        <v>23.700001</v>
      </c>
      <c r="CO299" s="4">
        <v>24.440000999999999</v>
      </c>
      <c r="CP299" s="4">
        <v>25.790001</v>
      </c>
      <c r="CQ299" s="4">
        <v>0.41092299999999998</v>
      </c>
      <c r="CR299" s="4">
        <v>15.016054</v>
      </c>
      <c r="CS299" s="4">
        <v>17.058214</v>
      </c>
      <c r="CT299" s="1">
        <v>1</v>
      </c>
      <c r="CU299" s="1">
        <v>54</v>
      </c>
      <c r="CV299" s="4">
        <v>11.802844</v>
      </c>
      <c r="CW299" s="4">
        <v>1</v>
      </c>
      <c r="CX299" s="4">
        <v>9.0046510000000008</v>
      </c>
      <c r="CY299" s="4">
        <v>81.083737999999997</v>
      </c>
      <c r="CZ299" s="4">
        <v>0.76292199999999999</v>
      </c>
      <c r="DA299" s="4">
        <v>11</v>
      </c>
      <c r="DB299" s="4">
        <v>1.217911</v>
      </c>
      <c r="DC299" s="4">
        <v>4.4867850000000002</v>
      </c>
      <c r="DD299" s="4">
        <v>6.9090470000000002</v>
      </c>
      <c r="DE299" s="4">
        <v>11.802844</v>
      </c>
      <c r="DF299" s="4">
        <v>4.8245060000000004</v>
      </c>
      <c r="DG299" s="4">
        <v>1.097734</v>
      </c>
      <c r="DH299" s="4">
        <v>0.65472799999999998</v>
      </c>
      <c r="DI299" s="4">
        <v>0.40875800000000001</v>
      </c>
      <c r="DJ299" s="4">
        <v>0.22753300000000001</v>
      </c>
      <c r="DK299" s="4">
        <v>0.135709</v>
      </c>
      <c r="DL299" s="4">
        <v>1</v>
      </c>
      <c r="DM299" s="4">
        <v>1</v>
      </c>
      <c r="DN299" s="4">
        <v>2</v>
      </c>
      <c r="DO299" s="4">
        <v>4</v>
      </c>
      <c r="DP299" s="4">
        <v>5</v>
      </c>
      <c r="DQ299" s="4">
        <v>6</v>
      </c>
      <c r="DR299" s="4">
        <v>8</v>
      </c>
      <c r="DS299" s="4">
        <v>10</v>
      </c>
      <c r="DT299" s="4">
        <v>12</v>
      </c>
      <c r="DU299" s="4">
        <v>14</v>
      </c>
      <c r="DV299" s="4">
        <v>16</v>
      </c>
      <c r="DW299" s="4">
        <v>18</v>
      </c>
      <c r="DX299" s="4">
        <v>24</v>
      </c>
      <c r="DY299" s="4">
        <v>31</v>
      </c>
      <c r="DZ299" s="4">
        <v>41</v>
      </c>
      <c r="EA299" s="4">
        <v>84.410646</v>
      </c>
      <c r="EB299" s="4">
        <v>54.718131</v>
      </c>
      <c r="EC299" s="4">
        <v>97.537570000000002</v>
      </c>
      <c r="ED299" s="4">
        <v>4662</v>
      </c>
      <c r="EE299" s="4">
        <v>5387</v>
      </c>
      <c r="EF299" s="4">
        <v>80.735107999999997</v>
      </c>
      <c r="EG299" s="4">
        <v>100</v>
      </c>
      <c r="EH299" s="4">
        <v>47.841543999999999</v>
      </c>
      <c r="EI299" s="4">
        <v>98.354495</v>
      </c>
      <c r="EJ299" s="4">
        <v>85.279739000000006</v>
      </c>
      <c r="EK299" s="4">
        <v>175.321383</v>
      </c>
      <c r="EL299" s="4">
        <v>4459</v>
      </c>
      <c r="EM299" s="4">
        <v>5523</v>
      </c>
      <c r="EN299" s="4">
        <v>4710</v>
      </c>
      <c r="EO299" s="4">
        <v>9683</v>
      </c>
      <c r="EP299" s="4">
        <v>5523</v>
      </c>
      <c r="EQ299" s="4">
        <v>9845</v>
      </c>
      <c r="ER299" s="4">
        <v>40.322085000000001</v>
      </c>
    </row>
    <row r="300" spans="1:148" x14ac:dyDescent="0.2">
      <c r="A300" s="1">
        <v>2022</v>
      </c>
      <c r="B300" s="1" t="str">
        <f t="shared" si="8"/>
        <v>RD</v>
      </c>
      <c r="C300" s="1" t="s">
        <v>1468</v>
      </c>
      <c r="D300" s="1" t="s">
        <v>1468</v>
      </c>
      <c r="E300" s="1">
        <v>27135</v>
      </c>
      <c r="F300" s="1" t="s">
        <v>2153</v>
      </c>
      <c r="G300" s="1" t="s">
        <v>1463</v>
      </c>
      <c r="H300" s="1" t="s">
        <v>1469</v>
      </c>
      <c r="I300" s="1">
        <v>43.02</v>
      </c>
      <c r="J300" s="1">
        <v>43.02</v>
      </c>
      <c r="K300" s="1" t="s">
        <v>210</v>
      </c>
      <c r="L300" s="1">
        <v>1</v>
      </c>
      <c r="M300" s="1">
        <v>2019</v>
      </c>
      <c r="N300" s="1">
        <v>2</v>
      </c>
      <c r="O300" s="1">
        <v>2</v>
      </c>
      <c r="P300" s="1" t="str">
        <f t="shared" si="9"/>
        <v>Talhadia</v>
      </c>
      <c r="Q300" s="2">
        <v>43630</v>
      </c>
      <c r="R300" s="1" t="s">
        <v>227</v>
      </c>
      <c r="S300" s="1" t="s">
        <v>484</v>
      </c>
      <c r="T300" s="1" t="s">
        <v>2268</v>
      </c>
      <c r="U300" s="1" t="s">
        <v>212</v>
      </c>
      <c r="V300" s="1" t="s">
        <v>152</v>
      </c>
      <c r="W300" s="2">
        <v>44810</v>
      </c>
      <c r="X300" s="1" t="s">
        <v>1465</v>
      </c>
      <c r="Y300" s="1">
        <v>373.12</v>
      </c>
      <c r="Z300" s="1">
        <v>19.600000000000001</v>
      </c>
      <c r="AA300" s="1">
        <v>23</v>
      </c>
      <c r="AB300" s="1">
        <v>15.2</v>
      </c>
      <c r="AC300" s="1">
        <v>1</v>
      </c>
      <c r="AD300" s="3">
        <v>297.92</v>
      </c>
      <c r="AE300" s="3">
        <v>274.19503834671099</v>
      </c>
      <c r="AF300" s="2">
        <v>44810</v>
      </c>
      <c r="AG300" s="1">
        <v>39</v>
      </c>
      <c r="AH300" s="3">
        <v>3.23066392881588</v>
      </c>
      <c r="AI300" s="4">
        <v>19.2527092342531</v>
      </c>
      <c r="AJ300" s="4">
        <v>13.036666666666701</v>
      </c>
      <c r="AK300" s="4">
        <v>14.8224959833</v>
      </c>
      <c r="AL300" s="1">
        <v>30</v>
      </c>
      <c r="AM300" s="5">
        <v>1094.1117016882699</v>
      </c>
      <c r="AN300" s="4">
        <v>125.51707589278099</v>
      </c>
      <c r="AO300" s="4">
        <v>0.114720531458627</v>
      </c>
      <c r="AP300" s="1" t="s">
        <v>484</v>
      </c>
      <c r="AQ300" s="1" t="s">
        <v>254</v>
      </c>
      <c r="AR300" s="1" t="s">
        <v>282</v>
      </c>
      <c r="AS300" s="1">
        <v>7.5</v>
      </c>
      <c r="AT300" s="4">
        <v>0.82058377626620249</v>
      </c>
      <c r="AU300" s="1" t="s">
        <v>1470</v>
      </c>
      <c r="AV300" s="1" t="s">
        <v>1471</v>
      </c>
      <c r="AW300" s="1">
        <v>4414</v>
      </c>
      <c r="AX300" s="1">
        <v>2629</v>
      </c>
      <c r="AY300" s="1">
        <v>1705</v>
      </c>
      <c r="AZ300" s="1">
        <v>78</v>
      </c>
      <c r="BA300" s="1">
        <v>2</v>
      </c>
      <c r="BB300" s="1">
        <v>0</v>
      </c>
      <c r="BC300" s="1">
        <v>0</v>
      </c>
      <c r="BD300" s="1">
        <v>0</v>
      </c>
      <c r="BE300" s="1">
        <v>0</v>
      </c>
      <c r="BF300" s="1">
        <v>0</v>
      </c>
      <c r="BG300" s="1">
        <v>0</v>
      </c>
      <c r="BH300" s="4">
        <v>-0.86</v>
      </c>
      <c r="BI300" s="4">
        <v>21.280000999999999</v>
      </c>
      <c r="BJ300" s="4">
        <v>8.7512229999999995</v>
      </c>
      <c r="BK300" s="4">
        <v>-0.157143</v>
      </c>
      <c r="BL300" s="4">
        <v>8.5976189999999999</v>
      </c>
      <c r="BM300" s="4">
        <v>73.919058000000007</v>
      </c>
      <c r="BN300" s="4">
        <v>0.98244799999999999</v>
      </c>
      <c r="BO300" s="4">
        <v>17.787500999999999</v>
      </c>
      <c r="BP300" s="4">
        <v>0.175457</v>
      </c>
      <c r="BQ300" s="4">
        <v>1.131669</v>
      </c>
      <c r="BR300" s="4">
        <v>8.3742959999999993</v>
      </c>
      <c r="BS300" s="4">
        <v>4.2350000000000003</v>
      </c>
      <c r="BT300" s="4">
        <v>4.2321419999999996</v>
      </c>
      <c r="BU300" s="4">
        <v>8.7512229999999995</v>
      </c>
      <c r="BV300" s="4">
        <v>4.6049069999999999</v>
      </c>
      <c r="BW300" s="4">
        <v>0.38394400000000001</v>
      </c>
      <c r="BX300" s="4">
        <v>-0.86899300000000002</v>
      </c>
      <c r="BY300" s="4">
        <v>0.52620199999999995</v>
      </c>
      <c r="BZ300" s="4">
        <v>8.3377000000000007E-2</v>
      </c>
      <c r="CA300" s="4">
        <v>-0.18870999999999999</v>
      </c>
      <c r="CB300" s="4">
        <v>-0.33</v>
      </c>
      <c r="CC300" s="4">
        <v>-0.14000000000000001</v>
      </c>
      <c r="CD300" s="4">
        <v>-2.7E-2</v>
      </c>
      <c r="CE300" s="4">
        <v>0.14000000000000001</v>
      </c>
      <c r="CF300" s="4">
        <v>0.2525</v>
      </c>
      <c r="CG300" s="4">
        <v>0.39</v>
      </c>
      <c r="CH300" s="4">
        <v>1.22</v>
      </c>
      <c r="CI300" s="4">
        <v>4.0750000000000002</v>
      </c>
      <c r="CJ300" s="4">
        <v>16.860001</v>
      </c>
      <c r="CK300" s="4">
        <v>17.719999000000001</v>
      </c>
      <c r="CL300" s="4">
        <v>18.040001</v>
      </c>
      <c r="CM300" s="4">
        <v>18.360001</v>
      </c>
      <c r="CN300" s="4">
        <v>19.097000000000001</v>
      </c>
      <c r="CO300" s="4">
        <v>19.629999000000002</v>
      </c>
      <c r="CP300" s="4">
        <v>20.318701000000001</v>
      </c>
      <c r="CQ300" s="4">
        <v>0.43411100000000002</v>
      </c>
      <c r="CR300" s="4">
        <v>12.267283000000001</v>
      </c>
      <c r="CS300" s="4">
        <v>13.962297</v>
      </c>
      <c r="CT300" s="1">
        <v>1</v>
      </c>
      <c r="CU300" s="1">
        <v>49</v>
      </c>
      <c r="CV300" s="4">
        <v>13.568419</v>
      </c>
      <c r="CW300" s="4">
        <v>1</v>
      </c>
      <c r="CX300" s="4">
        <v>9.0220769999999995</v>
      </c>
      <c r="CY300" s="4">
        <v>81.397878000000006</v>
      </c>
      <c r="CZ300" s="4">
        <v>0.66493199999999997</v>
      </c>
      <c r="DA300" s="4">
        <v>13</v>
      </c>
      <c r="DB300" s="4">
        <v>0.76833499999999999</v>
      </c>
      <c r="DC300" s="4">
        <v>3.3077230000000002</v>
      </c>
      <c r="DD300" s="4">
        <v>7.2764239999999996</v>
      </c>
      <c r="DE300" s="4">
        <v>13.568419</v>
      </c>
      <c r="DF300" s="4">
        <v>5.0237410000000002</v>
      </c>
      <c r="DG300" s="4">
        <v>0.74785199999999996</v>
      </c>
      <c r="DH300" s="4">
        <v>0.46501999999999999</v>
      </c>
      <c r="DI300" s="4">
        <v>0.37025200000000003</v>
      </c>
      <c r="DJ300" s="4">
        <v>0.148864</v>
      </c>
      <c r="DK300" s="4">
        <v>9.2563999999999994E-2</v>
      </c>
      <c r="DL300" s="4">
        <v>1</v>
      </c>
      <c r="DM300" s="4">
        <v>1</v>
      </c>
      <c r="DN300" s="4">
        <v>3</v>
      </c>
      <c r="DO300" s="4">
        <v>5</v>
      </c>
      <c r="DP300" s="4">
        <v>6</v>
      </c>
      <c r="DQ300" s="4">
        <v>7</v>
      </c>
      <c r="DR300" s="4">
        <v>10</v>
      </c>
      <c r="DS300" s="4">
        <v>12</v>
      </c>
      <c r="DT300" s="4">
        <v>15</v>
      </c>
      <c r="DU300" s="4">
        <v>18</v>
      </c>
      <c r="DV300" s="4">
        <v>19</v>
      </c>
      <c r="DW300" s="4">
        <v>21</v>
      </c>
      <c r="DX300" s="4">
        <v>26</v>
      </c>
      <c r="DY300" s="4">
        <v>31</v>
      </c>
      <c r="DZ300" s="4">
        <v>39</v>
      </c>
      <c r="EA300" s="4">
        <v>79.497907999999995</v>
      </c>
      <c r="EB300" s="4">
        <v>52.401449999999997</v>
      </c>
      <c r="EC300" s="4">
        <v>87.980221</v>
      </c>
      <c r="ED300" s="4">
        <v>2090</v>
      </c>
      <c r="EE300" s="4">
        <v>2313</v>
      </c>
      <c r="EF300" s="4">
        <v>75.351844999999997</v>
      </c>
      <c r="EG300" s="4">
        <v>99.923924999999997</v>
      </c>
      <c r="EH300" s="4">
        <v>45.333030999999998</v>
      </c>
      <c r="EI300" s="4">
        <v>95.468962000000005</v>
      </c>
      <c r="EJ300" s="4">
        <v>76.112589999999997</v>
      </c>
      <c r="EK300" s="4">
        <v>160.28908300000001</v>
      </c>
      <c r="EL300" s="4">
        <v>1981</v>
      </c>
      <c r="EM300" s="4">
        <v>2627</v>
      </c>
      <c r="EN300" s="4">
        <v>2001</v>
      </c>
      <c r="EO300" s="4">
        <v>4214</v>
      </c>
      <c r="EP300" s="4">
        <v>2629</v>
      </c>
      <c r="EQ300" s="4">
        <v>4414</v>
      </c>
      <c r="ER300" s="4">
        <v>42.158033000000003</v>
      </c>
    </row>
    <row r="301" spans="1:148" x14ac:dyDescent="0.2">
      <c r="A301" s="1">
        <v>2022</v>
      </c>
      <c r="B301" s="1" t="str">
        <f t="shared" si="8"/>
        <v>NE</v>
      </c>
      <c r="C301" s="1" t="s">
        <v>1472</v>
      </c>
      <c r="D301" s="1" t="s">
        <v>1472</v>
      </c>
      <c r="E301" s="1">
        <v>27150</v>
      </c>
      <c r="F301" s="1" t="s">
        <v>2154</v>
      </c>
      <c r="G301" s="1" t="s">
        <v>1473</v>
      </c>
      <c r="H301" s="1" t="s">
        <v>1474</v>
      </c>
      <c r="I301" s="1">
        <v>35.049999999999997</v>
      </c>
      <c r="J301" s="1">
        <v>35.049999999999997</v>
      </c>
      <c r="K301" s="1" t="s">
        <v>148</v>
      </c>
      <c r="L301" s="1">
        <v>1</v>
      </c>
      <c r="M301" s="1">
        <v>2019</v>
      </c>
      <c r="N301" s="1">
        <v>4</v>
      </c>
      <c r="O301" s="1">
        <v>1</v>
      </c>
      <c r="P301" s="1" t="str">
        <f t="shared" si="9"/>
        <v>Alto fuste</v>
      </c>
      <c r="Q301" s="2">
        <v>43572</v>
      </c>
      <c r="R301" s="1" t="s">
        <v>169</v>
      </c>
      <c r="S301" s="1" t="s">
        <v>299</v>
      </c>
      <c r="T301" s="1" t="s">
        <v>2268</v>
      </c>
      <c r="U301" s="1" t="s">
        <v>151</v>
      </c>
      <c r="V301" s="1" t="s">
        <v>152</v>
      </c>
      <c r="W301" s="2">
        <v>44736</v>
      </c>
      <c r="X301" s="1" t="s">
        <v>1475</v>
      </c>
      <c r="Y301" s="1">
        <v>81.91</v>
      </c>
      <c r="Z301" s="1">
        <v>21.5</v>
      </c>
      <c r="AA301" s="1">
        <v>16</v>
      </c>
      <c r="AB301" s="1">
        <v>16.100000000000001</v>
      </c>
      <c r="AC301" s="1">
        <v>2</v>
      </c>
      <c r="AD301" s="3">
        <v>346.15</v>
      </c>
      <c r="AE301" s="3">
        <v>332.538039383002</v>
      </c>
      <c r="AF301" s="2">
        <v>44736</v>
      </c>
      <c r="AG301" s="1">
        <v>38</v>
      </c>
      <c r="AH301" s="3">
        <v>3.1868583162217701</v>
      </c>
      <c r="AI301" s="4">
        <v>22.229965932225401</v>
      </c>
      <c r="AJ301" s="4">
        <v>14.4764705882353</v>
      </c>
      <c r="AK301" s="4">
        <v>17.141591938474399</v>
      </c>
      <c r="AL301" s="1">
        <v>34</v>
      </c>
      <c r="AM301" s="5">
        <v>1022.4394196551</v>
      </c>
      <c r="AN301" s="4">
        <v>166.406389099953</v>
      </c>
      <c r="AO301" s="4">
        <v>0.16275427756501001</v>
      </c>
      <c r="AP301" s="1" t="s">
        <v>299</v>
      </c>
      <c r="AQ301" s="1" t="s">
        <v>156</v>
      </c>
      <c r="AR301" s="1" t="s">
        <v>1478</v>
      </c>
      <c r="AS301" s="1">
        <v>9</v>
      </c>
      <c r="AT301" s="4">
        <v>0.92019547768958998</v>
      </c>
      <c r="AU301" s="1" t="s">
        <v>1476</v>
      </c>
      <c r="AV301" s="1" t="s">
        <v>1477</v>
      </c>
      <c r="AW301" s="1">
        <v>2681</v>
      </c>
      <c r="AX301" s="1">
        <v>1620</v>
      </c>
      <c r="AY301" s="1">
        <v>1037</v>
      </c>
      <c r="AZ301" s="1">
        <v>24</v>
      </c>
      <c r="BA301" s="1">
        <v>0</v>
      </c>
      <c r="BB301" s="1">
        <v>0</v>
      </c>
      <c r="BC301" s="1">
        <v>0</v>
      </c>
      <c r="BD301" s="1">
        <v>0</v>
      </c>
      <c r="BE301" s="1">
        <v>0</v>
      </c>
      <c r="BF301" s="1">
        <v>0</v>
      </c>
      <c r="BG301" s="1">
        <v>0</v>
      </c>
      <c r="BH301" s="4">
        <v>-1.3069999999999999</v>
      </c>
      <c r="BI301" s="4">
        <v>20.127001</v>
      </c>
      <c r="BJ301" s="4">
        <v>8.6752109999999991</v>
      </c>
      <c r="BK301" s="4">
        <v>-0.286333</v>
      </c>
      <c r="BL301" s="4">
        <v>8.2859529999999992</v>
      </c>
      <c r="BM301" s="4">
        <v>68.657025000000004</v>
      </c>
      <c r="BN301" s="4">
        <v>0.95513000000000003</v>
      </c>
      <c r="BO301" s="4">
        <v>16.774999000000001</v>
      </c>
      <c r="BP301" s="4">
        <v>-2.5255E-2</v>
      </c>
      <c r="BQ301" s="4">
        <v>1.0918129999999999</v>
      </c>
      <c r="BR301" s="4">
        <v>8.1131600000000006</v>
      </c>
      <c r="BS301" s="4">
        <v>7.3920000000000003</v>
      </c>
      <c r="BT301" s="4">
        <v>11.685333</v>
      </c>
      <c r="BU301" s="4">
        <v>8.6752109999999991</v>
      </c>
      <c r="BV301" s="4">
        <v>4.4019459999999997</v>
      </c>
      <c r="BW301" s="4">
        <v>0.11416800000000001</v>
      </c>
      <c r="BX301" s="4">
        <v>-0.869946</v>
      </c>
      <c r="BY301" s="4">
        <v>0.50741700000000001</v>
      </c>
      <c r="BZ301" s="4">
        <v>2.5936000000000001E-2</v>
      </c>
      <c r="CA301" s="4">
        <v>-0.197628</v>
      </c>
      <c r="CB301" s="4">
        <v>-0.42580000000000001</v>
      </c>
      <c r="CC301" s="4">
        <v>-0.20100000000000001</v>
      </c>
      <c r="CD301" s="4">
        <v>-0.109</v>
      </c>
      <c r="CE301" s="4">
        <v>-8.9999999999999993E-3</v>
      </c>
      <c r="CF301" s="4">
        <v>3.9E-2</v>
      </c>
      <c r="CG301" s="4">
        <v>7.8E-2</v>
      </c>
      <c r="CH301" s="4">
        <v>0.188</v>
      </c>
      <c r="CI301" s="4">
        <v>11.398999999999999</v>
      </c>
      <c r="CJ301" s="4">
        <v>15.648</v>
      </c>
      <c r="CK301" s="4">
        <v>16.497</v>
      </c>
      <c r="CL301" s="4">
        <v>16.813998999999999</v>
      </c>
      <c r="CM301" s="4">
        <v>17.158000999999999</v>
      </c>
      <c r="CN301" s="4">
        <v>17.933001000000001</v>
      </c>
      <c r="CO301" s="4">
        <v>18.568999999999999</v>
      </c>
      <c r="CP301" s="4">
        <v>19.337799</v>
      </c>
      <c r="CQ301" s="4">
        <v>0.46571899999999999</v>
      </c>
      <c r="CR301" s="4">
        <v>11.995445</v>
      </c>
      <c r="CS301" s="4">
        <v>13.434438</v>
      </c>
      <c r="CT301" s="1">
        <v>1</v>
      </c>
      <c r="CU301" s="1">
        <v>48</v>
      </c>
      <c r="CV301" s="4">
        <v>13.873182</v>
      </c>
      <c r="CW301" s="4">
        <v>13.682539999999999</v>
      </c>
      <c r="CX301" s="4">
        <v>9.7668890000000008</v>
      </c>
      <c r="CY301" s="4">
        <v>95.392120000000006</v>
      </c>
      <c r="CZ301" s="4">
        <v>0.70401199999999997</v>
      </c>
      <c r="DA301" s="4">
        <v>11</v>
      </c>
      <c r="DB301" s="4">
        <v>1.1004069999999999</v>
      </c>
      <c r="DC301" s="4">
        <v>4.0095970000000003</v>
      </c>
      <c r="DD301" s="4">
        <v>7.3264440000000004</v>
      </c>
      <c r="DE301" s="4">
        <v>13.873182</v>
      </c>
      <c r="DF301" s="4">
        <v>5.2508330000000001</v>
      </c>
      <c r="DG301" s="4">
        <v>1.050678</v>
      </c>
      <c r="DH301" s="4">
        <v>0.82766499999999998</v>
      </c>
      <c r="DI301" s="4">
        <v>0.37848799999999999</v>
      </c>
      <c r="DJ301" s="4">
        <v>0.200097</v>
      </c>
      <c r="DK301" s="4">
        <v>0.15762499999999999</v>
      </c>
      <c r="DL301" s="4">
        <v>1</v>
      </c>
      <c r="DM301" s="4">
        <v>2</v>
      </c>
      <c r="DN301" s="4">
        <v>3</v>
      </c>
      <c r="DO301" s="4">
        <v>5</v>
      </c>
      <c r="DP301" s="4">
        <v>7</v>
      </c>
      <c r="DQ301" s="4">
        <v>8</v>
      </c>
      <c r="DR301" s="4">
        <v>11</v>
      </c>
      <c r="DS301" s="4">
        <v>13</v>
      </c>
      <c r="DT301" s="4">
        <v>15</v>
      </c>
      <c r="DU301" s="4">
        <v>17</v>
      </c>
      <c r="DV301" s="4">
        <v>18</v>
      </c>
      <c r="DW301" s="4">
        <v>19</v>
      </c>
      <c r="DX301" s="4">
        <v>28</v>
      </c>
      <c r="DY301" s="4">
        <v>37</v>
      </c>
      <c r="DZ301" s="4">
        <v>42</v>
      </c>
      <c r="EA301" s="4">
        <v>86.666667000000004</v>
      </c>
      <c r="EB301" s="4">
        <v>53.599403000000002</v>
      </c>
      <c r="EC301" s="4">
        <v>88.703704000000002</v>
      </c>
      <c r="ED301" s="4">
        <v>1404</v>
      </c>
      <c r="EE301" s="4">
        <v>1437</v>
      </c>
      <c r="EF301" s="4">
        <v>85</v>
      </c>
      <c r="EG301" s="4">
        <v>100</v>
      </c>
      <c r="EH301" s="4">
        <v>51.585228999999998</v>
      </c>
      <c r="EI301" s="4">
        <v>97.463633000000002</v>
      </c>
      <c r="EJ301" s="4">
        <v>85.370369999999994</v>
      </c>
      <c r="EK301" s="4">
        <v>161.29629600000001</v>
      </c>
      <c r="EL301" s="4">
        <v>1377</v>
      </c>
      <c r="EM301" s="4">
        <v>1620</v>
      </c>
      <c r="EN301" s="4">
        <v>1383</v>
      </c>
      <c r="EO301" s="4">
        <v>2613</v>
      </c>
      <c r="EP301" s="4">
        <v>1620</v>
      </c>
      <c r="EQ301" s="4">
        <v>2681</v>
      </c>
      <c r="ER301" s="4">
        <v>43.987400000000001</v>
      </c>
    </row>
    <row r="302" spans="1:148" x14ac:dyDescent="0.2">
      <c r="A302" s="1">
        <v>2022</v>
      </c>
      <c r="B302" s="1" t="str">
        <f t="shared" si="8"/>
        <v>GN</v>
      </c>
      <c r="C302" s="1" t="s">
        <v>1479</v>
      </c>
      <c r="D302" s="1" t="s">
        <v>1479</v>
      </c>
      <c r="E302" s="1">
        <v>27153</v>
      </c>
      <c r="F302" s="1" t="s">
        <v>2155</v>
      </c>
      <c r="G302" s="1" t="s">
        <v>1480</v>
      </c>
      <c r="H302" s="1" t="s">
        <v>1481</v>
      </c>
      <c r="I302" s="1">
        <v>42.08</v>
      </c>
      <c r="J302" s="1">
        <v>42.08</v>
      </c>
      <c r="K302" s="1" t="s">
        <v>266</v>
      </c>
      <c r="L302" s="1">
        <v>1</v>
      </c>
      <c r="M302" s="1">
        <v>2019</v>
      </c>
      <c r="N302" s="1">
        <v>3</v>
      </c>
      <c r="O302" s="1">
        <v>1</v>
      </c>
      <c r="P302" s="1" t="str">
        <f t="shared" si="9"/>
        <v>Alto fuste</v>
      </c>
      <c r="Q302" s="2">
        <v>43519</v>
      </c>
      <c r="R302" s="1" t="s">
        <v>169</v>
      </c>
      <c r="S302" s="1" t="s">
        <v>163</v>
      </c>
      <c r="T302" s="1" t="s">
        <v>2268</v>
      </c>
      <c r="U302" s="1" t="s">
        <v>266</v>
      </c>
      <c r="V302" s="1" t="s">
        <v>152</v>
      </c>
      <c r="W302" s="2">
        <v>44742</v>
      </c>
      <c r="X302" s="1" t="s">
        <v>1482</v>
      </c>
      <c r="Y302" s="1">
        <v>144.68</v>
      </c>
      <c r="Z302" s="1">
        <v>19.3</v>
      </c>
      <c r="AA302" s="1">
        <v>7</v>
      </c>
      <c r="AB302" s="1">
        <v>14.5</v>
      </c>
      <c r="AC302" s="1">
        <v>2</v>
      </c>
      <c r="AD302" s="3">
        <v>279.85000000000002</v>
      </c>
      <c r="AE302" s="3">
        <v>277.59483418826198</v>
      </c>
      <c r="AF302" s="2">
        <v>44742</v>
      </c>
      <c r="AG302" s="1">
        <v>40</v>
      </c>
      <c r="AH302" s="3">
        <v>3.3483915126625599</v>
      </c>
      <c r="AI302" s="4">
        <v>21.948452897595399</v>
      </c>
      <c r="AJ302" s="4">
        <v>14.7928571428571</v>
      </c>
      <c r="AK302" s="4">
        <v>17.518496231902098</v>
      </c>
      <c r="AL302" s="1">
        <v>28</v>
      </c>
      <c r="AM302" s="5">
        <v>1008.66430320568</v>
      </c>
      <c r="AN302" s="4">
        <v>168.866486993671</v>
      </c>
      <c r="AO302" s="4">
        <v>0.16741594448915201</v>
      </c>
      <c r="AP302" s="1" t="s">
        <v>163</v>
      </c>
      <c r="AQ302" s="1" t="s">
        <v>156</v>
      </c>
      <c r="AR302" s="1" t="s">
        <v>500</v>
      </c>
      <c r="AS302" s="1">
        <v>9</v>
      </c>
      <c r="AT302" s="4">
        <v>0.90779787288511204</v>
      </c>
      <c r="AU302" s="1" t="s">
        <v>1483</v>
      </c>
      <c r="AV302" s="1" t="s">
        <v>1484</v>
      </c>
      <c r="AW302" s="1">
        <v>2824</v>
      </c>
      <c r="AX302" s="1">
        <v>1835</v>
      </c>
      <c r="AY302" s="1">
        <v>908</v>
      </c>
      <c r="AZ302" s="1">
        <v>78</v>
      </c>
      <c r="BA302" s="1">
        <v>3</v>
      </c>
      <c r="BB302" s="1">
        <v>0</v>
      </c>
      <c r="BC302" s="1">
        <v>0</v>
      </c>
      <c r="BD302" s="1">
        <v>0</v>
      </c>
      <c r="BE302" s="1">
        <v>0</v>
      </c>
      <c r="BF302" s="1">
        <v>0</v>
      </c>
      <c r="BG302" s="1">
        <v>0</v>
      </c>
      <c r="BH302" s="4">
        <v>-1.1339999999999999</v>
      </c>
      <c r="BI302" s="4">
        <v>22.07</v>
      </c>
      <c r="BJ302" s="4">
        <v>11.244581</v>
      </c>
      <c r="BK302" s="4">
        <v>-2.9048000000000001E-2</v>
      </c>
      <c r="BL302" s="4">
        <v>8.9058600000000006</v>
      </c>
      <c r="BM302" s="4">
        <v>79.314351000000002</v>
      </c>
      <c r="BN302" s="4">
        <v>0.792014</v>
      </c>
      <c r="BO302" s="4">
        <v>18.694749999999999</v>
      </c>
      <c r="BP302" s="4">
        <v>-0.38854499999999997</v>
      </c>
      <c r="BQ302" s="4">
        <v>1.2532719999999999</v>
      </c>
      <c r="BR302" s="4">
        <v>8.5480420000000006</v>
      </c>
      <c r="BS302" s="4">
        <v>3.0479989999999999</v>
      </c>
      <c r="BT302" s="4">
        <v>16.980547000000001</v>
      </c>
      <c r="BU302" s="4">
        <v>11.244581</v>
      </c>
      <c r="BV302" s="4">
        <v>4.6972399999999999</v>
      </c>
      <c r="BW302" s="4">
        <v>-0.62357399999999996</v>
      </c>
      <c r="BX302" s="4">
        <v>-0.73536000000000001</v>
      </c>
      <c r="BY302" s="4">
        <v>0.41773399999999999</v>
      </c>
      <c r="BZ302" s="4">
        <v>-0.13275300000000001</v>
      </c>
      <c r="CA302" s="4">
        <v>-0.156552</v>
      </c>
      <c r="CB302" s="4">
        <v>-0.41023999999999999</v>
      </c>
      <c r="CC302" s="4">
        <v>-0.17185</v>
      </c>
      <c r="CD302" s="4">
        <v>-4.7E-2</v>
      </c>
      <c r="CE302" s="4">
        <v>7.6600000000000001E-2</v>
      </c>
      <c r="CF302" s="4">
        <v>0.14574999999999999</v>
      </c>
      <c r="CG302" s="4">
        <v>0.20699999999999999</v>
      </c>
      <c r="CH302" s="4">
        <v>10.022993</v>
      </c>
      <c r="CI302" s="4">
        <v>16.951499999999999</v>
      </c>
      <c r="CJ302" s="4">
        <v>17.816599</v>
      </c>
      <c r="CK302" s="4">
        <v>18.488099999999999</v>
      </c>
      <c r="CL302" s="4">
        <v>18.840499999999999</v>
      </c>
      <c r="CM302" s="4">
        <v>19.202200000000001</v>
      </c>
      <c r="CN302" s="4">
        <v>19.9207</v>
      </c>
      <c r="CO302" s="4">
        <v>20.458452000000001</v>
      </c>
      <c r="CP302" s="4">
        <v>21.287310000000002</v>
      </c>
      <c r="CQ302" s="4">
        <v>0.53346800000000005</v>
      </c>
      <c r="CR302" s="4">
        <v>14.343182000000001</v>
      </c>
      <c r="CS302" s="4">
        <v>15.635012</v>
      </c>
      <c r="CT302" s="1">
        <v>1</v>
      </c>
      <c r="CU302" s="1">
        <v>49</v>
      </c>
      <c r="CV302" s="4">
        <v>13.970255</v>
      </c>
      <c r="CW302" s="4">
        <v>17.761904999999999</v>
      </c>
      <c r="CX302" s="4">
        <v>8.7030250000000002</v>
      </c>
      <c r="CY302" s="4">
        <v>75.742649999999998</v>
      </c>
      <c r="CZ302" s="4">
        <v>0.62296799999999997</v>
      </c>
      <c r="DA302" s="4">
        <v>12</v>
      </c>
      <c r="DB302" s="4">
        <v>0.694299</v>
      </c>
      <c r="DC302" s="4">
        <v>3.6257290000000002</v>
      </c>
      <c r="DD302" s="4">
        <v>6.8616820000000001</v>
      </c>
      <c r="DE302" s="4">
        <v>13.970255</v>
      </c>
      <c r="DF302" s="4">
        <v>4.8260269999999998</v>
      </c>
      <c r="DG302" s="4">
        <v>0.46122299999999999</v>
      </c>
      <c r="DH302" s="4">
        <v>0.54883199999999999</v>
      </c>
      <c r="DI302" s="4">
        <v>0.34544999999999998</v>
      </c>
      <c r="DJ302" s="4">
        <v>9.5570000000000002E-2</v>
      </c>
      <c r="DK302" s="4">
        <v>0.113723</v>
      </c>
      <c r="DL302" s="4">
        <v>1</v>
      </c>
      <c r="DM302" s="4">
        <v>1</v>
      </c>
      <c r="DN302" s="4">
        <v>3</v>
      </c>
      <c r="DO302" s="4">
        <v>6</v>
      </c>
      <c r="DP302" s="4">
        <v>7</v>
      </c>
      <c r="DQ302" s="4">
        <v>9</v>
      </c>
      <c r="DR302" s="4">
        <v>11</v>
      </c>
      <c r="DS302" s="4">
        <v>14</v>
      </c>
      <c r="DT302" s="4">
        <v>16</v>
      </c>
      <c r="DU302" s="4">
        <v>18</v>
      </c>
      <c r="DV302" s="4">
        <v>19</v>
      </c>
      <c r="DW302" s="4">
        <v>20</v>
      </c>
      <c r="DX302" s="4">
        <v>24</v>
      </c>
      <c r="DY302" s="4">
        <v>30</v>
      </c>
      <c r="DZ302" s="4">
        <v>40</v>
      </c>
      <c r="EA302" s="4">
        <v>92.043597000000005</v>
      </c>
      <c r="EB302" s="4">
        <v>62.783285999999997</v>
      </c>
      <c r="EC302" s="4">
        <v>96.621252999999996</v>
      </c>
      <c r="ED302" s="4">
        <v>1689</v>
      </c>
      <c r="EE302" s="4">
        <v>1773</v>
      </c>
      <c r="EF302" s="4">
        <v>89.972752</v>
      </c>
      <c r="EG302" s="4">
        <v>99.673024999999996</v>
      </c>
      <c r="EH302" s="4">
        <v>59.277619999999999</v>
      </c>
      <c r="EI302" s="4">
        <v>88.668554999999998</v>
      </c>
      <c r="EJ302" s="4">
        <v>91.226157999999998</v>
      </c>
      <c r="EK302" s="4">
        <v>136.45776599999999</v>
      </c>
      <c r="EL302" s="4">
        <v>1651</v>
      </c>
      <c r="EM302" s="4">
        <v>1829</v>
      </c>
      <c r="EN302" s="4">
        <v>1674</v>
      </c>
      <c r="EO302" s="4">
        <v>2504</v>
      </c>
      <c r="EP302" s="4">
        <v>1835</v>
      </c>
      <c r="EQ302" s="4">
        <v>2824</v>
      </c>
      <c r="ER302" s="4">
        <v>51.896720000000002</v>
      </c>
    </row>
    <row r="303" spans="1:148" x14ac:dyDescent="0.2">
      <c r="A303" s="1">
        <v>2022</v>
      </c>
      <c r="B303" s="1" t="str">
        <f t="shared" si="8"/>
        <v>GN</v>
      </c>
      <c r="C303" s="1" t="s">
        <v>1485</v>
      </c>
      <c r="D303" s="1" t="s">
        <v>1485</v>
      </c>
      <c r="E303" s="1">
        <v>27154</v>
      </c>
      <c r="F303" s="1" t="s">
        <v>2155</v>
      </c>
      <c r="G303" s="1" t="s">
        <v>1480</v>
      </c>
      <c r="H303" s="1" t="s">
        <v>1481</v>
      </c>
      <c r="I303" s="1">
        <v>42.08</v>
      </c>
      <c r="J303" s="1">
        <v>42.08</v>
      </c>
      <c r="K303" s="1" t="s">
        <v>266</v>
      </c>
      <c r="L303" s="1">
        <v>1</v>
      </c>
      <c r="M303" s="1">
        <v>2019</v>
      </c>
      <c r="N303" s="1">
        <v>3</v>
      </c>
      <c r="O303" s="1">
        <v>1</v>
      </c>
      <c r="P303" s="1" t="str">
        <f t="shared" si="9"/>
        <v>Alto fuste</v>
      </c>
      <c r="Q303" s="2">
        <v>43519</v>
      </c>
      <c r="R303" s="1" t="s">
        <v>169</v>
      </c>
      <c r="S303" s="1" t="s">
        <v>163</v>
      </c>
      <c r="T303" s="1" t="s">
        <v>2268</v>
      </c>
      <c r="U303" s="1" t="s">
        <v>266</v>
      </c>
      <c r="V303" s="1" t="s">
        <v>152</v>
      </c>
      <c r="W303" s="2">
        <v>44742</v>
      </c>
      <c r="X303" s="1" t="s">
        <v>1482</v>
      </c>
      <c r="Y303" s="1">
        <v>144.68</v>
      </c>
      <c r="Z303" s="1">
        <v>18.899999999999999</v>
      </c>
      <c r="AA303" s="1">
        <v>17</v>
      </c>
      <c r="AB303" s="1">
        <v>15</v>
      </c>
      <c r="AC303" s="1">
        <v>1</v>
      </c>
      <c r="AD303" s="3">
        <v>283.5</v>
      </c>
      <c r="AE303" s="3">
        <v>271.07110658409499</v>
      </c>
      <c r="AF303" s="2">
        <v>44742</v>
      </c>
      <c r="AG303" s="1">
        <v>40</v>
      </c>
      <c r="AH303" s="3">
        <v>3.3483915126625599</v>
      </c>
      <c r="AI303" s="4">
        <v>21.439669247432899</v>
      </c>
      <c r="AJ303" s="4">
        <v>13.747999999999999</v>
      </c>
      <c r="AK303" s="4">
        <v>13.876894817663301</v>
      </c>
      <c r="AL303" s="1">
        <v>25</v>
      </c>
      <c r="AM303" s="5">
        <v>922.26723515603499</v>
      </c>
      <c r="AN303" s="4">
        <v>132.28058277843999</v>
      </c>
      <c r="AO303" s="4">
        <v>0.143429775813363</v>
      </c>
      <c r="AP303" s="1" t="s">
        <v>163</v>
      </c>
      <c r="AQ303" s="1" t="s">
        <v>156</v>
      </c>
      <c r="AR303" s="1" t="s">
        <v>500</v>
      </c>
      <c r="AS303" s="1">
        <v>9</v>
      </c>
      <c r="AT303" s="4">
        <v>0.83004051164043147</v>
      </c>
      <c r="AU303" s="1" t="s">
        <v>1486</v>
      </c>
      <c r="AV303" s="1" t="s">
        <v>1487</v>
      </c>
      <c r="AW303" s="1">
        <v>2918</v>
      </c>
      <c r="AX303" s="1">
        <v>1797</v>
      </c>
      <c r="AY303" s="1">
        <v>1099</v>
      </c>
      <c r="AZ303" s="1">
        <v>22</v>
      </c>
      <c r="BA303" s="1">
        <v>0</v>
      </c>
      <c r="BB303" s="1">
        <v>0</v>
      </c>
      <c r="BC303" s="1">
        <v>0</v>
      </c>
      <c r="BD303" s="1">
        <v>0</v>
      </c>
      <c r="BE303" s="1">
        <v>0</v>
      </c>
      <c r="BF303" s="1">
        <v>0</v>
      </c>
      <c r="BG303" s="1">
        <v>0</v>
      </c>
      <c r="BH303" s="4">
        <v>-1.4510000000000001</v>
      </c>
      <c r="BI303" s="4">
        <v>21.448999000000001</v>
      </c>
      <c r="BJ303" s="4">
        <v>9.2767809999999997</v>
      </c>
      <c r="BK303" s="4">
        <v>2.9680000000000002E-3</v>
      </c>
      <c r="BL303" s="4">
        <v>8.7521989999999992</v>
      </c>
      <c r="BM303" s="4">
        <v>76.600982000000002</v>
      </c>
      <c r="BN303" s="4">
        <v>0.94345199999999996</v>
      </c>
      <c r="BO303" s="4">
        <v>17.541248</v>
      </c>
      <c r="BP303" s="4">
        <v>-4.8809999999999999E-2</v>
      </c>
      <c r="BQ303" s="4">
        <v>1.078325</v>
      </c>
      <c r="BR303" s="4">
        <v>8.6444659999999995</v>
      </c>
      <c r="BS303" s="4">
        <v>5.5164999999999997</v>
      </c>
      <c r="BT303" s="4">
        <v>14.596532</v>
      </c>
      <c r="BU303" s="4">
        <v>9.2767809999999997</v>
      </c>
      <c r="BV303" s="4">
        <v>4.6249840000000004</v>
      </c>
      <c r="BW303" s="4">
        <v>0.105268</v>
      </c>
      <c r="BX303" s="4">
        <v>-0.88875499999999996</v>
      </c>
      <c r="BY303" s="4">
        <v>0.49855500000000003</v>
      </c>
      <c r="BZ303" s="4">
        <v>2.2761E-2</v>
      </c>
      <c r="CA303" s="4">
        <v>-0.192164</v>
      </c>
      <c r="CB303" s="4">
        <v>-0.32962000000000002</v>
      </c>
      <c r="CC303" s="4">
        <v>-0.108</v>
      </c>
      <c r="CD303" s="4">
        <v>-8.0000000000000002E-3</v>
      </c>
      <c r="CE303" s="4">
        <v>9.2399999999999996E-2</v>
      </c>
      <c r="CF303" s="4">
        <v>0.13900000000000001</v>
      </c>
      <c r="CG303" s="4">
        <v>0.19</v>
      </c>
      <c r="CH303" s="4">
        <v>0.31900000000000001</v>
      </c>
      <c r="CI303" s="4">
        <v>14.599500000000001</v>
      </c>
      <c r="CJ303" s="4">
        <v>16.232400999999999</v>
      </c>
      <c r="CK303" s="4">
        <v>17.195900000000002</v>
      </c>
      <c r="CL303" s="4">
        <v>17.680247999999999</v>
      </c>
      <c r="CM303" s="4">
        <v>18.1252</v>
      </c>
      <c r="CN303" s="4">
        <v>19.1402</v>
      </c>
      <c r="CO303" s="4">
        <v>19.771298999999999</v>
      </c>
      <c r="CP303" s="4">
        <v>20.500319999999999</v>
      </c>
      <c r="CQ303" s="4">
        <v>0.46846199999999999</v>
      </c>
      <c r="CR303" s="4">
        <v>12.75278</v>
      </c>
      <c r="CS303" s="4">
        <v>14.255076000000001</v>
      </c>
      <c r="CT303" s="1">
        <v>1</v>
      </c>
      <c r="CU303" s="1">
        <v>57</v>
      </c>
      <c r="CV303" s="4">
        <v>17.092872</v>
      </c>
      <c r="CW303" s="4">
        <v>15.222222</v>
      </c>
      <c r="CX303" s="4">
        <v>11.987821</v>
      </c>
      <c r="CY303" s="4">
        <v>143.70786100000001</v>
      </c>
      <c r="CZ303" s="4">
        <v>0.70133500000000004</v>
      </c>
      <c r="DA303" s="4">
        <v>12</v>
      </c>
      <c r="DB303" s="4">
        <v>1.1132740000000001</v>
      </c>
      <c r="DC303" s="4">
        <v>3.7670409999999999</v>
      </c>
      <c r="DD303" s="4">
        <v>8.9597069999999999</v>
      </c>
      <c r="DE303" s="4">
        <v>17.092872</v>
      </c>
      <c r="DF303" s="4">
        <v>6.4160019999999998</v>
      </c>
      <c r="DG303" s="4">
        <v>1.441505</v>
      </c>
      <c r="DH303" s="4">
        <v>1.0651360000000001</v>
      </c>
      <c r="DI303" s="4">
        <v>0.375361</v>
      </c>
      <c r="DJ303" s="4">
        <v>0.22467300000000001</v>
      </c>
      <c r="DK303" s="4">
        <v>0.16601199999999999</v>
      </c>
      <c r="DL303" s="4">
        <v>1</v>
      </c>
      <c r="DM303" s="4">
        <v>2</v>
      </c>
      <c r="DN303" s="4">
        <v>4</v>
      </c>
      <c r="DO303" s="4">
        <v>7</v>
      </c>
      <c r="DP303" s="4">
        <v>9</v>
      </c>
      <c r="DQ303" s="4">
        <v>10</v>
      </c>
      <c r="DR303" s="4">
        <v>13</v>
      </c>
      <c r="DS303" s="4">
        <v>15</v>
      </c>
      <c r="DT303" s="4">
        <v>17</v>
      </c>
      <c r="DU303" s="4">
        <v>19</v>
      </c>
      <c r="DV303" s="4">
        <v>21</v>
      </c>
      <c r="DW303" s="4">
        <v>23</v>
      </c>
      <c r="DX303" s="4">
        <v>38</v>
      </c>
      <c r="DY303" s="4">
        <v>44</v>
      </c>
      <c r="DZ303" s="4">
        <v>51</v>
      </c>
      <c r="EA303" s="4">
        <v>84.195881999999997</v>
      </c>
      <c r="EB303" s="4">
        <v>52.707334000000003</v>
      </c>
      <c r="EC303" s="4">
        <v>85.587090000000003</v>
      </c>
      <c r="ED303" s="4">
        <v>1513</v>
      </c>
      <c r="EE303" s="4">
        <v>1538</v>
      </c>
      <c r="EF303" s="4">
        <v>84.195881999999997</v>
      </c>
      <c r="EG303" s="4">
        <v>99.499165000000005</v>
      </c>
      <c r="EH303" s="4">
        <v>52.707334000000003</v>
      </c>
      <c r="EI303" s="4">
        <v>89.033585000000002</v>
      </c>
      <c r="EJ303" s="4">
        <v>85.587090000000003</v>
      </c>
      <c r="EK303" s="4">
        <v>144.57428999999999</v>
      </c>
      <c r="EL303" s="4">
        <v>1513</v>
      </c>
      <c r="EM303" s="4">
        <v>1788</v>
      </c>
      <c r="EN303" s="4">
        <v>1538</v>
      </c>
      <c r="EO303" s="4">
        <v>2598</v>
      </c>
      <c r="EP303" s="4">
        <v>1797</v>
      </c>
      <c r="EQ303" s="4">
        <v>2918</v>
      </c>
      <c r="ER303" s="4">
        <v>44.211222999999997</v>
      </c>
    </row>
    <row r="304" spans="1:148" x14ac:dyDescent="0.2">
      <c r="A304" s="1">
        <v>2022</v>
      </c>
      <c r="B304" s="1" t="str">
        <f t="shared" si="8"/>
        <v>NE</v>
      </c>
      <c r="C304" s="1" t="s">
        <v>1488</v>
      </c>
      <c r="D304" s="1" t="s">
        <v>1488</v>
      </c>
      <c r="E304" s="1">
        <v>27155</v>
      </c>
      <c r="F304" s="1" t="s">
        <v>2156</v>
      </c>
      <c r="G304" s="1" t="s">
        <v>1473</v>
      </c>
      <c r="H304" s="1" t="s">
        <v>1489</v>
      </c>
      <c r="I304" s="1">
        <v>42.03</v>
      </c>
      <c r="J304" s="1">
        <v>42.03</v>
      </c>
      <c r="K304" s="1" t="s">
        <v>148</v>
      </c>
      <c r="L304" s="1">
        <v>1</v>
      </c>
      <c r="M304" s="1">
        <v>2019</v>
      </c>
      <c r="N304" s="1">
        <v>3</v>
      </c>
      <c r="O304" s="1">
        <v>2</v>
      </c>
      <c r="P304" s="1" t="str">
        <f t="shared" si="9"/>
        <v>Talhadia</v>
      </c>
      <c r="Q304" s="2">
        <v>43586</v>
      </c>
      <c r="R304" s="1" t="s">
        <v>169</v>
      </c>
      <c r="S304" s="1" t="s">
        <v>163</v>
      </c>
      <c r="T304" s="1" t="s">
        <v>2268</v>
      </c>
      <c r="U304" s="1" t="s">
        <v>151</v>
      </c>
      <c r="V304" s="1" t="s">
        <v>152</v>
      </c>
      <c r="W304" s="2">
        <v>44732</v>
      </c>
      <c r="X304" s="1" t="s">
        <v>1475</v>
      </c>
      <c r="Y304" s="1">
        <v>302.60000000000002</v>
      </c>
      <c r="Z304" s="1">
        <v>19.2</v>
      </c>
      <c r="AA304" s="1">
        <v>21</v>
      </c>
      <c r="AB304" s="1">
        <v>15.2</v>
      </c>
      <c r="AC304" s="1">
        <v>1</v>
      </c>
      <c r="AD304" s="3">
        <v>291.83999999999997</v>
      </c>
      <c r="AE304" s="3">
        <v>272.41461528346503</v>
      </c>
      <c r="AF304" s="2">
        <v>44732</v>
      </c>
      <c r="AG304" s="1">
        <v>37</v>
      </c>
      <c r="AH304" s="3">
        <v>3.1375770020533902</v>
      </c>
      <c r="AI304" s="4">
        <v>17.588153004137201</v>
      </c>
      <c r="AJ304" s="4">
        <v>13.319230769230799</v>
      </c>
      <c r="AK304" s="4">
        <v>14.029589672854501</v>
      </c>
      <c r="AL304" s="1">
        <v>26</v>
      </c>
      <c r="AM304" s="5">
        <v>954.42749916135301</v>
      </c>
      <c r="AN304" s="4">
        <v>111.66490086357599</v>
      </c>
      <c r="AO304" s="4">
        <v>0.116996734651605</v>
      </c>
      <c r="AP304" s="1" t="s">
        <v>163</v>
      </c>
      <c r="AQ304" s="1" t="s">
        <v>254</v>
      </c>
      <c r="AR304" s="1" t="s">
        <v>1492</v>
      </c>
      <c r="AS304" s="1">
        <v>9</v>
      </c>
      <c r="AT304" s="4">
        <v>0.85898474924521773</v>
      </c>
      <c r="AU304" s="1" t="s">
        <v>1490</v>
      </c>
      <c r="AV304" s="1" t="s">
        <v>1491</v>
      </c>
      <c r="AW304" s="1">
        <v>4076</v>
      </c>
      <c r="AX304" s="1">
        <v>2496</v>
      </c>
      <c r="AY304" s="1">
        <v>1504</v>
      </c>
      <c r="AZ304" s="1">
        <v>75</v>
      </c>
      <c r="BA304" s="1">
        <v>1</v>
      </c>
      <c r="BB304" s="1">
        <v>0</v>
      </c>
      <c r="BC304" s="1">
        <v>0</v>
      </c>
      <c r="BD304" s="1">
        <v>0</v>
      </c>
      <c r="BE304" s="1">
        <v>0</v>
      </c>
      <c r="BF304" s="1">
        <v>0</v>
      </c>
      <c r="BG304" s="1">
        <v>0</v>
      </c>
      <c r="BH304" s="4">
        <v>-0.876</v>
      </c>
      <c r="BI304" s="4">
        <v>20.715</v>
      </c>
      <c r="BJ304" s="4">
        <v>7.042656</v>
      </c>
      <c r="BK304" s="4">
        <v>-0.19057099999999999</v>
      </c>
      <c r="BL304" s="4">
        <v>7.7147589999999999</v>
      </c>
      <c r="BM304" s="4">
        <v>59.517507000000002</v>
      </c>
      <c r="BN304" s="4">
        <v>1.0954330000000001</v>
      </c>
      <c r="BO304" s="4">
        <v>15.31625</v>
      </c>
      <c r="BP304" s="4">
        <v>0.30710300000000001</v>
      </c>
      <c r="BQ304" s="4">
        <v>1.250526</v>
      </c>
      <c r="BR304" s="4">
        <v>7.4204100000000004</v>
      </c>
      <c r="BS304" s="4">
        <v>0.70950000000000002</v>
      </c>
      <c r="BT304" s="4">
        <v>0.55057100000000003</v>
      </c>
      <c r="BU304" s="4">
        <v>7.042656</v>
      </c>
      <c r="BV304" s="4">
        <v>4.1060150000000002</v>
      </c>
      <c r="BW304" s="4">
        <v>0.71431500000000003</v>
      </c>
      <c r="BX304" s="4">
        <v>-0.63933099999999998</v>
      </c>
      <c r="BY304" s="4">
        <v>0.58302100000000001</v>
      </c>
      <c r="BZ304" s="4">
        <v>0.17396800000000001</v>
      </c>
      <c r="CA304" s="4">
        <v>-0.15570600000000001</v>
      </c>
      <c r="CB304" s="4">
        <v>-0.44974999999999998</v>
      </c>
      <c r="CC304" s="4">
        <v>-0.20499999999999999</v>
      </c>
      <c r="CD304" s="4">
        <v>-0.11799999999999999</v>
      </c>
      <c r="CE304" s="4">
        <v>-1.4999999999999999E-2</v>
      </c>
      <c r="CF304" s="4">
        <v>2.8000000000000001E-2</v>
      </c>
      <c r="CG304" s="4">
        <v>6.8000000000000005E-2</v>
      </c>
      <c r="CH304" s="4">
        <v>0.155</v>
      </c>
      <c r="CI304" s="4">
        <v>0.35549999999999998</v>
      </c>
      <c r="CJ304" s="4">
        <v>12.246</v>
      </c>
      <c r="CK304" s="4">
        <v>14.749001</v>
      </c>
      <c r="CL304" s="4">
        <v>15.344250000000001</v>
      </c>
      <c r="CM304" s="4">
        <v>15.975</v>
      </c>
      <c r="CN304" s="4">
        <v>17.2575</v>
      </c>
      <c r="CO304" s="4">
        <v>18.071498999999999</v>
      </c>
      <c r="CP304" s="4">
        <v>19.267749999999999</v>
      </c>
      <c r="CQ304" s="4">
        <v>0.366757</v>
      </c>
      <c r="CR304" s="4">
        <v>10.445186</v>
      </c>
      <c r="CS304" s="4">
        <v>12.044874999999999</v>
      </c>
      <c r="CT304" s="1">
        <v>1</v>
      </c>
      <c r="CU304" s="1">
        <v>47</v>
      </c>
      <c r="CV304" s="4">
        <v>13.042688999999999</v>
      </c>
      <c r="CW304" s="4">
        <v>9.7619050000000005</v>
      </c>
      <c r="CX304" s="4">
        <v>9.8481299999999994</v>
      </c>
      <c r="CY304" s="4">
        <v>96.985662000000005</v>
      </c>
      <c r="CZ304" s="4">
        <v>0.75506899999999999</v>
      </c>
      <c r="DA304" s="4">
        <v>11</v>
      </c>
      <c r="DB304" s="4">
        <v>1.04505</v>
      </c>
      <c r="DC304" s="4">
        <v>3.2922579999999999</v>
      </c>
      <c r="DD304" s="4">
        <v>7.6617759999999997</v>
      </c>
      <c r="DE304" s="4">
        <v>13.042688999999999</v>
      </c>
      <c r="DF304" s="4">
        <v>5.314514</v>
      </c>
      <c r="DG304" s="4">
        <v>1.3039700000000001</v>
      </c>
      <c r="DH304" s="4">
        <v>0.66973199999999999</v>
      </c>
      <c r="DI304" s="4">
        <v>0.40747100000000003</v>
      </c>
      <c r="DJ304" s="4">
        <v>0.24535999999999999</v>
      </c>
      <c r="DK304" s="4">
        <v>0.12601899999999999</v>
      </c>
      <c r="DL304" s="4">
        <v>1</v>
      </c>
      <c r="DM304" s="4">
        <v>1</v>
      </c>
      <c r="DN304" s="4">
        <v>3</v>
      </c>
      <c r="DO304" s="4">
        <v>5</v>
      </c>
      <c r="DP304" s="4">
        <v>6</v>
      </c>
      <c r="DQ304" s="4">
        <v>7</v>
      </c>
      <c r="DR304" s="4">
        <v>9</v>
      </c>
      <c r="DS304" s="4">
        <v>11</v>
      </c>
      <c r="DT304" s="4">
        <v>12</v>
      </c>
      <c r="DU304" s="4">
        <v>15</v>
      </c>
      <c r="DV304" s="4">
        <v>17</v>
      </c>
      <c r="DW304" s="4">
        <v>20</v>
      </c>
      <c r="DX304" s="4">
        <v>30</v>
      </c>
      <c r="DY304" s="4">
        <v>34</v>
      </c>
      <c r="DZ304" s="4">
        <v>39</v>
      </c>
      <c r="EA304" s="4">
        <v>74.038461999999996</v>
      </c>
      <c r="EB304" s="4">
        <v>47.865554000000003</v>
      </c>
      <c r="EC304" s="4">
        <v>78.165064000000001</v>
      </c>
      <c r="ED304" s="4">
        <v>1848</v>
      </c>
      <c r="EE304" s="4">
        <v>1951</v>
      </c>
      <c r="EF304" s="4">
        <v>70.432692000000003</v>
      </c>
      <c r="EG304" s="4">
        <v>99.959935999999999</v>
      </c>
      <c r="EH304" s="4">
        <v>44.185476000000001</v>
      </c>
      <c r="EI304" s="4">
        <v>94.357213000000002</v>
      </c>
      <c r="EJ304" s="4">
        <v>72.155449000000004</v>
      </c>
      <c r="EK304" s="4">
        <v>154.08653799999999</v>
      </c>
      <c r="EL304" s="4">
        <v>1758</v>
      </c>
      <c r="EM304" s="4">
        <v>2495</v>
      </c>
      <c r="EN304" s="4">
        <v>1801</v>
      </c>
      <c r="EO304" s="4">
        <v>3846</v>
      </c>
      <c r="EP304" s="4">
        <v>2496</v>
      </c>
      <c r="EQ304" s="4">
        <v>4076</v>
      </c>
      <c r="ER304" s="4">
        <v>35.687347000000003</v>
      </c>
    </row>
    <row r="305" spans="1:148" x14ac:dyDescent="0.2">
      <c r="A305" s="1">
        <v>2022</v>
      </c>
      <c r="B305" s="1" t="str">
        <f t="shared" si="8"/>
        <v>GN</v>
      </c>
      <c r="C305" s="1" t="s">
        <v>1493</v>
      </c>
      <c r="D305" s="1" t="s">
        <v>1493</v>
      </c>
      <c r="E305" s="1">
        <v>27221</v>
      </c>
      <c r="F305" s="1" t="s">
        <v>2157</v>
      </c>
      <c r="G305" s="1" t="s">
        <v>1494</v>
      </c>
      <c r="H305" s="1" t="s">
        <v>1495</v>
      </c>
      <c r="I305" s="1">
        <v>45.04</v>
      </c>
      <c r="J305" s="1">
        <v>45.04</v>
      </c>
      <c r="K305" s="1" t="s">
        <v>264</v>
      </c>
      <c r="L305" s="1">
        <v>1</v>
      </c>
      <c r="M305" s="1">
        <v>2019</v>
      </c>
      <c r="N305" s="1">
        <v>4</v>
      </c>
      <c r="O305" s="1">
        <v>1</v>
      </c>
      <c r="P305" s="1" t="str">
        <f t="shared" si="9"/>
        <v>Alto fuste</v>
      </c>
      <c r="Q305" s="2">
        <v>43637</v>
      </c>
      <c r="R305" s="1" t="s">
        <v>169</v>
      </c>
      <c r="S305" s="1" t="s">
        <v>403</v>
      </c>
      <c r="T305" s="1" t="s">
        <v>2268</v>
      </c>
      <c r="U305" s="1" t="s">
        <v>266</v>
      </c>
      <c r="V305" s="1" t="s">
        <v>152</v>
      </c>
      <c r="W305" s="2">
        <v>44714</v>
      </c>
      <c r="X305" s="1" t="s">
        <v>1496</v>
      </c>
      <c r="Y305" s="1">
        <v>403.97</v>
      </c>
      <c r="Z305" s="1">
        <v>19</v>
      </c>
      <c r="AA305" s="1">
        <v>9</v>
      </c>
      <c r="AB305" s="1">
        <v>15.3</v>
      </c>
      <c r="AC305" s="1">
        <v>2</v>
      </c>
      <c r="AD305" s="3">
        <v>290.7</v>
      </c>
      <c r="AE305" s="3">
        <v>286.94609425518399</v>
      </c>
      <c r="AF305" s="2">
        <v>44714</v>
      </c>
      <c r="AG305" s="1">
        <v>36</v>
      </c>
      <c r="AH305" s="3">
        <v>2.94866529774127</v>
      </c>
      <c r="AI305" s="4">
        <v>22.983438910068099</v>
      </c>
      <c r="AJ305" s="4">
        <v>14.12</v>
      </c>
      <c r="AK305" s="4">
        <v>16.516440658688001</v>
      </c>
      <c r="AL305" s="1">
        <v>30</v>
      </c>
      <c r="AM305" s="5">
        <v>1045.4925367731501</v>
      </c>
      <c r="AN305" s="4">
        <v>168.59900279976401</v>
      </c>
      <c r="AO305" s="4">
        <v>0.16126275116236999</v>
      </c>
      <c r="AP305" s="1" t="s">
        <v>403</v>
      </c>
      <c r="AQ305" s="1" t="s">
        <v>156</v>
      </c>
      <c r="AR305" s="1" t="s">
        <v>270</v>
      </c>
      <c r="AS305" s="1">
        <v>9</v>
      </c>
      <c r="AT305" s="4">
        <v>0.94094328309583508</v>
      </c>
      <c r="AU305" s="1" t="s">
        <v>1497</v>
      </c>
      <c r="AV305" s="1" t="s">
        <v>1498</v>
      </c>
      <c r="AW305" s="1">
        <v>3823</v>
      </c>
      <c r="AX305" s="1">
        <v>2631</v>
      </c>
      <c r="AY305" s="1">
        <v>1135</v>
      </c>
      <c r="AZ305" s="1">
        <v>57</v>
      </c>
      <c r="BA305" s="1">
        <v>0</v>
      </c>
      <c r="BB305" s="1">
        <v>0</v>
      </c>
      <c r="BC305" s="1">
        <v>0</v>
      </c>
      <c r="BD305" s="1">
        <v>0</v>
      </c>
      <c r="BE305" s="1">
        <v>0</v>
      </c>
      <c r="BF305" s="1">
        <v>0</v>
      </c>
      <c r="BG305" s="1">
        <v>0</v>
      </c>
      <c r="BH305" s="4">
        <v>-0.79400000000000004</v>
      </c>
      <c r="BI305" s="4">
        <v>20.533000999999999</v>
      </c>
      <c r="BJ305" s="4">
        <v>12.233027999999999</v>
      </c>
      <c r="BK305" s="4">
        <v>-0.116952</v>
      </c>
      <c r="BL305" s="4">
        <v>7.7460430000000002</v>
      </c>
      <c r="BM305" s="4">
        <v>60.001185999999997</v>
      </c>
      <c r="BN305" s="4">
        <v>0.63320699999999996</v>
      </c>
      <c r="BO305" s="4">
        <v>17.311499000000001</v>
      </c>
      <c r="BP305" s="4">
        <v>-0.87553199999999998</v>
      </c>
      <c r="BQ305" s="4">
        <v>1.8907510000000001</v>
      </c>
      <c r="BR305" s="4">
        <v>6.9114329999999997</v>
      </c>
      <c r="BS305" s="4">
        <v>1.6860010000000001</v>
      </c>
      <c r="BT305" s="4">
        <v>16.392952000000001</v>
      </c>
      <c r="BU305" s="4">
        <v>12.233027999999999</v>
      </c>
      <c r="BV305" s="4">
        <v>3.8870269999999998</v>
      </c>
      <c r="BW305" s="4">
        <v>-1.167513</v>
      </c>
      <c r="BX305" s="4">
        <v>-5.7708000000000002E-2</v>
      </c>
      <c r="BY305" s="4">
        <v>0.317749</v>
      </c>
      <c r="BZ305" s="4">
        <v>-0.30036099999999999</v>
      </c>
      <c r="CA305" s="4">
        <v>-1.4846E-2</v>
      </c>
      <c r="CB305" s="4">
        <v>-0.39678000000000002</v>
      </c>
      <c r="CC305" s="4">
        <v>-0.17180000000000001</v>
      </c>
      <c r="CD305" s="4">
        <v>-4.4999999999999998E-2</v>
      </c>
      <c r="CE305" s="4">
        <v>0.14199999999999999</v>
      </c>
      <c r="CF305" s="4">
        <v>0.27400000000000002</v>
      </c>
      <c r="CG305" s="4">
        <v>14.108999000000001</v>
      </c>
      <c r="CH305" s="4">
        <v>15.7448</v>
      </c>
      <c r="CI305" s="4">
        <v>16.275998999999999</v>
      </c>
      <c r="CJ305" s="4">
        <v>16.813400000000001</v>
      </c>
      <c r="CK305" s="4">
        <v>17.323999000000001</v>
      </c>
      <c r="CL305" s="4">
        <v>17.585498999999999</v>
      </c>
      <c r="CM305" s="4">
        <v>17.911200000000001</v>
      </c>
      <c r="CN305" s="4">
        <v>18.775798999999999</v>
      </c>
      <c r="CO305" s="4">
        <v>19.280000999999999</v>
      </c>
      <c r="CP305" s="4">
        <v>19.893559</v>
      </c>
      <c r="CQ305" s="4">
        <v>0.610823</v>
      </c>
      <c r="CR305" s="4">
        <v>14.47869</v>
      </c>
      <c r="CS305" s="4">
        <v>15.361908</v>
      </c>
      <c r="CT305" s="1">
        <v>1</v>
      </c>
      <c r="CU305" s="1">
        <v>58</v>
      </c>
      <c r="CV305" s="4">
        <v>20.328538000000002</v>
      </c>
      <c r="CW305" s="4">
        <v>24.523810000000001</v>
      </c>
      <c r="CX305" s="4">
        <v>11.31</v>
      </c>
      <c r="CY305" s="4">
        <v>127.916106</v>
      </c>
      <c r="CZ305" s="4">
        <v>0.55636099999999999</v>
      </c>
      <c r="DA305" s="4">
        <v>19</v>
      </c>
      <c r="DB305" s="4">
        <v>-0.210007</v>
      </c>
      <c r="DC305" s="4">
        <v>2.0810559999999998</v>
      </c>
      <c r="DD305" s="4">
        <v>9.5519309999999997</v>
      </c>
      <c r="DE305" s="4">
        <v>20.328538000000002</v>
      </c>
      <c r="DF305" s="4">
        <v>6.4310890000000001</v>
      </c>
      <c r="DG305" s="4">
        <v>-0.44815100000000002</v>
      </c>
      <c r="DH305" s="4">
        <v>0.24398</v>
      </c>
      <c r="DI305" s="4">
        <v>0.31635799999999997</v>
      </c>
      <c r="DJ305" s="4">
        <v>-6.9684999999999997E-2</v>
      </c>
      <c r="DK305" s="4">
        <v>3.7938E-2</v>
      </c>
      <c r="DL305" s="4">
        <v>1</v>
      </c>
      <c r="DM305" s="4">
        <v>2</v>
      </c>
      <c r="DN305" s="4">
        <v>3</v>
      </c>
      <c r="DO305" s="4">
        <v>7</v>
      </c>
      <c r="DP305" s="4">
        <v>10</v>
      </c>
      <c r="DQ305" s="4">
        <v>14</v>
      </c>
      <c r="DR305" s="4">
        <v>19</v>
      </c>
      <c r="DS305" s="4">
        <v>23</v>
      </c>
      <c r="DT305" s="4">
        <v>25</v>
      </c>
      <c r="DU305" s="4">
        <v>27.399902000000001</v>
      </c>
      <c r="DV305" s="4">
        <v>29</v>
      </c>
      <c r="DW305" s="4">
        <v>30</v>
      </c>
      <c r="DX305" s="4">
        <v>34</v>
      </c>
      <c r="DY305" s="4">
        <v>37</v>
      </c>
      <c r="DZ305" s="4">
        <v>42</v>
      </c>
      <c r="EA305" s="4">
        <v>99.429874999999996</v>
      </c>
      <c r="EB305" s="4">
        <v>72.194612000000006</v>
      </c>
      <c r="EC305" s="4">
        <v>104.90307900000001</v>
      </c>
      <c r="ED305" s="4">
        <v>2616</v>
      </c>
      <c r="EE305" s="4">
        <v>2760</v>
      </c>
      <c r="EF305" s="4">
        <v>99.277840999999995</v>
      </c>
      <c r="EG305" s="4">
        <v>100</v>
      </c>
      <c r="EH305" s="4">
        <v>70.755950999999996</v>
      </c>
      <c r="EI305" s="4">
        <v>93.251373000000001</v>
      </c>
      <c r="EJ305" s="4">
        <v>102.812619</v>
      </c>
      <c r="EK305" s="4">
        <v>135.49981</v>
      </c>
      <c r="EL305" s="4">
        <v>2612</v>
      </c>
      <c r="EM305" s="4">
        <v>2631</v>
      </c>
      <c r="EN305" s="4">
        <v>2705</v>
      </c>
      <c r="EO305" s="4">
        <v>3565</v>
      </c>
      <c r="EP305" s="4">
        <v>2631</v>
      </c>
      <c r="EQ305" s="4">
        <v>3823</v>
      </c>
      <c r="ER305" s="4">
        <v>60.624817999999998</v>
      </c>
    </row>
    <row r="306" spans="1:148" x14ac:dyDescent="0.2">
      <c r="A306" s="1">
        <v>2022</v>
      </c>
      <c r="B306" s="1" t="str">
        <f t="shared" si="8"/>
        <v>NE</v>
      </c>
      <c r="C306" s="1" t="s">
        <v>1499</v>
      </c>
      <c r="D306" s="1" t="s">
        <v>1499</v>
      </c>
      <c r="E306" s="1">
        <v>27270</v>
      </c>
      <c r="F306" s="1" t="s">
        <v>2158</v>
      </c>
      <c r="G306" s="1" t="s">
        <v>1035</v>
      </c>
      <c r="H306" s="1" t="s">
        <v>1500</v>
      </c>
      <c r="I306" s="1">
        <v>32.31</v>
      </c>
      <c r="J306" s="1">
        <v>32.31</v>
      </c>
      <c r="K306" s="1" t="s">
        <v>1022</v>
      </c>
      <c r="L306" s="1">
        <v>1</v>
      </c>
      <c r="M306" s="1">
        <v>2019</v>
      </c>
      <c r="N306" s="1">
        <v>3</v>
      </c>
      <c r="O306" s="1">
        <v>1</v>
      </c>
      <c r="P306" s="1" t="str">
        <f t="shared" si="9"/>
        <v>Alto fuste</v>
      </c>
      <c r="Q306" s="2">
        <v>43573</v>
      </c>
      <c r="R306" s="1" t="s">
        <v>169</v>
      </c>
      <c r="S306" s="1" t="s">
        <v>163</v>
      </c>
      <c r="T306" s="1" t="s">
        <v>2268</v>
      </c>
      <c r="U306" s="1" t="s">
        <v>1022</v>
      </c>
      <c r="V306" s="1" t="s">
        <v>152</v>
      </c>
      <c r="W306" s="2">
        <v>44824</v>
      </c>
      <c r="X306" s="1" t="s">
        <v>1037</v>
      </c>
      <c r="Y306" s="1">
        <v>237.13</v>
      </c>
      <c r="Z306" s="1">
        <v>19.2</v>
      </c>
      <c r="AA306" s="1">
        <v>7</v>
      </c>
      <c r="AB306" s="1">
        <v>15</v>
      </c>
      <c r="AC306" s="1">
        <v>1</v>
      </c>
      <c r="AD306" s="3">
        <v>288</v>
      </c>
      <c r="AE306" s="3">
        <v>285.80975483181697</v>
      </c>
      <c r="AF306" s="2">
        <v>44824</v>
      </c>
      <c r="AG306" s="1">
        <v>41</v>
      </c>
      <c r="AH306" s="3">
        <v>3.42505133470226</v>
      </c>
      <c r="AI306" s="4">
        <v>22.9686954154677</v>
      </c>
      <c r="AJ306" s="4">
        <v>15.290322580645199</v>
      </c>
      <c r="AK306" s="4">
        <v>20.331390325510601</v>
      </c>
      <c r="AL306" s="1">
        <v>31</v>
      </c>
      <c r="AM306" s="5">
        <v>1084.6375771268399</v>
      </c>
      <c r="AN306" s="4">
        <v>205.432902484827</v>
      </c>
      <c r="AO306" s="4">
        <v>0.189402346753474</v>
      </c>
      <c r="AP306" s="1" t="s">
        <v>163</v>
      </c>
      <c r="AQ306" s="1" t="s">
        <v>156</v>
      </c>
      <c r="AR306" s="1" t="s">
        <v>1050</v>
      </c>
      <c r="AS306" s="1">
        <v>9</v>
      </c>
      <c r="AT306" s="4">
        <v>0.97617381941415593</v>
      </c>
      <c r="AU306" s="1" t="s">
        <v>1501</v>
      </c>
      <c r="AV306" s="1" t="s">
        <v>1502</v>
      </c>
      <c r="AW306" s="1">
        <v>4842</v>
      </c>
      <c r="AX306" s="1">
        <v>2625</v>
      </c>
      <c r="AY306" s="1">
        <v>1960</v>
      </c>
      <c r="AZ306" s="1">
        <v>248</v>
      </c>
      <c r="BA306" s="1">
        <v>9</v>
      </c>
      <c r="BB306" s="1">
        <v>0</v>
      </c>
      <c r="BC306" s="1">
        <v>0</v>
      </c>
      <c r="BD306" s="1">
        <v>0</v>
      </c>
      <c r="BE306" s="1">
        <v>0</v>
      </c>
      <c r="BF306" s="1">
        <v>0</v>
      </c>
      <c r="BG306" s="1">
        <v>0</v>
      </c>
      <c r="BH306" s="4">
        <v>-1.0529999999999999</v>
      </c>
      <c r="BI306" s="4">
        <v>22.584999</v>
      </c>
      <c r="BJ306" s="4">
        <v>10.738204</v>
      </c>
      <c r="BK306" s="4">
        <v>-0.30258699999999999</v>
      </c>
      <c r="BL306" s="4">
        <v>9.5459180000000003</v>
      </c>
      <c r="BM306" s="4">
        <v>91.124556999999996</v>
      </c>
      <c r="BN306" s="4">
        <v>0.88896799999999998</v>
      </c>
      <c r="BO306" s="4">
        <v>19.771750999999998</v>
      </c>
      <c r="BP306" s="4">
        <v>-0.15965799999999999</v>
      </c>
      <c r="BQ306" s="4">
        <v>1.118152</v>
      </c>
      <c r="BR306" s="4">
        <v>9.2826489999999993</v>
      </c>
      <c r="BS306" s="4">
        <v>4.5519999999999996</v>
      </c>
      <c r="BT306" s="4">
        <v>17.249088</v>
      </c>
      <c r="BU306" s="4">
        <v>10.738204</v>
      </c>
      <c r="BV306" s="4">
        <v>5.0665839999999998</v>
      </c>
      <c r="BW306" s="4">
        <v>-0.21620500000000001</v>
      </c>
      <c r="BX306" s="4">
        <v>-1.0146010000000001</v>
      </c>
      <c r="BY306" s="4">
        <v>0.47182800000000003</v>
      </c>
      <c r="BZ306" s="4">
        <v>-4.2673000000000003E-2</v>
      </c>
      <c r="CA306" s="4">
        <v>-0.20025299999999999</v>
      </c>
      <c r="CB306" s="4">
        <v>-0.46536</v>
      </c>
      <c r="CC306" s="4">
        <v>-0.21299999999999999</v>
      </c>
      <c r="CD306" s="4">
        <v>-0.10299999999999999</v>
      </c>
      <c r="CE306" s="4">
        <v>3.0000000000000001E-3</v>
      </c>
      <c r="CF306" s="4">
        <v>0.05</v>
      </c>
      <c r="CG306" s="4">
        <v>9.7299999999999998E-2</v>
      </c>
      <c r="CH306" s="4">
        <v>0.26440000000000002</v>
      </c>
      <c r="CI306" s="4">
        <v>16.946498999999999</v>
      </c>
      <c r="CJ306" s="4">
        <v>18.713799999999999</v>
      </c>
      <c r="CK306" s="4">
        <v>19.503401</v>
      </c>
      <c r="CL306" s="4">
        <v>19.821750999999999</v>
      </c>
      <c r="CM306" s="4">
        <v>20.131799999999998</v>
      </c>
      <c r="CN306" s="4">
        <v>20.771899999999999</v>
      </c>
      <c r="CO306" s="4">
        <v>21.202998999999998</v>
      </c>
      <c r="CP306" s="4">
        <v>21.834589000000001</v>
      </c>
      <c r="CQ306" s="4">
        <v>0.49882399999999999</v>
      </c>
      <c r="CR306" s="4">
        <v>14.367141999999999</v>
      </c>
      <c r="CS306" s="4">
        <v>15.919245</v>
      </c>
      <c r="CT306" s="1">
        <v>1</v>
      </c>
      <c r="CU306" s="1">
        <v>59</v>
      </c>
      <c r="CV306" s="4">
        <v>13.935563999999999</v>
      </c>
      <c r="CW306" s="4">
        <v>17.571428999999998</v>
      </c>
      <c r="CX306" s="4">
        <v>8.9912609999999997</v>
      </c>
      <c r="CY306" s="4">
        <v>80.842780000000005</v>
      </c>
      <c r="CZ306" s="4">
        <v>0.64520299999999997</v>
      </c>
      <c r="DA306" s="4">
        <v>13</v>
      </c>
      <c r="DB306" s="4">
        <v>0.81821600000000005</v>
      </c>
      <c r="DC306" s="4">
        <v>3.9655079999999998</v>
      </c>
      <c r="DD306" s="4">
        <v>7.2743890000000002</v>
      </c>
      <c r="DE306" s="4">
        <v>13.935563999999999</v>
      </c>
      <c r="DF306" s="4">
        <v>4.9843029999999997</v>
      </c>
      <c r="DG306" s="4">
        <v>0.62674600000000003</v>
      </c>
      <c r="DH306" s="4">
        <v>0.424205</v>
      </c>
      <c r="DI306" s="4">
        <v>0.35766799999999999</v>
      </c>
      <c r="DJ306" s="4">
        <v>0.12574399999999999</v>
      </c>
      <c r="DK306" s="4">
        <v>8.5108000000000003E-2</v>
      </c>
      <c r="DL306" s="4">
        <v>1</v>
      </c>
      <c r="DM306" s="4">
        <v>2</v>
      </c>
      <c r="DN306" s="4">
        <v>3</v>
      </c>
      <c r="DO306" s="4">
        <v>5</v>
      </c>
      <c r="DP306" s="4">
        <v>7</v>
      </c>
      <c r="DQ306" s="4">
        <v>8</v>
      </c>
      <c r="DR306" s="4">
        <v>10</v>
      </c>
      <c r="DS306" s="4">
        <v>13</v>
      </c>
      <c r="DT306" s="4">
        <v>16</v>
      </c>
      <c r="DU306" s="4">
        <v>18</v>
      </c>
      <c r="DV306" s="4">
        <v>20</v>
      </c>
      <c r="DW306" s="4">
        <v>21</v>
      </c>
      <c r="DX306" s="4">
        <v>25</v>
      </c>
      <c r="DY306" s="4">
        <v>29</v>
      </c>
      <c r="DZ306" s="4">
        <v>41</v>
      </c>
      <c r="EA306" s="4">
        <v>96.876189999999994</v>
      </c>
      <c r="EB306" s="4">
        <v>57.703428000000002</v>
      </c>
      <c r="EC306" s="4">
        <v>106.438095</v>
      </c>
      <c r="ED306" s="4">
        <v>2543</v>
      </c>
      <c r="EE306" s="4">
        <v>2794</v>
      </c>
      <c r="EF306" s="4">
        <v>94.971429000000001</v>
      </c>
      <c r="EG306" s="4">
        <v>100</v>
      </c>
      <c r="EH306" s="4">
        <v>53.758777000000002</v>
      </c>
      <c r="EI306" s="4">
        <v>97.232549000000006</v>
      </c>
      <c r="EJ306" s="4">
        <v>99.161905000000004</v>
      </c>
      <c r="EK306" s="4">
        <v>179.35238100000001</v>
      </c>
      <c r="EL306" s="4">
        <v>2493</v>
      </c>
      <c r="EM306" s="4">
        <v>2625</v>
      </c>
      <c r="EN306" s="4">
        <v>2603</v>
      </c>
      <c r="EO306" s="4">
        <v>4708</v>
      </c>
      <c r="EP306" s="4">
        <v>2625</v>
      </c>
      <c r="EQ306" s="4">
        <v>4842</v>
      </c>
      <c r="ER306" s="4">
        <v>48.292586</v>
      </c>
    </row>
    <row r="307" spans="1:148" x14ac:dyDescent="0.2">
      <c r="A307" s="1">
        <v>2022</v>
      </c>
      <c r="B307" s="1" t="str">
        <f t="shared" si="8"/>
        <v>NE</v>
      </c>
      <c r="C307" s="1" t="s">
        <v>1503</v>
      </c>
      <c r="D307" s="1" t="s">
        <v>1503</v>
      </c>
      <c r="E307" s="1">
        <v>27495</v>
      </c>
      <c r="F307" s="1" t="s">
        <v>2158</v>
      </c>
      <c r="G307" s="1" t="s">
        <v>1035</v>
      </c>
      <c r="H307" s="1" t="s">
        <v>1504</v>
      </c>
      <c r="I307" s="1">
        <v>47.89</v>
      </c>
      <c r="J307" s="1">
        <v>47.89</v>
      </c>
      <c r="K307" s="1" t="s">
        <v>1022</v>
      </c>
      <c r="L307" s="1">
        <v>1</v>
      </c>
      <c r="M307" s="1">
        <v>2019</v>
      </c>
      <c r="N307" s="1">
        <v>3</v>
      </c>
      <c r="O307" s="1">
        <v>1</v>
      </c>
      <c r="P307" s="1" t="str">
        <f t="shared" si="9"/>
        <v>Alto fuste</v>
      </c>
      <c r="Q307" s="2">
        <v>43571</v>
      </c>
      <c r="R307" s="1" t="s">
        <v>169</v>
      </c>
      <c r="S307" s="1" t="s">
        <v>651</v>
      </c>
      <c r="T307" s="1" t="s">
        <v>2268</v>
      </c>
      <c r="U307" s="1" t="s">
        <v>1022</v>
      </c>
      <c r="V307" s="1" t="s">
        <v>152</v>
      </c>
      <c r="W307" s="2">
        <v>44824</v>
      </c>
      <c r="X307" s="1" t="s">
        <v>1037</v>
      </c>
      <c r="Y307" s="1">
        <v>237.13</v>
      </c>
      <c r="Z307" s="1">
        <v>19</v>
      </c>
      <c r="AA307" s="1">
        <v>5</v>
      </c>
      <c r="AB307" s="1">
        <v>15.2</v>
      </c>
      <c r="AC307" s="1">
        <v>0</v>
      </c>
      <c r="AD307" s="3">
        <v>288.8</v>
      </c>
      <c r="AE307" s="3">
        <v>287.70102880889601</v>
      </c>
      <c r="AF307" s="2">
        <v>44824</v>
      </c>
      <c r="AG307" s="1">
        <v>41</v>
      </c>
      <c r="AH307" s="3">
        <v>3.4305270362765201</v>
      </c>
      <c r="AI307" s="4">
        <v>19.056892436602901</v>
      </c>
      <c r="AJ307" s="4">
        <v>14.7458333333333</v>
      </c>
      <c r="AK307" s="4">
        <v>14.530578441494599</v>
      </c>
      <c r="AL307" s="1">
        <v>24</v>
      </c>
      <c r="AM307" s="5">
        <v>834.19931097785104</v>
      </c>
      <c r="AN307" s="4">
        <v>120.21883212524099</v>
      </c>
      <c r="AO307" s="4">
        <v>0.14411284035264901</v>
      </c>
      <c r="AP307" s="1" t="s">
        <v>651</v>
      </c>
      <c r="AQ307" s="1" t="s">
        <v>156</v>
      </c>
      <c r="AR307" s="1" t="s">
        <v>388</v>
      </c>
      <c r="AS307" s="1">
        <v>9</v>
      </c>
      <c r="AT307" s="4">
        <v>0.75077937988006593</v>
      </c>
      <c r="AU307" s="1" t="s">
        <v>1505</v>
      </c>
      <c r="AV307" s="1" t="s">
        <v>1506</v>
      </c>
      <c r="AW307" s="1">
        <v>5679</v>
      </c>
      <c r="AX307" s="1">
        <v>2788</v>
      </c>
      <c r="AY307" s="1">
        <v>2659</v>
      </c>
      <c r="AZ307" s="1">
        <v>225</v>
      </c>
      <c r="BA307" s="1">
        <v>7</v>
      </c>
      <c r="BB307" s="1">
        <v>0</v>
      </c>
      <c r="BC307" s="1">
        <v>0</v>
      </c>
      <c r="BD307" s="1">
        <v>0</v>
      </c>
      <c r="BE307" s="1">
        <v>0</v>
      </c>
      <c r="BF307" s="1">
        <v>0</v>
      </c>
      <c r="BG307" s="1">
        <v>0</v>
      </c>
      <c r="BH307" s="4">
        <v>-0.97</v>
      </c>
      <c r="BI307" s="4">
        <v>22.023001000000001</v>
      </c>
      <c r="BJ307" s="4">
        <v>7.7828720000000002</v>
      </c>
      <c r="BK307" s="4">
        <v>-0.240063</v>
      </c>
      <c r="BL307" s="4">
        <v>8.7102170000000001</v>
      </c>
      <c r="BM307" s="4">
        <v>75.867873000000003</v>
      </c>
      <c r="BN307" s="4">
        <v>1.1191519999999999</v>
      </c>
      <c r="BO307" s="4">
        <v>17.649501000000001</v>
      </c>
      <c r="BP307" s="4">
        <v>0.30300300000000002</v>
      </c>
      <c r="BQ307" s="4">
        <v>1.1997040000000001</v>
      </c>
      <c r="BR307" s="4">
        <v>8.4492879999999992</v>
      </c>
      <c r="BS307" s="4">
        <v>0.43099999999999999</v>
      </c>
      <c r="BT307" s="4">
        <v>0.457063</v>
      </c>
      <c r="BU307" s="4">
        <v>7.7828720000000002</v>
      </c>
      <c r="BV307" s="4">
        <v>4.5690059999999999</v>
      </c>
      <c r="BW307" s="4">
        <v>0.80365699999999995</v>
      </c>
      <c r="BX307" s="4">
        <v>-0.78041300000000002</v>
      </c>
      <c r="BY307" s="4">
        <v>0.587059</v>
      </c>
      <c r="BZ307" s="4">
        <v>0.17589299999999999</v>
      </c>
      <c r="CA307" s="4">
        <v>-0.17080600000000001</v>
      </c>
      <c r="CB307" s="4">
        <v>-0.39844000000000002</v>
      </c>
      <c r="CC307" s="4">
        <v>-0.19309999999999999</v>
      </c>
      <c r="CD307" s="4">
        <v>-0.11600000000000001</v>
      </c>
      <c r="CE307" s="4">
        <v>-0.03</v>
      </c>
      <c r="CF307" s="4">
        <v>1E-3</v>
      </c>
      <c r="CG307" s="4">
        <v>3.3000000000000002E-2</v>
      </c>
      <c r="CH307" s="4">
        <v>0.10199999999999999</v>
      </c>
      <c r="CI307" s="4">
        <v>0.215</v>
      </c>
      <c r="CJ307" s="4">
        <v>13.834201</v>
      </c>
      <c r="CK307" s="4">
        <v>17.024801</v>
      </c>
      <c r="CL307" s="4">
        <v>17.650500999999998</v>
      </c>
      <c r="CM307" s="4">
        <v>18.166799999999999</v>
      </c>
      <c r="CN307" s="4">
        <v>19.155401000000001</v>
      </c>
      <c r="CO307" s="4">
        <v>19.665901000000002</v>
      </c>
      <c r="CP307" s="4">
        <v>20.71088</v>
      </c>
      <c r="CQ307" s="4">
        <v>0.38067600000000001</v>
      </c>
      <c r="CR307" s="4">
        <v>11.680223</v>
      </c>
      <c r="CS307" s="4">
        <v>13.467641</v>
      </c>
      <c r="CT307" s="1">
        <v>1</v>
      </c>
      <c r="CU307" s="1">
        <v>62</v>
      </c>
      <c r="CV307" s="4">
        <v>17.660328</v>
      </c>
      <c r="CW307" s="4">
        <v>2.9365079999999999</v>
      </c>
      <c r="CX307" s="4">
        <v>11.975949</v>
      </c>
      <c r="CY307" s="4">
        <v>143.423348</v>
      </c>
      <c r="CZ307" s="4">
        <v>0.67812700000000004</v>
      </c>
      <c r="DA307" s="4">
        <v>16</v>
      </c>
      <c r="DB307" s="4">
        <v>0.79570300000000005</v>
      </c>
      <c r="DC307" s="4">
        <v>3.176739</v>
      </c>
      <c r="DD307" s="4">
        <v>9.5415799999999997</v>
      </c>
      <c r="DE307" s="4">
        <v>17.660328</v>
      </c>
      <c r="DF307" s="4">
        <v>6.6471830000000001</v>
      </c>
      <c r="DG307" s="4">
        <v>1.080292</v>
      </c>
      <c r="DH307" s="4">
        <v>0.68938500000000003</v>
      </c>
      <c r="DI307" s="4">
        <v>0.37639099999999998</v>
      </c>
      <c r="DJ307" s="4">
        <v>0.162519</v>
      </c>
      <c r="DK307" s="4">
        <v>0.103711</v>
      </c>
      <c r="DL307" s="4">
        <v>1</v>
      </c>
      <c r="DM307" s="4">
        <v>2</v>
      </c>
      <c r="DN307" s="4">
        <v>3</v>
      </c>
      <c r="DO307" s="4">
        <v>6</v>
      </c>
      <c r="DP307" s="4">
        <v>8</v>
      </c>
      <c r="DQ307" s="4">
        <v>10</v>
      </c>
      <c r="DR307" s="4">
        <v>13</v>
      </c>
      <c r="DS307" s="4">
        <v>16</v>
      </c>
      <c r="DT307" s="4">
        <v>19</v>
      </c>
      <c r="DU307" s="4">
        <v>22</v>
      </c>
      <c r="DV307" s="4">
        <v>24</v>
      </c>
      <c r="DW307" s="4">
        <v>26.399902000000001</v>
      </c>
      <c r="DX307" s="4">
        <v>35</v>
      </c>
      <c r="DY307" s="4">
        <v>43</v>
      </c>
      <c r="DZ307" s="4">
        <v>50</v>
      </c>
      <c r="EA307" s="4">
        <v>85.688665999999998</v>
      </c>
      <c r="EB307" s="4">
        <v>45.923577999999999</v>
      </c>
      <c r="EC307" s="4">
        <v>93.543758999999994</v>
      </c>
      <c r="ED307" s="4">
        <v>2389</v>
      </c>
      <c r="EE307" s="4">
        <v>2608</v>
      </c>
      <c r="EF307" s="4">
        <v>85.007174000000006</v>
      </c>
      <c r="EG307" s="4">
        <v>99.964132000000006</v>
      </c>
      <c r="EH307" s="4">
        <v>44.497270999999998</v>
      </c>
      <c r="EI307" s="4">
        <v>96.742384000000001</v>
      </c>
      <c r="EJ307" s="4">
        <v>90.638451000000003</v>
      </c>
      <c r="EK307" s="4">
        <v>197.05882399999999</v>
      </c>
      <c r="EL307" s="4">
        <v>2370</v>
      </c>
      <c r="EM307" s="4">
        <v>2787</v>
      </c>
      <c r="EN307" s="4">
        <v>2527</v>
      </c>
      <c r="EO307" s="4">
        <v>5494</v>
      </c>
      <c r="EP307" s="4">
        <v>2788</v>
      </c>
      <c r="EQ307" s="4">
        <v>5679</v>
      </c>
      <c r="ER307" s="4">
        <v>36.619619</v>
      </c>
    </row>
    <row r="308" spans="1:148" x14ac:dyDescent="0.2">
      <c r="A308" s="1">
        <v>2022</v>
      </c>
      <c r="B308" s="1" t="str">
        <f t="shared" si="8"/>
        <v>NE</v>
      </c>
      <c r="C308" s="1" t="s">
        <v>1507</v>
      </c>
      <c r="D308" s="1" t="s">
        <v>1507</v>
      </c>
      <c r="E308" s="1">
        <v>27496</v>
      </c>
      <c r="F308" s="1" t="s">
        <v>2158</v>
      </c>
      <c r="G308" s="1" t="s">
        <v>1035</v>
      </c>
      <c r="H308" s="1" t="s">
        <v>1504</v>
      </c>
      <c r="I308" s="1">
        <v>47.89</v>
      </c>
      <c r="J308" s="1">
        <v>47.89</v>
      </c>
      <c r="K308" s="1" t="s">
        <v>1022</v>
      </c>
      <c r="L308" s="1">
        <v>1</v>
      </c>
      <c r="M308" s="1">
        <v>2019</v>
      </c>
      <c r="N308" s="1">
        <v>3</v>
      </c>
      <c r="O308" s="1">
        <v>1</v>
      </c>
      <c r="P308" s="1" t="str">
        <f t="shared" si="9"/>
        <v>Alto fuste</v>
      </c>
      <c r="Q308" s="2">
        <v>43571</v>
      </c>
      <c r="R308" s="1" t="s">
        <v>169</v>
      </c>
      <c r="S308" s="1" t="s">
        <v>651</v>
      </c>
      <c r="T308" s="1" t="s">
        <v>2268</v>
      </c>
      <c r="U308" s="1" t="s">
        <v>1022</v>
      </c>
      <c r="V308" s="1" t="s">
        <v>152</v>
      </c>
      <c r="W308" s="2">
        <v>44824</v>
      </c>
      <c r="X308" s="1" t="s">
        <v>1037</v>
      </c>
      <c r="Y308" s="1">
        <v>237.13</v>
      </c>
      <c r="Z308" s="1">
        <v>21</v>
      </c>
      <c r="AA308" s="1">
        <v>12</v>
      </c>
      <c r="AB308" s="1">
        <v>15.5</v>
      </c>
      <c r="AC308" s="1">
        <v>0</v>
      </c>
      <c r="AD308" s="3">
        <v>325.5</v>
      </c>
      <c r="AE308" s="3">
        <v>318.38704403885401</v>
      </c>
      <c r="AF308" s="2">
        <v>44824</v>
      </c>
      <c r="AG308" s="1">
        <v>41</v>
      </c>
      <c r="AH308" s="3">
        <v>3.4305270362765201</v>
      </c>
      <c r="AI308" s="4">
        <v>19.5758291979948</v>
      </c>
      <c r="AJ308" s="4">
        <v>13.67</v>
      </c>
      <c r="AK308" s="4">
        <v>14.2235129650673</v>
      </c>
      <c r="AL308" s="1">
        <v>30</v>
      </c>
      <c r="AM308" s="5">
        <v>942.24939618896701</v>
      </c>
      <c r="AN308" s="4">
        <v>123.625379528228</v>
      </c>
      <c r="AO308" s="4">
        <v>0.13120239718724599</v>
      </c>
      <c r="AP308" s="1" t="s">
        <v>651</v>
      </c>
      <c r="AQ308" s="1" t="s">
        <v>156</v>
      </c>
      <c r="AR308" s="1" t="s">
        <v>388</v>
      </c>
      <c r="AS308" s="1">
        <v>9</v>
      </c>
      <c r="AT308" s="4">
        <v>0.84802445657007031</v>
      </c>
      <c r="AU308" s="1" t="s">
        <v>1508</v>
      </c>
      <c r="AV308" s="1" t="s">
        <v>1509</v>
      </c>
      <c r="AW308" s="1">
        <v>5745</v>
      </c>
      <c r="AX308" s="1">
        <v>3082</v>
      </c>
      <c r="AY308" s="1">
        <v>2382</v>
      </c>
      <c r="AZ308" s="1">
        <v>271</v>
      </c>
      <c r="BA308" s="1">
        <v>10</v>
      </c>
      <c r="BB308" s="1">
        <v>0</v>
      </c>
      <c r="BC308" s="1">
        <v>0</v>
      </c>
      <c r="BD308" s="1">
        <v>0</v>
      </c>
      <c r="BE308" s="1">
        <v>0</v>
      </c>
      <c r="BF308" s="1">
        <v>0</v>
      </c>
      <c r="BG308" s="1">
        <v>0</v>
      </c>
      <c r="BH308" s="4">
        <v>-1.075</v>
      </c>
      <c r="BI308" s="4">
        <v>21.358000000000001</v>
      </c>
      <c r="BJ308" s="4">
        <v>9.3754019999999993</v>
      </c>
      <c r="BK308" s="4">
        <v>-6.7619999999999998E-3</v>
      </c>
      <c r="BL308" s="4">
        <v>8.6094810000000006</v>
      </c>
      <c r="BM308" s="4">
        <v>74.123158000000004</v>
      </c>
      <c r="BN308" s="4">
        <v>0.91830500000000004</v>
      </c>
      <c r="BO308" s="4">
        <v>17.861000000000001</v>
      </c>
      <c r="BP308" s="4">
        <v>-6.6854999999999998E-2</v>
      </c>
      <c r="BQ308" s="4">
        <v>1.137202</v>
      </c>
      <c r="BR308" s="4">
        <v>8.3509100000000007</v>
      </c>
      <c r="BS308" s="4">
        <v>7.0599990000000004</v>
      </c>
      <c r="BT308" s="4">
        <v>12.624762</v>
      </c>
      <c r="BU308" s="4">
        <v>9.3754019999999993</v>
      </c>
      <c r="BV308" s="4">
        <v>4.6374690000000003</v>
      </c>
      <c r="BW308" s="4">
        <v>5.1702999999999999E-2</v>
      </c>
      <c r="BX308" s="4">
        <v>-0.87451800000000002</v>
      </c>
      <c r="BY308" s="4">
        <v>0.49464200000000003</v>
      </c>
      <c r="BZ308" s="4">
        <v>1.1148999999999999E-2</v>
      </c>
      <c r="CA308" s="4">
        <v>-0.18857699999999999</v>
      </c>
      <c r="CB308" s="4">
        <v>-0.38956000000000002</v>
      </c>
      <c r="CC308" s="4">
        <v>-0.17080000000000001</v>
      </c>
      <c r="CD308" s="4">
        <v>-9.9000000000000005E-2</v>
      </c>
      <c r="CE308" s="4">
        <v>3.8E-3</v>
      </c>
      <c r="CF308" s="4">
        <v>4.9000000000000002E-2</v>
      </c>
      <c r="CG308" s="4">
        <v>9.4E-2</v>
      </c>
      <c r="CH308" s="4">
        <v>0.28499999999999998</v>
      </c>
      <c r="CI308" s="4">
        <v>12.618</v>
      </c>
      <c r="CJ308" s="4">
        <v>15.987</v>
      </c>
      <c r="CK308" s="4">
        <v>17.4084</v>
      </c>
      <c r="CL308" s="4">
        <v>17.91</v>
      </c>
      <c r="CM308" s="4">
        <v>18.344999000000001</v>
      </c>
      <c r="CN308" s="4">
        <v>19.153998999999999</v>
      </c>
      <c r="CO308" s="4">
        <v>19.681197999999998</v>
      </c>
      <c r="CP308" s="4">
        <v>20.555720999999998</v>
      </c>
      <c r="CQ308" s="4">
        <v>0.46584999999999999</v>
      </c>
      <c r="CR308" s="4">
        <v>12.728253</v>
      </c>
      <c r="CS308" s="4">
        <v>14.204254000000001</v>
      </c>
      <c r="CT308" s="1">
        <v>1</v>
      </c>
      <c r="CU308" s="1">
        <v>59</v>
      </c>
      <c r="CV308" s="4">
        <v>14.513664</v>
      </c>
      <c r="CW308" s="4">
        <v>3.7619050000000001</v>
      </c>
      <c r="CX308" s="4">
        <v>9.9113860000000003</v>
      </c>
      <c r="CY308" s="4">
        <v>98.235580999999996</v>
      </c>
      <c r="CZ308" s="4">
        <v>0.68289999999999995</v>
      </c>
      <c r="DA308" s="4">
        <v>13</v>
      </c>
      <c r="DB308" s="4">
        <v>1.0888359999999999</v>
      </c>
      <c r="DC308" s="4">
        <v>4.4406290000000004</v>
      </c>
      <c r="DD308" s="4">
        <v>7.7147870000000003</v>
      </c>
      <c r="DE308" s="4">
        <v>14.513664</v>
      </c>
      <c r="DF308" s="4">
        <v>5.383502</v>
      </c>
      <c r="DG308" s="4">
        <v>0.99745899999999998</v>
      </c>
      <c r="DH308" s="4">
        <v>0.675153</v>
      </c>
      <c r="DI308" s="4">
        <v>0.37092599999999998</v>
      </c>
      <c r="DJ308" s="4">
        <v>0.185281</v>
      </c>
      <c r="DK308" s="4">
        <v>0.12541099999999999</v>
      </c>
      <c r="DL308" s="4">
        <v>1</v>
      </c>
      <c r="DM308" s="4">
        <v>2</v>
      </c>
      <c r="DN308" s="4">
        <v>3</v>
      </c>
      <c r="DO308" s="4">
        <v>6</v>
      </c>
      <c r="DP308" s="4">
        <v>7</v>
      </c>
      <c r="DQ308" s="4">
        <v>8</v>
      </c>
      <c r="DR308" s="4">
        <v>11</v>
      </c>
      <c r="DS308" s="4">
        <v>13</v>
      </c>
      <c r="DT308" s="4">
        <v>16</v>
      </c>
      <c r="DU308" s="4">
        <v>18</v>
      </c>
      <c r="DV308" s="4">
        <v>20</v>
      </c>
      <c r="DW308" s="4">
        <v>22</v>
      </c>
      <c r="DX308" s="4">
        <v>27</v>
      </c>
      <c r="DY308" s="4">
        <v>34</v>
      </c>
      <c r="DZ308" s="4">
        <v>47</v>
      </c>
      <c r="EA308" s="4">
        <v>91.758598000000006</v>
      </c>
      <c r="EB308" s="4">
        <v>55.89208</v>
      </c>
      <c r="EC308" s="4">
        <v>104.18559399999999</v>
      </c>
      <c r="ED308" s="4">
        <v>2828</v>
      </c>
      <c r="EE308" s="4">
        <v>3211</v>
      </c>
      <c r="EF308" s="4">
        <v>90.850097000000005</v>
      </c>
      <c r="EG308" s="4">
        <v>99.545749999999998</v>
      </c>
      <c r="EH308" s="4">
        <v>53.507398000000002</v>
      </c>
      <c r="EI308" s="4">
        <v>80.992166999999995</v>
      </c>
      <c r="EJ308" s="4">
        <v>99.740427999999994</v>
      </c>
      <c r="EK308" s="4">
        <v>150.97339400000001</v>
      </c>
      <c r="EL308" s="4">
        <v>2800</v>
      </c>
      <c r="EM308" s="4">
        <v>3068</v>
      </c>
      <c r="EN308" s="4">
        <v>3074</v>
      </c>
      <c r="EO308" s="4">
        <v>4653</v>
      </c>
      <c r="EP308" s="4">
        <v>3082</v>
      </c>
      <c r="EQ308" s="4">
        <v>5745</v>
      </c>
      <c r="ER308" s="4">
        <v>44.742047999999997</v>
      </c>
    </row>
    <row r="309" spans="1:148" x14ac:dyDescent="0.2">
      <c r="A309" s="1">
        <v>2022</v>
      </c>
      <c r="B309" s="1" t="str">
        <f t="shared" si="8"/>
        <v>RD</v>
      </c>
      <c r="C309" s="1" t="s">
        <v>1510</v>
      </c>
      <c r="D309" s="1" t="s">
        <v>1510</v>
      </c>
      <c r="E309" s="1">
        <v>27498</v>
      </c>
      <c r="F309" s="1" t="s">
        <v>2159</v>
      </c>
      <c r="G309" s="1" t="s">
        <v>247</v>
      </c>
      <c r="H309" s="1" t="s">
        <v>1511</v>
      </c>
      <c r="I309" s="1">
        <v>32.97</v>
      </c>
      <c r="J309" s="1">
        <v>32.97</v>
      </c>
      <c r="K309" s="1" t="s">
        <v>249</v>
      </c>
      <c r="L309" s="1">
        <v>1</v>
      </c>
      <c r="M309" s="1">
        <v>2019</v>
      </c>
      <c r="N309" s="1">
        <v>2</v>
      </c>
      <c r="O309" s="1">
        <v>2</v>
      </c>
      <c r="P309" s="1" t="str">
        <f t="shared" si="9"/>
        <v>Talhadia</v>
      </c>
      <c r="Q309" s="2">
        <v>43693</v>
      </c>
      <c r="R309" s="1" t="s">
        <v>227</v>
      </c>
      <c r="S309" s="1" t="s">
        <v>163</v>
      </c>
      <c r="T309" s="1" t="s">
        <v>2268</v>
      </c>
      <c r="U309" s="1" t="s">
        <v>212</v>
      </c>
      <c r="V309" s="1" t="s">
        <v>152</v>
      </c>
      <c r="W309" s="2">
        <v>44796</v>
      </c>
      <c r="X309" s="1" t="s">
        <v>251</v>
      </c>
      <c r="Y309" s="1">
        <v>166.99</v>
      </c>
      <c r="Z309" s="1">
        <v>21.2</v>
      </c>
      <c r="AA309" s="1">
        <v>10</v>
      </c>
      <c r="AB309" s="1">
        <v>15.2</v>
      </c>
      <c r="AC309" s="1">
        <v>3</v>
      </c>
      <c r="AD309" s="3">
        <v>322.24</v>
      </c>
      <c r="AE309" s="3">
        <v>316.90954079064699</v>
      </c>
      <c r="AF309" s="2">
        <v>44796</v>
      </c>
      <c r="AG309" s="1">
        <v>36</v>
      </c>
      <c r="AH309" s="3">
        <v>3.0198494182067099</v>
      </c>
      <c r="AI309" s="4">
        <v>20.804125998579401</v>
      </c>
      <c r="AJ309" s="4">
        <v>13.788</v>
      </c>
      <c r="AK309" s="4">
        <v>12.3441593106842</v>
      </c>
      <c r="AL309" s="1">
        <v>25</v>
      </c>
      <c r="AM309" s="5">
        <v>788.86864490189703</v>
      </c>
      <c r="AN309" s="4">
        <v>117.745295977693</v>
      </c>
      <c r="AO309" s="4">
        <v>0.149258430714198</v>
      </c>
      <c r="AP309" s="1" t="s">
        <v>163</v>
      </c>
      <c r="AQ309" s="1" t="s">
        <v>254</v>
      </c>
      <c r="AR309" s="1" t="s">
        <v>164</v>
      </c>
      <c r="AS309" s="1">
        <v>7.5</v>
      </c>
      <c r="AT309" s="4">
        <v>0.59165148367642284</v>
      </c>
      <c r="AU309" s="1" t="s">
        <v>1512</v>
      </c>
      <c r="AV309" s="1" t="s">
        <v>1513</v>
      </c>
      <c r="AW309" s="1">
        <v>4596</v>
      </c>
      <c r="AX309" s="1">
        <v>3109</v>
      </c>
      <c r="AY309" s="1">
        <v>1417</v>
      </c>
      <c r="AZ309" s="1">
        <v>69</v>
      </c>
      <c r="BA309" s="1">
        <v>1</v>
      </c>
      <c r="BB309" s="1">
        <v>0</v>
      </c>
      <c r="BC309" s="1">
        <v>0</v>
      </c>
      <c r="BD309" s="1">
        <v>0</v>
      </c>
      <c r="BE309" s="1">
        <v>0</v>
      </c>
      <c r="BF309" s="1">
        <v>0</v>
      </c>
      <c r="BG309" s="1">
        <v>0</v>
      </c>
      <c r="BH309" s="4">
        <v>-1.17</v>
      </c>
      <c r="BI309" s="4">
        <v>24.67</v>
      </c>
      <c r="BJ309" s="4">
        <v>8.5756530000000009</v>
      </c>
      <c r="BK309" s="4">
        <v>-0.34968199999999999</v>
      </c>
      <c r="BL309" s="4">
        <v>9.8849020000000003</v>
      </c>
      <c r="BM309" s="4">
        <v>97.711287999999996</v>
      </c>
      <c r="BN309" s="4">
        <v>1.152671</v>
      </c>
      <c r="BO309" s="4">
        <v>20.079999999999998</v>
      </c>
      <c r="BP309" s="4">
        <v>0.37676599999999999</v>
      </c>
      <c r="BQ309" s="4">
        <v>1.2396</v>
      </c>
      <c r="BR309" s="4">
        <v>9.5616149999999998</v>
      </c>
      <c r="BS309" s="4">
        <v>0.66</v>
      </c>
      <c r="BT309" s="4">
        <v>0.80968200000000001</v>
      </c>
      <c r="BU309" s="4">
        <v>8.5756530000000009</v>
      </c>
      <c r="BV309" s="4">
        <v>5.149972</v>
      </c>
      <c r="BW309" s="4">
        <v>1.045061</v>
      </c>
      <c r="BX309" s="4">
        <v>-0.819963</v>
      </c>
      <c r="BY309" s="4">
        <v>0.60053400000000001</v>
      </c>
      <c r="BZ309" s="4">
        <v>0.202926</v>
      </c>
      <c r="CA309" s="4">
        <v>-0.159217</v>
      </c>
      <c r="CB309" s="4">
        <v>-0.43</v>
      </c>
      <c r="CC309" s="4">
        <v>-0.22</v>
      </c>
      <c r="CD309" s="4">
        <v>-0.13</v>
      </c>
      <c r="CE309" s="4">
        <v>-0.03</v>
      </c>
      <c r="CF309" s="4">
        <v>0.02</v>
      </c>
      <c r="CG309" s="4">
        <v>7.0000000000000007E-2</v>
      </c>
      <c r="CH309" s="4">
        <v>0.18</v>
      </c>
      <c r="CI309" s="4">
        <v>0.46</v>
      </c>
      <c r="CJ309" s="4">
        <v>14.76</v>
      </c>
      <c r="CK309" s="4">
        <v>19.395</v>
      </c>
      <c r="CL309" s="4">
        <v>20.100000000000001</v>
      </c>
      <c r="CM309" s="4">
        <v>20.610001</v>
      </c>
      <c r="CN309" s="4">
        <v>21.665001</v>
      </c>
      <c r="CO309" s="4">
        <v>22.5</v>
      </c>
      <c r="CP309" s="4">
        <v>23.59</v>
      </c>
      <c r="CQ309" s="4">
        <v>0.37715399999999999</v>
      </c>
      <c r="CR309" s="4">
        <v>13.085559</v>
      </c>
      <c r="CS309" s="4">
        <v>15.194157000000001</v>
      </c>
      <c r="CT309" s="1">
        <v>1</v>
      </c>
      <c r="CU309" s="1">
        <v>57</v>
      </c>
      <c r="CV309" s="4">
        <v>20.221062</v>
      </c>
      <c r="CW309" s="4">
        <v>1</v>
      </c>
      <c r="CX309" s="4">
        <v>13.598481</v>
      </c>
      <c r="CY309" s="4">
        <v>184.91869399999999</v>
      </c>
      <c r="CZ309" s="4">
        <v>0.67249099999999995</v>
      </c>
      <c r="DA309" s="4">
        <v>23</v>
      </c>
      <c r="DB309" s="4">
        <v>0.44303100000000001</v>
      </c>
      <c r="DC309" s="4">
        <v>2.063523</v>
      </c>
      <c r="DD309" s="4">
        <v>11.604962</v>
      </c>
      <c r="DE309" s="4">
        <v>20.221062</v>
      </c>
      <c r="DF309" s="4">
        <v>7.7334620000000003</v>
      </c>
      <c r="DG309" s="4">
        <v>0.95019900000000002</v>
      </c>
      <c r="DH309" s="4">
        <v>0.19765099999999999</v>
      </c>
      <c r="DI309" s="4">
        <v>0.38244600000000001</v>
      </c>
      <c r="DJ309" s="4">
        <v>0.12286900000000001</v>
      </c>
      <c r="DK309" s="4">
        <v>2.5558000000000001E-2</v>
      </c>
      <c r="DL309" s="4">
        <v>1</v>
      </c>
      <c r="DM309" s="4">
        <v>2</v>
      </c>
      <c r="DN309" s="4">
        <v>3</v>
      </c>
      <c r="DO309" s="4">
        <v>7</v>
      </c>
      <c r="DP309" s="4">
        <v>9</v>
      </c>
      <c r="DQ309" s="4">
        <v>11</v>
      </c>
      <c r="DR309" s="4">
        <v>14</v>
      </c>
      <c r="DS309" s="4">
        <v>17</v>
      </c>
      <c r="DT309" s="4">
        <v>21</v>
      </c>
      <c r="DU309" s="4">
        <v>29</v>
      </c>
      <c r="DV309" s="4">
        <v>32</v>
      </c>
      <c r="DW309" s="4">
        <v>35</v>
      </c>
      <c r="DX309" s="4">
        <v>41</v>
      </c>
      <c r="DY309" s="4">
        <v>44</v>
      </c>
      <c r="DZ309" s="4">
        <v>49</v>
      </c>
      <c r="EA309" s="4">
        <v>62.367320999999997</v>
      </c>
      <c r="EB309" s="4">
        <v>44.016536000000002</v>
      </c>
      <c r="EC309" s="4">
        <v>65.069153999999997</v>
      </c>
      <c r="ED309" s="4">
        <v>1939</v>
      </c>
      <c r="EE309" s="4">
        <v>2023</v>
      </c>
      <c r="EF309" s="4">
        <v>60.308781000000003</v>
      </c>
      <c r="EG309" s="4">
        <v>99.967834999999994</v>
      </c>
      <c r="EH309" s="4">
        <v>42.145344000000001</v>
      </c>
      <c r="EI309" s="4">
        <v>98.21584</v>
      </c>
      <c r="EJ309" s="4">
        <v>62.302990999999999</v>
      </c>
      <c r="EK309" s="4">
        <v>145.19138000000001</v>
      </c>
      <c r="EL309" s="4">
        <v>1875</v>
      </c>
      <c r="EM309" s="4">
        <v>3108</v>
      </c>
      <c r="EN309" s="4">
        <v>1937</v>
      </c>
      <c r="EO309" s="4">
        <v>4514</v>
      </c>
      <c r="EP309" s="4">
        <v>3109</v>
      </c>
      <c r="EQ309" s="4">
        <v>4596</v>
      </c>
      <c r="ER309" s="4">
        <v>35.518503000000003</v>
      </c>
    </row>
    <row r="310" spans="1:148" x14ac:dyDescent="0.2">
      <c r="A310" s="1">
        <v>2022</v>
      </c>
      <c r="B310" s="1" t="str">
        <f t="shared" si="8"/>
        <v>GN</v>
      </c>
      <c r="C310" s="1" t="s">
        <v>1514</v>
      </c>
      <c r="D310" s="1" t="s">
        <v>1514</v>
      </c>
      <c r="E310" s="1">
        <v>27509</v>
      </c>
      <c r="F310" s="1" t="s">
        <v>2155</v>
      </c>
      <c r="G310" s="1" t="s">
        <v>1480</v>
      </c>
      <c r="H310" s="1" t="s">
        <v>1515</v>
      </c>
      <c r="I310" s="1">
        <v>31.85</v>
      </c>
      <c r="J310" s="1">
        <v>31.85</v>
      </c>
      <c r="K310" s="1" t="s">
        <v>266</v>
      </c>
      <c r="L310" s="1">
        <v>1</v>
      </c>
      <c r="M310" s="1">
        <v>2019</v>
      </c>
      <c r="N310" s="1">
        <v>3</v>
      </c>
      <c r="O310" s="1">
        <v>1</v>
      </c>
      <c r="P310" s="1" t="str">
        <f t="shared" si="9"/>
        <v>Alto fuste</v>
      </c>
      <c r="Q310" s="2">
        <v>43524</v>
      </c>
      <c r="R310" s="1" t="s">
        <v>169</v>
      </c>
      <c r="S310" s="1" t="s">
        <v>442</v>
      </c>
      <c r="T310" s="1" t="s">
        <v>2268</v>
      </c>
      <c r="U310" s="1" t="s">
        <v>266</v>
      </c>
      <c r="V310" s="1" t="s">
        <v>152</v>
      </c>
      <c r="W310" s="2">
        <v>44742</v>
      </c>
      <c r="X310" s="1" t="s">
        <v>1482</v>
      </c>
      <c r="Y310" s="1">
        <v>144.68</v>
      </c>
      <c r="Z310" s="1">
        <v>20.5</v>
      </c>
      <c r="AA310" s="1">
        <v>8</v>
      </c>
      <c r="AB310" s="1">
        <v>15.6</v>
      </c>
      <c r="AC310" s="1">
        <v>3</v>
      </c>
      <c r="AD310" s="3">
        <v>319.8</v>
      </c>
      <c r="AE310" s="3">
        <v>316.25371885815201</v>
      </c>
      <c r="AF310" s="2">
        <v>44742</v>
      </c>
      <c r="AG310" s="1">
        <v>40</v>
      </c>
      <c r="AH310" s="3">
        <v>3.3347022587269</v>
      </c>
      <c r="AI310" s="4">
        <v>22.705556895063999</v>
      </c>
      <c r="AJ310" s="4">
        <v>13.4342857142857</v>
      </c>
      <c r="AK310" s="4">
        <v>15.7719507321258</v>
      </c>
      <c r="AL310" s="1">
        <v>35</v>
      </c>
      <c r="AM310" s="5">
        <v>1106.70635356856</v>
      </c>
      <c r="AN310" s="4">
        <v>159.85871466183301</v>
      </c>
      <c r="AO310" s="4">
        <v>0.144445465724826</v>
      </c>
      <c r="AP310" s="1" t="s">
        <v>442</v>
      </c>
      <c r="AQ310" s="1" t="s">
        <v>156</v>
      </c>
      <c r="AR310" s="1" t="s">
        <v>500</v>
      </c>
      <c r="AS310" s="1">
        <v>9</v>
      </c>
      <c r="AT310" s="4">
        <v>0.996035718211704</v>
      </c>
      <c r="AU310" s="1" t="s">
        <v>1516</v>
      </c>
      <c r="AV310" s="1" t="s">
        <v>1517</v>
      </c>
      <c r="AW310" s="1">
        <v>2740</v>
      </c>
      <c r="AX310" s="1">
        <v>1644</v>
      </c>
      <c r="AY310" s="1">
        <v>1068</v>
      </c>
      <c r="AZ310" s="1">
        <v>26</v>
      </c>
      <c r="BA310" s="1">
        <v>2</v>
      </c>
      <c r="BB310" s="1">
        <v>0</v>
      </c>
      <c r="BC310" s="1">
        <v>0</v>
      </c>
      <c r="BD310" s="1">
        <v>0</v>
      </c>
      <c r="BE310" s="1">
        <v>0</v>
      </c>
      <c r="BF310" s="1">
        <v>0</v>
      </c>
      <c r="BG310" s="1">
        <v>0</v>
      </c>
      <c r="BH310" s="4">
        <v>-0.88400000000000001</v>
      </c>
      <c r="BI310" s="4">
        <v>22.032</v>
      </c>
      <c r="BJ310" s="4">
        <v>10.093858000000001</v>
      </c>
      <c r="BK310" s="4">
        <v>-0.15650800000000001</v>
      </c>
      <c r="BL310" s="4">
        <v>9.4717490000000009</v>
      </c>
      <c r="BM310" s="4">
        <v>89.714028999999996</v>
      </c>
      <c r="BN310" s="4">
        <v>0.93836799999999998</v>
      </c>
      <c r="BO310" s="4">
        <v>19.052250000000001</v>
      </c>
      <c r="BP310" s="4">
        <v>-0.108621</v>
      </c>
      <c r="BQ310" s="4">
        <v>1.0549580000000001</v>
      </c>
      <c r="BR310" s="4">
        <v>9.3846740000000004</v>
      </c>
      <c r="BS310" s="4">
        <v>3.9805009999999998</v>
      </c>
      <c r="BT310" s="4">
        <v>16.991508</v>
      </c>
      <c r="BU310" s="4">
        <v>10.093858000000001</v>
      </c>
      <c r="BV310" s="4">
        <v>4.9430560000000003</v>
      </c>
      <c r="BW310" s="4">
        <v>-7.8824000000000005E-2</v>
      </c>
      <c r="BX310" s="4">
        <v>-1.0179830000000001</v>
      </c>
      <c r="BY310" s="4">
        <v>0.48970900000000001</v>
      </c>
      <c r="BZ310" s="4">
        <v>-1.5945999999999998E-2</v>
      </c>
      <c r="CA310" s="4">
        <v>-0.20594199999999999</v>
      </c>
      <c r="CB310" s="4">
        <v>-0.47865999999999997</v>
      </c>
      <c r="CC310" s="4">
        <v>-0.23599999999999999</v>
      </c>
      <c r="CD310" s="4">
        <v>-0.16400000000000001</v>
      </c>
      <c r="CE310" s="4">
        <v>-4.9200000000000001E-2</v>
      </c>
      <c r="CF310" s="4">
        <v>-1E-3</v>
      </c>
      <c r="CG310" s="4">
        <v>4.2999999999999997E-2</v>
      </c>
      <c r="CH310" s="4">
        <v>0.1686</v>
      </c>
      <c r="CI310" s="4">
        <v>16.834999</v>
      </c>
      <c r="CJ310" s="4">
        <v>18.087399999999999</v>
      </c>
      <c r="CK310" s="4">
        <v>18.768599999999999</v>
      </c>
      <c r="CL310" s="4">
        <v>19.05125</v>
      </c>
      <c r="CM310" s="4">
        <v>19.387599999999999</v>
      </c>
      <c r="CN310" s="4">
        <v>20.048100000000002</v>
      </c>
      <c r="CO310" s="4">
        <v>20.599050999999999</v>
      </c>
      <c r="CP310" s="4">
        <v>21.342269999999999</v>
      </c>
      <c r="CQ310" s="4">
        <v>0.47904799999999997</v>
      </c>
      <c r="CR310" s="4">
        <v>13.840782000000001</v>
      </c>
      <c r="CS310" s="4">
        <v>15.399407999999999</v>
      </c>
      <c r="CT310" s="1">
        <v>1</v>
      </c>
      <c r="CU310" s="1">
        <v>57</v>
      </c>
      <c r="CV310" s="4">
        <v>16.866423000000001</v>
      </c>
      <c r="CW310" s="4">
        <v>1</v>
      </c>
      <c r="CX310" s="4">
        <v>11.717733000000001</v>
      </c>
      <c r="CY310" s="4">
        <v>137.305261</v>
      </c>
      <c r="CZ310" s="4">
        <v>0.69473700000000005</v>
      </c>
      <c r="DA310" s="4">
        <v>14</v>
      </c>
      <c r="DB310" s="4">
        <v>0.90989900000000001</v>
      </c>
      <c r="DC310" s="4">
        <v>3.5075989999999999</v>
      </c>
      <c r="DD310" s="4">
        <v>9.1281090000000003</v>
      </c>
      <c r="DE310" s="4">
        <v>16.866423000000001</v>
      </c>
      <c r="DF310" s="4">
        <v>6.4307299999999996</v>
      </c>
      <c r="DG310" s="4">
        <v>1.123826</v>
      </c>
      <c r="DH310" s="4">
        <v>0.80171599999999998</v>
      </c>
      <c r="DI310" s="4">
        <v>0.381274</v>
      </c>
      <c r="DJ310" s="4">
        <v>0.174759</v>
      </c>
      <c r="DK310" s="4">
        <v>0.124669</v>
      </c>
      <c r="DL310" s="4">
        <v>1</v>
      </c>
      <c r="DM310" s="4">
        <v>2</v>
      </c>
      <c r="DN310" s="4">
        <v>3</v>
      </c>
      <c r="DO310" s="4">
        <v>6</v>
      </c>
      <c r="DP310" s="4">
        <v>8</v>
      </c>
      <c r="DQ310" s="4">
        <v>9</v>
      </c>
      <c r="DR310" s="4">
        <v>12</v>
      </c>
      <c r="DS310" s="4">
        <v>15</v>
      </c>
      <c r="DT310" s="4">
        <v>18</v>
      </c>
      <c r="DU310" s="4">
        <v>21</v>
      </c>
      <c r="DV310" s="4">
        <v>22</v>
      </c>
      <c r="DW310" s="4">
        <v>24</v>
      </c>
      <c r="DX310" s="4">
        <v>34</v>
      </c>
      <c r="DY310" s="4">
        <v>42</v>
      </c>
      <c r="DZ310" s="4">
        <v>50</v>
      </c>
      <c r="EA310" s="4">
        <v>87.956204</v>
      </c>
      <c r="EB310" s="4">
        <v>53.79562</v>
      </c>
      <c r="EC310" s="4">
        <v>89.659367000000003</v>
      </c>
      <c r="ED310" s="4">
        <v>1446</v>
      </c>
      <c r="EE310" s="4">
        <v>1474</v>
      </c>
      <c r="EF310" s="4">
        <v>87.712895000000003</v>
      </c>
      <c r="EG310" s="4">
        <v>100</v>
      </c>
      <c r="EH310" s="4">
        <v>53.357664</v>
      </c>
      <c r="EI310" s="4">
        <v>89.635035999999999</v>
      </c>
      <c r="EJ310" s="4">
        <v>88.92944</v>
      </c>
      <c r="EK310" s="4">
        <v>149.391727</v>
      </c>
      <c r="EL310" s="4">
        <v>1442</v>
      </c>
      <c r="EM310" s="4">
        <v>1644</v>
      </c>
      <c r="EN310" s="4">
        <v>1462</v>
      </c>
      <c r="EO310" s="4">
        <v>2456</v>
      </c>
      <c r="EP310" s="4">
        <v>1644</v>
      </c>
      <c r="EQ310" s="4">
        <v>2740</v>
      </c>
      <c r="ER310" s="4">
        <v>46.442635000000003</v>
      </c>
    </row>
    <row r="311" spans="1:148" x14ac:dyDescent="0.2">
      <c r="A311" s="1">
        <v>2025</v>
      </c>
      <c r="B311" s="1" t="str">
        <f t="shared" si="8"/>
        <v>GN</v>
      </c>
      <c r="C311" s="1" t="s">
        <v>1520</v>
      </c>
      <c r="D311" s="1" t="s">
        <v>1520</v>
      </c>
      <c r="E311" s="1">
        <v>28366</v>
      </c>
      <c r="F311" s="1" t="s">
        <v>2160</v>
      </c>
      <c r="G311" s="1" t="s">
        <v>2002</v>
      </c>
      <c r="H311" s="1" t="s">
        <v>1926</v>
      </c>
      <c r="I311" s="1">
        <v>16.79</v>
      </c>
      <c r="J311" s="1">
        <v>16.79</v>
      </c>
      <c r="K311" s="1" t="s">
        <v>264</v>
      </c>
      <c r="L311" s="1">
        <v>1</v>
      </c>
      <c r="M311" s="3">
        <v>2021</v>
      </c>
      <c r="O311" s="1">
        <v>3</v>
      </c>
      <c r="P311" s="1" t="str">
        <f t="shared" si="9"/>
        <v>Talhadia</v>
      </c>
      <c r="Q311" s="2">
        <v>44377</v>
      </c>
      <c r="R311" s="1" t="s">
        <v>149</v>
      </c>
      <c r="S311" s="1" t="s">
        <v>193</v>
      </c>
      <c r="T311" s="1" t="s">
        <v>2268</v>
      </c>
      <c r="U311" s="1" t="s">
        <v>266</v>
      </c>
      <c r="V311" s="1" t="s">
        <v>152</v>
      </c>
      <c r="W311" s="2">
        <v>45716</v>
      </c>
      <c r="X311" s="1" t="s">
        <v>2161</v>
      </c>
      <c r="Y311" s="1">
        <v>31.07</v>
      </c>
      <c r="Z311" s="1">
        <v>20.5</v>
      </c>
      <c r="AA311" s="1">
        <v>22</v>
      </c>
      <c r="AB311" s="1">
        <v>16.5</v>
      </c>
      <c r="AC311" s="1">
        <v>4</v>
      </c>
      <c r="AD311" s="3">
        <v>338.25</v>
      </c>
      <c r="AE311" s="3">
        <v>312.85597639876403</v>
      </c>
      <c r="AF311" s="2">
        <v>45716</v>
      </c>
      <c r="AG311" s="1">
        <v>44</v>
      </c>
      <c r="AH311" s="3">
        <v>3.6659822039698802</v>
      </c>
      <c r="AI311" s="4">
        <v>23.402905237484301</v>
      </c>
      <c r="AJ311" s="4">
        <v>14.7214285714286</v>
      </c>
      <c r="AK311" s="4">
        <v>15.5333400259291</v>
      </c>
      <c r="AL311" s="1">
        <v>28</v>
      </c>
      <c r="AM311" s="5">
        <v>894.98050580025904</v>
      </c>
      <c r="AN311" s="4">
        <v>178.48976765282401</v>
      </c>
      <c r="AO311" s="4">
        <v>0.19943425191504599</v>
      </c>
      <c r="AP311" s="1" t="s">
        <v>193</v>
      </c>
      <c r="AQ311" s="1" t="s">
        <v>254</v>
      </c>
      <c r="AR311" s="1" t="s">
        <v>275</v>
      </c>
      <c r="AS311" s="1">
        <v>9.99</v>
      </c>
      <c r="AT311" s="4">
        <v>0.89408552529445884</v>
      </c>
      <c r="AU311" s="1" t="s">
        <v>1519</v>
      </c>
      <c r="AV311" s="1" t="s">
        <v>1520</v>
      </c>
      <c r="AW311" s="1">
        <v>1249</v>
      </c>
      <c r="AX311" s="1">
        <v>694</v>
      </c>
      <c r="AY311" s="1">
        <v>389</v>
      </c>
      <c r="AZ311" s="1">
        <v>144</v>
      </c>
      <c r="BA311" s="1">
        <v>22</v>
      </c>
      <c r="BB311" s="1">
        <v>0</v>
      </c>
      <c r="BC311" s="1">
        <v>0</v>
      </c>
      <c r="BD311" s="1">
        <v>0</v>
      </c>
      <c r="BE311" s="1">
        <v>0</v>
      </c>
      <c r="BF311" s="1">
        <v>0</v>
      </c>
      <c r="BG311" s="1">
        <v>0</v>
      </c>
      <c r="BH311" s="4">
        <v>0</v>
      </c>
      <c r="BI311" s="4">
        <v>24.236999999999998</v>
      </c>
      <c r="BJ311" s="4">
        <v>11.838372</v>
      </c>
      <c r="BK311" s="4">
        <v>0</v>
      </c>
      <c r="BL311" s="4">
        <v>9.6721260000000004</v>
      </c>
      <c r="BM311" s="4">
        <v>93.550015000000002</v>
      </c>
      <c r="BN311" s="4">
        <v>0.81701500000000005</v>
      </c>
      <c r="BO311" s="4">
        <v>20.555001000000001</v>
      </c>
      <c r="BP311" s="4">
        <v>-0.23585200000000001</v>
      </c>
      <c r="BQ311" s="4">
        <v>1.1847749999999999</v>
      </c>
      <c r="BR311" s="4">
        <v>9.3580260000000006</v>
      </c>
      <c r="BS311" s="4">
        <v>5.0330009999999996</v>
      </c>
      <c r="BT311" s="4">
        <v>17.469999000000001</v>
      </c>
      <c r="BU311" s="4">
        <v>11.838372</v>
      </c>
      <c r="BV311" s="4">
        <v>5.2147220000000001</v>
      </c>
      <c r="BW311" s="4">
        <v>-0.37930799999999998</v>
      </c>
      <c r="BX311" s="4">
        <v>-0.89830900000000002</v>
      </c>
      <c r="BY311" s="4">
        <v>0.44049300000000002</v>
      </c>
      <c r="BZ311" s="4">
        <v>-7.2737999999999997E-2</v>
      </c>
      <c r="CA311" s="4">
        <v>-0.172264</v>
      </c>
      <c r="CB311" s="4">
        <v>1E-3</v>
      </c>
      <c r="CC311" s="4">
        <v>8.9999999999999993E-3</v>
      </c>
      <c r="CD311" s="4">
        <v>0.02</v>
      </c>
      <c r="CE311" s="4">
        <v>6.3600000000000004E-2</v>
      </c>
      <c r="CF311" s="4">
        <v>0.13100000000000001</v>
      </c>
      <c r="CG311" s="4">
        <v>0.42359999999999998</v>
      </c>
      <c r="CH311" s="4">
        <v>4.6734</v>
      </c>
      <c r="CI311" s="4">
        <v>17.469999000000001</v>
      </c>
      <c r="CJ311" s="4">
        <v>19.1084</v>
      </c>
      <c r="CK311" s="4">
        <v>20.216200000000001</v>
      </c>
      <c r="CL311" s="4">
        <v>20.686001000000001</v>
      </c>
      <c r="CM311" s="4">
        <v>21.141400999999998</v>
      </c>
      <c r="CN311" s="4">
        <v>22.115798999999999</v>
      </c>
      <c r="CO311" s="4">
        <v>22.595199999999998</v>
      </c>
      <c r="CP311" s="4">
        <v>23.58596</v>
      </c>
      <c r="CQ311" s="4">
        <v>0.48844199999999999</v>
      </c>
      <c r="CR311" s="4">
        <v>15.284703</v>
      </c>
      <c r="CS311" s="4">
        <v>16.828322</v>
      </c>
      <c r="CT311" s="1">
        <v>19</v>
      </c>
      <c r="CU311" s="1">
        <v>584</v>
      </c>
      <c r="CV311" s="4">
        <v>146.25220200000001</v>
      </c>
      <c r="CW311" s="4">
        <v>45.904761999999998</v>
      </c>
      <c r="CX311" s="4">
        <v>123.288214</v>
      </c>
      <c r="CY311" s="4">
        <v>15199.983620000001</v>
      </c>
      <c r="CZ311" s="4">
        <v>0.84298399999999996</v>
      </c>
      <c r="DA311" s="4">
        <v>121</v>
      </c>
      <c r="DB311" s="4">
        <v>1.5418750000000001</v>
      </c>
      <c r="DC311" s="4">
        <v>4.597423</v>
      </c>
      <c r="DD311" s="4">
        <v>92.665402999999998</v>
      </c>
      <c r="DE311" s="4">
        <v>146.25220200000001</v>
      </c>
      <c r="DF311" s="4">
        <v>62.298352000000001</v>
      </c>
      <c r="DG311" s="4">
        <v>22.940147</v>
      </c>
      <c r="DH311" s="4">
        <v>10.413864</v>
      </c>
      <c r="DI311" s="4">
        <v>0.42596499999999998</v>
      </c>
      <c r="DJ311" s="4">
        <v>0.36823</v>
      </c>
      <c r="DK311" s="4">
        <v>0.167161</v>
      </c>
      <c r="DL311" s="4">
        <v>26.48</v>
      </c>
      <c r="DM311" s="4">
        <v>34</v>
      </c>
      <c r="DN311" s="4">
        <v>40</v>
      </c>
      <c r="DO311" s="4">
        <v>52</v>
      </c>
      <c r="DP311" s="4">
        <v>60</v>
      </c>
      <c r="DQ311" s="4">
        <v>66</v>
      </c>
      <c r="DR311" s="4">
        <v>81.200012000000001</v>
      </c>
      <c r="DS311" s="4">
        <v>103</v>
      </c>
      <c r="DT311" s="4">
        <v>128</v>
      </c>
      <c r="DU311" s="4">
        <v>159</v>
      </c>
      <c r="DV311" s="4">
        <v>181</v>
      </c>
      <c r="DW311" s="4">
        <v>212</v>
      </c>
      <c r="DX311" s="4">
        <v>350.99975599999999</v>
      </c>
      <c r="DY311" s="4">
        <v>446.199951</v>
      </c>
      <c r="DZ311" s="4">
        <v>522</v>
      </c>
      <c r="EA311" s="4">
        <v>75.936599000000001</v>
      </c>
      <c r="EB311" s="4">
        <v>61.489190999999998</v>
      </c>
      <c r="EC311" s="4">
        <v>110.662824</v>
      </c>
      <c r="ED311" s="4">
        <v>527</v>
      </c>
      <c r="EE311" s="4">
        <v>768</v>
      </c>
      <c r="EF311" s="4">
        <v>72.478386</v>
      </c>
      <c r="EG311" s="4">
        <v>99.567723000000001</v>
      </c>
      <c r="EH311" s="4">
        <v>56.445155999999997</v>
      </c>
      <c r="EI311" s="4">
        <v>99.599680000000006</v>
      </c>
      <c r="EJ311" s="4">
        <v>101.585014</v>
      </c>
      <c r="EK311" s="4">
        <v>179.25072</v>
      </c>
      <c r="EL311" s="4">
        <v>503</v>
      </c>
      <c r="EM311" s="4">
        <v>691</v>
      </c>
      <c r="EN311" s="4">
        <v>705</v>
      </c>
      <c r="EO311" s="4">
        <v>1244</v>
      </c>
      <c r="EP311" s="4">
        <v>694</v>
      </c>
      <c r="EQ311" s="4">
        <v>1249</v>
      </c>
      <c r="ER311" s="4">
        <v>49.186759000000002</v>
      </c>
    </row>
    <row r="312" spans="1:148" x14ac:dyDescent="0.2">
      <c r="A312" s="1">
        <v>2025</v>
      </c>
      <c r="B312" s="1" t="str">
        <f t="shared" si="8"/>
        <v>GN</v>
      </c>
      <c r="C312" s="1" t="s">
        <v>1522</v>
      </c>
      <c r="D312" s="1" t="s">
        <v>1522</v>
      </c>
      <c r="E312" s="1">
        <v>28367</v>
      </c>
      <c r="F312" s="1" t="s">
        <v>2160</v>
      </c>
      <c r="G312" s="1" t="s">
        <v>2002</v>
      </c>
      <c r="H312" s="1" t="s">
        <v>1926</v>
      </c>
      <c r="I312" s="1">
        <v>16.79</v>
      </c>
      <c r="J312" s="1">
        <v>16.79</v>
      </c>
      <c r="K312" s="1" t="s">
        <v>264</v>
      </c>
      <c r="L312" s="1">
        <v>1</v>
      </c>
      <c r="M312" s="3">
        <v>2021</v>
      </c>
      <c r="O312" s="1">
        <v>3</v>
      </c>
      <c r="P312" s="1" t="str">
        <f t="shared" si="9"/>
        <v>Talhadia</v>
      </c>
      <c r="Q312" s="2">
        <v>44377</v>
      </c>
      <c r="R312" s="1" t="s">
        <v>149</v>
      </c>
      <c r="S312" s="1" t="s">
        <v>193</v>
      </c>
      <c r="T312" s="1" t="s">
        <v>2268</v>
      </c>
      <c r="U312" s="1" t="s">
        <v>266</v>
      </c>
      <c r="V312" s="1" t="s">
        <v>152</v>
      </c>
      <c r="W312" s="2">
        <v>44743</v>
      </c>
      <c r="X312" s="1" t="s">
        <v>2161</v>
      </c>
      <c r="Y312" s="1">
        <v>31.07</v>
      </c>
      <c r="Z312" s="1">
        <v>21</v>
      </c>
      <c r="AA312" s="1">
        <v>10</v>
      </c>
      <c r="AB312" s="1">
        <v>16</v>
      </c>
      <c r="AC312" s="1">
        <v>4</v>
      </c>
      <c r="AD312" s="3">
        <v>336</v>
      </c>
      <c r="AE312" s="3">
        <v>330.08936043623697</v>
      </c>
      <c r="AF312" s="2">
        <v>45716</v>
      </c>
      <c r="AG312" s="1">
        <v>44</v>
      </c>
      <c r="AH312" s="3">
        <v>3.6659822039698802</v>
      </c>
      <c r="AI312" s="4">
        <v>22.521829427644999</v>
      </c>
      <c r="AJ312" s="4">
        <v>14.7275862068966</v>
      </c>
      <c r="AK312" s="4">
        <v>15.478124688618999</v>
      </c>
      <c r="AL312" s="1">
        <v>29</v>
      </c>
      <c r="AM312" s="5">
        <v>878.54997694183101</v>
      </c>
      <c r="AN312" s="4">
        <v>174.910666651978</v>
      </c>
      <c r="AO312" s="4">
        <v>0.19909017271940499</v>
      </c>
      <c r="AP312" s="1" t="s">
        <v>193</v>
      </c>
      <c r="AQ312" s="1" t="s">
        <v>254</v>
      </c>
      <c r="AR312" s="1" t="s">
        <v>275</v>
      </c>
      <c r="AS312" s="1">
        <v>9.99</v>
      </c>
      <c r="AT312" s="4">
        <v>0.8776714269648892</v>
      </c>
      <c r="AU312" s="1" t="s">
        <v>1521</v>
      </c>
      <c r="AV312" s="1" t="s">
        <v>1522</v>
      </c>
      <c r="AW312" s="1">
        <v>907</v>
      </c>
      <c r="AX312" s="1">
        <v>469</v>
      </c>
      <c r="AY312" s="1">
        <v>299</v>
      </c>
      <c r="AZ312" s="1">
        <v>121</v>
      </c>
      <c r="BA312" s="1">
        <v>16</v>
      </c>
      <c r="BB312" s="1">
        <v>2</v>
      </c>
      <c r="BC312" s="1">
        <v>0</v>
      </c>
      <c r="BD312" s="1">
        <v>0</v>
      </c>
      <c r="BE312" s="1">
        <v>0</v>
      </c>
      <c r="BF312" s="1">
        <v>0</v>
      </c>
      <c r="BG312" s="1">
        <v>0</v>
      </c>
      <c r="BH312" s="4">
        <v>2E-3</v>
      </c>
      <c r="BI312" s="4">
        <v>27.055</v>
      </c>
      <c r="BJ312" s="4">
        <v>12.155970999999999</v>
      </c>
      <c r="BK312" s="4">
        <v>2E-3</v>
      </c>
      <c r="BL312" s="4">
        <v>9.2184629999999999</v>
      </c>
      <c r="BM312" s="4">
        <v>84.980054999999993</v>
      </c>
      <c r="BN312" s="4">
        <v>0.75834900000000005</v>
      </c>
      <c r="BO312" s="4">
        <v>18.9345</v>
      </c>
      <c r="BP312" s="4">
        <v>8.829E-3</v>
      </c>
      <c r="BQ312" s="4">
        <v>1.3995299999999999</v>
      </c>
      <c r="BR312" s="4">
        <v>8.4324499999999993</v>
      </c>
      <c r="BS312" s="4">
        <v>9.6570009999999993</v>
      </c>
      <c r="BT312" s="4">
        <v>11.551000999999999</v>
      </c>
      <c r="BU312" s="4">
        <v>12.155970999999999</v>
      </c>
      <c r="BV312" s="4">
        <v>5.2420850000000003</v>
      </c>
      <c r="BW312" s="4">
        <v>2.4837000000000001E-2</v>
      </c>
      <c r="BX312" s="4">
        <v>-0.55821299999999996</v>
      </c>
      <c r="BY312" s="4">
        <v>0.43123499999999998</v>
      </c>
      <c r="BZ312" s="4">
        <v>4.738E-3</v>
      </c>
      <c r="CA312" s="4">
        <v>-0.106487</v>
      </c>
      <c r="CB312" s="4">
        <v>2.018E-2</v>
      </c>
      <c r="CC312" s="4">
        <v>7.8299999999999995E-2</v>
      </c>
      <c r="CD312" s="4">
        <v>0.2112</v>
      </c>
      <c r="CE312" s="4">
        <v>1.1514</v>
      </c>
      <c r="CF312" s="4">
        <v>2.4790000000000001</v>
      </c>
      <c r="CG312" s="4">
        <v>4.2469999999999999</v>
      </c>
      <c r="CH312" s="4">
        <v>7.5275999999999996</v>
      </c>
      <c r="CI312" s="4">
        <v>11.553000000000001</v>
      </c>
      <c r="CJ312" s="4">
        <v>17.671600000000002</v>
      </c>
      <c r="CK312" s="4">
        <v>20.702998999999998</v>
      </c>
      <c r="CL312" s="4">
        <v>21.413499999999999</v>
      </c>
      <c r="CM312" s="4">
        <v>22.337199999999999</v>
      </c>
      <c r="CN312" s="4">
        <v>23.680799</v>
      </c>
      <c r="CO312" s="4">
        <v>24.487400000000001</v>
      </c>
      <c r="CP312" s="4">
        <v>25.794661000000001</v>
      </c>
      <c r="CQ312" s="4">
        <v>0.44926500000000003</v>
      </c>
      <c r="CR312" s="4">
        <v>15.253</v>
      </c>
      <c r="CS312" s="4">
        <v>16.983597</v>
      </c>
      <c r="CT312" s="1">
        <v>24</v>
      </c>
      <c r="CU312" s="1">
        <v>531</v>
      </c>
      <c r="CV312" s="4">
        <v>114.628445</v>
      </c>
      <c r="CW312" s="4">
        <v>48.142856999999999</v>
      </c>
      <c r="CX312" s="4">
        <v>86.411420000000007</v>
      </c>
      <c r="CY312" s="4">
        <v>7466.9335389999997</v>
      </c>
      <c r="CZ312" s="4">
        <v>0.75383900000000004</v>
      </c>
      <c r="DA312" s="4">
        <v>88.5</v>
      </c>
      <c r="DB312" s="4">
        <v>1.7631190000000001</v>
      </c>
      <c r="DC312" s="4">
        <v>6.2883690000000003</v>
      </c>
      <c r="DD312" s="4">
        <v>63.862999000000002</v>
      </c>
      <c r="DE312" s="4">
        <v>114.628445</v>
      </c>
      <c r="DF312" s="4">
        <v>43.418821999999999</v>
      </c>
      <c r="DG312" s="4">
        <v>15.148315</v>
      </c>
      <c r="DH312" s="4">
        <v>7.7340140000000002</v>
      </c>
      <c r="DI312" s="4">
        <v>0.37877899999999998</v>
      </c>
      <c r="DJ312" s="4">
        <v>0.34888799999999998</v>
      </c>
      <c r="DK312" s="4">
        <v>0.17812600000000001</v>
      </c>
      <c r="DL312" s="4">
        <v>27</v>
      </c>
      <c r="DM312" s="4">
        <v>34</v>
      </c>
      <c r="DN312" s="4">
        <v>39</v>
      </c>
      <c r="DO312" s="4">
        <v>49</v>
      </c>
      <c r="DP312" s="4">
        <v>54</v>
      </c>
      <c r="DQ312" s="4">
        <v>58.799987999999999</v>
      </c>
      <c r="DR312" s="4">
        <v>72</v>
      </c>
      <c r="DS312" s="4">
        <v>88</v>
      </c>
      <c r="DT312" s="4">
        <v>104</v>
      </c>
      <c r="DU312" s="4">
        <v>126.200012</v>
      </c>
      <c r="DV312" s="4">
        <v>142.5</v>
      </c>
      <c r="DW312" s="4">
        <v>168.79998800000001</v>
      </c>
      <c r="DX312" s="4">
        <v>227.400024</v>
      </c>
      <c r="DY312" s="4">
        <v>315.800049</v>
      </c>
      <c r="DZ312" s="4">
        <v>421.92004400000002</v>
      </c>
      <c r="EA312" s="4">
        <v>89.978678000000002</v>
      </c>
      <c r="EB312" s="4">
        <v>73.980153999999999</v>
      </c>
      <c r="EC312" s="4">
        <v>143.07036199999999</v>
      </c>
      <c r="ED312" s="4">
        <v>422</v>
      </c>
      <c r="EE312" s="4">
        <v>671</v>
      </c>
      <c r="EF312" s="4">
        <v>70.575693000000001</v>
      </c>
      <c r="EG312" s="4">
        <v>100</v>
      </c>
      <c r="EH312" s="4">
        <v>47.298786999999997</v>
      </c>
      <c r="EI312" s="4">
        <v>99.889746000000002</v>
      </c>
      <c r="EJ312" s="4">
        <v>91.471215000000001</v>
      </c>
      <c r="EK312" s="4">
        <v>193.17697200000001</v>
      </c>
      <c r="EL312" s="4">
        <v>331</v>
      </c>
      <c r="EM312" s="4">
        <v>469</v>
      </c>
      <c r="EN312" s="4">
        <v>429</v>
      </c>
      <c r="EO312" s="4">
        <v>906</v>
      </c>
      <c r="EP312" s="4">
        <v>469</v>
      </c>
      <c r="EQ312" s="4">
        <v>907</v>
      </c>
      <c r="ER312" s="4">
        <v>46.095851000000003</v>
      </c>
    </row>
    <row r="313" spans="1:148" x14ac:dyDescent="0.2">
      <c r="A313" s="1">
        <v>2025</v>
      </c>
      <c r="B313" s="1" t="str">
        <f t="shared" si="8"/>
        <v>GN</v>
      </c>
      <c r="C313" s="1" t="s">
        <v>1524</v>
      </c>
      <c r="D313" s="1" t="s">
        <v>1524</v>
      </c>
      <c r="E313" s="1">
        <v>27433</v>
      </c>
      <c r="F313" s="1" t="s">
        <v>2162</v>
      </c>
      <c r="G313" s="1" t="s">
        <v>1494</v>
      </c>
      <c r="H313" s="1" t="s">
        <v>1927</v>
      </c>
      <c r="I313" s="1">
        <v>50.21</v>
      </c>
      <c r="J313" s="1">
        <v>50.21</v>
      </c>
      <c r="K313" s="1" t="s">
        <v>264</v>
      </c>
      <c r="L313" s="1">
        <v>1</v>
      </c>
      <c r="M313" s="3">
        <v>2019</v>
      </c>
      <c r="O313" s="1">
        <v>2</v>
      </c>
      <c r="P313" s="1" t="str">
        <f t="shared" si="9"/>
        <v>Talhadia</v>
      </c>
      <c r="Q313" s="2">
        <v>43580</v>
      </c>
      <c r="R313" s="1" t="s">
        <v>169</v>
      </c>
      <c r="S313" s="1" t="s">
        <v>160</v>
      </c>
      <c r="T313" s="1" t="s">
        <v>2268</v>
      </c>
      <c r="U313" s="1" t="s">
        <v>266</v>
      </c>
      <c r="V313" s="1" t="s">
        <v>152</v>
      </c>
      <c r="W313" s="2">
        <v>45716</v>
      </c>
      <c r="X313" s="1" t="s">
        <v>1496</v>
      </c>
      <c r="Y313" s="1">
        <v>457.43000000000006</v>
      </c>
      <c r="Z313" s="1">
        <v>21.1</v>
      </c>
      <c r="AA313" s="1">
        <v>9</v>
      </c>
      <c r="AB313" s="1">
        <v>15.4</v>
      </c>
      <c r="AC313" s="1">
        <v>2</v>
      </c>
      <c r="AD313" s="3">
        <v>324.94</v>
      </c>
      <c r="AE313" s="3">
        <v>320.74394175190798</v>
      </c>
      <c r="AF313" s="2">
        <v>45716</v>
      </c>
      <c r="AG313" s="1">
        <v>70</v>
      </c>
      <c r="AH313" s="3">
        <v>5.8480492813141698</v>
      </c>
      <c r="AI313" s="4">
        <v>27.0761508759748</v>
      </c>
      <c r="AJ313" s="4">
        <v>16.0657142857143</v>
      </c>
      <c r="AK313" s="4">
        <v>22.994125582518301</v>
      </c>
      <c r="AL313" s="1">
        <v>35</v>
      </c>
      <c r="AM313" s="5">
        <v>1091.2131281055399</v>
      </c>
      <c r="AN313" s="4">
        <v>309.05415779870498</v>
      </c>
      <c r="AO313" s="4">
        <v>0.28322071082049299</v>
      </c>
      <c r="AP313" s="1" t="s">
        <v>160</v>
      </c>
      <c r="AQ313" s="1" t="s">
        <v>254</v>
      </c>
      <c r="AR313" s="1" t="s">
        <v>2266</v>
      </c>
      <c r="AS313" s="1">
        <v>9</v>
      </c>
      <c r="AT313" s="4">
        <v>0.9820918152949859</v>
      </c>
      <c r="AU313" s="1" t="s">
        <v>1523</v>
      </c>
      <c r="AV313" s="1" t="s">
        <v>1524</v>
      </c>
      <c r="AW313" s="1">
        <v>1322</v>
      </c>
      <c r="AX313" s="1">
        <v>817</v>
      </c>
      <c r="AY313" s="1">
        <v>397</v>
      </c>
      <c r="AZ313" s="1">
        <v>98</v>
      </c>
      <c r="BA313" s="1">
        <v>9</v>
      </c>
      <c r="BB313" s="1">
        <v>1</v>
      </c>
      <c r="BC313" s="1">
        <v>0</v>
      </c>
      <c r="BD313" s="1">
        <v>0</v>
      </c>
      <c r="BE313" s="1">
        <v>0</v>
      </c>
      <c r="BF313" s="1">
        <v>0</v>
      </c>
      <c r="BG313" s="1">
        <v>0</v>
      </c>
      <c r="BH313" s="4">
        <v>0</v>
      </c>
      <c r="BI313" s="4">
        <v>29.715</v>
      </c>
      <c r="BJ313" s="4">
        <v>17.983606999999999</v>
      </c>
      <c r="BK313" s="4">
        <v>0</v>
      </c>
      <c r="BL313" s="4">
        <v>11.302393</v>
      </c>
      <c r="BM313" s="4">
        <v>127.744089</v>
      </c>
      <c r="BN313" s="4">
        <v>0.62848300000000001</v>
      </c>
      <c r="BO313" s="4">
        <v>24.413751000000001</v>
      </c>
      <c r="BP313" s="4">
        <v>-0.80681000000000003</v>
      </c>
      <c r="BQ313" s="4">
        <v>1.83345</v>
      </c>
      <c r="BR313" s="4">
        <v>10.099411999999999</v>
      </c>
      <c r="BS313" s="4">
        <v>3.0819999999999999</v>
      </c>
      <c r="BT313" s="4">
        <v>24.283501000000001</v>
      </c>
      <c r="BU313" s="4">
        <v>17.983606999999999</v>
      </c>
      <c r="BV313" s="4">
        <v>5.8277830000000002</v>
      </c>
      <c r="BW313" s="4">
        <v>-1.6750240000000001</v>
      </c>
      <c r="BX313" s="4">
        <v>-0.28688000000000002</v>
      </c>
      <c r="BY313" s="4">
        <v>0.32406099999999999</v>
      </c>
      <c r="BZ313" s="4">
        <v>-0.28742000000000001</v>
      </c>
      <c r="CA313" s="4">
        <v>-4.9225999999999999E-2</v>
      </c>
      <c r="CB313" s="4">
        <v>1.2099999999999999E-3</v>
      </c>
      <c r="CC313" s="4">
        <v>6.0000000000000001E-3</v>
      </c>
      <c r="CD313" s="4">
        <v>1.4999999999999999E-2</v>
      </c>
      <c r="CE313" s="4">
        <v>0.04</v>
      </c>
      <c r="CF313" s="4">
        <v>2.11225</v>
      </c>
      <c r="CG313" s="4">
        <v>13.668298</v>
      </c>
      <c r="CH313" s="4">
        <v>22.645802</v>
      </c>
      <c r="CI313" s="4">
        <v>24.283501000000001</v>
      </c>
      <c r="CJ313" s="4">
        <v>25.360600000000002</v>
      </c>
      <c r="CK313" s="4">
        <v>26.253401</v>
      </c>
      <c r="CL313" s="4">
        <v>26.526001000000001</v>
      </c>
      <c r="CM313" s="4">
        <v>26.868798999999999</v>
      </c>
      <c r="CN313" s="4">
        <v>27.654800000000002</v>
      </c>
      <c r="CO313" s="4">
        <v>28.119700999999999</v>
      </c>
      <c r="CP313" s="4">
        <v>28.861588999999999</v>
      </c>
      <c r="CQ313" s="4">
        <v>0.60520300000000005</v>
      </c>
      <c r="CR313" s="4">
        <v>21.238116999999999</v>
      </c>
      <c r="CS313" s="4">
        <v>22.597113</v>
      </c>
      <c r="CT313" s="1">
        <v>21</v>
      </c>
      <c r="CU313" s="1">
        <v>755</v>
      </c>
      <c r="CV313" s="4">
        <v>237.97503800000001</v>
      </c>
      <c r="CW313" s="4">
        <v>32.650793999999998</v>
      </c>
      <c r="CX313" s="4">
        <v>167.36124599999999</v>
      </c>
      <c r="CY313" s="4">
        <v>28009.786660000002</v>
      </c>
      <c r="CZ313" s="4">
        <v>0.70327200000000001</v>
      </c>
      <c r="DA313" s="4">
        <v>280</v>
      </c>
      <c r="DB313" s="4">
        <v>0.57648900000000003</v>
      </c>
      <c r="DC313" s="4">
        <v>2.5807760000000002</v>
      </c>
      <c r="DD313" s="4">
        <v>141.89973699999999</v>
      </c>
      <c r="DE313" s="4">
        <v>237.97503800000001</v>
      </c>
      <c r="DF313" s="4">
        <v>94.197410000000005</v>
      </c>
      <c r="DG313" s="4">
        <v>12.937238000000001</v>
      </c>
      <c r="DH313" s="4">
        <v>2.2961209999999999</v>
      </c>
      <c r="DI313" s="4">
        <v>0.39582899999999999</v>
      </c>
      <c r="DJ313" s="4">
        <v>0.13734199999999999</v>
      </c>
      <c r="DK313" s="4">
        <v>2.4375999999999998E-2</v>
      </c>
      <c r="DL313" s="4">
        <v>25</v>
      </c>
      <c r="DM313" s="4">
        <v>34</v>
      </c>
      <c r="DN313" s="4">
        <v>42</v>
      </c>
      <c r="DO313" s="4">
        <v>65</v>
      </c>
      <c r="DP313" s="4">
        <v>79</v>
      </c>
      <c r="DQ313" s="4">
        <v>99</v>
      </c>
      <c r="DR313" s="4">
        <v>157</v>
      </c>
      <c r="DS313" s="4">
        <v>225.5</v>
      </c>
      <c r="DT313" s="4">
        <v>283</v>
      </c>
      <c r="DU313" s="4">
        <v>333</v>
      </c>
      <c r="DV313" s="4">
        <v>359</v>
      </c>
      <c r="DW313" s="4">
        <v>378.800049</v>
      </c>
      <c r="DX313" s="4">
        <v>460</v>
      </c>
      <c r="DY313" s="4">
        <v>545.94995100000006</v>
      </c>
      <c r="DZ313" s="4">
        <v>673.53027299999997</v>
      </c>
      <c r="EA313" s="4">
        <v>94.124847000000003</v>
      </c>
      <c r="EB313" s="4">
        <v>74.432677999999996</v>
      </c>
      <c r="EC313" s="4">
        <v>120.440636</v>
      </c>
      <c r="ED313" s="4">
        <v>769</v>
      </c>
      <c r="EE313" s="4">
        <v>984</v>
      </c>
      <c r="EF313" s="4">
        <v>89.351285000000004</v>
      </c>
      <c r="EG313" s="4">
        <v>100</v>
      </c>
      <c r="EH313" s="4">
        <v>67.851740000000007</v>
      </c>
      <c r="EI313" s="4">
        <v>99.621785000000003</v>
      </c>
      <c r="EJ313" s="4">
        <v>109.791922</v>
      </c>
      <c r="EK313" s="4">
        <v>161.19951</v>
      </c>
      <c r="EL313" s="4">
        <v>730</v>
      </c>
      <c r="EM313" s="4">
        <v>817</v>
      </c>
      <c r="EN313" s="4">
        <v>897</v>
      </c>
      <c r="EO313" s="4">
        <v>1317</v>
      </c>
      <c r="EP313" s="4">
        <v>817</v>
      </c>
      <c r="EQ313" s="4">
        <v>1322</v>
      </c>
      <c r="ER313" s="4">
        <v>61.304150999999997</v>
      </c>
    </row>
    <row r="314" spans="1:148" x14ac:dyDescent="0.2">
      <c r="A314" s="1">
        <v>2025</v>
      </c>
      <c r="B314" s="1" t="str">
        <f t="shared" si="8"/>
        <v>GN</v>
      </c>
      <c r="C314" s="1" t="s">
        <v>1526</v>
      </c>
      <c r="D314" s="1" t="s">
        <v>1526</v>
      </c>
      <c r="E314" s="1">
        <v>31076</v>
      </c>
      <c r="F314" s="1" t="s">
        <v>2162</v>
      </c>
      <c r="G314" s="1" t="s">
        <v>1494</v>
      </c>
      <c r="H314" s="1" t="s">
        <v>1927</v>
      </c>
      <c r="I314" s="1">
        <v>50.21</v>
      </c>
      <c r="J314" s="1">
        <v>50.21</v>
      </c>
      <c r="K314" s="1" t="s">
        <v>264</v>
      </c>
      <c r="L314" s="1">
        <v>1</v>
      </c>
      <c r="M314" s="3">
        <v>2019</v>
      </c>
      <c r="O314" s="1">
        <v>2</v>
      </c>
      <c r="P314" s="1" t="str">
        <f t="shared" si="9"/>
        <v>Talhadia</v>
      </c>
      <c r="Q314" s="2">
        <v>43580</v>
      </c>
      <c r="R314" s="1" t="s">
        <v>169</v>
      </c>
      <c r="S314" s="1" t="s">
        <v>160</v>
      </c>
      <c r="T314" s="1" t="s">
        <v>2268</v>
      </c>
      <c r="U314" s="1" t="s">
        <v>266</v>
      </c>
      <c r="V314" s="1" t="s">
        <v>152</v>
      </c>
      <c r="W314" s="2">
        <v>44744</v>
      </c>
      <c r="X314" s="1" t="s">
        <v>1496</v>
      </c>
      <c r="Y314" s="1">
        <v>457.43000000000006</v>
      </c>
      <c r="Z314" s="1">
        <v>20</v>
      </c>
      <c r="AA314" s="1">
        <v>16</v>
      </c>
      <c r="AB314" s="1">
        <v>15.9</v>
      </c>
      <c r="AC314" s="1">
        <v>3</v>
      </c>
      <c r="AD314" s="3">
        <v>318</v>
      </c>
      <c r="AE314" s="3">
        <v>305.262293821144</v>
      </c>
      <c r="AF314" s="2">
        <v>45716</v>
      </c>
      <c r="AG314" s="1">
        <v>70</v>
      </c>
      <c r="AH314" s="3">
        <v>5.8480492813141698</v>
      </c>
      <c r="AI314" s="4">
        <v>25.184990829838799</v>
      </c>
      <c r="AJ314" s="4">
        <v>18.5285714285714</v>
      </c>
      <c r="AK314" s="4">
        <v>13.3366429289189</v>
      </c>
      <c r="AL314" s="1">
        <v>14</v>
      </c>
      <c r="AM314" s="5">
        <v>458.62198782410798</v>
      </c>
      <c r="AN314" s="4">
        <v>174.58674658812001</v>
      </c>
      <c r="AO314" s="4">
        <v>0.38067679095900198</v>
      </c>
      <c r="AP314" s="1" t="s">
        <v>160</v>
      </c>
      <c r="AQ314" s="1" t="s">
        <v>254</v>
      </c>
      <c r="AR314" s="1" t="s">
        <v>2266</v>
      </c>
      <c r="AS314" s="1">
        <v>9</v>
      </c>
      <c r="AT314" s="4">
        <v>0.41275978904169719</v>
      </c>
      <c r="AU314" s="1" t="s">
        <v>1525</v>
      </c>
      <c r="AV314" s="1" t="s">
        <v>1526</v>
      </c>
      <c r="AW314" s="1">
        <v>1272</v>
      </c>
      <c r="AX314" s="1">
        <v>955</v>
      </c>
      <c r="AY314" s="1">
        <v>218</v>
      </c>
      <c r="AZ314" s="1">
        <v>79</v>
      </c>
      <c r="BA314" s="1">
        <v>15</v>
      </c>
      <c r="BB314" s="1">
        <v>5</v>
      </c>
      <c r="BC314" s="1">
        <v>0</v>
      </c>
      <c r="BD314" s="1">
        <v>0</v>
      </c>
      <c r="BE314" s="1">
        <v>0</v>
      </c>
      <c r="BF314" s="1">
        <v>0</v>
      </c>
      <c r="BG314" s="1">
        <v>0</v>
      </c>
      <c r="BH314" s="4">
        <v>0</v>
      </c>
      <c r="BI314" s="4">
        <v>33.805999999999997</v>
      </c>
      <c r="BJ314" s="4">
        <v>4.720224</v>
      </c>
      <c r="BK314" s="4">
        <v>0</v>
      </c>
      <c r="BL314" s="4">
        <v>9.3043019999999999</v>
      </c>
      <c r="BM314" s="4">
        <v>86.570043999999996</v>
      </c>
      <c r="BN314" s="4">
        <v>1.971157</v>
      </c>
      <c r="BO314" s="4">
        <v>2.0939999999999999</v>
      </c>
      <c r="BP314" s="4">
        <v>1.9478249999999999</v>
      </c>
      <c r="BQ314" s="4">
        <v>5.1255170000000003</v>
      </c>
      <c r="BR314" s="4">
        <v>6.7167450000000004</v>
      </c>
      <c r="BS314" s="4">
        <v>0.33650000000000002</v>
      </c>
      <c r="BT314" s="4">
        <v>0.38350000000000001</v>
      </c>
      <c r="BU314" s="4">
        <v>4.720224</v>
      </c>
      <c r="BV314" s="4">
        <v>3.7611240000000001</v>
      </c>
      <c r="BW314" s="4">
        <v>2.4331960000000001</v>
      </c>
      <c r="BX314" s="4">
        <v>1.2002079999999999</v>
      </c>
      <c r="BY314" s="4">
        <v>0.79681000000000002</v>
      </c>
      <c r="BZ314" s="4">
        <v>0.64693299999999998</v>
      </c>
      <c r="CA314" s="4">
        <v>0.31910899999999998</v>
      </c>
      <c r="CB314" s="4">
        <v>3.0000000000000001E-3</v>
      </c>
      <c r="CC314" s="4">
        <v>1.7000000000000001E-2</v>
      </c>
      <c r="CD314" s="4">
        <v>3.7999999999999999E-2</v>
      </c>
      <c r="CE314" s="4">
        <v>8.6199999999999999E-2</v>
      </c>
      <c r="CF314" s="4">
        <v>0.115</v>
      </c>
      <c r="CG314" s="4">
        <v>0.15</v>
      </c>
      <c r="CH314" s="4">
        <v>0.2334</v>
      </c>
      <c r="CI314" s="4">
        <v>0.38350000000000001</v>
      </c>
      <c r="CJ314" s="4">
        <v>0.65980000000000005</v>
      </c>
      <c r="CK314" s="4">
        <v>1.1657999999999999</v>
      </c>
      <c r="CL314" s="4">
        <v>2.2090000000000001</v>
      </c>
      <c r="CM314" s="4">
        <v>3.7249989999999999</v>
      </c>
      <c r="CN314" s="4">
        <v>24.838303</v>
      </c>
      <c r="CO314" s="4">
        <v>27.922445</v>
      </c>
      <c r="CP314" s="4">
        <v>31.585125000000001</v>
      </c>
      <c r="CQ314" s="4">
        <v>0.139627</v>
      </c>
      <c r="CR314" s="4">
        <v>10.429885000000001</v>
      </c>
      <c r="CS314" s="4">
        <v>14.256793999999999</v>
      </c>
      <c r="CT314" s="1">
        <v>25</v>
      </c>
      <c r="CU314" s="1">
        <v>797</v>
      </c>
      <c r="CV314" s="4">
        <v>365.25471700000003</v>
      </c>
      <c r="CW314" s="4">
        <v>49.507936999999998</v>
      </c>
      <c r="CX314" s="4">
        <v>206.46192199999999</v>
      </c>
      <c r="CY314" s="4">
        <v>42626.525159999997</v>
      </c>
      <c r="CZ314" s="4">
        <v>0.56525499999999995</v>
      </c>
      <c r="DA314" s="4">
        <v>385.5</v>
      </c>
      <c r="DB314" s="4">
        <v>-0.21529300000000001</v>
      </c>
      <c r="DC314" s="4">
        <v>1.6890989999999999</v>
      </c>
      <c r="DD314" s="4">
        <v>181.88934399999999</v>
      </c>
      <c r="DE314" s="4">
        <v>365.25471700000003</v>
      </c>
      <c r="DF314" s="4">
        <v>118.205172</v>
      </c>
      <c r="DG314" s="4">
        <v>-7.7371930000000004</v>
      </c>
      <c r="DH314" s="4">
        <v>-3.3436170000000001</v>
      </c>
      <c r="DI314" s="4">
        <v>0.32362400000000002</v>
      </c>
      <c r="DJ314" s="4">
        <v>-6.5456E-2</v>
      </c>
      <c r="DK314" s="4">
        <v>-2.8287E-2</v>
      </c>
      <c r="DL314" s="4">
        <v>31.709999</v>
      </c>
      <c r="DM314" s="4">
        <v>44.549999</v>
      </c>
      <c r="DN314" s="4">
        <v>63</v>
      </c>
      <c r="DO314" s="4">
        <v>117.39999400000001</v>
      </c>
      <c r="DP314" s="4">
        <v>157.75</v>
      </c>
      <c r="DQ314" s="4">
        <v>208</v>
      </c>
      <c r="DR314" s="4">
        <v>328</v>
      </c>
      <c r="DS314" s="4">
        <v>406</v>
      </c>
      <c r="DT314" s="4">
        <v>470</v>
      </c>
      <c r="DU314" s="4">
        <v>522</v>
      </c>
      <c r="DV314" s="4">
        <v>543.25</v>
      </c>
      <c r="DW314" s="4">
        <v>564.79998799999998</v>
      </c>
      <c r="DX314" s="4">
        <v>613.90002400000003</v>
      </c>
      <c r="DY314" s="4">
        <v>650.44995100000006</v>
      </c>
      <c r="DZ314" s="4">
        <v>712.58007799999996</v>
      </c>
      <c r="EA314" s="4">
        <v>19.267016000000002</v>
      </c>
      <c r="EB314" s="4">
        <v>21.462264000000001</v>
      </c>
      <c r="EC314" s="4">
        <v>28.586386999999998</v>
      </c>
      <c r="ED314" s="4">
        <v>184</v>
      </c>
      <c r="EE314" s="4">
        <v>273</v>
      </c>
      <c r="EF314" s="4">
        <v>17.068062999999999</v>
      </c>
      <c r="EG314" s="4">
        <v>99.685863999999995</v>
      </c>
      <c r="EH314" s="4">
        <v>18.946541</v>
      </c>
      <c r="EI314" s="4">
        <v>99.764150999999998</v>
      </c>
      <c r="EJ314" s="4">
        <v>25.235602</v>
      </c>
      <c r="EK314" s="4">
        <v>132.879581</v>
      </c>
      <c r="EL314" s="4">
        <v>163</v>
      </c>
      <c r="EM314" s="4">
        <v>952</v>
      </c>
      <c r="EN314" s="4">
        <v>241</v>
      </c>
      <c r="EO314" s="4">
        <v>1269</v>
      </c>
      <c r="EP314" s="4">
        <v>955</v>
      </c>
      <c r="EQ314" s="4">
        <v>1272</v>
      </c>
      <c r="ER314" s="4">
        <v>13.868312</v>
      </c>
    </row>
    <row r="315" spans="1:148" x14ac:dyDescent="0.2">
      <c r="A315" s="1">
        <v>2025</v>
      </c>
      <c r="B315" s="1" t="str">
        <f t="shared" si="8"/>
        <v>GN</v>
      </c>
      <c r="C315" s="1" t="s">
        <v>1528</v>
      </c>
      <c r="D315" s="1" t="s">
        <v>1528</v>
      </c>
      <c r="E315" s="1">
        <v>33342</v>
      </c>
      <c r="F315" s="1" t="s">
        <v>2162</v>
      </c>
      <c r="G315" s="1" t="s">
        <v>1494</v>
      </c>
      <c r="H315" s="1" t="s">
        <v>1927</v>
      </c>
      <c r="I315" s="1">
        <v>50.21</v>
      </c>
      <c r="J315" s="1">
        <v>50.21</v>
      </c>
      <c r="K315" s="1" t="s">
        <v>264</v>
      </c>
      <c r="L315" s="1">
        <v>1</v>
      </c>
      <c r="M315" s="3">
        <v>2019</v>
      </c>
      <c r="O315" s="1">
        <v>2</v>
      </c>
      <c r="P315" s="1" t="str">
        <f t="shared" si="9"/>
        <v>Talhadia</v>
      </c>
      <c r="Q315" s="2">
        <v>43580</v>
      </c>
      <c r="R315" s="1" t="s">
        <v>169</v>
      </c>
      <c r="S315" s="1" t="s">
        <v>160</v>
      </c>
      <c r="T315" s="1" t="s">
        <v>2268</v>
      </c>
      <c r="U315" s="1" t="s">
        <v>266</v>
      </c>
      <c r="V315" s="1" t="s">
        <v>152</v>
      </c>
      <c r="W315" s="2">
        <v>45716</v>
      </c>
      <c r="X315" s="1" t="s">
        <v>1496</v>
      </c>
      <c r="Y315" s="1">
        <v>457.43000000000006</v>
      </c>
      <c r="Z315" s="1">
        <v>21.1</v>
      </c>
      <c r="AA315" s="1">
        <v>2</v>
      </c>
      <c r="AB315" s="1">
        <v>15.4</v>
      </c>
      <c r="AC315" s="1">
        <v>1</v>
      </c>
      <c r="AD315" s="3">
        <v>324.94</v>
      </c>
      <c r="AE315" s="3">
        <v>324.69259554363401</v>
      </c>
      <c r="AF315" s="2">
        <v>45716</v>
      </c>
      <c r="AG315" s="1">
        <v>70</v>
      </c>
      <c r="AH315" s="3">
        <v>5.8480492813141698</v>
      </c>
      <c r="AI315" s="4">
        <v>28.334924673137301</v>
      </c>
      <c r="AJ315" s="4">
        <v>17.038235294117602</v>
      </c>
      <c r="AK315" s="4">
        <v>24.431567968267199</v>
      </c>
      <c r="AL315" s="1">
        <v>34</v>
      </c>
      <c r="AM315" s="5">
        <v>1047.1442979188901</v>
      </c>
      <c r="AN315" s="4">
        <v>337.08691247094498</v>
      </c>
      <c r="AO315" s="4">
        <v>0.32191066039406202</v>
      </c>
      <c r="AP315" s="1" t="s">
        <v>160</v>
      </c>
      <c r="AQ315" s="1" t="s">
        <v>254</v>
      </c>
      <c r="AR315" s="1" t="s">
        <v>2266</v>
      </c>
      <c r="AS315" s="1">
        <v>9</v>
      </c>
      <c r="AT315" s="4">
        <v>0.94242986812700102</v>
      </c>
      <c r="AU315" s="1" t="s">
        <v>1527</v>
      </c>
      <c r="AV315" s="1" t="s">
        <v>1528</v>
      </c>
      <c r="AW315" s="1">
        <v>1298</v>
      </c>
      <c r="AX315" s="1">
        <v>738</v>
      </c>
      <c r="AY315" s="1">
        <v>402</v>
      </c>
      <c r="AZ315" s="1">
        <v>140</v>
      </c>
      <c r="BA315" s="1">
        <v>15</v>
      </c>
      <c r="BB315" s="1">
        <v>3</v>
      </c>
      <c r="BC315" s="1">
        <v>0</v>
      </c>
      <c r="BD315" s="1">
        <v>0</v>
      </c>
      <c r="BE315" s="1">
        <v>0</v>
      </c>
      <c r="BF315" s="1">
        <v>0</v>
      </c>
      <c r="BG315" s="1">
        <v>0</v>
      </c>
      <c r="BH315" s="4">
        <v>0</v>
      </c>
      <c r="BI315" s="4">
        <v>30.867999999999999</v>
      </c>
      <c r="BJ315" s="4">
        <v>18.710236999999999</v>
      </c>
      <c r="BK315" s="4">
        <v>0</v>
      </c>
      <c r="BL315" s="4">
        <v>11.909943999999999</v>
      </c>
      <c r="BM315" s="4">
        <v>141.84675799999999</v>
      </c>
      <c r="BN315" s="4">
        <v>0.63654699999999997</v>
      </c>
      <c r="BO315" s="4">
        <v>24.01</v>
      </c>
      <c r="BP315" s="4">
        <v>-0.73321800000000004</v>
      </c>
      <c r="BQ315" s="4">
        <v>1.7245280000000001</v>
      </c>
      <c r="BR315" s="4">
        <v>10.842976</v>
      </c>
      <c r="BS315" s="4">
        <v>3.1510009999999999</v>
      </c>
      <c r="BT315" s="4">
        <v>25.737998999999999</v>
      </c>
      <c r="BU315" s="4">
        <v>18.710236999999999</v>
      </c>
      <c r="BV315" s="4">
        <v>6.2003360000000001</v>
      </c>
      <c r="BW315" s="4">
        <v>-1.696993</v>
      </c>
      <c r="BX315" s="4">
        <v>-0.38924199999999998</v>
      </c>
      <c r="BY315" s="4">
        <v>0.33138699999999999</v>
      </c>
      <c r="BZ315" s="4">
        <v>-0.27369399999999999</v>
      </c>
      <c r="CA315" s="4">
        <v>-6.2778E-2</v>
      </c>
      <c r="CB315" s="4">
        <v>1E-3</v>
      </c>
      <c r="CC315" s="4">
        <v>6.0000000000000001E-3</v>
      </c>
      <c r="CD315" s="4">
        <v>1.4E-2</v>
      </c>
      <c r="CE315" s="4">
        <v>4.9000000000000002E-2</v>
      </c>
      <c r="CF315" s="4">
        <v>3.82</v>
      </c>
      <c r="CG315" s="4">
        <v>10.1974</v>
      </c>
      <c r="CH315" s="4">
        <v>24.158199</v>
      </c>
      <c r="CI315" s="4">
        <v>25.737998999999999</v>
      </c>
      <c r="CJ315" s="4">
        <v>26.616599999999998</v>
      </c>
      <c r="CK315" s="4">
        <v>27.3948</v>
      </c>
      <c r="CL315" s="4">
        <v>27.83</v>
      </c>
      <c r="CM315" s="4">
        <v>28.267199000000002</v>
      </c>
      <c r="CN315" s="4">
        <v>29.1374</v>
      </c>
      <c r="CO315" s="4">
        <v>29.595099999999999</v>
      </c>
      <c r="CP315" s="4">
        <v>30.342238999999999</v>
      </c>
      <c r="CQ315" s="4">
        <v>0.60613700000000004</v>
      </c>
      <c r="CR315" s="4">
        <v>22.176798999999999</v>
      </c>
      <c r="CS315" s="4">
        <v>23.673843000000002</v>
      </c>
      <c r="CT315" s="1">
        <v>23</v>
      </c>
      <c r="CU315" s="1">
        <v>794</v>
      </c>
      <c r="CV315" s="4">
        <v>224.03389799999999</v>
      </c>
      <c r="CW315" s="4">
        <v>35.238095000000001</v>
      </c>
      <c r="CX315" s="4">
        <v>162.57311899999999</v>
      </c>
      <c r="CY315" s="4">
        <v>26430.018899999999</v>
      </c>
      <c r="CZ315" s="4">
        <v>0.72566299999999995</v>
      </c>
      <c r="DA315" s="4">
        <v>254</v>
      </c>
      <c r="DB315" s="4">
        <v>0.87950099999999998</v>
      </c>
      <c r="DC315" s="4">
        <v>3.3961009999999998</v>
      </c>
      <c r="DD315" s="4">
        <v>134.371602</v>
      </c>
      <c r="DE315" s="4">
        <v>224.03389799999999</v>
      </c>
      <c r="DF315" s="4">
        <v>89.727948999999995</v>
      </c>
      <c r="DG315" s="4">
        <v>16.849767</v>
      </c>
      <c r="DH315" s="4">
        <v>5.1833080000000002</v>
      </c>
      <c r="DI315" s="4">
        <v>0.40051100000000001</v>
      </c>
      <c r="DJ315" s="4">
        <v>0.18778700000000001</v>
      </c>
      <c r="DK315" s="4">
        <v>5.7766999999999999E-2</v>
      </c>
      <c r="DL315" s="4">
        <v>27</v>
      </c>
      <c r="DM315" s="4">
        <v>34.849997999999999</v>
      </c>
      <c r="DN315" s="4">
        <v>43.699997000000003</v>
      </c>
      <c r="DO315" s="4">
        <v>67</v>
      </c>
      <c r="DP315" s="4">
        <v>80</v>
      </c>
      <c r="DQ315" s="4">
        <v>99</v>
      </c>
      <c r="DR315" s="4">
        <v>138.79998800000001</v>
      </c>
      <c r="DS315" s="4">
        <v>193</v>
      </c>
      <c r="DT315" s="4">
        <v>252.20001199999999</v>
      </c>
      <c r="DU315" s="4">
        <v>309</v>
      </c>
      <c r="DV315" s="4">
        <v>334</v>
      </c>
      <c r="DW315" s="4">
        <v>358</v>
      </c>
      <c r="DX315" s="4">
        <v>429.600098</v>
      </c>
      <c r="DY315" s="4">
        <v>533.45007299999997</v>
      </c>
      <c r="DZ315" s="4">
        <v>723.06005900000002</v>
      </c>
      <c r="EA315" s="4">
        <v>95.121950999999996</v>
      </c>
      <c r="EB315" s="4">
        <v>75.346687000000003</v>
      </c>
      <c r="EC315" s="4">
        <v>132.52032500000001</v>
      </c>
      <c r="ED315" s="4">
        <v>702</v>
      </c>
      <c r="EE315" s="4">
        <v>978</v>
      </c>
      <c r="EF315" s="4">
        <v>89.159891999999999</v>
      </c>
      <c r="EG315" s="4">
        <v>100</v>
      </c>
      <c r="EH315" s="4">
        <v>64.946071000000003</v>
      </c>
      <c r="EI315" s="4">
        <v>99.768874999999994</v>
      </c>
      <c r="EJ315" s="4">
        <v>114.227642</v>
      </c>
      <c r="EK315" s="4">
        <v>175.474255</v>
      </c>
      <c r="EL315" s="4">
        <v>658</v>
      </c>
      <c r="EM315" s="4">
        <v>738</v>
      </c>
      <c r="EN315" s="4">
        <v>843</v>
      </c>
      <c r="EO315" s="4">
        <v>1295</v>
      </c>
      <c r="EP315" s="4">
        <v>738</v>
      </c>
      <c r="EQ315" s="4">
        <v>1298</v>
      </c>
      <c r="ER315" s="4">
        <v>60.659725000000002</v>
      </c>
    </row>
    <row r="316" spans="1:148" x14ac:dyDescent="0.2">
      <c r="A316" s="1">
        <v>2025</v>
      </c>
      <c r="B316" s="1" t="str">
        <f t="shared" si="8"/>
        <v>GN</v>
      </c>
      <c r="C316" s="1" t="s">
        <v>1530</v>
      </c>
      <c r="D316" s="1" t="s">
        <v>1530</v>
      </c>
      <c r="E316" s="1">
        <v>33348</v>
      </c>
      <c r="F316" s="1" t="s">
        <v>2162</v>
      </c>
      <c r="G316" s="1" t="s">
        <v>1494</v>
      </c>
      <c r="H316" s="1" t="s">
        <v>1927</v>
      </c>
      <c r="I316" s="1">
        <v>50.21</v>
      </c>
      <c r="J316" s="1">
        <v>50.21</v>
      </c>
      <c r="K316" s="1" t="s">
        <v>264</v>
      </c>
      <c r="L316" s="1">
        <v>1</v>
      </c>
      <c r="M316" s="3">
        <v>2019</v>
      </c>
      <c r="O316" s="1">
        <v>2</v>
      </c>
      <c r="P316" s="1" t="str">
        <f t="shared" si="9"/>
        <v>Talhadia</v>
      </c>
      <c r="Q316" s="2">
        <v>43580</v>
      </c>
      <c r="R316" s="1" t="s">
        <v>169</v>
      </c>
      <c r="S316" s="1" t="s">
        <v>160</v>
      </c>
      <c r="T316" s="1" t="s">
        <v>2268</v>
      </c>
      <c r="U316" s="1" t="s">
        <v>266</v>
      </c>
      <c r="V316" s="1" t="s">
        <v>152</v>
      </c>
      <c r="W316" s="2">
        <v>44745</v>
      </c>
      <c r="X316" s="1" t="s">
        <v>1496</v>
      </c>
      <c r="Y316" s="1">
        <v>457.43000000000006</v>
      </c>
      <c r="Z316" s="1">
        <v>19</v>
      </c>
      <c r="AA316" s="1">
        <v>9</v>
      </c>
      <c r="AB316" s="1">
        <v>15</v>
      </c>
      <c r="AC316" s="1">
        <v>2</v>
      </c>
      <c r="AD316" s="3">
        <v>285</v>
      </c>
      <c r="AE316" s="3">
        <v>281.31970025018097</v>
      </c>
      <c r="AF316" s="2">
        <v>45716</v>
      </c>
      <c r="AG316" s="1">
        <v>70</v>
      </c>
      <c r="AH316" s="3">
        <v>5.8480492813141698</v>
      </c>
      <c r="AI316" s="4">
        <v>26.0256140643578</v>
      </c>
      <c r="AJ316" s="4">
        <v>15.2529411764706</v>
      </c>
      <c r="AK316" s="4">
        <v>23.015105385972898</v>
      </c>
      <c r="AL316" s="1">
        <v>34</v>
      </c>
      <c r="AM316" s="5">
        <v>1208.5893725097601</v>
      </c>
      <c r="AN316" s="4">
        <v>299.166889813686</v>
      </c>
      <c r="AO316" s="4">
        <v>0.247533940491661</v>
      </c>
      <c r="AP316" s="1" t="s">
        <v>160</v>
      </c>
      <c r="AQ316" s="1" t="s">
        <v>254</v>
      </c>
      <c r="AR316" s="1" t="s">
        <v>2266</v>
      </c>
      <c r="AS316" s="1">
        <v>9</v>
      </c>
      <c r="AT316" s="4">
        <v>1.0877304352587842</v>
      </c>
      <c r="AU316" s="1" t="s">
        <v>1529</v>
      </c>
      <c r="AV316" s="1" t="s">
        <v>1530</v>
      </c>
      <c r="AW316" s="1">
        <v>1155</v>
      </c>
      <c r="AX316" s="1">
        <v>707</v>
      </c>
      <c r="AY316" s="1">
        <v>319</v>
      </c>
      <c r="AZ316" s="1">
        <v>114</v>
      </c>
      <c r="BA316" s="1">
        <v>15</v>
      </c>
      <c r="BB316" s="1">
        <v>0</v>
      </c>
      <c r="BC316" s="1">
        <v>0</v>
      </c>
      <c r="BD316" s="1">
        <v>0</v>
      </c>
      <c r="BE316" s="1">
        <v>0</v>
      </c>
      <c r="BF316" s="1">
        <v>0</v>
      </c>
      <c r="BG316" s="1">
        <v>0</v>
      </c>
      <c r="BH316" s="4">
        <v>0</v>
      </c>
      <c r="BI316" s="4">
        <v>30.190000999999999</v>
      </c>
      <c r="BJ316" s="4">
        <v>18.907177000000001</v>
      </c>
      <c r="BK316" s="4">
        <v>0</v>
      </c>
      <c r="BL316" s="4">
        <v>10.809556000000001</v>
      </c>
      <c r="BM316" s="4">
        <v>116.84649</v>
      </c>
      <c r="BN316" s="4">
        <v>0.57171700000000003</v>
      </c>
      <c r="BO316" s="4">
        <v>16.316998999999999</v>
      </c>
      <c r="BP316" s="4">
        <v>-0.99897499999999995</v>
      </c>
      <c r="BQ316" s="4">
        <v>2.2207940000000002</v>
      </c>
      <c r="BR316" s="4">
        <v>9.3241700000000005</v>
      </c>
      <c r="BS316" s="4">
        <v>2.5790000000000002</v>
      </c>
      <c r="BT316" s="4">
        <v>24.535999</v>
      </c>
      <c r="BU316" s="4">
        <v>18.907177000000001</v>
      </c>
      <c r="BV316" s="4">
        <v>5.4530649999999996</v>
      </c>
      <c r="BW316" s="4">
        <v>-1.863078</v>
      </c>
      <c r="BX316" s="4">
        <v>0.1036</v>
      </c>
      <c r="BY316" s="4">
        <v>0.288412</v>
      </c>
      <c r="BZ316" s="4">
        <v>-0.34165699999999999</v>
      </c>
      <c r="CA316" s="4">
        <v>1.8998999999999999E-2</v>
      </c>
      <c r="CB316" s="4">
        <v>2E-3</v>
      </c>
      <c r="CC316" s="4">
        <v>1.0999999999999999E-2</v>
      </c>
      <c r="CD316" s="4">
        <v>2.3E-2</v>
      </c>
      <c r="CE316" s="4">
        <v>7.46E-2</v>
      </c>
      <c r="CF316" s="4">
        <v>10.1845</v>
      </c>
      <c r="CG316" s="4">
        <v>19.191400999999999</v>
      </c>
      <c r="CH316" s="4">
        <v>23.384198999999999</v>
      </c>
      <c r="CI316" s="4">
        <v>24.535999</v>
      </c>
      <c r="CJ316" s="4">
        <v>25.398401</v>
      </c>
      <c r="CK316" s="4">
        <v>26.184598999999999</v>
      </c>
      <c r="CL316" s="4">
        <v>26.501498999999999</v>
      </c>
      <c r="CM316" s="4">
        <v>26.859200000000001</v>
      </c>
      <c r="CN316" s="4">
        <v>27.499599</v>
      </c>
      <c r="CO316" s="4">
        <v>28.390799999999999</v>
      </c>
      <c r="CP316" s="4">
        <v>29.096800000000002</v>
      </c>
      <c r="CQ316" s="4">
        <v>0.62627299999999997</v>
      </c>
      <c r="CR316" s="4">
        <v>21.776745999999999</v>
      </c>
      <c r="CS316" s="4">
        <v>22.970506</v>
      </c>
      <c r="CT316" s="1">
        <v>22</v>
      </c>
      <c r="CU316" s="1">
        <v>766</v>
      </c>
      <c r="CV316" s="4">
        <v>227.64675299999999</v>
      </c>
      <c r="CW316" s="4">
        <v>33.809524000000003</v>
      </c>
      <c r="CX316" s="4">
        <v>160.60293100000001</v>
      </c>
      <c r="CY316" s="4">
        <v>25793.301449999999</v>
      </c>
      <c r="CZ316" s="4">
        <v>0.70549200000000001</v>
      </c>
      <c r="DA316" s="4">
        <v>279.5</v>
      </c>
      <c r="DB316" s="4">
        <v>0.48830000000000001</v>
      </c>
      <c r="DC316" s="4">
        <v>2.2861020000000001</v>
      </c>
      <c r="DD316" s="4">
        <v>139.75144499999999</v>
      </c>
      <c r="DE316" s="4">
        <v>227.64675299999999</v>
      </c>
      <c r="DF316" s="4">
        <v>90.767061999999996</v>
      </c>
      <c r="DG316" s="4">
        <v>11.722146</v>
      </c>
      <c r="DH316" s="4">
        <v>-0.267065</v>
      </c>
      <c r="DI316" s="4">
        <v>0.39871899999999999</v>
      </c>
      <c r="DJ316" s="4">
        <v>0.12914500000000001</v>
      </c>
      <c r="DK316" s="4">
        <v>-2.9420000000000002E-3</v>
      </c>
      <c r="DL316" s="4">
        <v>25</v>
      </c>
      <c r="DM316" s="4">
        <v>32</v>
      </c>
      <c r="DN316" s="4">
        <v>39</v>
      </c>
      <c r="DO316" s="4">
        <v>61</v>
      </c>
      <c r="DP316" s="4">
        <v>74</v>
      </c>
      <c r="DQ316" s="4">
        <v>91.200012000000001</v>
      </c>
      <c r="DR316" s="4">
        <v>141.60000600000001</v>
      </c>
      <c r="DS316" s="4">
        <v>208</v>
      </c>
      <c r="DT316" s="4">
        <v>282.40002399999997</v>
      </c>
      <c r="DU316" s="4">
        <v>330</v>
      </c>
      <c r="DV316" s="4">
        <v>353.5</v>
      </c>
      <c r="DW316" s="4">
        <v>378.20001200000002</v>
      </c>
      <c r="DX316" s="4">
        <v>435</v>
      </c>
      <c r="DY316" s="4">
        <v>503.300049</v>
      </c>
      <c r="DZ316" s="4">
        <v>622.37988299999995</v>
      </c>
      <c r="EA316" s="4">
        <v>95.332390000000004</v>
      </c>
      <c r="EB316" s="4">
        <v>78.008657999999997</v>
      </c>
      <c r="EC316" s="4">
        <v>127.439887</v>
      </c>
      <c r="ED316" s="4">
        <v>674</v>
      </c>
      <c r="EE316" s="4">
        <v>901</v>
      </c>
      <c r="EF316" s="4">
        <v>90.947665999999998</v>
      </c>
      <c r="EG316" s="4">
        <v>100</v>
      </c>
      <c r="EH316" s="4">
        <v>70.389610000000005</v>
      </c>
      <c r="EI316" s="4">
        <v>99.653679999999994</v>
      </c>
      <c r="EJ316" s="4">
        <v>114.99292800000001</v>
      </c>
      <c r="EK316" s="4">
        <v>162.800566</v>
      </c>
      <c r="EL316" s="4">
        <v>643</v>
      </c>
      <c r="EM316" s="4">
        <v>707</v>
      </c>
      <c r="EN316" s="4">
        <v>813</v>
      </c>
      <c r="EO316" s="4">
        <v>1151</v>
      </c>
      <c r="EP316" s="4">
        <v>707</v>
      </c>
      <c r="EQ316" s="4">
        <v>1155</v>
      </c>
      <c r="ER316" s="4">
        <v>63.951152</v>
      </c>
    </row>
    <row r="317" spans="1:148" x14ac:dyDescent="0.2">
      <c r="A317" s="1">
        <v>2025</v>
      </c>
      <c r="B317" s="1" t="str">
        <f t="shared" si="8"/>
        <v>GN</v>
      </c>
      <c r="C317" s="1" t="s">
        <v>1532</v>
      </c>
      <c r="D317" s="1" t="s">
        <v>1532</v>
      </c>
      <c r="E317" s="1">
        <v>27709</v>
      </c>
      <c r="F317" s="1" t="s">
        <v>2163</v>
      </c>
      <c r="G317" s="1" t="s">
        <v>2003</v>
      </c>
      <c r="H317" s="1" t="s">
        <v>1928</v>
      </c>
      <c r="I317" s="1">
        <v>73.39</v>
      </c>
      <c r="J317" s="1">
        <v>73.39</v>
      </c>
      <c r="K317" s="1" t="s">
        <v>264</v>
      </c>
      <c r="L317" s="1">
        <v>1</v>
      </c>
      <c r="M317" s="3">
        <v>2020</v>
      </c>
      <c r="O317" s="1">
        <v>3</v>
      </c>
      <c r="P317" s="1" t="str">
        <f t="shared" si="9"/>
        <v>Talhadia</v>
      </c>
      <c r="Q317" s="2">
        <v>44117</v>
      </c>
      <c r="R317" s="1" t="s">
        <v>149</v>
      </c>
      <c r="S317" s="1" t="s">
        <v>193</v>
      </c>
      <c r="T317" s="1" t="s">
        <v>2268</v>
      </c>
      <c r="U317" s="1" t="s">
        <v>266</v>
      </c>
      <c r="V317" s="1" t="s">
        <v>152</v>
      </c>
      <c r="W317" s="2">
        <v>44746</v>
      </c>
      <c r="X317" s="1" t="s">
        <v>2164</v>
      </c>
      <c r="Y317" s="1">
        <v>163.79999999999998</v>
      </c>
      <c r="Z317" s="1">
        <v>20.3</v>
      </c>
      <c r="AA317" s="1">
        <v>5</v>
      </c>
      <c r="AB317" s="1">
        <v>14.2</v>
      </c>
      <c r="AC317" s="1">
        <v>3</v>
      </c>
      <c r="AD317" s="3">
        <v>288.26</v>
      </c>
      <c r="AE317" s="3">
        <v>286.769536645985</v>
      </c>
      <c r="AF317" s="2">
        <v>45715</v>
      </c>
      <c r="AG317" s="1">
        <v>52</v>
      </c>
      <c r="AH317" s="3">
        <v>4.3750855578371004</v>
      </c>
      <c r="AI317" s="4">
        <v>23.375839159868001</v>
      </c>
      <c r="AJ317" s="4">
        <v>15.4185185185185</v>
      </c>
      <c r="AK317" s="4">
        <v>18.772325446753499</v>
      </c>
      <c r="AL317" s="1">
        <v>27</v>
      </c>
      <c r="AM317" s="5">
        <v>941.52260089366905</v>
      </c>
      <c r="AN317" s="4">
        <v>224.72601589014201</v>
      </c>
      <c r="AO317" s="4">
        <v>0.23868361277449701</v>
      </c>
      <c r="AP317" s="1" t="s">
        <v>193</v>
      </c>
      <c r="AQ317" s="1" t="s">
        <v>254</v>
      </c>
      <c r="AR317" s="1" t="s">
        <v>291</v>
      </c>
      <c r="AS317" s="1">
        <v>9.99</v>
      </c>
      <c r="AT317" s="4">
        <v>0.94058107829277537</v>
      </c>
      <c r="AU317" s="1" t="s">
        <v>1531</v>
      </c>
      <c r="AV317" s="1" t="s">
        <v>1532</v>
      </c>
      <c r="AW317" s="1">
        <v>1168</v>
      </c>
      <c r="AX317" s="1">
        <v>698</v>
      </c>
      <c r="AY317" s="1">
        <v>361</v>
      </c>
      <c r="AZ317" s="1">
        <v>94</v>
      </c>
      <c r="BA317" s="1">
        <v>14</v>
      </c>
      <c r="BB317" s="1">
        <v>1</v>
      </c>
      <c r="BC317" s="1">
        <v>0</v>
      </c>
      <c r="BD317" s="1">
        <v>0</v>
      </c>
      <c r="BE317" s="1">
        <v>0</v>
      </c>
      <c r="BF317" s="1">
        <v>0</v>
      </c>
      <c r="BG317" s="1">
        <v>0</v>
      </c>
      <c r="BH317" s="4">
        <v>0</v>
      </c>
      <c r="BI317" s="4">
        <v>24.207999999999998</v>
      </c>
      <c r="BJ317" s="4">
        <v>17.468447999999999</v>
      </c>
      <c r="BK317" s="4">
        <v>0</v>
      </c>
      <c r="BL317" s="4">
        <v>7.5545410000000004</v>
      </c>
      <c r="BM317" s="4">
        <v>57.071091000000003</v>
      </c>
      <c r="BN317" s="4">
        <v>0.43246800000000002</v>
      </c>
      <c r="BO317" s="4">
        <v>3.2997489999999998</v>
      </c>
      <c r="BP317" s="4">
        <v>-1.679387</v>
      </c>
      <c r="BQ317" s="4">
        <v>4.1628020000000001</v>
      </c>
      <c r="BR317" s="4">
        <v>5.5714940000000004</v>
      </c>
      <c r="BS317" s="4">
        <v>1.480499</v>
      </c>
      <c r="BT317" s="4">
        <v>20.589500000000001</v>
      </c>
      <c r="BU317" s="4">
        <v>17.468447999999999</v>
      </c>
      <c r="BV317" s="4">
        <v>3.4284059999999998</v>
      </c>
      <c r="BW317" s="4">
        <v>-1.6317349999999999</v>
      </c>
      <c r="BX317" s="4">
        <v>0.74070400000000003</v>
      </c>
      <c r="BY317" s="4">
        <v>0.19626299999999999</v>
      </c>
      <c r="BZ317" s="4">
        <v>-0.47594599999999998</v>
      </c>
      <c r="CA317" s="4">
        <v>0.21604899999999999</v>
      </c>
      <c r="CB317" s="4">
        <v>3.0000000000000001E-3</v>
      </c>
      <c r="CC317" s="4">
        <v>1.2E-2</v>
      </c>
      <c r="CD317" s="4">
        <v>2.9000000000000001E-2</v>
      </c>
      <c r="CE317" s="4">
        <v>17.361398999999999</v>
      </c>
      <c r="CF317" s="4">
        <v>18.535499999999999</v>
      </c>
      <c r="CG317" s="4">
        <v>19.0471</v>
      </c>
      <c r="CH317" s="4">
        <v>19.793600000000001</v>
      </c>
      <c r="CI317" s="4">
        <v>20.589500000000001</v>
      </c>
      <c r="CJ317" s="4">
        <v>21.131401</v>
      </c>
      <c r="CK317" s="4">
        <v>21.615599</v>
      </c>
      <c r="CL317" s="4">
        <v>21.835249000000001</v>
      </c>
      <c r="CM317" s="4">
        <v>22.0562</v>
      </c>
      <c r="CN317" s="4">
        <v>22.632899999999999</v>
      </c>
      <c r="CO317" s="4">
        <v>22.954799999999999</v>
      </c>
      <c r="CP317" s="4">
        <v>23.726268999999998</v>
      </c>
      <c r="CQ317" s="4">
        <v>0.72159799999999996</v>
      </c>
      <c r="CR317" s="4">
        <v>19.030736000000001</v>
      </c>
      <c r="CS317" s="4">
        <v>19.656863000000001</v>
      </c>
      <c r="CT317" s="1">
        <v>24</v>
      </c>
      <c r="CU317" s="1">
        <v>617</v>
      </c>
      <c r="CV317" s="4">
        <v>158.89640399999999</v>
      </c>
      <c r="CW317" s="4">
        <v>42.825397000000002</v>
      </c>
      <c r="CX317" s="4">
        <v>102.586776</v>
      </c>
      <c r="CY317" s="4">
        <v>10524.04667</v>
      </c>
      <c r="CZ317" s="4">
        <v>0.645621</v>
      </c>
      <c r="DA317" s="4">
        <v>146.25</v>
      </c>
      <c r="DB317" s="4">
        <v>1.021172</v>
      </c>
      <c r="DC317" s="4">
        <v>4.0170370000000002</v>
      </c>
      <c r="DD317" s="4">
        <v>82.840823999999998</v>
      </c>
      <c r="DE317" s="4">
        <v>158.89640399999999</v>
      </c>
      <c r="DF317" s="4">
        <v>56.154159</v>
      </c>
      <c r="DG317" s="4">
        <v>11.298323</v>
      </c>
      <c r="DH317" s="4">
        <v>4.6758110000000004</v>
      </c>
      <c r="DI317" s="4">
        <v>0.35340100000000002</v>
      </c>
      <c r="DJ317" s="4">
        <v>0.20120199999999999</v>
      </c>
      <c r="DK317" s="4">
        <v>8.3266999999999994E-2</v>
      </c>
      <c r="DL317" s="4">
        <v>29</v>
      </c>
      <c r="DM317" s="4">
        <v>39</v>
      </c>
      <c r="DN317" s="4">
        <v>47</v>
      </c>
      <c r="DO317" s="4">
        <v>64</v>
      </c>
      <c r="DP317" s="4">
        <v>75</v>
      </c>
      <c r="DQ317" s="4">
        <v>84</v>
      </c>
      <c r="DR317" s="4">
        <v>108</v>
      </c>
      <c r="DS317" s="4">
        <v>136</v>
      </c>
      <c r="DT317" s="4">
        <v>169</v>
      </c>
      <c r="DU317" s="4">
        <v>205</v>
      </c>
      <c r="DV317" s="4">
        <v>221.25</v>
      </c>
      <c r="DW317" s="4">
        <v>241.599976</v>
      </c>
      <c r="DX317" s="4">
        <v>298</v>
      </c>
      <c r="DY317" s="4">
        <v>350.65002399999997</v>
      </c>
      <c r="DZ317" s="4">
        <v>465.989868</v>
      </c>
      <c r="EA317" s="4">
        <v>98.567335</v>
      </c>
      <c r="EB317" s="4">
        <v>85.787671000000003</v>
      </c>
      <c r="EC317" s="4">
        <v>143.553009</v>
      </c>
      <c r="ED317" s="4">
        <v>688</v>
      </c>
      <c r="EE317" s="4">
        <v>1002</v>
      </c>
      <c r="EF317" s="4">
        <v>94.555874000000003</v>
      </c>
      <c r="EG317" s="4">
        <v>100</v>
      </c>
      <c r="EH317" s="4">
        <v>79.880137000000005</v>
      </c>
      <c r="EI317" s="4">
        <v>99.828766999999999</v>
      </c>
      <c r="EJ317" s="4">
        <v>133.66762199999999</v>
      </c>
      <c r="EK317" s="4">
        <v>167.048711</v>
      </c>
      <c r="EL317" s="4">
        <v>660</v>
      </c>
      <c r="EM317" s="4">
        <v>698</v>
      </c>
      <c r="EN317" s="4">
        <v>933</v>
      </c>
      <c r="EO317" s="4">
        <v>1166</v>
      </c>
      <c r="EP317" s="4">
        <v>698</v>
      </c>
      <c r="EQ317" s="4">
        <v>1168</v>
      </c>
      <c r="ER317" s="4">
        <v>72.666775999999999</v>
      </c>
    </row>
    <row r="318" spans="1:148" x14ac:dyDescent="0.2">
      <c r="A318" s="1">
        <v>2025</v>
      </c>
      <c r="B318" s="1" t="str">
        <f t="shared" si="8"/>
        <v>GN</v>
      </c>
      <c r="C318" s="1" t="s">
        <v>1534</v>
      </c>
      <c r="D318" s="1" t="s">
        <v>1534</v>
      </c>
      <c r="E318" s="1">
        <v>27710</v>
      </c>
      <c r="F318" s="1" t="s">
        <v>2163</v>
      </c>
      <c r="G318" s="1" t="s">
        <v>2003</v>
      </c>
      <c r="H318" s="1" t="s">
        <v>1928</v>
      </c>
      <c r="I318" s="1">
        <v>73.39</v>
      </c>
      <c r="J318" s="1">
        <v>73.39</v>
      </c>
      <c r="K318" s="1" t="s">
        <v>264</v>
      </c>
      <c r="L318" s="1">
        <v>1</v>
      </c>
      <c r="M318" s="3">
        <v>2020</v>
      </c>
      <c r="O318" s="1">
        <v>3</v>
      </c>
      <c r="P318" s="1" t="str">
        <f t="shared" si="9"/>
        <v>Talhadia</v>
      </c>
      <c r="Q318" s="2">
        <v>44117</v>
      </c>
      <c r="R318" s="1" t="s">
        <v>149</v>
      </c>
      <c r="S318" s="1" t="s">
        <v>193</v>
      </c>
      <c r="T318" s="1" t="s">
        <v>2268</v>
      </c>
      <c r="U318" s="1" t="s">
        <v>266</v>
      </c>
      <c r="V318" s="1" t="s">
        <v>152</v>
      </c>
      <c r="W318" s="2">
        <v>45715</v>
      </c>
      <c r="X318" s="1" t="s">
        <v>2164</v>
      </c>
      <c r="Y318" s="1">
        <v>163.79999999999998</v>
      </c>
      <c r="Z318" s="1">
        <v>21.1</v>
      </c>
      <c r="AA318" s="1">
        <v>1</v>
      </c>
      <c r="AB318" s="1">
        <v>16.3</v>
      </c>
      <c r="AC318" s="1">
        <v>0</v>
      </c>
      <c r="AD318" s="3">
        <v>343.93</v>
      </c>
      <c r="AE318" s="3">
        <v>343.87761779513801</v>
      </c>
      <c r="AF318" s="2">
        <v>45715</v>
      </c>
      <c r="AG318" s="1">
        <v>52</v>
      </c>
      <c r="AH318" s="3">
        <v>4.3750855578371004</v>
      </c>
      <c r="AI318" s="4">
        <v>25.8764827368502</v>
      </c>
      <c r="AJ318" s="4">
        <v>16.175000000000001</v>
      </c>
      <c r="AK318" s="4">
        <v>19.8567242996997</v>
      </c>
      <c r="AL318" s="1">
        <v>32</v>
      </c>
      <c r="AM318" s="5">
        <v>930.56361752115401</v>
      </c>
      <c r="AN318" s="4">
        <v>254.31335837301199</v>
      </c>
      <c r="AO318" s="4">
        <v>0.273289599533726</v>
      </c>
      <c r="AP318" s="1" t="s">
        <v>193</v>
      </c>
      <c r="AQ318" s="1" t="s">
        <v>254</v>
      </c>
      <c r="AR318" s="1" t="s">
        <v>291</v>
      </c>
      <c r="AS318" s="1">
        <v>9.99</v>
      </c>
      <c r="AT318" s="4">
        <v>0.92963305390363282</v>
      </c>
      <c r="AU318" s="1" t="s">
        <v>1533</v>
      </c>
      <c r="AV318" s="1" t="s">
        <v>1534</v>
      </c>
      <c r="AW318" s="1">
        <v>1564</v>
      </c>
      <c r="AX318" s="1">
        <v>881</v>
      </c>
      <c r="AY318" s="1">
        <v>495</v>
      </c>
      <c r="AZ318" s="1">
        <v>164</v>
      </c>
      <c r="BA318" s="1">
        <v>23</v>
      </c>
      <c r="BB318" s="1">
        <v>1</v>
      </c>
      <c r="BC318" s="1">
        <v>0</v>
      </c>
      <c r="BD318" s="1">
        <v>0</v>
      </c>
      <c r="BE318" s="1">
        <v>0</v>
      </c>
      <c r="BF318" s="1">
        <v>0</v>
      </c>
      <c r="BG318" s="1">
        <v>0</v>
      </c>
      <c r="BH318" s="4">
        <v>0</v>
      </c>
      <c r="BI318" s="4">
        <v>24.66</v>
      </c>
      <c r="BJ318" s="4">
        <v>17.306073999999999</v>
      </c>
      <c r="BK318" s="4">
        <v>0</v>
      </c>
      <c r="BL318" s="4">
        <v>8.0241799999999994</v>
      </c>
      <c r="BM318" s="4">
        <v>64.387469999999993</v>
      </c>
      <c r="BN318" s="4">
        <v>0.46366299999999999</v>
      </c>
      <c r="BO318" s="4">
        <v>3.578001</v>
      </c>
      <c r="BP318" s="4">
        <v>-1.47872</v>
      </c>
      <c r="BQ318" s="4">
        <v>3.4554010000000002</v>
      </c>
      <c r="BR318" s="4">
        <v>6.2422800000000001</v>
      </c>
      <c r="BS318" s="4">
        <v>1.494</v>
      </c>
      <c r="BT318" s="4">
        <v>20.816998999999999</v>
      </c>
      <c r="BU318" s="4">
        <v>17.306073999999999</v>
      </c>
      <c r="BV318" s="4">
        <v>3.7357049999999998</v>
      </c>
      <c r="BW318" s="4">
        <v>-1.7055929999999999</v>
      </c>
      <c r="BX318" s="4">
        <v>0.63585700000000001</v>
      </c>
      <c r="BY318" s="4">
        <v>0.215861</v>
      </c>
      <c r="BZ318" s="4">
        <v>-0.456565</v>
      </c>
      <c r="CA318" s="4">
        <v>0.170211</v>
      </c>
      <c r="CB318" s="4">
        <v>2E-3</v>
      </c>
      <c r="CC318" s="4">
        <v>1.2999999999999999E-2</v>
      </c>
      <c r="CD318" s="4">
        <v>3.5299999999999998E-2</v>
      </c>
      <c r="CE318" s="4">
        <v>13.384399</v>
      </c>
      <c r="CF318" s="4">
        <v>18.548248000000001</v>
      </c>
      <c r="CG318" s="4">
        <v>19.4055</v>
      </c>
      <c r="CH318" s="4">
        <v>20.168998999999999</v>
      </c>
      <c r="CI318" s="4">
        <v>20.816998999999999</v>
      </c>
      <c r="CJ318" s="4">
        <v>21.362200000000001</v>
      </c>
      <c r="CK318" s="4">
        <v>21.902999999999999</v>
      </c>
      <c r="CL318" s="4">
        <v>22.126249000000001</v>
      </c>
      <c r="CM318" s="4">
        <v>22.360001</v>
      </c>
      <c r="CN318" s="4">
        <v>22.946501000000001</v>
      </c>
      <c r="CO318" s="4">
        <v>23.296251000000002</v>
      </c>
      <c r="CP318" s="4">
        <v>23.929869</v>
      </c>
      <c r="CQ318" s="4">
        <v>0.70178700000000005</v>
      </c>
      <c r="CR318" s="4">
        <v>19.074760999999999</v>
      </c>
      <c r="CS318" s="4">
        <v>19.798314000000001</v>
      </c>
      <c r="CT318" s="1">
        <v>22</v>
      </c>
      <c r="CU318" s="1">
        <v>626</v>
      </c>
      <c r="CV318" s="4">
        <v>146.18798000000001</v>
      </c>
      <c r="CW318" s="4">
        <v>50.761904999999999</v>
      </c>
      <c r="CX318" s="4">
        <v>99.643083000000004</v>
      </c>
      <c r="CY318" s="4">
        <v>9928.7439119999999</v>
      </c>
      <c r="CZ318" s="4">
        <v>0.68160900000000002</v>
      </c>
      <c r="DA318" s="4">
        <v>129</v>
      </c>
      <c r="DB318" s="4">
        <v>1.413948</v>
      </c>
      <c r="DC318" s="4">
        <v>5.5840899999999998</v>
      </c>
      <c r="DD318" s="4">
        <v>77.102312999999995</v>
      </c>
      <c r="DE318" s="4">
        <v>146.18798000000001</v>
      </c>
      <c r="DF318" s="4">
        <v>52.733277000000001</v>
      </c>
      <c r="DG318" s="4">
        <v>13.351967999999999</v>
      </c>
      <c r="DH318" s="4">
        <v>6.4508179999999999</v>
      </c>
      <c r="DI318" s="4">
        <v>0.36072199999999999</v>
      </c>
      <c r="DJ318" s="4">
        <v>0.25319799999999998</v>
      </c>
      <c r="DK318" s="4">
        <v>0.12232899999999999</v>
      </c>
      <c r="DL318" s="4">
        <v>27</v>
      </c>
      <c r="DM318" s="4">
        <v>37</v>
      </c>
      <c r="DN318" s="4">
        <v>47</v>
      </c>
      <c r="DO318" s="4">
        <v>60.600006</v>
      </c>
      <c r="DP318" s="4">
        <v>68</v>
      </c>
      <c r="DQ318" s="4">
        <v>76.899994000000007</v>
      </c>
      <c r="DR318" s="4">
        <v>98.200012000000001</v>
      </c>
      <c r="DS318" s="4">
        <v>122.5</v>
      </c>
      <c r="DT318" s="4">
        <v>148</v>
      </c>
      <c r="DU318" s="4">
        <v>176</v>
      </c>
      <c r="DV318" s="4">
        <v>197</v>
      </c>
      <c r="DW318" s="4">
        <v>220</v>
      </c>
      <c r="DX318" s="4">
        <v>279</v>
      </c>
      <c r="DY318" s="4">
        <v>327.84997600000003</v>
      </c>
      <c r="DZ318" s="4">
        <v>498.47998000000001</v>
      </c>
      <c r="EA318" s="4">
        <v>97.389330000000001</v>
      </c>
      <c r="EB318" s="4">
        <v>85.038363000000004</v>
      </c>
      <c r="EC318" s="4">
        <v>150.96481299999999</v>
      </c>
      <c r="ED318" s="4">
        <v>858</v>
      </c>
      <c r="EE318" s="4">
        <v>1330</v>
      </c>
      <c r="EF318" s="4">
        <v>93.984109000000004</v>
      </c>
      <c r="EG318" s="4">
        <v>100</v>
      </c>
      <c r="EH318" s="4">
        <v>78.260869999999997</v>
      </c>
      <c r="EI318" s="4">
        <v>99.680306999999999</v>
      </c>
      <c r="EJ318" s="4">
        <v>138.933031</v>
      </c>
      <c r="EK318" s="4">
        <v>176.95800199999999</v>
      </c>
      <c r="EL318" s="4">
        <v>828</v>
      </c>
      <c r="EM318" s="4">
        <v>881</v>
      </c>
      <c r="EN318" s="4">
        <v>1224</v>
      </c>
      <c r="EO318" s="4">
        <v>1559</v>
      </c>
      <c r="EP318" s="4">
        <v>881</v>
      </c>
      <c r="EQ318" s="4">
        <v>1564</v>
      </c>
      <c r="ER318" s="4">
        <v>71.368087000000003</v>
      </c>
    </row>
    <row r="319" spans="1:148" x14ac:dyDescent="0.2">
      <c r="A319" s="1">
        <v>2025</v>
      </c>
      <c r="B319" s="1" t="str">
        <f t="shared" si="8"/>
        <v>GN</v>
      </c>
      <c r="C319" s="1" t="s">
        <v>1536</v>
      </c>
      <c r="D319" s="1" t="s">
        <v>1536</v>
      </c>
      <c r="E319" s="1">
        <v>27711</v>
      </c>
      <c r="F319" s="1" t="s">
        <v>2163</v>
      </c>
      <c r="G319" s="1" t="s">
        <v>2003</v>
      </c>
      <c r="H319" s="1" t="s">
        <v>1928</v>
      </c>
      <c r="I319" s="1">
        <v>73.39</v>
      </c>
      <c r="J319" s="1">
        <v>73.39</v>
      </c>
      <c r="K319" s="1" t="s">
        <v>264</v>
      </c>
      <c r="L319" s="1">
        <v>1</v>
      </c>
      <c r="M319" s="3">
        <v>2020</v>
      </c>
      <c r="O319" s="1">
        <v>3</v>
      </c>
      <c r="P319" s="1" t="str">
        <f t="shared" si="9"/>
        <v>Talhadia</v>
      </c>
      <c r="Q319" s="2">
        <v>44117</v>
      </c>
      <c r="R319" s="1" t="s">
        <v>149</v>
      </c>
      <c r="S319" s="1" t="s">
        <v>193</v>
      </c>
      <c r="T319" s="1" t="s">
        <v>2268</v>
      </c>
      <c r="U319" s="1" t="s">
        <v>266</v>
      </c>
      <c r="V319" s="1" t="s">
        <v>152</v>
      </c>
      <c r="W319" s="2">
        <v>44747</v>
      </c>
      <c r="X319" s="1" t="s">
        <v>2164</v>
      </c>
      <c r="Y319" s="1">
        <v>163.79999999999998</v>
      </c>
      <c r="Z319" s="1">
        <v>18.8</v>
      </c>
      <c r="AA319" s="1">
        <v>4</v>
      </c>
      <c r="AB319" s="1">
        <v>13.9</v>
      </c>
      <c r="AC319" s="1">
        <v>2</v>
      </c>
      <c r="AD319" s="3">
        <v>261.32</v>
      </c>
      <c r="AE319" s="3">
        <v>260.52463630713402</v>
      </c>
      <c r="AF319" s="2">
        <v>45715</v>
      </c>
      <c r="AG319" s="1">
        <v>52</v>
      </c>
      <c r="AH319" s="3">
        <v>4.3750855578371004</v>
      </c>
      <c r="AI319" s="4">
        <v>26.250576192470401</v>
      </c>
      <c r="AJ319" s="4">
        <v>15.78</v>
      </c>
      <c r="AK319" s="4">
        <v>19.739244172931102</v>
      </c>
      <c r="AL319" s="1">
        <v>25</v>
      </c>
      <c r="AM319" s="5">
        <v>959.60214566914794</v>
      </c>
      <c r="AN319" s="4">
        <v>260.76526295162898</v>
      </c>
      <c r="AO319" s="4">
        <v>0.27174310116802902</v>
      </c>
      <c r="AP319" s="1" t="s">
        <v>193</v>
      </c>
      <c r="AQ319" s="1" t="s">
        <v>254</v>
      </c>
      <c r="AR319" s="1" t="s">
        <v>291</v>
      </c>
      <c r="AS319" s="1">
        <v>9.99</v>
      </c>
      <c r="AT319" s="4">
        <v>0.95864254352347877</v>
      </c>
      <c r="AU319" s="1" t="s">
        <v>1535</v>
      </c>
      <c r="AV319" s="1" t="s">
        <v>1536</v>
      </c>
      <c r="AW319" s="1">
        <v>1075</v>
      </c>
      <c r="AX319" s="1">
        <v>594</v>
      </c>
      <c r="AY319" s="1">
        <v>325</v>
      </c>
      <c r="AZ319" s="1">
        <v>131</v>
      </c>
      <c r="BA319" s="1">
        <v>24</v>
      </c>
      <c r="BB319" s="1">
        <v>1</v>
      </c>
      <c r="BC319" s="1">
        <v>0</v>
      </c>
      <c r="BD319" s="1">
        <v>0</v>
      </c>
      <c r="BE319" s="1">
        <v>0</v>
      </c>
      <c r="BF319" s="1">
        <v>0</v>
      </c>
      <c r="BG319" s="1">
        <v>0</v>
      </c>
      <c r="BH319" s="4">
        <v>0</v>
      </c>
      <c r="BI319" s="4">
        <v>24.889999</v>
      </c>
      <c r="BJ319" s="4">
        <v>16.186529</v>
      </c>
      <c r="BK319" s="4">
        <v>0</v>
      </c>
      <c r="BL319" s="4">
        <v>8.9380179999999996</v>
      </c>
      <c r="BM319" s="4">
        <v>79.888161999999994</v>
      </c>
      <c r="BN319" s="4">
        <v>0.55218900000000004</v>
      </c>
      <c r="BO319" s="4">
        <v>13.278</v>
      </c>
      <c r="BP319" s="4">
        <v>-1.0681970000000001</v>
      </c>
      <c r="BQ319" s="4">
        <v>2.3226330000000002</v>
      </c>
      <c r="BR319" s="4">
        <v>7.6591459999999998</v>
      </c>
      <c r="BS319" s="4">
        <v>1.8869990000000001</v>
      </c>
      <c r="BT319" s="4">
        <v>20.714001</v>
      </c>
      <c r="BU319" s="4">
        <v>16.186529</v>
      </c>
      <c r="BV319" s="4">
        <v>4.4197300000000004</v>
      </c>
      <c r="BW319" s="4">
        <v>-1.629734</v>
      </c>
      <c r="BX319" s="4">
        <v>0.21776300000000001</v>
      </c>
      <c r="BY319" s="4">
        <v>0.27305000000000001</v>
      </c>
      <c r="BZ319" s="4">
        <v>-0.36874099999999999</v>
      </c>
      <c r="CA319" s="4">
        <v>4.9271000000000002E-2</v>
      </c>
      <c r="CB319" s="4">
        <v>2E-3</v>
      </c>
      <c r="CC319" s="4">
        <v>0.01</v>
      </c>
      <c r="CD319" s="4">
        <v>2.5000000000000001E-2</v>
      </c>
      <c r="CE319" s="4">
        <v>2.3397999999999999</v>
      </c>
      <c r="CF319" s="4">
        <v>8.8925000000000001</v>
      </c>
      <c r="CG319" s="4">
        <v>18.552199999999999</v>
      </c>
      <c r="CH319" s="4">
        <v>20.009799999999998</v>
      </c>
      <c r="CI319" s="4">
        <v>20.714001</v>
      </c>
      <c r="CJ319" s="4">
        <v>21.279599999999999</v>
      </c>
      <c r="CK319" s="4">
        <v>21.884198999999999</v>
      </c>
      <c r="CL319" s="4">
        <v>22.170500000000001</v>
      </c>
      <c r="CM319" s="4">
        <v>22.518000000000001</v>
      </c>
      <c r="CN319" s="4">
        <v>23.187798999999998</v>
      </c>
      <c r="CO319" s="4">
        <v>23.679300000000001</v>
      </c>
      <c r="CP319" s="4">
        <v>24.36364</v>
      </c>
      <c r="CQ319" s="4">
        <v>0.65032299999999998</v>
      </c>
      <c r="CR319" s="4">
        <v>18.488309000000001</v>
      </c>
      <c r="CS319" s="4">
        <v>19.447039</v>
      </c>
      <c r="CT319" s="1">
        <v>19</v>
      </c>
      <c r="CU319" s="1">
        <v>659</v>
      </c>
      <c r="CV319" s="4">
        <v>144.25581399999999</v>
      </c>
      <c r="CW319" s="4">
        <v>39.317459999999997</v>
      </c>
      <c r="CX319" s="4">
        <v>100.47489</v>
      </c>
      <c r="CY319" s="4">
        <v>10095.203589999999</v>
      </c>
      <c r="CZ319" s="4">
        <v>0.69650500000000004</v>
      </c>
      <c r="DA319" s="4">
        <v>128</v>
      </c>
      <c r="DB319" s="4">
        <v>1.5435449999999999</v>
      </c>
      <c r="DC319" s="4">
        <v>6.3852149999999996</v>
      </c>
      <c r="DD319" s="4">
        <v>76.663148000000007</v>
      </c>
      <c r="DE319" s="4">
        <v>144.25581399999999</v>
      </c>
      <c r="DF319" s="4">
        <v>52.663871</v>
      </c>
      <c r="DG319" s="4">
        <v>13.248804</v>
      </c>
      <c r="DH319" s="4">
        <v>6.9921629999999997</v>
      </c>
      <c r="DI319" s="4">
        <v>0.36507299999999998</v>
      </c>
      <c r="DJ319" s="4">
        <v>0.25157299999999999</v>
      </c>
      <c r="DK319" s="4">
        <v>0.13277</v>
      </c>
      <c r="DL319" s="4">
        <v>28</v>
      </c>
      <c r="DM319" s="4">
        <v>34</v>
      </c>
      <c r="DN319" s="4">
        <v>43</v>
      </c>
      <c r="DO319" s="4">
        <v>59</v>
      </c>
      <c r="DP319" s="4">
        <v>68</v>
      </c>
      <c r="DQ319" s="4">
        <v>77</v>
      </c>
      <c r="DR319" s="4">
        <v>98</v>
      </c>
      <c r="DS319" s="4">
        <v>121</v>
      </c>
      <c r="DT319" s="4">
        <v>146</v>
      </c>
      <c r="DU319" s="4">
        <v>178.79998800000001</v>
      </c>
      <c r="DV319" s="4">
        <v>196</v>
      </c>
      <c r="DW319" s="4">
        <v>214.20001199999999</v>
      </c>
      <c r="DX319" s="4">
        <v>263</v>
      </c>
      <c r="DY319" s="4">
        <v>337</v>
      </c>
      <c r="DZ319" s="4">
        <v>508.720215</v>
      </c>
      <c r="EA319" s="4">
        <v>95.959596000000005</v>
      </c>
      <c r="EB319" s="4">
        <v>78.976743999999997</v>
      </c>
      <c r="EC319" s="4">
        <v>142.929293</v>
      </c>
      <c r="ED319" s="4">
        <v>570</v>
      </c>
      <c r="EE319" s="4">
        <v>849</v>
      </c>
      <c r="EF319" s="4">
        <v>93.265992999999995</v>
      </c>
      <c r="EG319" s="4">
        <v>100</v>
      </c>
      <c r="EH319" s="4">
        <v>73.488371999999998</v>
      </c>
      <c r="EI319" s="4">
        <v>99.534884000000005</v>
      </c>
      <c r="EJ319" s="4">
        <v>132.996633</v>
      </c>
      <c r="EK319" s="4">
        <v>180.13468</v>
      </c>
      <c r="EL319" s="4">
        <v>554</v>
      </c>
      <c r="EM319" s="4">
        <v>594</v>
      </c>
      <c r="EN319" s="4">
        <v>790</v>
      </c>
      <c r="EO319" s="4">
        <v>1070</v>
      </c>
      <c r="EP319" s="4">
        <v>594</v>
      </c>
      <c r="EQ319" s="4">
        <v>1075</v>
      </c>
      <c r="ER319" s="4">
        <v>65.418091000000004</v>
      </c>
    </row>
    <row r="320" spans="1:148" x14ac:dyDescent="0.2">
      <c r="A320" s="1">
        <v>2025</v>
      </c>
      <c r="B320" s="1" t="str">
        <f t="shared" si="8"/>
        <v>GN</v>
      </c>
      <c r="C320" s="1" t="s">
        <v>1538</v>
      </c>
      <c r="D320" s="1" t="s">
        <v>1538</v>
      </c>
      <c r="E320" s="1">
        <v>33370</v>
      </c>
      <c r="F320" s="1" t="s">
        <v>2163</v>
      </c>
      <c r="G320" s="1" t="s">
        <v>2003</v>
      </c>
      <c r="H320" s="1" t="s">
        <v>1928</v>
      </c>
      <c r="I320" s="1">
        <v>73.39</v>
      </c>
      <c r="J320" s="1">
        <v>73.39</v>
      </c>
      <c r="K320" s="1" t="s">
        <v>264</v>
      </c>
      <c r="L320" s="1">
        <v>1</v>
      </c>
      <c r="M320" s="3">
        <v>2020</v>
      </c>
      <c r="O320" s="1">
        <v>3</v>
      </c>
      <c r="P320" s="1" t="str">
        <f t="shared" si="9"/>
        <v>Talhadia</v>
      </c>
      <c r="Q320" s="2">
        <v>44117</v>
      </c>
      <c r="R320" s="1" t="s">
        <v>149</v>
      </c>
      <c r="S320" s="1" t="s">
        <v>193</v>
      </c>
      <c r="T320" s="1" t="s">
        <v>2268</v>
      </c>
      <c r="U320" s="1" t="s">
        <v>266</v>
      </c>
      <c r="V320" s="1" t="s">
        <v>152</v>
      </c>
      <c r="W320" s="2">
        <v>45715</v>
      </c>
      <c r="X320" s="1" t="s">
        <v>2164</v>
      </c>
      <c r="Y320" s="1">
        <v>163.79999999999998</v>
      </c>
      <c r="Z320" s="1">
        <v>21.1</v>
      </c>
      <c r="AA320" s="1">
        <v>11</v>
      </c>
      <c r="AB320" s="1">
        <v>13.8</v>
      </c>
      <c r="AC320" s="1">
        <v>0</v>
      </c>
      <c r="AD320" s="3">
        <v>291.18</v>
      </c>
      <c r="AE320" s="3">
        <v>285.830203276291</v>
      </c>
      <c r="AF320" s="2">
        <v>45715</v>
      </c>
      <c r="AG320" s="1">
        <v>52</v>
      </c>
      <c r="AH320" s="3">
        <v>4.3750855578371004</v>
      </c>
      <c r="AI320" s="4">
        <v>22.931679190921798</v>
      </c>
      <c r="AJ320" s="4">
        <v>15.910714285714301</v>
      </c>
      <c r="AK320" s="4">
        <v>19.7887607789139</v>
      </c>
      <c r="AL320" s="1">
        <v>28</v>
      </c>
      <c r="AM320" s="5">
        <v>979.60256400666196</v>
      </c>
      <c r="AN320" s="4">
        <v>223.610571783659</v>
      </c>
      <c r="AO320" s="4">
        <v>0.22826662567018099</v>
      </c>
      <c r="AP320" s="1" t="s">
        <v>193</v>
      </c>
      <c r="AQ320" s="1" t="s">
        <v>254</v>
      </c>
      <c r="AR320" s="1" t="s">
        <v>291</v>
      </c>
      <c r="AS320" s="1">
        <v>9.99</v>
      </c>
      <c r="AT320" s="4">
        <v>0.97862296144265537</v>
      </c>
      <c r="AU320" s="1" t="s">
        <v>1537</v>
      </c>
      <c r="AV320" s="1" t="s">
        <v>1538</v>
      </c>
      <c r="AW320" s="1">
        <v>1251</v>
      </c>
      <c r="AX320" s="1">
        <v>703</v>
      </c>
      <c r="AY320" s="1">
        <v>406</v>
      </c>
      <c r="AZ320" s="1">
        <v>116</v>
      </c>
      <c r="BA320" s="1">
        <v>23</v>
      </c>
      <c r="BB320" s="1">
        <v>3</v>
      </c>
      <c r="BC320" s="1">
        <v>0</v>
      </c>
      <c r="BD320" s="1">
        <v>0</v>
      </c>
      <c r="BE320" s="1">
        <v>0</v>
      </c>
      <c r="BF320" s="1">
        <v>0</v>
      </c>
      <c r="BG320" s="1">
        <v>0</v>
      </c>
      <c r="BH320" s="4">
        <v>0</v>
      </c>
      <c r="BI320" s="4">
        <v>24.437000000000001</v>
      </c>
      <c r="BJ320" s="4">
        <v>16.848037999999999</v>
      </c>
      <c r="BK320" s="4">
        <v>0</v>
      </c>
      <c r="BL320" s="4">
        <v>8.5844839999999998</v>
      </c>
      <c r="BM320" s="4">
        <v>73.693361999999993</v>
      </c>
      <c r="BN320" s="4">
        <v>0.50952399999999998</v>
      </c>
      <c r="BO320" s="4">
        <v>3.7639999999999998</v>
      </c>
      <c r="BP320" s="4">
        <v>-1.2933809999999999</v>
      </c>
      <c r="BQ320" s="4">
        <v>2.8636550000000001</v>
      </c>
      <c r="BR320" s="4">
        <v>7.049512</v>
      </c>
      <c r="BS320" s="4">
        <v>1.435999</v>
      </c>
      <c r="BT320" s="4">
        <v>21.02</v>
      </c>
      <c r="BU320" s="4">
        <v>16.848037999999999</v>
      </c>
      <c r="BV320" s="4">
        <v>4.0628039999999999</v>
      </c>
      <c r="BW320" s="4">
        <v>-1.769595</v>
      </c>
      <c r="BX320" s="4">
        <v>0.45127200000000001</v>
      </c>
      <c r="BY320" s="4">
        <v>0.241144</v>
      </c>
      <c r="BZ320" s="4">
        <v>-0.43556</v>
      </c>
      <c r="CA320" s="4">
        <v>0.11107400000000001</v>
      </c>
      <c r="CB320" s="4">
        <v>2E-3</v>
      </c>
      <c r="CC320" s="4">
        <v>0.01</v>
      </c>
      <c r="CD320" s="4">
        <v>2.4E-2</v>
      </c>
      <c r="CE320" s="4">
        <v>5.13</v>
      </c>
      <c r="CF320" s="4">
        <v>18.425498999999999</v>
      </c>
      <c r="CG320" s="4">
        <v>19.436001000000001</v>
      </c>
      <c r="CH320" s="4">
        <v>20.447001</v>
      </c>
      <c r="CI320" s="4">
        <v>21.02</v>
      </c>
      <c r="CJ320" s="4">
        <v>21.521999000000001</v>
      </c>
      <c r="CK320" s="4">
        <v>22.002001</v>
      </c>
      <c r="CL320" s="4">
        <v>22.189499000000001</v>
      </c>
      <c r="CM320" s="4">
        <v>22.391000999999999</v>
      </c>
      <c r="CN320" s="4">
        <v>22.959999</v>
      </c>
      <c r="CO320" s="4">
        <v>23.323999000000001</v>
      </c>
      <c r="CP320" s="4">
        <v>23.870498999999999</v>
      </c>
      <c r="CQ320" s="4">
        <v>0.68944799999999995</v>
      </c>
      <c r="CR320" s="4">
        <v>18.907427999999999</v>
      </c>
      <c r="CS320" s="4">
        <v>19.735381</v>
      </c>
      <c r="CT320" s="1">
        <v>24</v>
      </c>
      <c r="CU320" s="1">
        <v>571</v>
      </c>
      <c r="CV320" s="4">
        <v>130.31654700000001</v>
      </c>
      <c r="CW320" s="4">
        <v>41.365079000000001</v>
      </c>
      <c r="CX320" s="4">
        <v>83.594059999999999</v>
      </c>
      <c r="CY320" s="4">
        <v>6987.9669180000001</v>
      </c>
      <c r="CZ320" s="4">
        <v>0.64146899999999996</v>
      </c>
      <c r="DA320" s="4">
        <v>108.5</v>
      </c>
      <c r="DB320" s="4">
        <v>1.428221</v>
      </c>
      <c r="DC320" s="4">
        <v>6.2100059999999999</v>
      </c>
      <c r="DD320" s="4">
        <v>64.876650999999995</v>
      </c>
      <c r="DE320" s="4">
        <v>130.31654700000001</v>
      </c>
      <c r="DF320" s="4">
        <v>44.424936000000002</v>
      </c>
      <c r="DG320" s="4">
        <v>10.123163</v>
      </c>
      <c r="DH320" s="4">
        <v>5.1979160000000002</v>
      </c>
      <c r="DI320" s="4">
        <v>0.34089999999999998</v>
      </c>
      <c r="DJ320" s="4">
        <v>0.22787099999999999</v>
      </c>
      <c r="DK320" s="4">
        <v>0.117004</v>
      </c>
      <c r="DL320" s="4">
        <v>28.5</v>
      </c>
      <c r="DM320" s="4">
        <v>35.5</v>
      </c>
      <c r="DN320" s="4">
        <v>43</v>
      </c>
      <c r="DO320" s="4">
        <v>58</v>
      </c>
      <c r="DP320" s="4">
        <v>67</v>
      </c>
      <c r="DQ320" s="4">
        <v>74</v>
      </c>
      <c r="DR320" s="4">
        <v>92</v>
      </c>
      <c r="DS320" s="4">
        <v>111</v>
      </c>
      <c r="DT320" s="4">
        <v>134</v>
      </c>
      <c r="DU320" s="4">
        <v>162</v>
      </c>
      <c r="DV320" s="4">
        <v>175.5</v>
      </c>
      <c r="DW320" s="4">
        <v>192</v>
      </c>
      <c r="DX320" s="4">
        <v>239</v>
      </c>
      <c r="DY320" s="4">
        <v>278</v>
      </c>
      <c r="DZ320" s="4">
        <v>418.5</v>
      </c>
      <c r="EA320" s="4">
        <v>98.150782000000007</v>
      </c>
      <c r="EB320" s="4">
        <v>81.614707999999993</v>
      </c>
      <c r="EC320" s="4">
        <v>145.23470800000001</v>
      </c>
      <c r="ED320" s="4">
        <v>690</v>
      </c>
      <c r="EE320" s="4">
        <v>1021</v>
      </c>
      <c r="EF320" s="4">
        <v>94.452347000000003</v>
      </c>
      <c r="EG320" s="4">
        <v>100</v>
      </c>
      <c r="EH320" s="4">
        <v>75.619504000000006</v>
      </c>
      <c r="EI320" s="4">
        <v>99.840128000000007</v>
      </c>
      <c r="EJ320" s="4">
        <v>134.56614500000001</v>
      </c>
      <c r="EK320" s="4">
        <v>177.66714099999999</v>
      </c>
      <c r="EL320" s="4">
        <v>664</v>
      </c>
      <c r="EM320" s="4">
        <v>703</v>
      </c>
      <c r="EN320" s="4">
        <v>946</v>
      </c>
      <c r="EO320" s="4">
        <v>1249</v>
      </c>
      <c r="EP320" s="4">
        <v>703</v>
      </c>
      <c r="EQ320" s="4">
        <v>1251</v>
      </c>
      <c r="ER320" s="4">
        <v>69.603102000000007</v>
      </c>
    </row>
    <row r="321" spans="1:148" x14ac:dyDescent="0.2">
      <c r="A321" s="1">
        <v>2025</v>
      </c>
      <c r="B321" s="1" t="str">
        <f t="shared" si="8"/>
        <v>GN</v>
      </c>
      <c r="C321" s="1" t="s">
        <v>1540</v>
      </c>
      <c r="D321" s="1" t="s">
        <v>1540</v>
      </c>
      <c r="E321" s="1">
        <v>33371</v>
      </c>
      <c r="F321" s="1" t="s">
        <v>2163</v>
      </c>
      <c r="G321" s="1" t="s">
        <v>2003</v>
      </c>
      <c r="H321" s="1" t="s">
        <v>1928</v>
      </c>
      <c r="I321" s="1">
        <v>73.39</v>
      </c>
      <c r="J321" s="1">
        <v>73.39</v>
      </c>
      <c r="K321" s="1" t="s">
        <v>264</v>
      </c>
      <c r="L321" s="1">
        <v>1</v>
      </c>
      <c r="M321" s="3">
        <v>2020</v>
      </c>
      <c r="O321" s="1">
        <v>3</v>
      </c>
      <c r="P321" s="1" t="str">
        <f t="shared" si="9"/>
        <v>Talhadia</v>
      </c>
      <c r="Q321" s="2">
        <v>44117</v>
      </c>
      <c r="R321" s="1" t="s">
        <v>149</v>
      </c>
      <c r="S321" s="1" t="s">
        <v>193</v>
      </c>
      <c r="T321" s="1" t="s">
        <v>2268</v>
      </c>
      <c r="U321" s="1" t="s">
        <v>266</v>
      </c>
      <c r="V321" s="1" t="s">
        <v>152</v>
      </c>
      <c r="W321" s="2">
        <v>44748</v>
      </c>
      <c r="X321" s="1" t="s">
        <v>2164</v>
      </c>
      <c r="Y321" s="1">
        <v>163.79999999999998</v>
      </c>
      <c r="Z321" s="1">
        <v>18.899999999999999</v>
      </c>
      <c r="AA321" s="1">
        <v>5</v>
      </c>
      <c r="AB321" s="1">
        <v>14</v>
      </c>
      <c r="AC321" s="1">
        <v>0</v>
      </c>
      <c r="AD321" s="3">
        <v>264.60000000000002</v>
      </c>
      <c r="AE321" s="3">
        <v>263.59311711507598</v>
      </c>
      <c r="AF321" s="2">
        <v>45715</v>
      </c>
      <c r="AG321" s="1">
        <v>52</v>
      </c>
      <c r="AH321" s="3">
        <v>4.3750855578371004</v>
      </c>
      <c r="AI321" s="4">
        <v>23.920915691718399</v>
      </c>
      <c r="AJ321" s="4">
        <v>17.469565217391299</v>
      </c>
      <c r="AK321" s="4">
        <v>21.5949016425221</v>
      </c>
      <c r="AL321" s="1">
        <v>23</v>
      </c>
      <c r="AM321" s="5">
        <v>872.55692605808702</v>
      </c>
      <c r="AN321" s="4">
        <v>256.60600986176797</v>
      </c>
      <c r="AO321" s="4">
        <v>0.29408512178228402</v>
      </c>
      <c r="AP321" s="1" t="s">
        <v>193</v>
      </c>
      <c r="AQ321" s="1" t="s">
        <v>254</v>
      </c>
      <c r="AR321" s="1" t="s">
        <v>291</v>
      </c>
      <c r="AS321" s="1">
        <v>9.99</v>
      </c>
      <c r="AT321" s="4">
        <v>0.87168436913202896</v>
      </c>
      <c r="AU321" s="1" t="s">
        <v>1539</v>
      </c>
      <c r="AV321" s="1" t="s">
        <v>1540</v>
      </c>
      <c r="AW321" s="1">
        <v>1140</v>
      </c>
      <c r="AX321" s="1">
        <v>645</v>
      </c>
      <c r="AY321" s="1">
        <v>360</v>
      </c>
      <c r="AZ321" s="1">
        <v>104</v>
      </c>
      <c r="BA321" s="1">
        <v>29</v>
      </c>
      <c r="BB321" s="1">
        <v>2</v>
      </c>
      <c r="BC321" s="1">
        <v>0</v>
      </c>
      <c r="BD321" s="1">
        <v>0</v>
      </c>
      <c r="BE321" s="1">
        <v>0</v>
      </c>
      <c r="BF321" s="1">
        <v>0</v>
      </c>
      <c r="BG321" s="1">
        <v>0</v>
      </c>
      <c r="BH321" s="4">
        <v>0</v>
      </c>
      <c r="BI321" s="4">
        <v>24.643999000000001</v>
      </c>
      <c r="BJ321" s="4">
        <v>17.068966</v>
      </c>
      <c r="BK321" s="4">
        <v>0</v>
      </c>
      <c r="BL321" s="4">
        <v>8.3210080000000008</v>
      </c>
      <c r="BM321" s="4">
        <v>69.239165999999997</v>
      </c>
      <c r="BN321" s="4">
        <v>0.48749300000000001</v>
      </c>
      <c r="BO321" s="4">
        <v>3.3122500000000001</v>
      </c>
      <c r="BP321" s="4">
        <v>-1.3977360000000001</v>
      </c>
      <c r="BQ321" s="4">
        <v>3.162296</v>
      </c>
      <c r="BR321" s="4">
        <v>6.6467739999999997</v>
      </c>
      <c r="BS321" s="4">
        <v>1.4030020000000001</v>
      </c>
      <c r="BT321" s="4">
        <v>20.872501</v>
      </c>
      <c r="BU321" s="4">
        <v>17.068966</v>
      </c>
      <c r="BV321" s="4">
        <v>3.878619</v>
      </c>
      <c r="BW321" s="4">
        <v>-1.7400519999999999</v>
      </c>
      <c r="BX321" s="4">
        <v>0.57811000000000001</v>
      </c>
      <c r="BY321" s="4">
        <v>0.22723199999999999</v>
      </c>
      <c r="BZ321" s="4">
        <v>-0.448627</v>
      </c>
      <c r="CA321" s="4">
        <v>0.14905099999999999</v>
      </c>
      <c r="CB321" s="4">
        <v>3.0000000000000001E-3</v>
      </c>
      <c r="CC321" s="4">
        <v>0.01</v>
      </c>
      <c r="CD321" s="4">
        <v>2.69E-2</v>
      </c>
      <c r="CE321" s="4">
        <v>8.4497999999999998</v>
      </c>
      <c r="CF321" s="4">
        <v>18.760999999999999</v>
      </c>
      <c r="CG321" s="4">
        <v>19.4697</v>
      </c>
      <c r="CH321" s="4">
        <v>20.338200000000001</v>
      </c>
      <c r="CI321" s="4">
        <v>20.872501</v>
      </c>
      <c r="CJ321" s="4">
        <v>21.351400000000002</v>
      </c>
      <c r="CK321" s="4">
        <v>21.847601000000001</v>
      </c>
      <c r="CL321" s="4">
        <v>22.073250000000002</v>
      </c>
      <c r="CM321" s="4">
        <v>22.275801000000001</v>
      </c>
      <c r="CN321" s="4">
        <v>22.943100000000001</v>
      </c>
      <c r="CO321" s="4">
        <v>23.380400000000002</v>
      </c>
      <c r="CP321" s="4">
        <v>23.886009000000001</v>
      </c>
      <c r="CQ321" s="4">
        <v>0.69262199999999996</v>
      </c>
      <c r="CR321" s="4">
        <v>18.987575</v>
      </c>
      <c r="CS321" s="4">
        <v>19.756084999999999</v>
      </c>
      <c r="CT321" s="1">
        <v>18</v>
      </c>
      <c r="CU321" s="1">
        <v>604</v>
      </c>
      <c r="CV321" s="4">
        <v>162.79122799999999</v>
      </c>
      <c r="CW321" s="4">
        <v>36.603175</v>
      </c>
      <c r="CX321" s="4">
        <v>105.92446099999999</v>
      </c>
      <c r="CY321" s="4">
        <v>11219.9915</v>
      </c>
      <c r="CZ321" s="4">
        <v>0.65067699999999995</v>
      </c>
      <c r="DA321" s="4">
        <v>154</v>
      </c>
      <c r="DB321" s="4">
        <v>0.90749000000000002</v>
      </c>
      <c r="DC321" s="4">
        <v>3.582363</v>
      </c>
      <c r="DD321" s="4">
        <v>86.216099999999997</v>
      </c>
      <c r="DE321" s="4">
        <v>162.79122799999999</v>
      </c>
      <c r="DF321" s="4">
        <v>58.493479999999998</v>
      </c>
      <c r="DG321" s="4">
        <v>10.917344999999999</v>
      </c>
      <c r="DH321" s="4">
        <v>4.3876379999999999</v>
      </c>
      <c r="DI321" s="4">
        <v>0.35931600000000002</v>
      </c>
      <c r="DJ321" s="4">
        <v>0.186642</v>
      </c>
      <c r="DK321" s="4">
        <v>7.5010999999999994E-2</v>
      </c>
      <c r="DL321" s="4">
        <v>27</v>
      </c>
      <c r="DM321" s="4">
        <v>35.950001</v>
      </c>
      <c r="DN321" s="4">
        <v>45</v>
      </c>
      <c r="DO321" s="4">
        <v>63</v>
      </c>
      <c r="DP321" s="4">
        <v>74</v>
      </c>
      <c r="DQ321" s="4">
        <v>86</v>
      </c>
      <c r="DR321" s="4">
        <v>112.60000599999999</v>
      </c>
      <c r="DS321" s="4">
        <v>144</v>
      </c>
      <c r="DT321" s="4">
        <v>175.400024</v>
      </c>
      <c r="DU321" s="4">
        <v>211</v>
      </c>
      <c r="DV321" s="4">
        <v>228</v>
      </c>
      <c r="DW321" s="4">
        <v>248.20001199999999</v>
      </c>
      <c r="DX321" s="4">
        <v>311.09997600000003</v>
      </c>
      <c r="DY321" s="4">
        <v>363.050049</v>
      </c>
      <c r="DZ321" s="4">
        <v>467.87988300000001</v>
      </c>
      <c r="EA321" s="4">
        <v>98.914728999999994</v>
      </c>
      <c r="EB321" s="4">
        <v>82.894737000000006</v>
      </c>
      <c r="EC321" s="4">
        <v>146.511628</v>
      </c>
      <c r="ED321" s="4">
        <v>638</v>
      </c>
      <c r="EE321" s="4">
        <v>945</v>
      </c>
      <c r="EF321" s="4">
        <v>95.813952999999998</v>
      </c>
      <c r="EG321" s="4">
        <v>100</v>
      </c>
      <c r="EH321" s="4">
        <v>77.807017999999999</v>
      </c>
      <c r="EI321" s="4">
        <v>99.824561000000003</v>
      </c>
      <c r="EJ321" s="4">
        <v>137.51938000000001</v>
      </c>
      <c r="EK321" s="4">
        <v>176.43410900000001</v>
      </c>
      <c r="EL321" s="4">
        <v>618</v>
      </c>
      <c r="EM321" s="4">
        <v>645</v>
      </c>
      <c r="EN321" s="4">
        <v>887</v>
      </c>
      <c r="EO321" s="4">
        <v>1138</v>
      </c>
      <c r="EP321" s="4">
        <v>645</v>
      </c>
      <c r="EQ321" s="4">
        <v>1140</v>
      </c>
      <c r="ER321" s="4">
        <v>70.424772000000004</v>
      </c>
    </row>
    <row r="322" spans="1:148" x14ac:dyDescent="0.2">
      <c r="A322" s="1">
        <v>2025</v>
      </c>
      <c r="B322" s="1" t="str">
        <f t="shared" si="8"/>
        <v>GN</v>
      </c>
      <c r="C322" s="1" t="s">
        <v>1542</v>
      </c>
      <c r="D322" s="1" t="s">
        <v>1542</v>
      </c>
      <c r="E322" s="1">
        <v>27542</v>
      </c>
      <c r="F322" s="1" t="s">
        <v>2165</v>
      </c>
      <c r="G322" s="1" t="s">
        <v>2004</v>
      </c>
      <c r="H322" s="1" t="s">
        <v>1929</v>
      </c>
      <c r="I322" s="1">
        <v>83.65</v>
      </c>
      <c r="J322" s="1">
        <v>83.65</v>
      </c>
      <c r="K322" s="1" t="s">
        <v>392</v>
      </c>
      <c r="L322" s="1">
        <v>1</v>
      </c>
      <c r="M322" s="3">
        <v>2020</v>
      </c>
      <c r="O322" s="1">
        <v>2</v>
      </c>
      <c r="P322" s="1" t="str">
        <f t="shared" si="9"/>
        <v>Talhadia</v>
      </c>
      <c r="Q322" s="2">
        <v>44048</v>
      </c>
      <c r="R322" s="1" t="s">
        <v>169</v>
      </c>
      <c r="S322" s="1" t="s">
        <v>299</v>
      </c>
      <c r="T322" s="1" t="s">
        <v>2268</v>
      </c>
      <c r="U322" s="1" t="s">
        <v>266</v>
      </c>
      <c r="V322" s="1" t="s">
        <v>152</v>
      </c>
      <c r="W322" s="2">
        <v>45733</v>
      </c>
      <c r="X322" s="1" t="s">
        <v>2166</v>
      </c>
      <c r="Y322" s="1">
        <v>90.910000000000011</v>
      </c>
      <c r="Z322" s="1">
        <v>20</v>
      </c>
      <c r="AA322" s="1">
        <v>11</v>
      </c>
      <c r="AB322" s="1">
        <v>14.3</v>
      </c>
      <c r="AC322" s="1">
        <v>3</v>
      </c>
      <c r="AD322" s="3">
        <v>286</v>
      </c>
      <c r="AE322" s="3">
        <v>280.36062268751198</v>
      </c>
      <c r="AF322" s="2">
        <v>45733</v>
      </c>
      <c r="AG322" s="1">
        <v>55</v>
      </c>
      <c r="AH322" s="3">
        <v>4.6132785763175903</v>
      </c>
      <c r="AI322" s="4">
        <v>28.699120590329699</v>
      </c>
      <c r="AJ322" s="4">
        <v>20.8</v>
      </c>
      <c r="AK322" s="4">
        <v>15.207544916766</v>
      </c>
      <c r="AL322" s="1">
        <v>12</v>
      </c>
      <c r="AM322" s="5">
        <v>428.02016506344802</v>
      </c>
      <c r="AN322" s="4">
        <v>217.32800351729301</v>
      </c>
      <c r="AO322" s="4">
        <v>0.50775178661285103</v>
      </c>
      <c r="AP322" s="1" t="s">
        <v>299</v>
      </c>
      <c r="AQ322" s="1" t="s">
        <v>254</v>
      </c>
      <c r="AR322" s="1" t="s">
        <v>500</v>
      </c>
      <c r="AS322" s="1">
        <v>9</v>
      </c>
      <c r="AT322" s="4">
        <v>0.38521814855710323</v>
      </c>
      <c r="AU322" s="1" t="s">
        <v>1541</v>
      </c>
      <c r="AV322" s="1" t="s">
        <v>1542</v>
      </c>
      <c r="AW322" s="1">
        <v>1324</v>
      </c>
      <c r="AX322" s="1">
        <v>797</v>
      </c>
      <c r="AY322" s="1">
        <v>406</v>
      </c>
      <c r="AZ322" s="1">
        <v>107</v>
      </c>
      <c r="BA322" s="1">
        <v>14</v>
      </c>
      <c r="BB322" s="1">
        <v>0</v>
      </c>
      <c r="BC322" s="1">
        <v>0</v>
      </c>
      <c r="BD322" s="1">
        <v>0</v>
      </c>
      <c r="BE322" s="1">
        <v>0</v>
      </c>
      <c r="BF322" s="1">
        <v>0</v>
      </c>
      <c r="BG322" s="1">
        <v>0</v>
      </c>
      <c r="BH322" s="4">
        <v>0</v>
      </c>
      <c r="BI322" s="4">
        <v>32.588000999999998</v>
      </c>
      <c r="BJ322" s="4">
        <v>17.213721</v>
      </c>
      <c r="BK322" s="4">
        <v>0</v>
      </c>
      <c r="BL322" s="4">
        <v>11.252198</v>
      </c>
      <c r="BM322" s="4">
        <v>126.611971</v>
      </c>
      <c r="BN322" s="4">
        <v>0.65367600000000003</v>
      </c>
      <c r="BO322" s="4">
        <v>23.894248999999999</v>
      </c>
      <c r="BP322" s="4">
        <v>-0.55732300000000001</v>
      </c>
      <c r="BQ322" s="4">
        <v>1.709821</v>
      </c>
      <c r="BR322" s="4">
        <v>9.9150349999999996</v>
      </c>
      <c r="BS322" s="4">
        <v>6.3244990000000003</v>
      </c>
      <c r="BT322" s="4">
        <v>21.901501</v>
      </c>
      <c r="BU322" s="4">
        <v>17.213721</v>
      </c>
      <c r="BV322" s="4">
        <v>6.1903930000000003</v>
      </c>
      <c r="BW322" s="4">
        <v>-1.053051</v>
      </c>
      <c r="BX322" s="4">
        <v>-0.37920399999999999</v>
      </c>
      <c r="BY322" s="4">
        <v>0.35962</v>
      </c>
      <c r="BZ322" s="4">
        <v>-0.17011100000000001</v>
      </c>
      <c r="CA322" s="4">
        <v>-6.1256999999999999E-2</v>
      </c>
      <c r="CB322" s="4">
        <v>1.23E-3</v>
      </c>
      <c r="CC322" s="4">
        <v>9.1500000000000001E-3</v>
      </c>
      <c r="CD322" s="4">
        <v>2.1999999999999999E-2</v>
      </c>
      <c r="CE322" s="4">
        <v>0.1042</v>
      </c>
      <c r="CF322" s="4">
        <v>2.7665000000000002</v>
      </c>
      <c r="CG322" s="4">
        <v>12.232799999999999</v>
      </c>
      <c r="CH322" s="4">
        <v>17.217199000000001</v>
      </c>
      <c r="CI322" s="4">
        <v>21.901501</v>
      </c>
      <c r="CJ322" s="4">
        <v>23.933800000000002</v>
      </c>
      <c r="CK322" s="4">
        <v>26.0212</v>
      </c>
      <c r="CL322" s="4">
        <v>26.660748999999999</v>
      </c>
      <c r="CM322" s="4">
        <v>27.450001</v>
      </c>
      <c r="CN322" s="4">
        <v>28.9114</v>
      </c>
      <c r="CO322" s="4">
        <v>29.893699999999999</v>
      </c>
      <c r="CP322" s="4">
        <v>31.260849</v>
      </c>
      <c r="CQ322" s="4">
        <v>0.528223</v>
      </c>
      <c r="CR322" s="4">
        <v>20.562795000000001</v>
      </c>
      <c r="CS322" s="4">
        <v>22.131907000000002</v>
      </c>
      <c r="CT322" s="1">
        <v>23</v>
      </c>
      <c r="CU322" s="1">
        <v>447</v>
      </c>
      <c r="CV322" s="4">
        <v>105.568731</v>
      </c>
      <c r="CW322" s="4">
        <v>29.730159</v>
      </c>
      <c r="CX322" s="4">
        <v>74.819343000000003</v>
      </c>
      <c r="CY322" s="4">
        <v>5597.9340480000001</v>
      </c>
      <c r="CZ322" s="4">
        <v>0.70872599999999997</v>
      </c>
      <c r="DA322" s="4">
        <v>80</v>
      </c>
      <c r="DB322" s="4">
        <v>1.817221</v>
      </c>
      <c r="DC322" s="4">
        <v>6.6075900000000001</v>
      </c>
      <c r="DD322" s="4">
        <v>54.071804999999998</v>
      </c>
      <c r="DE322" s="4">
        <v>105.568731</v>
      </c>
      <c r="DF322" s="4">
        <v>37.513891000000001</v>
      </c>
      <c r="DG322" s="4">
        <v>12.024191999999999</v>
      </c>
      <c r="DH322" s="4">
        <v>7.0839470000000002</v>
      </c>
      <c r="DI322" s="4">
        <v>0.35535</v>
      </c>
      <c r="DJ322" s="4">
        <v>0.32052599999999998</v>
      </c>
      <c r="DK322" s="4">
        <v>0.188835</v>
      </c>
      <c r="DL322" s="4">
        <v>26.23</v>
      </c>
      <c r="DM322" s="4">
        <v>32</v>
      </c>
      <c r="DN322" s="4">
        <v>37</v>
      </c>
      <c r="DO322" s="4">
        <v>48</v>
      </c>
      <c r="DP322" s="4">
        <v>52</v>
      </c>
      <c r="DQ322" s="4">
        <v>59</v>
      </c>
      <c r="DR322" s="4">
        <v>71</v>
      </c>
      <c r="DS322" s="4">
        <v>85</v>
      </c>
      <c r="DT322" s="4">
        <v>103</v>
      </c>
      <c r="DU322" s="4">
        <v>121</v>
      </c>
      <c r="DV322" s="4">
        <v>132</v>
      </c>
      <c r="DW322" s="4">
        <v>144</v>
      </c>
      <c r="DX322" s="4">
        <v>190</v>
      </c>
      <c r="DY322" s="4">
        <v>281.84997600000003</v>
      </c>
      <c r="DZ322" s="4">
        <v>375.77001999999999</v>
      </c>
      <c r="EA322" s="4">
        <v>88.456712999999993</v>
      </c>
      <c r="EB322" s="4">
        <v>74.471299000000002</v>
      </c>
      <c r="EC322" s="4">
        <v>123.713927</v>
      </c>
      <c r="ED322" s="4">
        <v>705</v>
      </c>
      <c r="EE322" s="4">
        <v>986</v>
      </c>
      <c r="EF322" s="4">
        <v>79.799246999999994</v>
      </c>
      <c r="EG322" s="4">
        <v>100</v>
      </c>
      <c r="EH322" s="4">
        <v>59.969788999999999</v>
      </c>
      <c r="EI322" s="4">
        <v>99.773414000000002</v>
      </c>
      <c r="EJ322" s="4">
        <v>99.623587999999998</v>
      </c>
      <c r="EK322" s="4">
        <v>165.74655000000001</v>
      </c>
      <c r="EL322" s="4">
        <v>636</v>
      </c>
      <c r="EM322" s="4">
        <v>797</v>
      </c>
      <c r="EN322" s="4">
        <v>794</v>
      </c>
      <c r="EO322" s="4">
        <v>1321</v>
      </c>
      <c r="EP322" s="4">
        <v>797</v>
      </c>
      <c r="EQ322" s="4">
        <v>1324</v>
      </c>
      <c r="ER322" s="4">
        <v>54.040573999999999</v>
      </c>
    </row>
    <row r="323" spans="1:148" x14ac:dyDescent="0.2">
      <c r="A323" s="1">
        <v>2025</v>
      </c>
      <c r="B323" s="1" t="str">
        <f t="shared" ref="B323:B386" si="10">LEFT(C323,2)</f>
        <v>GN</v>
      </c>
      <c r="C323" s="1" t="s">
        <v>1544</v>
      </c>
      <c r="D323" s="1" t="s">
        <v>1544</v>
      </c>
      <c r="E323" s="1">
        <v>27543</v>
      </c>
      <c r="F323" s="1" t="s">
        <v>2165</v>
      </c>
      <c r="G323" s="1" t="s">
        <v>2004</v>
      </c>
      <c r="H323" s="1" t="s">
        <v>1929</v>
      </c>
      <c r="I323" s="1">
        <v>83.65</v>
      </c>
      <c r="J323" s="1">
        <v>83.65</v>
      </c>
      <c r="K323" s="1" t="s">
        <v>392</v>
      </c>
      <c r="L323" s="1">
        <v>1</v>
      </c>
      <c r="M323" s="3">
        <v>2020</v>
      </c>
      <c r="O323" s="1">
        <v>2</v>
      </c>
      <c r="P323" s="1" t="str">
        <f t="shared" ref="P323:P386" si="11">IF(MID(H323,12,1)="R","Talhadia","Alto fuste")</f>
        <v>Talhadia</v>
      </c>
      <c r="Q323" s="2">
        <v>44048</v>
      </c>
      <c r="R323" s="1" t="s">
        <v>169</v>
      </c>
      <c r="S323" s="1" t="s">
        <v>299</v>
      </c>
      <c r="T323" s="1" t="s">
        <v>2268</v>
      </c>
      <c r="U323" s="1" t="s">
        <v>266</v>
      </c>
      <c r="V323" s="1" t="s">
        <v>152</v>
      </c>
      <c r="W323" s="2">
        <v>44749</v>
      </c>
      <c r="X323" s="1" t="s">
        <v>2166</v>
      </c>
      <c r="Y323" s="1">
        <v>90.910000000000011</v>
      </c>
      <c r="Z323" s="1">
        <v>20.5</v>
      </c>
      <c r="AA323" s="1">
        <v>24</v>
      </c>
      <c r="AB323" s="1">
        <v>15.4</v>
      </c>
      <c r="AC323" s="1">
        <v>3</v>
      </c>
      <c r="AD323" s="3">
        <v>315.7</v>
      </c>
      <c r="AE323" s="3">
        <v>288.01105016571699</v>
      </c>
      <c r="AF323" s="2">
        <v>45733</v>
      </c>
      <c r="AG323" s="1">
        <v>55</v>
      </c>
      <c r="AH323" s="3">
        <v>4.6132785763175903</v>
      </c>
      <c r="AI323" s="4">
        <v>26.658904744243902</v>
      </c>
      <c r="AJ323" s="4">
        <v>14.82</v>
      </c>
      <c r="AK323" s="4">
        <v>16.410128638314902</v>
      </c>
      <c r="AL323" s="1">
        <v>25</v>
      </c>
      <c r="AM323" s="5">
        <v>868.02225073014995</v>
      </c>
      <c r="AN323" s="4">
        <v>232.128205570923</v>
      </c>
      <c r="AO323" s="4">
        <v>0.26742195303826</v>
      </c>
      <c r="AP323" s="1" t="s">
        <v>299</v>
      </c>
      <c r="AQ323" s="1" t="s">
        <v>254</v>
      </c>
      <c r="AR323" s="1" t="s">
        <v>500</v>
      </c>
      <c r="AS323" s="1">
        <v>9</v>
      </c>
      <c r="AT323" s="4">
        <v>0.781220025657135</v>
      </c>
      <c r="AU323" s="1" t="s">
        <v>1543</v>
      </c>
      <c r="AV323" s="1" t="s">
        <v>1544</v>
      </c>
      <c r="AW323" s="1">
        <v>1037</v>
      </c>
      <c r="AX323" s="1">
        <v>562</v>
      </c>
      <c r="AY323" s="1">
        <v>339</v>
      </c>
      <c r="AZ323" s="1">
        <v>114</v>
      </c>
      <c r="BA323" s="1">
        <v>21</v>
      </c>
      <c r="BB323" s="1">
        <v>1</v>
      </c>
      <c r="BC323" s="1">
        <v>0</v>
      </c>
      <c r="BD323" s="1">
        <v>0</v>
      </c>
      <c r="BE323" s="1">
        <v>0</v>
      </c>
      <c r="BF323" s="1">
        <v>0</v>
      </c>
      <c r="BG323" s="1">
        <v>0</v>
      </c>
      <c r="BH323" s="4">
        <v>2E-3</v>
      </c>
      <c r="BI323" s="4">
        <v>32.014999000000003</v>
      </c>
      <c r="BJ323" s="4">
        <v>17.194807000000001</v>
      </c>
      <c r="BK323" s="4">
        <v>2E-3</v>
      </c>
      <c r="BL323" s="4">
        <v>11.490365000000001</v>
      </c>
      <c r="BM323" s="4">
        <v>132.02849499999999</v>
      </c>
      <c r="BN323" s="4">
        <v>0.66824600000000001</v>
      </c>
      <c r="BO323" s="4">
        <v>24.920999999999999</v>
      </c>
      <c r="BP323" s="4">
        <v>-0.482456</v>
      </c>
      <c r="BQ323" s="4">
        <v>1.554953</v>
      </c>
      <c r="BR323" s="4">
        <v>10.333627</v>
      </c>
      <c r="BS323" s="4">
        <v>7.2430000000000003</v>
      </c>
      <c r="BT323" s="4">
        <v>21.024999999999999</v>
      </c>
      <c r="BU323" s="4">
        <v>17.194807000000001</v>
      </c>
      <c r="BV323" s="4">
        <v>6.3181430000000001</v>
      </c>
      <c r="BW323" s="4">
        <v>-1.0514669999999999</v>
      </c>
      <c r="BX323" s="4">
        <v>-0.597468</v>
      </c>
      <c r="BY323" s="4">
        <v>0.36744500000000002</v>
      </c>
      <c r="BZ323" s="4">
        <v>-0.16642000000000001</v>
      </c>
      <c r="CA323" s="4">
        <v>-9.4563999999999995E-2</v>
      </c>
      <c r="CB323" s="4">
        <v>8.9999999999999993E-3</v>
      </c>
      <c r="CC323" s="4">
        <v>3.5000000000000003E-2</v>
      </c>
      <c r="CD323" s="4">
        <v>0.1236</v>
      </c>
      <c r="CE323" s="4">
        <v>1.163</v>
      </c>
      <c r="CF323" s="4">
        <v>2.3740000000000001</v>
      </c>
      <c r="CG323" s="4">
        <v>8.8719990000000006</v>
      </c>
      <c r="CH323" s="4">
        <v>17.709999</v>
      </c>
      <c r="CI323" s="4">
        <v>21.027000000000001</v>
      </c>
      <c r="CJ323" s="4">
        <v>25.676600000000001</v>
      </c>
      <c r="CK323" s="4">
        <v>26.799600999999999</v>
      </c>
      <c r="CL323" s="4">
        <v>27.295000000000002</v>
      </c>
      <c r="CM323" s="4">
        <v>27.696199</v>
      </c>
      <c r="CN323" s="4">
        <v>28.771999000000001</v>
      </c>
      <c r="CO323" s="4">
        <v>29.554400999999999</v>
      </c>
      <c r="CP323" s="4">
        <v>31.12668</v>
      </c>
      <c r="CQ323" s="4">
        <v>0.53705700000000001</v>
      </c>
      <c r="CR323" s="4">
        <v>20.677586000000002</v>
      </c>
      <c r="CS323" s="4">
        <v>22.344888000000001</v>
      </c>
      <c r="CT323" s="1">
        <v>24</v>
      </c>
      <c r="CU323" s="1">
        <v>441</v>
      </c>
      <c r="CV323" s="4">
        <v>112.626808</v>
      </c>
      <c r="CW323" s="4">
        <v>43.857143000000001</v>
      </c>
      <c r="CX323" s="4">
        <v>72.660212000000001</v>
      </c>
      <c r="CY323" s="4">
        <v>5279.5063460000001</v>
      </c>
      <c r="CZ323" s="4">
        <v>0.64514099999999996</v>
      </c>
      <c r="DA323" s="4">
        <v>91</v>
      </c>
      <c r="DB323" s="4">
        <v>1.3589880000000001</v>
      </c>
      <c r="DC323" s="4">
        <v>5.0704529999999997</v>
      </c>
      <c r="DD323" s="4">
        <v>56.260558000000003</v>
      </c>
      <c r="DE323" s="4">
        <v>112.626808</v>
      </c>
      <c r="DF323" s="4">
        <v>38.5304</v>
      </c>
      <c r="DG323" s="4">
        <v>9.8695419999999991</v>
      </c>
      <c r="DH323" s="4">
        <v>4.7357459999999998</v>
      </c>
      <c r="DI323" s="4">
        <v>0.34210699999999999</v>
      </c>
      <c r="DJ323" s="4">
        <v>0.25614900000000002</v>
      </c>
      <c r="DK323" s="4">
        <v>0.122909</v>
      </c>
      <c r="DL323" s="4">
        <v>26</v>
      </c>
      <c r="DM323" s="4">
        <v>35</v>
      </c>
      <c r="DN323" s="4">
        <v>40</v>
      </c>
      <c r="DO323" s="4">
        <v>49</v>
      </c>
      <c r="DP323" s="4">
        <v>58</v>
      </c>
      <c r="DQ323" s="4">
        <v>62</v>
      </c>
      <c r="DR323" s="4">
        <v>77</v>
      </c>
      <c r="DS323" s="4">
        <v>96</v>
      </c>
      <c r="DT323" s="4">
        <v>114</v>
      </c>
      <c r="DU323" s="4">
        <v>136</v>
      </c>
      <c r="DV323" s="4">
        <v>149</v>
      </c>
      <c r="DW323" s="4">
        <v>167</v>
      </c>
      <c r="DX323" s="4">
        <v>207.400024</v>
      </c>
      <c r="DY323" s="4">
        <v>245.800049</v>
      </c>
      <c r="DZ323" s="4">
        <v>354.20007299999997</v>
      </c>
      <c r="EA323" s="4">
        <v>89.323842999999997</v>
      </c>
      <c r="EB323" s="4">
        <v>73.577628000000004</v>
      </c>
      <c r="EC323" s="4">
        <v>135.76512500000001</v>
      </c>
      <c r="ED323" s="4">
        <v>502</v>
      </c>
      <c r="EE323" s="4">
        <v>763</v>
      </c>
      <c r="EF323" s="4">
        <v>85.231317000000004</v>
      </c>
      <c r="EG323" s="4">
        <v>100</v>
      </c>
      <c r="EH323" s="4">
        <v>60.75217</v>
      </c>
      <c r="EI323" s="4">
        <v>99.614272</v>
      </c>
      <c r="EJ323" s="4">
        <v>112.099644</v>
      </c>
      <c r="EK323" s="4">
        <v>183.807829</v>
      </c>
      <c r="EL323" s="4">
        <v>479</v>
      </c>
      <c r="EM323" s="4">
        <v>562</v>
      </c>
      <c r="EN323" s="4">
        <v>630</v>
      </c>
      <c r="EO323" s="4">
        <v>1033</v>
      </c>
      <c r="EP323" s="4">
        <v>562</v>
      </c>
      <c r="EQ323" s="4">
        <v>1037</v>
      </c>
      <c r="ER323" s="4">
        <v>54.245117</v>
      </c>
    </row>
    <row r="324" spans="1:148" x14ac:dyDescent="0.2">
      <c r="A324" s="1">
        <v>2025</v>
      </c>
      <c r="B324" s="1" t="str">
        <f t="shared" si="10"/>
        <v>GN</v>
      </c>
      <c r="C324" s="1" t="s">
        <v>1546</v>
      </c>
      <c r="D324" s="1" t="s">
        <v>1546</v>
      </c>
      <c r="E324" s="1">
        <v>27544</v>
      </c>
      <c r="F324" s="1" t="s">
        <v>2165</v>
      </c>
      <c r="G324" s="1" t="s">
        <v>2004</v>
      </c>
      <c r="H324" s="1" t="s">
        <v>1929</v>
      </c>
      <c r="I324" s="1">
        <v>83.65</v>
      </c>
      <c r="J324" s="1">
        <v>83.65</v>
      </c>
      <c r="K324" s="1" t="s">
        <v>392</v>
      </c>
      <c r="L324" s="1">
        <v>1</v>
      </c>
      <c r="M324" s="3">
        <v>2020</v>
      </c>
      <c r="O324" s="1">
        <v>2</v>
      </c>
      <c r="P324" s="1" t="str">
        <f t="shared" si="11"/>
        <v>Talhadia</v>
      </c>
      <c r="Q324" s="2">
        <v>44048</v>
      </c>
      <c r="R324" s="1" t="s">
        <v>169</v>
      </c>
      <c r="S324" s="1" t="s">
        <v>299</v>
      </c>
      <c r="T324" s="1" t="s">
        <v>2268</v>
      </c>
      <c r="U324" s="1" t="s">
        <v>266</v>
      </c>
      <c r="V324" s="1" t="s">
        <v>152</v>
      </c>
      <c r="W324" s="2">
        <v>45733</v>
      </c>
      <c r="X324" s="1" t="s">
        <v>2166</v>
      </c>
      <c r="Y324" s="1">
        <v>90.910000000000011</v>
      </c>
      <c r="Z324" s="1">
        <v>19.5</v>
      </c>
      <c r="AA324" s="1">
        <v>14</v>
      </c>
      <c r="AB324" s="1">
        <v>15.4</v>
      </c>
      <c r="AC324" s="1">
        <v>1</v>
      </c>
      <c r="AD324" s="3">
        <v>300.3</v>
      </c>
      <c r="AE324" s="3">
        <v>291.33542804480697</v>
      </c>
      <c r="AF324" s="2">
        <v>45733</v>
      </c>
      <c r="AG324" s="1">
        <v>55</v>
      </c>
      <c r="AH324" s="3">
        <v>4.6132785763175903</v>
      </c>
      <c r="AI324" s="4">
        <v>27.956006491733401</v>
      </c>
      <c r="AJ324" s="4">
        <v>18.03</v>
      </c>
      <c r="AK324" s="4">
        <v>19.722500098887402</v>
      </c>
      <c r="AL324" s="1">
        <v>20</v>
      </c>
      <c r="AM324" s="5">
        <v>686.49391988550201</v>
      </c>
      <c r="AN324" s="4">
        <v>300.52176295832902</v>
      </c>
      <c r="AO324" s="4">
        <v>0.43776318224122301</v>
      </c>
      <c r="AP324" s="1" t="s">
        <v>299</v>
      </c>
      <c r="AQ324" s="1" t="s">
        <v>254</v>
      </c>
      <c r="AR324" s="1" t="s">
        <v>500</v>
      </c>
      <c r="AS324" s="1">
        <v>9</v>
      </c>
      <c r="AT324" s="4">
        <v>0.61784452789695177</v>
      </c>
      <c r="AU324" s="1" t="s">
        <v>1545</v>
      </c>
      <c r="AV324" s="1" t="s">
        <v>1546</v>
      </c>
      <c r="AW324" s="1">
        <v>1176</v>
      </c>
      <c r="AX324" s="1">
        <v>707</v>
      </c>
      <c r="AY324" s="1">
        <v>361</v>
      </c>
      <c r="AZ324" s="1">
        <v>99</v>
      </c>
      <c r="BA324" s="1">
        <v>9</v>
      </c>
      <c r="BB324" s="1">
        <v>0</v>
      </c>
      <c r="BC324" s="1">
        <v>0</v>
      </c>
      <c r="BD324" s="1">
        <v>0</v>
      </c>
      <c r="BE324" s="1">
        <v>0</v>
      </c>
      <c r="BF324" s="1">
        <v>0</v>
      </c>
      <c r="BG324" s="1">
        <v>0</v>
      </c>
      <c r="BH324" s="4">
        <v>0</v>
      </c>
      <c r="BI324" s="4">
        <v>34.446998999999998</v>
      </c>
      <c r="BJ324" s="4">
        <v>18.503872999999999</v>
      </c>
      <c r="BK324" s="4">
        <v>0</v>
      </c>
      <c r="BL324" s="4">
        <v>12.042562999999999</v>
      </c>
      <c r="BM324" s="4">
        <v>145.023315</v>
      </c>
      <c r="BN324" s="4">
        <v>0.65081299999999997</v>
      </c>
      <c r="BO324" s="4">
        <v>21.943000000000001</v>
      </c>
      <c r="BP324" s="4">
        <v>-0.51947100000000002</v>
      </c>
      <c r="BQ324" s="4">
        <v>1.658126</v>
      </c>
      <c r="BR324" s="4">
        <v>10.881807999999999</v>
      </c>
      <c r="BS324" s="4">
        <v>6.49</v>
      </c>
      <c r="BT324" s="4">
        <v>24.714500000000001</v>
      </c>
      <c r="BU324" s="4">
        <v>18.503872999999999</v>
      </c>
      <c r="BV324" s="4">
        <v>6.6409310000000001</v>
      </c>
      <c r="BW324" s="4">
        <v>-1.151071</v>
      </c>
      <c r="BX324" s="4">
        <v>-0.47983999999999999</v>
      </c>
      <c r="BY324" s="4">
        <v>0.35889399999999999</v>
      </c>
      <c r="BZ324" s="4">
        <v>-0.17333000000000001</v>
      </c>
      <c r="CA324" s="4">
        <v>-7.2255E-2</v>
      </c>
      <c r="CB324" s="4">
        <v>2E-3</v>
      </c>
      <c r="CC324" s="4">
        <v>7.0000000000000001E-3</v>
      </c>
      <c r="CD324" s="4">
        <v>1.4E-2</v>
      </c>
      <c r="CE324" s="4">
        <v>5.2999999999999999E-2</v>
      </c>
      <c r="CF324" s="4">
        <v>6.6927500000000002</v>
      </c>
      <c r="CG324" s="4">
        <v>11.644501</v>
      </c>
      <c r="CH324" s="4">
        <v>16.18</v>
      </c>
      <c r="CI324" s="4">
        <v>24.714500000000001</v>
      </c>
      <c r="CJ324" s="4">
        <v>26.705998999999998</v>
      </c>
      <c r="CK324" s="4">
        <v>28.056000000000001</v>
      </c>
      <c r="CL324" s="4">
        <v>28.635750000000002</v>
      </c>
      <c r="CM324" s="4">
        <v>29.497999</v>
      </c>
      <c r="CN324" s="4">
        <v>30.781500000000001</v>
      </c>
      <c r="CO324" s="4">
        <v>31.934249999999999</v>
      </c>
      <c r="CP324" s="4">
        <v>33.185501000000002</v>
      </c>
      <c r="CQ324" s="4">
        <v>0.53716900000000001</v>
      </c>
      <c r="CR324" s="4">
        <v>22.074721</v>
      </c>
      <c r="CS324" s="4">
        <v>23.794992000000001</v>
      </c>
      <c r="CT324" s="1">
        <v>24</v>
      </c>
      <c r="CU324" s="1">
        <v>450</v>
      </c>
      <c r="CV324" s="4">
        <v>109.65306099999999</v>
      </c>
      <c r="CW324" s="4">
        <v>37.523809999999997</v>
      </c>
      <c r="CX324" s="4">
        <v>78.445137000000003</v>
      </c>
      <c r="CY324" s="4">
        <v>6153.6395309999998</v>
      </c>
      <c r="CZ324" s="4">
        <v>0.71539399999999997</v>
      </c>
      <c r="DA324" s="4">
        <v>82</v>
      </c>
      <c r="DB324" s="4">
        <v>1.797029</v>
      </c>
      <c r="DC324" s="4">
        <v>6.4864220000000001</v>
      </c>
      <c r="DD324" s="4">
        <v>56.609502999999997</v>
      </c>
      <c r="DE324" s="4">
        <v>109.65306099999999</v>
      </c>
      <c r="DF324" s="4">
        <v>39.407246000000001</v>
      </c>
      <c r="DG324" s="4">
        <v>12.811931</v>
      </c>
      <c r="DH324" s="4">
        <v>7.3657700000000004</v>
      </c>
      <c r="DI324" s="4">
        <v>0.35938100000000001</v>
      </c>
      <c r="DJ324" s="4">
        <v>0.32511600000000002</v>
      </c>
      <c r="DK324" s="4">
        <v>0.186914</v>
      </c>
      <c r="DL324" s="4">
        <v>27</v>
      </c>
      <c r="DM324" s="4">
        <v>33</v>
      </c>
      <c r="DN324" s="4">
        <v>38.5</v>
      </c>
      <c r="DO324" s="4">
        <v>49</v>
      </c>
      <c r="DP324" s="4">
        <v>54</v>
      </c>
      <c r="DQ324" s="4">
        <v>59</v>
      </c>
      <c r="DR324" s="4">
        <v>74</v>
      </c>
      <c r="DS324" s="4">
        <v>90</v>
      </c>
      <c r="DT324" s="4">
        <v>106</v>
      </c>
      <c r="DU324" s="4">
        <v>123</v>
      </c>
      <c r="DV324" s="4">
        <v>136</v>
      </c>
      <c r="DW324" s="4">
        <v>150</v>
      </c>
      <c r="DX324" s="4">
        <v>205.5</v>
      </c>
      <c r="DY324" s="4">
        <v>281</v>
      </c>
      <c r="DZ324" s="4">
        <v>390.5</v>
      </c>
      <c r="EA324" s="4">
        <v>92.220651000000004</v>
      </c>
      <c r="EB324" s="4">
        <v>77.210883999999993</v>
      </c>
      <c r="EC324" s="4">
        <v>128.42998600000001</v>
      </c>
      <c r="ED324" s="4">
        <v>652</v>
      </c>
      <c r="EE324" s="4">
        <v>908</v>
      </c>
      <c r="EF324" s="4">
        <v>80.19802</v>
      </c>
      <c r="EG324" s="4">
        <v>99.858557000000005</v>
      </c>
      <c r="EH324" s="4">
        <v>57.227891</v>
      </c>
      <c r="EI324" s="4">
        <v>99.829931999999999</v>
      </c>
      <c r="EJ324" s="4">
        <v>95.190948000000006</v>
      </c>
      <c r="EK324" s="4">
        <v>166.05374800000001</v>
      </c>
      <c r="EL324" s="4">
        <v>567</v>
      </c>
      <c r="EM324" s="4">
        <v>706</v>
      </c>
      <c r="EN324" s="4">
        <v>673</v>
      </c>
      <c r="EO324" s="4">
        <v>1174</v>
      </c>
      <c r="EP324" s="4">
        <v>707</v>
      </c>
      <c r="EQ324" s="4">
        <v>1176</v>
      </c>
      <c r="ER324" s="4">
        <v>54.749513</v>
      </c>
    </row>
    <row r="325" spans="1:148" x14ac:dyDescent="0.2">
      <c r="A325" s="1">
        <v>2025</v>
      </c>
      <c r="B325" s="1" t="str">
        <f t="shared" si="10"/>
        <v>GN</v>
      </c>
      <c r="C325" s="1" t="s">
        <v>1548</v>
      </c>
      <c r="D325" s="1" t="s">
        <v>1548</v>
      </c>
      <c r="E325" s="1">
        <v>27545</v>
      </c>
      <c r="F325" s="1" t="s">
        <v>2165</v>
      </c>
      <c r="G325" s="1" t="s">
        <v>2004</v>
      </c>
      <c r="H325" s="1" t="s">
        <v>1929</v>
      </c>
      <c r="I325" s="1">
        <v>83.65</v>
      </c>
      <c r="J325" s="1">
        <v>83.65</v>
      </c>
      <c r="K325" s="1" t="s">
        <v>392</v>
      </c>
      <c r="L325" s="1">
        <v>1</v>
      </c>
      <c r="M325" s="3">
        <v>2020</v>
      </c>
      <c r="O325" s="1">
        <v>2</v>
      </c>
      <c r="P325" s="1" t="str">
        <f t="shared" si="11"/>
        <v>Talhadia</v>
      </c>
      <c r="Q325" s="2">
        <v>44048</v>
      </c>
      <c r="R325" s="1" t="s">
        <v>169</v>
      </c>
      <c r="S325" s="1" t="s">
        <v>299</v>
      </c>
      <c r="T325" s="1" t="s">
        <v>2268</v>
      </c>
      <c r="U325" s="1" t="s">
        <v>266</v>
      </c>
      <c r="V325" s="1" t="s">
        <v>152</v>
      </c>
      <c r="W325" s="2">
        <v>44750</v>
      </c>
      <c r="X325" s="1" t="s">
        <v>2166</v>
      </c>
      <c r="Y325" s="1">
        <v>90.910000000000011</v>
      </c>
      <c r="Z325" s="1">
        <v>20.5</v>
      </c>
      <c r="AA325" s="1">
        <v>8</v>
      </c>
      <c r="AB325" s="1">
        <v>15.5</v>
      </c>
      <c r="AC325" s="1">
        <v>6</v>
      </c>
      <c r="AD325" s="3">
        <v>317.75</v>
      </c>
      <c r="AE325" s="3">
        <v>312.93395115475801</v>
      </c>
      <c r="AF325" s="2">
        <v>45733</v>
      </c>
      <c r="AG325" s="1">
        <v>55</v>
      </c>
      <c r="AH325" s="3">
        <v>4.6132785763175903</v>
      </c>
      <c r="AI325" s="4">
        <v>28.4645133177678</v>
      </c>
      <c r="AJ325" s="4">
        <v>17.456521739130402</v>
      </c>
      <c r="AK325" s="4">
        <v>18.876498940464099</v>
      </c>
      <c r="AL325" s="1">
        <v>23</v>
      </c>
      <c r="AM325" s="5">
        <v>734.97937552405801</v>
      </c>
      <c r="AN325" s="4">
        <v>274.993382129336</v>
      </c>
      <c r="AO325" s="4">
        <v>0.37415115483105799</v>
      </c>
      <c r="AP325" s="1" t="s">
        <v>299</v>
      </c>
      <c r="AQ325" s="1" t="s">
        <v>254</v>
      </c>
      <c r="AR325" s="1" t="s">
        <v>500</v>
      </c>
      <c r="AS325" s="1">
        <v>9</v>
      </c>
      <c r="AT325" s="4">
        <v>0.66148143797165226</v>
      </c>
      <c r="AU325" s="1" t="s">
        <v>1547</v>
      </c>
      <c r="AV325" s="1" t="s">
        <v>1548</v>
      </c>
      <c r="AW325" s="1">
        <v>1119</v>
      </c>
      <c r="AX325" s="1">
        <v>730</v>
      </c>
      <c r="AY325" s="1">
        <v>314</v>
      </c>
      <c r="AZ325" s="1">
        <v>66</v>
      </c>
      <c r="BA325" s="1">
        <v>9</v>
      </c>
      <c r="BB325" s="1">
        <v>0</v>
      </c>
      <c r="BC325" s="1">
        <v>0</v>
      </c>
      <c r="BD325" s="1">
        <v>0</v>
      </c>
      <c r="BE325" s="1">
        <v>0</v>
      </c>
      <c r="BF325" s="1">
        <v>0</v>
      </c>
      <c r="BG325" s="1">
        <v>0</v>
      </c>
      <c r="BH325" s="4">
        <v>0</v>
      </c>
      <c r="BI325" s="4">
        <v>34.334000000000003</v>
      </c>
      <c r="BJ325" s="4">
        <v>20.778307000000002</v>
      </c>
      <c r="BK325" s="4">
        <v>0</v>
      </c>
      <c r="BL325" s="4">
        <v>12.46712</v>
      </c>
      <c r="BM325" s="4">
        <v>155.429079</v>
      </c>
      <c r="BN325" s="4">
        <v>0.60000699999999996</v>
      </c>
      <c r="BO325" s="4">
        <v>21.473499</v>
      </c>
      <c r="BP325" s="4">
        <v>-0.87110900000000002</v>
      </c>
      <c r="BQ325" s="4">
        <v>1.9939480000000001</v>
      </c>
      <c r="BR325" s="4">
        <v>10.983969</v>
      </c>
      <c r="BS325" s="4">
        <v>3.3319990000000002</v>
      </c>
      <c r="BT325" s="4">
        <v>27.753</v>
      </c>
      <c r="BU325" s="4">
        <v>20.778307000000002</v>
      </c>
      <c r="BV325" s="4">
        <v>6.428166</v>
      </c>
      <c r="BW325" s="4">
        <v>-1.9644919999999999</v>
      </c>
      <c r="BX325" s="4">
        <v>-0.13802600000000001</v>
      </c>
      <c r="BY325" s="4">
        <v>0.30936900000000001</v>
      </c>
      <c r="BZ325" s="4">
        <v>-0.30560700000000002</v>
      </c>
      <c r="CA325" s="4">
        <v>-2.1472000000000002E-2</v>
      </c>
      <c r="CB325" s="4">
        <v>1E-3</v>
      </c>
      <c r="CC325" s="4">
        <v>7.0000000000000001E-3</v>
      </c>
      <c r="CD325" s="4">
        <v>1.5800000000000002E-2</v>
      </c>
      <c r="CE325" s="4">
        <v>7.3599999999999999E-2</v>
      </c>
      <c r="CF325" s="4">
        <v>8.4894999999999996</v>
      </c>
      <c r="CG325" s="4">
        <v>16.917000000000002</v>
      </c>
      <c r="CH325" s="4">
        <v>25.883600000000001</v>
      </c>
      <c r="CI325" s="4">
        <v>27.753</v>
      </c>
      <c r="CJ325" s="4">
        <v>28.697201</v>
      </c>
      <c r="CK325" s="4">
        <v>29.520399000000001</v>
      </c>
      <c r="CL325" s="4">
        <v>29.962999</v>
      </c>
      <c r="CM325" s="4">
        <v>30.357800000000001</v>
      </c>
      <c r="CN325" s="4">
        <v>31.315601000000001</v>
      </c>
      <c r="CO325" s="4">
        <v>32.038097</v>
      </c>
      <c r="CP325" s="4">
        <v>32.783352000000001</v>
      </c>
      <c r="CQ325" s="4">
        <v>0.605182</v>
      </c>
      <c r="CR325" s="4">
        <v>24.228664999999999</v>
      </c>
      <c r="CS325" s="4">
        <v>25.694796</v>
      </c>
      <c r="CT325" s="1">
        <v>20</v>
      </c>
      <c r="CU325" s="1">
        <v>406</v>
      </c>
      <c r="CV325" s="4">
        <v>105.769437</v>
      </c>
      <c r="CW325" s="4">
        <v>44.507936999999998</v>
      </c>
      <c r="CX325" s="4">
        <v>66.185058999999995</v>
      </c>
      <c r="CY325" s="4">
        <v>4380.4619990000001</v>
      </c>
      <c r="CZ325" s="4">
        <v>0.62574799999999997</v>
      </c>
      <c r="DA325" s="4">
        <v>81</v>
      </c>
      <c r="DB325" s="4">
        <v>1.48533</v>
      </c>
      <c r="DC325" s="4">
        <v>5.7578800000000001</v>
      </c>
      <c r="DD325" s="4">
        <v>49.957343999999999</v>
      </c>
      <c r="DE325" s="4">
        <v>105.769437</v>
      </c>
      <c r="DF325" s="4">
        <v>34.717959999999998</v>
      </c>
      <c r="DG325" s="4">
        <v>8.6980950000000004</v>
      </c>
      <c r="DH325" s="4">
        <v>5.0824160000000003</v>
      </c>
      <c r="DI325" s="4">
        <v>0.32824199999999998</v>
      </c>
      <c r="DJ325" s="4">
        <v>0.25053599999999998</v>
      </c>
      <c r="DK325" s="4">
        <v>0.14639199999999999</v>
      </c>
      <c r="DL325" s="4">
        <v>26</v>
      </c>
      <c r="DM325" s="4">
        <v>33</v>
      </c>
      <c r="DN325" s="4">
        <v>39</v>
      </c>
      <c r="DO325" s="4">
        <v>49</v>
      </c>
      <c r="DP325" s="4">
        <v>55</v>
      </c>
      <c r="DQ325" s="4">
        <v>62</v>
      </c>
      <c r="DR325" s="4">
        <v>75.200012000000001</v>
      </c>
      <c r="DS325" s="4">
        <v>92</v>
      </c>
      <c r="DT325" s="4">
        <v>109</v>
      </c>
      <c r="DU325" s="4">
        <v>125.599976</v>
      </c>
      <c r="DV325" s="4">
        <v>136</v>
      </c>
      <c r="DW325" s="4">
        <v>147</v>
      </c>
      <c r="DX325" s="4">
        <v>189.20001199999999</v>
      </c>
      <c r="DY325" s="4">
        <v>235.199951</v>
      </c>
      <c r="DZ325" s="4">
        <v>346</v>
      </c>
      <c r="EA325" s="4">
        <v>92.465753000000007</v>
      </c>
      <c r="EB325" s="4">
        <v>76.675602999999995</v>
      </c>
      <c r="EC325" s="4">
        <v>117.53424699999999</v>
      </c>
      <c r="ED325" s="4">
        <v>675</v>
      </c>
      <c r="EE325" s="4">
        <v>858</v>
      </c>
      <c r="EF325" s="4">
        <v>87.534246999999993</v>
      </c>
      <c r="EG325" s="4">
        <v>100</v>
      </c>
      <c r="EH325" s="4">
        <v>66.934763000000004</v>
      </c>
      <c r="EI325" s="4">
        <v>99.553172000000004</v>
      </c>
      <c r="EJ325" s="4">
        <v>102.60274</v>
      </c>
      <c r="EK325" s="4">
        <v>152.60274000000001</v>
      </c>
      <c r="EL325" s="4">
        <v>639</v>
      </c>
      <c r="EM325" s="4">
        <v>730</v>
      </c>
      <c r="EN325" s="4">
        <v>749</v>
      </c>
      <c r="EO325" s="4">
        <v>1114</v>
      </c>
      <c r="EP325" s="4">
        <v>730</v>
      </c>
      <c r="EQ325" s="4">
        <v>1119</v>
      </c>
      <c r="ER325" s="4">
        <v>62.354886999999998</v>
      </c>
    </row>
    <row r="326" spans="1:148" x14ac:dyDescent="0.2">
      <c r="A326" s="1">
        <v>2025</v>
      </c>
      <c r="B326" s="1" t="str">
        <f t="shared" si="10"/>
        <v>GN</v>
      </c>
      <c r="C326" s="1" t="s">
        <v>1550</v>
      </c>
      <c r="D326" s="1" t="s">
        <v>1550</v>
      </c>
      <c r="E326" s="1">
        <v>27546</v>
      </c>
      <c r="F326" s="1" t="s">
        <v>2165</v>
      </c>
      <c r="G326" s="1" t="s">
        <v>2004</v>
      </c>
      <c r="H326" s="1" t="s">
        <v>1929</v>
      </c>
      <c r="I326" s="1">
        <v>83.65</v>
      </c>
      <c r="J326" s="1">
        <v>83.65</v>
      </c>
      <c r="K326" s="1" t="s">
        <v>392</v>
      </c>
      <c r="L326" s="1">
        <v>1</v>
      </c>
      <c r="M326" s="3">
        <v>2020</v>
      </c>
      <c r="O326" s="1">
        <v>2</v>
      </c>
      <c r="P326" s="1" t="str">
        <f t="shared" si="11"/>
        <v>Talhadia</v>
      </c>
      <c r="Q326" s="2">
        <v>44048</v>
      </c>
      <c r="R326" s="1" t="s">
        <v>169</v>
      </c>
      <c r="S326" s="1" t="s">
        <v>299</v>
      </c>
      <c r="T326" s="1" t="s">
        <v>2268</v>
      </c>
      <c r="U326" s="1" t="s">
        <v>266</v>
      </c>
      <c r="V326" s="1" t="s">
        <v>152</v>
      </c>
      <c r="W326" s="2">
        <v>45733</v>
      </c>
      <c r="X326" s="1" t="s">
        <v>2166</v>
      </c>
      <c r="Y326" s="1">
        <v>90.910000000000011</v>
      </c>
      <c r="Z326" s="1">
        <v>21.4</v>
      </c>
      <c r="AA326" s="1">
        <v>14</v>
      </c>
      <c r="AB326" s="1">
        <v>14.6</v>
      </c>
      <c r="AC326" s="1">
        <v>1</v>
      </c>
      <c r="AD326" s="3">
        <v>312.44</v>
      </c>
      <c r="AE326" s="3">
        <v>303.11302410362799</v>
      </c>
      <c r="AF326" s="2">
        <v>45733</v>
      </c>
      <c r="AG326" s="1">
        <v>55</v>
      </c>
      <c r="AH326" s="3">
        <v>4.6132785763175903</v>
      </c>
      <c r="AI326" s="4">
        <v>29.319090603014601</v>
      </c>
      <c r="AJ326" s="4">
        <v>16.696000000000002</v>
      </c>
      <c r="AK326" s="4">
        <v>19.074379564321699</v>
      </c>
      <c r="AL326" s="1">
        <v>25</v>
      </c>
      <c r="AM326" s="5">
        <v>824.774853338306</v>
      </c>
      <c r="AN326" s="4">
        <v>279.58370000820997</v>
      </c>
      <c r="AO326" s="4">
        <v>0.33898184319828001</v>
      </c>
      <c r="AP326" s="1" t="s">
        <v>299</v>
      </c>
      <c r="AQ326" s="1" t="s">
        <v>254</v>
      </c>
      <c r="AR326" s="1" t="s">
        <v>500</v>
      </c>
      <c r="AS326" s="1">
        <v>9</v>
      </c>
      <c r="AT326" s="4">
        <v>0.74229736800447543</v>
      </c>
      <c r="AU326" s="1" t="s">
        <v>1549</v>
      </c>
      <c r="AV326" s="1" t="s">
        <v>1550</v>
      </c>
      <c r="AW326" s="1">
        <v>1352</v>
      </c>
      <c r="AX326" s="1">
        <v>746</v>
      </c>
      <c r="AY326" s="1">
        <v>457</v>
      </c>
      <c r="AZ326" s="1">
        <v>130</v>
      </c>
      <c r="BA326" s="1">
        <v>17</v>
      </c>
      <c r="BB326" s="1">
        <v>2</v>
      </c>
      <c r="BC326" s="1">
        <v>0</v>
      </c>
      <c r="BD326" s="1">
        <v>0</v>
      </c>
      <c r="BE326" s="1">
        <v>0</v>
      </c>
      <c r="BF326" s="1">
        <v>0</v>
      </c>
      <c r="BG326" s="1">
        <v>0</v>
      </c>
      <c r="BH326" s="4">
        <v>0</v>
      </c>
      <c r="BI326" s="4">
        <v>31.375999</v>
      </c>
      <c r="BJ326" s="4">
        <v>18.481401000000002</v>
      </c>
      <c r="BK326" s="4">
        <v>0</v>
      </c>
      <c r="BL326" s="4">
        <v>11.209611000000001</v>
      </c>
      <c r="BM326" s="4">
        <v>125.65537399999999</v>
      </c>
      <c r="BN326" s="4">
        <v>0.60653500000000005</v>
      </c>
      <c r="BO326" s="4">
        <v>18.827500000000001</v>
      </c>
      <c r="BP326" s="4">
        <v>-0.68541099999999999</v>
      </c>
      <c r="BQ326" s="4">
        <v>1.850797</v>
      </c>
      <c r="BR326" s="4">
        <v>9.9201910000000009</v>
      </c>
      <c r="BS326" s="4">
        <v>4.7300000000000004</v>
      </c>
      <c r="BT326" s="4">
        <v>24.613499000000001</v>
      </c>
      <c r="BU326" s="4">
        <v>18.481401000000002</v>
      </c>
      <c r="BV326" s="4">
        <v>6.0692700000000004</v>
      </c>
      <c r="BW326" s="4">
        <v>-1.4345190000000001</v>
      </c>
      <c r="BX326" s="4">
        <v>-0.30163600000000002</v>
      </c>
      <c r="BY326" s="4">
        <v>0.328399</v>
      </c>
      <c r="BZ326" s="4">
        <v>-0.23635800000000001</v>
      </c>
      <c r="CA326" s="4">
        <v>-4.9699E-2</v>
      </c>
      <c r="CB326" s="4">
        <v>4.0000000000000001E-3</v>
      </c>
      <c r="CC326" s="4">
        <v>1.4999999999999999E-2</v>
      </c>
      <c r="CD326" s="4">
        <v>3.3099999999999997E-2</v>
      </c>
      <c r="CE326" s="4">
        <v>0.93520099999999995</v>
      </c>
      <c r="CF326" s="4">
        <v>8.8422499999999999</v>
      </c>
      <c r="CG326" s="4">
        <v>13.079898999999999</v>
      </c>
      <c r="CH326" s="4">
        <v>18.710000999999998</v>
      </c>
      <c r="CI326" s="4">
        <v>24.613499000000001</v>
      </c>
      <c r="CJ326" s="4">
        <v>26.163601</v>
      </c>
      <c r="CK326" s="4">
        <v>27.203099999999999</v>
      </c>
      <c r="CL326" s="4">
        <v>27.669750000000001</v>
      </c>
      <c r="CM326" s="4">
        <v>28.155398999999999</v>
      </c>
      <c r="CN326" s="4">
        <v>29.115998999999999</v>
      </c>
      <c r="CO326" s="4">
        <v>29.795999999999999</v>
      </c>
      <c r="CP326" s="4">
        <v>30.612110000000001</v>
      </c>
      <c r="CQ326" s="4">
        <v>0.58903000000000005</v>
      </c>
      <c r="CR326" s="4">
        <v>21.613066</v>
      </c>
      <c r="CS326" s="4">
        <v>23.089459000000002</v>
      </c>
      <c r="CT326" s="1">
        <v>25</v>
      </c>
      <c r="CU326" s="1">
        <v>486</v>
      </c>
      <c r="CV326" s="4">
        <v>99.392751000000004</v>
      </c>
      <c r="CW326" s="4">
        <v>46.952381000000003</v>
      </c>
      <c r="CX326" s="4">
        <v>66.680465999999996</v>
      </c>
      <c r="CY326" s="4">
        <v>4446.2845660000003</v>
      </c>
      <c r="CZ326" s="4">
        <v>0.670879</v>
      </c>
      <c r="DA326" s="4">
        <v>74</v>
      </c>
      <c r="DB326" s="4">
        <v>2.0651269999999999</v>
      </c>
      <c r="DC326" s="4">
        <v>8.9803029999999993</v>
      </c>
      <c r="DD326" s="4">
        <v>47.966693999999997</v>
      </c>
      <c r="DE326" s="4">
        <v>99.392751000000004</v>
      </c>
      <c r="DF326" s="4">
        <v>33.184479000000003</v>
      </c>
      <c r="DG326" s="4">
        <v>10.051716000000001</v>
      </c>
      <c r="DH326" s="4">
        <v>5.8976800000000003</v>
      </c>
      <c r="DI326" s="4">
        <v>0.333872</v>
      </c>
      <c r="DJ326" s="4">
        <v>0.30290400000000001</v>
      </c>
      <c r="DK326" s="4">
        <v>0.17772399999999999</v>
      </c>
      <c r="DL326" s="4">
        <v>28</v>
      </c>
      <c r="DM326" s="4">
        <v>33</v>
      </c>
      <c r="DN326" s="4">
        <v>38</v>
      </c>
      <c r="DO326" s="4">
        <v>47</v>
      </c>
      <c r="DP326" s="4">
        <v>52</v>
      </c>
      <c r="DQ326" s="4">
        <v>58</v>
      </c>
      <c r="DR326" s="4">
        <v>69</v>
      </c>
      <c r="DS326" s="4">
        <v>83</v>
      </c>
      <c r="DT326" s="4">
        <v>99</v>
      </c>
      <c r="DU326" s="4">
        <v>117</v>
      </c>
      <c r="DV326" s="4">
        <v>126</v>
      </c>
      <c r="DW326" s="4">
        <v>138</v>
      </c>
      <c r="DX326" s="4">
        <v>170.900024</v>
      </c>
      <c r="DY326" s="4">
        <v>219.34985399999999</v>
      </c>
      <c r="DZ326" s="4">
        <v>356.48998999999998</v>
      </c>
      <c r="EA326" s="4">
        <v>94.504020999999995</v>
      </c>
      <c r="EB326" s="4">
        <v>78.772188999999997</v>
      </c>
      <c r="EC326" s="4">
        <v>142.761394</v>
      </c>
      <c r="ED326" s="4">
        <v>705</v>
      </c>
      <c r="EE326" s="4">
        <v>1065</v>
      </c>
      <c r="EF326" s="4">
        <v>84.316354000000004</v>
      </c>
      <c r="EG326" s="4">
        <v>100</v>
      </c>
      <c r="EH326" s="4">
        <v>60.133136</v>
      </c>
      <c r="EI326" s="4">
        <v>99.926035999999996</v>
      </c>
      <c r="EJ326" s="4">
        <v>108.981233</v>
      </c>
      <c r="EK326" s="4">
        <v>181.09919600000001</v>
      </c>
      <c r="EL326" s="4">
        <v>629</v>
      </c>
      <c r="EM326" s="4">
        <v>746</v>
      </c>
      <c r="EN326" s="4">
        <v>813</v>
      </c>
      <c r="EO326" s="4">
        <v>1351</v>
      </c>
      <c r="EP326" s="4">
        <v>746</v>
      </c>
      <c r="EQ326" s="4">
        <v>1352</v>
      </c>
      <c r="ER326" s="4">
        <v>59.387818000000003</v>
      </c>
    </row>
    <row r="327" spans="1:148" x14ac:dyDescent="0.2">
      <c r="A327" s="1">
        <v>2025</v>
      </c>
      <c r="B327" s="1" t="str">
        <f t="shared" si="10"/>
        <v>GN</v>
      </c>
      <c r="C327" s="1" t="s">
        <v>1552</v>
      </c>
      <c r="D327" s="1" t="s">
        <v>1552</v>
      </c>
      <c r="E327" s="1">
        <v>27676</v>
      </c>
      <c r="F327" s="1" t="s">
        <v>2167</v>
      </c>
      <c r="G327" s="1" t="s">
        <v>2005</v>
      </c>
      <c r="H327" s="1" t="s">
        <v>1930</v>
      </c>
      <c r="I327" s="1">
        <v>53.58</v>
      </c>
      <c r="J327" s="1">
        <v>53.58</v>
      </c>
      <c r="K327" s="1" t="s">
        <v>392</v>
      </c>
      <c r="L327" s="1">
        <v>1</v>
      </c>
      <c r="M327" s="3">
        <v>2020</v>
      </c>
      <c r="O327" s="1">
        <v>1</v>
      </c>
      <c r="P327" s="1" t="str">
        <f t="shared" si="11"/>
        <v>Alto fuste</v>
      </c>
      <c r="Q327" s="2">
        <v>44133</v>
      </c>
      <c r="R327" s="1" t="s">
        <v>169</v>
      </c>
      <c r="S327" s="1" t="s">
        <v>651</v>
      </c>
      <c r="T327" s="1" t="s">
        <v>2268</v>
      </c>
      <c r="U327" s="1" t="s">
        <v>266</v>
      </c>
      <c r="V327" s="1" t="s">
        <v>152</v>
      </c>
      <c r="W327" s="2">
        <v>44751</v>
      </c>
      <c r="X327" s="1" t="s">
        <v>2168</v>
      </c>
      <c r="Y327" s="1">
        <v>53.58</v>
      </c>
      <c r="Z327" s="1">
        <v>20.399999999999999</v>
      </c>
      <c r="AA327" s="1">
        <v>30</v>
      </c>
      <c r="AB327" s="1">
        <v>16.399999999999999</v>
      </c>
      <c r="AC327" s="1">
        <v>6</v>
      </c>
      <c r="AD327" s="3">
        <v>334.56</v>
      </c>
      <c r="AE327" s="3">
        <v>288.15024697349497</v>
      </c>
      <c r="AF327" s="2">
        <v>45734</v>
      </c>
      <c r="AG327" s="1">
        <v>53</v>
      </c>
      <c r="AH327" s="3">
        <v>4.3832991101984904</v>
      </c>
      <c r="AI327" s="4">
        <v>24.217838659626199</v>
      </c>
      <c r="AJ327" s="4">
        <v>15.683999999999999</v>
      </c>
      <c r="AK327" s="4">
        <v>17.359015327343201</v>
      </c>
      <c r="AL327" s="1">
        <v>25</v>
      </c>
      <c r="AM327" s="5">
        <v>867.60293501672902</v>
      </c>
      <c r="AN327" s="4">
        <v>192.85037346667801</v>
      </c>
      <c r="AO327" s="4">
        <v>0.22227953097341599</v>
      </c>
      <c r="AP327" s="1" t="s">
        <v>651</v>
      </c>
      <c r="AQ327" s="1" t="s">
        <v>156</v>
      </c>
      <c r="AR327" s="1" t="s">
        <v>270</v>
      </c>
      <c r="AS327" s="1">
        <v>9</v>
      </c>
      <c r="AT327" s="4">
        <v>0.78084264151505611</v>
      </c>
      <c r="AU327" s="1" t="s">
        <v>1551</v>
      </c>
      <c r="AV327" s="1" t="s">
        <v>1552</v>
      </c>
      <c r="AW327" s="1">
        <v>1253</v>
      </c>
      <c r="AX327" s="1">
        <v>570</v>
      </c>
      <c r="AY327" s="1">
        <v>419</v>
      </c>
      <c r="AZ327" s="1">
        <v>194</v>
      </c>
      <c r="BA327" s="1">
        <v>59</v>
      </c>
      <c r="BB327" s="1">
        <v>11</v>
      </c>
      <c r="BC327" s="1">
        <v>0</v>
      </c>
      <c r="BD327" s="1">
        <v>0</v>
      </c>
      <c r="BE327" s="1">
        <v>0</v>
      </c>
      <c r="BF327" s="1">
        <v>0</v>
      </c>
      <c r="BG327" s="1">
        <v>0</v>
      </c>
      <c r="BH327" s="4">
        <v>0</v>
      </c>
      <c r="BI327" s="4">
        <v>30.038</v>
      </c>
      <c r="BJ327" s="4">
        <v>16.097484999999999</v>
      </c>
      <c r="BK327" s="4">
        <v>0</v>
      </c>
      <c r="BL327" s="4">
        <v>10.324592000000001</v>
      </c>
      <c r="BM327" s="4">
        <v>106.59719200000001</v>
      </c>
      <c r="BN327" s="4">
        <v>0.64137900000000003</v>
      </c>
      <c r="BO327" s="4">
        <v>20.683</v>
      </c>
      <c r="BP327" s="4">
        <v>-0.38104399999999999</v>
      </c>
      <c r="BQ327" s="4">
        <v>1.3786929999999999</v>
      </c>
      <c r="BR327" s="4">
        <v>9.7156470000000006</v>
      </c>
      <c r="BS327" s="4">
        <v>5.3959999999999999</v>
      </c>
      <c r="BT327" s="4">
        <v>21.361000000000001</v>
      </c>
      <c r="BU327" s="4">
        <v>16.097484999999999</v>
      </c>
      <c r="BV327" s="4">
        <v>5.6636240000000004</v>
      </c>
      <c r="BW327" s="4">
        <v>-0.78327500000000005</v>
      </c>
      <c r="BX327" s="4">
        <v>-0.55770200000000003</v>
      </c>
      <c r="BY327" s="4">
        <v>0.35183300000000001</v>
      </c>
      <c r="BZ327" s="4">
        <v>-0.13829900000000001</v>
      </c>
      <c r="CA327" s="4">
        <v>-9.8471000000000003E-2</v>
      </c>
      <c r="CB327" s="4">
        <v>2.6079999999999999E-2</v>
      </c>
      <c r="CC327" s="4">
        <v>0.2492</v>
      </c>
      <c r="CD327" s="4">
        <v>1.907</v>
      </c>
      <c r="CE327" s="4">
        <v>3.8395999999999999</v>
      </c>
      <c r="CF327" s="4">
        <v>4.3760000000000003</v>
      </c>
      <c r="CG327" s="4">
        <v>5.2510000000000003</v>
      </c>
      <c r="CH327" s="4">
        <v>17.029596000000002</v>
      </c>
      <c r="CI327" s="4">
        <v>21.361000000000001</v>
      </c>
      <c r="CJ327" s="4">
        <v>23.257000000000001</v>
      </c>
      <c r="CK327" s="4">
        <v>24.430401</v>
      </c>
      <c r="CL327" s="4">
        <v>25.059000000000001</v>
      </c>
      <c r="CM327" s="4">
        <v>25.6418</v>
      </c>
      <c r="CN327" s="4">
        <v>26.853000999999999</v>
      </c>
      <c r="CO327" s="4">
        <v>27.677600999999999</v>
      </c>
      <c r="CP327" s="4">
        <v>28.875919</v>
      </c>
      <c r="CQ327" s="4">
        <v>0.53590400000000005</v>
      </c>
      <c r="CR327" s="4">
        <v>19.121745000000001</v>
      </c>
      <c r="CS327" s="4">
        <v>20.720419</v>
      </c>
      <c r="CT327" s="1">
        <v>23</v>
      </c>
      <c r="CU327" s="1">
        <v>361</v>
      </c>
      <c r="CV327" s="4">
        <v>100.189944</v>
      </c>
      <c r="CW327" s="4">
        <v>33.730159</v>
      </c>
      <c r="CX327" s="4">
        <v>63.239193</v>
      </c>
      <c r="CY327" s="4">
        <v>3999.195522</v>
      </c>
      <c r="CZ327" s="4">
        <v>0.631193</v>
      </c>
      <c r="DA327" s="4">
        <v>87</v>
      </c>
      <c r="DB327" s="4">
        <v>1.162947</v>
      </c>
      <c r="DC327" s="4">
        <v>4.0847290000000003</v>
      </c>
      <c r="DD327" s="4">
        <v>50.62453</v>
      </c>
      <c r="DE327" s="4">
        <v>100.189944</v>
      </c>
      <c r="DF327" s="4">
        <v>34.058134000000003</v>
      </c>
      <c r="DG327" s="4">
        <v>8.6280009999999994</v>
      </c>
      <c r="DH327" s="4">
        <v>3.2934869999999998</v>
      </c>
      <c r="DI327" s="4">
        <v>0.33993600000000002</v>
      </c>
      <c r="DJ327" s="4">
        <v>0.253332</v>
      </c>
      <c r="DK327" s="4">
        <v>9.6701999999999996E-2</v>
      </c>
      <c r="DL327" s="4">
        <v>27</v>
      </c>
      <c r="DM327" s="4">
        <v>32</v>
      </c>
      <c r="DN327" s="4">
        <v>36</v>
      </c>
      <c r="DO327" s="4">
        <v>44</v>
      </c>
      <c r="DP327" s="4">
        <v>49</v>
      </c>
      <c r="DQ327" s="4">
        <v>55</v>
      </c>
      <c r="DR327" s="4">
        <v>67</v>
      </c>
      <c r="DS327" s="4">
        <v>83</v>
      </c>
      <c r="DT327" s="4">
        <v>101</v>
      </c>
      <c r="DU327" s="4">
        <v>124</v>
      </c>
      <c r="DV327" s="4">
        <v>136</v>
      </c>
      <c r="DW327" s="4">
        <v>150</v>
      </c>
      <c r="DX327" s="4">
        <v>190</v>
      </c>
      <c r="DY327" s="4">
        <v>224</v>
      </c>
      <c r="DZ327" s="4">
        <v>294.47998000000001</v>
      </c>
      <c r="EA327" s="4">
        <v>98.070175000000006</v>
      </c>
      <c r="EB327" s="4">
        <v>85.554669000000004</v>
      </c>
      <c r="EC327" s="4">
        <v>188.07017500000001</v>
      </c>
      <c r="ED327" s="4">
        <v>559</v>
      </c>
      <c r="EE327" s="4">
        <v>1072</v>
      </c>
      <c r="EF327" s="4">
        <v>92.807017999999999</v>
      </c>
      <c r="EG327" s="4">
        <v>100</v>
      </c>
      <c r="EH327" s="4">
        <v>60.574621</v>
      </c>
      <c r="EI327" s="4">
        <v>99.920192</v>
      </c>
      <c r="EJ327" s="4">
        <v>133.157895</v>
      </c>
      <c r="EK327" s="4">
        <v>219.649123</v>
      </c>
      <c r="EL327" s="4">
        <v>529</v>
      </c>
      <c r="EM327" s="4">
        <v>570</v>
      </c>
      <c r="EN327" s="4">
        <v>759</v>
      </c>
      <c r="EO327" s="4">
        <v>1252</v>
      </c>
      <c r="EP327" s="4">
        <v>570</v>
      </c>
      <c r="EQ327" s="4">
        <v>1253</v>
      </c>
      <c r="ER327" s="4">
        <v>54.756241000000003</v>
      </c>
    </row>
    <row r="328" spans="1:148" x14ac:dyDescent="0.2">
      <c r="A328" s="1">
        <v>2025</v>
      </c>
      <c r="B328" s="1" t="str">
        <f t="shared" si="10"/>
        <v>GN</v>
      </c>
      <c r="C328" s="1" t="s">
        <v>1554</v>
      </c>
      <c r="D328" s="1" t="s">
        <v>1554</v>
      </c>
      <c r="E328" s="1">
        <v>27677</v>
      </c>
      <c r="F328" s="1" t="s">
        <v>2167</v>
      </c>
      <c r="G328" s="1" t="s">
        <v>2005</v>
      </c>
      <c r="H328" s="1" t="s">
        <v>1930</v>
      </c>
      <c r="I328" s="1">
        <v>53.58</v>
      </c>
      <c r="J328" s="1">
        <v>53.58</v>
      </c>
      <c r="K328" s="1" t="s">
        <v>392</v>
      </c>
      <c r="L328" s="1">
        <v>1</v>
      </c>
      <c r="M328" s="3">
        <v>2020</v>
      </c>
      <c r="O328" s="1">
        <v>1</v>
      </c>
      <c r="P328" s="1" t="str">
        <f t="shared" si="11"/>
        <v>Alto fuste</v>
      </c>
      <c r="Q328" s="2">
        <v>44133</v>
      </c>
      <c r="R328" s="1" t="s">
        <v>169</v>
      </c>
      <c r="S328" s="1" t="s">
        <v>651</v>
      </c>
      <c r="T328" s="1" t="s">
        <v>2268</v>
      </c>
      <c r="U328" s="1" t="s">
        <v>266</v>
      </c>
      <c r="V328" s="1" t="s">
        <v>152</v>
      </c>
      <c r="W328" s="2">
        <v>45734</v>
      </c>
      <c r="X328" s="1" t="s">
        <v>2168</v>
      </c>
      <c r="Y328" s="1">
        <v>53.58</v>
      </c>
      <c r="Z328" s="1">
        <v>19.3</v>
      </c>
      <c r="AA328" s="1">
        <v>14</v>
      </c>
      <c r="AB328" s="1">
        <v>15.5</v>
      </c>
      <c r="AC328" s="1">
        <v>1</v>
      </c>
      <c r="AD328" s="3">
        <v>299.14999999999998</v>
      </c>
      <c r="AE328" s="3">
        <v>290.21975790743898</v>
      </c>
      <c r="AF328" s="2">
        <v>45734</v>
      </c>
      <c r="AG328" s="1">
        <v>53</v>
      </c>
      <c r="AH328" s="3">
        <v>4.3832991101984904</v>
      </c>
      <c r="AI328" s="4">
        <v>30.093860776363801</v>
      </c>
      <c r="AJ328" s="4">
        <v>17.579310344827601</v>
      </c>
      <c r="AK328" s="4">
        <v>24.381407610758401</v>
      </c>
      <c r="AL328" s="1">
        <v>29</v>
      </c>
      <c r="AM328" s="5">
        <v>999.24278791690995</v>
      </c>
      <c r="AN328" s="4">
        <v>328.50148614718103</v>
      </c>
      <c r="AO328" s="4">
        <v>0.328750419937479</v>
      </c>
      <c r="AP328" s="1" t="s">
        <v>651</v>
      </c>
      <c r="AQ328" s="1" t="s">
        <v>156</v>
      </c>
      <c r="AR328" s="1" t="s">
        <v>270</v>
      </c>
      <c r="AS328" s="1">
        <v>9</v>
      </c>
      <c r="AT328" s="4">
        <v>0.89931850912521893</v>
      </c>
      <c r="AU328" s="1" t="s">
        <v>1553</v>
      </c>
      <c r="AV328" s="1" t="s">
        <v>1554</v>
      </c>
      <c r="AW328" s="1">
        <v>1134</v>
      </c>
      <c r="AX328" s="1">
        <v>716</v>
      </c>
      <c r="AY328" s="1">
        <v>334</v>
      </c>
      <c r="AZ328" s="1">
        <v>80</v>
      </c>
      <c r="BA328" s="1">
        <v>4</v>
      </c>
      <c r="BB328" s="1">
        <v>0</v>
      </c>
      <c r="BC328" s="1">
        <v>0</v>
      </c>
      <c r="BD328" s="1">
        <v>0</v>
      </c>
      <c r="BE328" s="1">
        <v>0</v>
      </c>
      <c r="BF328" s="1">
        <v>0</v>
      </c>
      <c r="BG328" s="1">
        <v>0</v>
      </c>
      <c r="BH328" s="4">
        <v>0</v>
      </c>
      <c r="BI328" s="4">
        <v>29.635000000000002</v>
      </c>
      <c r="BJ328" s="4">
        <v>19.923660999999999</v>
      </c>
      <c r="BK328" s="4">
        <v>0</v>
      </c>
      <c r="BL328" s="4">
        <v>10.934472</v>
      </c>
      <c r="BM328" s="4">
        <v>119.562674</v>
      </c>
      <c r="BN328" s="4">
        <v>0.54881800000000003</v>
      </c>
      <c r="BO328" s="4">
        <v>4.3112510000000004</v>
      </c>
      <c r="BP328" s="4">
        <v>-1.1870229999999999</v>
      </c>
      <c r="BQ328" s="4">
        <v>2.5271520000000001</v>
      </c>
      <c r="BR328" s="4">
        <v>9.2128029999999992</v>
      </c>
      <c r="BS328" s="4">
        <v>1.802999</v>
      </c>
      <c r="BT328" s="4">
        <v>25.269000999999999</v>
      </c>
      <c r="BU328" s="4">
        <v>19.923660999999999</v>
      </c>
      <c r="BV328" s="4">
        <v>5.1871109999999998</v>
      </c>
      <c r="BW328" s="4">
        <v>-2.1069870000000002</v>
      </c>
      <c r="BX328" s="4">
        <v>0.387874</v>
      </c>
      <c r="BY328" s="4">
        <v>0.260349</v>
      </c>
      <c r="BZ328" s="4">
        <v>-0.40619699999999997</v>
      </c>
      <c r="CA328" s="4">
        <v>7.4775999999999995E-2</v>
      </c>
      <c r="CB328" s="4">
        <v>2E-3</v>
      </c>
      <c r="CC328" s="4">
        <v>9.6500000000000006E-3</v>
      </c>
      <c r="CD328" s="4">
        <v>2.3E-2</v>
      </c>
      <c r="CE328" s="4">
        <v>0.08</v>
      </c>
      <c r="CF328" s="4">
        <v>22.524249999999999</v>
      </c>
      <c r="CG328" s="4">
        <v>23.672799999999999</v>
      </c>
      <c r="CH328" s="4">
        <v>24.542400000000001</v>
      </c>
      <c r="CI328" s="4">
        <v>25.269000999999999</v>
      </c>
      <c r="CJ328" s="4">
        <v>25.951398999999999</v>
      </c>
      <c r="CK328" s="4">
        <v>26.485099999999999</v>
      </c>
      <c r="CL328" s="4">
        <v>26.835501000000001</v>
      </c>
      <c r="CM328" s="4">
        <v>27.1294</v>
      </c>
      <c r="CN328" s="4">
        <v>27.958099000000001</v>
      </c>
      <c r="CO328" s="4">
        <v>28.366050999999999</v>
      </c>
      <c r="CP328" s="4">
        <v>28.947102000000001</v>
      </c>
      <c r="CQ328" s="4">
        <v>0.67230199999999996</v>
      </c>
      <c r="CR328" s="4">
        <v>22.724646</v>
      </c>
      <c r="CS328" s="4">
        <v>23.810025</v>
      </c>
      <c r="CT328" s="1">
        <v>21</v>
      </c>
      <c r="CU328" s="1">
        <v>499</v>
      </c>
      <c r="CV328" s="4">
        <v>116.162257</v>
      </c>
      <c r="CW328" s="4">
        <v>43.761904999999999</v>
      </c>
      <c r="CX328" s="4">
        <v>73.759586999999996</v>
      </c>
      <c r="CY328" s="4">
        <v>5440.4767380000003</v>
      </c>
      <c r="CZ328" s="4">
        <v>0.63497000000000003</v>
      </c>
      <c r="DA328" s="4">
        <v>92</v>
      </c>
      <c r="DB328" s="4">
        <v>1.5698859999999999</v>
      </c>
      <c r="DC328" s="4">
        <v>6.4313380000000002</v>
      </c>
      <c r="DD328" s="4">
        <v>55.253267999999998</v>
      </c>
      <c r="DE328" s="4">
        <v>116.162257</v>
      </c>
      <c r="DF328" s="4">
        <v>38.492308999999999</v>
      </c>
      <c r="DG328" s="4">
        <v>9.3160120000000006</v>
      </c>
      <c r="DH328" s="4">
        <v>5.8478430000000001</v>
      </c>
      <c r="DI328" s="4">
        <v>0.33136700000000002</v>
      </c>
      <c r="DJ328" s="4">
        <v>0.24202299999999999</v>
      </c>
      <c r="DK328" s="4">
        <v>0.151922</v>
      </c>
      <c r="DL328" s="4">
        <v>25.33</v>
      </c>
      <c r="DM328" s="4">
        <v>33</v>
      </c>
      <c r="DN328" s="4">
        <v>40</v>
      </c>
      <c r="DO328" s="4">
        <v>54.600006</v>
      </c>
      <c r="DP328" s="4">
        <v>60</v>
      </c>
      <c r="DQ328" s="4">
        <v>67.899994000000007</v>
      </c>
      <c r="DR328" s="4">
        <v>84</v>
      </c>
      <c r="DS328" s="4">
        <v>101</v>
      </c>
      <c r="DT328" s="4">
        <v>120.799988</v>
      </c>
      <c r="DU328" s="4">
        <v>140</v>
      </c>
      <c r="DV328" s="4">
        <v>152</v>
      </c>
      <c r="DW328" s="4">
        <v>161</v>
      </c>
      <c r="DX328" s="4">
        <v>204</v>
      </c>
      <c r="DY328" s="4">
        <v>248.349976</v>
      </c>
      <c r="DZ328" s="4">
        <v>390.35021999999998</v>
      </c>
      <c r="EA328" s="4">
        <v>93.854748999999998</v>
      </c>
      <c r="EB328" s="4">
        <v>78.218694999999997</v>
      </c>
      <c r="EC328" s="4">
        <v>123.882682</v>
      </c>
      <c r="ED328" s="4">
        <v>672</v>
      </c>
      <c r="EE328" s="4">
        <v>887</v>
      </c>
      <c r="EF328" s="4">
        <v>91.899440999999996</v>
      </c>
      <c r="EG328" s="4">
        <v>100</v>
      </c>
      <c r="EH328" s="4">
        <v>75.573192000000006</v>
      </c>
      <c r="EI328" s="4">
        <v>99.382716000000002</v>
      </c>
      <c r="EJ328" s="4">
        <v>119.69273699999999</v>
      </c>
      <c r="EK328" s="4">
        <v>157.40223499999999</v>
      </c>
      <c r="EL328" s="4">
        <v>658</v>
      </c>
      <c r="EM328" s="4">
        <v>716</v>
      </c>
      <c r="EN328" s="4">
        <v>857</v>
      </c>
      <c r="EO328" s="4">
        <v>1127</v>
      </c>
      <c r="EP328" s="4">
        <v>716</v>
      </c>
      <c r="EQ328" s="4">
        <v>1134</v>
      </c>
      <c r="ER328" s="4">
        <v>67.860450999999998</v>
      </c>
    </row>
    <row r="329" spans="1:148" x14ac:dyDescent="0.2">
      <c r="A329" s="1">
        <v>2025</v>
      </c>
      <c r="B329" s="1" t="str">
        <f t="shared" si="10"/>
        <v>GN</v>
      </c>
      <c r="C329" s="1" t="s">
        <v>1556</v>
      </c>
      <c r="D329" s="1" t="s">
        <v>1556</v>
      </c>
      <c r="E329" s="1">
        <v>28911</v>
      </c>
      <c r="F329" s="1" t="s">
        <v>2169</v>
      </c>
      <c r="G329" s="1" t="s">
        <v>2006</v>
      </c>
      <c r="H329" s="1" t="s">
        <v>1931</v>
      </c>
      <c r="I329" s="1">
        <v>52.59</v>
      </c>
      <c r="J329" s="1">
        <v>52.59</v>
      </c>
      <c r="K329" s="1" t="s">
        <v>392</v>
      </c>
      <c r="L329" s="1">
        <v>1</v>
      </c>
      <c r="M329" s="3">
        <v>2021</v>
      </c>
      <c r="O329" s="1">
        <v>3</v>
      </c>
      <c r="P329" s="1" t="str">
        <f t="shared" si="11"/>
        <v>Talhadia</v>
      </c>
      <c r="Q329" s="2">
        <v>44538</v>
      </c>
      <c r="R329" s="1" t="s">
        <v>149</v>
      </c>
      <c r="S329" s="1" t="s">
        <v>193</v>
      </c>
      <c r="T329" s="1" t="s">
        <v>2268</v>
      </c>
      <c r="U329" s="1" t="s">
        <v>266</v>
      </c>
      <c r="V329" s="1" t="s">
        <v>152</v>
      </c>
      <c r="W329" s="2">
        <v>44752</v>
      </c>
      <c r="X329" s="1" t="s">
        <v>2170</v>
      </c>
      <c r="Y329" s="1">
        <v>197.08999999999997</v>
      </c>
      <c r="Z329" s="1">
        <v>21.2</v>
      </c>
      <c r="AA329" s="1">
        <v>24</v>
      </c>
      <c r="AB329" s="1">
        <v>14.2</v>
      </c>
      <c r="AC329" s="1">
        <v>1</v>
      </c>
      <c r="AD329" s="3">
        <v>301.04000000000002</v>
      </c>
      <c r="AE329" s="3">
        <v>274.97183864641801</v>
      </c>
      <c r="AF329" s="2">
        <v>45734</v>
      </c>
      <c r="AG329" s="1">
        <v>39</v>
      </c>
      <c r="AH329" s="3">
        <v>3.27446954140999</v>
      </c>
      <c r="AI329" s="4">
        <v>18.791732855741898</v>
      </c>
      <c r="AJ329" s="4">
        <v>12.992307692307699</v>
      </c>
      <c r="AK329" s="4">
        <v>12.937889373927799</v>
      </c>
      <c r="AL329" s="1">
        <v>26</v>
      </c>
      <c r="AM329" s="5">
        <v>945.551374569416</v>
      </c>
      <c r="AN329" s="4">
        <v>123.384152552998</v>
      </c>
      <c r="AO329" s="4">
        <v>0.13048910495126201</v>
      </c>
      <c r="AP329" s="1" t="s">
        <v>193</v>
      </c>
      <c r="AQ329" s="1" t="s">
        <v>254</v>
      </c>
      <c r="AR329" s="1" t="s">
        <v>396</v>
      </c>
      <c r="AS329" s="1">
        <v>9.99</v>
      </c>
      <c r="AT329" s="4">
        <v>0.94460582319484665</v>
      </c>
      <c r="AU329" s="1" t="s">
        <v>1555</v>
      </c>
      <c r="AV329" s="1" t="s">
        <v>1556</v>
      </c>
      <c r="AW329" s="1">
        <v>1057</v>
      </c>
      <c r="AX329" s="1">
        <v>542</v>
      </c>
      <c r="AY329" s="1">
        <v>361</v>
      </c>
      <c r="AZ329" s="1">
        <v>127</v>
      </c>
      <c r="BA329" s="1">
        <v>27</v>
      </c>
      <c r="BB329" s="1">
        <v>0</v>
      </c>
      <c r="BC329" s="1">
        <v>0</v>
      </c>
      <c r="BD329" s="1">
        <v>0</v>
      </c>
      <c r="BE329" s="1">
        <v>0</v>
      </c>
      <c r="BF329" s="1">
        <v>0</v>
      </c>
      <c r="BG329" s="1">
        <v>0</v>
      </c>
      <c r="BH329" s="4">
        <v>0</v>
      </c>
      <c r="BI329" s="4">
        <v>21.761998999999999</v>
      </c>
      <c r="BJ329" s="4">
        <v>11.705137000000001</v>
      </c>
      <c r="BK329" s="4">
        <v>0</v>
      </c>
      <c r="BL329" s="4">
        <v>7.5535379999999996</v>
      </c>
      <c r="BM329" s="4">
        <v>57.055942999999999</v>
      </c>
      <c r="BN329" s="4">
        <v>0.64531799999999995</v>
      </c>
      <c r="BO329" s="4">
        <v>16.561001000000001</v>
      </c>
      <c r="BP329" s="4">
        <v>-0.69495600000000002</v>
      </c>
      <c r="BQ329" s="4">
        <v>1.7544519999999999</v>
      </c>
      <c r="BR329" s="4">
        <v>6.7145840000000003</v>
      </c>
      <c r="BS329" s="4">
        <v>3.0489999999999999</v>
      </c>
      <c r="BT329" s="4">
        <v>15.093999999999999</v>
      </c>
      <c r="BU329" s="4">
        <v>11.705137000000001</v>
      </c>
      <c r="BV329" s="4">
        <v>4.0144849999999996</v>
      </c>
      <c r="BW329" s="4">
        <v>-0.86832699999999996</v>
      </c>
      <c r="BX329" s="4">
        <v>-0.16079499999999999</v>
      </c>
      <c r="BY329" s="4">
        <v>0.342968</v>
      </c>
      <c r="BZ329" s="4">
        <v>-0.21629899999999999</v>
      </c>
      <c r="CA329" s="4">
        <v>-4.0053999999999999E-2</v>
      </c>
      <c r="CB329" s="4">
        <v>4.0000000000000001E-3</v>
      </c>
      <c r="CC329" s="4">
        <v>1.4E-2</v>
      </c>
      <c r="CD329" s="4">
        <v>3.4000000000000002E-2</v>
      </c>
      <c r="CE329" s="4">
        <v>0.12</v>
      </c>
      <c r="CF329" s="4">
        <v>0.92</v>
      </c>
      <c r="CG329" s="4">
        <v>5.8621999999999996</v>
      </c>
      <c r="CH329" s="4">
        <v>13.903399</v>
      </c>
      <c r="CI329" s="4">
        <v>15.093999999999999</v>
      </c>
      <c r="CJ329" s="4">
        <v>16.150801000000001</v>
      </c>
      <c r="CK329" s="4">
        <v>17.030601999999998</v>
      </c>
      <c r="CL329" s="4">
        <v>17.481000999999999</v>
      </c>
      <c r="CM329" s="4">
        <v>17.989999999999998</v>
      </c>
      <c r="CN329" s="4">
        <v>18.966000000000001</v>
      </c>
      <c r="CO329" s="4">
        <v>19.605599999999999</v>
      </c>
      <c r="CP329" s="4">
        <v>20.795593</v>
      </c>
      <c r="CQ329" s="4">
        <v>0.53786999999999996</v>
      </c>
      <c r="CR329" s="4">
        <v>13.928826000000001</v>
      </c>
      <c r="CS329" s="4">
        <v>14.897289000000001</v>
      </c>
      <c r="CT329" s="1">
        <v>23</v>
      </c>
      <c r="CU329" s="1">
        <v>518</v>
      </c>
      <c r="CV329" s="4">
        <v>108.955535</v>
      </c>
      <c r="CW329" s="4">
        <v>38.714286000000001</v>
      </c>
      <c r="CX329" s="4">
        <v>74.699314999999999</v>
      </c>
      <c r="CY329" s="4">
        <v>5579.9876039999999</v>
      </c>
      <c r="CZ329" s="4">
        <v>0.68559400000000004</v>
      </c>
      <c r="DA329" s="4">
        <v>89</v>
      </c>
      <c r="DB329" s="4">
        <v>1.6757439999999999</v>
      </c>
      <c r="DC329" s="4">
        <v>6.6418520000000001</v>
      </c>
      <c r="DD329" s="4">
        <v>56.227578999999999</v>
      </c>
      <c r="DE329" s="4">
        <v>108.955535</v>
      </c>
      <c r="DF329" s="4">
        <v>38.474055</v>
      </c>
      <c r="DG329" s="4">
        <v>11.247187</v>
      </c>
      <c r="DH329" s="4">
        <v>5.735849</v>
      </c>
      <c r="DI329" s="4">
        <v>0.35311700000000001</v>
      </c>
      <c r="DJ329" s="4">
        <v>0.29233199999999998</v>
      </c>
      <c r="DK329" s="4">
        <v>0.14908399999999999</v>
      </c>
      <c r="DL329" s="4">
        <v>27</v>
      </c>
      <c r="DM329" s="4">
        <v>32</v>
      </c>
      <c r="DN329" s="4">
        <v>38</v>
      </c>
      <c r="DO329" s="4">
        <v>48</v>
      </c>
      <c r="DP329" s="4">
        <v>54</v>
      </c>
      <c r="DQ329" s="4">
        <v>59</v>
      </c>
      <c r="DR329" s="4">
        <v>73</v>
      </c>
      <c r="DS329" s="4">
        <v>89</v>
      </c>
      <c r="DT329" s="4">
        <v>106</v>
      </c>
      <c r="DU329" s="4">
        <v>128</v>
      </c>
      <c r="DV329" s="4">
        <v>143</v>
      </c>
      <c r="DW329" s="4">
        <v>158.79998800000001</v>
      </c>
      <c r="DX329" s="4">
        <v>205</v>
      </c>
      <c r="DY329" s="4">
        <v>257.800049</v>
      </c>
      <c r="DZ329" s="4">
        <v>379.19970699999999</v>
      </c>
      <c r="EA329" s="4">
        <v>95.018450000000001</v>
      </c>
      <c r="EB329" s="4">
        <v>72.753074999999995</v>
      </c>
      <c r="EC329" s="4">
        <v>141.88191900000001</v>
      </c>
      <c r="ED329" s="4">
        <v>515</v>
      </c>
      <c r="EE329" s="4">
        <v>769</v>
      </c>
      <c r="EF329" s="4">
        <v>92.619926000000007</v>
      </c>
      <c r="EG329" s="4">
        <v>100</v>
      </c>
      <c r="EH329" s="4">
        <v>68.495743000000004</v>
      </c>
      <c r="EI329" s="4">
        <v>99.905393000000004</v>
      </c>
      <c r="EJ329" s="4">
        <v>133.57933600000001</v>
      </c>
      <c r="EK329" s="4">
        <v>194.83394799999999</v>
      </c>
      <c r="EL329" s="4">
        <v>502</v>
      </c>
      <c r="EM329" s="4">
        <v>542</v>
      </c>
      <c r="EN329" s="4">
        <v>724</v>
      </c>
      <c r="EO329" s="4">
        <v>1056</v>
      </c>
      <c r="EP329" s="4">
        <v>542</v>
      </c>
      <c r="EQ329" s="4">
        <v>1057</v>
      </c>
      <c r="ER329" s="4">
        <v>55.224532000000004</v>
      </c>
    </row>
    <row r="330" spans="1:148" x14ac:dyDescent="0.2">
      <c r="A330" s="1">
        <v>2025</v>
      </c>
      <c r="B330" s="1" t="str">
        <f t="shared" si="10"/>
        <v>GN</v>
      </c>
      <c r="C330" s="1" t="s">
        <v>1558</v>
      </c>
      <c r="D330" s="1" t="s">
        <v>1558</v>
      </c>
      <c r="E330" s="1">
        <v>28912</v>
      </c>
      <c r="F330" s="1" t="s">
        <v>2169</v>
      </c>
      <c r="G330" s="1" t="s">
        <v>2006</v>
      </c>
      <c r="H330" s="1" t="s">
        <v>1931</v>
      </c>
      <c r="I330" s="1">
        <v>52.59</v>
      </c>
      <c r="J330" s="1">
        <v>52.59</v>
      </c>
      <c r="K330" s="1" t="s">
        <v>392</v>
      </c>
      <c r="L330" s="1">
        <v>1</v>
      </c>
      <c r="M330" s="3">
        <v>2021</v>
      </c>
      <c r="O330" s="1">
        <v>3</v>
      </c>
      <c r="P330" s="1" t="str">
        <f t="shared" si="11"/>
        <v>Talhadia</v>
      </c>
      <c r="Q330" s="2">
        <v>44538</v>
      </c>
      <c r="R330" s="1" t="s">
        <v>149</v>
      </c>
      <c r="S330" s="1" t="s">
        <v>193</v>
      </c>
      <c r="T330" s="1" t="s">
        <v>2268</v>
      </c>
      <c r="U330" s="1" t="s">
        <v>266</v>
      </c>
      <c r="V330" s="1" t="s">
        <v>152</v>
      </c>
      <c r="W330" s="2">
        <v>45734</v>
      </c>
      <c r="X330" s="1" t="s">
        <v>2170</v>
      </c>
      <c r="Y330" s="1">
        <v>197.08999999999997</v>
      </c>
      <c r="Z330" s="1">
        <v>20.5</v>
      </c>
      <c r="AA330" s="1">
        <v>29</v>
      </c>
      <c r="AB330" s="1">
        <v>13.9</v>
      </c>
      <c r="AC330" s="1">
        <v>1</v>
      </c>
      <c r="AD330" s="3">
        <v>284.95</v>
      </c>
      <c r="AE330" s="3">
        <v>249.18492769676399</v>
      </c>
      <c r="AF330" s="2">
        <v>45734</v>
      </c>
      <c r="AG330" s="1">
        <v>39</v>
      </c>
      <c r="AH330" s="3">
        <v>3.27446954140999</v>
      </c>
      <c r="AI330" s="4">
        <v>19.089598818376398</v>
      </c>
      <c r="AJ330" s="4">
        <v>12.827999999999999</v>
      </c>
      <c r="AK330" s="4">
        <v>13.705175926844399</v>
      </c>
      <c r="AL330" s="1">
        <v>25</v>
      </c>
      <c r="AM330" s="5">
        <v>1003.27095346725</v>
      </c>
      <c r="AN330" s="4">
        <v>135.963510322605</v>
      </c>
      <c r="AO330" s="4">
        <v>0.135520229956546</v>
      </c>
      <c r="AP330" s="1" t="s">
        <v>193</v>
      </c>
      <c r="AQ330" s="1" t="s">
        <v>254</v>
      </c>
      <c r="AR330" s="1" t="s">
        <v>396</v>
      </c>
      <c r="AS330" s="1">
        <v>9.99</v>
      </c>
      <c r="AT330" s="4">
        <v>1.0022676825137828</v>
      </c>
      <c r="AU330" s="1" t="s">
        <v>1557</v>
      </c>
      <c r="AV330" s="1" t="s">
        <v>1558</v>
      </c>
      <c r="AW330" s="1">
        <v>1021</v>
      </c>
      <c r="AX330" s="1">
        <v>576</v>
      </c>
      <c r="AY330" s="1">
        <v>326</v>
      </c>
      <c r="AZ330" s="1">
        <v>104</v>
      </c>
      <c r="BA330" s="1">
        <v>15</v>
      </c>
      <c r="BB330" s="1">
        <v>0</v>
      </c>
      <c r="BC330" s="1">
        <v>0</v>
      </c>
      <c r="BD330" s="1">
        <v>0</v>
      </c>
      <c r="BE330" s="1">
        <v>0</v>
      </c>
      <c r="BF330" s="1">
        <v>0</v>
      </c>
      <c r="BG330" s="1">
        <v>0</v>
      </c>
      <c r="BH330" s="4">
        <v>1E-3</v>
      </c>
      <c r="BI330" s="4">
        <v>22.542000000000002</v>
      </c>
      <c r="BJ330" s="4">
        <v>14.575393999999999</v>
      </c>
      <c r="BK330" s="4">
        <v>1E-3</v>
      </c>
      <c r="BL330" s="4">
        <v>7.5524069999999996</v>
      </c>
      <c r="BM330" s="4">
        <v>57.038845999999999</v>
      </c>
      <c r="BN330" s="4">
        <v>0.51816099999999998</v>
      </c>
      <c r="BO330" s="4">
        <v>5.41</v>
      </c>
      <c r="BP330" s="4">
        <v>-1.1825829999999999</v>
      </c>
      <c r="BQ330" s="4">
        <v>2.6939160000000002</v>
      </c>
      <c r="BR330" s="4">
        <v>6.1665049999999999</v>
      </c>
      <c r="BS330" s="4">
        <v>2.042999</v>
      </c>
      <c r="BT330" s="4">
        <v>17.878</v>
      </c>
      <c r="BU330" s="4">
        <v>14.575393999999999</v>
      </c>
      <c r="BV330" s="4">
        <v>3.7528589999999999</v>
      </c>
      <c r="BW330" s="4">
        <v>-1.376037</v>
      </c>
      <c r="BX330" s="4">
        <v>0.33626899999999998</v>
      </c>
      <c r="BY330" s="4">
        <v>0.25747900000000001</v>
      </c>
      <c r="BZ330" s="4">
        <v>-0.36666399999999999</v>
      </c>
      <c r="CA330" s="4">
        <v>8.9604000000000003E-2</v>
      </c>
      <c r="CB330" s="4">
        <v>6.0000000000000001E-3</v>
      </c>
      <c r="CC330" s="4">
        <v>2.1999999999999999E-2</v>
      </c>
      <c r="CD330" s="4">
        <v>6.7000000000000004E-2</v>
      </c>
      <c r="CE330" s="4">
        <v>3.6509999999999998</v>
      </c>
      <c r="CF330" s="4">
        <v>14.276999999999999</v>
      </c>
      <c r="CG330" s="4">
        <v>15.882</v>
      </c>
      <c r="CH330" s="4">
        <v>17.091000000000001</v>
      </c>
      <c r="CI330" s="4">
        <v>17.879000000000001</v>
      </c>
      <c r="CJ330" s="4">
        <v>18.587999</v>
      </c>
      <c r="CK330" s="4">
        <v>19.360001</v>
      </c>
      <c r="CL330" s="4">
        <v>19.687000000000001</v>
      </c>
      <c r="CM330" s="4">
        <v>19.959</v>
      </c>
      <c r="CN330" s="4">
        <v>20.632000000000001</v>
      </c>
      <c r="CO330" s="4">
        <v>21.166</v>
      </c>
      <c r="CP330" s="4">
        <v>22.013598999999999</v>
      </c>
      <c r="CQ330" s="4">
        <v>0.64657299999999995</v>
      </c>
      <c r="CR330" s="4">
        <v>16.414173000000002</v>
      </c>
      <c r="CS330" s="4">
        <v>17.189502000000001</v>
      </c>
      <c r="CT330" s="1">
        <v>23</v>
      </c>
      <c r="CU330" s="1">
        <v>351</v>
      </c>
      <c r="CV330" s="4">
        <v>94.564153000000005</v>
      </c>
      <c r="CW330" s="4">
        <v>43.825397000000002</v>
      </c>
      <c r="CX330" s="4">
        <v>53.752364999999998</v>
      </c>
      <c r="CY330" s="4">
        <v>2889.316714</v>
      </c>
      <c r="CZ330" s="4">
        <v>0.56842199999999998</v>
      </c>
      <c r="DA330" s="4">
        <v>74</v>
      </c>
      <c r="DB330" s="4">
        <v>1.253941</v>
      </c>
      <c r="DC330" s="4">
        <v>5.0295439999999996</v>
      </c>
      <c r="DD330" s="4">
        <v>42.524330999999997</v>
      </c>
      <c r="DE330" s="4">
        <v>94.564153000000005</v>
      </c>
      <c r="DF330" s="4">
        <v>28.887319000000002</v>
      </c>
      <c r="DG330" s="4">
        <v>6.5521029999999998</v>
      </c>
      <c r="DH330" s="4">
        <v>3.039698</v>
      </c>
      <c r="DI330" s="4">
        <v>0.305479</v>
      </c>
      <c r="DJ330" s="4">
        <v>0.22681599999999999</v>
      </c>
      <c r="DK330" s="4">
        <v>0.105226</v>
      </c>
      <c r="DL330" s="4">
        <v>28</v>
      </c>
      <c r="DM330" s="4">
        <v>34</v>
      </c>
      <c r="DN330" s="4">
        <v>39</v>
      </c>
      <c r="DO330" s="4">
        <v>47</v>
      </c>
      <c r="DP330" s="4">
        <v>52</v>
      </c>
      <c r="DQ330" s="4">
        <v>58</v>
      </c>
      <c r="DR330" s="4">
        <v>68</v>
      </c>
      <c r="DS330" s="4">
        <v>82</v>
      </c>
      <c r="DT330" s="4">
        <v>97</v>
      </c>
      <c r="DU330" s="4">
        <v>115</v>
      </c>
      <c r="DV330" s="4">
        <v>126</v>
      </c>
      <c r="DW330" s="4">
        <v>136</v>
      </c>
      <c r="DX330" s="4">
        <v>164</v>
      </c>
      <c r="DY330" s="4">
        <v>193</v>
      </c>
      <c r="DZ330" s="4">
        <v>261</v>
      </c>
      <c r="EA330" s="4">
        <v>97.743055999999996</v>
      </c>
      <c r="EB330" s="4">
        <v>80.901077000000001</v>
      </c>
      <c r="EC330" s="4">
        <v>143.40277800000001</v>
      </c>
      <c r="ED330" s="4">
        <v>563</v>
      </c>
      <c r="EE330" s="4">
        <v>826</v>
      </c>
      <c r="EF330" s="4">
        <v>94.270832999999996</v>
      </c>
      <c r="EG330" s="4">
        <v>99.826389000000006</v>
      </c>
      <c r="EH330" s="4">
        <v>74.632712999999995</v>
      </c>
      <c r="EI330" s="4">
        <v>99.70617</v>
      </c>
      <c r="EJ330" s="4">
        <v>132.29166699999999</v>
      </c>
      <c r="EK330" s="4">
        <v>176.73611099999999</v>
      </c>
      <c r="EL330" s="4">
        <v>543</v>
      </c>
      <c r="EM330" s="4">
        <v>575</v>
      </c>
      <c r="EN330" s="4">
        <v>762</v>
      </c>
      <c r="EO330" s="4">
        <v>1018</v>
      </c>
      <c r="EP330" s="4">
        <v>576</v>
      </c>
      <c r="EQ330" s="4">
        <v>1021</v>
      </c>
      <c r="ER330" s="4">
        <v>65.216735999999997</v>
      </c>
    </row>
    <row r="331" spans="1:148" x14ac:dyDescent="0.2">
      <c r="A331" s="1">
        <v>2025</v>
      </c>
      <c r="B331" s="1" t="str">
        <f t="shared" si="10"/>
        <v>GN</v>
      </c>
      <c r="C331" s="1" t="s">
        <v>1560</v>
      </c>
      <c r="D331" s="1" t="s">
        <v>1560</v>
      </c>
      <c r="E331" s="1">
        <v>28913</v>
      </c>
      <c r="F331" s="1" t="s">
        <v>2169</v>
      </c>
      <c r="G331" s="1" t="s">
        <v>2006</v>
      </c>
      <c r="H331" s="1" t="s">
        <v>1931</v>
      </c>
      <c r="I331" s="1">
        <v>52.59</v>
      </c>
      <c r="J331" s="1">
        <v>52.59</v>
      </c>
      <c r="K331" s="1" t="s">
        <v>392</v>
      </c>
      <c r="L331" s="1">
        <v>1</v>
      </c>
      <c r="M331" s="3">
        <v>2021</v>
      </c>
      <c r="O331" s="1">
        <v>3</v>
      </c>
      <c r="P331" s="1" t="str">
        <f t="shared" si="11"/>
        <v>Talhadia</v>
      </c>
      <c r="Q331" s="2">
        <v>44538</v>
      </c>
      <c r="R331" s="1" t="s">
        <v>149</v>
      </c>
      <c r="S331" s="1" t="s">
        <v>193</v>
      </c>
      <c r="T331" s="1" t="s">
        <v>2268</v>
      </c>
      <c r="U331" s="1" t="s">
        <v>266</v>
      </c>
      <c r="V331" s="1" t="s">
        <v>152</v>
      </c>
      <c r="W331" s="2">
        <v>44753</v>
      </c>
      <c r="X331" s="1" t="s">
        <v>2170</v>
      </c>
      <c r="Y331" s="1">
        <v>197.08999999999997</v>
      </c>
      <c r="Z331" s="1">
        <v>19.600000000000001</v>
      </c>
      <c r="AA331" s="1">
        <v>6</v>
      </c>
      <c r="AB331" s="1">
        <v>15.2</v>
      </c>
      <c r="AC331" s="1">
        <v>5</v>
      </c>
      <c r="AD331" s="3">
        <v>297.92</v>
      </c>
      <c r="AE331" s="3">
        <v>295.16049791685998</v>
      </c>
      <c r="AF331" s="2">
        <v>45734</v>
      </c>
      <c r="AG331" s="1">
        <v>39</v>
      </c>
      <c r="AH331" s="3">
        <v>3.27446954140999</v>
      </c>
      <c r="AI331" s="4">
        <v>17.927868060176699</v>
      </c>
      <c r="AJ331" s="4">
        <v>15.112</v>
      </c>
      <c r="AK331" s="4">
        <v>15.704477577031099</v>
      </c>
      <c r="AL331" s="1">
        <v>25</v>
      </c>
      <c r="AM331" s="5">
        <v>846.99680941187205</v>
      </c>
      <c r="AN331" s="4">
        <v>144.102208195195</v>
      </c>
      <c r="AO331" s="4">
        <v>0.17013311808725101</v>
      </c>
      <c r="AP331" s="1" t="s">
        <v>193</v>
      </c>
      <c r="AQ331" s="1" t="s">
        <v>254</v>
      </c>
      <c r="AR331" s="1" t="s">
        <v>396</v>
      </c>
      <c r="AS331" s="1">
        <v>9.99</v>
      </c>
      <c r="AT331" s="4">
        <v>0.84614981260246014</v>
      </c>
      <c r="AU331" s="1" t="s">
        <v>1559</v>
      </c>
      <c r="AV331" s="1" t="s">
        <v>1560</v>
      </c>
      <c r="AW331" s="1">
        <v>1339</v>
      </c>
      <c r="AX331" s="1">
        <v>695</v>
      </c>
      <c r="AY331" s="1">
        <v>453</v>
      </c>
      <c r="AZ331" s="1">
        <v>161</v>
      </c>
      <c r="BA331" s="1">
        <v>29</v>
      </c>
      <c r="BB331" s="1">
        <v>1</v>
      </c>
      <c r="BC331" s="1">
        <v>0</v>
      </c>
      <c r="BD331" s="1">
        <v>0</v>
      </c>
      <c r="BE331" s="1">
        <v>0</v>
      </c>
      <c r="BF331" s="1">
        <v>0</v>
      </c>
      <c r="BG331" s="1">
        <v>0</v>
      </c>
      <c r="BH331" s="4">
        <v>0</v>
      </c>
      <c r="BI331" s="4">
        <v>19.434999000000001</v>
      </c>
      <c r="BJ331" s="4">
        <v>12.103422999999999</v>
      </c>
      <c r="BK331" s="4">
        <v>0</v>
      </c>
      <c r="BL331" s="4">
        <v>6.3830030000000004</v>
      </c>
      <c r="BM331" s="4">
        <v>40.742733000000001</v>
      </c>
      <c r="BN331" s="4">
        <v>0.52737199999999995</v>
      </c>
      <c r="BO331" s="4">
        <v>5.4625000000000004</v>
      </c>
      <c r="BP331" s="4">
        <v>-1.0931770000000001</v>
      </c>
      <c r="BQ331" s="4">
        <v>2.5461619999999998</v>
      </c>
      <c r="BR331" s="4">
        <v>5.248399</v>
      </c>
      <c r="BS331" s="4">
        <v>2.0289999999999999</v>
      </c>
      <c r="BT331" s="4">
        <v>14.832000000000001</v>
      </c>
      <c r="BU331" s="4">
        <v>12.103422999999999</v>
      </c>
      <c r="BV331" s="4">
        <v>3.249641</v>
      </c>
      <c r="BW331" s="4">
        <v>-1.0874950000000001</v>
      </c>
      <c r="BX331" s="4">
        <v>0.22817599999999999</v>
      </c>
      <c r="BY331" s="4">
        <v>0.26848899999999998</v>
      </c>
      <c r="BZ331" s="4">
        <v>-0.33465099999999998</v>
      </c>
      <c r="CA331" s="4">
        <v>7.0216000000000001E-2</v>
      </c>
      <c r="CB331" s="4">
        <v>3.0000000000000001E-3</v>
      </c>
      <c r="CC331" s="4">
        <v>1.6E-2</v>
      </c>
      <c r="CD331" s="4">
        <v>3.6999999999999998E-2</v>
      </c>
      <c r="CE331" s="4">
        <v>3.6234000000000002</v>
      </c>
      <c r="CF331" s="4">
        <v>11.156000000000001</v>
      </c>
      <c r="CG331" s="4">
        <v>12.752599999999999</v>
      </c>
      <c r="CH331" s="4">
        <v>13.989800000000001</v>
      </c>
      <c r="CI331" s="4">
        <v>14.832000000000001</v>
      </c>
      <c r="CJ331" s="4">
        <v>15.5466</v>
      </c>
      <c r="CK331" s="4">
        <v>16.278599</v>
      </c>
      <c r="CL331" s="4">
        <v>16.618500000000001</v>
      </c>
      <c r="CM331" s="4">
        <v>16.848801000000002</v>
      </c>
      <c r="CN331" s="4">
        <v>17.519600000000001</v>
      </c>
      <c r="CO331" s="4">
        <v>17.952000000000002</v>
      </c>
      <c r="CP331" s="4">
        <v>18.80678</v>
      </c>
      <c r="CQ331" s="4">
        <v>0.62276399999999998</v>
      </c>
      <c r="CR331" s="4">
        <v>13.682294000000001</v>
      </c>
      <c r="CS331" s="4">
        <v>14.369833</v>
      </c>
      <c r="CT331" s="1">
        <v>25</v>
      </c>
      <c r="CU331" s="1">
        <v>889</v>
      </c>
      <c r="CV331" s="4">
        <v>167.458551</v>
      </c>
      <c r="CW331" s="4">
        <v>52.428570999999998</v>
      </c>
      <c r="CX331" s="4">
        <v>119.667447</v>
      </c>
      <c r="CY331" s="4">
        <v>14320.2978</v>
      </c>
      <c r="CZ331" s="4">
        <v>0.71460900000000005</v>
      </c>
      <c r="DA331" s="4">
        <v>147</v>
      </c>
      <c r="DB331" s="4">
        <v>1.5541940000000001</v>
      </c>
      <c r="DC331" s="4">
        <v>6.2125830000000004</v>
      </c>
      <c r="DD331" s="4">
        <v>90.732963999999996</v>
      </c>
      <c r="DE331" s="4">
        <v>167.458551</v>
      </c>
      <c r="DF331" s="4">
        <v>62.472917000000002</v>
      </c>
      <c r="DG331" s="4">
        <v>16.841032999999999</v>
      </c>
      <c r="DH331" s="4">
        <v>8.9414490000000004</v>
      </c>
      <c r="DI331" s="4">
        <v>0.37306499999999998</v>
      </c>
      <c r="DJ331" s="4">
        <v>0.26957300000000001</v>
      </c>
      <c r="DK331" s="4">
        <v>0.143125</v>
      </c>
      <c r="DL331" s="4">
        <v>29</v>
      </c>
      <c r="DM331" s="4">
        <v>39.900002000000001</v>
      </c>
      <c r="DN331" s="4">
        <v>49</v>
      </c>
      <c r="DO331" s="4">
        <v>66</v>
      </c>
      <c r="DP331" s="4">
        <v>75</v>
      </c>
      <c r="DQ331" s="4">
        <v>87</v>
      </c>
      <c r="DR331" s="4">
        <v>112.200012</v>
      </c>
      <c r="DS331" s="4">
        <v>138</v>
      </c>
      <c r="DT331" s="4">
        <v>165</v>
      </c>
      <c r="DU331" s="4">
        <v>202</v>
      </c>
      <c r="DV331" s="4">
        <v>222</v>
      </c>
      <c r="DW331" s="4">
        <v>245</v>
      </c>
      <c r="DX331" s="4">
        <v>322.399902</v>
      </c>
      <c r="DY331" s="4">
        <v>401.09997600000003</v>
      </c>
      <c r="DZ331" s="4">
        <v>598.09997599999997</v>
      </c>
      <c r="EA331" s="4">
        <v>94.820143999999999</v>
      </c>
      <c r="EB331" s="4">
        <v>80.955937000000006</v>
      </c>
      <c r="EC331" s="4">
        <v>155.97122300000001</v>
      </c>
      <c r="ED331" s="4">
        <v>659</v>
      </c>
      <c r="EE331" s="4">
        <v>1084</v>
      </c>
      <c r="EF331" s="4">
        <v>88.345324000000005</v>
      </c>
      <c r="EG331" s="4">
        <v>99.856115000000003</v>
      </c>
      <c r="EH331" s="4">
        <v>72.591486000000003</v>
      </c>
      <c r="EI331" s="4">
        <v>99.775952000000004</v>
      </c>
      <c r="EJ331" s="4">
        <v>139.85611499999999</v>
      </c>
      <c r="EK331" s="4">
        <v>192.23021600000001</v>
      </c>
      <c r="EL331" s="4">
        <v>614</v>
      </c>
      <c r="EM331" s="4">
        <v>694</v>
      </c>
      <c r="EN331" s="4">
        <v>972</v>
      </c>
      <c r="EO331" s="4">
        <v>1336</v>
      </c>
      <c r="EP331" s="4">
        <v>695</v>
      </c>
      <c r="EQ331" s="4">
        <v>1339</v>
      </c>
      <c r="ER331" s="4">
        <v>63.354205</v>
      </c>
    </row>
    <row r="332" spans="1:148" x14ac:dyDescent="0.2">
      <c r="A332" s="1">
        <v>2025</v>
      </c>
      <c r="B332" s="1" t="str">
        <f t="shared" si="10"/>
        <v>GN</v>
      </c>
      <c r="C332" s="1" t="s">
        <v>1562</v>
      </c>
      <c r="D332" s="1" t="s">
        <v>1562</v>
      </c>
      <c r="E332" s="1">
        <v>29807</v>
      </c>
      <c r="F332" s="1" t="s">
        <v>2171</v>
      </c>
      <c r="G332" s="1" t="s">
        <v>2006</v>
      </c>
      <c r="H332" s="1" t="s">
        <v>1932</v>
      </c>
      <c r="I332" s="1">
        <v>49.98</v>
      </c>
      <c r="J332" s="1">
        <v>49.98</v>
      </c>
      <c r="K332" s="1" t="s">
        <v>392</v>
      </c>
      <c r="L332" s="1">
        <v>1</v>
      </c>
      <c r="M332" s="3">
        <v>2022</v>
      </c>
      <c r="O332" s="1">
        <v>2</v>
      </c>
      <c r="P332" s="1" t="str">
        <f t="shared" si="11"/>
        <v>Talhadia</v>
      </c>
      <c r="Q332" s="2">
        <v>44601</v>
      </c>
      <c r="R332" s="1" t="s">
        <v>169</v>
      </c>
      <c r="S332" s="1" t="s">
        <v>287</v>
      </c>
      <c r="T332" s="1" t="s">
        <v>2268</v>
      </c>
      <c r="U332" s="1" t="s">
        <v>266</v>
      </c>
      <c r="V332" s="1" t="s">
        <v>152</v>
      </c>
      <c r="W332" s="2">
        <v>45734</v>
      </c>
      <c r="X332" s="1" t="s">
        <v>2170</v>
      </c>
      <c r="Y332" s="1">
        <v>49.98</v>
      </c>
      <c r="Z332" s="1">
        <v>21.3</v>
      </c>
      <c r="AA332" s="1">
        <v>15</v>
      </c>
      <c r="AB332" s="1">
        <v>13.8</v>
      </c>
      <c r="AC332" s="1">
        <v>2</v>
      </c>
      <c r="AD332" s="3">
        <v>293.94</v>
      </c>
      <c r="AE332" s="3">
        <v>283.751278405373</v>
      </c>
      <c r="AF332" s="2">
        <v>45734</v>
      </c>
      <c r="AG332" s="1">
        <v>37</v>
      </c>
      <c r="AH332" s="3">
        <v>3.1019849418206702</v>
      </c>
      <c r="AI332" s="4">
        <v>22.781907177297999</v>
      </c>
      <c r="AJ332" s="4">
        <v>16.316666666666698</v>
      </c>
      <c r="AK332" s="4">
        <v>14.1420578097136</v>
      </c>
      <c r="AL332" s="1">
        <v>18</v>
      </c>
      <c r="AM332" s="5">
        <v>634.35837544614697</v>
      </c>
      <c r="AN332" s="4">
        <v>165.73391202503799</v>
      </c>
      <c r="AO332" s="4">
        <v>0.26126227451237899</v>
      </c>
      <c r="AP332" s="1" t="s">
        <v>287</v>
      </c>
      <c r="AQ332" s="1" t="s">
        <v>254</v>
      </c>
      <c r="AR332" s="1" t="s">
        <v>396</v>
      </c>
      <c r="AS332" s="1">
        <v>9</v>
      </c>
      <c r="AT332" s="4">
        <v>0.57092253790153225</v>
      </c>
      <c r="AU332" s="1" t="s">
        <v>1561</v>
      </c>
      <c r="AV332" s="1" t="s">
        <v>1562</v>
      </c>
      <c r="AW332" s="1">
        <v>1254</v>
      </c>
      <c r="AX332" s="1">
        <v>696</v>
      </c>
      <c r="AY332" s="1">
        <v>410</v>
      </c>
      <c r="AZ332" s="1">
        <v>129</v>
      </c>
      <c r="BA332" s="1">
        <v>17</v>
      </c>
      <c r="BB332" s="1">
        <v>2</v>
      </c>
      <c r="BC332" s="1">
        <v>0</v>
      </c>
      <c r="BD332" s="1">
        <v>0</v>
      </c>
      <c r="BE332" s="1">
        <v>0</v>
      </c>
      <c r="BF332" s="1">
        <v>0</v>
      </c>
      <c r="BG332" s="1">
        <v>0</v>
      </c>
      <c r="BH332" s="4">
        <v>0</v>
      </c>
      <c r="BI332" s="4">
        <v>24.608999000000001</v>
      </c>
      <c r="BJ332" s="4">
        <v>12.291338</v>
      </c>
      <c r="BK332" s="4">
        <v>0</v>
      </c>
      <c r="BL332" s="4">
        <v>9.0124169999999992</v>
      </c>
      <c r="BM332" s="4">
        <v>81.223658</v>
      </c>
      <c r="BN332" s="4">
        <v>0.73323300000000002</v>
      </c>
      <c r="BO332" s="4">
        <v>19.136751</v>
      </c>
      <c r="BP332" s="4">
        <v>-0.338424</v>
      </c>
      <c r="BQ332" s="4">
        <v>1.373286</v>
      </c>
      <c r="BR332" s="4">
        <v>8.4423879999999993</v>
      </c>
      <c r="BS332" s="4">
        <v>5.2869999999999999</v>
      </c>
      <c r="BT332" s="4">
        <v>17.040001</v>
      </c>
      <c r="BU332" s="4">
        <v>12.291338</v>
      </c>
      <c r="BV332" s="4">
        <v>4.9649850000000004</v>
      </c>
      <c r="BW332" s="4">
        <v>-0.54683099999999996</v>
      </c>
      <c r="BX332" s="4">
        <v>-0.58803300000000003</v>
      </c>
      <c r="BY332" s="4">
        <v>0.40394200000000002</v>
      </c>
      <c r="BZ332" s="4">
        <v>-0.110137</v>
      </c>
      <c r="CA332" s="4">
        <v>-0.118436</v>
      </c>
      <c r="CB332" s="4">
        <v>4.0000000000000001E-3</v>
      </c>
      <c r="CC332" s="4">
        <v>1.7000000000000001E-2</v>
      </c>
      <c r="CD332" s="4">
        <v>3.8300000000000001E-2</v>
      </c>
      <c r="CE332" s="4">
        <v>0.1822</v>
      </c>
      <c r="CF332" s="4">
        <v>0.90325</v>
      </c>
      <c r="CG332" s="4">
        <v>2.4723000000000002</v>
      </c>
      <c r="CH332" s="4">
        <v>9.9545999999999992</v>
      </c>
      <c r="CI332" s="4">
        <v>17.040001</v>
      </c>
      <c r="CJ332" s="4">
        <v>18.5762</v>
      </c>
      <c r="CK332" s="4">
        <v>19.586300000000001</v>
      </c>
      <c r="CL332" s="4">
        <v>20.040001</v>
      </c>
      <c r="CM332" s="4">
        <v>20.4816</v>
      </c>
      <c r="CN332" s="4">
        <v>21.970199999999998</v>
      </c>
      <c r="CO332" s="4">
        <v>22.893101000000001</v>
      </c>
      <c r="CP332" s="4">
        <v>23.941614000000001</v>
      </c>
      <c r="CQ332" s="4">
        <v>0.49946499999999999</v>
      </c>
      <c r="CR332" s="4">
        <v>15.239286999999999</v>
      </c>
      <c r="CS332" s="4">
        <v>16.633507999999999</v>
      </c>
      <c r="CT332" s="1">
        <v>23</v>
      </c>
      <c r="CU332" s="1">
        <v>454</v>
      </c>
      <c r="CV332" s="4">
        <v>108.5</v>
      </c>
      <c r="CW332" s="4">
        <v>36.682540000000003</v>
      </c>
      <c r="CX332" s="4">
        <v>75.414446999999996</v>
      </c>
      <c r="CY332" s="4">
        <v>5687.3387869999997</v>
      </c>
      <c r="CZ332" s="4">
        <v>0.69506400000000002</v>
      </c>
      <c r="DA332" s="4">
        <v>91.75</v>
      </c>
      <c r="DB332" s="4">
        <v>1.5765990000000001</v>
      </c>
      <c r="DC332" s="4">
        <v>5.8124510000000003</v>
      </c>
      <c r="DD332" s="4">
        <v>57.50638</v>
      </c>
      <c r="DE332" s="4">
        <v>108.5</v>
      </c>
      <c r="DF332" s="4">
        <v>39.008715000000002</v>
      </c>
      <c r="DG332" s="4">
        <v>11.781105999999999</v>
      </c>
      <c r="DH332" s="4">
        <v>5.4158939999999998</v>
      </c>
      <c r="DI332" s="4">
        <v>0.35952699999999999</v>
      </c>
      <c r="DJ332" s="4">
        <v>0.302012</v>
      </c>
      <c r="DK332" s="4">
        <v>0.13883799999999999</v>
      </c>
      <c r="DL332" s="4">
        <v>28</v>
      </c>
      <c r="DM332" s="4">
        <v>34</v>
      </c>
      <c r="DN332" s="4">
        <v>38</v>
      </c>
      <c r="DO332" s="4">
        <v>46</v>
      </c>
      <c r="DP332" s="4">
        <v>52</v>
      </c>
      <c r="DQ332" s="4">
        <v>57</v>
      </c>
      <c r="DR332" s="4">
        <v>70</v>
      </c>
      <c r="DS332" s="4">
        <v>86</v>
      </c>
      <c r="DT332" s="4">
        <v>107.799988</v>
      </c>
      <c r="DU332" s="4">
        <v>131</v>
      </c>
      <c r="DV332" s="4">
        <v>143.75</v>
      </c>
      <c r="DW332" s="4">
        <v>161</v>
      </c>
      <c r="DX332" s="4">
        <v>204</v>
      </c>
      <c r="DY332" s="4">
        <v>261.04992700000003</v>
      </c>
      <c r="DZ332" s="4">
        <v>368</v>
      </c>
      <c r="EA332" s="4">
        <v>86.925286999999997</v>
      </c>
      <c r="EB332" s="4">
        <v>68.899522000000005</v>
      </c>
      <c r="EC332" s="4">
        <v>124.13793099999999</v>
      </c>
      <c r="ED332" s="4">
        <v>605</v>
      </c>
      <c r="EE332" s="4">
        <v>864</v>
      </c>
      <c r="EF332" s="4">
        <v>77.011493999999999</v>
      </c>
      <c r="EG332" s="4">
        <v>100</v>
      </c>
      <c r="EH332" s="4">
        <v>57.655501999999998</v>
      </c>
      <c r="EI332" s="4">
        <v>99.920254999999997</v>
      </c>
      <c r="EJ332" s="4">
        <v>103.87931</v>
      </c>
      <c r="EK332" s="4">
        <v>180.02873600000001</v>
      </c>
      <c r="EL332" s="4">
        <v>536</v>
      </c>
      <c r="EM332" s="4">
        <v>696</v>
      </c>
      <c r="EN332" s="4">
        <v>723</v>
      </c>
      <c r="EO332" s="4">
        <v>1253</v>
      </c>
      <c r="EP332" s="4">
        <v>696</v>
      </c>
      <c r="EQ332" s="4">
        <v>1254</v>
      </c>
      <c r="ER332" s="4">
        <v>50.334046999999998</v>
      </c>
    </row>
    <row r="333" spans="1:148" x14ac:dyDescent="0.2">
      <c r="A333" s="1">
        <v>2025</v>
      </c>
      <c r="B333" s="1" t="str">
        <f t="shared" si="10"/>
        <v>GN</v>
      </c>
      <c r="C333" s="1" t="s">
        <v>1564</v>
      </c>
      <c r="D333" s="1" t="s">
        <v>1564</v>
      </c>
      <c r="E333" s="1">
        <v>29808</v>
      </c>
      <c r="F333" s="1" t="s">
        <v>2171</v>
      </c>
      <c r="G333" s="1" t="s">
        <v>2006</v>
      </c>
      <c r="H333" s="1" t="s">
        <v>1932</v>
      </c>
      <c r="I333" s="1">
        <v>49.98</v>
      </c>
      <c r="J333" s="1">
        <v>49.98</v>
      </c>
      <c r="K333" s="1" t="s">
        <v>392</v>
      </c>
      <c r="L333" s="1">
        <v>1</v>
      </c>
      <c r="M333" s="3">
        <v>2022</v>
      </c>
      <c r="O333" s="1">
        <v>2</v>
      </c>
      <c r="P333" s="1" t="str">
        <f t="shared" si="11"/>
        <v>Talhadia</v>
      </c>
      <c r="Q333" s="2">
        <v>44601</v>
      </c>
      <c r="R333" s="1" t="s">
        <v>169</v>
      </c>
      <c r="S333" s="1" t="s">
        <v>287</v>
      </c>
      <c r="T333" s="1" t="s">
        <v>2268</v>
      </c>
      <c r="U333" s="1" t="s">
        <v>266</v>
      </c>
      <c r="V333" s="1" t="s">
        <v>152</v>
      </c>
      <c r="W333" s="2">
        <v>44754</v>
      </c>
      <c r="X333" s="1" t="s">
        <v>2170</v>
      </c>
      <c r="Y333" s="1">
        <v>49.98</v>
      </c>
      <c r="Z333" s="1">
        <v>20.6</v>
      </c>
      <c r="AA333" s="1">
        <v>22</v>
      </c>
      <c r="AB333" s="1">
        <v>16.399999999999999</v>
      </c>
      <c r="AC333" s="1">
        <v>3</v>
      </c>
      <c r="AD333" s="3">
        <v>337.84</v>
      </c>
      <c r="AE333" s="3">
        <v>312.81050917646701</v>
      </c>
      <c r="AF333" s="2">
        <v>45734</v>
      </c>
      <c r="AG333" s="1">
        <v>37</v>
      </c>
      <c r="AH333" s="3">
        <v>3.1019849418206702</v>
      </c>
      <c r="AI333" s="4">
        <v>20.4418315004467</v>
      </c>
      <c r="AJ333" s="4">
        <v>12.6424242424242</v>
      </c>
      <c r="AK333" s="4">
        <v>13.521149328204601</v>
      </c>
      <c r="AL333" s="1">
        <v>33</v>
      </c>
      <c r="AM333" s="5">
        <v>1054.9517689440399</v>
      </c>
      <c r="AN333" s="4">
        <v>137.836330883805</v>
      </c>
      <c r="AO333" s="4">
        <v>0.13065652377811901</v>
      </c>
      <c r="AP333" s="1" t="s">
        <v>287</v>
      </c>
      <c r="AQ333" s="1" t="s">
        <v>254</v>
      </c>
      <c r="AR333" s="1" t="s">
        <v>396</v>
      </c>
      <c r="AS333" s="1">
        <v>9</v>
      </c>
      <c r="AT333" s="4">
        <v>0.94945659204963595</v>
      </c>
      <c r="AU333" s="1" t="s">
        <v>1563</v>
      </c>
      <c r="AV333" s="1" t="s">
        <v>1564</v>
      </c>
      <c r="AW333" s="1">
        <v>1428</v>
      </c>
      <c r="AX333" s="1">
        <v>775</v>
      </c>
      <c r="AY333" s="1">
        <v>464</v>
      </c>
      <c r="AZ333" s="1">
        <v>150</v>
      </c>
      <c r="BA333" s="1">
        <v>35</v>
      </c>
      <c r="BB333" s="1">
        <v>4</v>
      </c>
      <c r="BC333" s="1">
        <v>0</v>
      </c>
      <c r="BD333" s="1">
        <v>0</v>
      </c>
      <c r="BE333" s="1">
        <v>0</v>
      </c>
      <c r="BF333" s="1">
        <v>0</v>
      </c>
      <c r="BG333" s="1">
        <v>0</v>
      </c>
      <c r="BH333" s="4">
        <v>0</v>
      </c>
      <c r="BI333" s="4">
        <v>20.388999999999999</v>
      </c>
      <c r="BJ333" s="4">
        <v>12.187264000000001</v>
      </c>
      <c r="BK333" s="4">
        <v>0</v>
      </c>
      <c r="BL333" s="4">
        <v>7.2737720000000001</v>
      </c>
      <c r="BM333" s="4">
        <v>52.907758999999999</v>
      </c>
      <c r="BN333" s="4">
        <v>0.59683399999999998</v>
      </c>
      <c r="BO333" s="4">
        <v>13.76225</v>
      </c>
      <c r="BP333" s="4">
        <v>-0.90224899999999997</v>
      </c>
      <c r="BQ333" s="4">
        <v>2.042141</v>
      </c>
      <c r="BR333" s="4">
        <v>6.3087429999999998</v>
      </c>
      <c r="BS333" s="4">
        <v>2.1465000000000001</v>
      </c>
      <c r="BT333" s="4">
        <v>15.757</v>
      </c>
      <c r="BU333" s="4">
        <v>12.187264000000001</v>
      </c>
      <c r="BV333" s="4">
        <v>3.7323430000000002</v>
      </c>
      <c r="BW333" s="4">
        <v>-1.0831789999999999</v>
      </c>
      <c r="BX333" s="4">
        <v>2.7446000000000002E-2</v>
      </c>
      <c r="BY333" s="4">
        <v>0.30624899999999999</v>
      </c>
      <c r="BZ333" s="4">
        <v>-0.29021400000000003</v>
      </c>
      <c r="CA333" s="4">
        <v>7.3530000000000002E-3</v>
      </c>
      <c r="CB333" s="4">
        <v>3.2699999999999999E-3</v>
      </c>
      <c r="CC333" s="4">
        <v>0.02</v>
      </c>
      <c r="CD333" s="4">
        <v>4.7699999999999999E-2</v>
      </c>
      <c r="CE333" s="4">
        <v>0.30740000000000001</v>
      </c>
      <c r="CF333" s="4">
        <v>3.4710000000000001</v>
      </c>
      <c r="CG333" s="4">
        <v>13.1388</v>
      </c>
      <c r="CH333" s="4">
        <v>14.7774</v>
      </c>
      <c r="CI333" s="4">
        <v>15.757</v>
      </c>
      <c r="CJ333" s="4">
        <v>16.336601000000002</v>
      </c>
      <c r="CK333" s="4">
        <v>16.903099000000001</v>
      </c>
      <c r="CL333" s="4">
        <v>17.233250000000002</v>
      </c>
      <c r="CM333" s="4">
        <v>17.695599000000001</v>
      </c>
      <c r="CN333" s="4">
        <v>18.632401999999999</v>
      </c>
      <c r="CO333" s="4">
        <v>19.211651</v>
      </c>
      <c r="CP333" s="4">
        <v>19.849648999999999</v>
      </c>
      <c r="CQ333" s="4">
        <v>0.59773699999999996</v>
      </c>
      <c r="CR333" s="4">
        <v>14.191551</v>
      </c>
      <c r="CS333" s="4">
        <v>15.031393</v>
      </c>
      <c r="CT333" s="1">
        <v>24</v>
      </c>
      <c r="CU333" s="1">
        <v>798</v>
      </c>
      <c r="CV333" s="4">
        <v>196.19047599999999</v>
      </c>
      <c r="CW333" s="4">
        <v>48.571429000000002</v>
      </c>
      <c r="CX333" s="4">
        <v>145.408759</v>
      </c>
      <c r="CY333" s="4">
        <v>21143.70721</v>
      </c>
      <c r="CZ333" s="4">
        <v>0.74116099999999996</v>
      </c>
      <c r="DA333" s="4">
        <v>180</v>
      </c>
      <c r="DB333" s="4">
        <v>1.323888</v>
      </c>
      <c r="DC333" s="4">
        <v>4.6592520000000004</v>
      </c>
      <c r="DD333" s="4">
        <v>112.22995899999999</v>
      </c>
      <c r="DE333" s="4">
        <v>196.19047599999999</v>
      </c>
      <c r="DF333" s="4">
        <v>77.106487000000001</v>
      </c>
      <c r="DG333" s="4">
        <v>20.530633999999999</v>
      </c>
      <c r="DH333" s="4">
        <v>9.9676679999999998</v>
      </c>
      <c r="DI333" s="4">
        <v>0.39301900000000001</v>
      </c>
      <c r="DJ333" s="4">
        <v>0.26626300000000003</v>
      </c>
      <c r="DK333" s="4">
        <v>0.129271</v>
      </c>
      <c r="DL333" s="4">
        <v>29</v>
      </c>
      <c r="DM333" s="4">
        <v>39</v>
      </c>
      <c r="DN333" s="4">
        <v>50</v>
      </c>
      <c r="DO333" s="4">
        <v>70</v>
      </c>
      <c r="DP333" s="4">
        <v>83</v>
      </c>
      <c r="DQ333" s="4">
        <v>96</v>
      </c>
      <c r="DR333" s="4">
        <v>126</v>
      </c>
      <c r="DS333" s="4">
        <v>161</v>
      </c>
      <c r="DT333" s="4">
        <v>194</v>
      </c>
      <c r="DU333" s="4">
        <v>236</v>
      </c>
      <c r="DV333" s="4">
        <v>263</v>
      </c>
      <c r="DW333" s="4">
        <v>296.59997600000003</v>
      </c>
      <c r="DX333" s="4">
        <v>399.600098</v>
      </c>
      <c r="DY333" s="4">
        <v>483.65002399999997</v>
      </c>
      <c r="DZ333" s="4">
        <v>684.91992200000004</v>
      </c>
      <c r="EA333" s="4">
        <v>91.870968000000005</v>
      </c>
      <c r="EB333" s="4">
        <v>75.140056000000001</v>
      </c>
      <c r="EC333" s="4">
        <v>138.45161300000001</v>
      </c>
      <c r="ED333" s="4">
        <v>712</v>
      </c>
      <c r="EE333" s="4">
        <v>1073</v>
      </c>
      <c r="EF333" s="4">
        <v>89.161289999999994</v>
      </c>
      <c r="EG333" s="4">
        <v>99.870968000000005</v>
      </c>
      <c r="EH333" s="4">
        <v>71.498598999999999</v>
      </c>
      <c r="EI333" s="4">
        <v>99.789916000000005</v>
      </c>
      <c r="EJ333" s="4">
        <v>131.74193500000001</v>
      </c>
      <c r="EK333" s="4">
        <v>183.870968</v>
      </c>
      <c r="EL333" s="4">
        <v>691</v>
      </c>
      <c r="EM333" s="4">
        <v>774</v>
      </c>
      <c r="EN333" s="4">
        <v>1021</v>
      </c>
      <c r="EO333" s="4">
        <v>1425</v>
      </c>
      <c r="EP333" s="4">
        <v>775</v>
      </c>
      <c r="EQ333" s="4">
        <v>1428</v>
      </c>
      <c r="ER333" s="4">
        <v>60.371349000000002</v>
      </c>
    </row>
    <row r="334" spans="1:148" x14ac:dyDescent="0.2">
      <c r="A334" s="1">
        <v>2025</v>
      </c>
      <c r="B334" s="1" t="str">
        <f t="shared" si="10"/>
        <v>GN</v>
      </c>
      <c r="C334" s="1" t="s">
        <v>1566</v>
      </c>
      <c r="D334" s="1" t="s">
        <v>1566</v>
      </c>
      <c r="E334" s="1">
        <v>27831</v>
      </c>
      <c r="F334" s="1" t="s">
        <v>2172</v>
      </c>
      <c r="G334" s="1" t="s">
        <v>2007</v>
      </c>
      <c r="H334" s="1" t="s">
        <v>1933</v>
      </c>
      <c r="I334" s="1">
        <v>71.2</v>
      </c>
      <c r="J334" s="1">
        <v>71.2</v>
      </c>
      <c r="K334" s="1" t="s">
        <v>392</v>
      </c>
      <c r="L334" s="1">
        <v>1</v>
      </c>
      <c r="M334" s="3">
        <v>2020</v>
      </c>
      <c r="O334" s="1">
        <v>1</v>
      </c>
      <c r="P334" s="1" t="str">
        <f t="shared" si="11"/>
        <v>Alto fuste</v>
      </c>
      <c r="Q334" s="2">
        <v>44152</v>
      </c>
      <c r="R334" s="1" t="s">
        <v>169</v>
      </c>
      <c r="S334" s="1" t="s">
        <v>403</v>
      </c>
      <c r="T334" s="1" t="s">
        <v>2268</v>
      </c>
      <c r="U334" s="1" t="s">
        <v>266</v>
      </c>
      <c r="V334" s="1" t="s">
        <v>2265</v>
      </c>
      <c r="W334" s="2">
        <v>45734</v>
      </c>
      <c r="X334" s="1" t="s">
        <v>2173</v>
      </c>
      <c r="Y334" s="1">
        <v>133.6</v>
      </c>
      <c r="Z334" s="1">
        <v>20.3</v>
      </c>
      <c r="AA334" s="1">
        <v>16</v>
      </c>
      <c r="AB334" s="1">
        <v>15.5</v>
      </c>
      <c r="AC334" s="1">
        <v>3</v>
      </c>
      <c r="AD334" s="3">
        <v>314.64999999999998</v>
      </c>
      <c r="AE334" s="3">
        <v>302.04648034849998</v>
      </c>
      <c r="AF334" s="2">
        <v>45734</v>
      </c>
      <c r="AG334" s="1">
        <v>52</v>
      </c>
      <c r="AH334" s="3">
        <v>4.3312799452429802</v>
      </c>
      <c r="AI334" s="4">
        <v>23.809905219061299</v>
      </c>
      <c r="AJ334" s="4">
        <v>14.5352941176471</v>
      </c>
      <c r="AK334" s="4">
        <v>19.617631159578501</v>
      </c>
      <c r="AL334" s="1">
        <v>34</v>
      </c>
      <c r="AM334" s="5">
        <v>1125.65456683259</v>
      </c>
      <c r="AN334" s="4">
        <v>220.06912358684201</v>
      </c>
      <c r="AO334" s="4">
        <v>0.19550324768466101</v>
      </c>
      <c r="AP334" s="1" t="s">
        <v>403</v>
      </c>
      <c r="AQ334" s="1" t="s">
        <v>156</v>
      </c>
      <c r="AR334" s="1" t="s">
        <v>2267</v>
      </c>
      <c r="AS334" s="1">
        <v>9</v>
      </c>
      <c r="AT334" s="4">
        <v>1.0130891101493311</v>
      </c>
      <c r="AU334" s="1" t="s">
        <v>1565</v>
      </c>
      <c r="AV334" s="1" t="s">
        <v>1566</v>
      </c>
      <c r="AW334" s="1">
        <v>1146</v>
      </c>
      <c r="AX334" s="1">
        <v>613</v>
      </c>
      <c r="AY334" s="1">
        <v>370</v>
      </c>
      <c r="AZ334" s="1">
        <v>134</v>
      </c>
      <c r="BA334" s="1">
        <v>27</v>
      </c>
      <c r="BB334" s="1">
        <v>2</v>
      </c>
      <c r="BC334" s="1">
        <v>0</v>
      </c>
      <c r="BD334" s="1">
        <v>0</v>
      </c>
      <c r="BE334" s="1">
        <v>0</v>
      </c>
      <c r="BF334" s="1">
        <v>0</v>
      </c>
      <c r="BG334" s="1">
        <v>0</v>
      </c>
      <c r="BH334" s="4">
        <v>0</v>
      </c>
      <c r="BI334" s="4">
        <v>24.896999000000001</v>
      </c>
      <c r="BJ334" s="4">
        <v>14.283281000000001</v>
      </c>
      <c r="BK334" s="4">
        <v>0</v>
      </c>
      <c r="BL334" s="4">
        <v>8.4426539999999992</v>
      </c>
      <c r="BM334" s="4">
        <v>71.278408999999996</v>
      </c>
      <c r="BN334" s="4">
        <v>0.591086</v>
      </c>
      <c r="BO334" s="4">
        <v>13.219500999999999</v>
      </c>
      <c r="BP334" s="4">
        <v>-0.69997299999999996</v>
      </c>
      <c r="BQ334" s="4">
        <v>1.9476119999999999</v>
      </c>
      <c r="BR334" s="4">
        <v>7.3362660000000002</v>
      </c>
      <c r="BS334" s="4">
        <v>4.3220000000000001</v>
      </c>
      <c r="BT334" s="4">
        <v>17.954499999999999</v>
      </c>
      <c r="BU334" s="4">
        <v>14.283281000000001</v>
      </c>
      <c r="BV334" s="4">
        <v>4.6102809999999996</v>
      </c>
      <c r="BW334" s="4">
        <v>-1.0257620000000001</v>
      </c>
      <c r="BX334" s="4">
        <v>-0.101342</v>
      </c>
      <c r="BY334" s="4">
        <v>0.32277499999999998</v>
      </c>
      <c r="BZ334" s="4">
        <v>-0.222494</v>
      </c>
      <c r="CA334" s="4">
        <v>-2.1982000000000002E-2</v>
      </c>
      <c r="CB334" s="4">
        <v>4.0000000000000001E-3</v>
      </c>
      <c r="CC334" s="4">
        <v>1.4250000000000001E-2</v>
      </c>
      <c r="CD334" s="4">
        <v>3.0499999999999999E-2</v>
      </c>
      <c r="CE334" s="4">
        <v>2.371</v>
      </c>
      <c r="CF334" s="4">
        <v>7.8312499999999998</v>
      </c>
      <c r="CG334" s="4">
        <v>10.680999999999999</v>
      </c>
      <c r="CH334" s="4">
        <v>14.951000000000001</v>
      </c>
      <c r="CI334" s="4">
        <v>17.954499999999999</v>
      </c>
      <c r="CJ334" s="4">
        <v>19.658000999999999</v>
      </c>
      <c r="CK334" s="4">
        <v>20.644501000000002</v>
      </c>
      <c r="CL334" s="4">
        <v>21.050751000000002</v>
      </c>
      <c r="CM334" s="4">
        <v>21.556000000000001</v>
      </c>
      <c r="CN334" s="4">
        <v>22.619999</v>
      </c>
      <c r="CO334" s="4">
        <v>23.439250999999999</v>
      </c>
      <c r="CP334" s="4">
        <v>24.331403999999999</v>
      </c>
      <c r="CQ334" s="4">
        <v>0.57369499999999995</v>
      </c>
      <c r="CR334" s="4">
        <v>16.590007</v>
      </c>
      <c r="CS334" s="4">
        <v>17.699432000000002</v>
      </c>
      <c r="CT334" s="1">
        <v>25</v>
      </c>
      <c r="CU334" s="1">
        <v>420</v>
      </c>
      <c r="CV334" s="4">
        <v>86.576789000000005</v>
      </c>
      <c r="CW334" s="4">
        <v>37.539682999999997</v>
      </c>
      <c r="CX334" s="4">
        <v>54.871932999999999</v>
      </c>
      <c r="CY334" s="4">
        <v>3010.9290329999999</v>
      </c>
      <c r="CZ334" s="4">
        <v>0.633795</v>
      </c>
      <c r="DA334" s="4">
        <v>66</v>
      </c>
      <c r="DB334" s="4">
        <v>1.831715</v>
      </c>
      <c r="DC334" s="4">
        <v>8.0442979999999995</v>
      </c>
      <c r="DD334" s="4">
        <v>41.455469999999998</v>
      </c>
      <c r="DE334" s="4">
        <v>86.576789000000005</v>
      </c>
      <c r="DF334" s="4">
        <v>28.024757999999999</v>
      </c>
      <c r="DG334" s="4">
        <v>8.317596</v>
      </c>
      <c r="DH334" s="4">
        <v>3.9938940000000001</v>
      </c>
      <c r="DI334" s="4">
        <v>0.32369799999999999</v>
      </c>
      <c r="DJ334" s="4">
        <v>0.29679499999999998</v>
      </c>
      <c r="DK334" s="4">
        <v>0.142513</v>
      </c>
      <c r="DL334" s="4">
        <v>27</v>
      </c>
      <c r="DM334" s="4">
        <v>31.25</v>
      </c>
      <c r="DN334" s="4">
        <v>36</v>
      </c>
      <c r="DO334" s="4">
        <v>42</v>
      </c>
      <c r="DP334" s="4">
        <v>46</v>
      </c>
      <c r="DQ334" s="4">
        <v>50</v>
      </c>
      <c r="DR334" s="4">
        <v>59</v>
      </c>
      <c r="DS334" s="4">
        <v>70</v>
      </c>
      <c r="DT334" s="4">
        <v>86</v>
      </c>
      <c r="DU334" s="4">
        <v>103</v>
      </c>
      <c r="DV334" s="4">
        <v>112</v>
      </c>
      <c r="DW334" s="4">
        <v>123</v>
      </c>
      <c r="DX334" s="4">
        <v>156</v>
      </c>
      <c r="DY334" s="4">
        <v>189.5</v>
      </c>
      <c r="DZ334" s="4">
        <v>283.20019500000001</v>
      </c>
      <c r="EA334" s="4">
        <v>94.942903999999999</v>
      </c>
      <c r="EB334" s="4">
        <v>79.319372000000001</v>
      </c>
      <c r="EC334" s="4">
        <v>148.28711300000001</v>
      </c>
      <c r="ED334" s="4">
        <v>582</v>
      </c>
      <c r="EE334" s="4">
        <v>909</v>
      </c>
      <c r="EF334" s="4">
        <v>84.828710999999998</v>
      </c>
      <c r="EG334" s="4">
        <v>99.836867999999996</v>
      </c>
      <c r="EH334" s="4">
        <v>61.431064999999997</v>
      </c>
      <c r="EI334" s="4">
        <v>99.912739999999999</v>
      </c>
      <c r="EJ334" s="4">
        <v>114.845024</v>
      </c>
      <c r="EK334" s="4">
        <v>186.78629699999999</v>
      </c>
      <c r="EL334" s="4">
        <v>520</v>
      </c>
      <c r="EM334" s="4">
        <v>612</v>
      </c>
      <c r="EN334" s="4">
        <v>704</v>
      </c>
      <c r="EO334" s="4">
        <v>1145</v>
      </c>
      <c r="EP334" s="4">
        <v>613</v>
      </c>
      <c r="EQ334" s="4">
        <v>1146</v>
      </c>
      <c r="ER334" s="4">
        <v>57.704715</v>
      </c>
    </row>
    <row r="335" spans="1:148" x14ac:dyDescent="0.2">
      <c r="A335" s="1">
        <v>2025</v>
      </c>
      <c r="B335" s="1" t="str">
        <f t="shared" si="10"/>
        <v>GN</v>
      </c>
      <c r="C335" s="1" t="s">
        <v>1568</v>
      </c>
      <c r="D335" s="1" t="s">
        <v>1568</v>
      </c>
      <c r="E335" s="1">
        <v>27832</v>
      </c>
      <c r="F335" s="1" t="s">
        <v>2172</v>
      </c>
      <c r="G335" s="1" t="s">
        <v>2007</v>
      </c>
      <c r="H335" s="1" t="s">
        <v>1933</v>
      </c>
      <c r="I335" s="1">
        <v>71.2</v>
      </c>
      <c r="J335" s="1">
        <v>71.2</v>
      </c>
      <c r="K335" s="1" t="s">
        <v>392</v>
      </c>
      <c r="L335" s="1">
        <v>1</v>
      </c>
      <c r="M335" s="3">
        <v>2020</v>
      </c>
      <c r="O335" s="1">
        <v>1</v>
      </c>
      <c r="P335" s="1" t="str">
        <f t="shared" si="11"/>
        <v>Alto fuste</v>
      </c>
      <c r="Q335" s="2">
        <v>44152</v>
      </c>
      <c r="R335" s="1" t="s">
        <v>169</v>
      </c>
      <c r="S335" s="1" t="s">
        <v>403</v>
      </c>
      <c r="T335" s="1" t="s">
        <v>2268</v>
      </c>
      <c r="U335" s="1" t="s">
        <v>266</v>
      </c>
      <c r="V335" s="1" t="s">
        <v>2265</v>
      </c>
      <c r="W335" s="2">
        <v>44755</v>
      </c>
      <c r="X335" s="1" t="s">
        <v>2173</v>
      </c>
      <c r="Y335" s="1">
        <v>133.6</v>
      </c>
      <c r="Z335" s="1">
        <v>18.8</v>
      </c>
      <c r="AA335" s="1">
        <v>5</v>
      </c>
      <c r="AB335" s="1">
        <v>15.1</v>
      </c>
      <c r="AC335" s="1">
        <v>1</v>
      </c>
      <c r="AD335" s="3">
        <v>283.88</v>
      </c>
      <c r="AE335" s="3">
        <v>282.756679122452</v>
      </c>
      <c r="AF335" s="2">
        <v>45734</v>
      </c>
      <c r="AG335" s="1">
        <v>52</v>
      </c>
      <c r="AH335" s="3">
        <v>4.3312799452429802</v>
      </c>
      <c r="AI335" s="4">
        <v>23.915661971425301</v>
      </c>
      <c r="AJ335" s="4">
        <v>14.855172413793101</v>
      </c>
      <c r="AK335" s="4">
        <v>18.466962033867102</v>
      </c>
      <c r="AL335" s="1">
        <v>29</v>
      </c>
      <c r="AM335" s="5">
        <v>1025.61679851393</v>
      </c>
      <c r="AN335" s="4">
        <v>205.524240241294</v>
      </c>
      <c r="AO335" s="4">
        <v>0.20039086775790799</v>
      </c>
      <c r="AP335" s="1" t="s">
        <v>403</v>
      </c>
      <c r="AQ335" s="1" t="s">
        <v>156</v>
      </c>
      <c r="AR335" s="1" t="s">
        <v>2267</v>
      </c>
      <c r="AS335" s="1">
        <v>9</v>
      </c>
      <c r="AT335" s="4">
        <v>0.92305511866253698</v>
      </c>
      <c r="AU335" s="1" t="s">
        <v>1567</v>
      </c>
      <c r="AV335" s="1" t="s">
        <v>1568</v>
      </c>
      <c r="AW335" s="1">
        <v>1148</v>
      </c>
      <c r="AX335" s="1">
        <v>693</v>
      </c>
      <c r="AY335" s="1">
        <v>350</v>
      </c>
      <c r="AZ335" s="1">
        <v>97</v>
      </c>
      <c r="BA335" s="1">
        <v>8</v>
      </c>
      <c r="BB335" s="1">
        <v>0</v>
      </c>
      <c r="BC335" s="1">
        <v>0</v>
      </c>
      <c r="BD335" s="1">
        <v>0</v>
      </c>
      <c r="BE335" s="1">
        <v>0</v>
      </c>
      <c r="BF335" s="1">
        <v>0</v>
      </c>
      <c r="BG335" s="1">
        <v>0</v>
      </c>
      <c r="BH335" s="4">
        <v>1E-3</v>
      </c>
      <c r="BI335" s="4">
        <v>25.106000999999999</v>
      </c>
      <c r="BJ335" s="4">
        <v>15.800976</v>
      </c>
      <c r="BK335" s="4">
        <v>1E-3</v>
      </c>
      <c r="BL335" s="4">
        <v>8.3729329999999997</v>
      </c>
      <c r="BM335" s="4">
        <v>70.106014000000002</v>
      </c>
      <c r="BN335" s="4">
        <v>0.52990000000000004</v>
      </c>
      <c r="BO335" s="4">
        <v>9.4985009999999992</v>
      </c>
      <c r="BP335" s="4">
        <v>-1.0695410000000001</v>
      </c>
      <c r="BQ335" s="4">
        <v>2.512327</v>
      </c>
      <c r="BR335" s="4">
        <v>6.9632480000000001</v>
      </c>
      <c r="BS335" s="4">
        <v>2.5720000000000001</v>
      </c>
      <c r="BT335" s="4">
        <v>19.874500000000001</v>
      </c>
      <c r="BU335" s="4">
        <v>15.800976</v>
      </c>
      <c r="BV335" s="4">
        <v>4.2898250000000004</v>
      </c>
      <c r="BW335" s="4">
        <v>-1.4522539999999999</v>
      </c>
      <c r="BX335" s="4">
        <v>0.237012</v>
      </c>
      <c r="BY335" s="4">
        <v>0.27149099999999998</v>
      </c>
      <c r="BZ335" s="4">
        <v>-0.33853499999999997</v>
      </c>
      <c r="CA335" s="4">
        <v>5.525E-2</v>
      </c>
      <c r="CB335" s="4">
        <v>3.0000000000000001E-3</v>
      </c>
      <c r="CC335" s="4">
        <v>1.235E-2</v>
      </c>
      <c r="CD335" s="4">
        <v>4.2099999999999999E-2</v>
      </c>
      <c r="CE335" s="4">
        <v>4.4109990000000003</v>
      </c>
      <c r="CF335" s="4">
        <v>12.177999</v>
      </c>
      <c r="CG335" s="4">
        <v>15.700200000000001</v>
      </c>
      <c r="CH335" s="4">
        <v>18.533200999999998</v>
      </c>
      <c r="CI335" s="4">
        <v>19.875499999999999</v>
      </c>
      <c r="CJ335" s="4">
        <v>20.6206</v>
      </c>
      <c r="CK335" s="4">
        <v>21.324902000000002</v>
      </c>
      <c r="CL335" s="4">
        <v>21.676500000000001</v>
      </c>
      <c r="CM335" s="4">
        <v>22.0228</v>
      </c>
      <c r="CN335" s="4">
        <v>22.853999999999999</v>
      </c>
      <c r="CO335" s="4">
        <v>23.319651</v>
      </c>
      <c r="CP335" s="4">
        <v>24.447901000000002</v>
      </c>
      <c r="CQ335" s="4">
        <v>0.62935600000000003</v>
      </c>
      <c r="CR335" s="4">
        <v>17.880597999999999</v>
      </c>
      <c r="CS335" s="4">
        <v>18.793806</v>
      </c>
      <c r="CT335" s="1">
        <v>24</v>
      </c>
      <c r="CU335" s="1">
        <v>364</v>
      </c>
      <c r="CV335" s="4">
        <v>91.899826000000004</v>
      </c>
      <c r="CW335" s="4">
        <v>34.793650999999997</v>
      </c>
      <c r="CX335" s="4">
        <v>57.383698000000003</v>
      </c>
      <c r="CY335" s="4">
        <v>3292.8888229999998</v>
      </c>
      <c r="CZ335" s="4">
        <v>0.62441599999999997</v>
      </c>
      <c r="DA335" s="4">
        <v>70.25</v>
      </c>
      <c r="DB335" s="4">
        <v>1.548116</v>
      </c>
      <c r="DC335" s="4">
        <v>6.0538090000000002</v>
      </c>
      <c r="DD335" s="4">
        <v>44.05415</v>
      </c>
      <c r="DE335" s="4">
        <v>91.899826000000004</v>
      </c>
      <c r="DF335" s="4">
        <v>29.931194000000001</v>
      </c>
      <c r="DG335" s="4">
        <v>8.366949</v>
      </c>
      <c r="DH335" s="4">
        <v>3.9397579999999999</v>
      </c>
      <c r="DI335" s="4">
        <v>0.32569399999999998</v>
      </c>
      <c r="DJ335" s="4">
        <v>0.27953899999999998</v>
      </c>
      <c r="DK335" s="4">
        <v>0.13162699999999999</v>
      </c>
      <c r="DL335" s="4">
        <v>27</v>
      </c>
      <c r="DM335" s="4">
        <v>32</v>
      </c>
      <c r="DN335" s="4">
        <v>37</v>
      </c>
      <c r="DO335" s="4">
        <v>44.399994</v>
      </c>
      <c r="DP335" s="4">
        <v>48.75</v>
      </c>
      <c r="DQ335" s="4">
        <v>52</v>
      </c>
      <c r="DR335" s="4">
        <v>63</v>
      </c>
      <c r="DS335" s="4">
        <v>76</v>
      </c>
      <c r="DT335" s="4">
        <v>93</v>
      </c>
      <c r="DU335" s="4">
        <v>110.900024</v>
      </c>
      <c r="DV335" s="4">
        <v>119</v>
      </c>
      <c r="DW335" s="4">
        <v>131</v>
      </c>
      <c r="DX335" s="4">
        <v>164.300049</v>
      </c>
      <c r="DY335" s="4">
        <v>203</v>
      </c>
      <c r="DZ335" s="4">
        <v>287.65014600000001</v>
      </c>
      <c r="EA335" s="4">
        <v>95.238095000000001</v>
      </c>
      <c r="EB335" s="4">
        <v>81.358885000000001</v>
      </c>
      <c r="EC335" s="4">
        <v>134.77633499999999</v>
      </c>
      <c r="ED335" s="4">
        <v>660</v>
      </c>
      <c r="EE335" s="4">
        <v>934</v>
      </c>
      <c r="EF335" s="4">
        <v>88.455988000000005</v>
      </c>
      <c r="EG335" s="4">
        <v>100</v>
      </c>
      <c r="EH335" s="4">
        <v>69.512195000000006</v>
      </c>
      <c r="EI335" s="4">
        <v>99.825783999999999</v>
      </c>
      <c r="EJ335" s="4">
        <v>115.151515</v>
      </c>
      <c r="EK335" s="4">
        <v>165.367965</v>
      </c>
      <c r="EL335" s="4">
        <v>613</v>
      </c>
      <c r="EM335" s="4">
        <v>693</v>
      </c>
      <c r="EN335" s="4">
        <v>798</v>
      </c>
      <c r="EO335" s="4">
        <v>1146</v>
      </c>
      <c r="EP335" s="4">
        <v>693</v>
      </c>
      <c r="EQ335" s="4">
        <v>1148</v>
      </c>
      <c r="ER335" s="4">
        <v>63.615898999999999</v>
      </c>
    </row>
    <row r="336" spans="1:148" x14ac:dyDescent="0.2">
      <c r="A336" s="1">
        <v>2025</v>
      </c>
      <c r="B336" s="1" t="str">
        <f t="shared" si="10"/>
        <v>GN</v>
      </c>
      <c r="C336" s="1" t="s">
        <v>1570</v>
      </c>
      <c r="D336" s="1" t="s">
        <v>1570</v>
      </c>
      <c r="E336" s="1">
        <v>27833</v>
      </c>
      <c r="F336" s="1" t="s">
        <v>2172</v>
      </c>
      <c r="G336" s="1" t="s">
        <v>2007</v>
      </c>
      <c r="H336" s="1" t="s">
        <v>1933</v>
      </c>
      <c r="I336" s="1">
        <v>71.2</v>
      </c>
      <c r="J336" s="1">
        <v>71.2</v>
      </c>
      <c r="K336" s="1" t="s">
        <v>392</v>
      </c>
      <c r="L336" s="1">
        <v>1</v>
      </c>
      <c r="M336" s="3">
        <v>2020</v>
      </c>
      <c r="O336" s="1">
        <v>1</v>
      </c>
      <c r="P336" s="1" t="str">
        <f t="shared" si="11"/>
        <v>Alto fuste</v>
      </c>
      <c r="Q336" s="2">
        <v>44152</v>
      </c>
      <c r="R336" s="1" t="s">
        <v>169</v>
      </c>
      <c r="S336" s="1" t="s">
        <v>403</v>
      </c>
      <c r="T336" s="1" t="s">
        <v>2268</v>
      </c>
      <c r="U336" s="1" t="s">
        <v>266</v>
      </c>
      <c r="V336" s="1" t="s">
        <v>2265</v>
      </c>
      <c r="W336" s="2">
        <v>45734</v>
      </c>
      <c r="X336" s="1" t="s">
        <v>2173</v>
      </c>
      <c r="Y336" s="1">
        <v>133.6</v>
      </c>
      <c r="Z336" s="1">
        <v>21.4</v>
      </c>
      <c r="AA336" s="1">
        <v>6</v>
      </c>
      <c r="AB336" s="1">
        <v>15.6</v>
      </c>
      <c r="AC336" s="1">
        <v>2</v>
      </c>
      <c r="AD336" s="3">
        <v>333.84</v>
      </c>
      <c r="AE336" s="3">
        <v>331.80893730371298</v>
      </c>
      <c r="AF336" s="2">
        <v>45734</v>
      </c>
      <c r="AG336" s="1">
        <v>52</v>
      </c>
      <c r="AH336" s="3">
        <v>4.3312799452429802</v>
      </c>
      <c r="AI336" s="4">
        <v>24.861210341964501</v>
      </c>
      <c r="AJ336" s="4">
        <v>16.272727272727298</v>
      </c>
      <c r="AK336" s="4">
        <v>21.640758130049399</v>
      </c>
      <c r="AL336" s="1">
        <v>33</v>
      </c>
      <c r="AM336" s="5">
        <v>994.54825623923205</v>
      </c>
      <c r="AN336" s="4">
        <v>249.051133861653</v>
      </c>
      <c r="AO336" s="4">
        <v>0.25041633957854398</v>
      </c>
      <c r="AP336" s="1" t="s">
        <v>403</v>
      </c>
      <c r="AQ336" s="1" t="s">
        <v>156</v>
      </c>
      <c r="AR336" s="1" t="s">
        <v>2267</v>
      </c>
      <c r="AS336" s="1">
        <v>9</v>
      </c>
      <c r="AT336" s="4">
        <v>0.89509343061530888</v>
      </c>
      <c r="AU336" s="1" t="s">
        <v>1569</v>
      </c>
      <c r="AV336" s="1" t="s">
        <v>1570</v>
      </c>
      <c r="AW336" s="1">
        <v>1587</v>
      </c>
      <c r="AX336" s="1">
        <v>936</v>
      </c>
      <c r="AY336" s="1">
        <v>483</v>
      </c>
      <c r="AZ336" s="1">
        <v>148</v>
      </c>
      <c r="BA336" s="1">
        <v>20</v>
      </c>
      <c r="BB336" s="1">
        <v>0</v>
      </c>
      <c r="BC336" s="1">
        <v>0</v>
      </c>
      <c r="BD336" s="1">
        <v>0</v>
      </c>
      <c r="BE336" s="1">
        <v>0</v>
      </c>
      <c r="BF336" s="1">
        <v>0</v>
      </c>
      <c r="BG336" s="1">
        <v>0</v>
      </c>
      <c r="BH336" s="4">
        <v>0</v>
      </c>
      <c r="BI336" s="4">
        <v>27.016000999999999</v>
      </c>
      <c r="BJ336" s="4">
        <v>16.673469000000001</v>
      </c>
      <c r="BK336" s="4">
        <v>0</v>
      </c>
      <c r="BL336" s="4">
        <v>9.6320599999999992</v>
      </c>
      <c r="BM336" s="4">
        <v>92.776585999999995</v>
      </c>
      <c r="BN336" s="4">
        <v>0.57768799999999998</v>
      </c>
      <c r="BO336" s="4">
        <v>14.568500999999999</v>
      </c>
      <c r="BP336" s="4">
        <v>-0.930732</v>
      </c>
      <c r="BQ336" s="4">
        <v>2.1292019999999998</v>
      </c>
      <c r="BR336" s="4">
        <v>8.3112490000000001</v>
      </c>
      <c r="BS336" s="4">
        <v>2.879</v>
      </c>
      <c r="BT336" s="4">
        <v>21.585999999999999</v>
      </c>
      <c r="BU336" s="4">
        <v>16.673469000000001</v>
      </c>
      <c r="BV336" s="4">
        <v>4.9640649999999997</v>
      </c>
      <c r="BW336" s="4">
        <v>-1.5407249999999999</v>
      </c>
      <c r="BX336" s="4">
        <v>3.0173999999999999E-2</v>
      </c>
      <c r="BY336" s="4">
        <v>0.29772199999999999</v>
      </c>
      <c r="BZ336" s="4">
        <v>-0.31037599999999999</v>
      </c>
      <c r="CA336" s="4">
        <v>6.0790000000000002E-3</v>
      </c>
      <c r="CB336" s="4">
        <v>3.8600000000000001E-3</v>
      </c>
      <c r="CC336" s="4">
        <v>1.83E-2</v>
      </c>
      <c r="CD336" s="4">
        <v>5.0599999999999999E-2</v>
      </c>
      <c r="CE336" s="4">
        <v>0.98660000000000003</v>
      </c>
      <c r="CF336" s="4">
        <v>9.0754999999999999</v>
      </c>
      <c r="CG336" s="4">
        <v>15.7424</v>
      </c>
      <c r="CH336" s="4">
        <v>20.240998999999999</v>
      </c>
      <c r="CI336" s="4">
        <v>21.585999999999999</v>
      </c>
      <c r="CJ336" s="4">
        <v>22.414000000000001</v>
      </c>
      <c r="CK336" s="4">
        <v>23.297799999999999</v>
      </c>
      <c r="CL336" s="4">
        <v>23.644000999999999</v>
      </c>
      <c r="CM336" s="4">
        <v>24.070601</v>
      </c>
      <c r="CN336" s="4">
        <v>24.999801999999999</v>
      </c>
      <c r="CO336" s="4">
        <v>25.497399999999999</v>
      </c>
      <c r="CP336" s="4">
        <v>26.312539999999998</v>
      </c>
      <c r="CQ336" s="4">
        <v>0.61717</v>
      </c>
      <c r="CR336" s="4">
        <v>19.254159999999999</v>
      </c>
      <c r="CS336" s="4">
        <v>20.361659</v>
      </c>
      <c r="CT336" s="1">
        <v>23</v>
      </c>
      <c r="CU336" s="1">
        <v>328</v>
      </c>
      <c r="CV336" s="4">
        <v>82.464398000000003</v>
      </c>
      <c r="CW336" s="4">
        <v>37.523809999999997</v>
      </c>
      <c r="CX336" s="4">
        <v>47.04589</v>
      </c>
      <c r="CY336" s="4">
        <v>2213.315724</v>
      </c>
      <c r="CZ336" s="4">
        <v>0.57049899999999998</v>
      </c>
      <c r="DA336" s="4">
        <v>60</v>
      </c>
      <c r="DB336" s="4">
        <v>1.4373549999999999</v>
      </c>
      <c r="DC336" s="4">
        <v>5.4451070000000001</v>
      </c>
      <c r="DD336" s="4">
        <v>36.451621000000003</v>
      </c>
      <c r="DE336" s="4">
        <v>82.464398000000003</v>
      </c>
      <c r="DF336" s="4">
        <v>24.751923000000001</v>
      </c>
      <c r="DG336" s="4">
        <v>6.8689640000000001</v>
      </c>
      <c r="DH336" s="4">
        <v>3.1634630000000001</v>
      </c>
      <c r="DI336" s="4">
        <v>0.300153</v>
      </c>
      <c r="DJ336" s="4">
        <v>0.27751199999999998</v>
      </c>
      <c r="DK336" s="4">
        <v>0.127807</v>
      </c>
      <c r="DL336" s="4">
        <v>29</v>
      </c>
      <c r="DM336" s="4">
        <v>33</v>
      </c>
      <c r="DN336" s="4">
        <v>37</v>
      </c>
      <c r="DO336" s="4">
        <v>43</v>
      </c>
      <c r="DP336" s="4">
        <v>47</v>
      </c>
      <c r="DQ336" s="4">
        <v>51</v>
      </c>
      <c r="DR336" s="4">
        <v>59</v>
      </c>
      <c r="DS336" s="4">
        <v>70</v>
      </c>
      <c r="DT336" s="4">
        <v>80</v>
      </c>
      <c r="DU336" s="4">
        <v>95</v>
      </c>
      <c r="DV336" s="4">
        <v>107</v>
      </c>
      <c r="DW336" s="4">
        <v>118</v>
      </c>
      <c r="DX336" s="4">
        <v>147</v>
      </c>
      <c r="DY336" s="4">
        <v>176</v>
      </c>
      <c r="DZ336" s="4">
        <v>238.14001500000001</v>
      </c>
      <c r="EA336" s="4">
        <v>96.688034000000002</v>
      </c>
      <c r="EB336" s="4">
        <v>77.126654000000002</v>
      </c>
      <c r="EC336" s="4">
        <v>130.76923099999999</v>
      </c>
      <c r="ED336" s="4">
        <v>905</v>
      </c>
      <c r="EE336" s="4">
        <v>1224</v>
      </c>
      <c r="EF336" s="4">
        <v>93.055555999999996</v>
      </c>
      <c r="EG336" s="4">
        <v>100</v>
      </c>
      <c r="EH336" s="4">
        <v>69.124133999999998</v>
      </c>
      <c r="EI336" s="4">
        <v>99.936987999999999</v>
      </c>
      <c r="EJ336" s="4">
        <v>117.200855</v>
      </c>
      <c r="EK336" s="4">
        <v>169.444444</v>
      </c>
      <c r="EL336" s="4">
        <v>871</v>
      </c>
      <c r="EM336" s="4">
        <v>936</v>
      </c>
      <c r="EN336" s="4">
        <v>1097</v>
      </c>
      <c r="EO336" s="4">
        <v>1586</v>
      </c>
      <c r="EP336" s="4">
        <v>936</v>
      </c>
      <c r="EQ336" s="4">
        <v>1587</v>
      </c>
      <c r="ER336" s="4">
        <v>62.398211000000003</v>
      </c>
    </row>
    <row r="337" spans="1:148" x14ac:dyDescent="0.2">
      <c r="A337" s="1">
        <v>2025</v>
      </c>
      <c r="B337" s="1" t="str">
        <f t="shared" si="10"/>
        <v>GN</v>
      </c>
      <c r="C337" s="1" t="s">
        <v>1572</v>
      </c>
      <c r="D337" s="1" t="s">
        <v>1572</v>
      </c>
      <c r="E337" s="1">
        <v>27517</v>
      </c>
      <c r="F337" s="1" t="s">
        <v>2174</v>
      </c>
      <c r="G337" s="1" t="s">
        <v>2008</v>
      </c>
      <c r="H337" s="1" t="s">
        <v>1934</v>
      </c>
      <c r="I337" s="1">
        <v>61.69</v>
      </c>
      <c r="J337" s="1">
        <v>61.69</v>
      </c>
      <c r="K337" s="1" t="s">
        <v>192</v>
      </c>
      <c r="L337" s="1">
        <v>1</v>
      </c>
      <c r="M337" s="3">
        <v>2020</v>
      </c>
      <c r="O337" s="1">
        <v>1</v>
      </c>
      <c r="P337" s="1" t="str">
        <f t="shared" si="11"/>
        <v>Alto fuste</v>
      </c>
      <c r="Q337" s="2">
        <v>43889</v>
      </c>
      <c r="R337" s="1" t="s">
        <v>169</v>
      </c>
      <c r="S337" s="1" t="s">
        <v>163</v>
      </c>
      <c r="T337" s="1" t="s">
        <v>2268</v>
      </c>
      <c r="U337" s="1" t="s">
        <v>192</v>
      </c>
      <c r="V337" s="1" t="s">
        <v>152</v>
      </c>
      <c r="W337" s="2">
        <v>44756</v>
      </c>
      <c r="X337" s="1" t="s">
        <v>2175</v>
      </c>
      <c r="Y337" s="1">
        <v>114.67</v>
      </c>
      <c r="Z337" s="1">
        <v>21.4</v>
      </c>
      <c r="AA337" s="1">
        <v>17</v>
      </c>
      <c r="AB337" s="1">
        <v>15.2</v>
      </c>
      <c r="AC337" s="1">
        <v>0</v>
      </c>
      <c r="AD337" s="3">
        <v>325.27999999999997</v>
      </c>
      <c r="AE337" s="3">
        <v>311.06681101965597</v>
      </c>
      <c r="AF337" s="2">
        <v>45733</v>
      </c>
      <c r="AG337" s="1">
        <v>61</v>
      </c>
      <c r="AH337" s="3">
        <v>5.0485968514715998</v>
      </c>
      <c r="AI337" s="4">
        <v>30.3193548387097</v>
      </c>
      <c r="AJ337" s="4">
        <v>18.038709677419401</v>
      </c>
      <c r="AK337" s="4">
        <v>25.873184973569298</v>
      </c>
      <c r="AL337" s="1">
        <v>31</v>
      </c>
      <c r="AM337" s="5">
        <v>996.570476238982</v>
      </c>
      <c r="AN337" s="4">
        <v>354.94614946327999</v>
      </c>
      <c r="AO337" s="4">
        <v>0.35616763482983499</v>
      </c>
      <c r="AP337" s="1" t="s">
        <v>163</v>
      </c>
      <c r="AQ337" s="1" t="s">
        <v>156</v>
      </c>
      <c r="AR337" s="1" t="s">
        <v>270</v>
      </c>
      <c r="AS337" s="1">
        <v>9</v>
      </c>
      <c r="AT337" s="4">
        <v>0.89691342861508383</v>
      </c>
      <c r="AU337" s="1" t="s">
        <v>1571</v>
      </c>
      <c r="AV337" s="1" t="s">
        <v>1572</v>
      </c>
      <c r="AW337" s="1">
        <v>1216</v>
      </c>
      <c r="AX337" s="1">
        <v>653</v>
      </c>
      <c r="AY337" s="1">
        <v>433</v>
      </c>
      <c r="AZ337" s="1">
        <v>117</v>
      </c>
      <c r="BA337" s="1">
        <v>13</v>
      </c>
      <c r="BB337" s="1">
        <v>0</v>
      </c>
      <c r="BC337" s="1">
        <v>0</v>
      </c>
      <c r="BD337" s="1">
        <v>0</v>
      </c>
      <c r="BE337" s="1">
        <v>0</v>
      </c>
      <c r="BF337" s="1">
        <v>0</v>
      </c>
      <c r="BG337" s="1">
        <v>0</v>
      </c>
      <c r="BH337" s="4">
        <v>0</v>
      </c>
      <c r="BI337" s="4">
        <v>32.733001999999999</v>
      </c>
      <c r="BJ337" s="4">
        <v>14.745187</v>
      </c>
      <c r="BK337" s="4">
        <v>0</v>
      </c>
      <c r="BL337" s="4">
        <v>13.336</v>
      </c>
      <c r="BM337" s="4">
        <v>177.848894</v>
      </c>
      <c r="BN337" s="4">
        <v>0.90443099999999998</v>
      </c>
      <c r="BO337" s="4">
        <v>28.31625</v>
      </c>
      <c r="BP337" s="4">
        <v>1.5452E-2</v>
      </c>
      <c r="BQ337" s="4">
        <v>1.132136</v>
      </c>
      <c r="BR337" s="4">
        <v>12.915523</v>
      </c>
      <c r="BS337" s="4">
        <v>13.736499999999999</v>
      </c>
      <c r="BT337" s="4">
        <v>13.837999999999999</v>
      </c>
      <c r="BU337" s="4">
        <v>14.745187</v>
      </c>
      <c r="BV337" s="4">
        <v>7.2262360000000001</v>
      </c>
      <c r="BW337" s="4">
        <v>0.154859</v>
      </c>
      <c r="BX337" s="4">
        <v>-1.4284349999999999</v>
      </c>
      <c r="BY337" s="4">
        <v>0.49007400000000001</v>
      </c>
      <c r="BZ337" s="4">
        <v>2.1430000000000001E-2</v>
      </c>
      <c r="CA337" s="4">
        <v>-0.19767299999999999</v>
      </c>
      <c r="CB337" s="4">
        <v>2.15E-3</v>
      </c>
      <c r="CC337" s="4">
        <v>1.4749999999999999E-2</v>
      </c>
      <c r="CD337" s="4">
        <v>3.95E-2</v>
      </c>
      <c r="CE337" s="4">
        <v>0.18099999999999999</v>
      </c>
      <c r="CF337" s="4">
        <v>0.34325</v>
      </c>
      <c r="CG337" s="4">
        <v>0.71450000000000002</v>
      </c>
      <c r="CH337" s="4">
        <v>2.3690000000000002</v>
      </c>
      <c r="CI337" s="4">
        <v>13.837999999999999</v>
      </c>
      <c r="CJ337" s="4">
        <v>25.988001000000001</v>
      </c>
      <c r="CK337" s="4">
        <v>28.109501000000002</v>
      </c>
      <c r="CL337" s="4">
        <v>28.659500000000001</v>
      </c>
      <c r="CM337" s="4">
        <v>29.24</v>
      </c>
      <c r="CN337" s="4">
        <v>29.973998999999999</v>
      </c>
      <c r="CO337" s="4">
        <v>30.686748999999999</v>
      </c>
      <c r="CP337" s="4">
        <v>31.405701000000001</v>
      </c>
      <c r="CQ337" s="4">
        <v>0.45046900000000001</v>
      </c>
      <c r="CR337" s="4">
        <v>19.877704999999999</v>
      </c>
      <c r="CS337" s="4">
        <v>22.309194999999999</v>
      </c>
      <c r="CT337" s="1">
        <v>23</v>
      </c>
      <c r="CU337" s="1">
        <v>531</v>
      </c>
      <c r="CV337" s="4">
        <v>112.731908</v>
      </c>
      <c r="CW337" s="4">
        <v>31.063492</v>
      </c>
      <c r="CX337" s="4">
        <v>80.795309000000003</v>
      </c>
      <c r="CY337" s="4">
        <v>6527.881977</v>
      </c>
      <c r="CZ337" s="4">
        <v>0.71670299999999998</v>
      </c>
      <c r="DA337" s="4">
        <v>101</v>
      </c>
      <c r="DB337" s="4">
        <v>1.548645</v>
      </c>
      <c r="DC337" s="4">
        <v>5.877027</v>
      </c>
      <c r="DD337" s="4">
        <v>61.659495999999997</v>
      </c>
      <c r="DE337" s="4">
        <v>112.731908</v>
      </c>
      <c r="DF337" s="4">
        <v>42.033109000000003</v>
      </c>
      <c r="DG337" s="4">
        <v>12.046613000000001</v>
      </c>
      <c r="DH337" s="4">
        <v>5.6074580000000003</v>
      </c>
      <c r="DI337" s="4">
        <v>0.372859</v>
      </c>
      <c r="DJ337" s="4">
        <v>0.28659800000000002</v>
      </c>
      <c r="DK337" s="4">
        <v>0.133406</v>
      </c>
      <c r="DL337" s="4">
        <v>26</v>
      </c>
      <c r="DM337" s="4">
        <v>30</v>
      </c>
      <c r="DN337" s="4">
        <v>35</v>
      </c>
      <c r="DO337" s="4">
        <v>45</v>
      </c>
      <c r="DP337" s="4">
        <v>51</v>
      </c>
      <c r="DQ337" s="4">
        <v>57</v>
      </c>
      <c r="DR337" s="4">
        <v>72</v>
      </c>
      <c r="DS337" s="4">
        <v>93</v>
      </c>
      <c r="DT337" s="4">
        <v>114</v>
      </c>
      <c r="DU337" s="4">
        <v>137</v>
      </c>
      <c r="DV337" s="4">
        <v>152</v>
      </c>
      <c r="DW337" s="4">
        <v>164</v>
      </c>
      <c r="DX337" s="4">
        <v>215</v>
      </c>
      <c r="DY337" s="4">
        <v>276.5</v>
      </c>
      <c r="DZ337" s="4">
        <v>397.84997600000003</v>
      </c>
      <c r="EA337" s="4">
        <v>84.226646000000002</v>
      </c>
      <c r="EB337" s="4">
        <v>58.963816000000001</v>
      </c>
      <c r="EC337" s="4">
        <v>109.80091899999999</v>
      </c>
      <c r="ED337" s="4">
        <v>550</v>
      </c>
      <c r="EE337" s="4">
        <v>717</v>
      </c>
      <c r="EF337" s="4">
        <v>75.957121000000001</v>
      </c>
      <c r="EG337" s="4">
        <v>100</v>
      </c>
      <c r="EH337" s="4">
        <v>49.424342000000003</v>
      </c>
      <c r="EI337" s="4">
        <v>99.671053000000001</v>
      </c>
      <c r="EJ337" s="4">
        <v>92.036753000000004</v>
      </c>
      <c r="EK337" s="4">
        <v>185.60489999999999</v>
      </c>
      <c r="EL337" s="4">
        <v>496</v>
      </c>
      <c r="EM337" s="4">
        <v>653</v>
      </c>
      <c r="EN337" s="4">
        <v>601</v>
      </c>
      <c r="EO337" s="4">
        <v>1212</v>
      </c>
      <c r="EP337" s="4">
        <v>653</v>
      </c>
      <c r="EQ337" s="4">
        <v>1216</v>
      </c>
      <c r="ER337" s="4">
        <v>45.904617999999999</v>
      </c>
    </row>
    <row r="338" spans="1:148" x14ac:dyDescent="0.2">
      <c r="A338" s="1">
        <v>2025</v>
      </c>
      <c r="B338" s="1" t="str">
        <f t="shared" si="10"/>
        <v>GN</v>
      </c>
      <c r="C338" s="1" t="s">
        <v>1574</v>
      </c>
      <c r="D338" s="1" t="s">
        <v>1574</v>
      </c>
      <c r="E338" s="1">
        <v>27518</v>
      </c>
      <c r="F338" s="1" t="s">
        <v>2174</v>
      </c>
      <c r="G338" s="1" t="s">
        <v>2008</v>
      </c>
      <c r="H338" s="1" t="s">
        <v>1934</v>
      </c>
      <c r="I338" s="1">
        <v>61.69</v>
      </c>
      <c r="J338" s="1">
        <v>61.69</v>
      </c>
      <c r="K338" s="1" t="s">
        <v>192</v>
      </c>
      <c r="L338" s="1">
        <v>1</v>
      </c>
      <c r="M338" s="3">
        <v>2020</v>
      </c>
      <c r="O338" s="1">
        <v>1</v>
      </c>
      <c r="P338" s="1" t="str">
        <f t="shared" si="11"/>
        <v>Alto fuste</v>
      </c>
      <c r="Q338" s="2">
        <v>43889</v>
      </c>
      <c r="R338" s="1" t="s">
        <v>169</v>
      </c>
      <c r="S338" s="1" t="s">
        <v>163</v>
      </c>
      <c r="T338" s="1" t="s">
        <v>2268</v>
      </c>
      <c r="U338" s="1" t="s">
        <v>192</v>
      </c>
      <c r="V338" s="1" t="s">
        <v>152</v>
      </c>
      <c r="W338" s="2">
        <v>45733</v>
      </c>
      <c r="X338" s="1" t="s">
        <v>2175</v>
      </c>
      <c r="Y338" s="1">
        <v>114.67</v>
      </c>
      <c r="Z338" s="1">
        <v>20</v>
      </c>
      <c r="AA338" s="1">
        <v>23</v>
      </c>
      <c r="AB338" s="1">
        <v>14.8</v>
      </c>
      <c r="AC338" s="1">
        <v>1</v>
      </c>
      <c r="AD338" s="3">
        <v>296</v>
      </c>
      <c r="AE338" s="3">
        <v>272.42793820699001</v>
      </c>
      <c r="AF338" s="2">
        <v>45733</v>
      </c>
      <c r="AG338" s="1">
        <v>61</v>
      </c>
      <c r="AH338" s="3">
        <v>5.0485968514715998</v>
      </c>
      <c r="AI338" s="4">
        <v>28.503448275862102</v>
      </c>
      <c r="AJ338" s="4">
        <v>16.7793103448276</v>
      </c>
      <c r="AK338" s="4">
        <v>23.697564569479798</v>
      </c>
      <c r="AL338" s="1">
        <v>29</v>
      </c>
      <c r="AM338" s="5">
        <v>1064.5016877074499</v>
      </c>
      <c r="AN338" s="4">
        <v>304.798595844521</v>
      </c>
      <c r="AO338" s="4">
        <v>0.28632983804933898</v>
      </c>
      <c r="AP338" s="1" t="s">
        <v>163</v>
      </c>
      <c r="AQ338" s="1" t="s">
        <v>156</v>
      </c>
      <c r="AR338" s="1" t="s">
        <v>270</v>
      </c>
      <c r="AS338" s="1">
        <v>9</v>
      </c>
      <c r="AT338" s="4">
        <v>0.95805151893670493</v>
      </c>
      <c r="AU338" s="1" t="s">
        <v>1573</v>
      </c>
      <c r="AV338" s="1" t="s">
        <v>1574</v>
      </c>
      <c r="AW338" s="1">
        <v>1085</v>
      </c>
      <c r="AX338" s="1">
        <v>618</v>
      </c>
      <c r="AY338" s="1">
        <v>336</v>
      </c>
      <c r="AZ338" s="1">
        <v>118</v>
      </c>
      <c r="BA338" s="1">
        <v>11</v>
      </c>
      <c r="BB338" s="1">
        <v>2</v>
      </c>
      <c r="BC338" s="1">
        <v>0</v>
      </c>
      <c r="BD338" s="1">
        <v>0</v>
      </c>
      <c r="BE338" s="1">
        <v>0</v>
      </c>
      <c r="BF338" s="1">
        <v>0</v>
      </c>
      <c r="BG338" s="1">
        <v>0</v>
      </c>
      <c r="BH338" s="4">
        <v>0</v>
      </c>
      <c r="BI338" s="4">
        <v>28.768000000000001</v>
      </c>
      <c r="BJ338" s="4">
        <v>17.240773999999998</v>
      </c>
      <c r="BK338" s="4">
        <v>0</v>
      </c>
      <c r="BL338" s="4">
        <v>11.144976</v>
      </c>
      <c r="BM338" s="4">
        <v>124.210499</v>
      </c>
      <c r="BN338" s="4">
        <v>0.64643099999999998</v>
      </c>
      <c r="BO338" s="4">
        <v>24.007999999999999</v>
      </c>
      <c r="BP338" s="4">
        <v>-0.75697899999999996</v>
      </c>
      <c r="BQ338" s="4">
        <v>1.7125520000000001</v>
      </c>
      <c r="BR338" s="4">
        <v>10.160705999999999</v>
      </c>
      <c r="BS338" s="4">
        <v>2.8720020000000002</v>
      </c>
      <c r="BT338" s="4">
        <v>23.466999000000001</v>
      </c>
      <c r="BU338" s="4">
        <v>17.240773999999998</v>
      </c>
      <c r="BV338" s="4">
        <v>5.7274139999999996</v>
      </c>
      <c r="BW338" s="4">
        <v>-1.5751029999999999</v>
      </c>
      <c r="BX338" s="4">
        <v>-0.33916000000000002</v>
      </c>
      <c r="BY338" s="4">
        <v>0.332202</v>
      </c>
      <c r="BZ338" s="4">
        <v>-0.27501100000000001</v>
      </c>
      <c r="CA338" s="4">
        <v>-5.9216999999999999E-2</v>
      </c>
      <c r="CB338" s="4">
        <v>1E-3</v>
      </c>
      <c r="CC338" s="4">
        <v>0.01</v>
      </c>
      <c r="CD338" s="4">
        <v>2.0400000000000001E-2</v>
      </c>
      <c r="CE338" s="4">
        <v>6.08E-2</v>
      </c>
      <c r="CF338" s="4">
        <v>1.623</v>
      </c>
      <c r="CG338" s="4">
        <v>8.6368050000000007</v>
      </c>
      <c r="CH338" s="4">
        <v>22.2988</v>
      </c>
      <c r="CI338" s="4">
        <v>23.466999000000001</v>
      </c>
      <c r="CJ338" s="4">
        <v>24.3874</v>
      </c>
      <c r="CK338" s="4">
        <v>25.223600000000001</v>
      </c>
      <c r="CL338" s="4">
        <v>25.631001000000001</v>
      </c>
      <c r="CM338" s="4">
        <v>26.052</v>
      </c>
      <c r="CN338" s="4">
        <v>26.882000000000001</v>
      </c>
      <c r="CO338" s="4">
        <v>27.341602000000002</v>
      </c>
      <c r="CP338" s="4">
        <v>28.068161</v>
      </c>
      <c r="CQ338" s="4">
        <v>0.59930399999999995</v>
      </c>
      <c r="CR338" s="4">
        <v>20.526575999999999</v>
      </c>
      <c r="CS338" s="4">
        <v>21.895029999999998</v>
      </c>
      <c r="CT338" s="1">
        <v>20</v>
      </c>
      <c r="CU338" s="1">
        <v>646</v>
      </c>
      <c r="CV338" s="4">
        <v>143.578802</v>
      </c>
      <c r="CW338" s="4">
        <v>39.873016</v>
      </c>
      <c r="CX338" s="4">
        <v>111.019273</v>
      </c>
      <c r="CY338" s="4">
        <v>12325.279070000001</v>
      </c>
      <c r="CZ338" s="4">
        <v>0.77322900000000006</v>
      </c>
      <c r="DA338" s="4">
        <v>140</v>
      </c>
      <c r="DB338" s="4">
        <v>1.5807439999999999</v>
      </c>
      <c r="DC338" s="4">
        <v>5.8675179999999996</v>
      </c>
      <c r="DD338" s="4">
        <v>84.029705000000007</v>
      </c>
      <c r="DE338" s="4">
        <v>143.578802</v>
      </c>
      <c r="DF338" s="4">
        <v>57.465496999999999</v>
      </c>
      <c r="DG338" s="4">
        <v>16.679500999999998</v>
      </c>
      <c r="DH338" s="4">
        <v>8.0949570000000008</v>
      </c>
      <c r="DI338" s="4">
        <v>0.40023700000000001</v>
      </c>
      <c r="DJ338" s="4">
        <v>0.29025200000000001</v>
      </c>
      <c r="DK338" s="4">
        <v>0.14086599999999999</v>
      </c>
      <c r="DL338" s="4">
        <v>25</v>
      </c>
      <c r="DM338" s="4">
        <v>31</v>
      </c>
      <c r="DN338" s="4">
        <v>38</v>
      </c>
      <c r="DO338" s="4">
        <v>51</v>
      </c>
      <c r="DP338" s="4">
        <v>58</v>
      </c>
      <c r="DQ338" s="4">
        <v>68</v>
      </c>
      <c r="DR338" s="4">
        <v>89</v>
      </c>
      <c r="DS338" s="4">
        <v>116</v>
      </c>
      <c r="DT338" s="4">
        <v>142</v>
      </c>
      <c r="DU338" s="4">
        <v>178</v>
      </c>
      <c r="DV338" s="4">
        <v>198</v>
      </c>
      <c r="DW338" s="4">
        <v>218</v>
      </c>
      <c r="DX338" s="4">
        <v>272</v>
      </c>
      <c r="DY338" s="4">
        <v>372.00024400000001</v>
      </c>
      <c r="DZ338" s="4">
        <v>536.32006799999999</v>
      </c>
      <c r="EA338" s="4">
        <v>92.233009999999993</v>
      </c>
      <c r="EB338" s="4">
        <v>73.271889000000002</v>
      </c>
      <c r="EC338" s="4">
        <v>128.64077700000001</v>
      </c>
      <c r="ED338" s="4">
        <v>570</v>
      </c>
      <c r="EE338" s="4">
        <v>795</v>
      </c>
      <c r="EF338" s="4">
        <v>87.864078000000006</v>
      </c>
      <c r="EG338" s="4">
        <v>100</v>
      </c>
      <c r="EH338" s="4">
        <v>67.373272</v>
      </c>
      <c r="EI338" s="4">
        <v>99.447005000000004</v>
      </c>
      <c r="EJ338" s="4">
        <v>118.28479</v>
      </c>
      <c r="EK338" s="4">
        <v>174.59546900000001</v>
      </c>
      <c r="EL338" s="4">
        <v>543</v>
      </c>
      <c r="EM338" s="4">
        <v>618</v>
      </c>
      <c r="EN338" s="4">
        <v>731</v>
      </c>
      <c r="EO338" s="4">
        <v>1079</v>
      </c>
      <c r="EP338" s="4">
        <v>618</v>
      </c>
      <c r="EQ338" s="4">
        <v>1085</v>
      </c>
      <c r="ER338" s="4">
        <v>60.425049000000001</v>
      </c>
    </row>
    <row r="339" spans="1:148" x14ac:dyDescent="0.2">
      <c r="A339" s="1">
        <v>2025</v>
      </c>
      <c r="B339" s="1" t="str">
        <f t="shared" si="10"/>
        <v>GN</v>
      </c>
      <c r="C339" s="1" t="s">
        <v>1576</v>
      </c>
      <c r="D339" s="1" t="s">
        <v>1576</v>
      </c>
      <c r="E339" s="1">
        <v>27519</v>
      </c>
      <c r="F339" s="1" t="s">
        <v>2174</v>
      </c>
      <c r="G339" s="1" t="s">
        <v>2008</v>
      </c>
      <c r="H339" s="1" t="s">
        <v>1934</v>
      </c>
      <c r="I339" s="1">
        <v>61.69</v>
      </c>
      <c r="J339" s="1">
        <v>61.69</v>
      </c>
      <c r="K339" s="1" t="s">
        <v>192</v>
      </c>
      <c r="L339" s="1">
        <v>1</v>
      </c>
      <c r="M339" s="3">
        <v>2020</v>
      </c>
      <c r="O339" s="1">
        <v>1</v>
      </c>
      <c r="P339" s="1" t="str">
        <f t="shared" si="11"/>
        <v>Alto fuste</v>
      </c>
      <c r="Q339" s="2">
        <v>43889</v>
      </c>
      <c r="R339" s="1" t="s">
        <v>169</v>
      </c>
      <c r="S339" s="1" t="s">
        <v>163</v>
      </c>
      <c r="T339" s="1" t="s">
        <v>2268</v>
      </c>
      <c r="U339" s="1" t="s">
        <v>192</v>
      </c>
      <c r="V339" s="1" t="s">
        <v>152</v>
      </c>
      <c r="W339" s="2">
        <v>44757</v>
      </c>
      <c r="X339" s="1" t="s">
        <v>2175</v>
      </c>
      <c r="Y339" s="1">
        <v>114.67</v>
      </c>
      <c r="Z339" s="1">
        <v>20.6</v>
      </c>
      <c r="AA339" s="1">
        <v>16</v>
      </c>
      <c r="AB339" s="1">
        <v>15.1</v>
      </c>
      <c r="AC339" s="1">
        <v>2</v>
      </c>
      <c r="AD339" s="3">
        <v>311.06</v>
      </c>
      <c r="AE339" s="3">
        <v>298.82791428709101</v>
      </c>
      <c r="AF339" s="2">
        <v>45733</v>
      </c>
      <c r="AG339" s="1">
        <v>61</v>
      </c>
      <c r="AH339" s="3">
        <v>5.0485968514715998</v>
      </c>
      <c r="AI339" s="4">
        <v>30.3612903225807</v>
      </c>
      <c r="AJ339" s="4">
        <v>16.6354838709677</v>
      </c>
      <c r="AK339" s="4">
        <v>23.310716062924701</v>
      </c>
      <c r="AL339" s="1">
        <v>31</v>
      </c>
      <c r="AM339" s="5">
        <v>1037.38635240808</v>
      </c>
      <c r="AN339" s="4">
        <v>330.27672416948701</v>
      </c>
      <c r="AO339" s="4">
        <v>0.31837388587464699</v>
      </c>
      <c r="AP339" s="1" t="s">
        <v>163</v>
      </c>
      <c r="AQ339" s="1" t="s">
        <v>156</v>
      </c>
      <c r="AR339" s="1" t="s">
        <v>270</v>
      </c>
      <c r="AS339" s="1">
        <v>9</v>
      </c>
      <c r="AT339" s="4">
        <v>0.93364771716727202</v>
      </c>
      <c r="AU339" s="1" t="s">
        <v>1575</v>
      </c>
      <c r="AV339" s="1" t="s">
        <v>1576</v>
      </c>
      <c r="AW339" s="1">
        <v>1153</v>
      </c>
      <c r="AX339" s="1">
        <v>696</v>
      </c>
      <c r="AY339" s="1">
        <v>345</v>
      </c>
      <c r="AZ339" s="1">
        <v>99</v>
      </c>
      <c r="BA339" s="1">
        <v>12</v>
      </c>
      <c r="BB339" s="1">
        <v>1</v>
      </c>
      <c r="BC339" s="1">
        <v>0</v>
      </c>
      <c r="BD339" s="1">
        <v>0</v>
      </c>
      <c r="BE339" s="1">
        <v>0</v>
      </c>
      <c r="BF339" s="1">
        <v>0</v>
      </c>
      <c r="BG339" s="1">
        <v>0</v>
      </c>
      <c r="BH339" s="4">
        <v>0</v>
      </c>
      <c r="BI339" s="4">
        <v>30.687000000000001</v>
      </c>
      <c r="BJ339" s="4">
        <v>16.571076999999999</v>
      </c>
      <c r="BK339" s="4">
        <v>0</v>
      </c>
      <c r="BL339" s="4">
        <v>12.500102999999999</v>
      </c>
      <c r="BM339" s="4">
        <v>156.25258500000001</v>
      </c>
      <c r="BN339" s="4">
        <v>0.75433300000000003</v>
      </c>
      <c r="BO339" s="4">
        <v>26.499998999999999</v>
      </c>
      <c r="BP339" s="4">
        <v>-0.40842600000000001</v>
      </c>
      <c r="BQ339" s="4">
        <v>1.2819069999999999</v>
      </c>
      <c r="BR339" s="4">
        <v>11.961888999999999</v>
      </c>
      <c r="BS339" s="4">
        <v>4.2589990000000002</v>
      </c>
      <c r="BT339" s="4">
        <v>24.697001</v>
      </c>
      <c r="BU339" s="4">
        <v>16.571076999999999</v>
      </c>
      <c r="BV339" s="4">
        <v>6.6299760000000001</v>
      </c>
      <c r="BW339" s="4">
        <v>-1.0066539999999999</v>
      </c>
      <c r="BX339" s="4">
        <v>-0.98247200000000001</v>
      </c>
      <c r="BY339" s="4">
        <v>0.40009299999999998</v>
      </c>
      <c r="BZ339" s="4">
        <v>-0.151834</v>
      </c>
      <c r="CA339" s="4">
        <v>-0.14818600000000001</v>
      </c>
      <c r="CB339" s="4">
        <v>3.0000000000000001E-3</v>
      </c>
      <c r="CC339" s="4">
        <v>2.1999999999999999E-2</v>
      </c>
      <c r="CD339" s="4">
        <v>4.7E-2</v>
      </c>
      <c r="CE339" s="4">
        <v>0.224</v>
      </c>
      <c r="CF339" s="4">
        <v>0.55700000000000005</v>
      </c>
      <c r="CG339" s="4">
        <v>1.4738009999999999</v>
      </c>
      <c r="CH339" s="4">
        <v>14.1676</v>
      </c>
      <c r="CI339" s="4">
        <v>24.697001</v>
      </c>
      <c r="CJ339" s="4">
        <v>25.812601000000001</v>
      </c>
      <c r="CK339" s="4">
        <v>26.6266</v>
      </c>
      <c r="CL339" s="4">
        <v>27.056999000000001</v>
      </c>
      <c r="CM339" s="4">
        <v>27.575800000000001</v>
      </c>
      <c r="CN339" s="4">
        <v>28.719200000000001</v>
      </c>
      <c r="CO339" s="4">
        <v>29.409400999999999</v>
      </c>
      <c r="CP339" s="4">
        <v>30.389959000000001</v>
      </c>
      <c r="CQ339" s="4">
        <v>0.54000300000000001</v>
      </c>
      <c r="CR339" s="4">
        <v>20.753738999999999</v>
      </c>
      <c r="CS339" s="4">
        <v>22.581247999999999</v>
      </c>
      <c r="CT339" s="1">
        <v>24</v>
      </c>
      <c r="CU339" s="1">
        <v>594</v>
      </c>
      <c r="CV339" s="4">
        <v>130.84562</v>
      </c>
      <c r="CW339" s="4">
        <v>33.047618999999997</v>
      </c>
      <c r="CX339" s="4">
        <v>99.321056999999996</v>
      </c>
      <c r="CY339" s="4">
        <v>9864.6723270000002</v>
      </c>
      <c r="CZ339" s="4">
        <v>0.75907100000000005</v>
      </c>
      <c r="DA339" s="4">
        <v>110</v>
      </c>
      <c r="DB339" s="4">
        <v>1.6565840000000001</v>
      </c>
      <c r="DC339" s="4">
        <v>5.8758239999999997</v>
      </c>
      <c r="DD339" s="4">
        <v>73.496035000000006</v>
      </c>
      <c r="DE339" s="4">
        <v>130.84562</v>
      </c>
      <c r="DF339" s="4">
        <v>50.686371999999999</v>
      </c>
      <c r="DG339" s="4">
        <v>16.066398</v>
      </c>
      <c r="DH339" s="4">
        <v>8.5278650000000003</v>
      </c>
      <c r="DI339" s="4">
        <v>0.38737500000000002</v>
      </c>
      <c r="DJ339" s="4">
        <v>0.31697700000000001</v>
      </c>
      <c r="DK339" s="4">
        <v>0.16824800000000001</v>
      </c>
      <c r="DL339" s="4">
        <v>27</v>
      </c>
      <c r="DM339" s="4">
        <v>33</v>
      </c>
      <c r="DN339" s="4">
        <v>38</v>
      </c>
      <c r="DO339" s="4">
        <v>51.399994</v>
      </c>
      <c r="DP339" s="4">
        <v>59</v>
      </c>
      <c r="DQ339" s="4">
        <v>66.600005999999993</v>
      </c>
      <c r="DR339" s="4">
        <v>84</v>
      </c>
      <c r="DS339" s="4">
        <v>104</v>
      </c>
      <c r="DT339" s="4">
        <v>126</v>
      </c>
      <c r="DU339" s="4">
        <v>151.400024</v>
      </c>
      <c r="DV339" s="4">
        <v>169</v>
      </c>
      <c r="DW339" s="4">
        <v>189</v>
      </c>
      <c r="DX339" s="4">
        <v>258.800049</v>
      </c>
      <c r="DY339" s="4">
        <v>354.800049</v>
      </c>
      <c r="DZ339" s="4">
        <v>473.43994099999998</v>
      </c>
      <c r="EA339" s="4">
        <v>87.356322000000006</v>
      </c>
      <c r="EB339" s="4">
        <v>65.915003999999996</v>
      </c>
      <c r="EC339" s="4">
        <v>109.195402</v>
      </c>
      <c r="ED339" s="4">
        <v>608</v>
      </c>
      <c r="EE339" s="4">
        <v>760</v>
      </c>
      <c r="EF339" s="4">
        <v>81.321838999999997</v>
      </c>
      <c r="EG339" s="4">
        <v>100</v>
      </c>
      <c r="EH339" s="4">
        <v>59.496963999999998</v>
      </c>
      <c r="EI339" s="4">
        <v>99.913269999999997</v>
      </c>
      <c r="EJ339" s="4">
        <v>98.563218000000006</v>
      </c>
      <c r="EK339" s="4">
        <v>165.51724100000001</v>
      </c>
      <c r="EL339" s="4">
        <v>566</v>
      </c>
      <c r="EM339" s="4">
        <v>696</v>
      </c>
      <c r="EN339" s="4">
        <v>686</v>
      </c>
      <c r="EO339" s="4">
        <v>1152</v>
      </c>
      <c r="EP339" s="4">
        <v>696</v>
      </c>
      <c r="EQ339" s="4">
        <v>1153</v>
      </c>
      <c r="ER339" s="4">
        <v>53.512490999999997</v>
      </c>
    </row>
    <row r="340" spans="1:148" x14ac:dyDescent="0.2">
      <c r="A340" s="1">
        <v>2025</v>
      </c>
      <c r="B340" s="1" t="str">
        <f t="shared" si="10"/>
        <v>GN</v>
      </c>
      <c r="C340" s="1" t="s">
        <v>1578</v>
      </c>
      <c r="D340" s="1" t="s">
        <v>1578</v>
      </c>
      <c r="E340" s="1">
        <v>27520</v>
      </c>
      <c r="F340" s="1" t="s">
        <v>2174</v>
      </c>
      <c r="G340" s="1" t="s">
        <v>2008</v>
      </c>
      <c r="H340" s="1" t="s">
        <v>1934</v>
      </c>
      <c r="I340" s="1">
        <v>61.69</v>
      </c>
      <c r="J340" s="1">
        <v>61.69</v>
      </c>
      <c r="K340" s="1" t="s">
        <v>192</v>
      </c>
      <c r="L340" s="1">
        <v>1</v>
      </c>
      <c r="M340" s="3">
        <v>2020</v>
      </c>
      <c r="O340" s="1">
        <v>1</v>
      </c>
      <c r="P340" s="1" t="str">
        <f t="shared" si="11"/>
        <v>Alto fuste</v>
      </c>
      <c r="Q340" s="2">
        <v>43889</v>
      </c>
      <c r="R340" s="1" t="s">
        <v>169</v>
      </c>
      <c r="S340" s="1" t="s">
        <v>163</v>
      </c>
      <c r="T340" s="1" t="s">
        <v>2268</v>
      </c>
      <c r="U340" s="1" t="s">
        <v>192</v>
      </c>
      <c r="V340" s="1" t="s">
        <v>152</v>
      </c>
      <c r="W340" s="2">
        <v>45733</v>
      </c>
      <c r="X340" s="1" t="s">
        <v>2175</v>
      </c>
      <c r="Y340" s="1">
        <v>114.67</v>
      </c>
      <c r="Z340" s="1">
        <v>19.8</v>
      </c>
      <c r="AA340" s="1">
        <v>24</v>
      </c>
      <c r="AB340" s="1">
        <v>15</v>
      </c>
      <c r="AC340" s="1">
        <v>4</v>
      </c>
      <c r="AD340" s="3">
        <v>297</v>
      </c>
      <c r="AE340" s="3">
        <v>270.66207172625798</v>
      </c>
      <c r="AF340" s="2">
        <v>45733</v>
      </c>
      <c r="AG340" s="1">
        <v>61</v>
      </c>
      <c r="AH340" s="3">
        <v>5.0485968514715998</v>
      </c>
      <c r="AI340" s="4">
        <v>29.7068965517241</v>
      </c>
      <c r="AJ340" s="4">
        <v>17.282758620689702</v>
      </c>
      <c r="AK340" s="4">
        <v>25.589983347767699</v>
      </c>
      <c r="AL340" s="1">
        <v>29</v>
      </c>
      <c r="AM340" s="5">
        <v>1071.4467607168101</v>
      </c>
      <c r="AN340" s="4">
        <v>346.833341192376</v>
      </c>
      <c r="AO340" s="4">
        <v>0.32370562300299499</v>
      </c>
      <c r="AP340" s="1" t="s">
        <v>163</v>
      </c>
      <c r="AQ340" s="1" t="s">
        <v>156</v>
      </c>
      <c r="AR340" s="1" t="s">
        <v>270</v>
      </c>
      <c r="AS340" s="1">
        <v>9</v>
      </c>
      <c r="AT340" s="4">
        <v>0.96430208464512912</v>
      </c>
      <c r="AU340" s="1" t="s">
        <v>1577</v>
      </c>
      <c r="AV340" s="1" t="s">
        <v>1578</v>
      </c>
      <c r="AW340" s="1">
        <v>1116</v>
      </c>
      <c r="AX340" s="1">
        <v>698</v>
      </c>
      <c r="AY340" s="1">
        <v>336</v>
      </c>
      <c r="AZ340" s="1">
        <v>74</v>
      </c>
      <c r="BA340" s="1">
        <v>7</v>
      </c>
      <c r="BB340" s="1">
        <v>1</v>
      </c>
      <c r="BC340" s="1">
        <v>0</v>
      </c>
      <c r="BD340" s="1">
        <v>0</v>
      </c>
      <c r="BE340" s="1">
        <v>0</v>
      </c>
      <c r="BF340" s="1">
        <v>0</v>
      </c>
      <c r="BG340" s="1">
        <v>0</v>
      </c>
      <c r="BH340" s="4">
        <v>0</v>
      </c>
      <c r="BI340" s="4">
        <v>31.198</v>
      </c>
      <c r="BJ340" s="4">
        <v>17.821905000000001</v>
      </c>
      <c r="BK340" s="4">
        <v>0</v>
      </c>
      <c r="BL340" s="4">
        <v>12.843344999999999</v>
      </c>
      <c r="BM340" s="4">
        <v>164.951517</v>
      </c>
      <c r="BN340" s="4">
        <v>0.72064899999999998</v>
      </c>
      <c r="BO340" s="4">
        <v>28.030249999999999</v>
      </c>
      <c r="BP340" s="4">
        <v>-0.56917600000000002</v>
      </c>
      <c r="BQ340" s="4">
        <v>1.417751</v>
      </c>
      <c r="BR340" s="4">
        <v>12.114072</v>
      </c>
      <c r="BS340" s="4">
        <v>3.3995009999999999</v>
      </c>
      <c r="BT340" s="4">
        <v>25.785999</v>
      </c>
      <c r="BU340" s="4">
        <v>17.821905000000001</v>
      </c>
      <c r="BV340" s="4">
        <v>6.6535580000000003</v>
      </c>
      <c r="BW340" s="4">
        <v>-1.4105540000000001</v>
      </c>
      <c r="BX340" s="4">
        <v>-0.83185399999999998</v>
      </c>
      <c r="BY340" s="4">
        <v>0.373336</v>
      </c>
      <c r="BZ340" s="4">
        <v>-0.21199999999999999</v>
      </c>
      <c r="CA340" s="4">
        <v>-0.125024</v>
      </c>
      <c r="CB340" s="4">
        <v>1.15E-3</v>
      </c>
      <c r="CC340" s="4">
        <v>8.0000000000000002E-3</v>
      </c>
      <c r="CD340" s="4">
        <v>1.7999999999999999E-2</v>
      </c>
      <c r="CE340" s="4">
        <v>4.7E-2</v>
      </c>
      <c r="CF340" s="4">
        <v>0.113</v>
      </c>
      <c r="CG340" s="4">
        <v>0.89100000000000001</v>
      </c>
      <c r="CH340" s="4">
        <v>24.070999</v>
      </c>
      <c r="CI340" s="4">
        <v>25.785999</v>
      </c>
      <c r="CJ340" s="4">
        <v>26.827998999999998</v>
      </c>
      <c r="CK340" s="4">
        <v>27.778500000000001</v>
      </c>
      <c r="CL340" s="4">
        <v>28.143249999999998</v>
      </c>
      <c r="CM340" s="4">
        <v>28.568000999999999</v>
      </c>
      <c r="CN340" s="4">
        <v>29.441500000000001</v>
      </c>
      <c r="CO340" s="4">
        <v>29.861000000000001</v>
      </c>
      <c r="CP340" s="4">
        <v>30.566099000000001</v>
      </c>
      <c r="CQ340" s="4">
        <v>0.57125199999999998</v>
      </c>
      <c r="CR340" s="4">
        <v>21.964153</v>
      </c>
      <c r="CS340" s="4">
        <v>23.673351</v>
      </c>
      <c r="CT340" s="1">
        <v>20</v>
      </c>
      <c r="CU340" s="1">
        <v>508</v>
      </c>
      <c r="CV340" s="4">
        <v>130.827957</v>
      </c>
      <c r="CW340" s="4">
        <v>35.492063000000002</v>
      </c>
      <c r="CX340" s="4">
        <v>95.062107999999995</v>
      </c>
      <c r="CY340" s="4">
        <v>9036.8044549999995</v>
      </c>
      <c r="CZ340" s="4">
        <v>0.72661900000000001</v>
      </c>
      <c r="DA340" s="4">
        <v>109</v>
      </c>
      <c r="DB340" s="4">
        <v>1.506794</v>
      </c>
      <c r="DC340" s="4">
        <v>5.2249319999999999</v>
      </c>
      <c r="DD340" s="4">
        <v>71.829576000000003</v>
      </c>
      <c r="DE340" s="4">
        <v>130.827957</v>
      </c>
      <c r="DF340" s="4">
        <v>49.313305</v>
      </c>
      <c r="DG340" s="4">
        <v>14.635840999999999</v>
      </c>
      <c r="DH340" s="4">
        <v>7.5912170000000003</v>
      </c>
      <c r="DI340" s="4">
        <v>0.37693199999999999</v>
      </c>
      <c r="DJ340" s="4">
        <v>0.29679299999999997</v>
      </c>
      <c r="DK340" s="4">
        <v>0.15393899999999999</v>
      </c>
      <c r="DL340" s="4">
        <v>26</v>
      </c>
      <c r="DM340" s="4">
        <v>33</v>
      </c>
      <c r="DN340" s="4">
        <v>39</v>
      </c>
      <c r="DO340" s="4">
        <v>54</v>
      </c>
      <c r="DP340" s="4">
        <v>60</v>
      </c>
      <c r="DQ340" s="4">
        <v>67.5</v>
      </c>
      <c r="DR340" s="4">
        <v>85</v>
      </c>
      <c r="DS340" s="4">
        <v>103.5</v>
      </c>
      <c r="DT340" s="4">
        <v>131</v>
      </c>
      <c r="DU340" s="4">
        <v>157</v>
      </c>
      <c r="DV340" s="4">
        <v>169</v>
      </c>
      <c r="DW340" s="4">
        <v>186</v>
      </c>
      <c r="DX340" s="4">
        <v>256.5</v>
      </c>
      <c r="DY340" s="4">
        <v>347</v>
      </c>
      <c r="DZ340" s="4">
        <v>459.79980499999999</v>
      </c>
      <c r="EA340" s="4">
        <v>86.962750999999997</v>
      </c>
      <c r="EB340" s="4">
        <v>67.473117999999999</v>
      </c>
      <c r="EC340" s="4">
        <v>107.879656</v>
      </c>
      <c r="ED340" s="4">
        <v>607</v>
      </c>
      <c r="EE340" s="4">
        <v>753</v>
      </c>
      <c r="EF340" s="4">
        <v>83.524355</v>
      </c>
      <c r="EG340" s="4">
        <v>100</v>
      </c>
      <c r="EH340" s="4">
        <v>63.351253999999997</v>
      </c>
      <c r="EI340" s="4">
        <v>99.283153999999996</v>
      </c>
      <c r="EJ340" s="4">
        <v>101.28939800000001</v>
      </c>
      <c r="EK340" s="4">
        <v>158.73925500000001</v>
      </c>
      <c r="EL340" s="4">
        <v>583</v>
      </c>
      <c r="EM340" s="4">
        <v>698</v>
      </c>
      <c r="EN340" s="4">
        <v>707</v>
      </c>
      <c r="EO340" s="4">
        <v>1108</v>
      </c>
      <c r="EP340" s="4">
        <v>698</v>
      </c>
      <c r="EQ340" s="4">
        <v>1116</v>
      </c>
      <c r="ER340" s="4">
        <v>57.352654999999999</v>
      </c>
    </row>
    <row r="341" spans="1:148" x14ac:dyDescent="0.2">
      <c r="A341" s="1">
        <v>2025</v>
      </c>
      <c r="B341" s="1" t="str">
        <f t="shared" si="10"/>
        <v>GN</v>
      </c>
      <c r="C341" s="1" t="s">
        <v>1580</v>
      </c>
      <c r="D341" s="1" t="s">
        <v>1580</v>
      </c>
      <c r="E341" s="1">
        <v>29681</v>
      </c>
      <c r="F341" s="1" t="s">
        <v>2176</v>
      </c>
      <c r="G341" s="1" t="s">
        <v>2009</v>
      </c>
      <c r="H341" s="1" t="s">
        <v>1935</v>
      </c>
      <c r="I341" s="1">
        <v>40.549999999999997</v>
      </c>
      <c r="J341" s="1">
        <v>40.549999999999997</v>
      </c>
      <c r="K341" s="1" t="s">
        <v>192</v>
      </c>
      <c r="L341" s="1">
        <v>1</v>
      </c>
      <c r="M341" s="3">
        <v>2022</v>
      </c>
      <c r="O341" s="1">
        <v>1</v>
      </c>
      <c r="P341" s="1" t="str">
        <f t="shared" si="11"/>
        <v>Alto fuste</v>
      </c>
      <c r="Q341" s="2">
        <v>44859</v>
      </c>
      <c r="R341" s="1" t="s">
        <v>169</v>
      </c>
      <c r="S341" s="1" t="s">
        <v>163</v>
      </c>
      <c r="T341" s="1" t="s">
        <v>2268</v>
      </c>
      <c r="U341" s="1" t="s">
        <v>192</v>
      </c>
      <c r="V341" s="1" t="s">
        <v>152</v>
      </c>
      <c r="W341" s="2">
        <v>44758</v>
      </c>
      <c r="X341" s="1" t="s">
        <v>2177</v>
      </c>
      <c r="Y341" s="1">
        <v>72.19</v>
      </c>
      <c r="Z341" s="1">
        <v>21.4</v>
      </c>
      <c r="AA341" s="1">
        <v>12</v>
      </c>
      <c r="AB341" s="1">
        <v>15.5</v>
      </c>
      <c r="AC341" s="1">
        <v>1</v>
      </c>
      <c r="AD341" s="3">
        <v>331.7</v>
      </c>
      <c r="AE341" s="3">
        <v>324.402143619426</v>
      </c>
      <c r="AF341" s="2">
        <v>45728</v>
      </c>
      <c r="AG341" s="1">
        <v>29</v>
      </c>
      <c r="AH341" s="3">
        <v>2.3791923340177998</v>
      </c>
      <c r="AI341" s="4">
        <v>19.354838709677399</v>
      </c>
      <c r="AJ341" s="4">
        <v>13.3354838709677</v>
      </c>
      <c r="AK341" s="4">
        <v>13.415063992596901</v>
      </c>
      <c r="AL341" s="1">
        <v>31</v>
      </c>
      <c r="AM341" s="5">
        <v>955.60404299818003</v>
      </c>
      <c r="AN341" s="4">
        <v>117.137064000775</v>
      </c>
      <c r="AO341" s="4">
        <v>0.122579079545604</v>
      </c>
      <c r="AP341" s="1" t="s">
        <v>163</v>
      </c>
      <c r="AQ341" s="1" t="s">
        <v>156</v>
      </c>
      <c r="AR341" s="1" t="s">
        <v>270</v>
      </c>
      <c r="AS341" s="1">
        <v>9</v>
      </c>
      <c r="AT341" s="4">
        <v>0.86004363869836209</v>
      </c>
      <c r="AU341" s="1" t="s">
        <v>1579</v>
      </c>
      <c r="AV341" s="1" t="s">
        <v>1580</v>
      </c>
      <c r="AW341" s="1">
        <v>1303</v>
      </c>
      <c r="AX341" s="1">
        <v>744</v>
      </c>
      <c r="AY341" s="1">
        <v>383</v>
      </c>
      <c r="AZ341" s="1">
        <v>153</v>
      </c>
      <c r="BA341" s="1">
        <v>23</v>
      </c>
      <c r="BB341" s="1">
        <v>0</v>
      </c>
      <c r="BC341" s="1">
        <v>0</v>
      </c>
      <c r="BD341" s="1">
        <v>0</v>
      </c>
      <c r="BE341" s="1">
        <v>0</v>
      </c>
      <c r="BF341" s="1">
        <v>0</v>
      </c>
      <c r="BG341" s="1">
        <v>0</v>
      </c>
      <c r="BH341" s="4">
        <v>0</v>
      </c>
      <c r="BI341" s="4">
        <v>19.667998999999998</v>
      </c>
      <c r="BJ341" s="4">
        <v>11.607374999999999</v>
      </c>
      <c r="BK341" s="4">
        <v>0</v>
      </c>
      <c r="BL341" s="4">
        <v>6.7919270000000003</v>
      </c>
      <c r="BM341" s="4">
        <v>46.130271</v>
      </c>
      <c r="BN341" s="4">
        <v>0.58513899999999996</v>
      </c>
      <c r="BO341" s="4">
        <v>9.8949999999999996</v>
      </c>
      <c r="BP341" s="4">
        <v>-0.94186800000000004</v>
      </c>
      <c r="BQ341" s="4">
        <v>2.1875040000000001</v>
      </c>
      <c r="BR341" s="4">
        <v>5.7008460000000003</v>
      </c>
      <c r="BS341" s="4">
        <v>2.3930009999999999</v>
      </c>
      <c r="BT341" s="4">
        <v>14.516</v>
      </c>
      <c r="BU341" s="4">
        <v>11.607374999999999</v>
      </c>
      <c r="BV341" s="4">
        <v>3.507917</v>
      </c>
      <c r="BW341" s="4">
        <v>-0.99357200000000001</v>
      </c>
      <c r="BX341" s="4">
        <v>5.6737999999999997E-2</v>
      </c>
      <c r="BY341" s="4">
        <v>0.30221500000000001</v>
      </c>
      <c r="BZ341" s="4">
        <v>-0.28323700000000002</v>
      </c>
      <c r="CA341" s="4">
        <v>1.6174000000000001E-2</v>
      </c>
      <c r="CB341" s="4">
        <v>1E-3</v>
      </c>
      <c r="CC341" s="4">
        <v>0.01</v>
      </c>
      <c r="CD341" s="4">
        <v>2.5000000000000001E-2</v>
      </c>
      <c r="CE341" s="4">
        <v>9.1999999999999998E-2</v>
      </c>
      <c r="CF341" s="4">
        <v>6.6459999999999999</v>
      </c>
      <c r="CG341" s="4">
        <v>12.138201</v>
      </c>
      <c r="CH341" s="4">
        <v>13.3642</v>
      </c>
      <c r="CI341" s="4">
        <v>14.516</v>
      </c>
      <c r="CJ341" s="4">
        <v>15.463800000000001</v>
      </c>
      <c r="CK341" s="4">
        <v>16.159399000000001</v>
      </c>
      <c r="CL341" s="4">
        <v>16.541</v>
      </c>
      <c r="CM341" s="4">
        <v>16.910599000000001</v>
      </c>
      <c r="CN341" s="4">
        <v>17.724201000000001</v>
      </c>
      <c r="CO341" s="4">
        <v>18.150299</v>
      </c>
      <c r="CP341" s="4">
        <v>18.946840000000002</v>
      </c>
      <c r="CQ341" s="4">
        <v>0.59016599999999997</v>
      </c>
      <c r="CR341" s="4">
        <v>13.447157000000001</v>
      </c>
      <c r="CS341" s="4">
        <v>14.217885000000001</v>
      </c>
      <c r="CT341" s="1">
        <v>22</v>
      </c>
      <c r="CU341" s="1">
        <v>520</v>
      </c>
      <c r="CV341" s="4">
        <v>113.37145</v>
      </c>
      <c r="CW341" s="4">
        <v>53.619047999999999</v>
      </c>
      <c r="CX341" s="4">
        <v>83.85378</v>
      </c>
      <c r="CY341" s="4">
        <v>7031.4563889999999</v>
      </c>
      <c r="CZ341" s="4">
        <v>0.73963800000000002</v>
      </c>
      <c r="DA341" s="4">
        <v>82</v>
      </c>
      <c r="DB341" s="4">
        <v>2.1096200000000001</v>
      </c>
      <c r="DC341" s="4">
        <v>8.3969179999999994</v>
      </c>
      <c r="DD341" s="4">
        <v>58.706836000000003</v>
      </c>
      <c r="DE341" s="4">
        <v>113.37145</v>
      </c>
      <c r="DF341" s="4">
        <v>40.952320999999998</v>
      </c>
      <c r="DG341" s="4">
        <v>13.696547000000001</v>
      </c>
      <c r="DH341" s="4">
        <v>8.5824719999999992</v>
      </c>
      <c r="DI341" s="4">
        <v>0.36122300000000002</v>
      </c>
      <c r="DJ341" s="4">
        <v>0.334451</v>
      </c>
      <c r="DK341" s="4">
        <v>0.20957200000000001</v>
      </c>
      <c r="DL341" s="4">
        <v>26.02</v>
      </c>
      <c r="DM341" s="4">
        <v>33</v>
      </c>
      <c r="DN341" s="4">
        <v>40</v>
      </c>
      <c r="DO341" s="4">
        <v>51</v>
      </c>
      <c r="DP341" s="4">
        <v>57</v>
      </c>
      <c r="DQ341" s="4">
        <v>62</v>
      </c>
      <c r="DR341" s="4">
        <v>76</v>
      </c>
      <c r="DS341" s="4">
        <v>91</v>
      </c>
      <c r="DT341" s="4">
        <v>109</v>
      </c>
      <c r="DU341" s="4">
        <v>129</v>
      </c>
      <c r="DV341" s="4">
        <v>139</v>
      </c>
      <c r="DW341" s="4">
        <v>155</v>
      </c>
      <c r="DX341" s="4">
        <v>205</v>
      </c>
      <c r="DY341" s="4">
        <v>279.800049</v>
      </c>
      <c r="DZ341" s="4">
        <v>451.55957000000001</v>
      </c>
      <c r="EA341" s="4">
        <v>94.086022</v>
      </c>
      <c r="EB341" s="4">
        <v>76.132002999999997</v>
      </c>
      <c r="EC341" s="4">
        <v>133.33333300000001</v>
      </c>
      <c r="ED341" s="4">
        <v>700</v>
      </c>
      <c r="EE341" s="4">
        <v>992</v>
      </c>
      <c r="EF341" s="4">
        <v>92.069891999999996</v>
      </c>
      <c r="EG341" s="4">
        <v>99.731183000000001</v>
      </c>
      <c r="EH341" s="4">
        <v>72.908671999999996</v>
      </c>
      <c r="EI341" s="4">
        <v>99.462778</v>
      </c>
      <c r="EJ341" s="4">
        <v>127.68817199999999</v>
      </c>
      <c r="EK341" s="4">
        <v>174.19354799999999</v>
      </c>
      <c r="EL341" s="4">
        <v>685</v>
      </c>
      <c r="EM341" s="4">
        <v>742</v>
      </c>
      <c r="EN341" s="4">
        <v>950</v>
      </c>
      <c r="EO341" s="4">
        <v>1296</v>
      </c>
      <c r="EP341" s="4">
        <v>744</v>
      </c>
      <c r="EQ341" s="4">
        <v>1303</v>
      </c>
      <c r="ER341" s="4">
        <v>60.244511000000003</v>
      </c>
    </row>
    <row r="342" spans="1:148" x14ac:dyDescent="0.2">
      <c r="A342" s="1">
        <v>2025</v>
      </c>
      <c r="B342" s="1" t="str">
        <f t="shared" si="10"/>
        <v>GN</v>
      </c>
      <c r="C342" s="1" t="s">
        <v>1582</v>
      </c>
      <c r="D342" s="1" t="s">
        <v>1582</v>
      </c>
      <c r="E342" s="1">
        <v>29682</v>
      </c>
      <c r="F342" s="1" t="s">
        <v>2176</v>
      </c>
      <c r="G342" s="1" t="s">
        <v>2009</v>
      </c>
      <c r="H342" s="1" t="s">
        <v>1935</v>
      </c>
      <c r="I342" s="1">
        <v>40.549999999999997</v>
      </c>
      <c r="J342" s="1">
        <v>40.549999999999997</v>
      </c>
      <c r="K342" s="1" t="s">
        <v>192</v>
      </c>
      <c r="L342" s="1">
        <v>1</v>
      </c>
      <c r="M342" s="3">
        <v>2022</v>
      </c>
      <c r="O342" s="1">
        <v>1</v>
      </c>
      <c r="P342" s="1" t="str">
        <f t="shared" si="11"/>
        <v>Alto fuste</v>
      </c>
      <c r="Q342" s="2">
        <v>44859</v>
      </c>
      <c r="R342" s="1" t="s">
        <v>169</v>
      </c>
      <c r="S342" s="1" t="s">
        <v>163</v>
      </c>
      <c r="T342" s="1" t="s">
        <v>2268</v>
      </c>
      <c r="U342" s="1" t="s">
        <v>192</v>
      </c>
      <c r="V342" s="1" t="s">
        <v>152</v>
      </c>
      <c r="W342" s="2">
        <v>45728</v>
      </c>
      <c r="X342" s="1" t="s">
        <v>2177</v>
      </c>
      <c r="Y342" s="1">
        <v>72.19</v>
      </c>
      <c r="Z342" s="1">
        <v>21.4</v>
      </c>
      <c r="AA342" s="1">
        <v>16</v>
      </c>
      <c r="AB342" s="1">
        <v>15.1</v>
      </c>
      <c r="AC342" s="1">
        <v>5</v>
      </c>
      <c r="AD342" s="3">
        <v>323.14</v>
      </c>
      <c r="AE342" s="3">
        <v>309.44009353879198</v>
      </c>
      <c r="AF342" s="2">
        <v>45728</v>
      </c>
      <c r="AG342" s="1">
        <v>29</v>
      </c>
      <c r="AH342" s="3">
        <v>2.3791923340177998</v>
      </c>
      <c r="AI342" s="4">
        <v>20.8363636363636</v>
      </c>
      <c r="AJ342" s="4">
        <v>13.263636363636399</v>
      </c>
      <c r="AK342" s="4">
        <v>14.8208070962392</v>
      </c>
      <c r="AL342" s="1">
        <v>33</v>
      </c>
      <c r="AM342" s="5">
        <v>1066.44228362939</v>
      </c>
      <c r="AN342" s="4">
        <v>140.18054989121401</v>
      </c>
      <c r="AO342" s="4">
        <v>0.13144691657774701</v>
      </c>
      <c r="AP342" s="1" t="s">
        <v>163</v>
      </c>
      <c r="AQ342" s="1" t="s">
        <v>156</v>
      </c>
      <c r="AR342" s="1" t="s">
        <v>270</v>
      </c>
      <c r="AS342" s="1">
        <v>9</v>
      </c>
      <c r="AT342" s="4">
        <v>0.95979805526645101</v>
      </c>
      <c r="AU342" s="1" t="s">
        <v>1581</v>
      </c>
      <c r="AV342" s="1" t="s">
        <v>1582</v>
      </c>
      <c r="AW342" s="1">
        <v>1299</v>
      </c>
      <c r="AX342" s="1">
        <v>787</v>
      </c>
      <c r="AY342" s="1">
        <v>384</v>
      </c>
      <c r="AZ342" s="1">
        <v>121</v>
      </c>
      <c r="BA342" s="1">
        <v>7</v>
      </c>
      <c r="BB342" s="1">
        <v>0</v>
      </c>
      <c r="BC342" s="1">
        <v>0</v>
      </c>
      <c r="BD342" s="1">
        <v>0</v>
      </c>
      <c r="BE342" s="1">
        <v>0</v>
      </c>
      <c r="BF342" s="1">
        <v>0</v>
      </c>
      <c r="BG342" s="1">
        <v>0</v>
      </c>
      <c r="BH342" s="4">
        <v>0</v>
      </c>
      <c r="BI342" s="4">
        <v>21.443000999999999</v>
      </c>
      <c r="BJ342" s="4">
        <v>13.605039</v>
      </c>
      <c r="BK342" s="4">
        <v>0</v>
      </c>
      <c r="BL342" s="4">
        <v>7.0207889999999997</v>
      </c>
      <c r="BM342" s="4">
        <v>49.291482999999999</v>
      </c>
      <c r="BN342" s="4">
        <v>0.51604300000000003</v>
      </c>
      <c r="BO342" s="4">
        <v>4.6489979999999997</v>
      </c>
      <c r="BP342" s="4">
        <v>-1.205557</v>
      </c>
      <c r="BQ342" s="4">
        <v>2.7997740000000002</v>
      </c>
      <c r="BR342" s="4">
        <v>5.5393600000000003</v>
      </c>
      <c r="BS342" s="4">
        <v>2.2250000000000001</v>
      </c>
      <c r="BT342" s="4">
        <v>16.388000000000002</v>
      </c>
      <c r="BU342" s="4">
        <v>13.605039</v>
      </c>
      <c r="BV342" s="4">
        <v>3.502151</v>
      </c>
      <c r="BW342" s="4">
        <v>-1.2212350000000001</v>
      </c>
      <c r="BX342" s="4">
        <v>0.321768</v>
      </c>
      <c r="BY342" s="4">
        <v>0.25741599999999998</v>
      </c>
      <c r="BZ342" s="4">
        <v>-0.34871000000000002</v>
      </c>
      <c r="CA342" s="4">
        <v>9.1877E-2</v>
      </c>
      <c r="CB342" s="4">
        <v>3.0000000000000001E-3</v>
      </c>
      <c r="CC342" s="4">
        <v>2.18E-2</v>
      </c>
      <c r="CD342" s="4">
        <v>5.3600000000000002E-2</v>
      </c>
      <c r="CE342" s="4">
        <v>3.7635999999999998</v>
      </c>
      <c r="CF342" s="4">
        <v>13.6805</v>
      </c>
      <c r="CG342" s="4">
        <v>14.289</v>
      </c>
      <c r="CH342" s="4">
        <v>15.327199999999999</v>
      </c>
      <c r="CI342" s="4">
        <v>16.388000000000002</v>
      </c>
      <c r="CJ342" s="4">
        <v>17.504598999999999</v>
      </c>
      <c r="CK342" s="4">
        <v>18.045200000000001</v>
      </c>
      <c r="CL342" s="4">
        <v>18.329498000000001</v>
      </c>
      <c r="CM342" s="4">
        <v>18.6814</v>
      </c>
      <c r="CN342" s="4">
        <v>19.402199</v>
      </c>
      <c r="CO342" s="4">
        <v>19.920000000000002</v>
      </c>
      <c r="CP342" s="4">
        <v>20.641562</v>
      </c>
      <c r="CQ342" s="4">
        <v>0.63447500000000001</v>
      </c>
      <c r="CR342" s="4">
        <v>15.308514000000001</v>
      </c>
      <c r="CS342" s="4">
        <v>16.020361999999999</v>
      </c>
      <c r="CT342" s="1">
        <v>23</v>
      </c>
      <c r="CU342" s="1">
        <v>373</v>
      </c>
      <c r="CV342" s="4">
        <v>81.313317999999995</v>
      </c>
      <c r="CW342" s="4">
        <v>39.666666999999997</v>
      </c>
      <c r="CX342" s="4">
        <v>48.208373999999999</v>
      </c>
      <c r="CY342" s="4">
        <v>2324.0473649999999</v>
      </c>
      <c r="CZ342" s="4">
        <v>0.59287199999999995</v>
      </c>
      <c r="DA342" s="4">
        <v>50</v>
      </c>
      <c r="DB342" s="4">
        <v>2.2097669999999998</v>
      </c>
      <c r="DC342" s="4">
        <v>10.233511</v>
      </c>
      <c r="DD342" s="4">
        <v>33.962105999999999</v>
      </c>
      <c r="DE342" s="4">
        <v>81.313317999999995</v>
      </c>
      <c r="DF342" s="4">
        <v>23.793507000000002</v>
      </c>
      <c r="DG342" s="4">
        <v>6.904509</v>
      </c>
      <c r="DH342" s="4">
        <v>4.5890870000000001</v>
      </c>
      <c r="DI342" s="4">
        <v>0.29261500000000001</v>
      </c>
      <c r="DJ342" s="4">
        <v>0.29018500000000003</v>
      </c>
      <c r="DK342" s="4">
        <v>0.19287099999999999</v>
      </c>
      <c r="DL342" s="4">
        <v>26</v>
      </c>
      <c r="DM342" s="4">
        <v>32</v>
      </c>
      <c r="DN342" s="4">
        <v>37</v>
      </c>
      <c r="DO342" s="4">
        <v>44</v>
      </c>
      <c r="DP342" s="4">
        <v>48</v>
      </c>
      <c r="DQ342" s="4">
        <v>53</v>
      </c>
      <c r="DR342" s="4">
        <v>60.200012000000001</v>
      </c>
      <c r="DS342" s="4">
        <v>71</v>
      </c>
      <c r="DT342" s="4">
        <v>81</v>
      </c>
      <c r="DU342" s="4">
        <v>92</v>
      </c>
      <c r="DV342" s="4">
        <v>98</v>
      </c>
      <c r="DW342" s="4">
        <v>107</v>
      </c>
      <c r="DX342" s="4">
        <v>135</v>
      </c>
      <c r="DY342" s="4">
        <v>165.099976</v>
      </c>
      <c r="DZ342" s="4">
        <v>279.24023399999999</v>
      </c>
      <c r="EA342" s="4">
        <v>96.315121000000005</v>
      </c>
      <c r="EB342" s="4">
        <v>80.446496999999994</v>
      </c>
      <c r="EC342" s="4">
        <v>132.78271899999999</v>
      </c>
      <c r="ED342" s="4">
        <v>758</v>
      </c>
      <c r="EE342" s="4">
        <v>1045</v>
      </c>
      <c r="EF342" s="4">
        <v>93.265564999999995</v>
      </c>
      <c r="EG342" s="4">
        <v>100</v>
      </c>
      <c r="EH342" s="4">
        <v>75.519630000000006</v>
      </c>
      <c r="EI342" s="4">
        <v>99.692070999999999</v>
      </c>
      <c r="EJ342" s="4">
        <v>124.650572</v>
      </c>
      <c r="EK342" s="4">
        <v>164.54892000000001</v>
      </c>
      <c r="EL342" s="4">
        <v>734</v>
      </c>
      <c r="EM342" s="4">
        <v>787</v>
      </c>
      <c r="EN342" s="4">
        <v>981</v>
      </c>
      <c r="EO342" s="4">
        <v>1295</v>
      </c>
      <c r="EP342" s="4">
        <v>787</v>
      </c>
      <c r="EQ342" s="4">
        <v>1299</v>
      </c>
      <c r="ER342" s="4">
        <v>64.858604999999997</v>
      </c>
    </row>
    <row r="343" spans="1:148" x14ac:dyDescent="0.2">
      <c r="A343" s="1">
        <v>2025</v>
      </c>
      <c r="B343" s="1" t="str">
        <f t="shared" si="10"/>
        <v>GN</v>
      </c>
      <c r="C343" s="1" t="s">
        <v>1584</v>
      </c>
      <c r="D343" s="1" t="s">
        <v>1584</v>
      </c>
      <c r="E343" s="1">
        <v>27329</v>
      </c>
      <c r="F343" s="1" t="s">
        <v>2178</v>
      </c>
      <c r="G343" s="1" t="s">
        <v>2010</v>
      </c>
      <c r="H343" s="1" t="s">
        <v>1936</v>
      </c>
      <c r="I343" s="1">
        <v>58.36</v>
      </c>
      <c r="J343" s="1">
        <v>58.36</v>
      </c>
      <c r="K343" s="1" t="s">
        <v>192</v>
      </c>
      <c r="L343" s="1">
        <v>1</v>
      </c>
      <c r="M343" s="3">
        <v>2019</v>
      </c>
      <c r="O343" s="1">
        <v>1</v>
      </c>
      <c r="P343" s="1" t="str">
        <f t="shared" si="11"/>
        <v>Alto fuste</v>
      </c>
      <c r="Q343" s="2">
        <v>43644</v>
      </c>
      <c r="R343" s="1" t="s">
        <v>169</v>
      </c>
      <c r="S343" s="1" t="s">
        <v>651</v>
      </c>
      <c r="T343" s="1" t="s">
        <v>2268</v>
      </c>
      <c r="U343" s="1" t="s">
        <v>192</v>
      </c>
      <c r="V343" s="1" t="s">
        <v>152</v>
      </c>
      <c r="W343" s="2">
        <v>44759</v>
      </c>
      <c r="X343" s="1" t="s">
        <v>2179</v>
      </c>
      <c r="Y343" s="1">
        <v>386.79</v>
      </c>
      <c r="Z343" s="1">
        <v>20.7</v>
      </c>
      <c r="AA343" s="1">
        <v>9</v>
      </c>
      <c r="AB343" s="1">
        <v>15</v>
      </c>
      <c r="AC343" s="1">
        <v>4</v>
      </c>
      <c r="AD343" s="3">
        <v>310.5</v>
      </c>
      <c r="AE343" s="3">
        <v>305.93017943665097</v>
      </c>
      <c r="AF343" s="2">
        <v>45727</v>
      </c>
      <c r="AG343" s="1">
        <v>69</v>
      </c>
      <c r="AH343" s="3">
        <v>5.7029431895961702</v>
      </c>
      <c r="AI343" s="4">
        <v>31.841176470588199</v>
      </c>
      <c r="AJ343" s="4">
        <v>18.044117647058801</v>
      </c>
      <c r="AK343" s="4">
        <v>29.287173039575698</v>
      </c>
      <c r="AL343" s="1">
        <v>34</v>
      </c>
      <c r="AM343" s="5">
        <v>1111.3646931665501</v>
      </c>
      <c r="AN343" s="4">
        <v>432.85937674292899</v>
      </c>
      <c r="AO343" s="4">
        <v>0.38948454940529798</v>
      </c>
      <c r="AP343" s="1" t="s">
        <v>651</v>
      </c>
      <c r="AQ343" s="1" t="s">
        <v>156</v>
      </c>
      <c r="AR343" s="1" t="s">
        <v>270</v>
      </c>
      <c r="AS343" s="1">
        <v>9</v>
      </c>
      <c r="AT343" s="4">
        <v>1.0002282238498952</v>
      </c>
      <c r="AU343" s="1" t="s">
        <v>1583</v>
      </c>
      <c r="AV343" s="1" t="s">
        <v>1584</v>
      </c>
      <c r="AW343" s="1">
        <v>1357</v>
      </c>
      <c r="AX343" s="1">
        <v>836</v>
      </c>
      <c r="AY343" s="1">
        <v>396</v>
      </c>
      <c r="AZ343" s="1">
        <v>120</v>
      </c>
      <c r="BA343" s="1">
        <v>4</v>
      </c>
      <c r="BB343" s="1">
        <v>1</v>
      </c>
      <c r="BC343" s="1">
        <v>0</v>
      </c>
      <c r="BD343" s="1">
        <v>0</v>
      </c>
      <c r="BE343" s="1">
        <v>0</v>
      </c>
      <c r="BF343" s="1">
        <v>0</v>
      </c>
      <c r="BG343" s="1">
        <v>0</v>
      </c>
      <c r="BH343" s="4">
        <v>0</v>
      </c>
      <c r="BI343" s="4">
        <v>33.835999000000001</v>
      </c>
      <c r="BJ343" s="4">
        <v>19.616267000000001</v>
      </c>
      <c r="BK343" s="4">
        <v>0</v>
      </c>
      <c r="BL343" s="4">
        <v>12.775544</v>
      </c>
      <c r="BM343" s="4">
        <v>163.21453500000001</v>
      </c>
      <c r="BN343" s="4">
        <v>0.65127299999999999</v>
      </c>
      <c r="BO343" s="4">
        <v>29.005001</v>
      </c>
      <c r="BP343" s="4">
        <v>-0.70554399999999995</v>
      </c>
      <c r="BQ343" s="4">
        <v>1.727258</v>
      </c>
      <c r="BR343" s="4">
        <v>11.425932</v>
      </c>
      <c r="BS343" s="4">
        <v>4.5730000000000004</v>
      </c>
      <c r="BT343" s="4">
        <v>26.388999999999999</v>
      </c>
      <c r="BU343" s="4">
        <v>19.616267000000001</v>
      </c>
      <c r="BV343" s="4">
        <v>6.7442209999999996</v>
      </c>
      <c r="BW343" s="4">
        <v>-1.612074</v>
      </c>
      <c r="BX343" s="4">
        <v>-0.470273</v>
      </c>
      <c r="BY343" s="4">
        <v>0.343808</v>
      </c>
      <c r="BZ343" s="4">
        <v>-0.23902999999999999</v>
      </c>
      <c r="CA343" s="4">
        <v>-6.973E-2</v>
      </c>
      <c r="CB343" s="4">
        <v>1.56E-3</v>
      </c>
      <c r="CC343" s="4">
        <v>1.38E-2</v>
      </c>
      <c r="CD343" s="4">
        <v>3.1E-2</v>
      </c>
      <c r="CE343" s="4">
        <v>0.1356</v>
      </c>
      <c r="CF343" s="4">
        <v>0.77800000000000002</v>
      </c>
      <c r="CG343" s="4">
        <v>15.165998</v>
      </c>
      <c r="CH343" s="4">
        <v>23.145603000000001</v>
      </c>
      <c r="CI343" s="4">
        <v>26.388999999999999</v>
      </c>
      <c r="CJ343" s="4">
        <v>28.087799</v>
      </c>
      <c r="CK343" s="4">
        <v>29.244199999999999</v>
      </c>
      <c r="CL343" s="4">
        <v>29.783000999999999</v>
      </c>
      <c r="CM343" s="4">
        <v>30.286200999999998</v>
      </c>
      <c r="CN343" s="4">
        <v>31.262599999999999</v>
      </c>
      <c r="CO343" s="4">
        <v>32.022998999999999</v>
      </c>
      <c r="CP343" s="4">
        <v>33.191833000000003</v>
      </c>
      <c r="CQ343" s="4">
        <v>0.57974499999999995</v>
      </c>
      <c r="CR343" s="4">
        <v>23.407097</v>
      </c>
      <c r="CS343" s="4">
        <v>25.027225000000001</v>
      </c>
      <c r="CT343" s="1">
        <v>24</v>
      </c>
      <c r="CU343" s="1">
        <v>465</v>
      </c>
      <c r="CV343" s="4">
        <v>119.747973</v>
      </c>
      <c r="CW343" s="4">
        <v>38</v>
      </c>
      <c r="CX343" s="4">
        <v>83.427109000000002</v>
      </c>
      <c r="CY343" s="4">
        <v>6960.082453</v>
      </c>
      <c r="CZ343" s="4">
        <v>0.696689</v>
      </c>
      <c r="DA343" s="4">
        <v>100</v>
      </c>
      <c r="DB343" s="4">
        <v>1.4671460000000001</v>
      </c>
      <c r="DC343" s="4">
        <v>5.2188920000000003</v>
      </c>
      <c r="DD343" s="4">
        <v>63.516384000000002</v>
      </c>
      <c r="DE343" s="4">
        <v>119.747973</v>
      </c>
      <c r="DF343" s="4">
        <v>43.590981999999997</v>
      </c>
      <c r="DG343" s="4">
        <v>12.382384</v>
      </c>
      <c r="DH343" s="4">
        <v>6.1044239999999999</v>
      </c>
      <c r="DI343" s="4">
        <v>0.36402299999999999</v>
      </c>
      <c r="DJ343" s="4">
        <v>0.28405799999999998</v>
      </c>
      <c r="DK343" s="4">
        <v>0.140039</v>
      </c>
      <c r="DL343" s="4">
        <v>26.560001</v>
      </c>
      <c r="DM343" s="4">
        <v>33</v>
      </c>
      <c r="DN343" s="4">
        <v>39</v>
      </c>
      <c r="DO343" s="4">
        <v>50</v>
      </c>
      <c r="DP343" s="4">
        <v>57</v>
      </c>
      <c r="DQ343" s="4">
        <v>62</v>
      </c>
      <c r="DR343" s="4">
        <v>81</v>
      </c>
      <c r="DS343" s="4">
        <v>97</v>
      </c>
      <c r="DT343" s="4">
        <v>120</v>
      </c>
      <c r="DU343" s="4">
        <v>142.20001199999999</v>
      </c>
      <c r="DV343" s="4">
        <v>157</v>
      </c>
      <c r="DW343" s="4">
        <v>177</v>
      </c>
      <c r="DX343" s="4">
        <v>225.800049</v>
      </c>
      <c r="DY343" s="4">
        <v>295.99975599999999</v>
      </c>
      <c r="DZ343" s="4">
        <v>398.75976600000001</v>
      </c>
      <c r="EA343" s="4">
        <v>89.593300999999997</v>
      </c>
      <c r="EB343" s="4">
        <v>72.365511999999995</v>
      </c>
      <c r="EC343" s="4">
        <v>117.46411500000001</v>
      </c>
      <c r="ED343" s="4">
        <v>749</v>
      </c>
      <c r="EE343" s="4">
        <v>982</v>
      </c>
      <c r="EF343" s="4">
        <v>84.090908999999996</v>
      </c>
      <c r="EG343" s="4">
        <v>100</v>
      </c>
      <c r="EH343" s="4">
        <v>64.554164</v>
      </c>
      <c r="EI343" s="4">
        <v>99.926308000000006</v>
      </c>
      <c r="EJ343" s="4">
        <v>104.784689</v>
      </c>
      <c r="EK343" s="4">
        <v>162.20095699999999</v>
      </c>
      <c r="EL343" s="4">
        <v>703</v>
      </c>
      <c r="EM343" s="4">
        <v>836</v>
      </c>
      <c r="EN343" s="4">
        <v>876</v>
      </c>
      <c r="EO343" s="4">
        <v>1356</v>
      </c>
      <c r="EP343" s="4">
        <v>836</v>
      </c>
      <c r="EQ343" s="4">
        <v>1357</v>
      </c>
      <c r="ER343" s="4">
        <v>58.092320000000001</v>
      </c>
    </row>
    <row r="344" spans="1:148" x14ac:dyDescent="0.2">
      <c r="A344" s="1">
        <v>2025</v>
      </c>
      <c r="B344" s="1" t="str">
        <f t="shared" si="10"/>
        <v>GN</v>
      </c>
      <c r="C344" s="1" t="s">
        <v>1586</v>
      </c>
      <c r="D344" s="1" t="s">
        <v>1586</v>
      </c>
      <c r="E344" s="1">
        <v>27861</v>
      </c>
      <c r="F344" s="1" t="s">
        <v>2180</v>
      </c>
      <c r="G344" s="1" t="s">
        <v>2011</v>
      </c>
      <c r="H344" s="1" t="s">
        <v>1937</v>
      </c>
      <c r="I344" s="1">
        <v>44.78</v>
      </c>
      <c r="J344" s="1">
        <v>44.78</v>
      </c>
      <c r="K344" s="1" t="s">
        <v>192</v>
      </c>
      <c r="L344" s="1">
        <v>1</v>
      </c>
      <c r="M344" s="3">
        <v>2020</v>
      </c>
      <c r="O344" s="1">
        <v>1</v>
      </c>
      <c r="P344" s="1" t="str">
        <f t="shared" si="11"/>
        <v>Alto fuste</v>
      </c>
      <c r="Q344" s="2">
        <v>44187</v>
      </c>
      <c r="R344" s="1" t="s">
        <v>169</v>
      </c>
      <c r="S344" s="1" t="s">
        <v>651</v>
      </c>
      <c r="T344" s="1" t="s">
        <v>2268</v>
      </c>
      <c r="U344" s="1" t="s">
        <v>192</v>
      </c>
      <c r="V344" s="1" t="s">
        <v>152</v>
      </c>
      <c r="W344" s="2">
        <v>45727</v>
      </c>
      <c r="X344" s="1" t="s">
        <v>2181</v>
      </c>
      <c r="Y344" s="1">
        <v>83.440000000000012</v>
      </c>
      <c r="Z344" s="1">
        <v>19.3</v>
      </c>
      <c r="AA344" s="1">
        <v>3</v>
      </c>
      <c r="AB344" s="1">
        <v>15.3</v>
      </c>
      <c r="AC344" s="1">
        <v>1</v>
      </c>
      <c r="AD344" s="3">
        <v>295.29000000000002</v>
      </c>
      <c r="AE344" s="3">
        <v>294.84040285584598</v>
      </c>
      <c r="AF344" s="2">
        <v>45727</v>
      </c>
      <c r="AG344" s="1">
        <v>51</v>
      </c>
      <c r="AH344" s="3">
        <v>4.2162902121834396</v>
      </c>
      <c r="AI344" s="4">
        <v>27.0521739130435</v>
      </c>
      <c r="AJ344" s="4">
        <v>18.021739130434799</v>
      </c>
      <c r="AK344" s="4">
        <v>20.023230521558901</v>
      </c>
      <c r="AL344" s="1">
        <v>23</v>
      </c>
      <c r="AM344" s="5">
        <v>780.08304754776805</v>
      </c>
      <c r="AN344" s="4">
        <v>240.769043931478</v>
      </c>
      <c r="AO344" s="4">
        <v>0.30864539959988702</v>
      </c>
      <c r="AP344" s="1" t="s">
        <v>651</v>
      </c>
      <c r="AQ344" s="1" t="s">
        <v>156</v>
      </c>
      <c r="AR344" s="1" t="s">
        <v>270</v>
      </c>
      <c r="AS344" s="1">
        <v>9</v>
      </c>
      <c r="AT344" s="4">
        <v>0.70207474279299131</v>
      </c>
      <c r="AU344" s="1" t="s">
        <v>1585</v>
      </c>
      <c r="AV344" s="1" t="s">
        <v>1586</v>
      </c>
      <c r="AW344" s="1">
        <v>1125</v>
      </c>
      <c r="AX344" s="1">
        <v>699</v>
      </c>
      <c r="AY344" s="1">
        <v>338</v>
      </c>
      <c r="AZ344" s="1">
        <v>77</v>
      </c>
      <c r="BA344" s="1">
        <v>11</v>
      </c>
      <c r="BB344" s="1">
        <v>0</v>
      </c>
      <c r="BC344" s="1">
        <v>0</v>
      </c>
      <c r="BD344" s="1">
        <v>0</v>
      </c>
      <c r="BE344" s="1">
        <v>0</v>
      </c>
      <c r="BF344" s="1">
        <v>0</v>
      </c>
      <c r="BG344" s="1">
        <v>0</v>
      </c>
      <c r="BH344" s="4">
        <v>0</v>
      </c>
      <c r="BI344" s="4">
        <v>28.614999999999998</v>
      </c>
      <c r="BJ344" s="4">
        <v>17.889893000000001</v>
      </c>
      <c r="BK344" s="4">
        <v>0</v>
      </c>
      <c r="BL344" s="4">
        <v>10.884589999999999</v>
      </c>
      <c r="BM344" s="4">
        <v>118.4743</v>
      </c>
      <c r="BN344" s="4">
        <v>0.60842099999999999</v>
      </c>
      <c r="BO344" s="4">
        <v>25.255998999999999</v>
      </c>
      <c r="BP344" s="4">
        <v>-0.95404999999999995</v>
      </c>
      <c r="BQ344" s="4">
        <v>2.0221689999999999</v>
      </c>
      <c r="BR344" s="4">
        <v>9.5877160000000003</v>
      </c>
      <c r="BS344" s="4">
        <v>2.2860010000000002</v>
      </c>
      <c r="BT344" s="4">
        <v>23.573999000000001</v>
      </c>
      <c r="BU344" s="4">
        <v>17.889893000000001</v>
      </c>
      <c r="BV344" s="4">
        <v>5.3807159999999996</v>
      </c>
      <c r="BW344" s="4">
        <v>-1.8102579999999999</v>
      </c>
      <c r="BX344" s="4">
        <v>-4.0201000000000001E-2</v>
      </c>
      <c r="BY344" s="4">
        <v>0.30076799999999998</v>
      </c>
      <c r="BZ344" s="4">
        <v>-0.33643400000000001</v>
      </c>
      <c r="CA344" s="4">
        <v>-7.4710000000000002E-3</v>
      </c>
      <c r="CB344" s="4">
        <v>1E-3</v>
      </c>
      <c r="CC344" s="4">
        <v>7.0000000000000001E-3</v>
      </c>
      <c r="CD344" s="4">
        <v>1.2999999999999999E-2</v>
      </c>
      <c r="CE344" s="4">
        <v>3.6799999999999999E-2</v>
      </c>
      <c r="CF344" s="4">
        <v>0.25900000000000001</v>
      </c>
      <c r="CG344" s="4">
        <v>20.980399999999999</v>
      </c>
      <c r="CH344" s="4">
        <v>22.736598999999998</v>
      </c>
      <c r="CI344" s="4">
        <v>23.573999000000001</v>
      </c>
      <c r="CJ344" s="4">
        <v>24.3934</v>
      </c>
      <c r="CK344" s="4">
        <v>25.237998999999999</v>
      </c>
      <c r="CL344" s="4">
        <v>25.514999</v>
      </c>
      <c r="CM344" s="4">
        <v>25.837399999999999</v>
      </c>
      <c r="CN344" s="4">
        <v>26.500401</v>
      </c>
      <c r="CO344" s="4">
        <v>26.920798999999999</v>
      </c>
      <c r="CP344" s="4">
        <v>27.724321</v>
      </c>
      <c r="CQ344" s="4">
        <v>0.625193</v>
      </c>
      <c r="CR344" s="4">
        <v>20.938416</v>
      </c>
      <c r="CS344" s="4">
        <v>22.137737000000001</v>
      </c>
      <c r="CT344" s="1">
        <v>22</v>
      </c>
      <c r="CU344" s="1">
        <v>576</v>
      </c>
      <c r="CV344" s="4">
        <v>144.35466700000001</v>
      </c>
      <c r="CW344" s="4">
        <v>39.587302000000001</v>
      </c>
      <c r="CX344" s="4">
        <v>113.16762199999999</v>
      </c>
      <c r="CY344" s="4">
        <v>12806.91058</v>
      </c>
      <c r="CZ344" s="4">
        <v>0.78395499999999996</v>
      </c>
      <c r="DA344" s="4">
        <v>109</v>
      </c>
      <c r="DB344" s="4">
        <v>1.7766329999999999</v>
      </c>
      <c r="DC344" s="4">
        <v>6.0132339999999997</v>
      </c>
      <c r="DD344" s="4">
        <v>80.440443000000002</v>
      </c>
      <c r="DE344" s="4">
        <v>144.35466700000001</v>
      </c>
      <c r="DF344" s="4">
        <v>56.425775000000002</v>
      </c>
      <c r="DG344" s="4">
        <v>18.789014999999999</v>
      </c>
      <c r="DH344" s="4">
        <v>11.436844000000001</v>
      </c>
      <c r="DI344" s="4">
        <v>0.39088299999999998</v>
      </c>
      <c r="DJ344" s="4">
        <v>0.332986</v>
      </c>
      <c r="DK344" s="4">
        <v>0.20268800000000001</v>
      </c>
      <c r="DL344" s="4">
        <v>26.24</v>
      </c>
      <c r="DM344" s="4">
        <v>35</v>
      </c>
      <c r="DN344" s="4">
        <v>42</v>
      </c>
      <c r="DO344" s="4">
        <v>57</v>
      </c>
      <c r="DP344" s="4">
        <v>65</v>
      </c>
      <c r="DQ344" s="4">
        <v>75</v>
      </c>
      <c r="DR344" s="4">
        <v>95</v>
      </c>
      <c r="DS344" s="4">
        <v>116</v>
      </c>
      <c r="DT344" s="4">
        <v>138</v>
      </c>
      <c r="DU344" s="4">
        <v>161.79998800000001</v>
      </c>
      <c r="DV344" s="4">
        <v>174</v>
      </c>
      <c r="DW344" s="4">
        <v>196</v>
      </c>
      <c r="DX344" s="4">
        <v>285.59997600000003</v>
      </c>
      <c r="DY344" s="4">
        <v>443.800049</v>
      </c>
      <c r="DZ344" s="4">
        <v>524.04003899999998</v>
      </c>
      <c r="EA344" s="4">
        <v>90.557940000000002</v>
      </c>
      <c r="EB344" s="4">
        <v>74.222222000000002</v>
      </c>
      <c r="EC344" s="4">
        <v>119.456366</v>
      </c>
      <c r="ED344" s="4">
        <v>633</v>
      </c>
      <c r="EE344" s="4">
        <v>835</v>
      </c>
      <c r="EF344" s="4">
        <v>88.125894000000002</v>
      </c>
      <c r="EG344" s="4">
        <v>99.713876999999997</v>
      </c>
      <c r="EH344" s="4">
        <v>71.822221999999996</v>
      </c>
      <c r="EI344" s="4">
        <v>99.377778000000006</v>
      </c>
      <c r="EJ344" s="4">
        <v>115.593705</v>
      </c>
      <c r="EK344" s="4">
        <v>159.94277500000001</v>
      </c>
      <c r="EL344" s="4">
        <v>616</v>
      </c>
      <c r="EM344" s="4">
        <v>697</v>
      </c>
      <c r="EN344" s="4">
        <v>808</v>
      </c>
      <c r="EO344" s="4">
        <v>1118</v>
      </c>
      <c r="EP344" s="4">
        <v>699</v>
      </c>
      <c r="EQ344" s="4">
        <v>1125</v>
      </c>
      <c r="ER344" s="4">
        <v>63.554555000000001</v>
      </c>
    </row>
    <row r="345" spans="1:148" x14ac:dyDescent="0.2">
      <c r="A345" s="1">
        <v>2025</v>
      </c>
      <c r="B345" s="1" t="str">
        <f t="shared" si="10"/>
        <v>GN</v>
      </c>
      <c r="C345" s="1" t="s">
        <v>1588</v>
      </c>
      <c r="D345" s="1" t="s">
        <v>1588</v>
      </c>
      <c r="E345" s="1">
        <v>27862</v>
      </c>
      <c r="F345" s="1" t="s">
        <v>2180</v>
      </c>
      <c r="G345" s="1" t="s">
        <v>2011</v>
      </c>
      <c r="H345" s="1" t="s">
        <v>1937</v>
      </c>
      <c r="I345" s="1">
        <v>44.78</v>
      </c>
      <c r="J345" s="1">
        <v>44.78</v>
      </c>
      <c r="K345" s="1" t="s">
        <v>192</v>
      </c>
      <c r="L345" s="1">
        <v>1</v>
      </c>
      <c r="M345" s="3">
        <v>2020</v>
      </c>
      <c r="O345" s="1">
        <v>1</v>
      </c>
      <c r="P345" s="1" t="str">
        <f t="shared" si="11"/>
        <v>Alto fuste</v>
      </c>
      <c r="Q345" s="2">
        <v>44187</v>
      </c>
      <c r="R345" s="1" t="s">
        <v>169</v>
      </c>
      <c r="S345" s="1" t="s">
        <v>651</v>
      </c>
      <c r="T345" s="1" t="s">
        <v>2268</v>
      </c>
      <c r="U345" s="1" t="s">
        <v>192</v>
      </c>
      <c r="V345" s="1" t="s">
        <v>152</v>
      </c>
      <c r="W345" s="2">
        <v>44760</v>
      </c>
      <c r="X345" s="1" t="s">
        <v>2181</v>
      </c>
      <c r="Y345" s="1">
        <v>83.440000000000012</v>
      </c>
      <c r="Z345" s="1">
        <v>19.100000000000001</v>
      </c>
      <c r="AA345" s="1">
        <v>5</v>
      </c>
      <c r="AB345" s="1">
        <v>16</v>
      </c>
      <c r="AC345" s="1">
        <v>1</v>
      </c>
      <c r="AD345" s="3">
        <v>305.60000000000002</v>
      </c>
      <c r="AE345" s="3">
        <v>304.39073249197298</v>
      </c>
      <c r="AF345" s="2">
        <v>45727</v>
      </c>
      <c r="AG345" s="1">
        <v>51</v>
      </c>
      <c r="AH345" s="3">
        <v>4.2162902121834396</v>
      </c>
      <c r="AI345" s="4">
        <v>29.086412424107198</v>
      </c>
      <c r="AJ345" s="4">
        <v>18.007999999999999</v>
      </c>
      <c r="AK345" s="4">
        <v>21.065721895685101</v>
      </c>
      <c r="AL345" s="1">
        <v>25</v>
      </c>
      <c r="AM345" s="5">
        <v>821.31278424054005</v>
      </c>
      <c r="AN345" s="4">
        <v>274.37021828667901</v>
      </c>
      <c r="AO345" s="4">
        <v>0.33406300687306001</v>
      </c>
      <c r="AP345" s="1" t="s">
        <v>651</v>
      </c>
      <c r="AQ345" s="1" t="s">
        <v>156</v>
      </c>
      <c r="AR345" s="1" t="s">
        <v>270</v>
      </c>
      <c r="AS345" s="1">
        <v>9</v>
      </c>
      <c r="AT345" s="4">
        <v>0.73918150581648612</v>
      </c>
      <c r="AU345" s="1" t="s">
        <v>1587</v>
      </c>
      <c r="AV345" s="1" t="s">
        <v>1588</v>
      </c>
      <c r="AW345" s="1">
        <v>1184</v>
      </c>
      <c r="AX345" s="1">
        <v>731</v>
      </c>
      <c r="AY345" s="1">
        <v>354</v>
      </c>
      <c r="AZ345" s="1">
        <v>89</v>
      </c>
      <c r="BA345" s="1">
        <v>10</v>
      </c>
      <c r="BB345" s="1">
        <v>0</v>
      </c>
      <c r="BC345" s="1">
        <v>0</v>
      </c>
      <c r="BD345" s="1">
        <v>0</v>
      </c>
      <c r="BE345" s="1">
        <v>0</v>
      </c>
      <c r="BF345" s="1">
        <v>0</v>
      </c>
      <c r="BG345" s="1">
        <v>0</v>
      </c>
      <c r="BH345" s="4">
        <v>0</v>
      </c>
      <c r="BI345" s="4">
        <v>28.489000000000001</v>
      </c>
      <c r="BJ345" s="4">
        <v>17.810433</v>
      </c>
      <c r="BK345" s="4">
        <v>0</v>
      </c>
      <c r="BL345" s="4">
        <v>11.043244</v>
      </c>
      <c r="BM345" s="4">
        <v>121.953232</v>
      </c>
      <c r="BN345" s="4">
        <v>0.62004400000000004</v>
      </c>
      <c r="BO345" s="4">
        <v>24.736999000000001</v>
      </c>
      <c r="BP345" s="4">
        <v>-0.91230100000000003</v>
      </c>
      <c r="BQ345" s="4">
        <v>1.936409</v>
      </c>
      <c r="BR345" s="4">
        <v>9.8150040000000001</v>
      </c>
      <c r="BS345" s="4">
        <v>2.3050000000000002</v>
      </c>
      <c r="BT345" s="4">
        <v>23.764999</v>
      </c>
      <c r="BU345" s="4">
        <v>17.810433</v>
      </c>
      <c r="BV345" s="4">
        <v>5.4863119999999999</v>
      </c>
      <c r="BW345" s="4">
        <v>-1.782802</v>
      </c>
      <c r="BX345" s="4">
        <v>-0.119648</v>
      </c>
      <c r="BY345" s="4">
        <v>0.30803900000000001</v>
      </c>
      <c r="BZ345" s="4">
        <v>-0.32495499999999999</v>
      </c>
      <c r="CA345" s="4">
        <v>-2.1808999999999999E-2</v>
      </c>
      <c r="CB345" s="4">
        <v>1E-3</v>
      </c>
      <c r="CC345" s="4">
        <v>7.0000000000000001E-3</v>
      </c>
      <c r="CD345" s="4">
        <v>1.4E-2</v>
      </c>
      <c r="CE345" s="4">
        <v>0.04</v>
      </c>
      <c r="CF345" s="4">
        <v>0.91</v>
      </c>
      <c r="CG345" s="4">
        <v>20.527799999999999</v>
      </c>
      <c r="CH345" s="4">
        <v>22.736401000000001</v>
      </c>
      <c r="CI345" s="4">
        <v>23.764999</v>
      </c>
      <c r="CJ345" s="4">
        <v>24.637198999999999</v>
      </c>
      <c r="CK345" s="4">
        <v>25.308001000000001</v>
      </c>
      <c r="CL345" s="4">
        <v>25.646999000000001</v>
      </c>
      <c r="CM345" s="4">
        <v>25.922201000000001</v>
      </c>
      <c r="CN345" s="4">
        <v>26.636399999999998</v>
      </c>
      <c r="CO345" s="4">
        <v>27.060998999999999</v>
      </c>
      <c r="CP345" s="4">
        <v>27.821950999999999</v>
      </c>
      <c r="CQ345" s="4">
        <v>0.62516899999999997</v>
      </c>
      <c r="CR345" s="4">
        <v>20.953800999999999</v>
      </c>
      <c r="CS345" s="4">
        <v>22.194330999999998</v>
      </c>
      <c r="CT345" s="1">
        <v>22</v>
      </c>
      <c r="CU345" s="1">
        <v>630</v>
      </c>
      <c r="CV345" s="4">
        <v>135.938345</v>
      </c>
      <c r="CW345" s="4">
        <v>31.650794000000001</v>
      </c>
      <c r="CX345" s="4">
        <v>109.353663</v>
      </c>
      <c r="CY345" s="4">
        <v>11958.22358</v>
      </c>
      <c r="CZ345" s="4">
        <v>0.80443600000000004</v>
      </c>
      <c r="DA345" s="4">
        <v>105</v>
      </c>
      <c r="DB345" s="4">
        <v>1.9107719999999999</v>
      </c>
      <c r="DC345" s="4">
        <v>6.7415539999999998</v>
      </c>
      <c r="DD345" s="4">
        <v>77.245253000000005</v>
      </c>
      <c r="DE345" s="4">
        <v>135.938345</v>
      </c>
      <c r="DF345" s="4">
        <v>53.796590999999999</v>
      </c>
      <c r="DG345" s="4">
        <v>18.761889</v>
      </c>
      <c r="DH345" s="4">
        <v>11.154861</v>
      </c>
      <c r="DI345" s="4">
        <v>0.39574300000000001</v>
      </c>
      <c r="DJ345" s="4">
        <v>0.34875600000000001</v>
      </c>
      <c r="DK345" s="4">
        <v>0.20735300000000001</v>
      </c>
      <c r="DL345" s="4">
        <v>27</v>
      </c>
      <c r="DM345" s="4">
        <v>33.150002000000001</v>
      </c>
      <c r="DN345" s="4">
        <v>40</v>
      </c>
      <c r="DO345" s="4">
        <v>53</v>
      </c>
      <c r="DP345" s="4">
        <v>62</v>
      </c>
      <c r="DQ345" s="4">
        <v>68</v>
      </c>
      <c r="DR345" s="4">
        <v>87</v>
      </c>
      <c r="DS345" s="4">
        <v>105</v>
      </c>
      <c r="DT345" s="4">
        <v>130</v>
      </c>
      <c r="DU345" s="4">
        <v>153.099976</v>
      </c>
      <c r="DV345" s="4">
        <v>167</v>
      </c>
      <c r="DW345" s="4">
        <v>183</v>
      </c>
      <c r="DX345" s="4">
        <v>259.699951</v>
      </c>
      <c r="DY345" s="4">
        <v>410.84997600000003</v>
      </c>
      <c r="DZ345" s="4">
        <v>525</v>
      </c>
      <c r="EA345" s="4">
        <v>89.056088000000003</v>
      </c>
      <c r="EB345" s="4">
        <v>73.141891999999999</v>
      </c>
      <c r="EC345" s="4">
        <v>118.46785199999999</v>
      </c>
      <c r="ED345" s="4">
        <v>651</v>
      </c>
      <c r="EE345" s="4">
        <v>866</v>
      </c>
      <c r="EF345" s="4">
        <v>87.551299999999998</v>
      </c>
      <c r="EG345" s="4">
        <v>100</v>
      </c>
      <c r="EH345" s="4">
        <v>71.283783999999997</v>
      </c>
      <c r="EI345" s="4">
        <v>99.408783999999997</v>
      </c>
      <c r="EJ345" s="4">
        <v>115.458276</v>
      </c>
      <c r="EK345" s="4">
        <v>161.01231200000001</v>
      </c>
      <c r="EL345" s="4">
        <v>640</v>
      </c>
      <c r="EM345" s="4">
        <v>731</v>
      </c>
      <c r="EN345" s="4">
        <v>844</v>
      </c>
      <c r="EO345" s="4">
        <v>1177</v>
      </c>
      <c r="EP345" s="4">
        <v>731</v>
      </c>
      <c r="EQ345" s="4">
        <v>1184</v>
      </c>
      <c r="ER345" s="4">
        <v>63.076185000000002</v>
      </c>
    </row>
    <row r="346" spans="1:148" x14ac:dyDescent="0.2">
      <c r="A346" s="1">
        <v>2025</v>
      </c>
      <c r="B346" s="1" t="str">
        <f t="shared" si="10"/>
        <v>GN</v>
      </c>
      <c r="C346" s="1" t="s">
        <v>1590</v>
      </c>
      <c r="D346" s="1" t="s">
        <v>1590</v>
      </c>
      <c r="E346" s="1">
        <v>28974</v>
      </c>
      <c r="F346" s="1" t="s">
        <v>2182</v>
      </c>
      <c r="G346" s="1" t="s">
        <v>2012</v>
      </c>
      <c r="H346" s="1" t="s">
        <v>1938</v>
      </c>
      <c r="I346" s="1">
        <v>53.26</v>
      </c>
      <c r="J346" s="1">
        <v>53.26</v>
      </c>
      <c r="K346" s="1" t="s">
        <v>192</v>
      </c>
      <c r="L346" s="1">
        <v>1</v>
      </c>
      <c r="M346" s="3">
        <v>2021</v>
      </c>
      <c r="O346" s="1">
        <v>1</v>
      </c>
      <c r="P346" s="1" t="str">
        <f t="shared" si="11"/>
        <v>Alto fuste</v>
      </c>
      <c r="Q346" s="2">
        <v>44266</v>
      </c>
      <c r="R346" s="1" t="s">
        <v>169</v>
      </c>
      <c r="S346" s="1" t="s">
        <v>442</v>
      </c>
      <c r="T346" s="1" t="s">
        <v>2268</v>
      </c>
      <c r="U346" s="1" t="s">
        <v>192</v>
      </c>
      <c r="V346" s="1" t="s">
        <v>152</v>
      </c>
      <c r="W346" s="2">
        <v>45729</v>
      </c>
      <c r="X346" s="1" t="s">
        <v>2183</v>
      </c>
      <c r="Y346" s="1">
        <v>466.34</v>
      </c>
      <c r="Z346" s="1">
        <v>21.2</v>
      </c>
      <c r="AA346" s="1">
        <v>19</v>
      </c>
      <c r="AB346" s="1">
        <v>14</v>
      </c>
      <c r="AC346" s="1">
        <v>3</v>
      </c>
      <c r="AD346" s="3">
        <v>296.8</v>
      </c>
      <c r="AE346" s="3">
        <v>280.24531969495803</v>
      </c>
      <c r="AF346" s="2">
        <v>45729</v>
      </c>
      <c r="AG346" s="1">
        <v>48</v>
      </c>
      <c r="AH346" s="3">
        <v>4.0054757015742597</v>
      </c>
      <c r="AI346" s="4">
        <v>26.953571428571401</v>
      </c>
      <c r="AJ346" s="4">
        <v>15.464285714285699</v>
      </c>
      <c r="AK346" s="4">
        <v>18.961411738801999</v>
      </c>
      <c r="AL346" s="1">
        <v>28</v>
      </c>
      <c r="AM346" s="5">
        <v>999.12462518473205</v>
      </c>
      <c r="AN346" s="4">
        <v>233.378258378542</v>
      </c>
      <c r="AO346" s="4">
        <v>0.23358273081838199</v>
      </c>
      <c r="AP346" s="1" t="s">
        <v>442</v>
      </c>
      <c r="AQ346" s="1" t="s">
        <v>156</v>
      </c>
      <c r="AR346" s="1" t="s">
        <v>270</v>
      </c>
      <c r="AS346" s="1">
        <v>9</v>
      </c>
      <c r="AT346" s="4">
        <v>0.89921216266625892</v>
      </c>
      <c r="AU346" s="1" t="s">
        <v>1589</v>
      </c>
      <c r="AV346" s="1" t="s">
        <v>1590</v>
      </c>
      <c r="AW346" s="1">
        <v>1104</v>
      </c>
      <c r="AX346" s="1">
        <v>670</v>
      </c>
      <c r="AY346" s="1">
        <v>350</v>
      </c>
      <c r="AZ346" s="1">
        <v>81</v>
      </c>
      <c r="BA346" s="1">
        <v>3</v>
      </c>
      <c r="BB346" s="1">
        <v>0</v>
      </c>
      <c r="BC346" s="1">
        <v>0</v>
      </c>
      <c r="BD346" s="1">
        <v>0</v>
      </c>
      <c r="BE346" s="1">
        <v>0</v>
      </c>
      <c r="BF346" s="1">
        <v>0</v>
      </c>
      <c r="BG346" s="1">
        <v>0</v>
      </c>
      <c r="BH346" s="4">
        <v>0</v>
      </c>
      <c r="BI346" s="4">
        <v>27.885999999999999</v>
      </c>
      <c r="BJ346" s="4">
        <v>16.842575</v>
      </c>
      <c r="BK346" s="4">
        <v>0</v>
      </c>
      <c r="BL346" s="4">
        <v>10.543315</v>
      </c>
      <c r="BM346" s="4">
        <v>111.16149</v>
      </c>
      <c r="BN346" s="4">
        <v>0.62599199999999999</v>
      </c>
      <c r="BO346" s="4">
        <v>20.956751000000001</v>
      </c>
      <c r="BP346" s="4">
        <v>-0.77157900000000001</v>
      </c>
      <c r="BQ346" s="4">
        <v>1.7597780000000001</v>
      </c>
      <c r="BR346" s="4">
        <v>9.5898590000000006</v>
      </c>
      <c r="BS346" s="4">
        <v>2.7890009999999998</v>
      </c>
      <c r="BT346" s="4">
        <v>22.766499</v>
      </c>
      <c r="BU346" s="4">
        <v>16.842575</v>
      </c>
      <c r="BV346" s="4">
        <v>5.4407220000000001</v>
      </c>
      <c r="BW346" s="4">
        <v>-1.5481830000000001</v>
      </c>
      <c r="BX346" s="4">
        <v>-0.24559</v>
      </c>
      <c r="BY346" s="4">
        <v>0.32303399999999999</v>
      </c>
      <c r="BZ346" s="4">
        <v>-0.284555</v>
      </c>
      <c r="CA346" s="4">
        <v>-4.5138999999999999E-2</v>
      </c>
      <c r="CB346" s="4">
        <v>2E-3</v>
      </c>
      <c r="CC346" s="4">
        <v>1.4E-2</v>
      </c>
      <c r="CD346" s="4">
        <v>3.8300000000000001E-2</v>
      </c>
      <c r="CE346" s="4">
        <v>0.62380000000000002</v>
      </c>
      <c r="CF346" s="4">
        <v>3.7012499999999999</v>
      </c>
      <c r="CG346" s="4">
        <v>8.8247999999999998</v>
      </c>
      <c r="CH346" s="4">
        <v>21.869199999999999</v>
      </c>
      <c r="CI346" s="4">
        <v>22.766499</v>
      </c>
      <c r="CJ346" s="4">
        <v>23.48</v>
      </c>
      <c r="CK346" s="4">
        <v>24.292099</v>
      </c>
      <c r="CL346" s="4">
        <v>24.658000999999999</v>
      </c>
      <c r="CM346" s="4">
        <v>25.197001</v>
      </c>
      <c r="CN346" s="4">
        <v>25.996400999999999</v>
      </c>
      <c r="CO346" s="4">
        <v>26.427250000000001</v>
      </c>
      <c r="CP346" s="4">
        <v>27.121969</v>
      </c>
      <c r="CQ346" s="4">
        <v>0.60397999999999996</v>
      </c>
      <c r="CR346" s="4">
        <v>19.867892000000001</v>
      </c>
      <c r="CS346" s="4">
        <v>21.168659999999999</v>
      </c>
      <c r="CT346" s="1">
        <v>21</v>
      </c>
      <c r="CU346" s="1">
        <v>395</v>
      </c>
      <c r="CV346" s="4">
        <v>92.015399000000002</v>
      </c>
      <c r="CW346" s="4">
        <v>38.809524000000003</v>
      </c>
      <c r="CX346" s="4">
        <v>57.441859999999998</v>
      </c>
      <c r="CY346" s="4">
        <v>3299.5673059999999</v>
      </c>
      <c r="CZ346" s="4">
        <v>0.62426400000000004</v>
      </c>
      <c r="DA346" s="4">
        <v>71</v>
      </c>
      <c r="DB346" s="4">
        <v>1.7440739999999999</v>
      </c>
      <c r="DC346" s="4">
        <v>7.382339</v>
      </c>
      <c r="DD346" s="4">
        <v>42.868188000000004</v>
      </c>
      <c r="DE346" s="4">
        <v>92.015399000000002</v>
      </c>
      <c r="DF346" s="4">
        <v>29.549287</v>
      </c>
      <c r="DG346" s="4">
        <v>8.0890989999999992</v>
      </c>
      <c r="DH346" s="4">
        <v>4.3538490000000003</v>
      </c>
      <c r="DI346" s="4">
        <v>0.32113399999999998</v>
      </c>
      <c r="DJ346" s="4">
        <v>0.27374900000000002</v>
      </c>
      <c r="DK346" s="4">
        <v>0.147342</v>
      </c>
      <c r="DL346" s="4">
        <v>26</v>
      </c>
      <c r="DM346" s="4">
        <v>32</v>
      </c>
      <c r="DN346" s="4">
        <v>37</v>
      </c>
      <c r="DO346" s="4">
        <v>44</v>
      </c>
      <c r="DP346" s="4">
        <v>49</v>
      </c>
      <c r="DQ346" s="4">
        <v>54</v>
      </c>
      <c r="DR346" s="4">
        <v>64</v>
      </c>
      <c r="DS346" s="4">
        <v>78.5</v>
      </c>
      <c r="DT346" s="4">
        <v>92</v>
      </c>
      <c r="DU346" s="4">
        <v>109</v>
      </c>
      <c r="DV346" s="4">
        <v>120</v>
      </c>
      <c r="DW346" s="4">
        <v>130</v>
      </c>
      <c r="DX346" s="4">
        <v>158</v>
      </c>
      <c r="DY346" s="4">
        <v>198.549927</v>
      </c>
      <c r="DZ346" s="4">
        <v>292.90991200000002</v>
      </c>
      <c r="EA346" s="4">
        <v>93.432835999999995</v>
      </c>
      <c r="EB346" s="4">
        <v>75.271738999999997</v>
      </c>
      <c r="EC346" s="4">
        <v>124.02985099999999</v>
      </c>
      <c r="ED346" s="4">
        <v>626</v>
      </c>
      <c r="EE346" s="4">
        <v>831</v>
      </c>
      <c r="EF346" s="4">
        <v>88.507463000000001</v>
      </c>
      <c r="EG346" s="4">
        <v>99.850746000000001</v>
      </c>
      <c r="EH346" s="4">
        <v>66.938406000000001</v>
      </c>
      <c r="EI346" s="4">
        <v>99.909419999999997</v>
      </c>
      <c r="EJ346" s="4">
        <v>110.298507</v>
      </c>
      <c r="EK346" s="4">
        <v>164.62686600000001</v>
      </c>
      <c r="EL346" s="4">
        <v>593</v>
      </c>
      <c r="EM346" s="4">
        <v>669</v>
      </c>
      <c r="EN346" s="4">
        <v>739</v>
      </c>
      <c r="EO346" s="4">
        <v>1103</v>
      </c>
      <c r="EP346" s="4">
        <v>670</v>
      </c>
      <c r="EQ346" s="4">
        <v>1104</v>
      </c>
      <c r="ER346" s="4">
        <v>61.117981</v>
      </c>
    </row>
    <row r="347" spans="1:148" x14ac:dyDescent="0.2">
      <c r="A347" s="1">
        <v>2025</v>
      </c>
      <c r="B347" s="1" t="str">
        <f t="shared" si="10"/>
        <v>GN</v>
      </c>
      <c r="C347" s="1" t="s">
        <v>1592</v>
      </c>
      <c r="D347" s="1" t="s">
        <v>1592</v>
      </c>
      <c r="E347" s="1">
        <v>28975</v>
      </c>
      <c r="F347" s="1" t="s">
        <v>2182</v>
      </c>
      <c r="G347" s="1" t="s">
        <v>2012</v>
      </c>
      <c r="H347" s="1" t="s">
        <v>1938</v>
      </c>
      <c r="I347" s="1">
        <v>53.26</v>
      </c>
      <c r="J347" s="1">
        <v>53.26</v>
      </c>
      <c r="K347" s="1" t="s">
        <v>192</v>
      </c>
      <c r="L347" s="1">
        <v>1</v>
      </c>
      <c r="M347" s="3">
        <v>2021</v>
      </c>
      <c r="O347" s="1">
        <v>1</v>
      </c>
      <c r="P347" s="1" t="str">
        <f t="shared" si="11"/>
        <v>Alto fuste</v>
      </c>
      <c r="Q347" s="2">
        <v>44266</v>
      </c>
      <c r="R347" s="1" t="s">
        <v>169</v>
      </c>
      <c r="S347" s="1" t="s">
        <v>442</v>
      </c>
      <c r="T347" s="1" t="s">
        <v>2268</v>
      </c>
      <c r="U347" s="1" t="s">
        <v>192</v>
      </c>
      <c r="V347" s="1" t="s">
        <v>152</v>
      </c>
      <c r="W347" s="2">
        <v>44761</v>
      </c>
      <c r="X347" s="1" t="s">
        <v>2183</v>
      </c>
      <c r="Y347" s="1">
        <v>466.34</v>
      </c>
      <c r="Z347" s="1">
        <v>21.6</v>
      </c>
      <c r="AA347" s="1">
        <v>9</v>
      </c>
      <c r="AB347" s="1">
        <v>15</v>
      </c>
      <c r="AC347" s="1">
        <v>2</v>
      </c>
      <c r="AD347" s="3">
        <v>324</v>
      </c>
      <c r="AE347" s="3">
        <v>319.81608028441599</v>
      </c>
      <c r="AF347" s="2">
        <v>45729</v>
      </c>
      <c r="AG347" s="1">
        <v>48</v>
      </c>
      <c r="AH347" s="3">
        <v>4.0054757015742597</v>
      </c>
      <c r="AI347" s="4">
        <v>27.771428571428601</v>
      </c>
      <c r="AJ347" s="4">
        <v>14.9828571428571</v>
      </c>
      <c r="AK347" s="4">
        <v>19.427533918973701</v>
      </c>
      <c r="AL347" s="1">
        <v>35</v>
      </c>
      <c r="AM347" s="5">
        <v>1094.37899335375</v>
      </c>
      <c r="AN347" s="4">
        <v>247.12790244564101</v>
      </c>
      <c r="AO347" s="4">
        <v>0.225815648825927</v>
      </c>
      <c r="AP347" s="1" t="s">
        <v>442</v>
      </c>
      <c r="AQ347" s="1" t="s">
        <v>156</v>
      </c>
      <c r="AR347" s="1" t="s">
        <v>270</v>
      </c>
      <c r="AS347" s="1">
        <v>9</v>
      </c>
      <c r="AT347" s="4">
        <v>0.98494109401837504</v>
      </c>
      <c r="AU347" s="1" t="s">
        <v>1591</v>
      </c>
      <c r="AV347" s="1" t="s">
        <v>1592</v>
      </c>
      <c r="AW347" s="1">
        <v>1236</v>
      </c>
      <c r="AX347" s="1">
        <v>767</v>
      </c>
      <c r="AY347" s="1">
        <v>383</v>
      </c>
      <c r="AZ347" s="1">
        <v>81</v>
      </c>
      <c r="BA347" s="1">
        <v>5</v>
      </c>
      <c r="BB347" s="1">
        <v>0</v>
      </c>
      <c r="BC347" s="1">
        <v>0</v>
      </c>
      <c r="BD347" s="1">
        <v>0</v>
      </c>
      <c r="BE347" s="1">
        <v>0</v>
      </c>
      <c r="BF347" s="1">
        <v>0</v>
      </c>
      <c r="BG347" s="1">
        <v>0</v>
      </c>
      <c r="BH347" s="4">
        <v>0</v>
      </c>
      <c r="BI347" s="4">
        <v>26.877001</v>
      </c>
      <c r="BJ347" s="4">
        <v>15.945205</v>
      </c>
      <c r="BK347" s="4">
        <v>0</v>
      </c>
      <c r="BL347" s="4">
        <v>10.604675</v>
      </c>
      <c r="BM347" s="4">
        <v>112.459138</v>
      </c>
      <c r="BN347" s="4">
        <v>0.66507000000000005</v>
      </c>
      <c r="BO347" s="4">
        <v>23.8325</v>
      </c>
      <c r="BP347" s="4">
        <v>-0.72577800000000003</v>
      </c>
      <c r="BQ347" s="4">
        <v>1.6530929999999999</v>
      </c>
      <c r="BR347" s="4">
        <v>9.7369129999999995</v>
      </c>
      <c r="BS347" s="4">
        <v>2.6810019999999999</v>
      </c>
      <c r="BT347" s="4">
        <v>21.960999000000001</v>
      </c>
      <c r="BU347" s="4">
        <v>15.945205</v>
      </c>
      <c r="BV347" s="4">
        <v>5.4417960000000001</v>
      </c>
      <c r="BW347" s="4">
        <v>-1.4262589999999999</v>
      </c>
      <c r="BX347" s="4">
        <v>-0.39761600000000002</v>
      </c>
      <c r="BY347" s="4">
        <v>0.341281</v>
      </c>
      <c r="BZ347" s="4">
        <v>-0.26209300000000002</v>
      </c>
      <c r="CA347" s="4">
        <v>-7.3066999999999993E-2</v>
      </c>
      <c r="CB347" s="4">
        <v>2.3500000000000001E-3</v>
      </c>
      <c r="CC347" s="4">
        <v>0.01</v>
      </c>
      <c r="CD347" s="4">
        <v>0.02</v>
      </c>
      <c r="CE347" s="4">
        <v>5.0999999999999997E-2</v>
      </c>
      <c r="CF347" s="4">
        <v>9.0999999999999998E-2</v>
      </c>
      <c r="CG347" s="4">
        <v>6.1260000000000003</v>
      </c>
      <c r="CH347" s="4">
        <v>20.993998999999999</v>
      </c>
      <c r="CI347" s="4">
        <v>21.960999000000001</v>
      </c>
      <c r="CJ347" s="4">
        <v>22.855</v>
      </c>
      <c r="CK347" s="4">
        <v>23.584999</v>
      </c>
      <c r="CL347" s="4">
        <v>23.923500000000001</v>
      </c>
      <c r="CM347" s="4">
        <v>24.327998999999998</v>
      </c>
      <c r="CN347" s="4">
        <v>25.148499999999999</v>
      </c>
      <c r="CO347" s="4">
        <v>25.727748999999999</v>
      </c>
      <c r="CP347" s="4">
        <v>26.303948999999999</v>
      </c>
      <c r="CQ347" s="4">
        <v>0.59326599999999996</v>
      </c>
      <c r="CR347" s="4">
        <v>19.147264</v>
      </c>
      <c r="CS347" s="4">
        <v>20.459683999999999</v>
      </c>
      <c r="CT347" s="1">
        <v>21</v>
      </c>
      <c r="CU347" s="1">
        <v>469</v>
      </c>
      <c r="CV347" s="4">
        <v>111.444175</v>
      </c>
      <c r="CW347" s="4">
        <v>42.333333000000003</v>
      </c>
      <c r="CX347" s="4">
        <v>79.833365000000001</v>
      </c>
      <c r="CY347" s="4">
        <v>6373.3661119999997</v>
      </c>
      <c r="CZ347" s="4">
        <v>0.71635300000000002</v>
      </c>
      <c r="DA347" s="4">
        <v>90</v>
      </c>
      <c r="DB347" s="4">
        <v>1.7353590000000001</v>
      </c>
      <c r="DC347" s="4">
        <v>6.4390929999999997</v>
      </c>
      <c r="DD347" s="4">
        <v>58.948428</v>
      </c>
      <c r="DE347" s="4">
        <v>111.444175</v>
      </c>
      <c r="DF347" s="4">
        <v>40.566656000000002</v>
      </c>
      <c r="DG347" s="4">
        <v>12.673038</v>
      </c>
      <c r="DH347" s="4">
        <v>6.804017</v>
      </c>
      <c r="DI347" s="4">
        <v>0.36400900000000003</v>
      </c>
      <c r="DJ347" s="4">
        <v>0.31240000000000001</v>
      </c>
      <c r="DK347" s="4">
        <v>0.16772400000000001</v>
      </c>
      <c r="DL347" s="4">
        <v>27</v>
      </c>
      <c r="DM347" s="4">
        <v>32</v>
      </c>
      <c r="DN347" s="4">
        <v>37</v>
      </c>
      <c r="DO347" s="4">
        <v>48</v>
      </c>
      <c r="DP347" s="4">
        <v>53</v>
      </c>
      <c r="DQ347" s="4">
        <v>59</v>
      </c>
      <c r="DR347" s="4">
        <v>72</v>
      </c>
      <c r="DS347" s="4">
        <v>91</v>
      </c>
      <c r="DT347" s="4">
        <v>108</v>
      </c>
      <c r="DU347" s="4">
        <v>132</v>
      </c>
      <c r="DV347" s="4">
        <v>143</v>
      </c>
      <c r="DW347" s="4">
        <v>158</v>
      </c>
      <c r="DX347" s="4">
        <v>209</v>
      </c>
      <c r="DY347" s="4">
        <v>281.25</v>
      </c>
      <c r="DZ347" s="4">
        <v>411.65002399999997</v>
      </c>
      <c r="EA347" s="4">
        <v>89.830507999999995</v>
      </c>
      <c r="EB347" s="4">
        <v>71.116505000000004</v>
      </c>
      <c r="EC347" s="4">
        <v>114.60234699999999</v>
      </c>
      <c r="ED347" s="4">
        <v>689</v>
      </c>
      <c r="EE347" s="4">
        <v>879</v>
      </c>
      <c r="EF347" s="4">
        <v>84.615385000000003</v>
      </c>
      <c r="EG347" s="4">
        <v>99.869622000000007</v>
      </c>
      <c r="EH347" s="4">
        <v>66.423947999999996</v>
      </c>
      <c r="EI347" s="4">
        <v>99.757282000000004</v>
      </c>
      <c r="EJ347" s="4">
        <v>107.04041700000001</v>
      </c>
      <c r="EK347" s="4">
        <v>160.756193</v>
      </c>
      <c r="EL347" s="4">
        <v>649</v>
      </c>
      <c r="EM347" s="4">
        <v>766</v>
      </c>
      <c r="EN347" s="4">
        <v>821</v>
      </c>
      <c r="EO347" s="4">
        <v>1233</v>
      </c>
      <c r="EP347" s="4">
        <v>767</v>
      </c>
      <c r="EQ347" s="4">
        <v>1236</v>
      </c>
      <c r="ER347" s="4">
        <v>59.635666999999998</v>
      </c>
    </row>
    <row r="348" spans="1:148" x14ac:dyDescent="0.2">
      <c r="A348" s="1">
        <v>2025</v>
      </c>
      <c r="B348" s="1" t="str">
        <f t="shared" si="10"/>
        <v>GN</v>
      </c>
      <c r="C348" s="1" t="s">
        <v>1594</v>
      </c>
      <c r="D348" s="1" t="s">
        <v>1594</v>
      </c>
      <c r="E348" s="1">
        <v>28976</v>
      </c>
      <c r="F348" s="1" t="s">
        <v>2182</v>
      </c>
      <c r="G348" s="1" t="s">
        <v>2012</v>
      </c>
      <c r="H348" s="1" t="s">
        <v>1938</v>
      </c>
      <c r="I348" s="1">
        <v>53.26</v>
      </c>
      <c r="J348" s="1">
        <v>53.26</v>
      </c>
      <c r="K348" s="1" t="s">
        <v>192</v>
      </c>
      <c r="L348" s="1">
        <v>1</v>
      </c>
      <c r="M348" s="3">
        <v>2021</v>
      </c>
      <c r="O348" s="1">
        <v>1</v>
      </c>
      <c r="P348" s="1" t="str">
        <f t="shared" si="11"/>
        <v>Alto fuste</v>
      </c>
      <c r="Q348" s="2">
        <v>44266</v>
      </c>
      <c r="R348" s="1" t="s">
        <v>169</v>
      </c>
      <c r="S348" s="1" t="s">
        <v>442</v>
      </c>
      <c r="T348" s="1" t="s">
        <v>2268</v>
      </c>
      <c r="U348" s="1" t="s">
        <v>192</v>
      </c>
      <c r="V348" s="1" t="s">
        <v>152</v>
      </c>
      <c r="W348" s="2">
        <v>45729</v>
      </c>
      <c r="X348" s="1" t="s">
        <v>2183</v>
      </c>
      <c r="Y348" s="1">
        <v>466.34</v>
      </c>
      <c r="Z348" s="1">
        <v>21</v>
      </c>
      <c r="AA348" s="1">
        <v>15</v>
      </c>
      <c r="AB348" s="1">
        <v>15.8</v>
      </c>
      <c r="AC348" s="1">
        <v>3</v>
      </c>
      <c r="AD348" s="3">
        <v>331.8</v>
      </c>
      <c r="AE348" s="3">
        <v>320.05496301510402</v>
      </c>
      <c r="AF348" s="2">
        <v>45729</v>
      </c>
      <c r="AG348" s="1">
        <v>48</v>
      </c>
      <c r="AH348" s="3">
        <v>4.0054757015742597</v>
      </c>
      <c r="AI348" s="4">
        <v>26.951612903225801</v>
      </c>
      <c r="AJ348" s="4">
        <v>14.9322580645161</v>
      </c>
      <c r="AK348" s="4">
        <v>17.039010896345701</v>
      </c>
      <c r="AL348" s="1">
        <v>31</v>
      </c>
      <c r="AM348" s="5">
        <v>968.58363663421801</v>
      </c>
      <c r="AN348" s="4">
        <v>209.50961230473499</v>
      </c>
      <c r="AO348" s="4">
        <v>0.21630513295968001</v>
      </c>
      <c r="AP348" s="1" t="s">
        <v>442</v>
      </c>
      <c r="AQ348" s="1" t="s">
        <v>156</v>
      </c>
      <c r="AR348" s="1" t="s">
        <v>270</v>
      </c>
      <c r="AS348" s="1">
        <v>9</v>
      </c>
      <c r="AT348" s="4">
        <v>0.87172527297079627</v>
      </c>
      <c r="AU348" s="1" t="s">
        <v>1593</v>
      </c>
      <c r="AV348" s="1" t="s">
        <v>1594</v>
      </c>
      <c r="AW348" s="1">
        <v>1206</v>
      </c>
      <c r="AX348" s="1">
        <v>707</v>
      </c>
      <c r="AY348" s="1">
        <v>404</v>
      </c>
      <c r="AZ348" s="1">
        <v>86</v>
      </c>
      <c r="BA348" s="1">
        <v>9</v>
      </c>
      <c r="BB348" s="1">
        <v>0</v>
      </c>
      <c r="BC348" s="1">
        <v>0</v>
      </c>
      <c r="BD348" s="1">
        <v>0</v>
      </c>
      <c r="BE348" s="1">
        <v>0</v>
      </c>
      <c r="BF348" s="1">
        <v>0</v>
      </c>
      <c r="BG348" s="1">
        <v>0</v>
      </c>
      <c r="BH348" s="4">
        <v>0</v>
      </c>
      <c r="BI348" s="4">
        <v>26.437000000000001</v>
      </c>
      <c r="BJ348" s="4">
        <v>16.099035000000001</v>
      </c>
      <c r="BK348" s="4">
        <v>0</v>
      </c>
      <c r="BL348" s="4">
        <v>10.288897</v>
      </c>
      <c r="BM348" s="4">
        <v>105.861397</v>
      </c>
      <c r="BN348" s="4">
        <v>0.6391</v>
      </c>
      <c r="BO348" s="4">
        <v>23.042000000000002</v>
      </c>
      <c r="BP348" s="4">
        <v>-0.83070299999999997</v>
      </c>
      <c r="BQ348" s="4">
        <v>1.796057</v>
      </c>
      <c r="BR348" s="4">
        <v>9.3092500000000005</v>
      </c>
      <c r="BS348" s="4">
        <v>2.2109999999999999</v>
      </c>
      <c r="BT348" s="4">
        <v>21.712499999999999</v>
      </c>
      <c r="BU348" s="4">
        <v>16.099035000000001</v>
      </c>
      <c r="BV348" s="4">
        <v>5.1720730000000001</v>
      </c>
      <c r="BW348" s="4">
        <v>-1.534402</v>
      </c>
      <c r="BX348" s="4">
        <v>-0.194989</v>
      </c>
      <c r="BY348" s="4">
        <v>0.321266</v>
      </c>
      <c r="BZ348" s="4">
        <v>-0.29667100000000002</v>
      </c>
      <c r="CA348" s="4">
        <v>-3.7699999999999997E-2</v>
      </c>
      <c r="CB348" s="4">
        <v>3.0000000000000001E-3</v>
      </c>
      <c r="CC348" s="4">
        <v>1.025E-2</v>
      </c>
      <c r="CD348" s="4">
        <v>2.1999999999999999E-2</v>
      </c>
      <c r="CE348" s="4">
        <v>6.0999999999999999E-2</v>
      </c>
      <c r="CF348" s="4">
        <v>0.42675000000000002</v>
      </c>
      <c r="CG348" s="4">
        <v>12.093</v>
      </c>
      <c r="CH348" s="4">
        <v>20.962999</v>
      </c>
      <c r="CI348" s="4">
        <v>21.712499999999999</v>
      </c>
      <c r="CJ348" s="4">
        <v>22.323999000000001</v>
      </c>
      <c r="CK348" s="4">
        <v>23.126498999999999</v>
      </c>
      <c r="CL348" s="4">
        <v>23.46875</v>
      </c>
      <c r="CM348" s="4">
        <v>23.809000000000001</v>
      </c>
      <c r="CN348" s="4">
        <v>24.66</v>
      </c>
      <c r="CO348" s="4">
        <v>25.262001000000001</v>
      </c>
      <c r="CP348" s="4">
        <v>25.946648</v>
      </c>
      <c r="CQ348" s="4">
        <v>0.608958</v>
      </c>
      <c r="CR348" s="4">
        <v>19.103731</v>
      </c>
      <c r="CS348" s="4">
        <v>20.309384000000001</v>
      </c>
      <c r="CT348" s="1">
        <v>23</v>
      </c>
      <c r="CU348" s="1">
        <v>484</v>
      </c>
      <c r="CV348" s="4">
        <v>108.927032</v>
      </c>
      <c r="CW348" s="4">
        <v>44.952381000000003</v>
      </c>
      <c r="CX348" s="4">
        <v>70.953678999999994</v>
      </c>
      <c r="CY348" s="4">
        <v>5034.4245469999996</v>
      </c>
      <c r="CZ348" s="4">
        <v>0.65138700000000005</v>
      </c>
      <c r="DA348" s="4">
        <v>88</v>
      </c>
      <c r="DB348" s="4">
        <v>1.6244540000000001</v>
      </c>
      <c r="DC348" s="4">
        <v>6.5960000000000001</v>
      </c>
      <c r="DD348" s="4">
        <v>53.611170000000001</v>
      </c>
      <c r="DE348" s="4">
        <v>108.927032</v>
      </c>
      <c r="DF348" s="4">
        <v>36.844225999999999</v>
      </c>
      <c r="DG348" s="4">
        <v>9.7544989999999991</v>
      </c>
      <c r="DH348" s="4">
        <v>5.3692310000000001</v>
      </c>
      <c r="DI348" s="4">
        <v>0.33824700000000002</v>
      </c>
      <c r="DJ348" s="4">
        <v>0.26474999999999999</v>
      </c>
      <c r="DK348" s="4">
        <v>0.145728</v>
      </c>
      <c r="DL348" s="4">
        <v>27</v>
      </c>
      <c r="DM348" s="4">
        <v>33</v>
      </c>
      <c r="DN348" s="4">
        <v>38</v>
      </c>
      <c r="DO348" s="4">
        <v>50</v>
      </c>
      <c r="DP348" s="4">
        <v>56</v>
      </c>
      <c r="DQ348" s="4">
        <v>62</v>
      </c>
      <c r="DR348" s="4">
        <v>77</v>
      </c>
      <c r="DS348" s="4">
        <v>91</v>
      </c>
      <c r="DT348" s="4">
        <v>110</v>
      </c>
      <c r="DU348" s="4">
        <v>131.5</v>
      </c>
      <c r="DV348" s="4">
        <v>144</v>
      </c>
      <c r="DW348" s="4">
        <v>157</v>
      </c>
      <c r="DX348" s="4">
        <v>196.5</v>
      </c>
      <c r="DY348" s="4">
        <v>239</v>
      </c>
      <c r="DZ348" s="4">
        <v>384.59960899999999</v>
      </c>
      <c r="EA348" s="4">
        <v>95.332390000000004</v>
      </c>
      <c r="EB348" s="4">
        <v>72.139302999999998</v>
      </c>
      <c r="EC348" s="4">
        <v>123.05516299999999</v>
      </c>
      <c r="ED348" s="4">
        <v>674</v>
      </c>
      <c r="EE348" s="4">
        <v>870</v>
      </c>
      <c r="EF348" s="4">
        <v>93.352192000000002</v>
      </c>
      <c r="EG348" s="4">
        <v>100</v>
      </c>
      <c r="EH348" s="4">
        <v>69.485904000000005</v>
      </c>
      <c r="EI348" s="4">
        <v>99.834163000000004</v>
      </c>
      <c r="EJ348" s="4">
        <v>118.52899600000001</v>
      </c>
      <c r="EK348" s="4">
        <v>170.29703000000001</v>
      </c>
      <c r="EL348" s="4">
        <v>660</v>
      </c>
      <c r="EM348" s="4">
        <v>707</v>
      </c>
      <c r="EN348" s="4">
        <v>838</v>
      </c>
      <c r="EO348" s="4">
        <v>1204</v>
      </c>
      <c r="EP348" s="4">
        <v>707</v>
      </c>
      <c r="EQ348" s="4">
        <v>1206</v>
      </c>
      <c r="ER348" s="4">
        <v>61.093068000000002</v>
      </c>
    </row>
    <row r="349" spans="1:148" x14ac:dyDescent="0.2">
      <c r="A349" s="1">
        <v>2025</v>
      </c>
      <c r="B349" s="1" t="str">
        <f t="shared" si="10"/>
        <v>GN</v>
      </c>
      <c r="C349" s="1" t="s">
        <v>1596</v>
      </c>
      <c r="D349" s="1" t="s">
        <v>1596</v>
      </c>
      <c r="E349" s="1">
        <v>28987</v>
      </c>
      <c r="F349" s="1" t="s">
        <v>2182</v>
      </c>
      <c r="G349" s="1" t="s">
        <v>2012</v>
      </c>
      <c r="H349" s="1" t="s">
        <v>1939</v>
      </c>
      <c r="I349" s="1">
        <v>56.68</v>
      </c>
      <c r="J349" s="1">
        <v>56.68</v>
      </c>
      <c r="K349" s="1" t="s">
        <v>192</v>
      </c>
      <c r="L349" s="1">
        <v>1</v>
      </c>
      <c r="M349" s="3">
        <v>2021</v>
      </c>
      <c r="O349" s="1">
        <v>1</v>
      </c>
      <c r="P349" s="1" t="str">
        <f t="shared" si="11"/>
        <v>Alto fuste</v>
      </c>
      <c r="Q349" s="2">
        <v>44342</v>
      </c>
      <c r="R349" s="1" t="s">
        <v>169</v>
      </c>
      <c r="S349" s="1" t="s">
        <v>651</v>
      </c>
      <c r="T349" s="1" t="s">
        <v>2268</v>
      </c>
      <c r="U349" s="1" t="s">
        <v>192</v>
      </c>
      <c r="V349" s="1" t="s">
        <v>152</v>
      </c>
      <c r="W349" s="2">
        <v>44762</v>
      </c>
      <c r="X349" s="1" t="s">
        <v>2183</v>
      </c>
      <c r="Y349" s="1">
        <v>466.34</v>
      </c>
      <c r="Z349" s="1">
        <v>21.2</v>
      </c>
      <c r="AA349" s="1">
        <v>9</v>
      </c>
      <c r="AB349" s="1">
        <v>15.5</v>
      </c>
      <c r="AC349" s="1">
        <v>2</v>
      </c>
      <c r="AD349" s="3">
        <v>328.6</v>
      </c>
      <c r="AE349" s="3">
        <v>324.35667895512</v>
      </c>
      <c r="AF349" s="2">
        <v>45729</v>
      </c>
      <c r="AG349" s="1">
        <v>46</v>
      </c>
      <c r="AH349" s="3">
        <v>3.7973990417522199</v>
      </c>
      <c r="AI349" s="4">
        <v>24.216129032258099</v>
      </c>
      <c r="AJ349" s="4">
        <v>15.6967741935484</v>
      </c>
      <c r="AK349" s="4">
        <v>18.839724314594001</v>
      </c>
      <c r="AL349" s="1">
        <v>31</v>
      </c>
      <c r="AM349" s="5">
        <v>955.73798880488903</v>
      </c>
      <c r="AN349" s="4">
        <v>208.13498727025799</v>
      </c>
      <c r="AO349" s="4">
        <v>0.21777410724305499</v>
      </c>
      <c r="AP349" s="1" t="s">
        <v>651</v>
      </c>
      <c r="AQ349" s="1" t="s">
        <v>156</v>
      </c>
      <c r="AR349" s="1" t="s">
        <v>270</v>
      </c>
      <c r="AS349" s="1">
        <v>9</v>
      </c>
      <c r="AT349" s="4">
        <v>0.86016418992440014</v>
      </c>
      <c r="AU349" s="1" t="s">
        <v>1595</v>
      </c>
      <c r="AV349" s="1" t="s">
        <v>1596</v>
      </c>
      <c r="AW349" s="1">
        <v>1232</v>
      </c>
      <c r="AX349" s="1">
        <v>749</v>
      </c>
      <c r="AY349" s="1">
        <v>356</v>
      </c>
      <c r="AZ349" s="1">
        <v>119</v>
      </c>
      <c r="BA349" s="1">
        <v>7</v>
      </c>
      <c r="BB349" s="1">
        <v>1</v>
      </c>
      <c r="BC349" s="1">
        <v>0</v>
      </c>
      <c r="BD349" s="1">
        <v>0</v>
      </c>
      <c r="BE349" s="1">
        <v>0</v>
      </c>
      <c r="BF349" s="1">
        <v>0</v>
      </c>
      <c r="BG349" s="1">
        <v>0</v>
      </c>
      <c r="BH349" s="4">
        <v>0</v>
      </c>
      <c r="BI349" s="4">
        <v>26.228000999999999</v>
      </c>
      <c r="BJ349" s="4">
        <v>14.236621</v>
      </c>
      <c r="BK349" s="4">
        <v>0</v>
      </c>
      <c r="BL349" s="4">
        <v>10.369016</v>
      </c>
      <c r="BM349" s="4">
        <v>107.516497</v>
      </c>
      <c r="BN349" s="4">
        <v>0.72833400000000004</v>
      </c>
      <c r="BO349" s="4">
        <v>22.71575</v>
      </c>
      <c r="BP349" s="4">
        <v>-0.50967499999999999</v>
      </c>
      <c r="BQ349" s="4">
        <v>1.4240330000000001</v>
      </c>
      <c r="BR349" s="4">
        <v>9.6860230000000005</v>
      </c>
      <c r="BS349" s="4">
        <v>4.0525000000000002</v>
      </c>
      <c r="BT349" s="4">
        <v>20.152999999999999</v>
      </c>
      <c r="BU349" s="4">
        <v>14.236621</v>
      </c>
      <c r="BV349" s="4">
        <v>5.5088520000000001</v>
      </c>
      <c r="BW349" s="4">
        <v>-0.94525599999999999</v>
      </c>
      <c r="BX349" s="4">
        <v>-0.67864899999999995</v>
      </c>
      <c r="BY349" s="4">
        <v>0.38694899999999999</v>
      </c>
      <c r="BZ349" s="4">
        <v>-0.17158899999999999</v>
      </c>
      <c r="CA349" s="4">
        <v>-0.123193</v>
      </c>
      <c r="CB349" s="4">
        <v>1E-3</v>
      </c>
      <c r="CC349" s="4">
        <v>6.0000000000000001E-3</v>
      </c>
      <c r="CD349" s="4">
        <v>1.2999999999999999E-2</v>
      </c>
      <c r="CE349" s="4">
        <v>3.0200000000000001E-2</v>
      </c>
      <c r="CF349" s="4">
        <v>4.4999999999999998E-2</v>
      </c>
      <c r="CG349" s="4">
        <v>8.3299999999999999E-2</v>
      </c>
      <c r="CH349" s="4">
        <v>17.596800000000002</v>
      </c>
      <c r="CI349" s="4">
        <v>20.152999999999999</v>
      </c>
      <c r="CJ349" s="4">
        <v>21.4512</v>
      </c>
      <c r="CK349" s="4">
        <v>22.276700999999999</v>
      </c>
      <c r="CL349" s="4">
        <v>22.760750000000002</v>
      </c>
      <c r="CM349" s="4">
        <v>23.247599000000001</v>
      </c>
      <c r="CN349" s="4">
        <v>24.273399000000001</v>
      </c>
      <c r="CO349" s="4">
        <v>24.818999999999999</v>
      </c>
      <c r="CP349" s="4">
        <v>25.763449000000001</v>
      </c>
      <c r="CQ349" s="4">
        <v>0.54280200000000001</v>
      </c>
      <c r="CR349" s="4">
        <v>17.609957000000001</v>
      </c>
      <c r="CS349" s="4">
        <v>19.043330999999998</v>
      </c>
      <c r="CT349" s="1">
        <v>18</v>
      </c>
      <c r="CU349" s="1">
        <v>536</v>
      </c>
      <c r="CV349" s="4">
        <v>125.659903</v>
      </c>
      <c r="CW349" s="4">
        <v>34.444443999999997</v>
      </c>
      <c r="CX349" s="4">
        <v>104.10792600000001</v>
      </c>
      <c r="CY349" s="4">
        <v>10838.46019</v>
      </c>
      <c r="CZ349" s="4">
        <v>0.82848999999999995</v>
      </c>
      <c r="DA349" s="4">
        <v>102</v>
      </c>
      <c r="DB349" s="4">
        <v>1.813272</v>
      </c>
      <c r="DC349" s="4">
        <v>5.9962580000000001</v>
      </c>
      <c r="DD349" s="4">
        <v>75.288736</v>
      </c>
      <c r="DE349" s="4">
        <v>125.659903</v>
      </c>
      <c r="DF349" s="4">
        <v>51.331538999999999</v>
      </c>
      <c r="DG349" s="4">
        <v>19.366586999999999</v>
      </c>
      <c r="DH349" s="4">
        <v>10.135045</v>
      </c>
      <c r="DI349" s="4">
        <v>0.40849600000000003</v>
      </c>
      <c r="DJ349" s="4">
        <v>0.37728400000000001</v>
      </c>
      <c r="DK349" s="4">
        <v>0.19744300000000001</v>
      </c>
      <c r="DL349" s="4">
        <v>27.310001</v>
      </c>
      <c r="DM349" s="4">
        <v>33</v>
      </c>
      <c r="DN349" s="4">
        <v>38</v>
      </c>
      <c r="DO349" s="4">
        <v>48</v>
      </c>
      <c r="DP349" s="4">
        <v>53</v>
      </c>
      <c r="DQ349" s="4">
        <v>60</v>
      </c>
      <c r="DR349" s="4">
        <v>74</v>
      </c>
      <c r="DS349" s="4">
        <v>91</v>
      </c>
      <c r="DT349" s="4">
        <v>113.599976</v>
      </c>
      <c r="DU349" s="4">
        <v>137.70001199999999</v>
      </c>
      <c r="DV349" s="4">
        <v>155</v>
      </c>
      <c r="DW349" s="4">
        <v>176</v>
      </c>
      <c r="DX349" s="4">
        <v>265.10021999999998</v>
      </c>
      <c r="DY349" s="4">
        <v>388</v>
      </c>
      <c r="DZ349" s="4">
        <v>481.75976600000001</v>
      </c>
      <c r="EA349" s="4">
        <v>87.716955999999996</v>
      </c>
      <c r="EB349" s="4">
        <v>67.857142999999994</v>
      </c>
      <c r="EC349" s="4">
        <v>111.615487</v>
      </c>
      <c r="ED349" s="4">
        <v>657</v>
      </c>
      <c r="EE349" s="4">
        <v>836</v>
      </c>
      <c r="EF349" s="4">
        <v>81.308411000000007</v>
      </c>
      <c r="EG349" s="4">
        <v>100</v>
      </c>
      <c r="EH349" s="4">
        <v>61.688312000000003</v>
      </c>
      <c r="EI349" s="4">
        <v>99.594155999999998</v>
      </c>
      <c r="EJ349" s="4">
        <v>101.468625</v>
      </c>
      <c r="EK349" s="4">
        <v>163.81842499999999</v>
      </c>
      <c r="EL349" s="4">
        <v>609</v>
      </c>
      <c r="EM349" s="4">
        <v>749</v>
      </c>
      <c r="EN349" s="4">
        <v>760</v>
      </c>
      <c r="EO349" s="4">
        <v>1227</v>
      </c>
      <c r="EP349" s="4">
        <v>749</v>
      </c>
      <c r="EQ349" s="4">
        <v>1232</v>
      </c>
      <c r="ER349" s="4">
        <v>54.258322</v>
      </c>
    </row>
    <row r="350" spans="1:148" x14ac:dyDescent="0.2">
      <c r="A350" s="1">
        <v>2025</v>
      </c>
      <c r="B350" s="1" t="str">
        <f t="shared" si="10"/>
        <v>GN</v>
      </c>
      <c r="C350" s="1" t="s">
        <v>1598</v>
      </c>
      <c r="D350" s="1" t="s">
        <v>1598</v>
      </c>
      <c r="E350" s="1">
        <v>28989</v>
      </c>
      <c r="F350" s="1" t="s">
        <v>2182</v>
      </c>
      <c r="G350" s="1" t="s">
        <v>2012</v>
      </c>
      <c r="H350" s="1" t="s">
        <v>1939</v>
      </c>
      <c r="I350" s="1">
        <v>56.68</v>
      </c>
      <c r="J350" s="1">
        <v>56.68</v>
      </c>
      <c r="K350" s="1" t="s">
        <v>192</v>
      </c>
      <c r="L350" s="1">
        <v>1</v>
      </c>
      <c r="M350" s="3">
        <v>2021</v>
      </c>
      <c r="O350" s="1">
        <v>1</v>
      </c>
      <c r="P350" s="1" t="str">
        <f t="shared" si="11"/>
        <v>Alto fuste</v>
      </c>
      <c r="Q350" s="2">
        <v>44342</v>
      </c>
      <c r="R350" s="1" t="s">
        <v>169</v>
      </c>
      <c r="S350" s="1" t="s">
        <v>651</v>
      </c>
      <c r="T350" s="1" t="s">
        <v>2268</v>
      </c>
      <c r="U350" s="1" t="s">
        <v>192</v>
      </c>
      <c r="V350" s="1" t="s">
        <v>152</v>
      </c>
      <c r="W350" s="2">
        <v>45729</v>
      </c>
      <c r="X350" s="1" t="s">
        <v>2183</v>
      </c>
      <c r="Y350" s="1">
        <v>466.34</v>
      </c>
      <c r="Z350" s="1">
        <v>19.600000000000001</v>
      </c>
      <c r="AA350" s="1">
        <v>14</v>
      </c>
      <c r="AB350" s="1">
        <v>15.6</v>
      </c>
      <c r="AC350" s="1">
        <v>0</v>
      </c>
      <c r="AD350" s="3">
        <v>305.76</v>
      </c>
      <c r="AE350" s="3">
        <v>296.677621266149</v>
      </c>
      <c r="AF350" s="2">
        <v>45729</v>
      </c>
      <c r="AG350" s="1">
        <v>46</v>
      </c>
      <c r="AH350" s="3">
        <v>3.7973990417522199</v>
      </c>
      <c r="AI350" s="4">
        <v>25.313793103448301</v>
      </c>
      <c r="AJ350" s="4">
        <v>14.968965517241401</v>
      </c>
      <c r="AK350" s="4">
        <v>17.501087014725101</v>
      </c>
      <c r="AL350" s="1">
        <v>29</v>
      </c>
      <c r="AM350" s="5">
        <v>977.49199539334904</v>
      </c>
      <c r="AN350" s="4">
        <v>202.80351394332399</v>
      </c>
      <c r="AO350" s="4">
        <v>0.207473324486626</v>
      </c>
      <c r="AP350" s="1" t="s">
        <v>651</v>
      </c>
      <c r="AQ350" s="1" t="s">
        <v>156</v>
      </c>
      <c r="AR350" s="1" t="s">
        <v>270</v>
      </c>
      <c r="AS350" s="1">
        <v>9</v>
      </c>
      <c r="AT350" s="4">
        <v>0.87974279585401416</v>
      </c>
      <c r="AU350" s="1" t="s">
        <v>1597</v>
      </c>
      <c r="AV350" s="1" t="s">
        <v>1598</v>
      </c>
      <c r="AW350" s="1">
        <v>1166</v>
      </c>
      <c r="AX350" s="1">
        <v>664</v>
      </c>
      <c r="AY350" s="1">
        <v>376</v>
      </c>
      <c r="AZ350" s="1">
        <v>117</v>
      </c>
      <c r="BA350" s="1">
        <v>9</v>
      </c>
      <c r="BB350" s="1">
        <v>0</v>
      </c>
      <c r="BC350" s="1">
        <v>0</v>
      </c>
      <c r="BD350" s="1">
        <v>0</v>
      </c>
      <c r="BE350" s="1">
        <v>0</v>
      </c>
      <c r="BF350" s="1">
        <v>0</v>
      </c>
      <c r="BG350" s="1">
        <v>0</v>
      </c>
      <c r="BH350" s="4">
        <v>0</v>
      </c>
      <c r="BI350" s="4">
        <v>25.530000999999999</v>
      </c>
      <c r="BJ350" s="4">
        <v>14.045043</v>
      </c>
      <c r="BK350" s="4">
        <v>0</v>
      </c>
      <c r="BL350" s="4">
        <v>9.7774059999999992</v>
      </c>
      <c r="BM350" s="4">
        <v>95.597677000000004</v>
      </c>
      <c r="BN350" s="4">
        <v>0.69614600000000004</v>
      </c>
      <c r="BO350" s="4">
        <v>21.655749</v>
      </c>
      <c r="BP350" s="4">
        <v>-0.63710800000000001</v>
      </c>
      <c r="BQ350" s="4">
        <v>1.5350189999999999</v>
      </c>
      <c r="BR350" s="4">
        <v>9.0456400000000006</v>
      </c>
      <c r="BS350" s="4">
        <v>2.9039999999999999</v>
      </c>
      <c r="BT350" s="4">
        <v>19.605498999999998</v>
      </c>
      <c r="BU350" s="4">
        <v>14.045043</v>
      </c>
      <c r="BV350" s="4">
        <v>5.081194</v>
      </c>
      <c r="BW350" s="4">
        <v>-1.10772</v>
      </c>
      <c r="BX350" s="4">
        <v>-0.46674199999999999</v>
      </c>
      <c r="BY350" s="4">
        <v>0.36177799999999999</v>
      </c>
      <c r="BZ350" s="4">
        <v>-0.218004</v>
      </c>
      <c r="CA350" s="4">
        <v>-9.1856999999999994E-2</v>
      </c>
      <c r="CB350" s="4">
        <v>2E-3</v>
      </c>
      <c r="CC350" s="4">
        <v>8.9999999999999993E-3</v>
      </c>
      <c r="CD350" s="4">
        <v>1.7000000000000001E-2</v>
      </c>
      <c r="CE350" s="4">
        <v>4.7E-2</v>
      </c>
      <c r="CF350" s="4">
        <v>9.9000000000000005E-2</v>
      </c>
      <c r="CG350" s="4">
        <v>1.306</v>
      </c>
      <c r="CH350" s="4">
        <v>18.236000000000001</v>
      </c>
      <c r="CI350" s="4">
        <v>19.605498999999998</v>
      </c>
      <c r="CJ350" s="4">
        <v>20.388999999999999</v>
      </c>
      <c r="CK350" s="4">
        <v>21.2225</v>
      </c>
      <c r="CL350" s="4">
        <v>21.754749</v>
      </c>
      <c r="CM350" s="4">
        <v>22.087999</v>
      </c>
      <c r="CN350" s="4">
        <v>22.869499000000001</v>
      </c>
      <c r="CO350" s="4">
        <v>23.450500000000002</v>
      </c>
      <c r="CP350" s="4">
        <v>24.745100000000001</v>
      </c>
      <c r="CQ350" s="4">
        <v>0.55013900000000004</v>
      </c>
      <c r="CR350" s="4">
        <v>17.110783999999999</v>
      </c>
      <c r="CS350" s="4">
        <v>18.371041999999999</v>
      </c>
      <c r="CT350" s="1">
        <v>22</v>
      </c>
      <c r="CU350" s="1">
        <v>527</v>
      </c>
      <c r="CV350" s="4">
        <v>119.877358</v>
      </c>
      <c r="CW350" s="4">
        <v>46.047618999999997</v>
      </c>
      <c r="CX350" s="4">
        <v>80.280771000000001</v>
      </c>
      <c r="CY350" s="4">
        <v>6445.0021139999999</v>
      </c>
      <c r="CZ350" s="4">
        <v>0.66969100000000004</v>
      </c>
      <c r="DA350" s="4">
        <v>101</v>
      </c>
      <c r="DB350" s="4">
        <v>1.4661459999999999</v>
      </c>
      <c r="DC350" s="4">
        <v>5.6384470000000002</v>
      </c>
      <c r="DD350" s="4">
        <v>61.266724000000004</v>
      </c>
      <c r="DE350" s="4">
        <v>119.877358</v>
      </c>
      <c r="DF350" s="4">
        <v>42.181322999999999</v>
      </c>
      <c r="DG350" s="4">
        <v>11.060067</v>
      </c>
      <c r="DH350" s="4">
        <v>5.842937</v>
      </c>
      <c r="DI350" s="4">
        <v>0.35187099999999999</v>
      </c>
      <c r="DJ350" s="4">
        <v>0.26220300000000002</v>
      </c>
      <c r="DK350" s="4">
        <v>0.13852</v>
      </c>
      <c r="DL350" s="4">
        <v>27</v>
      </c>
      <c r="DM350" s="4">
        <v>33</v>
      </c>
      <c r="DN350" s="4">
        <v>40</v>
      </c>
      <c r="DO350" s="4">
        <v>52</v>
      </c>
      <c r="DP350" s="4">
        <v>58</v>
      </c>
      <c r="DQ350" s="4">
        <v>66</v>
      </c>
      <c r="DR350" s="4">
        <v>82</v>
      </c>
      <c r="DS350" s="4">
        <v>101</v>
      </c>
      <c r="DT350" s="4">
        <v>122</v>
      </c>
      <c r="DU350" s="4">
        <v>146</v>
      </c>
      <c r="DV350" s="4">
        <v>159</v>
      </c>
      <c r="DW350" s="4">
        <v>173</v>
      </c>
      <c r="DX350" s="4">
        <v>220.5</v>
      </c>
      <c r="DY350" s="4">
        <v>288.75</v>
      </c>
      <c r="DZ350" s="4">
        <v>389.699951</v>
      </c>
      <c r="EA350" s="4">
        <v>91.415662999999995</v>
      </c>
      <c r="EB350" s="4">
        <v>68.010292000000007</v>
      </c>
      <c r="EC350" s="4">
        <v>119.427711</v>
      </c>
      <c r="ED350" s="4">
        <v>607</v>
      </c>
      <c r="EE350" s="4">
        <v>793</v>
      </c>
      <c r="EF350" s="4">
        <v>89.608434000000003</v>
      </c>
      <c r="EG350" s="4">
        <v>99.849397999999994</v>
      </c>
      <c r="EH350" s="4">
        <v>66.037735999999995</v>
      </c>
      <c r="EI350" s="4">
        <v>99.742710000000002</v>
      </c>
      <c r="EJ350" s="4">
        <v>115.963855</v>
      </c>
      <c r="EK350" s="4">
        <v>175.15060199999999</v>
      </c>
      <c r="EL350" s="4">
        <v>595</v>
      </c>
      <c r="EM350" s="4">
        <v>663</v>
      </c>
      <c r="EN350" s="4">
        <v>770</v>
      </c>
      <c r="EO350" s="4">
        <v>1163</v>
      </c>
      <c r="EP350" s="4">
        <v>664</v>
      </c>
      <c r="EQ350" s="4">
        <v>1166</v>
      </c>
      <c r="ER350" s="4">
        <v>55.735329</v>
      </c>
    </row>
    <row r="351" spans="1:148" x14ac:dyDescent="0.2">
      <c r="A351" s="1">
        <v>2025</v>
      </c>
      <c r="B351" s="1" t="str">
        <f t="shared" si="10"/>
        <v>GN</v>
      </c>
      <c r="C351" s="1" t="s">
        <v>1600</v>
      </c>
      <c r="D351" s="1" t="s">
        <v>1600</v>
      </c>
      <c r="E351" s="1">
        <v>28982</v>
      </c>
      <c r="F351" s="1" t="s">
        <v>2182</v>
      </c>
      <c r="G351" s="1" t="s">
        <v>2012</v>
      </c>
      <c r="H351" s="1" t="s">
        <v>1940</v>
      </c>
      <c r="I351" s="1">
        <v>62.8</v>
      </c>
      <c r="J351" s="1">
        <v>62.8</v>
      </c>
      <c r="K351" s="1" t="s">
        <v>192</v>
      </c>
      <c r="L351" s="1">
        <v>1</v>
      </c>
      <c r="M351" s="3">
        <v>2021</v>
      </c>
      <c r="O351" s="1">
        <v>1</v>
      </c>
      <c r="P351" s="1" t="str">
        <f t="shared" si="11"/>
        <v>Alto fuste</v>
      </c>
      <c r="Q351" s="2">
        <v>44294</v>
      </c>
      <c r="R351" s="1" t="s">
        <v>169</v>
      </c>
      <c r="S351" s="1" t="s">
        <v>403</v>
      </c>
      <c r="T351" s="1" t="s">
        <v>2268</v>
      </c>
      <c r="U351" s="1" t="s">
        <v>192</v>
      </c>
      <c r="V351" s="1" t="s">
        <v>152</v>
      </c>
      <c r="W351" s="2">
        <v>44763</v>
      </c>
      <c r="X351" s="1" t="s">
        <v>2183</v>
      </c>
      <c r="Y351" s="1">
        <v>466.34</v>
      </c>
      <c r="Z351" s="1">
        <v>21.4</v>
      </c>
      <c r="AA351" s="1">
        <v>19</v>
      </c>
      <c r="AB351" s="1">
        <v>14.8</v>
      </c>
      <c r="AC351" s="1">
        <v>0</v>
      </c>
      <c r="AD351" s="3">
        <v>316.72000000000003</v>
      </c>
      <c r="AE351" s="3">
        <v>299.46464326381601</v>
      </c>
      <c r="AF351" s="2">
        <v>45729</v>
      </c>
      <c r="AG351" s="1">
        <v>47</v>
      </c>
      <c r="AH351" s="3">
        <v>3.9288158795345698</v>
      </c>
      <c r="AI351" s="4">
        <v>21.1142857142857</v>
      </c>
      <c r="AJ351" s="4">
        <v>13.7</v>
      </c>
      <c r="AK351" s="4">
        <v>17.534595811891901</v>
      </c>
      <c r="AL351" s="1">
        <v>35</v>
      </c>
      <c r="AM351" s="5">
        <v>1168.7523314452301</v>
      </c>
      <c r="AN351" s="4">
        <v>168.969864655984</v>
      </c>
      <c r="AO351" s="4">
        <v>0.14457285783297</v>
      </c>
      <c r="AP351" s="1" t="s">
        <v>403</v>
      </c>
      <c r="AQ351" s="1" t="s">
        <v>156</v>
      </c>
      <c r="AR351" s="1" t="s">
        <v>270</v>
      </c>
      <c r="AS351" s="1">
        <v>9</v>
      </c>
      <c r="AT351" s="4">
        <v>1.0518770983007071</v>
      </c>
      <c r="AU351" s="1" t="s">
        <v>1599</v>
      </c>
      <c r="AV351" s="1" t="s">
        <v>1600</v>
      </c>
      <c r="AW351" s="1">
        <v>1213</v>
      </c>
      <c r="AX351" s="1">
        <v>700</v>
      </c>
      <c r="AY351" s="1">
        <v>375</v>
      </c>
      <c r="AZ351" s="1">
        <v>125</v>
      </c>
      <c r="BA351" s="1">
        <v>13</v>
      </c>
      <c r="BB351" s="1">
        <v>0</v>
      </c>
      <c r="BC351" s="1">
        <v>0</v>
      </c>
      <c r="BD351" s="1">
        <v>0</v>
      </c>
      <c r="BE351" s="1">
        <v>0</v>
      </c>
      <c r="BF351" s="1">
        <v>0</v>
      </c>
      <c r="BG351" s="1">
        <v>0</v>
      </c>
      <c r="BH351" s="4">
        <v>1E-3</v>
      </c>
      <c r="BI351" s="4">
        <v>22.240998999999999</v>
      </c>
      <c r="BJ351" s="4">
        <v>13.265701</v>
      </c>
      <c r="BK351" s="4">
        <v>1E-3</v>
      </c>
      <c r="BL351" s="4">
        <v>7.8315219999999997</v>
      </c>
      <c r="BM351" s="4">
        <v>61.332737000000002</v>
      </c>
      <c r="BN351" s="4">
        <v>0.59035899999999997</v>
      </c>
      <c r="BO351" s="4">
        <v>14.130998999999999</v>
      </c>
      <c r="BP351" s="4">
        <v>-0.89500999999999997</v>
      </c>
      <c r="BQ351" s="4">
        <v>2.0163920000000002</v>
      </c>
      <c r="BR351" s="4">
        <v>6.8960980000000003</v>
      </c>
      <c r="BS351" s="4">
        <v>2.0179999999999998</v>
      </c>
      <c r="BT351" s="4">
        <v>17.356999999999999</v>
      </c>
      <c r="BU351" s="4">
        <v>13.265701</v>
      </c>
      <c r="BV351" s="4">
        <v>4.0138550000000004</v>
      </c>
      <c r="BW351" s="4">
        <v>-1.2342930000000001</v>
      </c>
      <c r="BX351" s="4">
        <v>5.77E-3</v>
      </c>
      <c r="BY351" s="4">
        <v>0.30257400000000001</v>
      </c>
      <c r="BZ351" s="4">
        <v>-0.307508</v>
      </c>
      <c r="CA351" s="4">
        <v>1.438E-3</v>
      </c>
      <c r="CB351" s="4">
        <v>4.1200000000000004E-3</v>
      </c>
      <c r="CC351" s="4">
        <v>1.7000000000000001E-2</v>
      </c>
      <c r="CD351" s="4">
        <v>3.7199999999999997E-2</v>
      </c>
      <c r="CE351" s="4">
        <v>0.47839900000000002</v>
      </c>
      <c r="CF351" s="4">
        <v>4.6900000000000004</v>
      </c>
      <c r="CG351" s="4">
        <v>13.0908</v>
      </c>
      <c r="CH351" s="4">
        <v>16.3978</v>
      </c>
      <c r="CI351" s="4">
        <v>17.358000000000001</v>
      </c>
      <c r="CJ351" s="4">
        <v>17.873999000000001</v>
      </c>
      <c r="CK351" s="4">
        <v>18.555201</v>
      </c>
      <c r="CL351" s="4">
        <v>18.820999</v>
      </c>
      <c r="CM351" s="4">
        <v>19.1968</v>
      </c>
      <c r="CN351" s="4">
        <v>19.889799</v>
      </c>
      <c r="CO351" s="4">
        <v>20.432400000000001</v>
      </c>
      <c r="CP351" s="4">
        <v>21.4114</v>
      </c>
      <c r="CQ351" s="4">
        <v>0.59643400000000002</v>
      </c>
      <c r="CR351" s="4">
        <v>15.403278999999999</v>
      </c>
      <c r="CS351" s="4">
        <v>16.316344000000001</v>
      </c>
      <c r="CT351" s="1">
        <v>22</v>
      </c>
      <c r="CU351" s="1">
        <v>450</v>
      </c>
      <c r="CV351" s="4">
        <v>102.58367699999999</v>
      </c>
      <c r="CW351" s="4">
        <v>55.968254000000002</v>
      </c>
      <c r="CX351" s="4">
        <v>62.054476000000001</v>
      </c>
      <c r="CY351" s="4">
        <v>3850.7580499999999</v>
      </c>
      <c r="CZ351" s="4">
        <v>0.60491600000000001</v>
      </c>
      <c r="DA351" s="4">
        <v>81</v>
      </c>
      <c r="DB351" s="4">
        <v>1.50972</v>
      </c>
      <c r="DC351" s="4">
        <v>6.6095179999999996</v>
      </c>
      <c r="DD351" s="4">
        <v>48.017575000000001</v>
      </c>
      <c r="DE351" s="4">
        <v>102.58367699999999</v>
      </c>
      <c r="DF351" s="4">
        <v>32.744669000000002</v>
      </c>
      <c r="DG351" s="4">
        <v>7.8271389999999998</v>
      </c>
      <c r="DH351" s="4">
        <v>3.914533</v>
      </c>
      <c r="DI351" s="4">
        <v>0.31919999999999998</v>
      </c>
      <c r="DJ351" s="4">
        <v>0.239036</v>
      </c>
      <c r="DK351" s="4">
        <v>0.119547</v>
      </c>
      <c r="DL351" s="4">
        <v>27.119999</v>
      </c>
      <c r="DM351" s="4">
        <v>34</v>
      </c>
      <c r="DN351" s="4">
        <v>39</v>
      </c>
      <c r="DO351" s="4">
        <v>50</v>
      </c>
      <c r="DP351" s="4">
        <v>56</v>
      </c>
      <c r="DQ351" s="4">
        <v>61</v>
      </c>
      <c r="DR351" s="4">
        <v>73</v>
      </c>
      <c r="DS351" s="4">
        <v>88</v>
      </c>
      <c r="DT351" s="4">
        <v>105</v>
      </c>
      <c r="DU351" s="4">
        <v>125</v>
      </c>
      <c r="DV351" s="4">
        <v>137</v>
      </c>
      <c r="DW351" s="4">
        <v>151.599976</v>
      </c>
      <c r="DX351" s="4">
        <v>179</v>
      </c>
      <c r="DY351" s="4">
        <v>215.400024</v>
      </c>
      <c r="DZ351" s="4">
        <v>326.32006799999999</v>
      </c>
      <c r="EA351" s="4">
        <v>97.285713999999999</v>
      </c>
      <c r="EB351" s="4">
        <v>76.834294999999997</v>
      </c>
      <c r="EC351" s="4">
        <v>133.14285699999999</v>
      </c>
      <c r="ED351" s="4">
        <v>681</v>
      </c>
      <c r="EE351" s="4">
        <v>932</v>
      </c>
      <c r="EF351" s="4">
        <v>94.285713999999999</v>
      </c>
      <c r="EG351" s="4">
        <v>100</v>
      </c>
      <c r="EH351" s="4">
        <v>69.826875999999999</v>
      </c>
      <c r="EI351" s="4">
        <v>99.670238999999995</v>
      </c>
      <c r="EJ351" s="4">
        <v>121</v>
      </c>
      <c r="EK351" s="4">
        <v>172.71428599999999</v>
      </c>
      <c r="EL351" s="4">
        <v>660</v>
      </c>
      <c r="EM351" s="4">
        <v>700</v>
      </c>
      <c r="EN351" s="4">
        <v>847</v>
      </c>
      <c r="EO351" s="4">
        <v>1209</v>
      </c>
      <c r="EP351" s="4">
        <v>700</v>
      </c>
      <c r="EQ351" s="4">
        <v>1213</v>
      </c>
      <c r="ER351" s="4">
        <v>60.944324000000002</v>
      </c>
    </row>
    <row r="352" spans="1:148" x14ac:dyDescent="0.2">
      <c r="A352" s="1">
        <v>2025</v>
      </c>
      <c r="B352" s="1" t="str">
        <f t="shared" si="10"/>
        <v>GN</v>
      </c>
      <c r="C352" s="1" t="s">
        <v>1602</v>
      </c>
      <c r="D352" s="1" t="s">
        <v>1602</v>
      </c>
      <c r="E352" s="1">
        <v>28983</v>
      </c>
      <c r="F352" s="1" t="s">
        <v>2182</v>
      </c>
      <c r="G352" s="1" t="s">
        <v>2012</v>
      </c>
      <c r="H352" s="1" t="s">
        <v>1940</v>
      </c>
      <c r="I352" s="1">
        <v>62.8</v>
      </c>
      <c r="J352" s="1">
        <v>62.8</v>
      </c>
      <c r="K352" s="1" t="s">
        <v>192</v>
      </c>
      <c r="L352" s="1">
        <v>1</v>
      </c>
      <c r="M352" s="3">
        <v>2021</v>
      </c>
      <c r="O352" s="1">
        <v>1</v>
      </c>
      <c r="P352" s="1" t="str">
        <f t="shared" si="11"/>
        <v>Alto fuste</v>
      </c>
      <c r="Q352" s="2">
        <v>44294</v>
      </c>
      <c r="R352" s="1" t="s">
        <v>169</v>
      </c>
      <c r="S352" s="1" t="s">
        <v>403</v>
      </c>
      <c r="T352" s="1" t="s">
        <v>2268</v>
      </c>
      <c r="U352" s="1" t="s">
        <v>192</v>
      </c>
      <c r="V352" s="1" t="s">
        <v>152</v>
      </c>
      <c r="W352" s="2">
        <v>45729</v>
      </c>
      <c r="X352" s="1" t="s">
        <v>2183</v>
      </c>
      <c r="Y352" s="1">
        <v>466.34</v>
      </c>
      <c r="Z352" s="1">
        <v>20.399999999999999</v>
      </c>
      <c r="AA352" s="1">
        <v>24</v>
      </c>
      <c r="AB352" s="1">
        <v>15.4</v>
      </c>
      <c r="AC352" s="1">
        <v>9</v>
      </c>
      <c r="AD352" s="3">
        <v>314.16000000000003</v>
      </c>
      <c r="AE352" s="3">
        <v>283.46600160635398</v>
      </c>
      <c r="AF352" s="2">
        <v>45729</v>
      </c>
      <c r="AG352" s="1">
        <v>47</v>
      </c>
      <c r="AH352" s="3">
        <v>3.9288158795345698</v>
      </c>
      <c r="AI352" s="4">
        <v>20.841025641025599</v>
      </c>
      <c r="AJ352" s="4">
        <v>13.3153846153846</v>
      </c>
      <c r="AK352" s="4">
        <v>19.859103295963799</v>
      </c>
      <c r="AL352" s="1">
        <v>39</v>
      </c>
      <c r="AM352" s="5">
        <v>1375.8263699700699</v>
      </c>
      <c r="AN352" s="4">
        <v>193.01718676003</v>
      </c>
      <c r="AO352" s="4">
        <v>0.14029182095428899</v>
      </c>
      <c r="AP352" s="1" t="s">
        <v>403</v>
      </c>
      <c r="AQ352" s="1" t="s">
        <v>156</v>
      </c>
      <c r="AR352" s="1" t="s">
        <v>270</v>
      </c>
      <c r="AS352" s="1">
        <v>9</v>
      </c>
      <c r="AT352" s="4">
        <v>1.2382437329730629</v>
      </c>
      <c r="AU352" s="1" t="s">
        <v>1601</v>
      </c>
      <c r="AV352" s="1" t="s">
        <v>1602</v>
      </c>
      <c r="AW352" s="1">
        <v>1241</v>
      </c>
      <c r="AX352" s="1">
        <v>714</v>
      </c>
      <c r="AY352" s="1">
        <v>413</v>
      </c>
      <c r="AZ352" s="1">
        <v>105</v>
      </c>
      <c r="BA352" s="1">
        <v>7</v>
      </c>
      <c r="BB352" s="1">
        <v>2</v>
      </c>
      <c r="BC352" s="1">
        <v>0</v>
      </c>
      <c r="BD352" s="1">
        <v>0</v>
      </c>
      <c r="BE352" s="1">
        <v>0</v>
      </c>
      <c r="BF352" s="1">
        <v>0</v>
      </c>
      <c r="BG352" s="1">
        <v>0</v>
      </c>
      <c r="BH352" s="4">
        <v>0</v>
      </c>
      <c r="BI352" s="4">
        <v>23.941998999999999</v>
      </c>
      <c r="BJ352" s="4">
        <v>15.489401000000001</v>
      </c>
      <c r="BK352" s="4">
        <v>0</v>
      </c>
      <c r="BL352" s="4">
        <v>7.938758</v>
      </c>
      <c r="BM352" s="4">
        <v>63.023885</v>
      </c>
      <c r="BN352" s="4">
        <v>0.51252799999999998</v>
      </c>
      <c r="BO352" s="4">
        <v>11.290998999999999</v>
      </c>
      <c r="BP352" s="4">
        <v>-1.104295</v>
      </c>
      <c r="BQ352" s="4">
        <v>2.4836279999999999</v>
      </c>
      <c r="BR352" s="4">
        <v>6.7190050000000001</v>
      </c>
      <c r="BS352" s="4">
        <v>1.859999</v>
      </c>
      <c r="BT352" s="4">
        <v>19.256001000000001</v>
      </c>
      <c r="BU352" s="4">
        <v>15.489401000000001</v>
      </c>
      <c r="BV352" s="4">
        <v>3.9652020000000001</v>
      </c>
      <c r="BW352" s="4">
        <v>-1.4710080000000001</v>
      </c>
      <c r="BX352" s="4">
        <v>0.31131500000000001</v>
      </c>
      <c r="BY352" s="4">
        <v>0.25599499999999997</v>
      </c>
      <c r="BZ352" s="4">
        <v>-0.370979</v>
      </c>
      <c r="CA352" s="4">
        <v>7.8511999999999998E-2</v>
      </c>
      <c r="CB352" s="4">
        <v>7.4000000000000003E-3</v>
      </c>
      <c r="CC352" s="4">
        <v>2.8000000000000001E-2</v>
      </c>
      <c r="CD352" s="4">
        <v>9.8000000000000004E-2</v>
      </c>
      <c r="CE352" s="4">
        <v>4.7069999999999999</v>
      </c>
      <c r="CF352" s="4">
        <v>9.5150000000000006</v>
      </c>
      <c r="CG352" s="4">
        <v>17.452000000000002</v>
      </c>
      <c r="CH352" s="4">
        <v>18.584</v>
      </c>
      <c r="CI352" s="4">
        <v>19.256001000000001</v>
      </c>
      <c r="CJ352" s="4">
        <v>19.902000000000001</v>
      </c>
      <c r="CK352" s="4">
        <v>20.497</v>
      </c>
      <c r="CL352" s="4">
        <v>20.806000000000001</v>
      </c>
      <c r="CM352" s="4">
        <v>21.131001000000001</v>
      </c>
      <c r="CN352" s="4">
        <v>21.802</v>
      </c>
      <c r="CO352" s="4">
        <v>22.343</v>
      </c>
      <c r="CP352" s="4">
        <v>23.186399000000002</v>
      </c>
      <c r="CQ352" s="4">
        <v>0.64695499999999995</v>
      </c>
      <c r="CR352" s="4">
        <v>17.403869</v>
      </c>
      <c r="CS352" s="4">
        <v>18.262025999999999</v>
      </c>
      <c r="CT352" s="1">
        <v>21</v>
      </c>
      <c r="CU352" s="1">
        <v>462</v>
      </c>
      <c r="CV352" s="4">
        <v>103.157937</v>
      </c>
      <c r="CW352" s="4">
        <v>42</v>
      </c>
      <c r="CX352" s="4">
        <v>63.055691000000003</v>
      </c>
      <c r="CY352" s="4">
        <v>3976.0201969999998</v>
      </c>
      <c r="CZ352" s="4">
        <v>0.61125399999999996</v>
      </c>
      <c r="DA352" s="4">
        <v>82</v>
      </c>
      <c r="DB352" s="4">
        <v>1.495403</v>
      </c>
      <c r="DC352" s="4">
        <v>6.4397289999999998</v>
      </c>
      <c r="DD352" s="4">
        <v>48.779727999999999</v>
      </c>
      <c r="DE352" s="4">
        <v>103.157937</v>
      </c>
      <c r="DF352" s="4">
        <v>33.282736</v>
      </c>
      <c r="DG352" s="4">
        <v>8.1939109999999999</v>
      </c>
      <c r="DH352" s="4">
        <v>3.9930400000000001</v>
      </c>
      <c r="DI352" s="4">
        <v>0.32263900000000001</v>
      </c>
      <c r="DJ352" s="4">
        <v>0.24619099999999999</v>
      </c>
      <c r="DK352" s="4">
        <v>0.119973</v>
      </c>
      <c r="DL352" s="4">
        <v>27</v>
      </c>
      <c r="DM352" s="4">
        <v>34</v>
      </c>
      <c r="DN352" s="4">
        <v>40</v>
      </c>
      <c r="DO352" s="4">
        <v>50</v>
      </c>
      <c r="DP352" s="4">
        <v>55</v>
      </c>
      <c r="DQ352" s="4">
        <v>59</v>
      </c>
      <c r="DR352" s="4">
        <v>74</v>
      </c>
      <c r="DS352" s="4">
        <v>88</v>
      </c>
      <c r="DT352" s="4">
        <v>103</v>
      </c>
      <c r="DU352" s="4">
        <v>125</v>
      </c>
      <c r="DV352" s="4">
        <v>137</v>
      </c>
      <c r="DW352" s="4">
        <v>150</v>
      </c>
      <c r="DX352" s="4">
        <v>187</v>
      </c>
      <c r="DY352" s="4">
        <v>214</v>
      </c>
      <c r="DZ352" s="4">
        <v>326.79992700000003</v>
      </c>
      <c r="EA352" s="4">
        <v>97.759103999999994</v>
      </c>
      <c r="EB352" s="4">
        <v>84.206284999999994</v>
      </c>
      <c r="EC352" s="4">
        <v>146.358543</v>
      </c>
      <c r="ED352" s="4">
        <v>698</v>
      </c>
      <c r="EE352" s="4">
        <v>1045</v>
      </c>
      <c r="EF352" s="4">
        <v>94.817926999999997</v>
      </c>
      <c r="EG352" s="4">
        <v>100</v>
      </c>
      <c r="EH352" s="4">
        <v>73.408541</v>
      </c>
      <c r="EI352" s="4">
        <v>99.838840000000005</v>
      </c>
      <c r="EJ352" s="4">
        <v>127.591036</v>
      </c>
      <c r="EK352" s="4">
        <v>173.52941200000001</v>
      </c>
      <c r="EL352" s="4">
        <v>677</v>
      </c>
      <c r="EM352" s="4">
        <v>714</v>
      </c>
      <c r="EN352" s="4">
        <v>911</v>
      </c>
      <c r="EO352" s="4">
        <v>1239</v>
      </c>
      <c r="EP352" s="4">
        <v>714</v>
      </c>
      <c r="EQ352" s="4">
        <v>1241</v>
      </c>
      <c r="ER352" s="4">
        <v>65.798314000000005</v>
      </c>
    </row>
    <row r="353" spans="1:148" x14ac:dyDescent="0.2">
      <c r="A353" s="1">
        <v>2025</v>
      </c>
      <c r="B353" s="1" t="str">
        <f t="shared" si="10"/>
        <v>GN</v>
      </c>
      <c r="C353" s="1" t="s">
        <v>1604</v>
      </c>
      <c r="D353" s="1" t="s">
        <v>1604</v>
      </c>
      <c r="E353" s="1">
        <v>28984</v>
      </c>
      <c r="F353" s="1" t="s">
        <v>2182</v>
      </c>
      <c r="G353" s="1" t="s">
        <v>2012</v>
      </c>
      <c r="H353" s="1" t="s">
        <v>1940</v>
      </c>
      <c r="I353" s="1">
        <v>62.8</v>
      </c>
      <c r="J353" s="1">
        <v>62.8</v>
      </c>
      <c r="K353" s="1" t="s">
        <v>192</v>
      </c>
      <c r="L353" s="1">
        <v>1</v>
      </c>
      <c r="M353" s="3">
        <v>2021</v>
      </c>
      <c r="O353" s="1">
        <v>1</v>
      </c>
      <c r="P353" s="1" t="str">
        <f t="shared" si="11"/>
        <v>Alto fuste</v>
      </c>
      <c r="Q353" s="2">
        <v>44294</v>
      </c>
      <c r="R353" s="1" t="s">
        <v>169</v>
      </c>
      <c r="S353" s="1" t="s">
        <v>403</v>
      </c>
      <c r="T353" s="1" t="s">
        <v>2268</v>
      </c>
      <c r="U353" s="1" t="s">
        <v>192</v>
      </c>
      <c r="V353" s="1" t="s">
        <v>152</v>
      </c>
      <c r="W353" s="2">
        <v>44764</v>
      </c>
      <c r="X353" s="1" t="s">
        <v>2183</v>
      </c>
      <c r="Y353" s="1">
        <v>466.34</v>
      </c>
      <c r="Z353" s="1">
        <v>21.5</v>
      </c>
      <c r="AA353" s="1">
        <v>8</v>
      </c>
      <c r="AB353" s="1">
        <v>14.8</v>
      </c>
      <c r="AC353" s="1">
        <v>1</v>
      </c>
      <c r="AD353" s="3">
        <v>318.2</v>
      </c>
      <c r="AE353" s="3">
        <v>315.05530771482103</v>
      </c>
      <c r="AF353" s="2">
        <v>45729</v>
      </c>
      <c r="AG353" s="1">
        <v>47</v>
      </c>
      <c r="AH353" s="3">
        <v>3.9288158795345698</v>
      </c>
      <c r="AI353" s="4">
        <v>20.769696969697002</v>
      </c>
      <c r="AJ353" s="4">
        <v>14.2060606060606</v>
      </c>
      <c r="AK353" s="4">
        <v>16.927519476690399</v>
      </c>
      <c r="AL353" s="1">
        <v>33</v>
      </c>
      <c r="AM353" s="5">
        <v>1047.43513890808</v>
      </c>
      <c r="AN353" s="4">
        <v>160.34446684261201</v>
      </c>
      <c r="AO353" s="4">
        <v>0.15308295558020599</v>
      </c>
      <c r="AP353" s="1" t="s">
        <v>403</v>
      </c>
      <c r="AQ353" s="1" t="s">
        <v>156</v>
      </c>
      <c r="AR353" s="1" t="s">
        <v>270</v>
      </c>
      <c r="AS353" s="1">
        <v>9</v>
      </c>
      <c r="AT353" s="4">
        <v>0.94269162501727211</v>
      </c>
      <c r="AU353" s="1" t="s">
        <v>1603</v>
      </c>
      <c r="AV353" s="1" t="s">
        <v>1604</v>
      </c>
      <c r="AW353" s="1">
        <v>1197</v>
      </c>
      <c r="AX353" s="1">
        <v>705</v>
      </c>
      <c r="AY353" s="1">
        <v>387</v>
      </c>
      <c r="AZ353" s="1">
        <v>103</v>
      </c>
      <c r="BA353" s="1">
        <v>2</v>
      </c>
      <c r="BB353" s="1">
        <v>0</v>
      </c>
      <c r="BC353" s="1">
        <v>0</v>
      </c>
      <c r="BD353" s="1">
        <v>0</v>
      </c>
      <c r="BE353" s="1">
        <v>0</v>
      </c>
      <c r="BF353" s="1">
        <v>0</v>
      </c>
      <c r="BG353" s="1">
        <v>0</v>
      </c>
      <c r="BH353" s="4">
        <v>0</v>
      </c>
      <c r="BI353" s="4">
        <v>21.856999999999999</v>
      </c>
      <c r="BJ353" s="4">
        <v>13.348291</v>
      </c>
      <c r="BK353" s="4">
        <v>0</v>
      </c>
      <c r="BL353" s="4">
        <v>7.9764220000000003</v>
      </c>
      <c r="BM353" s="4">
        <v>63.623309999999996</v>
      </c>
      <c r="BN353" s="4">
        <v>0.59756100000000001</v>
      </c>
      <c r="BO353" s="4">
        <v>14.090999</v>
      </c>
      <c r="BP353" s="4">
        <v>-0.90701900000000002</v>
      </c>
      <c r="BQ353" s="4">
        <v>2.01918</v>
      </c>
      <c r="BR353" s="4">
        <v>7.0307069999999996</v>
      </c>
      <c r="BS353" s="4">
        <v>2.0180009999999999</v>
      </c>
      <c r="BT353" s="4">
        <v>17.440000999999999</v>
      </c>
      <c r="BU353" s="4">
        <v>13.348291</v>
      </c>
      <c r="BV353" s="4">
        <v>4.0616149999999998</v>
      </c>
      <c r="BW353" s="4">
        <v>-1.2700670000000001</v>
      </c>
      <c r="BX353" s="4">
        <v>-2.2429000000000001E-2</v>
      </c>
      <c r="BY353" s="4">
        <v>0.30427999999999999</v>
      </c>
      <c r="BZ353" s="4">
        <v>-0.31269999999999998</v>
      </c>
      <c r="CA353" s="4">
        <v>-5.522E-3</v>
      </c>
      <c r="CB353" s="4">
        <v>3.0000000000000001E-3</v>
      </c>
      <c r="CC353" s="4">
        <v>1.2800000000000001E-2</v>
      </c>
      <c r="CD353" s="4">
        <v>2.7E-2</v>
      </c>
      <c r="CE353" s="4">
        <v>8.1000000000000003E-2</v>
      </c>
      <c r="CF353" s="4">
        <v>5.032</v>
      </c>
      <c r="CG353" s="4">
        <v>12.491999</v>
      </c>
      <c r="CH353" s="4">
        <v>16.698</v>
      </c>
      <c r="CI353" s="4">
        <v>17.440000999999999</v>
      </c>
      <c r="CJ353" s="4">
        <v>18.1374</v>
      </c>
      <c r="CK353" s="4">
        <v>18.732599</v>
      </c>
      <c r="CL353" s="4">
        <v>19.122999</v>
      </c>
      <c r="CM353" s="4">
        <v>19.341000000000001</v>
      </c>
      <c r="CN353" s="4">
        <v>20.089200999999999</v>
      </c>
      <c r="CO353" s="4">
        <v>20.527201000000002</v>
      </c>
      <c r="CP353" s="4">
        <v>21.110040999999999</v>
      </c>
      <c r="CQ353" s="4">
        <v>0.61070999999999998</v>
      </c>
      <c r="CR353" s="4">
        <v>15.548216</v>
      </c>
      <c r="CS353" s="4">
        <v>16.465610999999999</v>
      </c>
      <c r="CT353" s="1">
        <v>23</v>
      </c>
      <c r="CU353" s="1">
        <v>471</v>
      </c>
      <c r="CV353" s="4">
        <v>106.092732</v>
      </c>
      <c r="CW353" s="4">
        <v>37.222222000000002</v>
      </c>
      <c r="CX353" s="4">
        <v>71.002571000000003</v>
      </c>
      <c r="CY353" s="4">
        <v>5041.3651390000005</v>
      </c>
      <c r="CZ353" s="4">
        <v>0.66925000000000001</v>
      </c>
      <c r="DA353" s="4">
        <v>82</v>
      </c>
      <c r="DB353" s="4">
        <v>1.755002</v>
      </c>
      <c r="DC353" s="4">
        <v>6.8887280000000004</v>
      </c>
      <c r="DD353" s="4">
        <v>52.668911000000001</v>
      </c>
      <c r="DE353" s="4">
        <v>106.092732</v>
      </c>
      <c r="DF353" s="4">
        <v>36.212643</v>
      </c>
      <c r="DG353" s="4">
        <v>10.81739</v>
      </c>
      <c r="DH353" s="4">
        <v>5.8777439999999999</v>
      </c>
      <c r="DI353" s="4">
        <v>0.34133000000000002</v>
      </c>
      <c r="DJ353" s="4">
        <v>0.29871900000000001</v>
      </c>
      <c r="DK353" s="4">
        <v>0.16231200000000001</v>
      </c>
      <c r="DL353" s="4">
        <v>27</v>
      </c>
      <c r="DM353" s="4">
        <v>34.799999</v>
      </c>
      <c r="DN353" s="4">
        <v>40</v>
      </c>
      <c r="DO353" s="4">
        <v>49</v>
      </c>
      <c r="DP353" s="4">
        <v>54</v>
      </c>
      <c r="DQ353" s="4">
        <v>58</v>
      </c>
      <c r="DR353" s="4">
        <v>73</v>
      </c>
      <c r="DS353" s="4">
        <v>87</v>
      </c>
      <c r="DT353" s="4">
        <v>104</v>
      </c>
      <c r="DU353" s="4">
        <v>124</v>
      </c>
      <c r="DV353" s="4">
        <v>136</v>
      </c>
      <c r="DW353" s="4">
        <v>150</v>
      </c>
      <c r="DX353" s="4">
        <v>190.400024</v>
      </c>
      <c r="DY353" s="4">
        <v>250.399902</v>
      </c>
      <c r="DZ353" s="4">
        <v>375.12011699999999</v>
      </c>
      <c r="EA353" s="4">
        <v>94.751773</v>
      </c>
      <c r="EB353" s="4">
        <v>76.190476000000004</v>
      </c>
      <c r="EC353" s="4">
        <v>129.36170200000001</v>
      </c>
      <c r="ED353" s="4">
        <v>668</v>
      </c>
      <c r="EE353" s="4">
        <v>912</v>
      </c>
      <c r="EF353" s="4">
        <v>92.48227</v>
      </c>
      <c r="EG353" s="4">
        <v>100</v>
      </c>
      <c r="EH353" s="4">
        <v>69.841269999999994</v>
      </c>
      <c r="EI353" s="4">
        <v>99.916458000000006</v>
      </c>
      <c r="EJ353" s="4">
        <v>118.58156</v>
      </c>
      <c r="EK353" s="4">
        <v>169.64538999999999</v>
      </c>
      <c r="EL353" s="4">
        <v>652</v>
      </c>
      <c r="EM353" s="4">
        <v>705</v>
      </c>
      <c r="EN353" s="4">
        <v>836</v>
      </c>
      <c r="EO353" s="4">
        <v>1196</v>
      </c>
      <c r="EP353" s="4">
        <v>705</v>
      </c>
      <c r="EQ353" s="4">
        <v>1197</v>
      </c>
      <c r="ER353" s="4">
        <v>62.245542999999998</v>
      </c>
    </row>
    <row r="354" spans="1:148" x14ac:dyDescent="0.2">
      <c r="A354" s="1">
        <v>2025</v>
      </c>
      <c r="B354" s="1" t="str">
        <f t="shared" si="10"/>
        <v>GN</v>
      </c>
      <c r="C354" s="1" t="s">
        <v>1606</v>
      </c>
      <c r="D354" s="1" t="s">
        <v>1606</v>
      </c>
      <c r="E354" s="1">
        <v>29794</v>
      </c>
      <c r="F354" s="1" t="s">
        <v>2184</v>
      </c>
      <c r="G354" s="1" t="s">
        <v>2013</v>
      </c>
      <c r="H354" s="1" t="s">
        <v>1941</v>
      </c>
      <c r="I354" s="1">
        <v>40.36</v>
      </c>
      <c r="J354" s="1">
        <v>40.36</v>
      </c>
      <c r="K354" s="1" t="s">
        <v>192</v>
      </c>
      <c r="L354" s="1">
        <v>1</v>
      </c>
      <c r="M354" s="3">
        <v>2022</v>
      </c>
      <c r="O354" s="1">
        <v>1</v>
      </c>
      <c r="P354" s="1" t="str">
        <f t="shared" si="11"/>
        <v>Alto fuste</v>
      </c>
      <c r="Q354" s="2">
        <v>44771</v>
      </c>
      <c r="R354" s="1" t="s">
        <v>169</v>
      </c>
      <c r="S354" s="1" t="s">
        <v>163</v>
      </c>
      <c r="T354" s="1" t="s">
        <v>2268</v>
      </c>
      <c r="U354" s="1" t="s">
        <v>192</v>
      </c>
      <c r="V354" s="1" t="s">
        <v>152</v>
      </c>
      <c r="W354" s="2">
        <v>45733</v>
      </c>
      <c r="X354" s="1" t="s">
        <v>2185</v>
      </c>
      <c r="Y354" s="1">
        <v>269.37</v>
      </c>
      <c r="Z354" s="1">
        <v>21.2</v>
      </c>
      <c r="AA354" s="1">
        <v>20</v>
      </c>
      <c r="AB354" s="1">
        <v>14.8</v>
      </c>
      <c r="AC354" s="1">
        <v>3</v>
      </c>
      <c r="AD354" s="3">
        <v>313.76</v>
      </c>
      <c r="AE354" s="3">
        <v>294.43389152510002</v>
      </c>
      <c r="AF354" s="2">
        <v>45733</v>
      </c>
      <c r="AG354" s="1">
        <v>32</v>
      </c>
      <c r="AH354" s="3">
        <v>2.6338124572210799</v>
      </c>
      <c r="AI354" s="4">
        <v>21.111428571428601</v>
      </c>
      <c r="AJ354" s="4">
        <v>12.82</v>
      </c>
      <c r="AK354" s="4">
        <v>15.4188936434774</v>
      </c>
      <c r="AL354" s="1">
        <v>35</v>
      </c>
      <c r="AM354" s="5">
        <v>1188.72184919705</v>
      </c>
      <c r="AN354" s="4">
        <v>148.7993493635</v>
      </c>
      <c r="AO354" s="4">
        <v>0.12517591854142299</v>
      </c>
      <c r="AP354" s="1" t="s">
        <v>163</v>
      </c>
      <c r="AQ354" s="1" t="s">
        <v>156</v>
      </c>
      <c r="AR354" s="1" t="s">
        <v>270</v>
      </c>
      <c r="AS354" s="1">
        <v>9</v>
      </c>
      <c r="AT354" s="4">
        <v>1.069849664277345</v>
      </c>
      <c r="AU354" s="1" t="s">
        <v>1605</v>
      </c>
      <c r="AV354" s="1" t="s">
        <v>1606</v>
      </c>
      <c r="AW354" s="1">
        <v>1174</v>
      </c>
      <c r="AX354" s="1">
        <v>688</v>
      </c>
      <c r="AY354" s="1">
        <v>354</v>
      </c>
      <c r="AZ354" s="1">
        <v>121</v>
      </c>
      <c r="BA354" s="1">
        <v>10</v>
      </c>
      <c r="BB354" s="1">
        <v>1</v>
      </c>
      <c r="BC354" s="1">
        <v>0</v>
      </c>
      <c r="BD354" s="1">
        <v>0</v>
      </c>
      <c r="BE354" s="1">
        <v>0</v>
      </c>
      <c r="BF354" s="1">
        <v>0</v>
      </c>
      <c r="BG354" s="1">
        <v>0</v>
      </c>
      <c r="BH354" s="4">
        <v>0</v>
      </c>
      <c r="BI354" s="4">
        <v>21.193000999999999</v>
      </c>
      <c r="BJ354" s="4">
        <v>13.154755</v>
      </c>
      <c r="BK354" s="4">
        <v>0</v>
      </c>
      <c r="BL354" s="4">
        <v>7.3308790000000004</v>
      </c>
      <c r="BM354" s="4">
        <v>53.741791999999997</v>
      </c>
      <c r="BN354" s="4">
        <v>0.55728</v>
      </c>
      <c r="BO354" s="4">
        <v>4.694</v>
      </c>
      <c r="BP354" s="4">
        <v>-1.083326</v>
      </c>
      <c r="BQ354" s="4">
        <v>2.4448970000000001</v>
      </c>
      <c r="BR354" s="4">
        <v>6.0452760000000003</v>
      </c>
      <c r="BS354" s="4">
        <v>2.2715000000000001</v>
      </c>
      <c r="BT354" s="4">
        <v>16.117000999999998</v>
      </c>
      <c r="BU354" s="4">
        <v>13.154755</v>
      </c>
      <c r="BV354" s="4">
        <v>3.6835049999999998</v>
      </c>
      <c r="BW354" s="4">
        <v>-1.197614</v>
      </c>
      <c r="BX354" s="4">
        <v>0.190219</v>
      </c>
      <c r="BY354" s="4">
        <v>0.28001300000000001</v>
      </c>
      <c r="BZ354" s="4">
        <v>-0.325129</v>
      </c>
      <c r="CA354" s="4">
        <v>5.1640999999999999E-2</v>
      </c>
      <c r="CB354" s="4">
        <v>2E-3</v>
      </c>
      <c r="CC354" s="4">
        <v>1.0999999999999999E-2</v>
      </c>
      <c r="CD354" s="4">
        <v>2.5999999999999999E-2</v>
      </c>
      <c r="CE354" s="4">
        <v>0.11899999999999999</v>
      </c>
      <c r="CF354" s="4">
        <v>13.651751000000001</v>
      </c>
      <c r="CG354" s="4">
        <v>14.327</v>
      </c>
      <c r="CH354" s="4">
        <v>15.262600000000001</v>
      </c>
      <c r="CI354" s="4">
        <v>16.117000999999998</v>
      </c>
      <c r="CJ354" s="4">
        <v>17.036799999999999</v>
      </c>
      <c r="CK354" s="4">
        <v>17.971499999999999</v>
      </c>
      <c r="CL354" s="4">
        <v>18.345751</v>
      </c>
      <c r="CM354" s="4">
        <v>18.675799999999999</v>
      </c>
      <c r="CN354" s="4">
        <v>19.312901</v>
      </c>
      <c r="CO354" s="4">
        <v>19.761399999999998</v>
      </c>
      <c r="CP354" s="4">
        <v>20.529700999999999</v>
      </c>
      <c r="CQ354" s="4">
        <v>0.62071200000000004</v>
      </c>
      <c r="CR354" s="4">
        <v>15.058007</v>
      </c>
      <c r="CS354" s="4">
        <v>15.832935000000001</v>
      </c>
      <c r="CT354" s="1">
        <v>22</v>
      </c>
      <c r="CU354" s="1">
        <v>547</v>
      </c>
      <c r="CV354" s="4">
        <v>110.199319</v>
      </c>
      <c r="CW354" s="4">
        <v>47</v>
      </c>
      <c r="CX354" s="4">
        <v>78.480559</v>
      </c>
      <c r="CY354" s="4">
        <v>6159.1980899999999</v>
      </c>
      <c r="CZ354" s="4">
        <v>0.71216900000000005</v>
      </c>
      <c r="DA354" s="4">
        <v>80</v>
      </c>
      <c r="DB354" s="4">
        <v>2.1800660000000001</v>
      </c>
      <c r="DC354" s="4">
        <v>9.2078520000000008</v>
      </c>
      <c r="DD354" s="4">
        <v>54.641072999999999</v>
      </c>
      <c r="DE354" s="4">
        <v>110.199319</v>
      </c>
      <c r="DF354" s="4">
        <v>38.294198000000002</v>
      </c>
      <c r="DG354" s="4">
        <v>12.417097</v>
      </c>
      <c r="DH354" s="4">
        <v>7.9827579999999996</v>
      </c>
      <c r="DI354" s="4">
        <v>0.347499</v>
      </c>
      <c r="DJ354" s="4">
        <v>0.32425500000000002</v>
      </c>
      <c r="DK354" s="4">
        <v>0.20845900000000001</v>
      </c>
      <c r="DL354" s="4">
        <v>28</v>
      </c>
      <c r="DM354" s="4">
        <v>34</v>
      </c>
      <c r="DN354" s="4">
        <v>40</v>
      </c>
      <c r="DO354" s="4">
        <v>51</v>
      </c>
      <c r="DP354" s="4">
        <v>56</v>
      </c>
      <c r="DQ354" s="4">
        <v>62</v>
      </c>
      <c r="DR354" s="4">
        <v>77</v>
      </c>
      <c r="DS354" s="4">
        <v>91</v>
      </c>
      <c r="DT354" s="4">
        <v>108.799988</v>
      </c>
      <c r="DU354" s="4">
        <v>126</v>
      </c>
      <c r="DV354" s="4">
        <v>136</v>
      </c>
      <c r="DW354" s="4">
        <v>147</v>
      </c>
      <c r="DX354" s="4">
        <v>191.699951</v>
      </c>
      <c r="DY354" s="4">
        <v>275</v>
      </c>
      <c r="DZ354" s="4">
        <v>422.08007800000001</v>
      </c>
      <c r="EA354" s="4">
        <v>95.639534999999995</v>
      </c>
      <c r="EB354" s="4">
        <v>77.512777</v>
      </c>
      <c r="EC354" s="4">
        <v>132.26744199999999</v>
      </c>
      <c r="ED354" s="4">
        <v>658</v>
      </c>
      <c r="EE354" s="4">
        <v>910</v>
      </c>
      <c r="EF354" s="4">
        <v>94.186047000000002</v>
      </c>
      <c r="EG354" s="4">
        <v>100</v>
      </c>
      <c r="EH354" s="4">
        <v>75.724019999999996</v>
      </c>
      <c r="EI354" s="4">
        <v>99.659284</v>
      </c>
      <c r="EJ354" s="4">
        <v>129.21511599999999</v>
      </c>
      <c r="EK354" s="4">
        <v>170.05814000000001</v>
      </c>
      <c r="EL354" s="4">
        <v>648</v>
      </c>
      <c r="EM354" s="4">
        <v>688</v>
      </c>
      <c r="EN354" s="4">
        <v>889</v>
      </c>
      <c r="EO354" s="4">
        <v>1170</v>
      </c>
      <c r="EP354" s="4">
        <v>688</v>
      </c>
      <c r="EQ354" s="4">
        <v>1174</v>
      </c>
      <c r="ER354" s="4">
        <v>63.086483000000001</v>
      </c>
    </row>
    <row r="355" spans="1:148" x14ac:dyDescent="0.2">
      <c r="A355" s="1">
        <v>2025</v>
      </c>
      <c r="B355" s="1" t="str">
        <f t="shared" si="10"/>
        <v>GN</v>
      </c>
      <c r="C355" s="1" t="s">
        <v>1608</v>
      </c>
      <c r="D355" s="1" t="s">
        <v>1608</v>
      </c>
      <c r="E355" s="1">
        <v>29795</v>
      </c>
      <c r="F355" s="1" t="s">
        <v>2184</v>
      </c>
      <c r="G355" s="1" t="s">
        <v>2013</v>
      </c>
      <c r="H355" s="1" t="s">
        <v>1941</v>
      </c>
      <c r="I355" s="1">
        <v>40.36</v>
      </c>
      <c r="J355" s="1">
        <v>40.36</v>
      </c>
      <c r="K355" s="1" t="s">
        <v>192</v>
      </c>
      <c r="L355" s="1">
        <v>1</v>
      </c>
      <c r="M355" s="3">
        <v>2022</v>
      </c>
      <c r="O355" s="1">
        <v>1</v>
      </c>
      <c r="P355" s="1" t="str">
        <f t="shared" si="11"/>
        <v>Alto fuste</v>
      </c>
      <c r="Q355" s="2">
        <v>44771</v>
      </c>
      <c r="R355" s="1" t="s">
        <v>169</v>
      </c>
      <c r="S355" s="1" t="s">
        <v>163</v>
      </c>
      <c r="T355" s="1" t="s">
        <v>2268</v>
      </c>
      <c r="U355" s="1" t="s">
        <v>192</v>
      </c>
      <c r="V355" s="1" t="s">
        <v>152</v>
      </c>
      <c r="W355" s="2">
        <v>44765</v>
      </c>
      <c r="X355" s="1" t="s">
        <v>2185</v>
      </c>
      <c r="Y355" s="1">
        <v>269.37</v>
      </c>
      <c r="Z355" s="1">
        <v>20.9</v>
      </c>
      <c r="AA355" s="1">
        <v>7</v>
      </c>
      <c r="AB355" s="1">
        <v>15.3</v>
      </c>
      <c r="AC355" s="1">
        <v>7</v>
      </c>
      <c r="AD355" s="3">
        <v>319.77</v>
      </c>
      <c r="AE355" s="3">
        <v>315.020732195638</v>
      </c>
      <c r="AF355" s="2">
        <v>45733</v>
      </c>
      <c r="AG355" s="1">
        <v>32</v>
      </c>
      <c r="AH355" s="3">
        <v>2.6338124572210799</v>
      </c>
      <c r="AI355" s="4">
        <v>21.828571428571401</v>
      </c>
      <c r="AJ355" s="4">
        <v>13.682857142857101</v>
      </c>
      <c r="AK355" s="4">
        <v>16.4457784720842</v>
      </c>
      <c r="AL355" s="1">
        <v>35</v>
      </c>
      <c r="AM355" s="5">
        <v>1111.0379864860399</v>
      </c>
      <c r="AN355" s="4">
        <v>163.384623580897</v>
      </c>
      <c r="AO355" s="4">
        <v>0.147055839285608</v>
      </c>
      <c r="AP355" s="1" t="s">
        <v>163</v>
      </c>
      <c r="AQ355" s="1" t="s">
        <v>156</v>
      </c>
      <c r="AR355" s="1" t="s">
        <v>270</v>
      </c>
      <c r="AS355" s="1">
        <v>9</v>
      </c>
      <c r="AT355" s="4">
        <v>0.99993418783743593</v>
      </c>
      <c r="AU355" s="1" t="s">
        <v>1607</v>
      </c>
      <c r="AV355" s="1" t="s">
        <v>1608</v>
      </c>
      <c r="AW355" s="1">
        <v>1405</v>
      </c>
      <c r="AX355" s="1">
        <v>807</v>
      </c>
      <c r="AY355" s="1">
        <v>428</v>
      </c>
      <c r="AZ355" s="1">
        <v>145</v>
      </c>
      <c r="BA355" s="1">
        <v>25</v>
      </c>
      <c r="BB355" s="1">
        <v>0</v>
      </c>
      <c r="BC355" s="1">
        <v>0</v>
      </c>
      <c r="BD355" s="1">
        <v>0</v>
      </c>
      <c r="BE355" s="1">
        <v>0</v>
      </c>
      <c r="BF355" s="1">
        <v>0</v>
      </c>
      <c r="BG355" s="1">
        <v>0</v>
      </c>
      <c r="BH355" s="4">
        <v>0</v>
      </c>
      <c r="BI355" s="4">
        <v>21.766999999999999</v>
      </c>
      <c r="BJ355" s="4">
        <v>14.22828</v>
      </c>
      <c r="BK355" s="4">
        <v>0</v>
      </c>
      <c r="BL355" s="4">
        <v>7.3930990000000003</v>
      </c>
      <c r="BM355" s="4">
        <v>54.657915000000003</v>
      </c>
      <c r="BN355" s="4">
        <v>0.51960600000000001</v>
      </c>
      <c r="BO355" s="4">
        <v>4.441999</v>
      </c>
      <c r="BP355" s="4">
        <v>-1.220623</v>
      </c>
      <c r="BQ355" s="4">
        <v>2.7875860000000001</v>
      </c>
      <c r="BR355" s="4">
        <v>5.938955</v>
      </c>
      <c r="BS355" s="4">
        <v>2.198</v>
      </c>
      <c r="BT355" s="4">
        <v>17.148001000000001</v>
      </c>
      <c r="BU355" s="4">
        <v>14.22828</v>
      </c>
      <c r="BV355" s="4">
        <v>3.6491440000000002</v>
      </c>
      <c r="BW355" s="4">
        <v>-1.32291</v>
      </c>
      <c r="BX355" s="4">
        <v>0.33806399999999998</v>
      </c>
      <c r="BY355" s="4">
        <v>0.256471</v>
      </c>
      <c r="BZ355" s="4">
        <v>-0.36252600000000001</v>
      </c>
      <c r="CA355" s="4">
        <v>9.2642000000000002E-2</v>
      </c>
      <c r="CB355" s="4">
        <v>4.0000000000000001E-3</v>
      </c>
      <c r="CC355" s="4">
        <v>1.4999999999999999E-2</v>
      </c>
      <c r="CD355" s="4">
        <v>3.7400000000000003E-2</v>
      </c>
      <c r="CE355" s="4">
        <v>2.6846000000000001</v>
      </c>
      <c r="CF355" s="4">
        <v>14.864000000000001</v>
      </c>
      <c r="CG355" s="4">
        <v>15.563399</v>
      </c>
      <c r="CH355" s="4">
        <v>16.356000999999999</v>
      </c>
      <c r="CI355" s="4">
        <v>17.148001000000001</v>
      </c>
      <c r="CJ355" s="4">
        <v>17.975000000000001</v>
      </c>
      <c r="CK355" s="4">
        <v>18.955200000000001</v>
      </c>
      <c r="CL355" s="4">
        <v>19.306000000000001</v>
      </c>
      <c r="CM355" s="4">
        <v>19.5518</v>
      </c>
      <c r="CN355" s="4">
        <v>20.253799000000001</v>
      </c>
      <c r="CO355" s="4">
        <v>20.638999999999999</v>
      </c>
      <c r="CP355" s="4">
        <v>21.171841000000001</v>
      </c>
      <c r="CQ355" s="4">
        <v>0.65366299999999999</v>
      </c>
      <c r="CR355" s="4">
        <v>16.033183000000001</v>
      </c>
      <c r="CS355" s="4">
        <v>16.773153000000001</v>
      </c>
      <c r="CT355" s="1">
        <v>23</v>
      </c>
      <c r="CU355" s="1">
        <v>528</v>
      </c>
      <c r="CV355" s="4">
        <v>94.995018000000002</v>
      </c>
      <c r="CW355" s="4">
        <v>39.031745999999998</v>
      </c>
      <c r="CX355" s="4">
        <v>61.515076999999998</v>
      </c>
      <c r="CY355" s="4">
        <v>3784.1046759999999</v>
      </c>
      <c r="CZ355" s="4">
        <v>0.64756100000000005</v>
      </c>
      <c r="DA355" s="4">
        <v>65</v>
      </c>
      <c r="DB355" s="4">
        <v>2.3982860000000001</v>
      </c>
      <c r="DC355" s="4">
        <v>12.064769</v>
      </c>
      <c r="DD355" s="4">
        <v>42.860982</v>
      </c>
      <c r="DE355" s="4">
        <v>94.995018000000002</v>
      </c>
      <c r="DF355" s="4">
        <v>30.03567</v>
      </c>
      <c r="DG355" s="4">
        <v>8.7876010000000004</v>
      </c>
      <c r="DH355" s="4">
        <v>5.8338429999999999</v>
      </c>
      <c r="DI355" s="4">
        <v>0.31618200000000002</v>
      </c>
      <c r="DJ355" s="4">
        <v>0.292572</v>
      </c>
      <c r="DK355" s="4">
        <v>0.19423000000000001</v>
      </c>
      <c r="DL355" s="4">
        <v>27</v>
      </c>
      <c r="DM355" s="4">
        <v>34</v>
      </c>
      <c r="DN355" s="4">
        <v>38.399994</v>
      </c>
      <c r="DO355" s="4">
        <v>47</v>
      </c>
      <c r="DP355" s="4">
        <v>53</v>
      </c>
      <c r="DQ355" s="4">
        <v>59</v>
      </c>
      <c r="DR355" s="4">
        <v>69</v>
      </c>
      <c r="DS355" s="4">
        <v>82</v>
      </c>
      <c r="DT355" s="4">
        <v>95.400024000000002</v>
      </c>
      <c r="DU355" s="4">
        <v>109</v>
      </c>
      <c r="DV355" s="4">
        <v>118</v>
      </c>
      <c r="DW355" s="4">
        <v>127</v>
      </c>
      <c r="DX355" s="4">
        <v>161.599976</v>
      </c>
      <c r="DY355" s="4">
        <v>200.600098</v>
      </c>
      <c r="DZ355" s="4">
        <v>364.51953099999997</v>
      </c>
      <c r="EA355" s="4">
        <v>96.530359000000004</v>
      </c>
      <c r="EB355" s="4">
        <v>79.928826000000001</v>
      </c>
      <c r="EC355" s="4">
        <v>139.15737300000001</v>
      </c>
      <c r="ED355" s="4">
        <v>779</v>
      </c>
      <c r="EE355" s="4">
        <v>1123</v>
      </c>
      <c r="EF355" s="4">
        <v>95.167286000000004</v>
      </c>
      <c r="EG355" s="4">
        <v>100</v>
      </c>
      <c r="EH355" s="4">
        <v>76.797152999999994</v>
      </c>
      <c r="EI355" s="4">
        <v>99.786477000000005</v>
      </c>
      <c r="EJ355" s="4">
        <v>133.70508100000001</v>
      </c>
      <c r="EK355" s="4">
        <v>173.72986399999999</v>
      </c>
      <c r="EL355" s="4">
        <v>768</v>
      </c>
      <c r="EM355" s="4">
        <v>807</v>
      </c>
      <c r="EN355" s="4">
        <v>1079</v>
      </c>
      <c r="EO355" s="4">
        <v>1402</v>
      </c>
      <c r="EP355" s="4">
        <v>807</v>
      </c>
      <c r="EQ355" s="4">
        <v>1405</v>
      </c>
      <c r="ER355" s="4">
        <v>66.160325999999998</v>
      </c>
    </row>
    <row r="356" spans="1:148" x14ac:dyDescent="0.2">
      <c r="A356" s="1">
        <v>2025</v>
      </c>
      <c r="B356" s="1" t="str">
        <f t="shared" si="10"/>
        <v>GN</v>
      </c>
      <c r="C356" s="1" t="s">
        <v>1610</v>
      </c>
      <c r="D356" s="1" t="s">
        <v>1610</v>
      </c>
      <c r="E356" s="1">
        <v>29782</v>
      </c>
      <c r="F356" s="1" t="s">
        <v>2184</v>
      </c>
      <c r="G356" s="1" t="s">
        <v>2013</v>
      </c>
      <c r="H356" s="1" t="s">
        <v>1942</v>
      </c>
      <c r="I356" s="1">
        <v>39.659999999999997</v>
      </c>
      <c r="J356" s="1">
        <v>39.659999999999997</v>
      </c>
      <c r="K356" s="1" t="s">
        <v>192</v>
      </c>
      <c r="L356" s="1">
        <v>1</v>
      </c>
      <c r="M356" s="3">
        <v>2022</v>
      </c>
      <c r="O356" s="1">
        <v>1</v>
      </c>
      <c r="P356" s="1" t="str">
        <f t="shared" si="11"/>
        <v>Alto fuste</v>
      </c>
      <c r="Q356" s="2">
        <v>44802</v>
      </c>
      <c r="R356" s="1" t="s">
        <v>169</v>
      </c>
      <c r="S356" s="1" t="s">
        <v>163</v>
      </c>
      <c r="T356" s="1" t="s">
        <v>2268</v>
      </c>
      <c r="U356" s="1" t="s">
        <v>192</v>
      </c>
      <c r="V356" s="1" t="s">
        <v>152</v>
      </c>
      <c r="W356" s="2">
        <v>45733</v>
      </c>
      <c r="X356" s="1" t="s">
        <v>2185</v>
      </c>
      <c r="Y356" s="1">
        <v>269.37</v>
      </c>
      <c r="Z356" s="1">
        <v>21.1</v>
      </c>
      <c r="AA356" s="1">
        <v>10</v>
      </c>
      <c r="AB356" s="1">
        <v>15.2</v>
      </c>
      <c r="AC356" s="1">
        <v>0</v>
      </c>
      <c r="AD356" s="3">
        <v>320.72000000000003</v>
      </c>
      <c r="AE356" s="3">
        <v>315.84754254607498</v>
      </c>
      <c r="AF356" s="2">
        <v>45733</v>
      </c>
      <c r="AG356" s="1">
        <v>31</v>
      </c>
      <c r="AH356" s="3">
        <v>2.5489390828199898</v>
      </c>
      <c r="AI356" s="4">
        <v>19.5055555555555</v>
      </c>
      <c r="AJ356" s="4">
        <v>12.9888888888889</v>
      </c>
      <c r="AK356" s="4">
        <v>15.2086195921823</v>
      </c>
      <c r="AL356" s="1">
        <v>36</v>
      </c>
      <c r="AM356" s="5">
        <v>1139.79040994908</v>
      </c>
      <c r="AN356" s="4">
        <v>134.453058882991</v>
      </c>
      <c r="AO356" s="4">
        <v>0.117962967322209</v>
      </c>
      <c r="AP356" s="1" t="s">
        <v>163</v>
      </c>
      <c r="AQ356" s="1" t="s">
        <v>156</v>
      </c>
      <c r="AR356" s="1" t="s">
        <v>270</v>
      </c>
      <c r="AS356" s="1">
        <v>9</v>
      </c>
      <c r="AT356" s="4">
        <v>1.0258113689541719</v>
      </c>
      <c r="AU356" s="1" t="s">
        <v>1609</v>
      </c>
      <c r="AV356" s="1" t="s">
        <v>1610</v>
      </c>
      <c r="AW356" s="1">
        <v>1334</v>
      </c>
      <c r="AX356" s="1">
        <v>847</v>
      </c>
      <c r="AY356" s="1">
        <v>387</v>
      </c>
      <c r="AZ356" s="1">
        <v>90</v>
      </c>
      <c r="BA356" s="1">
        <v>10</v>
      </c>
      <c r="BB356" s="1">
        <v>0</v>
      </c>
      <c r="BC356" s="1">
        <v>0</v>
      </c>
      <c r="BD356" s="1">
        <v>0</v>
      </c>
      <c r="BE356" s="1">
        <v>0</v>
      </c>
      <c r="BF356" s="1">
        <v>0</v>
      </c>
      <c r="BG356" s="1">
        <v>0</v>
      </c>
      <c r="BH356" s="4">
        <v>0</v>
      </c>
      <c r="BI356" s="4">
        <v>19.688998999999999</v>
      </c>
      <c r="BJ356" s="4">
        <v>12.944397</v>
      </c>
      <c r="BK356" s="4">
        <v>0</v>
      </c>
      <c r="BL356" s="4">
        <v>6.7163779999999997</v>
      </c>
      <c r="BM356" s="4">
        <v>45.109737000000003</v>
      </c>
      <c r="BN356" s="4">
        <v>0.51886399999999999</v>
      </c>
      <c r="BO356" s="4">
        <v>4.2055020000000001</v>
      </c>
      <c r="BP356" s="4">
        <v>-1.247166</v>
      </c>
      <c r="BQ356" s="4">
        <v>2.8391500000000001</v>
      </c>
      <c r="BR356" s="4">
        <v>5.3682150000000002</v>
      </c>
      <c r="BS356" s="4">
        <v>1.7905</v>
      </c>
      <c r="BT356" s="4">
        <v>16.036999000000002</v>
      </c>
      <c r="BU356" s="4">
        <v>12.944397</v>
      </c>
      <c r="BV356" s="4">
        <v>3.2911980000000001</v>
      </c>
      <c r="BW356" s="4">
        <v>-1.2403169999999999</v>
      </c>
      <c r="BX356" s="4">
        <v>0.30968400000000001</v>
      </c>
      <c r="BY356" s="4">
        <v>0.25425700000000001</v>
      </c>
      <c r="BZ356" s="4">
        <v>-0.376859</v>
      </c>
      <c r="CA356" s="4">
        <v>9.4094999999999998E-2</v>
      </c>
      <c r="CB356" s="4">
        <v>1.33E-3</v>
      </c>
      <c r="CC356" s="4">
        <v>8.0000000000000002E-3</v>
      </c>
      <c r="CD356" s="4">
        <v>2.1000000000000001E-2</v>
      </c>
      <c r="CE356" s="4">
        <v>4.7186009999999996</v>
      </c>
      <c r="CF356" s="4">
        <v>13.164498999999999</v>
      </c>
      <c r="CG356" s="4">
        <v>13.989499</v>
      </c>
      <c r="CH356" s="4">
        <v>15.020201</v>
      </c>
      <c r="CI356" s="4">
        <v>16.036999000000002</v>
      </c>
      <c r="CJ356" s="4">
        <v>16.567399999999999</v>
      </c>
      <c r="CK356" s="4">
        <v>17.083500000000001</v>
      </c>
      <c r="CL356" s="4">
        <v>17.370000999999998</v>
      </c>
      <c r="CM356" s="4">
        <v>17.647200000000002</v>
      </c>
      <c r="CN356" s="4">
        <v>18.217600000000001</v>
      </c>
      <c r="CO356" s="4">
        <v>18.641850000000002</v>
      </c>
      <c r="CP356" s="4">
        <v>19.25037</v>
      </c>
      <c r="CQ356" s="4">
        <v>0.657443</v>
      </c>
      <c r="CR356" s="4">
        <v>14.581953</v>
      </c>
      <c r="CS356" s="4">
        <v>15.243138999999999</v>
      </c>
      <c r="CT356" s="1">
        <v>19</v>
      </c>
      <c r="CU356" s="1">
        <v>508</v>
      </c>
      <c r="CV356" s="4">
        <v>102.00075</v>
      </c>
      <c r="CW356" s="4">
        <v>34.523809999999997</v>
      </c>
      <c r="CX356" s="4">
        <v>66.870451000000003</v>
      </c>
      <c r="CY356" s="4">
        <v>4471.6571640000002</v>
      </c>
      <c r="CZ356" s="4">
        <v>0.65558799999999995</v>
      </c>
      <c r="DA356" s="4">
        <v>71</v>
      </c>
      <c r="DB356" s="4">
        <v>2.278213</v>
      </c>
      <c r="DC356" s="4">
        <v>10.802873999999999</v>
      </c>
      <c r="DD356" s="4">
        <v>46.522624999999998</v>
      </c>
      <c r="DE356" s="4">
        <v>102.00075</v>
      </c>
      <c r="DF356" s="4">
        <v>32.839655</v>
      </c>
      <c r="DG356" s="4">
        <v>9.2443430000000006</v>
      </c>
      <c r="DH356" s="4">
        <v>6.4004459999999996</v>
      </c>
      <c r="DI356" s="4">
        <v>0.32195499999999999</v>
      </c>
      <c r="DJ356" s="4">
        <v>0.281499</v>
      </c>
      <c r="DK356" s="4">
        <v>0.19489999999999999</v>
      </c>
      <c r="DL356" s="4">
        <v>27</v>
      </c>
      <c r="DM356" s="4">
        <v>34</v>
      </c>
      <c r="DN356" s="4">
        <v>39</v>
      </c>
      <c r="DO356" s="4">
        <v>51</v>
      </c>
      <c r="DP356" s="4">
        <v>56</v>
      </c>
      <c r="DQ356" s="4">
        <v>61</v>
      </c>
      <c r="DR356" s="4">
        <v>75</v>
      </c>
      <c r="DS356" s="4">
        <v>88</v>
      </c>
      <c r="DT356" s="4">
        <v>104</v>
      </c>
      <c r="DU356" s="4">
        <v>118.099976</v>
      </c>
      <c r="DV356" s="4">
        <v>127</v>
      </c>
      <c r="DW356" s="4">
        <v>138</v>
      </c>
      <c r="DX356" s="4">
        <v>169.699951</v>
      </c>
      <c r="DY356" s="4">
        <v>213.349976</v>
      </c>
      <c r="DZ356" s="4">
        <v>379.020264</v>
      </c>
      <c r="EA356" s="4">
        <v>96.458087000000006</v>
      </c>
      <c r="EB356" s="4">
        <v>80.134933000000004</v>
      </c>
      <c r="EC356" s="4">
        <v>126.21015300000001</v>
      </c>
      <c r="ED356" s="4">
        <v>817</v>
      </c>
      <c r="EE356" s="4">
        <v>1069</v>
      </c>
      <c r="EF356" s="4">
        <v>93.506494000000004</v>
      </c>
      <c r="EG356" s="4">
        <v>99.881935999999996</v>
      </c>
      <c r="EH356" s="4">
        <v>76.011994000000001</v>
      </c>
      <c r="EI356" s="4">
        <v>99.475262000000001</v>
      </c>
      <c r="EJ356" s="4">
        <v>119.71664699999999</v>
      </c>
      <c r="EK356" s="4">
        <v>156.670602</v>
      </c>
      <c r="EL356" s="4">
        <v>792</v>
      </c>
      <c r="EM356" s="4">
        <v>846</v>
      </c>
      <c r="EN356" s="4">
        <v>1014</v>
      </c>
      <c r="EO356" s="4">
        <v>1327</v>
      </c>
      <c r="EP356" s="4">
        <v>847</v>
      </c>
      <c r="EQ356" s="4">
        <v>1334</v>
      </c>
      <c r="ER356" s="4">
        <v>66.306873999999993</v>
      </c>
    </row>
    <row r="357" spans="1:148" x14ac:dyDescent="0.2">
      <c r="A357" s="1">
        <v>2025</v>
      </c>
      <c r="B357" s="1" t="str">
        <f t="shared" si="10"/>
        <v>GN</v>
      </c>
      <c r="C357" s="1" t="s">
        <v>1612</v>
      </c>
      <c r="D357" s="1" t="s">
        <v>1612</v>
      </c>
      <c r="E357" s="1">
        <v>24685</v>
      </c>
      <c r="F357" s="1" t="s">
        <v>2186</v>
      </c>
      <c r="G357" s="1" t="s">
        <v>2014</v>
      </c>
      <c r="H357" s="1" t="s">
        <v>1943</v>
      </c>
      <c r="I357" s="1">
        <v>29.18</v>
      </c>
      <c r="J357" s="1">
        <v>29.18</v>
      </c>
      <c r="K357" s="1" t="s">
        <v>192</v>
      </c>
      <c r="L357" s="1">
        <v>1</v>
      </c>
      <c r="M357" s="3">
        <v>2016</v>
      </c>
      <c r="O357" s="1">
        <v>1</v>
      </c>
      <c r="P357" s="1" t="str">
        <f t="shared" si="11"/>
        <v>Alto fuste</v>
      </c>
      <c r="Q357" s="2">
        <v>42598</v>
      </c>
      <c r="R357" s="1" t="s">
        <v>169</v>
      </c>
      <c r="S357" s="1" t="s">
        <v>299</v>
      </c>
      <c r="T357" s="1" t="s">
        <v>2268</v>
      </c>
      <c r="U357" s="1" t="s">
        <v>192</v>
      </c>
      <c r="V357" s="1" t="s">
        <v>152</v>
      </c>
      <c r="W357" s="2">
        <v>45727</v>
      </c>
      <c r="X357" s="1" t="s">
        <v>2187</v>
      </c>
      <c r="Y357" s="1">
        <v>140.98999999999998</v>
      </c>
      <c r="Z357" s="1">
        <v>19</v>
      </c>
      <c r="AA357" s="1">
        <v>14</v>
      </c>
      <c r="AB357" s="1">
        <v>15.4</v>
      </c>
      <c r="AC357" s="1">
        <v>3</v>
      </c>
      <c r="AD357" s="3">
        <v>292.60000000000002</v>
      </c>
      <c r="AE357" s="3">
        <v>283.51944273578499</v>
      </c>
      <c r="AF357" s="2">
        <v>45727</v>
      </c>
      <c r="AG357" s="1">
        <v>103</v>
      </c>
      <c r="AH357" s="3">
        <v>8.5667351129363407</v>
      </c>
      <c r="AI357" s="4">
        <v>32.790624999999999</v>
      </c>
      <c r="AJ357" s="4">
        <v>18.681249999999999</v>
      </c>
      <c r="AK357" s="4">
        <v>31.2548749740935</v>
      </c>
      <c r="AL357" s="1">
        <v>32</v>
      </c>
      <c r="AM357" s="5">
        <v>1128.6703899817201</v>
      </c>
      <c r="AN357" s="4">
        <v>464.54370699331901</v>
      </c>
      <c r="AO357" s="4">
        <v>0.41158491541613001</v>
      </c>
      <c r="AP357" s="1" t="s">
        <v>299</v>
      </c>
      <c r="AQ357" s="1" t="s">
        <v>156</v>
      </c>
      <c r="AR357" s="1" t="s">
        <v>270</v>
      </c>
      <c r="AS357" s="1">
        <v>9</v>
      </c>
      <c r="AT357" s="4">
        <v>1.015803350983548</v>
      </c>
      <c r="AU357" s="1" t="s">
        <v>1611</v>
      </c>
      <c r="AV357" s="1" t="s">
        <v>1612</v>
      </c>
      <c r="AW357" s="1">
        <v>1315</v>
      </c>
      <c r="AX357" s="1">
        <v>774</v>
      </c>
      <c r="AY357" s="1">
        <v>405</v>
      </c>
      <c r="AZ357" s="1">
        <v>115</v>
      </c>
      <c r="BA357" s="1">
        <v>20</v>
      </c>
      <c r="BB357" s="1">
        <v>1</v>
      </c>
      <c r="BC357" s="1">
        <v>0</v>
      </c>
      <c r="BD357" s="1">
        <v>0</v>
      </c>
      <c r="BE357" s="1">
        <v>0</v>
      </c>
      <c r="BF357" s="1">
        <v>0</v>
      </c>
      <c r="BG357" s="1">
        <v>0</v>
      </c>
      <c r="BH357" s="4">
        <v>1E-3</v>
      </c>
      <c r="BI357" s="4">
        <v>35.207000999999998</v>
      </c>
      <c r="BJ357" s="4">
        <v>24.373752</v>
      </c>
      <c r="BK357" s="4">
        <v>1E-3</v>
      </c>
      <c r="BL357" s="4">
        <v>11.235279</v>
      </c>
      <c r="BM357" s="4">
        <v>126.23148399999999</v>
      </c>
      <c r="BN357" s="4">
        <v>0.46095799999999998</v>
      </c>
      <c r="BO357" s="4">
        <v>10.926498</v>
      </c>
      <c r="BP357" s="4">
        <v>-1.2806679999999999</v>
      </c>
      <c r="BQ357" s="4">
        <v>3.2939219999999998</v>
      </c>
      <c r="BR357" s="4">
        <v>8.6671639999999996</v>
      </c>
      <c r="BS357" s="4">
        <v>5.0220010000000004</v>
      </c>
      <c r="BT357" s="4">
        <v>27.925001000000002</v>
      </c>
      <c r="BU357" s="4">
        <v>24.373752</v>
      </c>
      <c r="BV357" s="4">
        <v>5.707192</v>
      </c>
      <c r="BW357" s="4">
        <v>-2.052022</v>
      </c>
      <c r="BX357" s="4">
        <v>0.52565799999999996</v>
      </c>
      <c r="BY357" s="4">
        <v>0.234153</v>
      </c>
      <c r="BZ357" s="4">
        <v>-0.35954999999999998</v>
      </c>
      <c r="CA357" s="4">
        <v>9.2105000000000006E-2</v>
      </c>
      <c r="CB357" s="4">
        <v>6.0000000000000001E-3</v>
      </c>
      <c r="CC357" s="4">
        <v>4.4699999999999997E-2</v>
      </c>
      <c r="CD357" s="4">
        <v>0.436</v>
      </c>
      <c r="CE357" s="4">
        <v>19.220400000000001</v>
      </c>
      <c r="CF357" s="4">
        <v>21.765999000000001</v>
      </c>
      <c r="CG357" s="4">
        <v>23.277201000000002</v>
      </c>
      <c r="CH357" s="4">
        <v>25.486000000000001</v>
      </c>
      <c r="CI357" s="4">
        <v>27.926000999999999</v>
      </c>
      <c r="CJ357" s="4">
        <v>31.629601000000001</v>
      </c>
      <c r="CK357" s="4">
        <v>32.351199999999999</v>
      </c>
      <c r="CL357" s="4">
        <v>32.692497000000003</v>
      </c>
      <c r="CM357" s="4">
        <v>33.011600000000001</v>
      </c>
      <c r="CN357" s="4">
        <v>33.638199</v>
      </c>
      <c r="CO357" s="4">
        <v>34.0989</v>
      </c>
      <c r="CP357" s="4">
        <v>34.743895999999999</v>
      </c>
      <c r="CQ357" s="4">
        <v>0.69228999999999996</v>
      </c>
      <c r="CR357" s="4">
        <v>26.836827</v>
      </c>
      <c r="CS357" s="4">
        <v>27.972846000000001</v>
      </c>
      <c r="CT357" s="1">
        <v>20</v>
      </c>
      <c r="CU357" s="1">
        <v>527</v>
      </c>
      <c r="CV357" s="4">
        <v>143.87528499999999</v>
      </c>
      <c r="CW357" s="4">
        <v>28.047619000000001</v>
      </c>
      <c r="CX357" s="4">
        <v>93.951173999999995</v>
      </c>
      <c r="CY357" s="4">
        <v>8826.8230949999997</v>
      </c>
      <c r="CZ357" s="4">
        <v>0.65300400000000003</v>
      </c>
      <c r="DA357" s="4">
        <v>158</v>
      </c>
      <c r="DB357" s="4">
        <v>0.70591899999999996</v>
      </c>
      <c r="DC357" s="4">
        <v>3.0806200000000001</v>
      </c>
      <c r="DD357" s="4">
        <v>80.088517999999993</v>
      </c>
      <c r="DE357" s="4">
        <v>143.87528499999999</v>
      </c>
      <c r="DF357" s="4">
        <v>52.465285999999999</v>
      </c>
      <c r="DG357" s="4">
        <v>8.1405069999999995</v>
      </c>
      <c r="DH357" s="4">
        <v>0.85017399999999999</v>
      </c>
      <c r="DI357" s="4">
        <v>0.36465799999999998</v>
      </c>
      <c r="DJ357" s="4">
        <v>0.15515999999999999</v>
      </c>
      <c r="DK357" s="4">
        <v>1.6205000000000001E-2</v>
      </c>
      <c r="DL357" s="4">
        <v>27</v>
      </c>
      <c r="DM357" s="4">
        <v>32</v>
      </c>
      <c r="DN357" s="4">
        <v>37</v>
      </c>
      <c r="DO357" s="4">
        <v>50</v>
      </c>
      <c r="DP357" s="4">
        <v>58</v>
      </c>
      <c r="DQ357" s="4">
        <v>68</v>
      </c>
      <c r="DR357" s="4">
        <v>92</v>
      </c>
      <c r="DS357" s="4">
        <v>129</v>
      </c>
      <c r="DT357" s="4">
        <v>166</v>
      </c>
      <c r="DU357" s="4">
        <v>201</v>
      </c>
      <c r="DV357" s="4">
        <v>216</v>
      </c>
      <c r="DW357" s="4">
        <v>231</v>
      </c>
      <c r="DX357" s="4">
        <v>267</v>
      </c>
      <c r="DY357" s="4">
        <v>301.600098</v>
      </c>
      <c r="DZ357" s="4">
        <v>383.01989700000001</v>
      </c>
      <c r="EA357" s="4">
        <v>97.028424000000001</v>
      </c>
      <c r="EB357" s="4">
        <v>85.399240000000006</v>
      </c>
      <c r="EC357" s="4">
        <v>145.090439</v>
      </c>
      <c r="ED357" s="4">
        <v>751</v>
      </c>
      <c r="EE357" s="4">
        <v>1123</v>
      </c>
      <c r="EF357" s="4">
        <v>89.018088000000006</v>
      </c>
      <c r="EG357" s="4">
        <v>99.870801</v>
      </c>
      <c r="EH357" s="4">
        <v>65.171103000000002</v>
      </c>
      <c r="EI357" s="4">
        <v>99.847909000000001</v>
      </c>
      <c r="EJ357" s="4">
        <v>110.72351399999999</v>
      </c>
      <c r="EK357" s="4">
        <v>169.63824299999999</v>
      </c>
      <c r="EL357" s="4">
        <v>689</v>
      </c>
      <c r="EM357" s="4">
        <v>773</v>
      </c>
      <c r="EN357" s="4">
        <v>857</v>
      </c>
      <c r="EO357" s="4">
        <v>1313</v>
      </c>
      <c r="EP357" s="4">
        <v>774</v>
      </c>
      <c r="EQ357" s="4">
        <v>1315</v>
      </c>
      <c r="ER357" s="4">
        <v>69.154150000000001</v>
      </c>
    </row>
    <row r="358" spans="1:148" x14ac:dyDescent="0.2">
      <c r="A358" s="1">
        <v>2025</v>
      </c>
      <c r="B358" s="1" t="str">
        <f t="shared" si="10"/>
        <v>NE</v>
      </c>
      <c r="C358" s="1" t="s">
        <v>1614</v>
      </c>
      <c r="D358" s="1" t="s">
        <v>1614</v>
      </c>
      <c r="E358" s="1">
        <v>33497</v>
      </c>
      <c r="F358" s="1" t="s">
        <v>2188</v>
      </c>
      <c r="G358" s="1" t="s">
        <v>2015</v>
      </c>
      <c r="H358" s="1" t="s">
        <v>1944</v>
      </c>
      <c r="I358" s="1">
        <v>27.04</v>
      </c>
      <c r="J358" s="1">
        <v>27.04</v>
      </c>
      <c r="K358" s="1" t="s">
        <v>434</v>
      </c>
      <c r="L358" s="1">
        <v>1</v>
      </c>
      <c r="M358" s="3">
        <v>2021</v>
      </c>
      <c r="O358" s="1">
        <v>1</v>
      </c>
      <c r="P358" s="1" t="str">
        <f t="shared" si="11"/>
        <v>Alto fuste</v>
      </c>
      <c r="Q358" s="2">
        <v>44531</v>
      </c>
      <c r="R358" s="1" t="s">
        <v>169</v>
      </c>
      <c r="S358" s="1" t="s">
        <v>442</v>
      </c>
      <c r="T358" s="1" t="s">
        <v>2268</v>
      </c>
      <c r="U358" s="1" t="s">
        <v>151</v>
      </c>
      <c r="V358" s="1" t="s">
        <v>152</v>
      </c>
      <c r="W358" s="2">
        <v>44767</v>
      </c>
      <c r="X358" s="1" t="s">
        <v>2189</v>
      </c>
      <c r="Y358" s="1">
        <v>48.129999999999995</v>
      </c>
      <c r="Z358" s="1">
        <v>21.2</v>
      </c>
      <c r="AA358" s="1">
        <v>20</v>
      </c>
      <c r="AB358" s="1">
        <v>15.5</v>
      </c>
      <c r="AC358" s="1">
        <v>9</v>
      </c>
      <c r="AD358" s="3">
        <v>328.6</v>
      </c>
      <c r="AE358" s="3">
        <v>304.981364123454</v>
      </c>
      <c r="AF358" s="2">
        <v>45744</v>
      </c>
      <c r="AG358" s="1">
        <v>39</v>
      </c>
      <c r="AH358" s="3">
        <v>3.3210130047912401</v>
      </c>
      <c r="AI358" s="4">
        <v>20.419449431602899</v>
      </c>
      <c r="AJ358" s="4">
        <v>14.0058823529412</v>
      </c>
      <c r="AK358" s="4">
        <v>8.9627132011605202</v>
      </c>
      <c r="AL358" s="1">
        <v>17</v>
      </c>
      <c r="AM358" s="5">
        <v>557.41110768717499</v>
      </c>
      <c r="AN358" s="4">
        <v>86.025851338610295</v>
      </c>
      <c r="AO358" s="4">
        <v>0.15433106759488699</v>
      </c>
      <c r="AP358" s="1" t="s">
        <v>442</v>
      </c>
      <c r="AQ358" s="1" t="s">
        <v>156</v>
      </c>
      <c r="AR358" s="1" t="s">
        <v>388</v>
      </c>
      <c r="AS358" s="1">
        <v>9</v>
      </c>
      <c r="AT358" s="4">
        <v>0.50166999691845748</v>
      </c>
      <c r="AU358" s="1" t="s">
        <v>1613</v>
      </c>
      <c r="AV358" s="1" t="s">
        <v>1614</v>
      </c>
      <c r="AW358" s="1">
        <v>1013</v>
      </c>
      <c r="AX358" s="1">
        <v>534</v>
      </c>
      <c r="AY358" s="1">
        <v>332</v>
      </c>
      <c r="AZ358" s="1">
        <v>121</v>
      </c>
      <c r="BA358" s="1">
        <v>25</v>
      </c>
      <c r="BB358" s="1">
        <v>1</v>
      </c>
      <c r="BC358" s="1">
        <v>0</v>
      </c>
      <c r="BD358" s="1">
        <v>0</v>
      </c>
      <c r="BE358" s="1">
        <v>0</v>
      </c>
      <c r="BF358" s="1">
        <v>0</v>
      </c>
      <c r="BG358" s="1">
        <v>0</v>
      </c>
      <c r="BH358" s="4">
        <v>0</v>
      </c>
      <c r="BI358" s="4">
        <v>22.698999000000001</v>
      </c>
      <c r="BJ358" s="4">
        <v>9.6906739999999996</v>
      </c>
      <c r="BK358" s="4">
        <v>0</v>
      </c>
      <c r="BL358" s="4">
        <v>8.5690840000000001</v>
      </c>
      <c r="BM358" s="4">
        <v>73.429204999999996</v>
      </c>
      <c r="BN358" s="4">
        <v>0.88426099999999996</v>
      </c>
      <c r="BO358" s="4">
        <v>17.706999</v>
      </c>
      <c r="BP358" s="4">
        <v>3.1662999999999997E-2</v>
      </c>
      <c r="BQ358" s="4">
        <v>1.2599910000000001</v>
      </c>
      <c r="BR358" s="4">
        <v>8.0947379999999995</v>
      </c>
      <c r="BS358" s="4">
        <v>9.4459999999999997</v>
      </c>
      <c r="BT358" s="4">
        <v>10.731</v>
      </c>
      <c r="BU358" s="4">
        <v>9.6906739999999996</v>
      </c>
      <c r="BV358" s="4">
        <v>4.7503469999999997</v>
      </c>
      <c r="BW358" s="4">
        <v>0.225797</v>
      </c>
      <c r="BX358" s="4">
        <v>-0.72870000000000001</v>
      </c>
      <c r="BY358" s="4">
        <v>0.49019800000000002</v>
      </c>
      <c r="BZ358" s="4">
        <v>4.7532999999999999E-2</v>
      </c>
      <c r="CA358" s="4">
        <v>-0.15339900000000001</v>
      </c>
      <c r="CB358" s="4">
        <v>5.2399999999999999E-3</v>
      </c>
      <c r="CC358" s="4">
        <v>2.6599999999999999E-2</v>
      </c>
      <c r="CD358" s="4">
        <v>5.7200000000000001E-2</v>
      </c>
      <c r="CE358" s="4">
        <v>0.15640000000000001</v>
      </c>
      <c r="CF358" s="4">
        <v>0.24199999999999999</v>
      </c>
      <c r="CG358" s="4">
        <v>0.5282</v>
      </c>
      <c r="CH358" s="4">
        <v>1.8009999999999999</v>
      </c>
      <c r="CI358" s="4">
        <v>10.731</v>
      </c>
      <c r="CJ358" s="4">
        <v>15.125401</v>
      </c>
      <c r="CK358" s="4">
        <v>17.417400000000001</v>
      </c>
      <c r="CL358" s="4">
        <v>17.948999000000001</v>
      </c>
      <c r="CM358" s="4">
        <v>18.573198000000001</v>
      </c>
      <c r="CN358" s="4">
        <v>20.520800000000001</v>
      </c>
      <c r="CO358" s="4">
        <v>21.372399999999999</v>
      </c>
      <c r="CP358" s="4">
        <v>22.219000000000001</v>
      </c>
      <c r="CQ358" s="4">
        <v>0.42692099999999999</v>
      </c>
      <c r="CR358" s="4">
        <v>12.933130999999999</v>
      </c>
      <c r="CS358" s="4">
        <v>14.522078</v>
      </c>
      <c r="CT358" s="1">
        <v>24</v>
      </c>
      <c r="CU358" s="1">
        <v>733</v>
      </c>
      <c r="CV358" s="4">
        <v>175.55873600000001</v>
      </c>
      <c r="CW358" s="4">
        <v>35.253968</v>
      </c>
      <c r="CX358" s="4">
        <v>146.52151799999999</v>
      </c>
      <c r="CY358" s="4">
        <v>21468.555090000002</v>
      </c>
      <c r="CZ358" s="4">
        <v>0.83460100000000004</v>
      </c>
      <c r="DA358" s="4">
        <v>164</v>
      </c>
      <c r="DB358" s="4">
        <v>1.4195869999999999</v>
      </c>
      <c r="DC358" s="4">
        <v>4.3694410000000001</v>
      </c>
      <c r="DD358" s="4">
        <v>112.71813899999999</v>
      </c>
      <c r="DE358" s="4">
        <v>175.55873600000001</v>
      </c>
      <c r="DF358" s="4">
        <v>75.789446999999996</v>
      </c>
      <c r="DG358" s="4">
        <v>25.401409999999998</v>
      </c>
      <c r="DH358" s="4">
        <v>10.753503</v>
      </c>
      <c r="DI358" s="4">
        <v>0.43170399999999998</v>
      </c>
      <c r="DJ358" s="4">
        <v>0.33515800000000001</v>
      </c>
      <c r="DK358" s="4">
        <v>0.14188700000000001</v>
      </c>
      <c r="DL358" s="4">
        <v>29</v>
      </c>
      <c r="DM358" s="4">
        <v>35</v>
      </c>
      <c r="DN358" s="4">
        <v>43.199997000000003</v>
      </c>
      <c r="DO358" s="4">
        <v>58</v>
      </c>
      <c r="DP358" s="4">
        <v>67</v>
      </c>
      <c r="DQ358" s="4">
        <v>76</v>
      </c>
      <c r="DR358" s="4">
        <v>97</v>
      </c>
      <c r="DS358" s="4">
        <v>126</v>
      </c>
      <c r="DT358" s="4">
        <v>159</v>
      </c>
      <c r="DU358" s="4">
        <v>207</v>
      </c>
      <c r="DV358" s="4">
        <v>231</v>
      </c>
      <c r="DW358" s="4">
        <v>267.59997600000003</v>
      </c>
      <c r="DX358" s="4">
        <v>406.79998799999998</v>
      </c>
      <c r="DY358" s="4">
        <v>502.00012199999998</v>
      </c>
      <c r="DZ358" s="4">
        <v>613.76000999999997</v>
      </c>
      <c r="EA358" s="4">
        <v>76.217228000000006</v>
      </c>
      <c r="EB358" s="4">
        <v>58.736426000000002</v>
      </c>
      <c r="EC358" s="4">
        <v>111.423221</v>
      </c>
      <c r="ED358" s="4">
        <v>407</v>
      </c>
      <c r="EE358" s="4">
        <v>595</v>
      </c>
      <c r="EF358" s="4">
        <v>70.224718999999993</v>
      </c>
      <c r="EG358" s="4">
        <v>100</v>
      </c>
      <c r="EH358" s="4">
        <v>51.431392000000002</v>
      </c>
      <c r="EI358" s="4">
        <v>99.901283000000006</v>
      </c>
      <c r="EJ358" s="4">
        <v>97.565543000000005</v>
      </c>
      <c r="EK358" s="4">
        <v>189.51310899999999</v>
      </c>
      <c r="EL358" s="4">
        <v>375</v>
      </c>
      <c r="EM358" s="4">
        <v>534</v>
      </c>
      <c r="EN358" s="4">
        <v>521</v>
      </c>
      <c r="EO358" s="4">
        <v>1012</v>
      </c>
      <c r="EP358" s="4">
        <v>534</v>
      </c>
      <c r="EQ358" s="4">
        <v>1013</v>
      </c>
      <c r="ER358" s="4">
        <v>42.575740000000003</v>
      </c>
    </row>
    <row r="359" spans="1:148" x14ac:dyDescent="0.2">
      <c r="A359" s="1">
        <v>2025</v>
      </c>
      <c r="B359" s="1" t="str">
        <f t="shared" si="10"/>
        <v>NE</v>
      </c>
      <c r="C359" s="1" t="s">
        <v>1616</v>
      </c>
      <c r="D359" s="1" t="s">
        <v>1616</v>
      </c>
      <c r="E359" s="1">
        <v>27786</v>
      </c>
      <c r="F359" s="1" t="s">
        <v>2190</v>
      </c>
      <c r="G359" s="1" t="s">
        <v>2016</v>
      </c>
      <c r="H359" s="1" t="s">
        <v>1945</v>
      </c>
      <c r="I359" s="1">
        <v>39.049999999999997</v>
      </c>
      <c r="J359" s="1">
        <v>39.049999999999997</v>
      </c>
      <c r="K359" s="1" t="s">
        <v>434</v>
      </c>
      <c r="L359" s="1">
        <v>1</v>
      </c>
      <c r="M359" s="3">
        <v>2020</v>
      </c>
      <c r="O359" s="1">
        <v>2</v>
      </c>
      <c r="P359" s="1" t="str">
        <f t="shared" si="11"/>
        <v>Talhadia</v>
      </c>
      <c r="Q359" s="2">
        <v>44063</v>
      </c>
      <c r="R359" s="1" t="s">
        <v>169</v>
      </c>
      <c r="S359" s="1" t="s">
        <v>250</v>
      </c>
      <c r="T359" s="1" t="s">
        <v>2268</v>
      </c>
      <c r="U359" s="1" t="s">
        <v>151</v>
      </c>
      <c r="V359" s="1" t="s">
        <v>152</v>
      </c>
      <c r="W359" s="2">
        <v>45734</v>
      </c>
      <c r="X359" s="1" t="s">
        <v>2191</v>
      </c>
      <c r="Y359" s="1">
        <v>158.29</v>
      </c>
      <c r="Z359" s="1">
        <v>20.5</v>
      </c>
      <c r="AA359" s="1">
        <v>13</v>
      </c>
      <c r="AB359" s="1">
        <v>13.8</v>
      </c>
      <c r="AC359" s="1">
        <v>1</v>
      </c>
      <c r="AD359" s="3">
        <v>282.89999999999998</v>
      </c>
      <c r="AE359" s="3">
        <v>275.60730860553701</v>
      </c>
      <c r="AF359" s="2">
        <v>45734</v>
      </c>
      <c r="AG359" s="1">
        <v>55</v>
      </c>
      <c r="AH359" s="3">
        <v>4.5749486652977396</v>
      </c>
      <c r="AI359" s="4">
        <v>19.778528990891701</v>
      </c>
      <c r="AJ359" s="4">
        <v>15.69</v>
      </c>
      <c r="AK359" s="4">
        <v>16.190684871272499</v>
      </c>
      <c r="AL359" s="1">
        <v>20</v>
      </c>
      <c r="AM359" s="5">
        <v>725.67016096895395</v>
      </c>
      <c r="AN359" s="4">
        <v>149.46936447334701</v>
      </c>
      <c r="AO359" s="4">
        <v>0.205974246307396</v>
      </c>
      <c r="AP359" s="1" t="s">
        <v>250</v>
      </c>
      <c r="AQ359" s="1" t="s">
        <v>254</v>
      </c>
      <c r="AR359" s="1" t="s">
        <v>388</v>
      </c>
      <c r="AS359" s="1">
        <v>9</v>
      </c>
      <c r="AT359" s="4">
        <v>0.65310314487205856</v>
      </c>
      <c r="AU359" s="1" t="s">
        <v>1615</v>
      </c>
      <c r="AV359" s="1" t="s">
        <v>1616</v>
      </c>
      <c r="AW359" s="1">
        <v>1002</v>
      </c>
      <c r="AX359" s="1">
        <v>547</v>
      </c>
      <c r="AY359" s="1">
        <v>331</v>
      </c>
      <c r="AZ359" s="1">
        <v>102</v>
      </c>
      <c r="BA359" s="1">
        <v>21</v>
      </c>
      <c r="BB359" s="1">
        <v>1</v>
      </c>
      <c r="BC359" s="1">
        <v>0</v>
      </c>
      <c r="BD359" s="1">
        <v>0</v>
      </c>
      <c r="BE359" s="1">
        <v>0</v>
      </c>
      <c r="BF359" s="1">
        <v>0</v>
      </c>
      <c r="BG359" s="1">
        <v>0</v>
      </c>
      <c r="BH359" s="4">
        <v>0</v>
      </c>
      <c r="BI359" s="4">
        <v>27.209</v>
      </c>
      <c r="BJ359" s="4">
        <v>12.854124000000001</v>
      </c>
      <c r="BK359" s="4">
        <v>0</v>
      </c>
      <c r="BL359" s="4">
        <v>9.8403369999999999</v>
      </c>
      <c r="BM359" s="4">
        <v>96.832239999999999</v>
      </c>
      <c r="BN359" s="4">
        <v>0.76553899999999997</v>
      </c>
      <c r="BO359" s="4">
        <v>22.1</v>
      </c>
      <c r="BP359" s="4">
        <v>-0.18118100000000001</v>
      </c>
      <c r="BQ359" s="4">
        <v>1.411875</v>
      </c>
      <c r="BR359" s="4">
        <v>8.8824459999999998</v>
      </c>
      <c r="BS359" s="4">
        <v>9.4184999999999999</v>
      </c>
      <c r="BT359" s="4">
        <v>14.2745</v>
      </c>
      <c r="BU359" s="4">
        <v>12.854124000000001</v>
      </c>
      <c r="BV359" s="4">
        <v>5.5367110000000004</v>
      </c>
      <c r="BW359" s="4">
        <v>-0.24022499999999999</v>
      </c>
      <c r="BX359" s="4">
        <v>-0.66647000000000001</v>
      </c>
      <c r="BY359" s="4">
        <v>0.43073400000000001</v>
      </c>
      <c r="BZ359" s="4">
        <v>-4.3388000000000003E-2</v>
      </c>
      <c r="CA359" s="4">
        <v>-0.12037299999999999</v>
      </c>
      <c r="CB359" s="4">
        <v>2E-3</v>
      </c>
      <c r="CC359" s="4">
        <v>8.9999999999999993E-3</v>
      </c>
      <c r="CD359" s="4">
        <v>2.4E-2</v>
      </c>
      <c r="CE359" s="4">
        <v>9.8199999999999996E-2</v>
      </c>
      <c r="CF359" s="4">
        <v>0.59775</v>
      </c>
      <c r="CG359" s="4">
        <v>1.9453</v>
      </c>
      <c r="CH359" s="4">
        <v>11.153798999999999</v>
      </c>
      <c r="CI359" s="4">
        <v>14.2745</v>
      </c>
      <c r="CJ359" s="4">
        <v>18.404599999999999</v>
      </c>
      <c r="CK359" s="4">
        <v>21.808102000000002</v>
      </c>
      <c r="CL359" s="4">
        <v>22.697749999999999</v>
      </c>
      <c r="CM359" s="4">
        <v>23.221599999999999</v>
      </c>
      <c r="CN359" s="4">
        <v>24.393999000000001</v>
      </c>
      <c r="CO359" s="4">
        <v>25.254549000000001</v>
      </c>
      <c r="CP359" s="4">
        <v>26.349430000000002</v>
      </c>
      <c r="CQ359" s="4">
        <v>0.47242200000000001</v>
      </c>
      <c r="CR359" s="4">
        <v>16.185305</v>
      </c>
      <c r="CS359" s="4">
        <v>17.844073999999999</v>
      </c>
      <c r="CT359" s="1">
        <v>20</v>
      </c>
      <c r="CU359" s="1">
        <v>587</v>
      </c>
      <c r="CV359" s="4">
        <v>126.49500999999999</v>
      </c>
      <c r="CW359" s="4">
        <v>29</v>
      </c>
      <c r="CX359" s="4">
        <v>103.46610699999999</v>
      </c>
      <c r="CY359" s="4">
        <v>10705.23524</v>
      </c>
      <c r="CZ359" s="4">
        <v>0.81794599999999995</v>
      </c>
      <c r="DA359" s="4">
        <v>109.75</v>
      </c>
      <c r="DB359" s="4">
        <v>1.979703</v>
      </c>
      <c r="DC359" s="4">
        <v>7.361205</v>
      </c>
      <c r="DD359" s="4">
        <v>74.353126000000003</v>
      </c>
      <c r="DE359" s="4">
        <v>126.49500999999999</v>
      </c>
      <c r="DF359" s="4">
        <v>50.863075000000002</v>
      </c>
      <c r="DG359" s="4">
        <v>17.857586999999999</v>
      </c>
      <c r="DH359" s="4">
        <v>9.6446419999999993</v>
      </c>
      <c r="DI359" s="4">
        <v>0.40209600000000001</v>
      </c>
      <c r="DJ359" s="4">
        <v>0.35109099999999999</v>
      </c>
      <c r="DK359" s="4">
        <v>0.18962000000000001</v>
      </c>
      <c r="DL359" s="4">
        <v>27</v>
      </c>
      <c r="DM359" s="4">
        <v>33</v>
      </c>
      <c r="DN359" s="4">
        <v>37</v>
      </c>
      <c r="DO359" s="4">
        <v>47.199997000000003</v>
      </c>
      <c r="DP359" s="4">
        <v>54</v>
      </c>
      <c r="DQ359" s="4">
        <v>61.299987999999999</v>
      </c>
      <c r="DR359" s="4">
        <v>75</v>
      </c>
      <c r="DS359" s="4">
        <v>97</v>
      </c>
      <c r="DT359" s="4">
        <v>121</v>
      </c>
      <c r="DU359" s="4">
        <v>149</v>
      </c>
      <c r="DV359" s="4">
        <v>163.75</v>
      </c>
      <c r="DW359" s="4">
        <v>180</v>
      </c>
      <c r="DX359" s="4">
        <v>235.900024</v>
      </c>
      <c r="DY359" s="4">
        <v>362.35015900000002</v>
      </c>
      <c r="DZ359" s="4">
        <v>519.91992200000004</v>
      </c>
      <c r="EA359" s="4">
        <v>89.762339999999995</v>
      </c>
      <c r="EB359" s="4">
        <v>68.263473000000005</v>
      </c>
      <c r="EC359" s="4">
        <v>125.045704</v>
      </c>
      <c r="ED359" s="4">
        <v>491</v>
      </c>
      <c r="EE359" s="4">
        <v>684</v>
      </c>
      <c r="EF359" s="4">
        <v>79.341864999999999</v>
      </c>
      <c r="EG359" s="4">
        <v>100</v>
      </c>
      <c r="EH359" s="4">
        <v>54.491017999999997</v>
      </c>
      <c r="EI359" s="4">
        <v>99.800398999999999</v>
      </c>
      <c r="EJ359" s="4">
        <v>99.817184999999995</v>
      </c>
      <c r="EK359" s="4">
        <v>182.81535600000001</v>
      </c>
      <c r="EL359" s="4">
        <v>434</v>
      </c>
      <c r="EM359" s="4">
        <v>547</v>
      </c>
      <c r="EN359" s="4">
        <v>546</v>
      </c>
      <c r="EO359" s="4">
        <v>1000</v>
      </c>
      <c r="EP359" s="4">
        <v>547</v>
      </c>
      <c r="EQ359" s="4">
        <v>1002</v>
      </c>
      <c r="ER359" s="4">
        <v>47.769280000000002</v>
      </c>
    </row>
    <row r="360" spans="1:148" x14ac:dyDescent="0.2">
      <c r="A360" s="1">
        <v>2025</v>
      </c>
      <c r="B360" s="1" t="str">
        <f t="shared" si="10"/>
        <v>NE</v>
      </c>
      <c r="C360" s="1" t="s">
        <v>1618</v>
      </c>
      <c r="D360" s="1" t="s">
        <v>1618</v>
      </c>
      <c r="E360" s="1">
        <v>27787</v>
      </c>
      <c r="F360" s="1" t="s">
        <v>2190</v>
      </c>
      <c r="G360" s="1" t="s">
        <v>2016</v>
      </c>
      <c r="H360" s="1" t="s">
        <v>1945</v>
      </c>
      <c r="I360" s="1">
        <v>39.049999999999997</v>
      </c>
      <c r="J360" s="1">
        <v>39.049999999999997</v>
      </c>
      <c r="K360" s="1" t="s">
        <v>434</v>
      </c>
      <c r="L360" s="1">
        <v>1</v>
      </c>
      <c r="M360" s="3">
        <v>2020</v>
      </c>
      <c r="O360" s="1">
        <v>2</v>
      </c>
      <c r="P360" s="1" t="str">
        <f t="shared" si="11"/>
        <v>Talhadia</v>
      </c>
      <c r="Q360" s="2">
        <v>44063</v>
      </c>
      <c r="R360" s="1" t="s">
        <v>169</v>
      </c>
      <c r="S360" s="1" t="s">
        <v>250</v>
      </c>
      <c r="T360" s="1" t="s">
        <v>2268</v>
      </c>
      <c r="U360" s="1" t="s">
        <v>151</v>
      </c>
      <c r="V360" s="1" t="s">
        <v>152</v>
      </c>
      <c r="W360" s="2">
        <v>44768</v>
      </c>
      <c r="X360" s="1" t="s">
        <v>2191</v>
      </c>
      <c r="Y360" s="1">
        <v>158.29</v>
      </c>
      <c r="Z360" s="1">
        <v>19.2</v>
      </c>
      <c r="AA360" s="1">
        <v>30</v>
      </c>
      <c r="AB360" s="1">
        <v>16</v>
      </c>
      <c r="AC360" s="1">
        <v>0</v>
      </c>
      <c r="AD360" s="3">
        <v>307.2</v>
      </c>
      <c r="AE360" s="3">
        <v>266.04300404257998</v>
      </c>
      <c r="AF360" s="2">
        <v>45734</v>
      </c>
      <c r="AG360" s="1">
        <v>55</v>
      </c>
      <c r="AH360" s="3">
        <v>4.5749486652977396</v>
      </c>
      <c r="AI360" s="4">
        <v>23.824204264348101</v>
      </c>
      <c r="AJ360" s="4">
        <v>13.9625</v>
      </c>
      <c r="AK360" s="4">
        <v>14.5162696891006</v>
      </c>
      <c r="AL360" s="1">
        <v>24</v>
      </c>
      <c r="AM360" s="5">
        <v>902.10979560879002</v>
      </c>
      <c r="AN360" s="4">
        <v>154.74038418584499</v>
      </c>
      <c r="AO360" s="4">
        <v>0.17153165273127099</v>
      </c>
      <c r="AP360" s="1" t="s">
        <v>250</v>
      </c>
      <c r="AQ360" s="1" t="s">
        <v>254</v>
      </c>
      <c r="AR360" s="1" t="s">
        <v>388</v>
      </c>
      <c r="AS360" s="1">
        <v>9</v>
      </c>
      <c r="AT360" s="4">
        <v>0.81189881604791103</v>
      </c>
      <c r="AU360" s="1" t="s">
        <v>1617</v>
      </c>
      <c r="AV360" s="1" t="s">
        <v>1618</v>
      </c>
      <c r="AW360" s="1">
        <v>1142</v>
      </c>
      <c r="AX360" s="1">
        <v>549</v>
      </c>
      <c r="AY360" s="1">
        <v>426</v>
      </c>
      <c r="AZ360" s="1">
        <v>155</v>
      </c>
      <c r="BA360" s="1">
        <v>12</v>
      </c>
      <c r="BB360" s="1">
        <v>0</v>
      </c>
      <c r="BC360" s="1">
        <v>0</v>
      </c>
      <c r="BD360" s="1">
        <v>0</v>
      </c>
      <c r="BE360" s="1">
        <v>0</v>
      </c>
      <c r="BF360" s="1">
        <v>0</v>
      </c>
      <c r="BG360" s="1">
        <v>0</v>
      </c>
      <c r="BH360" s="4">
        <v>0</v>
      </c>
      <c r="BI360" s="4">
        <v>29.452000000000002</v>
      </c>
      <c r="BJ360" s="4">
        <v>9.4551809999999996</v>
      </c>
      <c r="BK360" s="4">
        <v>0</v>
      </c>
      <c r="BL360" s="4">
        <v>10.502138</v>
      </c>
      <c r="BM360" s="4">
        <v>110.294901</v>
      </c>
      <c r="BN360" s="4">
        <v>1.1107279999999999</v>
      </c>
      <c r="BO360" s="4">
        <v>21.447500000000002</v>
      </c>
      <c r="BP360" s="4">
        <v>0.64030500000000001</v>
      </c>
      <c r="BQ360" s="4">
        <v>1.6435649999999999</v>
      </c>
      <c r="BR360" s="4">
        <v>9.6507389999999997</v>
      </c>
      <c r="BS360" s="4">
        <v>2.7410000000000001</v>
      </c>
      <c r="BT360" s="4">
        <v>2.8285</v>
      </c>
      <c r="BU360" s="4">
        <v>9.4551809999999996</v>
      </c>
      <c r="BV360" s="4">
        <v>5.5803070000000004</v>
      </c>
      <c r="BW360" s="4">
        <v>1.4988969999999999</v>
      </c>
      <c r="BX360" s="4">
        <v>-0.445133</v>
      </c>
      <c r="BY360" s="4">
        <v>0.59018499999999996</v>
      </c>
      <c r="BZ360" s="4">
        <v>0.26860499999999998</v>
      </c>
      <c r="CA360" s="4">
        <v>-7.9768000000000006E-2</v>
      </c>
      <c r="CB360" s="4">
        <v>1.0999999999999999E-2</v>
      </c>
      <c r="CC360" s="4">
        <v>4.9099999999999998E-2</v>
      </c>
      <c r="CD360" s="4">
        <v>0.11219999999999999</v>
      </c>
      <c r="CE360" s="4">
        <v>0.42080000000000001</v>
      </c>
      <c r="CF360" s="4">
        <v>0.69225000000000003</v>
      </c>
      <c r="CG360" s="4">
        <v>0.95299999999999996</v>
      </c>
      <c r="CH360" s="4">
        <v>1.581</v>
      </c>
      <c r="CI360" s="4">
        <v>2.8285</v>
      </c>
      <c r="CJ360" s="4">
        <v>6.8721990000000002</v>
      </c>
      <c r="CK360" s="4">
        <v>18.412203000000002</v>
      </c>
      <c r="CL360" s="4">
        <v>22.139749999999999</v>
      </c>
      <c r="CM360" s="4">
        <v>23.4802</v>
      </c>
      <c r="CN360" s="4">
        <v>25.579899000000001</v>
      </c>
      <c r="CO360" s="4">
        <v>26.672249000000001</v>
      </c>
      <c r="CP360" s="4">
        <v>28.171209000000001</v>
      </c>
      <c r="CQ360" s="4">
        <v>0.32103700000000002</v>
      </c>
      <c r="CR360" s="4">
        <v>14.127943</v>
      </c>
      <c r="CS360" s="4">
        <v>16.765125999999999</v>
      </c>
      <c r="CT360" s="1">
        <v>22</v>
      </c>
      <c r="CU360" s="1">
        <v>455</v>
      </c>
      <c r="CV360" s="4">
        <v>117.25394</v>
      </c>
      <c r="CW360" s="4">
        <v>28.873016</v>
      </c>
      <c r="CX360" s="4">
        <v>85.417458999999994</v>
      </c>
      <c r="CY360" s="4">
        <v>7296.1422940000002</v>
      </c>
      <c r="CZ360" s="4">
        <v>0.72848299999999999</v>
      </c>
      <c r="DA360" s="4">
        <v>106</v>
      </c>
      <c r="DB360" s="4">
        <v>1.298432</v>
      </c>
      <c r="DC360" s="4">
        <v>4.2541779999999996</v>
      </c>
      <c r="DD360" s="4">
        <v>67.141878000000005</v>
      </c>
      <c r="DE360" s="4">
        <v>117.25394</v>
      </c>
      <c r="DF360" s="4">
        <v>45.136167999999998</v>
      </c>
      <c r="DG360" s="4">
        <v>13.396944</v>
      </c>
      <c r="DH360" s="4">
        <v>5.2436699999999998</v>
      </c>
      <c r="DI360" s="4">
        <v>0.38494400000000001</v>
      </c>
      <c r="DJ360" s="4">
        <v>0.29681200000000002</v>
      </c>
      <c r="DK360" s="4">
        <v>0.116174</v>
      </c>
      <c r="DL360" s="4">
        <v>25</v>
      </c>
      <c r="DM360" s="4">
        <v>31</v>
      </c>
      <c r="DN360" s="4">
        <v>35</v>
      </c>
      <c r="DO360" s="4">
        <v>45</v>
      </c>
      <c r="DP360" s="4">
        <v>51</v>
      </c>
      <c r="DQ360" s="4">
        <v>56</v>
      </c>
      <c r="DR360" s="4">
        <v>71</v>
      </c>
      <c r="DS360" s="4">
        <v>92</v>
      </c>
      <c r="DT360" s="4">
        <v>112</v>
      </c>
      <c r="DU360" s="4">
        <v>141</v>
      </c>
      <c r="DV360" s="4">
        <v>157</v>
      </c>
      <c r="DW360" s="4">
        <v>180</v>
      </c>
      <c r="DX360" s="4">
        <v>249.700073</v>
      </c>
      <c r="DY360" s="4">
        <v>295.949951</v>
      </c>
      <c r="DZ360" s="4">
        <v>382.94982900000002</v>
      </c>
      <c r="EA360" s="4">
        <v>72.131147999999996</v>
      </c>
      <c r="EB360" s="4">
        <v>49.124343000000003</v>
      </c>
      <c r="EC360" s="4">
        <v>102.18579200000001</v>
      </c>
      <c r="ED360" s="4">
        <v>396</v>
      </c>
      <c r="EE360" s="4">
        <v>561</v>
      </c>
      <c r="EF360" s="4">
        <v>65.391621000000001</v>
      </c>
      <c r="EG360" s="4">
        <v>99.817851000000005</v>
      </c>
      <c r="EH360" s="4">
        <v>37.740805999999999</v>
      </c>
      <c r="EI360" s="4">
        <v>99.912434000000005</v>
      </c>
      <c r="EJ360" s="4">
        <v>78.506375000000006</v>
      </c>
      <c r="EK360" s="4">
        <v>207.83242300000001</v>
      </c>
      <c r="EL360" s="4">
        <v>359</v>
      </c>
      <c r="EM360" s="4">
        <v>548</v>
      </c>
      <c r="EN360" s="4">
        <v>431</v>
      </c>
      <c r="EO360" s="4">
        <v>1141</v>
      </c>
      <c r="EP360" s="4">
        <v>549</v>
      </c>
      <c r="EQ360" s="4">
        <v>1142</v>
      </c>
      <c r="ER360" s="4">
        <v>32.518529999999998</v>
      </c>
    </row>
    <row r="361" spans="1:148" x14ac:dyDescent="0.2">
      <c r="A361" s="1">
        <v>2025</v>
      </c>
      <c r="B361" s="1" t="str">
        <f t="shared" si="10"/>
        <v>NE</v>
      </c>
      <c r="C361" s="1" t="s">
        <v>1620</v>
      </c>
      <c r="D361" s="1" t="s">
        <v>1620</v>
      </c>
      <c r="E361" s="1">
        <v>25022</v>
      </c>
      <c r="F361" s="1" t="s">
        <v>2192</v>
      </c>
      <c r="G361" s="1" t="s">
        <v>2017</v>
      </c>
      <c r="H361" s="1" t="s">
        <v>1946</v>
      </c>
      <c r="I361" s="1">
        <v>38.68</v>
      </c>
      <c r="J361" s="1">
        <v>38.68</v>
      </c>
      <c r="K361" s="1" t="s">
        <v>434</v>
      </c>
      <c r="L361" s="1">
        <v>1</v>
      </c>
      <c r="M361" s="3">
        <v>2016</v>
      </c>
      <c r="O361" s="1">
        <v>2</v>
      </c>
      <c r="P361" s="1" t="str">
        <f t="shared" si="11"/>
        <v>Talhadia</v>
      </c>
      <c r="Q361" s="2">
        <v>42494</v>
      </c>
      <c r="R361" s="1" t="s">
        <v>306</v>
      </c>
      <c r="S361" s="1" t="s">
        <v>193</v>
      </c>
      <c r="T361" s="1" t="s">
        <v>2268</v>
      </c>
      <c r="U361" s="1" t="s">
        <v>151</v>
      </c>
      <c r="V361" s="1" t="s">
        <v>152</v>
      </c>
      <c r="W361" s="2">
        <v>45708</v>
      </c>
      <c r="X361" s="1" t="s">
        <v>2193</v>
      </c>
      <c r="Y361" s="1">
        <v>192.30999999999997</v>
      </c>
      <c r="Z361" s="1">
        <v>19.7</v>
      </c>
      <c r="AA361" s="1">
        <v>25</v>
      </c>
      <c r="AB361" s="1">
        <v>14.3</v>
      </c>
      <c r="AC361" s="1">
        <v>2</v>
      </c>
      <c r="AD361" s="3">
        <v>281.70999999999998</v>
      </c>
      <c r="AE361" s="3">
        <v>255.16043509759601</v>
      </c>
      <c r="AF361" s="2">
        <v>45708</v>
      </c>
      <c r="AG361" s="1">
        <v>105</v>
      </c>
      <c r="AH361" s="3">
        <v>8.7994524298425691</v>
      </c>
      <c r="AI361" s="4">
        <v>26.317515003270898</v>
      </c>
      <c r="AJ361" s="4">
        <v>17.433333333333302</v>
      </c>
      <c r="AK361" s="4">
        <v>24.855180827349599</v>
      </c>
      <c r="AL361" s="1">
        <v>24</v>
      </c>
      <c r="AM361" s="5">
        <v>940.58469491244796</v>
      </c>
      <c r="AN361" s="4">
        <v>319.31852155310298</v>
      </c>
      <c r="AO361" s="4">
        <v>0.339489387059212</v>
      </c>
      <c r="AP361" s="1" t="s">
        <v>193</v>
      </c>
      <c r="AQ361" s="1" t="s">
        <v>254</v>
      </c>
      <c r="AR361" s="1" t="s">
        <v>388</v>
      </c>
      <c r="AS361" s="1">
        <v>9.99</v>
      </c>
      <c r="AT361" s="4">
        <v>0.93964411021753558</v>
      </c>
      <c r="AU361" s="1" t="s">
        <v>1619</v>
      </c>
      <c r="AV361" s="1" t="s">
        <v>1620</v>
      </c>
      <c r="AW361" s="1">
        <v>903</v>
      </c>
      <c r="AX361" s="1">
        <v>556</v>
      </c>
      <c r="AY361" s="1">
        <v>275</v>
      </c>
      <c r="AZ361" s="1">
        <v>65</v>
      </c>
      <c r="BA361" s="1">
        <v>7</v>
      </c>
      <c r="BB361" s="1">
        <v>0</v>
      </c>
      <c r="BC361" s="1">
        <v>0</v>
      </c>
      <c r="BD361" s="1">
        <v>0</v>
      </c>
      <c r="BE361" s="1">
        <v>0</v>
      </c>
      <c r="BF361" s="1">
        <v>0</v>
      </c>
      <c r="BG361" s="1">
        <v>0</v>
      </c>
      <c r="BH361" s="4">
        <v>1E-3</v>
      </c>
      <c r="BI361" s="4">
        <v>33.201999999999998</v>
      </c>
      <c r="BJ361" s="4">
        <v>20.032105999999999</v>
      </c>
      <c r="BK361" s="4">
        <v>1E-3</v>
      </c>
      <c r="BL361" s="4">
        <v>13.3034</v>
      </c>
      <c r="BM361" s="4">
        <v>176.98044200000001</v>
      </c>
      <c r="BN361" s="4">
        <v>0.66410400000000003</v>
      </c>
      <c r="BO361" s="4">
        <v>29.193498999999999</v>
      </c>
      <c r="BP361" s="4">
        <v>-0.66773300000000002</v>
      </c>
      <c r="BQ361" s="4">
        <v>1.599613</v>
      </c>
      <c r="BR361" s="4">
        <v>12.169534000000001</v>
      </c>
      <c r="BS361" s="4">
        <v>2.85</v>
      </c>
      <c r="BT361" s="4">
        <v>28.638999999999999</v>
      </c>
      <c r="BU361" s="4">
        <v>20.032105999999999</v>
      </c>
      <c r="BV361" s="4">
        <v>6.9153989999999999</v>
      </c>
      <c r="BW361" s="4">
        <v>-1.792945</v>
      </c>
      <c r="BX361" s="4">
        <v>-0.65548899999999999</v>
      </c>
      <c r="BY361" s="4">
        <v>0.34521600000000002</v>
      </c>
      <c r="BZ361" s="4">
        <v>-0.25926900000000003</v>
      </c>
      <c r="CA361" s="4">
        <v>-9.4786999999999996E-2</v>
      </c>
      <c r="CB361" s="4">
        <v>4.0200000000000001E-3</v>
      </c>
      <c r="CC361" s="4">
        <v>2.1000000000000001E-2</v>
      </c>
      <c r="CD361" s="4">
        <v>0.04</v>
      </c>
      <c r="CE361" s="4">
        <v>0.503</v>
      </c>
      <c r="CF361" s="4">
        <v>1.2949999999999999</v>
      </c>
      <c r="CG361" s="4">
        <v>5.8172009999999998</v>
      </c>
      <c r="CH361" s="4">
        <v>26.306996999999999</v>
      </c>
      <c r="CI361" s="4">
        <v>28.639999</v>
      </c>
      <c r="CJ361" s="4">
        <v>29.517401</v>
      </c>
      <c r="CK361" s="4">
        <v>30.257801000000001</v>
      </c>
      <c r="CL361" s="4">
        <v>30.488499000000001</v>
      </c>
      <c r="CM361" s="4">
        <v>30.810199999999998</v>
      </c>
      <c r="CN361" s="4">
        <v>31.499600999999998</v>
      </c>
      <c r="CO361" s="4">
        <v>32.056598999999999</v>
      </c>
      <c r="CP361" s="4">
        <v>32.788960000000003</v>
      </c>
      <c r="CQ361" s="4">
        <v>0.60332799999999998</v>
      </c>
      <c r="CR361" s="4">
        <v>24.043081000000001</v>
      </c>
      <c r="CS361" s="4">
        <v>25.759252</v>
      </c>
      <c r="CT361" s="1">
        <v>23</v>
      </c>
      <c r="CU361" s="1">
        <v>437</v>
      </c>
      <c r="CV361" s="4">
        <v>122.69435199999999</v>
      </c>
      <c r="CW361" s="4">
        <v>36.142856999999999</v>
      </c>
      <c r="CX361" s="4">
        <v>73.240405999999993</v>
      </c>
      <c r="CY361" s="4">
        <v>5364.1570300000003</v>
      </c>
      <c r="CZ361" s="4">
        <v>0.59693399999999996</v>
      </c>
      <c r="DA361" s="4">
        <v>114</v>
      </c>
      <c r="DB361" s="4">
        <v>0.83201099999999995</v>
      </c>
      <c r="DC361" s="4">
        <v>3.5004360000000001</v>
      </c>
      <c r="DD361" s="4">
        <v>60.085782999999999</v>
      </c>
      <c r="DE361" s="4">
        <v>122.69435199999999</v>
      </c>
      <c r="DF361" s="4">
        <v>40.694837999999997</v>
      </c>
      <c r="DG361" s="4">
        <v>6.8395020000000004</v>
      </c>
      <c r="DH361" s="4">
        <v>2.4645169999999998</v>
      </c>
      <c r="DI361" s="4">
        <v>0.331677</v>
      </c>
      <c r="DJ361" s="4">
        <v>0.168068</v>
      </c>
      <c r="DK361" s="4">
        <v>6.0560999999999997E-2</v>
      </c>
      <c r="DL361" s="4">
        <v>27</v>
      </c>
      <c r="DM361" s="4">
        <v>34</v>
      </c>
      <c r="DN361" s="4">
        <v>39</v>
      </c>
      <c r="DO361" s="4">
        <v>51</v>
      </c>
      <c r="DP361" s="4">
        <v>60</v>
      </c>
      <c r="DQ361" s="4">
        <v>70</v>
      </c>
      <c r="DR361" s="4">
        <v>90</v>
      </c>
      <c r="DS361" s="4">
        <v>111</v>
      </c>
      <c r="DT361" s="4">
        <v>131.20001199999999</v>
      </c>
      <c r="DU361" s="4">
        <v>158</v>
      </c>
      <c r="DV361" s="4">
        <v>174</v>
      </c>
      <c r="DW361" s="4">
        <v>187</v>
      </c>
      <c r="DX361" s="4">
        <v>223</v>
      </c>
      <c r="DY361" s="4">
        <v>257.800049</v>
      </c>
      <c r="DZ361" s="4">
        <v>333.65966800000001</v>
      </c>
      <c r="EA361" s="4">
        <v>95.503596999999999</v>
      </c>
      <c r="EB361" s="4">
        <v>71.982281</v>
      </c>
      <c r="EC361" s="4">
        <v>116.906475</v>
      </c>
      <c r="ED361" s="4">
        <v>531</v>
      </c>
      <c r="EE361" s="4">
        <v>650</v>
      </c>
      <c r="EF361" s="4">
        <v>91.726618999999999</v>
      </c>
      <c r="EG361" s="4">
        <v>100</v>
      </c>
      <c r="EH361" s="4">
        <v>62.679955999999997</v>
      </c>
      <c r="EI361" s="4">
        <v>99.557032000000007</v>
      </c>
      <c r="EJ361" s="4">
        <v>101.79856100000001</v>
      </c>
      <c r="EK361" s="4">
        <v>161.69064700000001</v>
      </c>
      <c r="EL361" s="4">
        <v>510</v>
      </c>
      <c r="EM361" s="4">
        <v>556</v>
      </c>
      <c r="EN361" s="4">
        <v>566</v>
      </c>
      <c r="EO361" s="4">
        <v>899</v>
      </c>
      <c r="EP361" s="4">
        <v>556</v>
      </c>
      <c r="EQ361" s="4">
        <v>903</v>
      </c>
      <c r="ER361" s="4">
        <v>60.102544999999999</v>
      </c>
    </row>
    <row r="362" spans="1:148" x14ac:dyDescent="0.2">
      <c r="A362" s="1">
        <v>2025</v>
      </c>
      <c r="B362" s="1" t="str">
        <f t="shared" si="10"/>
        <v>NE</v>
      </c>
      <c r="C362" s="1" t="s">
        <v>1622</v>
      </c>
      <c r="D362" s="1" t="s">
        <v>1622</v>
      </c>
      <c r="E362" s="1">
        <v>25024</v>
      </c>
      <c r="F362" s="1" t="s">
        <v>2192</v>
      </c>
      <c r="G362" s="1" t="s">
        <v>2017</v>
      </c>
      <c r="H362" s="1" t="s">
        <v>1946</v>
      </c>
      <c r="I362" s="1">
        <v>38.68</v>
      </c>
      <c r="J362" s="1">
        <v>38.68</v>
      </c>
      <c r="K362" s="1" t="s">
        <v>434</v>
      </c>
      <c r="L362" s="1">
        <v>1</v>
      </c>
      <c r="M362" s="3">
        <v>2016</v>
      </c>
      <c r="O362" s="1">
        <v>2</v>
      </c>
      <c r="P362" s="1" t="str">
        <f t="shared" si="11"/>
        <v>Talhadia</v>
      </c>
      <c r="Q362" s="2">
        <v>42494</v>
      </c>
      <c r="R362" s="1" t="s">
        <v>306</v>
      </c>
      <c r="S362" s="1" t="s">
        <v>193</v>
      </c>
      <c r="T362" s="1" t="s">
        <v>2268</v>
      </c>
      <c r="U362" s="1" t="s">
        <v>151</v>
      </c>
      <c r="V362" s="1" t="s">
        <v>152</v>
      </c>
      <c r="W362" s="2">
        <v>44769</v>
      </c>
      <c r="X362" s="1" t="s">
        <v>2193</v>
      </c>
      <c r="Y362" s="1">
        <v>192.30999999999997</v>
      </c>
      <c r="Z362" s="1">
        <v>18.5</v>
      </c>
      <c r="AA362" s="1">
        <v>30</v>
      </c>
      <c r="AB362" s="1">
        <v>13.7</v>
      </c>
      <c r="AC362" s="1">
        <v>0</v>
      </c>
      <c r="AD362" s="3">
        <v>253.45</v>
      </c>
      <c r="AE362" s="3">
        <v>219.494138589166</v>
      </c>
      <c r="AF362" s="2">
        <v>45708</v>
      </c>
      <c r="AG362" s="1">
        <v>105</v>
      </c>
      <c r="AH362" s="3">
        <v>8.7994524298425691</v>
      </c>
      <c r="AI362" s="4">
        <v>34.702057666562901</v>
      </c>
      <c r="AJ362" s="4">
        <v>22.141176470588199</v>
      </c>
      <c r="AK362" s="4">
        <v>30.651742189646701</v>
      </c>
      <c r="AL362" s="1">
        <v>17</v>
      </c>
      <c r="AM362" s="5">
        <v>774.50815357850797</v>
      </c>
      <c r="AN362" s="4">
        <v>481.93802273374899</v>
      </c>
      <c r="AO362" s="4">
        <v>0.62225041854888297</v>
      </c>
      <c r="AP362" s="1" t="s">
        <v>193</v>
      </c>
      <c r="AQ362" s="1" t="s">
        <v>254</v>
      </c>
      <c r="AR362" s="1" t="s">
        <v>388</v>
      </c>
      <c r="AS362" s="1">
        <v>9.99</v>
      </c>
      <c r="AT362" s="4">
        <v>0.77373364542492951</v>
      </c>
      <c r="AU362" s="1" t="s">
        <v>1621</v>
      </c>
      <c r="AV362" s="1" t="s">
        <v>1622</v>
      </c>
      <c r="AW362" s="1">
        <v>899</v>
      </c>
      <c r="AX362" s="1">
        <v>487</v>
      </c>
      <c r="AY362" s="1">
        <v>287</v>
      </c>
      <c r="AZ362" s="1">
        <v>101</v>
      </c>
      <c r="BA362" s="1">
        <v>22</v>
      </c>
      <c r="BB362" s="1">
        <v>2</v>
      </c>
      <c r="BC362" s="1">
        <v>0</v>
      </c>
      <c r="BD362" s="1">
        <v>0</v>
      </c>
      <c r="BE362" s="1">
        <v>0</v>
      </c>
      <c r="BF362" s="1">
        <v>0</v>
      </c>
      <c r="BG362" s="1">
        <v>0</v>
      </c>
      <c r="BH362" s="4">
        <v>0</v>
      </c>
      <c r="BI362" s="4">
        <v>41.896000000000001</v>
      </c>
      <c r="BJ362" s="4">
        <v>25.433056000000001</v>
      </c>
      <c r="BK362" s="4">
        <v>0</v>
      </c>
      <c r="BL362" s="4">
        <v>13.590382999999999</v>
      </c>
      <c r="BM362" s="4">
        <v>184.69851800000001</v>
      </c>
      <c r="BN362" s="4">
        <v>0.53435900000000003</v>
      </c>
      <c r="BO362" s="4">
        <v>19.011499000000001</v>
      </c>
      <c r="BP362" s="4">
        <v>-0.80187900000000001</v>
      </c>
      <c r="BQ362" s="4">
        <v>2.2460330000000002</v>
      </c>
      <c r="BR362" s="4">
        <v>11.456219000000001</v>
      </c>
      <c r="BS362" s="4">
        <v>7.6840020000000004</v>
      </c>
      <c r="BT362" s="4">
        <v>30.388999999999999</v>
      </c>
      <c r="BU362" s="4">
        <v>25.433056000000001</v>
      </c>
      <c r="BV362" s="4">
        <v>7.419537</v>
      </c>
      <c r="BW362" s="4">
        <v>-1.810581</v>
      </c>
      <c r="BX362" s="4">
        <v>8.8332999999999995E-2</v>
      </c>
      <c r="BY362" s="4">
        <v>0.29172799999999999</v>
      </c>
      <c r="BZ362" s="4">
        <v>-0.244029</v>
      </c>
      <c r="CA362" s="4">
        <v>1.1905000000000001E-2</v>
      </c>
      <c r="CB362" s="4">
        <v>6.9800000000000001E-3</v>
      </c>
      <c r="CC362" s="4">
        <v>3.3000000000000002E-2</v>
      </c>
      <c r="CD362" s="4">
        <v>0.1318</v>
      </c>
      <c r="CE362" s="4">
        <v>10.1686</v>
      </c>
      <c r="CF362" s="4">
        <v>17.692499000000002</v>
      </c>
      <c r="CG362" s="4">
        <v>20.967199000000001</v>
      </c>
      <c r="CH362" s="4">
        <v>25.957401000000001</v>
      </c>
      <c r="CI362" s="4">
        <v>30.388999999999999</v>
      </c>
      <c r="CJ362" s="4">
        <v>33.736401000000001</v>
      </c>
      <c r="CK362" s="4">
        <v>35.929797999999998</v>
      </c>
      <c r="CL362" s="4">
        <v>36.703999000000003</v>
      </c>
      <c r="CM362" s="4">
        <v>37.466000000000001</v>
      </c>
      <c r="CN362" s="4">
        <v>38.823802999999998</v>
      </c>
      <c r="CO362" s="4">
        <v>39.687401000000001</v>
      </c>
      <c r="CP362" s="4">
        <v>40.888004000000002</v>
      </c>
      <c r="CQ362" s="4">
        <v>0.60705200000000004</v>
      </c>
      <c r="CR362" s="4">
        <v>28.832853</v>
      </c>
      <c r="CS362" s="4">
        <v>30.551712999999999</v>
      </c>
      <c r="CT362" s="1">
        <v>23</v>
      </c>
      <c r="CU362" s="1">
        <v>519</v>
      </c>
      <c r="CV362" s="4">
        <v>109.94327</v>
      </c>
      <c r="CW362" s="4">
        <v>30.873016</v>
      </c>
      <c r="CX362" s="4">
        <v>72.907957999999994</v>
      </c>
      <c r="CY362" s="4">
        <v>5315.570275</v>
      </c>
      <c r="CZ362" s="4">
        <v>0.66314200000000001</v>
      </c>
      <c r="DA362" s="4">
        <v>100</v>
      </c>
      <c r="DB362" s="4">
        <v>1.3061970000000001</v>
      </c>
      <c r="DC362" s="4">
        <v>5.3125730000000004</v>
      </c>
      <c r="DD362" s="4">
        <v>58.187356999999999</v>
      </c>
      <c r="DE362" s="4">
        <v>109.94327</v>
      </c>
      <c r="DF362" s="4">
        <v>38.994329</v>
      </c>
      <c r="DG362" s="4">
        <v>9.6111350000000009</v>
      </c>
      <c r="DH362" s="4">
        <v>3.5591590000000002</v>
      </c>
      <c r="DI362" s="4">
        <v>0.35467700000000002</v>
      </c>
      <c r="DJ362" s="4">
        <v>0.246475</v>
      </c>
      <c r="DK362" s="4">
        <v>9.1273999999999994E-2</v>
      </c>
      <c r="DL362" s="4">
        <v>25.98</v>
      </c>
      <c r="DM362" s="4">
        <v>32</v>
      </c>
      <c r="DN362" s="4">
        <v>37</v>
      </c>
      <c r="DO362" s="4">
        <v>45.600006</v>
      </c>
      <c r="DP362" s="4">
        <v>52</v>
      </c>
      <c r="DQ362" s="4">
        <v>57</v>
      </c>
      <c r="DR362" s="4">
        <v>71.200012000000001</v>
      </c>
      <c r="DS362" s="4">
        <v>91</v>
      </c>
      <c r="DT362" s="4">
        <v>113.799988</v>
      </c>
      <c r="DU362" s="4">
        <v>139.599976</v>
      </c>
      <c r="DV362" s="4">
        <v>152</v>
      </c>
      <c r="DW362" s="4">
        <v>169</v>
      </c>
      <c r="DX362" s="4">
        <v>207.20001199999999</v>
      </c>
      <c r="DY362" s="4">
        <v>242.399902</v>
      </c>
      <c r="DZ362" s="4">
        <v>336.06005900000002</v>
      </c>
      <c r="EA362" s="4">
        <v>97.125257000000005</v>
      </c>
      <c r="EB362" s="4">
        <v>85.428253999999995</v>
      </c>
      <c r="EC362" s="4">
        <v>157.70020500000001</v>
      </c>
      <c r="ED362" s="4">
        <v>473</v>
      </c>
      <c r="EE362" s="4">
        <v>768</v>
      </c>
      <c r="EF362" s="4">
        <v>85.831621999999996</v>
      </c>
      <c r="EG362" s="4">
        <v>100</v>
      </c>
      <c r="EH362" s="4">
        <v>61.179088</v>
      </c>
      <c r="EI362" s="4">
        <v>99.666296000000003</v>
      </c>
      <c r="EJ362" s="4">
        <v>112.936345</v>
      </c>
      <c r="EK362" s="4">
        <v>183.98357300000001</v>
      </c>
      <c r="EL362" s="4">
        <v>418</v>
      </c>
      <c r="EM362" s="4">
        <v>487</v>
      </c>
      <c r="EN362" s="4">
        <v>550</v>
      </c>
      <c r="EO362" s="4">
        <v>896</v>
      </c>
      <c r="EP362" s="4">
        <v>487</v>
      </c>
      <c r="EQ362" s="4">
        <v>899</v>
      </c>
      <c r="ER362" s="4">
        <v>61.194204999999997</v>
      </c>
    </row>
    <row r="363" spans="1:148" x14ac:dyDescent="0.2">
      <c r="A363" s="1">
        <v>2025</v>
      </c>
      <c r="B363" s="1" t="str">
        <f t="shared" si="10"/>
        <v>NE</v>
      </c>
      <c r="C363" s="1" t="s">
        <v>1624</v>
      </c>
      <c r="D363" s="1" t="s">
        <v>1624</v>
      </c>
      <c r="E363" s="1">
        <v>25025</v>
      </c>
      <c r="F363" s="1" t="s">
        <v>2192</v>
      </c>
      <c r="G363" s="1" t="s">
        <v>2017</v>
      </c>
      <c r="H363" s="1" t="s">
        <v>1946</v>
      </c>
      <c r="I363" s="1">
        <v>38.68</v>
      </c>
      <c r="J363" s="1">
        <v>38.68</v>
      </c>
      <c r="K363" s="1" t="s">
        <v>434</v>
      </c>
      <c r="L363" s="1">
        <v>1</v>
      </c>
      <c r="M363" s="3">
        <v>2016</v>
      </c>
      <c r="O363" s="1">
        <v>2</v>
      </c>
      <c r="P363" s="1" t="str">
        <f t="shared" si="11"/>
        <v>Talhadia</v>
      </c>
      <c r="Q363" s="2">
        <v>42494</v>
      </c>
      <c r="R363" s="1" t="s">
        <v>306</v>
      </c>
      <c r="S363" s="1" t="s">
        <v>193</v>
      </c>
      <c r="T363" s="1" t="s">
        <v>2268</v>
      </c>
      <c r="U363" s="1" t="s">
        <v>151</v>
      </c>
      <c r="V363" s="1" t="s">
        <v>152</v>
      </c>
      <c r="W363" s="2">
        <v>45708</v>
      </c>
      <c r="X363" s="1" t="s">
        <v>2193</v>
      </c>
      <c r="Y363" s="1">
        <v>192.30999999999997</v>
      </c>
      <c r="Z363" s="1">
        <v>19.3</v>
      </c>
      <c r="AA363" s="1">
        <v>17</v>
      </c>
      <c r="AB363" s="1">
        <v>13.8</v>
      </c>
      <c r="AC363" s="1">
        <v>8</v>
      </c>
      <c r="AD363" s="3">
        <v>266.33999999999997</v>
      </c>
      <c r="AE363" s="3">
        <v>252.223464316725</v>
      </c>
      <c r="AF363" s="2">
        <v>45708</v>
      </c>
      <c r="AG363" s="1">
        <v>105</v>
      </c>
      <c r="AH363" s="3">
        <v>8.7994524298425691</v>
      </c>
      <c r="AI363" s="4">
        <v>25.026608775004799</v>
      </c>
      <c r="AJ363" s="4">
        <v>17.315789473684202</v>
      </c>
      <c r="AK363" s="4">
        <v>18.924840190934098</v>
      </c>
      <c r="AL363" s="1">
        <v>19</v>
      </c>
      <c r="AM363" s="5">
        <v>753.30025505244396</v>
      </c>
      <c r="AN363" s="4">
        <v>212.12048203827601</v>
      </c>
      <c r="AO363" s="4">
        <v>0.28158822543277801</v>
      </c>
      <c r="AP363" s="1" t="s">
        <v>193</v>
      </c>
      <c r="AQ363" s="1" t="s">
        <v>254</v>
      </c>
      <c r="AR363" s="1" t="s">
        <v>388</v>
      </c>
      <c r="AS363" s="1">
        <v>9.99</v>
      </c>
      <c r="AT363" s="4">
        <v>0.75254695479739153</v>
      </c>
      <c r="AU363" s="1" t="s">
        <v>1623</v>
      </c>
      <c r="AV363" s="1" t="s">
        <v>1624</v>
      </c>
      <c r="AW363" s="1">
        <v>902</v>
      </c>
      <c r="AX363" s="1">
        <v>474</v>
      </c>
      <c r="AY363" s="1">
        <v>296</v>
      </c>
      <c r="AZ363" s="1">
        <v>110</v>
      </c>
      <c r="BA363" s="1">
        <v>21</v>
      </c>
      <c r="BB363" s="1">
        <v>1</v>
      </c>
      <c r="BC363" s="1">
        <v>0</v>
      </c>
      <c r="BD363" s="1">
        <v>0</v>
      </c>
      <c r="BE363" s="1">
        <v>0</v>
      </c>
      <c r="BF363" s="1">
        <v>0</v>
      </c>
      <c r="BG363" s="1">
        <v>0</v>
      </c>
      <c r="BH363" s="4">
        <v>2E-3</v>
      </c>
      <c r="BI363" s="4">
        <v>32.004002</v>
      </c>
      <c r="BJ363" s="4">
        <v>19.590302999999999</v>
      </c>
      <c r="BK363" s="4">
        <v>2E-3</v>
      </c>
      <c r="BL363" s="4">
        <v>10.115603</v>
      </c>
      <c r="BM363" s="4">
        <v>102.325428</v>
      </c>
      <c r="BN363" s="4">
        <v>0.51635799999999998</v>
      </c>
      <c r="BO363" s="4">
        <v>9.8375000000000004</v>
      </c>
      <c r="BP363" s="4">
        <v>-1.048163</v>
      </c>
      <c r="BQ363" s="4">
        <v>2.6010970000000002</v>
      </c>
      <c r="BR363" s="4">
        <v>8.2267930000000007</v>
      </c>
      <c r="BS363" s="4">
        <v>3.9784989999999998</v>
      </c>
      <c r="BT363" s="4">
        <v>23.521999000000001</v>
      </c>
      <c r="BU363" s="4">
        <v>19.590302999999999</v>
      </c>
      <c r="BV363" s="4">
        <v>5.2719849999999999</v>
      </c>
      <c r="BW363" s="4">
        <v>-1.5760190000000001</v>
      </c>
      <c r="BX363" s="4">
        <v>0.44162400000000002</v>
      </c>
      <c r="BY363" s="4">
        <v>0.26911200000000002</v>
      </c>
      <c r="BZ363" s="4">
        <v>-0.29894199999999999</v>
      </c>
      <c r="CA363" s="4">
        <v>8.3767999999999995E-2</v>
      </c>
      <c r="CB363" s="4">
        <v>1.3010000000000001E-2</v>
      </c>
      <c r="CC363" s="4">
        <v>5.0999999999999997E-2</v>
      </c>
      <c r="CD363" s="4">
        <v>0.14580000000000001</v>
      </c>
      <c r="CE363" s="4">
        <v>6.8373999999999997</v>
      </c>
      <c r="CF363" s="4">
        <v>16.724501</v>
      </c>
      <c r="CG363" s="4">
        <v>19.331598</v>
      </c>
      <c r="CH363" s="4">
        <v>22.276399999999999</v>
      </c>
      <c r="CI363" s="4">
        <v>23.524000000000001</v>
      </c>
      <c r="CJ363" s="4">
        <v>24.660999</v>
      </c>
      <c r="CK363" s="4">
        <v>25.745100000000001</v>
      </c>
      <c r="CL363" s="4">
        <v>26.562000000000001</v>
      </c>
      <c r="CM363" s="4">
        <v>27.367398999999999</v>
      </c>
      <c r="CN363" s="4">
        <v>29.043700999999999</v>
      </c>
      <c r="CO363" s="4">
        <v>29.830200000000001</v>
      </c>
      <c r="CP363" s="4">
        <v>31.332449</v>
      </c>
      <c r="CQ363" s="4">
        <v>0.61209599999999997</v>
      </c>
      <c r="CR363" s="4">
        <v>22.045224999999999</v>
      </c>
      <c r="CS363" s="4">
        <v>23.171814000000001</v>
      </c>
      <c r="CT363" s="1">
        <v>25</v>
      </c>
      <c r="CU363" s="1">
        <v>514</v>
      </c>
      <c r="CV363" s="4">
        <v>95.932372999999998</v>
      </c>
      <c r="CW363" s="4">
        <v>48.285713999999999</v>
      </c>
      <c r="CX363" s="4">
        <v>60.732275999999999</v>
      </c>
      <c r="CY363" s="4">
        <v>3688.4094060000002</v>
      </c>
      <c r="CZ363" s="4">
        <v>0.63307400000000003</v>
      </c>
      <c r="DA363" s="4">
        <v>78</v>
      </c>
      <c r="DB363" s="4">
        <v>1.8284549999999999</v>
      </c>
      <c r="DC363" s="4">
        <v>9.0280159999999992</v>
      </c>
      <c r="DD363" s="4">
        <v>46.645400000000002</v>
      </c>
      <c r="DE363" s="4">
        <v>95.932372999999998</v>
      </c>
      <c r="DF363" s="4">
        <v>31.347041000000001</v>
      </c>
      <c r="DG363" s="4">
        <v>8.5853959999999994</v>
      </c>
      <c r="DH363" s="4">
        <v>3.8351350000000002</v>
      </c>
      <c r="DI363" s="4">
        <v>0.326762</v>
      </c>
      <c r="DJ363" s="4">
        <v>0.27388200000000001</v>
      </c>
      <c r="DK363" s="4">
        <v>0.12234399999999999</v>
      </c>
      <c r="DL363" s="4">
        <v>28.01</v>
      </c>
      <c r="DM363" s="4">
        <v>33</v>
      </c>
      <c r="DN363" s="4">
        <v>38</v>
      </c>
      <c r="DO363" s="4">
        <v>46.199997000000003</v>
      </c>
      <c r="DP363" s="4">
        <v>51</v>
      </c>
      <c r="DQ363" s="4">
        <v>54.299987999999999</v>
      </c>
      <c r="DR363" s="4">
        <v>66.399994000000007</v>
      </c>
      <c r="DS363" s="4">
        <v>78</v>
      </c>
      <c r="DT363" s="4">
        <v>94</v>
      </c>
      <c r="DU363" s="4">
        <v>118</v>
      </c>
      <c r="DV363" s="4">
        <v>129</v>
      </c>
      <c r="DW363" s="4">
        <v>141</v>
      </c>
      <c r="DX363" s="4">
        <v>173.900024</v>
      </c>
      <c r="DY363" s="4">
        <v>203</v>
      </c>
      <c r="DZ363" s="4">
        <v>281.86987299999998</v>
      </c>
      <c r="EA363" s="4">
        <v>97.890294999999995</v>
      </c>
      <c r="EB363" s="4">
        <v>83.370288000000002</v>
      </c>
      <c r="EC363" s="4">
        <v>158.649789</v>
      </c>
      <c r="ED363" s="4">
        <v>464</v>
      </c>
      <c r="EE363" s="4">
        <v>752</v>
      </c>
      <c r="EF363" s="4">
        <v>91.983121999999995</v>
      </c>
      <c r="EG363" s="4">
        <v>100</v>
      </c>
      <c r="EH363" s="4">
        <v>69.401330000000002</v>
      </c>
      <c r="EI363" s="4">
        <v>99.889134999999996</v>
      </c>
      <c r="EJ363" s="4">
        <v>132.067511</v>
      </c>
      <c r="EK363" s="4">
        <v>190.08438799999999</v>
      </c>
      <c r="EL363" s="4">
        <v>436</v>
      </c>
      <c r="EM363" s="4">
        <v>474</v>
      </c>
      <c r="EN363" s="4">
        <v>626</v>
      </c>
      <c r="EO363" s="4">
        <v>901</v>
      </c>
      <c r="EP363" s="4">
        <v>474</v>
      </c>
      <c r="EQ363" s="4">
        <v>902</v>
      </c>
      <c r="ER363" s="4">
        <v>61.547970999999997</v>
      </c>
    </row>
    <row r="364" spans="1:148" x14ac:dyDescent="0.2">
      <c r="A364" s="1">
        <v>2025</v>
      </c>
      <c r="B364" s="1" t="str">
        <f t="shared" si="10"/>
        <v>NE</v>
      </c>
      <c r="C364" s="1" t="s">
        <v>1626</v>
      </c>
      <c r="D364" s="1" t="s">
        <v>1626</v>
      </c>
      <c r="E364" s="1">
        <v>33504</v>
      </c>
      <c r="F364" s="1" t="s">
        <v>2192</v>
      </c>
      <c r="G364" s="1" t="s">
        <v>2017</v>
      </c>
      <c r="H364" s="1" t="s">
        <v>1946</v>
      </c>
      <c r="I364" s="1">
        <v>38.68</v>
      </c>
      <c r="J364" s="1">
        <v>38.68</v>
      </c>
      <c r="K364" s="1" t="s">
        <v>434</v>
      </c>
      <c r="L364" s="1">
        <v>1</v>
      </c>
      <c r="M364" s="3">
        <v>2016</v>
      </c>
      <c r="O364" s="1">
        <v>2</v>
      </c>
      <c r="P364" s="1" t="str">
        <f t="shared" si="11"/>
        <v>Talhadia</v>
      </c>
      <c r="Q364" s="2">
        <v>42494</v>
      </c>
      <c r="R364" s="1" t="s">
        <v>306</v>
      </c>
      <c r="S364" s="1" t="s">
        <v>193</v>
      </c>
      <c r="T364" s="1" t="s">
        <v>2268</v>
      </c>
      <c r="U364" s="1" t="s">
        <v>151</v>
      </c>
      <c r="V364" s="1" t="s">
        <v>152</v>
      </c>
      <c r="W364" s="2">
        <v>44770</v>
      </c>
      <c r="X364" s="1" t="s">
        <v>2193</v>
      </c>
      <c r="Y364" s="1">
        <v>192.30999999999997</v>
      </c>
      <c r="Z364" s="1">
        <v>19.399999999999999</v>
      </c>
      <c r="AA364" s="1">
        <v>16</v>
      </c>
      <c r="AB364" s="1">
        <v>16.600000000000001</v>
      </c>
      <c r="AC364" s="1">
        <v>4</v>
      </c>
      <c r="AD364" s="3">
        <v>322.04000000000002</v>
      </c>
      <c r="AE364" s="3">
        <v>308.81063246910401</v>
      </c>
      <c r="AF364" s="2">
        <v>45708</v>
      </c>
      <c r="AG364" s="1">
        <v>105</v>
      </c>
      <c r="AH364" s="3">
        <v>8.7994524298425691</v>
      </c>
      <c r="AI364" s="4">
        <v>27.861688672610299</v>
      </c>
      <c r="AJ364" s="4">
        <v>19.4962962962963</v>
      </c>
      <c r="AK364" s="4">
        <v>29.875843020974699</v>
      </c>
      <c r="AL364" s="1">
        <v>27</v>
      </c>
      <c r="AM364" s="5">
        <v>874.32222731842899</v>
      </c>
      <c r="AN364" s="4">
        <v>413.43377337568501</v>
      </c>
      <c r="AO364" s="4">
        <v>0.47286201866753202</v>
      </c>
      <c r="AP364" s="1" t="s">
        <v>193</v>
      </c>
      <c r="AQ364" s="1" t="s">
        <v>254</v>
      </c>
      <c r="AR364" s="1" t="s">
        <v>388</v>
      </c>
      <c r="AS364" s="1">
        <v>9.99</v>
      </c>
      <c r="AT364" s="4">
        <v>0.87344790509111059</v>
      </c>
      <c r="AU364" s="1" t="s">
        <v>1625</v>
      </c>
      <c r="AV364" s="1" t="s">
        <v>1626</v>
      </c>
      <c r="AW364" s="1">
        <v>1132</v>
      </c>
      <c r="AX364" s="1">
        <v>672</v>
      </c>
      <c r="AY364" s="1">
        <v>320</v>
      </c>
      <c r="AZ364" s="1">
        <v>117</v>
      </c>
      <c r="BA364" s="1">
        <v>21</v>
      </c>
      <c r="BB364" s="1">
        <v>2</v>
      </c>
      <c r="BC364" s="1">
        <v>0</v>
      </c>
      <c r="BD364" s="1">
        <v>0</v>
      </c>
      <c r="BE364" s="1">
        <v>0</v>
      </c>
      <c r="BF364" s="1">
        <v>0</v>
      </c>
      <c r="BG364" s="1">
        <v>0</v>
      </c>
      <c r="BH364" s="4">
        <v>0</v>
      </c>
      <c r="BI364" s="4">
        <v>36.544998</v>
      </c>
      <c r="BJ364" s="4">
        <v>21.843682999999999</v>
      </c>
      <c r="BK364" s="4">
        <v>0</v>
      </c>
      <c r="BL364" s="4">
        <v>12.880102000000001</v>
      </c>
      <c r="BM364" s="4">
        <v>165.89702199999999</v>
      </c>
      <c r="BN364" s="4">
        <v>0.58964899999999998</v>
      </c>
      <c r="BO364" s="4">
        <v>21.124002000000001</v>
      </c>
      <c r="BP364" s="4">
        <v>-0.68938999999999995</v>
      </c>
      <c r="BQ364" s="4">
        <v>1.9145939999999999</v>
      </c>
      <c r="BR364" s="4">
        <v>11.39588</v>
      </c>
      <c r="BS364" s="4">
        <v>6.0140000000000002</v>
      </c>
      <c r="BT364" s="4">
        <v>28.326499999999999</v>
      </c>
      <c r="BU364" s="4">
        <v>21.843682999999999</v>
      </c>
      <c r="BV364" s="4">
        <v>7.006399</v>
      </c>
      <c r="BW364" s="4">
        <v>-1.6633690000000001</v>
      </c>
      <c r="BX364" s="4">
        <v>-0.306618</v>
      </c>
      <c r="BY364" s="4">
        <v>0.32075199999999998</v>
      </c>
      <c r="BZ364" s="4">
        <v>-0.23740700000000001</v>
      </c>
      <c r="CA364" s="4">
        <v>-4.3763000000000003E-2</v>
      </c>
      <c r="CB364" s="4">
        <v>2E-3</v>
      </c>
      <c r="CC364" s="4">
        <v>0.01</v>
      </c>
      <c r="CD364" s="4">
        <v>2.4E-2</v>
      </c>
      <c r="CE364" s="4">
        <v>6.3357989999999997</v>
      </c>
      <c r="CF364" s="4">
        <v>11.5885</v>
      </c>
      <c r="CG364" s="4">
        <v>15.309599</v>
      </c>
      <c r="CH364" s="4">
        <v>20.848396000000001</v>
      </c>
      <c r="CI364" s="4">
        <v>28.326499999999999</v>
      </c>
      <c r="CJ364" s="4">
        <v>30.703199000000001</v>
      </c>
      <c r="CK364" s="4">
        <v>32.232300000000002</v>
      </c>
      <c r="CL364" s="4">
        <v>32.712502000000001</v>
      </c>
      <c r="CM364" s="4">
        <v>33.131400999999997</v>
      </c>
      <c r="CN364" s="4">
        <v>34.089599999999997</v>
      </c>
      <c r="CO364" s="4">
        <v>34.881348000000003</v>
      </c>
      <c r="CP364" s="4">
        <v>35.609070000000003</v>
      </c>
      <c r="CQ364" s="4">
        <v>0.59772000000000003</v>
      </c>
      <c r="CR364" s="4">
        <v>25.355412999999999</v>
      </c>
      <c r="CS364" s="4">
        <v>27.059152999999998</v>
      </c>
      <c r="CT364" s="1">
        <v>23</v>
      </c>
      <c r="CU364" s="1">
        <v>553</v>
      </c>
      <c r="CV364" s="4">
        <v>134.05300399999999</v>
      </c>
      <c r="CW364" s="4">
        <v>39.825397000000002</v>
      </c>
      <c r="CX364" s="4">
        <v>95.058272000000002</v>
      </c>
      <c r="CY364" s="4">
        <v>9036.0749950000009</v>
      </c>
      <c r="CZ364" s="4">
        <v>0.70911000000000002</v>
      </c>
      <c r="DA364" s="4">
        <v>131.25</v>
      </c>
      <c r="DB364" s="4">
        <v>1.2624139999999999</v>
      </c>
      <c r="DC364" s="4">
        <v>4.7146020000000002</v>
      </c>
      <c r="DD364" s="4">
        <v>75.694502</v>
      </c>
      <c r="DE364" s="4">
        <v>134.05300399999999</v>
      </c>
      <c r="DF364" s="4">
        <v>50.839429000000003</v>
      </c>
      <c r="DG364" s="4">
        <v>12.777215999999999</v>
      </c>
      <c r="DH364" s="4">
        <v>4.9210370000000001</v>
      </c>
      <c r="DI364" s="4">
        <v>0.379249</v>
      </c>
      <c r="DJ364" s="4">
        <v>0.25132500000000002</v>
      </c>
      <c r="DK364" s="4">
        <v>9.6795999999999993E-2</v>
      </c>
      <c r="DL364" s="4">
        <v>27</v>
      </c>
      <c r="DM364" s="4">
        <v>33</v>
      </c>
      <c r="DN364" s="4">
        <v>37.099997999999999</v>
      </c>
      <c r="DO364" s="4">
        <v>50</v>
      </c>
      <c r="DP364" s="4">
        <v>56</v>
      </c>
      <c r="DQ364" s="4">
        <v>65</v>
      </c>
      <c r="DR364" s="4">
        <v>85</v>
      </c>
      <c r="DS364" s="4">
        <v>109</v>
      </c>
      <c r="DT364" s="4">
        <v>141</v>
      </c>
      <c r="DU364" s="4">
        <v>171</v>
      </c>
      <c r="DV364" s="4">
        <v>187.25</v>
      </c>
      <c r="DW364" s="4">
        <v>203.79998800000001</v>
      </c>
      <c r="DX364" s="4">
        <v>262.90002399999997</v>
      </c>
      <c r="DY364" s="4">
        <v>312.34985399999999</v>
      </c>
      <c r="DZ364" s="4">
        <v>442.209473</v>
      </c>
      <c r="EA364" s="4">
        <v>97.321428999999995</v>
      </c>
      <c r="EB364" s="4">
        <v>80.830388999999997</v>
      </c>
      <c r="EC364" s="4">
        <v>136.16071400000001</v>
      </c>
      <c r="ED364" s="4">
        <v>654</v>
      </c>
      <c r="EE364" s="4">
        <v>915</v>
      </c>
      <c r="EF364" s="4">
        <v>84.821428999999995</v>
      </c>
      <c r="EG364" s="4">
        <v>100</v>
      </c>
      <c r="EH364" s="4">
        <v>58.833922000000001</v>
      </c>
      <c r="EI364" s="4">
        <v>99.646642999999997</v>
      </c>
      <c r="EJ364" s="4">
        <v>99.107142999999994</v>
      </c>
      <c r="EK364" s="4">
        <v>167.85714300000001</v>
      </c>
      <c r="EL364" s="4">
        <v>570</v>
      </c>
      <c r="EM364" s="4">
        <v>672</v>
      </c>
      <c r="EN364" s="4">
        <v>666</v>
      </c>
      <c r="EO364" s="4">
        <v>1128</v>
      </c>
      <c r="EP364" s="4">
        <v>672</v>
      </c>
      <c r="EQ364" s="4">
        <v>1132</v>
      </c>
      <c r="ER364" s="4">
        <v>60.329591000000001</v>
      </c>
    </row>
    <row r="365" spans="1:148" x14ac:dyDescent="0.2">
      <c r="A365" s="1">
        <v>2025</v>
      </c>
      <c r="B365" s="1" t="str">
        <f t="shared" si="10"/>
        <v>NE</v>
      </c>
      <c r="C365" s="1" t="s">
        <v>1628</v>
      </c>
      <c r="D365" s="1" t="s">
        <v>1628</v>
      </c>
      <c r="E365" s="1">
        <v>33506</v>
      </c>
      <c r="F365" s="1" t="s">
        <v>2192</v>
      </c>
      <c r="G365" s="1" t="s">
        <v>2017</v>
      </c>
      <c r="H365" s="1" t="s">
        <v>1947</v>
      </c>
      <c r="I365" s="1">
        <v>31.26</v>
      </c>
      <c r="J365" s="1">
        <v>31.26</v>
      </c>
      <c r="K365" s="1" t="s">
        <v>434</v>
      </c>
      <c r="L365" s="1">
        <v>1</v>
      </c>
      <c r="M365" s="3">
        <v>2016</v>
      </c>
      <c r="O365" s="1">
        <v>2</v>
      </c>
      <c r="P365" s="1" t="str">
        <f t="shared" si="11"/>
        <v>Talhadia</v>
      </c>
      <c r="Q365" s="2">
        <v>42580</v>
      </c>
      <c r="R365" s="1" t="s">
        <v>306</v>
      </c>
      <c r="S365" s="1" t="s">
        <v>193</v>
      </c>
      <c r="T365" s="1" t="s">
        <v>2268</v>
      </c>
      <c r="U365" s="1" t="s">
        <v>151</v>
      </c>
      <c r="V365" s="1" t="s">
        <v>152</v>
      </c>
      <c r="W365" s="2">
        <v>45708</v>
      </c>
      <c r="X365" s="1" t="s">
        <v>2193</v>
      </c>
      <c r="Y365" s="1">
        <v>192.30999999999997</v>
      </c>
      <c r="Z365" s="1">
        <v>19.899999999999999</v>
      </c>
      <c r="AA365" s="1">
        <v>23</v>
      </c>
      <c r="AB365" s="1">
        <v>14.5</v>
      </c>
      <c r="AC365" s="1">
        <v>2</v>
      </c>
      <c r="AD365" s="3">
        <v>288.55</v>
      </c>
      <c r="AE365" s="3">
        <v>265.44987200759601</v>
      </c>
      <c r="AF365" s="2">
        <v>45708</v>
      </c>
      <c r="AG365" s="1">
        <v>103</v>
      </c>
      <c r="AH365" s="3">
        <v>8.5639972621492095</v>
      </c>
      <c r="AI365" s="4">
        <v>28.786007036939999</v>
      </c>
      <c r="AJ365" s="4">
        <v>17.256</v>
      </c>
      <c r="AK365" s="4">
        <v>24.337265491734399</v>
      </c>
      <c r="AL365" s="1">
        <v>25</v>
      </c>
      <c r="AM365" s="5">
        <v>941.79740268567798</v>
      </c>
      <c r="AN365" s="4">
        <v>342.523335756748</v>
      </c>
      <c r="AO365" s="4">
        <v>0.363691102544975</v>
      </c>
      <c r="AP365" s="1" t="s">
        <v>193</v>
      </c>
      <c r="AQ365" s="1" t="s">
        <v>254</v>
      </c>
      <c r="AR365" s="1" t="s">
        <v>388</v>
      </c>
      <c r="AS365" s="1">
        <v>9.99</v>
      </c>
      <c r="AT365" s="4">
        <v>0.94085560528299228</v>
      </c>
      <c r="AU365" s="1" t="s">
        <v>1627</v>
      </c>
      <c r="AV365" s="1" t="s">
        <v>1628</v>
      </c>
      <c r="AW365" s="1">
        <v>1022</v>
      </c>
      <c r="AX365" s="1">
        <v>481</v>
      </c>
      <c r="AY365" s="1">
        <v>372</v>
      </c>
      <c r="AZ365" s="1">
        <v>131</v>
      </c>
      <c r="BA365" s="1">
        <v>36</v>
      </c>
      <c r="BB365" s="1">
        <v>2</v>
      </c>
      <c r="BC365" s="1">
        <v>0</v>
      </c>
      <c r="BD365" s="1">
        <v>0</v>
      </c>
      <c r="BE365" s="1">
        <v>0</v>
      </c>
      <c r="BF365" s="1">
        <v>0</v>
      </c>
      <c r="BG365" s="1">
        <v>0</v>
      </c>
      <c r="BH365" s="4">
        <v>0</v>
      </c>
      <c r="BI365" s="4">
        <v>36.162998000000002</v>
      </c>
      <c r="BJ365" s="4">
        <v>20.000070000000001</v>
      </c>
      <c r="BK365" s="4">
        <v>0</v>
      </c>
      <c r="BL365" s="4">
        <v>13.367229</v>
      </c>
      <c r="BM365" s="4">
        <v>178.68280799999999</v>
      </c>
      <c r="BN365" s="4">
        <v>0.66835900000000004</v>
      </c>
      <c r="BO365" s="4">
        <v>30.180001000000001</v>
      </c>
      <c r="BP365" s="4">
        <v>-0.52425900000000003</v>
      </c>
      <c r="BQ365" s="4">
        <v>1.6374759999999999</v>
      </c>
      <c r="BR365" s="4">
        <v>11.826017</v>
      </c>
      <c r="BS365" s="4">
        <v>8.4915009999999995</v>
      </c>
      <c r="BT365" s="4">
        <v>24.731498999999999</v>
      </c>
      <c r="BU365" s="4">
        <v>20.000070000000001</v>
      </c>
      <c r="BV365" s="4">
        <v>7.3501899999999996</v>
      </c>
      <c r="BW365" s="4">
        <v>-1.221733</v>
      </c>
      <c r="BX365" s="4">
        <v>-0.63058700000000001</v>
      </c>
      <c r="BY365" s="4">
        <v>0.367508</v>
      </c>
      <c r="BZ365" s="4">
        <v>-0.166218</v>
      </c>
      <c r="CA365" s="4">
        <v>-8.5791999999999993E-2</v>
      </c>
      <c r="CB365" s="4">
        <v>2.2100000000000002E-3</v>
      </c>
      <c r="CC365" s="4">
        <v>1.7000000000000001E-2</v>
      </c>
      <c r="CD365" s="4">
        <v>3.6999999999999998E-2</v>
      </c>
      <c r="CE365" s="4">
        <v>0.13619999999999999</v>
      </c>
      <c r="CF365" s="4">
        <v>2.0367500000000001</v>
      </c>
      <c r="CG365" s="4">
        <v>11.698195</v>
      </c>
      <c r="CH365" s="4">
        <v>20.508800999999998</v>
      </c>
      <c r="CI365" s="4">
        <v>24.731498999999999</v>
      </c>
      <c r="CJ365" s="4">
        <v>28.059999000000001</v>
      </c>
      <c r="CK365" s="4">
        <v>31.300799999999999</v>
      </c>
      <c r="CL365" s="4">
        <v>32.216751000000002</v>
      </c>
      <c r="CM365" s="4">
        <v>32.8964</v>
      </c>
      <c r="CN365" s="4">
        <v>33.880699</v>
      </c>
      <c r="CO365" s="4">
        <v>34.360698999999997</v>
      </c>
      <c r="CP365" s="4">
        <v>35.158248999999998</v>
      </c>
      <c r="CQ365" s="4">
        <v>0.55305300000000002</v>
      </c>
      <c r="CR365" s="4">
        <v>24.052250000000001</v>
      </c>
      <c r="CS365" s="4">
        <v>25.942485000000001</v>
      </c>
      <c r="CT365" s="1">
        <v>23</v>
      </c>
      <c r="CU365" s="1">
        <v>577</v>
      </c>
      <c r="CV365" s="4">
        <v>110.367906</v>
      </c>
      <c r="CW365" s="4">
        <v>31.793651000000001</v>
      </c>
      <c r="CX365" s="4">
        <v>85.332211999999998</v>
      </c>
      <c r="CY365" s="4">
        <v>7281.586354</v>
      </c>
      <c r="CZ365" s="4">
        <v>0.77316099999999999</v>
      </c>
      <c r="DA365" s="4">
        <v>98.75</v>
      </c>
      <c r="DB365" s="4">
        <v>1.7672639999999999</v>
      </c>
      <c r="DC365" s="4">
        <v>6.8808680000000004</v>
      </c>
      <c r="DD365" s="4">
        <v>64.351395999999994</v>
      </c>
      <c r="DE365" s="4">
        <v>110.367906</v>
      </c>
      <c r="DF365" s="4">
        <v>43.275621000000001</v>
      </c>
      <c r="DG365" s="4">
        <v>14.451395</v>
      </c>
      <c r="DH365" s="4">
        <v>6.464893</v>
      </c>
      <c r="DI365" s="4">
        <v>0.39210299999999998</v>
      </c>
      <c r="DJ365" s="4">
        <v>0.33393800000000001</v>
      </c>
      <c r="DK365" s="4">
        <v>0.14938899999999999</v>
      </c>
      <c r="DL365" s="4">
        <v>26</v>
      </c>
      <c r="DM365" s="4">
        <v>30</v>
      </c>
      <c r="DN365" s="4">
        <v>35</v>
      </c>
      <c r="DO365" s="4">
        <v>43</v>
      </c>
      <c r="DP365" s="4">
        <v>47</v>
      </c>
      <c r="DQ365" s="4">
        <v>53</v>
      </c>
      <c r="DR365" s="4">
        <v>66</v>
      </c>
      <c r="DS365" s="4">
        <v>82</v>
      </c>
      <c r="DT365" s="4">
        <v>103</v>
      </c>
      <c r="DU365" s="4">
        <v>130</v>
      </c>
      <c r="DV365" s="4">
        <v>145.75</v>
      </c>
      <c r="DW365" s="4">
        <v>164</v>
      </c>
      <c r="DX365" s="4">
        <v>225.800049</v>
      </c>
      <c r="DY365" s="4">
        <v>278.95001200000002</v>
      </c>
      <c r="DZ365" s="4">
        <v>417.94988999999998</v>
      </c>
      <c r="EA365" s="4">
        <v>95.634096</v>
      </c>
      <c r="EB365" s="4">
        <v>74.070449999999994</v>
      </c>
      <c r="EC365" s="4">
        <v>157.38045700000001</v>
      </c>
      <c r="ED365" s="4">
        <v>460</v>
      </c>
      <c r="EE365" s="4">
        <v>757</v>
      </c>
      <c r="EF365" s="4">
        <v>89.397088999999994</v>
      </c>
      <c r="EG365" s="4">
        <v>100</v>
      </c>
      <c r="EH365" s="4">
        <v>61.056750999999998</v>
      </c>
      <c r="EI365" s="4">
        <v>99.902152999999998</v>
      </c>
      <c r="EJ365" s="4">
        <v>129.72972999999999</v>
      </c>
      <c r="EK365" s="4">
        <v>212.26611199999999</v>
      </c>
      <c r="EL365" s="4">
        <v>430</v>
      </c>
      <c r="EM365" s="4">
        <v>481</v>
      </c>
      <c r="EN365" s="4">
        <v>624</v>
      </c>
      <c r="EO365" s="4">
        <v>1021</v>
      </c>
      <c r="EP365" s="4">
        <v>481</v>
      </c>
      <c r="EQ365" s="4">
        <v>1022</v>
      </c>
      <c r="ER365" s="4">
        <v>55.857180999999997</v>
      </c>
    </row>
    <row r="366" spans="1:148" x14ac:dyDescent="0.2">
      <c r="A366" s="1">
        <v>2025</v>
      </c>
      <c r="B366" s="1" t="str">
        <f t="shared" si="10"/>
        <v>NE</v>
      </c>
      <c r="C366" s="1" t="s">
        <v>1630</v>
      </c>
      <c r="D366" s="1" t="s">
        <v>1630</v>
      </c>
      <c r="E366" s="1">
        <v>27878</v>
      </c>
      <c r="F366" s="1" t="s">
        <v>2194</v>
      </c>
      <c r="G366" s="1" t="s">
        <v>2018</v>
      </c>
      <c r="H366" s="1" t="s">
        <v>1948</v>
      </c>
      <c r="I366" s="1">
        <v>49.31</v>
      </c>
      <c r="J366" s="1">
        <v>49.31</v>
      </c>
      <c r="K366" s="1" t="s">
        <v>434</v>
      </c>
      <c r="L366" s="1">
        <v>1</v>
      </c>
      <c r="M366" s="3">
        <v>2020</v>
      </c>
      <c r="O366" s="1">
        <v>2</v>
      </c>
      <c r="P366" s="1" t="str">
        <f t="shared" si="11"/>
        <v>Talhadia</v>
      </c>
      <c r="Q366" s="2">
        <v>44165</v>
      </c>
      <c r="R366" s="1" t="s">
        <v>2195</v>
      </c>
      <c r="S366" s="1" t="s">
        <v>160</v>
      </c>
      <c r="T366" s="1" t="s">
        <v>2268</v>
      </c>
      <c r="U366" s="1" t="s">
        <v>151</v>
      </c>
      <c r="V366" s="1" t="s">
        <v>152</v>
      </c>
      <c r="W366" s="2">
        <v>44771</v>
      </c>
      <c r="X366" s="1" t="s">
        <v>2196</v>
      </c>
      <c r="Y366" s="1">
        <v>108.38</v>
      </c>
      <c r="Z366" s="1">
        <v>18.7</v>
      </c>
      <c r="AA366" s="1">
        <v>15</v>
      </c>
      <c r="AB366" s="1">
        <v>15</v>
      </c>
      <c r="AC366" s="1">
        <v>3</v>
      </c>
      <c r="AD366" s="3">
        <v>280.5</v>
      </c>
      <c r="AE366" s="3">
        <v>270.57087741331202</v>
      </c>
      <c r="AF366" s="2">
        <v>45735</v>
      </c>
      <c r="AG366" s="1">
        <v>52</v>
      </c>
      <c r="AH366" s="3">
        <v>4.2984257357973998</v>
      </c>
      <c r="AI366" s="4">
        <v>25.304581837471201</v>
      </c>
      <c r="AJ366" s="4">
        <v>15.58</v>
      </c>
      <c r="AK366" s="4">
        <v>14.4130560039274</v>
      </c>
      <c r="AL366" s="1">
        <v>20</v>
      </c>
      <c r="AM366" s="5">
        <v>739.177852073449</v>
      </c>
      <c r="AN366" s="4">
        <v>156.742514887038</v>
      </c>
      <c r="AO366" s="4">
        <v>0.21204979890477399</v>
      </c>
      <c r="AP366" s="1" t="s">
        <v>160</v>
      </c>
      <c r="AQ366" s="1" t="s">
        <v>254</v>
      </c>
      <c r="AR366" s="1" t="s">
        <v>388</v>
      </c>
      <c r="AS366" s="1">
        <v>8.3999999999999986</v>
      </c>
      <c r="AT366" s="4">
        <v>0.62090939574169712</v>
      </c>
      <c r="AU366" s="1" t="s">
        <v>1629</v>
      </c>
      <c r="AV366" s="1" t="s">
        <v>1630</v>
      </c>
      <c r="AW366" s="1">
        <v>863</v>
      </c>
      <c r="AX366" s="1">
        <v>492</v>
      </c>
      <c r="AY366" s="1">
        <v>289</v>
      </c>
      <c r="AZ366" s="1">
        <v>70</v>
      </c>
      <c r="BA366" s="1">
        <v>12</v>
      </c>
      <c r="BB366" s="1">
        <v>0</v>
      </c>
      <c r="BC366" s="1">
        <v>0</v>
      </c>
      <c r="BD366" s="1">
        <v>0</v>
      </c>
      <c r="BE366" s="1">
        <v>0</v>
      </c>
      <c r="BF366" s="1">
        <v>0</v>
      </c>
      <c r="BG366" s="1">
        <v>0</v>
      </c>
      <c r="BH366" s="4">
        <v>0</v>
      </c>
      <c r="BI366" s="4">
        <v>27.191998999999999</v>
      </c>
      <c r="BJ366" s="4">
        <v>12.830251000000001</v>
      </c>
      <c r="BK366" s="4">
        <v>0</v>
      </c>
      <c r="BL366" s="4">
        <v>11.331673</v>
      </c>
      <c r="BM366" s="4">
        <v>128.406812</v>
      </c>
      <c r="BN366" s="4">
        <v>0.88319999999999999</v>
      </c>
      <c r="BO366" s="4">
        <v>23.759499999999999</v>
      </c>
      <c r="BP366" s="4">
        <v>-8.8409000000000001E-2</v>
      </c>
      <c r="BQ366" s="4">
        <v>1.1156889999999999</v>
      </c>
      <c r="BR366" s="4">
        <v>11.049303</v>
      </c>
      <c r="BS366" s="4">
        <v>7.718</v>
      </c>
      <c r="BT366" s="4">
        <v>18.614999999999998</v>
      </c>
      <c r="BU366" s="4">
        <v>12.830251000000001</v>
      </c>
      <c r="BV366" s="4">
        <v>6.0908030000000002</v>
      </c>
      <c r="BW366" s="4">
        <v>-9.3725000000000003E-2</v>
      </c>
      <c r="BX366" s="4">
        <v>-1.194834</v>
      </c>
      <c r="BY366" s="4">
        <v>0.47472199999999998</v>
      </c>
      <c r="BZ366" s="4">
        <v>-1.5388000000000001E-2</v>
      </c>
      <c r="CA366" s="4">
        <v>-0.19617000000000001</v>
      </c>
      <c r="CB366" s="4">
        <v>4.0000000000000001E-3</v>
      </c>
      <c r="CC366" s="4">
        <v>1.3100000000000001E-2</v>
      </c>
      <c r="CD366" s="4">
        <v>2.5000000000000001E-2</v>
      </c>
      <c r="CE366" s="4">
        <v>5.6399999999999999E-2</v>
      </c>
      <c r="CF366" s="4">
        <v>9.0999999999999998E-2</v>
      </c>
      <c r="CG366" s="4">
        <v>0.20599999999999999</v>
      </c>
      <c r="CH366" s="4">
        <v>2.4396</v>
      </c>
      <c r="CI366" s="4">
        <v>18.614999999999998</v>
      </c>
      <c r="CJ366" s="4">
        <v>22.164000999999999</v>
      </c>
      <c r="CK366" s="4">
        <v>23.352799999999998</v>
      </c>
      <c r="CL366" s="4">
        <v>23.8505</v>
      </c>
      <c r="CM366" s="4">
        <v>24.3522</v>
      </c>
      <c r="CN366" s="4">
        <v>25.284599</v>
      </c>
      <c r="CO366" s="4">
        <v>25.9802</v>
      </c>
      <c r="CP366" s="4">
        <v>26.85276</v>
      </c>
      <c r="CQ366" s="4">
        <v>0.47183900000000001</v>
      </c>
      <c r="CR366" s="4">
        <v>17.113544000000001</v>
      </c>
      <c r="CS366" s="4">
        <v>19.056441</v>
      </c>
      <c r="CT366" s="1">
        <v>22</v>
      </c>
      <c r="CU366" s="1">
        <v>673</v>
      </c>
      <c r="CV366" s="4">
        <v>162.27809999999999</v>
      </c>
      <c r="CW366" s="4">
        <v>32.333333000000003</v>
      </c>
      <c r="CX366" s="4">
        <v>119.27129499999999</v>
      </c>
      <c r="CY366" s="4">
        <v>14225.64183</v>
      </c>
      <c r="CZ366" s="4">
        <v>0.734981</v>
      </c>
      <c r="DA366" s="4">
        <v>173.5</v>
      </c>
      <c r="DB366" s="4">
        <v>0.97427399999999997</v>
      </c>
      <c r="DC366" s="4">
        <v>3.4454880000000001</v>
      </c>
      <c r="DD366" s="4">
        <v>98.039512999999999</v>
      </c>
      <c r="DE366" s="4">
        <v>162.27809999999999</v>
      </c>
      <c r="DF366" s="4">
        <v>65.260901000000004</v>
      </c>
      <c r="DG366" s="4">
        <v>15.015262999999999</v>
      </c>
      <c r="DH366" s="4">
        <v>4.0244780000000002</v>
      </c>
      <c r="DI366" s="4">
        <v>0.40215499999999998</v>
      </c>
      <c r="DJ366" s="4">
        <v>0.23008100000000001</v>
      </c>
      <c r="DK366" s="4">
        <v>6.1668000000000001E-2</v>
      </c>
      <c r="DL366" s="4">
        <v>27</v>
      </c>
      <c r="DM366" s="4">
        <v>32</v>
      </c>
      <c r="DN366" s="4">
        <v>38</v>
      </c>
      <c r="DO366" s="4">
        <v>52</v>
      </c>
      <c r="DP366" s="4">
        <v>62</v>
      </c>
      <c r="DQ366" s="4">
        <v>72.600005999999993</v>
      </c>
      <c r="DR366" s="4">
        <v>95</v>
      </c>
      <c r="DS366" s="4">
        <v>134</v>
      </c>
      <c r="DT366" s="4">
        <v>172.20001199999999</v>
      </c>
      <c r="DU366" s="4">
        <v>214.400024</v>
      </c>
      <c r="DV366" s="4">
        <v>235.5</v>
      </c>
      <c r="DW366" s="4">
        <v>262.59997600000003</v>
      </c>
      <c r="DX366" s="4">
        <v>330.79998799999998</v>
      </c>
      <c r="DY366" s="4">
        <v>396.90002399999997</v>
      </c>
      <c r="DZ366" s="4">
        <v>497.600098</v>
      </c>
      <c r="EA366" s="4">
        <v>84.959350000000001</v>
      </c>
      <c r="EB366" s="4">
        <v>58.748551999999997</v>
      </c>
      <c r="EC366" s="4">
        <v>103.04877999999999</v>
      </c>
      <c r="ED366" s="4">
        <v>418</v>
      </c>
      <c r="EE366" s="4">
        <v>507</v>
      </c>
      <c r="EF366" s="4">
        <v>77.235771999999997</v>
      </c>
      <c r="EG366" s="4">
        <v>100</v>
      </c>
      <c r="EH366" s="4">
        <v>52.491309000000001</v>
      </c>
      <c r="EI366" s="4">
        <v>99.652375000000006</v>
      </c>
      <c r="EJ366" s="4">
        <v>92.073171000000002</v>
      </c>
      <c r="EK366" s="4">
        <v>174.79674800000001</v>
      </c>
      <c r="EL366" s="4">
        <v>380</v>
      </c>
      <c r="EM366" s="4">
        <v>492</v>
      </c>
      <c r="EN366" s="4">
        <v>453</v>
      </c>
      <c r="EO366" s="4">
        <v>860</v>
      </c>
      <c r="EP366" s="4">
        <v>492</v>
      </c>
      <c r="EQ366" s="4">
        <v>863</v>
      </c>
      <c r="ER366" s="4">
        <v>46.770209999999999</v>
      </c>
    </row>
    <row r="367" spans="1:148" x14ac:dyDescent="0.2">
      <c r="A367" s="1">
        <v>2025</v>
      </c>
      <c r="B367" s="1" t="str">
        <f t="shared" si="10"/>
        <v>NE</v>
      </c>
      <c r="C367" s="1" t="s">
        <v>1632</v>
      </c>
      <c r="D367" s="1" t="s">
        <v>1632</v>
      </c>
      <c r="E367" s="1">
        <v>27879</v>
      </c>
      <c r="F367" s="1" t="s">
        <v>2194</v>
      </c>
      <c r="G367" s="1" t="s">
        <v>2018</v>
      </c>
      <c r="H367" s="1" t="s">
        <v>1948</v>
      </c>
      <c r="I367" s="1">
        <v>49.31</v>
      </c>
      <c r="J367" s="1">
        <v>49.31</v>
      </c>
      <c r="K367" s="1" t="s">
        <v>434</v>
      </c>
      <c r="L367" s="1">
        <v>1</v>
      </c>
      <c r="M367" s="3">
        <v>2020</v>
      </c>
      <c r="O367" s="1">
        <v>2</v>
      </c>
      <c r="P367" s="1" t="str">
        <f t="shared" si="11"/>
        <v>Talhadia</v>
      </c>
      <c r="Q367" s="2">
        <v>44165</v>
      </c>
      <c r="R367" s="1" t="s">
        <v>2195</v>
      </c>
      <c r="S367" s="1" t="s">
        <v>160</v>
      </c>
      <c r="T367" s="1" t="s">
        <v>2268</v>
      </c>
      <c r="U367" s="1" t="s">
        <v>151</v>
      </c>
      <c r="V367" s="1" t="s">
        <v>152</v>
      </c>
      <c r="W367" s="2">
        <v>45735</v>
      </c>
      <c r="X367" s="1" t="s">
        <v>2196</v>
      </c>
      <c r="Y367" s="1">
        <v>108.38</v>
      </c>
      <c r="Z367" s="1">
        <v>21</v>
      </c>
      <c r="AA367" s="1">
        <v>27</v>
      </c>
      <c r="AB367" s="1">
        <v>14.8</v>
      </c>
      <c r="AC367" s="1">
        <v>11</v>
      </c>
      <c r="AD367" s="3">
        <v>310.8</v>
      </c>
      <c r="AE367" s="3">
        <v>271.83693865929899</v>
      </c>
      <c r="AF367" s="2">
        <v>45735</v>
      </c>
      <c r="AG367" s="1">
        <v>52</v>
      </c>
      <c r="AH367" s="3">
        <v>4.2984257357973998</v>
      </c>
      <c r="AI367" s="4">
        <v>17.865700862361301</v>
      </c>
      <c r="AJ367" s="4">
        <v>12.4096774193548</v>
      </c>
      <c r="AK367" s="4">
        <v>13.9971698314429</v>
      </c>
      <c r="AL367" s="1">
        <v>31</v>
      </c>
      <c r="AM367" s="5">
        <v>1140.38953472961</v>
      </c>
      <c r="AN367" s="4">
        <v>100.04213037044001</v>
      </c>
      <c r="AO367" s="4">
        <v>8.77262788930806E-2</v>
      </c>
      <c r="AP367" s="1" t="s">
        <v>160</v>
      </c>
      <c r="AQ367" s="1" t="s">
        <v>254</v>
      </c>
      <c r="AR367" s="1" t="s">
        <v>388</v>
      </c>
      <c r="AS367" s="1">
        <v>8.3999999999999986</v>
      </c>
      <c r="AT367" s="4">
        <v>0.95792720917287233</v>
      </c>
      <c r="AU367" s="1" t="s">
        <v>1631</v>
      </c>
      <c r="AV367" s="1" t="s">
        <v>1632</v>
      </c>
      <c r="AW367" s="1">
        <v>990</v>
      </c>
      <c r="AX367" s="1">
        <v>563</v>
      </c>
      <c r="AY367" s="1">
        <v>315</v>
      </c>
      <c r="AZ367" s="1">
        <v>94</v>
      </c>
      <c r="BA367" s="1">
        <v>18</v>
      </c>
      <c r="BB367" s="1">
        <v>0</v>
      </c>
      <c r="BC367" s="1">
        <v>0</v>
      </c>
      <c r="BD367" s="1">
        <v>0</v>
      </c>
      <c r="BE367" s="1">
        <v>0</v>
      </c>
      <c r="BF367" s="1">
        <v>0</v>
      </c>
      <c r="BG367" s="1">
        <v>0</v>
      </c>
      <c r="BH367" s="4">
        <v>0</v>
      </c>
      <c r="BI367" s="4">
        <v>22.657</v>
      </c>
      <c r="BJ367" s="4">
        <v>12.231717</v>
      </c>
      <c r="BK367" s="4">
        <v>0</v>
      </c>
      <c r="BL367" s="4">
        <v>9.0126229999999996</v>
      </c>
      <c r="BM367" s="4">
        <v>81.227378000000002</v>
      </c>
      <c r="BN367" s="4">
        <v>0.73682400000000003</v>
      </c>
      <c r="BO367" s="4">
        <v>19.650251000000001</v>
      </c>
      <c r="BP367" s="4">
        <v>-0.466333</v>
      </c>
      <c r="BQ367" s="4">
        <v>1.3650329999999999</v>
      </c>
      <c r="BR367" s="4">
        <v>8.4818770000000008</v>
      </c>
      <c r="BS367" s="4">
        <v>3.2955009999999998</v>
      </c>
      <c r="BT367" s="4">
        <v>17.723998999999999</v>
      </c>
      <c r="BU367" s="4">
        <v>12.231717</v>
      </c>
      <c r="BV367" s="4">
        <v>4.7999780000000003</v>
      </c>
      <c r="BW367" s="4">
        <v>-0.78142299999999998</v>
      </c>
      <c r="BX367" s="4">
        <v>-0.64011300000000004</v>
      </c>
      <c r="BY367" s="4">
        <v>0.39242100000000002</v>
      </c>
      <c r="BZ367" s="4">
        <v>-0.162797</v>
      </c>
      <c r="CA367" s="4">
        <v>-0.133358</v>
      </c>
      <c r="CB367" s="4">
        <v>3.8899999999999998E-3</v>
      </c>
      <c r="CC367" s="4">
        <v>1.4999999999999999E-2</v>
      </c>
      <c r="CD367" s="4">
        <v>2.8000000000000001E-2</v>
      </c>
      <c r="CE367" s="4">
        <v>7.2800000000000004E-2</v>
      </c>
      <c r="CF367" s="4">
        <v>0.11225</v>
      </c>
      <c r="CG367" s="4">
        <v>1.1212009999999999</v>
      </c>
      <c r="CH367" s="4">
        <v>14.2172</v>
      </c>
      <c r="CI367" s="4">
        <v>17.723998999999999</v>
      </c>
      <c r="CJ367" s="4">
        <v>18.655401000000001</v>
      </c>
      <c r="CK367" s="4">
        <v>19.4282</v>
      </c>
      <c r="CL367" s="4">
        <v>19.762501</v>
      </c>
      <c r="CM367" s="4">
        <v>20.074400000000001</v>
      </c>
      <c r="CN367" s="4">
        <v>20.986401000000001</v>
      </c>
      <c r="CO367" s="4">
        <v>21.615750999999999</v>
      </c>
      <c r="CP367" s="4">
        <v>22.276440000000001</v>
      </c>
      <c r="CQ367" s="4">
        <v>0.53986500000000004</v>
      </c>
      <c r="CR367" s="4">
        <v>15.190794</v>
      </c>
      <c r="CS367" s="4">
        <v>16.468737000000001</v>
      </c>
      <c r="CT367" s="1">
        <v>24</v>
      </c>
      <c r="CU367" s="1">
        <v>779</v>
      </c>
      <c r="CV367" s="4">
        <v>182.163636</v>
      </c>
      <c r="CW367" s="4">
        <v>35.984127000000001</v>
      </c>
      <c r="CX367" s="4">
        <v>142.20988600000001</v>
      </c>
      <c r="CY367" s="4">
        <v>20223.65166</v>
      </c>
      <c r="CZ367" s="4">
        <v>0.780671</v>
      </c>
      <c r="DA367" s="4">
        <v>189</v>
      </c>
      <c r="DB367" s="4">
        <v>1.297399</v>
      </c>
      <c r="DC367" s="4">
        <v>4.440531</v>
      </c>
      <c r="DD367" s="4">
        <v>111.294325</v>
      </c>
      <c r="DE367" s="4">
        <v>182.163636</v>
      </c>
      <c r="DF367" s="4">
        <v>75.425342999999998</v>
      </c>
      <c r="DG367" s="4">
        <v>20.993483999999999</v>
      </c>
      <c r="DH367" s="4">
        <v>8.4905249999999999</v>
      </c>
      <c r="DI367" s="4">
        <v>0.414053</v>
      </c>
      <c r="DJ367" s="4">
        <v>0.278335</v>
      </c>
      <c r="DK367" s="4">
        <v>0.112569</v>
      </c>
      <c r="DL367" s="4">
        <v>28.889999</v>
      </c>
      <c r="DM367" s="4">
        <v>35</v>
      </c>
      <c r="DN367" s="4">
        <v>42.900002000000001</v>
      </c>
      <c r="DO367" s="4">
        <v>58</v>
      </c>
      <c r="DP367" s="4">
        <v>67</v>
      </c>
      <c r="DQ367" s="4">
        <v>77.700012000000001</v>
      </c>
      <c r="DR367" s="4">
        <v>110</v>
      </c>
      <c r="DS367" s="4">
        <v>144</v>
      </c>
      <c r="DT367" s="4">
        <v>181.400024</v>
      </c>
      <c r="DU367" s="4">
        <v>228</v>
      </c>
      <c r="DV367" s="4">
        <v>256</v>
      </c>
      <c r="DW367" s="4">
        <v>287</v>
      </c>
      <c r="DX367" s="4">
        <v>374</v>
      </c>
      <c r="DY367" s="4">
        <v>507.199951</v>
      </c>
      <c r="DZ367" s="4">
        <v>621</v>
      </c>
      <c r="EA367" s="4">
        <v>89.342805999999996</v>
      </c>
      <c r="EB367" s="4">
        <v>66.363636</v>
      </c>
      <c r="EC367" s="4">
        <v>116.69627</v>
      </c>
      <c r="ED367" s="4">
        <v>503</v>
      </c>
      <c r="EE367" s="4">
        <v>657</v>
      </c>
      <c r="EF367" s="4">
        <v>86.500888000000003</v>
      </c>
      <c r="EG367" s="4">
        <v>100</v>
      </c>
      <c r="EH367" s="4">
        <v>61.515152</v>
      </c>
      <c r="EI367" s="4">
        <v>99.797979999999995</v>
      </c>
      <c r="EJ367" s="4">
        <v>108.17051499999999</v>
      </c>
      <c r="EK367" s="4">
        <v>175.48845499999999</v>
      </c>
      <c r="EL367" s="4">
        <v>487</v>
      </c>
      <c r="EM367" s="4">
        <v>563</v>
      </c>
      <c r="EN367" s="4">
        <v>609</v>
      </c>
      <c r="EO367" s="4">
        <v>988</v>
      </c>
      <c r="EP367" s="4">
        <v>563</v>
      </c>
      <c r="EQ367" s="4">
        <v>990</v>
      </c>
      <c r="ER367" s="4">
        <v>53.913037000000003</v>
      </c>
    </row>
    <row r="368" spans="1:148" x14ac:dyDescent="0.2">
      <c r="A368" s="1">
        <v>2025</v>
      </c>
      <c r="B368" s="1" t="str">
        <f t="shared" si="10"/>
        <v>NE</v>
      </c>
      <c r="C368" s="1" t="s">
        <v>1634</v>
      </c>
      <c r="D368" s="1" t="s">
        <v>1634</v>
      </c>
      <c r="E368" s="1">
        <v>28234</v>
      </c>
      <c r="F368" s="1" t="s">
        <v>2194</v>
      </c>
      <c r="G368" s="1" t="s">
        <v>2018</v>
      </c>
      <c r="H368" s="1" t="s">
        <v>1948</v>
      </c>
      <c r="I368" s="1">
        <v>49.31</v>
      </c>
      <c r="J368" s="1">
        <v>49.31</v>
      </c>
      <c r="K368" s="1" t="s">
        <v>434</v>
      </c>
      <c r="L368" s="1">
        <v>1</v>
      </c>
      <c r="M368" s="3">
        <v>2020</v>
      </c>
      <c r="O368" s="1">
        <v>2</v>
      </c>
      <c r="P368" s="1" t="str">
        <f t="shared" si="11"/>
        <v>Talhadia</v>
      </c>
      <c r="Q368" s="2">
        <v>44165</v>
      </c>
      <c r="R368" s="1" t="s">
        <v>2195</v>
      </c>
      <c r="S368" s="1" t="s">
        <v>160</v>
      </c>
      <c r="T368" s="1" t="s">
        <v>2268</v>
      </c>
      <c r="U368" s="1" t="s">
        <v>151</v>
      </c>
      <c r="V368" s="1" t="s">
        <v>152</v>
      </c>
      <c r="W368" s="2">
        <v>44772</v>
      </c>
      <c r="X368" s="1" t="s">
        <v>2196</v>
      </c>
      <c r="Y368" s="1">
        <v>108.38</v>
      </c>
      <c r="Z368" s="1">
        <v>20</v>
      </c>
      <c r="AA368" s="1">
        <v>33</v>
      </c>
      <c r="AB368" s="1">
        <v>13.7</v>
      </c>
      <c r="AC368" s="1">
        <v>1</v>
      </c>
      <c r="AD368" s="3">
        <v>274</v>
      </c>
      <c r="AE368" s="3">
        <v>229.76073661347101</v>
      </c>
      <c r="AF368" s="2">
        <v>45735</v>
      </c>
      <c r="AG368" s="1">
        <v>52</v>
      </c>
      <c r="AH368" s="3">
        <v>4.2984257357973998</v>
      </c>
      <c r="AI368" s="4">
        <v>22.8442196122922</v>
      </c>
      <c r="AJ368" s="4">
        <v>14.456</v>
      </c>
      <c r="AK368" s="4">
        <v>18.293401465416601</v>
      </c>
      <c r="AL368" s="1">
        <v>25</v>
      </c>
      <c r="AM368" s="5">
        <v>1088.08843358027</v>
      </c>
      <c r="AN368" s="4">
        <v>178.35593281353701</v>
      </c>
      <c r="AO368" s="4">
        <v>0.163916762010484</v>
      </c>
      <c r="AP368" s="1" t="s">
        <v>160</v>
      </c>
      <c r="AQ368" s="1" t="s">
        <v>254</v>
      </c>
      <c r="AR368" s="1" t="s">
        <v>388</v>
      </c>
      <c r="AS368" s="1">
        <v>8.3999999999999986</v>
      </c>
      <c r="AT368" s="4">
        <v>0.91399428420742668</v>
      </c>
      <c r="AU368" s="1" t="s">
        <v>1633</v>
      </c>
      <c r="AV368" s="1" t="s">
        <v>1634</v>
      </c>
      <c r="AW368" s="1">
        <v>889</v>
      </c>
      <c r="AX368" s="1">
        <v>518</v>
      </c>
      <c r="AY368" s="1">
        <v>280</v>
      </c>
      <c r="AZ368" s="1">
        <v>74</v>
      </c>
      <c r="BA368" s="1">
        <v>15</v>
      </c>
      <c r="BB368" s="1">
        <v>2</v>
      </c>
      <c r="BC368" s="1">
        <v>0</v>
      </c>
      <c r="BD368" s="1">
        <v>0</v>
      </c>
      <c r="BE368" s="1">
        <v>0</v>
      </c>
      <c r="BF368" s="1">
        <v>0</v>
      </c>
      <c r="BG368" s="1">
        <v>0</v>
      </c>
      <c r="BH368" s="4">
        <v>1E-3</v>
      </c>
      <c r="BI368" s="4">
        <v>26.568999999999999</v>
      </c>
      <c r="BJ368" s="4">
        <v>13.565844</v>
      </c>
      <c r="BK368" s="4">
        <v>1E-3</v>
      </c>
      <c r="BL368" s="4">
        <v>10.267385000000001</v>
      </c>
      <c r="BM368" s="4">
        <v>105.41919799999999</v>
      </c>
      <c r="BN368" s="4">
        <v>0.75685599999999997</v>
      </c>
      <c r="BO368" s="4">
        <v>21.456999</v>
      </c>
      <c r="BP368" s="4">
        <v>-0.22253200000000001</v>
      </c>
      <c r="BQ368" s="4">
        <v>1.265339</v>
      </c>
      <c r="BR368" s="4">
        <v>9.8094009999999994</v>
      </c>
      <c r="BS368" s="4">
        <v>6.5090009999999996</v>
      </c>
      <c r="BT368" s="4">
        <v>18.823</v>
      </c>
      <c r="BU368" s="4">
        <v>13.565844</v>
      </c>
      <c r="BV368" s="4">
        <v>5.6676609999999998</v>
      </c>
      <c r="BW368" s="4">
        <v>-0.48721799999999998</v>
      </c>
      <c r="BX368" s="4">
        <v>-0.83934399999999998</v>
      </c>
      <c r="BY368" s="4">
        <v>0.41778900000000002</v>
      </c>
      <c r="BZ368" s="4">
        <v>-8.5965E-2</v>
      </c>
      <c r="CA368" s="4">
        <v>-0.148093</v>
      </c>
      <c r="CB368" s="4">
        <v>2.8800000000000002E-3</v>
      </c>
      <c r="CC368" s="4">
        <v>1.2E-2</v>
      </c>
      <c r="CD368" s="4">
        <v>2.8000000000000001E-2</v>
      </c>
      <c r="CE368" s="4">
        <v>0.36720000000000003</v>
      </c>
      <c r="CF368" s="4">
        <v>1.784</v>
      </c>
      <c r="CG368" s="4">
        <v>3.6181999999999999</v>
      </c>
      <c r="CH368" s="4">
        <v>7.8868</v>
      </c>
      <c r="CI368" s="4">
        <v>18.823999000000001</v>
      </c>
      <c r="CJ368" s="4">
        <v>21.364799000000001</v>
      </c>
      <c r="CK368" s="4">
        <v>22.729599</v>
      </c>
      <c r="CL368" s="4">
        <v>23.240998999999999</v>
      </c>
      <c r="CM368" s="4">
        <v>23.656199999999998</v>
      </c>
      <c r="CN368" s="4">
        <v>24.743801000000001</v>
      </c>
      <c r="CO368" s="4">
        <v>25.276800000000001</v>
      </c>
      <c r="CP368" s="4">
        <v>26.083361</v>
      </c>
      <c r="CQ368" s="4">
        <v>0.510571</v>
      </c>
      <c r="CR368" s="4">
        <v>17.009782999999999</v>
      </c>
      <c r="CS368" s="4">
        <v>18.702119</v>
      </c>
      <c r="CT368" s="1">
        <v>21</v>
      </c>
      <c r="CU368" s="1">
        <v>527</v>
      </c>
      <c r="CV368" s="4">
        <v>122.795276</v>
      </c>
      <c r="CW368" s="4">
        <v>37.063491999999997</v>
      </c>
      <c r="CX368" s="4">
        <v>85.535691</v>
      </c>
      <c r="CY368" s="4">
        <v>7316.354437</v>
      </c>
      <c r="CZ368" s="4">
        <v>0.69657199999999997</v>
      </c>
      <c r="DA368" s="4">
        <v>112</v>
      </c>
      <c r="DB368" s="4">
        <v>1.3665069999999999</v>
      </c>
      <c r="DC368" s="4">
        <v>5.1252000000000004</v>
      </c>
      <c r="DD368" s="4">
        <v>66.783096999999998</v>
      </c>
      <c r="DE368" s="4">
        <v>122.795276</v>
      </c>
      <c r="DF368" s="4">
        <v>45.336084999999997</v>
      </c>
      <c r="DG368" s="4">
        <v>11.873575000000001</v>
      </c>
      <c r="DH368" s="4">
        <v>5.2982709999999997</v>
      </c>
      <c r="DI368" s="4">
        <v>0.369201</v>
      </c>
      <c r="DJ368" s="4">
        <v>0.26190099999999999</v>
      </c>
      <c r="DK368" s="4">
        <v>0.116867</v>
      </c>
      <c r="DL368" s="4">
        <v>25</v>
      </c>
      <c r="DM368" s="4">
        <v>31</v>
      </c>
      <c r="DN368" s="4">
        <v>37.800002999999997</v>
      </c>
      <c r="DO368" s="4">
        <v>50.600006</v>
      </c>
      <c r="DP368" s="4">
        <v>56</v>
      </c>
      <c r="DQ368" s="4">
        <v>64</v>
      </c>
      <c r="DR368" s="4">
        <v>78.200012000000001</v>
      </c>
      <c r="DS368" s="4">
        <v>102</v>
      </c>
      <c r="DT368" s="4">
        <v>123.799988</v>
      </c>
      <c r="DU368" s="4">
        <v>151.599976</v>
      </c>
      <c r="DV368" s="4">
        <v>168</v>
      </c>
      <c r="DW368" s="4">
        <v>187.400024</v>
      </c>
      <c r="DX368" s="4">
        <v>235.20001199999999</v>
      </c>
      <c r="DY368" s="4">
        <v>287.59997600000003</v>
      </c>
      <c r="DZ368" s="4">
        <v>404.23998999999998</v>
      </c>
      <c r="EA368" s="4">
        <v>91.505792</v>
      </c>
      <c r="EB368" s="4">
        <v>71.203599999999994</v>
      </c>
      <c r="EC368" s="4">
        <v>122.200772</v>
      </c>
      <c r="ED368" s="4">
        <v>474</v>
      </c>
      <c r="EE368" s="4">
        <v>633</v>
      </c>
      <c r="EF368" s="4">
        <v>80.308880000000002</v>
      </c>
      <c r="EG368" s="4">
        <v>100</v>
      </c>
      <c r="EH368" s="4">
        <v>54.443195000000003</v>
      </c>
      <c r="EI368" s="4">
        <v>99.550055999999998</v>
      </c>
      <c r="EJ368" s="4">
        <v>93.436293000000006</v>
      </c>
      <c r="EK368" s="4">
        <v>170.84942100000001</v>
      </c>
      <c r="EL368" s="4">
        <v>416</v>
      </c>
      <c r="EM368" s="4">
        <v>518</v>
      </c>
      <c r="EN368" s="4">
        <v>484</v>
      </c>
      <c r="EO368" s="4">
        <v>885</v>
      </c>
      <c r="EP368" s="4">
        <v>518</v>
      </c>
      <c r="EQ368" s="4">
        <v>889</v>
      </c>
      <c r="ER368" s="4">
        <v>51.003354999999999</v>
      </c>
    </row>
    <row r="369" spans="1:148" x14ac:dyDescent="0.2">
      <c r="A369" s="1">
        <v>2025</v>
      </c>
      <c r="B369" s="1" t="str">
        <f t="shared" si="10"/>
        <v>NE</v>
      </c>
      <c r="C369" s="1" t="s">
        <v>1636</v>
      </c>
      <c r="D369" s="1" t="s">
        <v>1636</v>
      </c>
      <c r="E369" s="1">
        <v>29613</v>
      </c>
      <c r="F369" s="1" t="s">
        <v>2197</v>
      </c>
      <c r="G369" s="1" t="s">
        <v>2019</v>
      </c>
      <c r="H369" s="1" t="s">
        <v>1949</v>
      </c>
      <c r="I369" s="1">
        <v>56.86</v>
      </c>
      <c r="J369" s="1">
        <v>56.86</v>
      </c>
      <c r="K369" s="1" t="s">
        <v>434</v>
      </c>
      <c r="L369" s="1">
        <v>1</v>
      </c>
      <c r="M369" s="3">
        <v>2022</v>
      </c>
      <c r="O369" s="1">
        <v>2</v>
      </c>
      <c r="P369" s="1" t="str">
        <f t="shared" si="11"/>
        <v>Talhadia</v>
      </c>
      <c r="Q369" s="2">
        <v>44634</v>
      </c>
      <c r="R369" s="1" t="s">
        <v>169</v>
      </c>
      <c r="S369" s="1" t="s">
        <v>403</v>
      </c>
      <c r="T369" s="1" t="s">
        <v>2268</v>
      </c>
      <c r="U369" s="1" t="s">
        <v>151</v>
      </c>
      <c r="V369" s="1" t="s">
        <v>152</v>
      </c>
      <c r="W369" s="2">
        <v>45744</v>
      </c>
      <c r="X369" s="1" t="s">
        <v>2198</v>
      </c>
      <c r="Y369" s="1">
        <v>336.35</v>
      </c>
      <c r="Z369" s="1">
        <v>21.4</v>
      </c>
      <c r="AA369" s="1">
        <v>32</v>
      </c>
      <c r="AB369" s="1">
        <v>14</v>
      </c>
      <c r="AC369" s="1">
        <v>11</v>
      </c>
      <c r="AD369" s="3">
        <v>299.60000000000002</v>
      </c>
      <c r="AE369" s="3">
        <v>249.40713239183299</v>
      </c>
      <c r="AF369" s="2">
        <v>45744</v>
      </c>
      <c r="AG369" s="1">
        <v>36</v>
      </c>
      <c r="AH369" s="3">
        <v>3.03901437371663</v>
      </c>
      <c r="AI369" s="4">
        <v>18.1941861549194</v>
      </c>
      <c r="AJ369" s="4">
        <v>12.6653846153846</v>
      </c>
      <c r="AK369" s="4">
        <v>13.7429726342131</v>
      </c>
      <c r="AL369" s="1">
        <v>26</v>
      </c>
      <c r="AM369" s="5">
        <v>1042.47219198016</v>
      </c>
      <c r="AN369" s="4">
        <v>103.015650098696</v>
      </c>
      <c r="AO369" s="4">
        <v>9.88186072407541E-2</v>
      </c>
      <c r="AP369" s="1" t="s">
        <v>403</v>
      </c>
      <c r="AQ369" s="1" t="s">
        <v>254</v>
      </c>
      <c r="AR369" s="1" t="s">
        <v>500</v>
      </c>
      <c r="AS369" s="1">
        <v>9</v>
      </c>
      <c r="AT369" s="4">
        <v>0.93822497278214401</v>
      </c>
      <c r="AU369" s="1" t="s">
        <v>1635</v>
      </c>
      <c r="AV369" s="1" t="s">
        <v>1636</v>
      </c>
      <c r="AW369" s="1">
        <v>1132</v>
      </c>
      <c r="AX369" s="1">
        <v>747</v>
      </c>
      <c r="AY369" s="1">
        <v>314</v>
      </c>
      <c r="AZ369" s="1">
        <v>63</v>
      </c>
      <c r="BA369" s="1">
        <v>8</v>
      </c>
      <c r="BB369" s="1">
        <v>0</v>
      </c>
      <c r="BC369" s="1">
        <v>0</v>
      </c>
      <c r="BD369" s="1">
        <v>0</v>
      </c>
      <c r="BE369" s="1">
        <v>0</v>
      </c>
      <c r="BF369" s="1">
        <v>0</v>
      </c>
      <c r="BG369" s="1">
        <v>0</v>
      </c>
      <c r="BH369" s="4">
        <v>0</v>
      </c>
      <c r="BI369" s="4">
        <v>20.802999</v>
      </c>
      <c r="BJ369" s="4">
        <v>10.130234</v>
      </c>
      <c r="BK369" s="4">
        <v>0</v>
      </c>
      <c r="BL369" s="4">
        <v>7.9412760000000002</v>
      </c>
      <c r="BM369" s="4">
        <v>63.063865999999997</v>
      </c>
      <c r="BN369" s="4">
        <v>0.783918</v>
      </c>
      <c r="BO369" s="4">
        <v>16.726248999999999</v>
      </c>
      <c r="BP369" s="4">
        <v>-0.30345800000000001</v>
      </c>
      <c r="BQ369" s="4">
        <v>1.2353609999999999</v>
      </c>
      <c r="BR369" s="4">
        <v>7.6212400000000002</v>
      </c>
      <c r="BS369" s="4">
        <v>3.6675</v>
      </c>
      <c r="BT369" s="4">
        <v>14.842000000000001</v>
      </c>
      <c r="BU369" s="4">
        <v>10.130234</v>
      </c>
      <c r="BV369" s="4">
        <v>4.2769079999999997</v>
      </c>
      <c r="BW369" s="4">
        <v>-0.42016100000000001</v>
      </c>
      <c r="BX369" s="4">
        <v>-0.66912899999999997</v>
      </c>
      <c r="BY369" s="4">
        <v>0.42219200000000001</v>
      </c>
      <c r="BZ369" s="4">
        <v>-9.8239000000000007E-2</v>
      </c>
      <c r="CA369" s="4">
        <v>-0.15645200000000001</v>
      </c>
      <c r="CB369" s="4">
        <v>7.3099999999999997E-3</v>
      </c>
      <c r="CC369" s="4">
        <v>4.2549999999999998E-2</v>
      </c>
      <c r="CD369" s="4">
        <v>8.9200000000000002E-2</v>
      </c>
      <c r="CE369" s="4">
        <v>0.2482</v>
      </c>
      <c r="CF369" s="4">
        <v>0.37</v>
      </c>
      <c r="CG369" s="4">
        <v>0.57999999999999996</v>
      </c>
      <c r="CH369" s="4">
        <v>5.9340000000000002</v>
      </c>
      <c r="CI369" s="4">
        <v>14.842000000000001</v>
      </c>
      <c r="CJ369" s="4">
        <v>16.028400000000001</v>
      </c>
      <c r="CK369" s="4">
        <v>16.7591</v>
      </c>
      <c r="CL369" s="4">
        <v>17.096249</v>
      </c>
      <c r="CM369" s="4">
        <v>17.478199</v>
      </c>
      <c r="CN369" s="4">
        <v>18.253599000000001</v>
      </c>
      <c r="CO369" s="4">
        <v>18.856449000000001</v>
      </c>
      <c r="CP369" s="4">
        <v>19.935645999999998</v>
      </c>
      <c r="CQ369" s="4">
        <v>0.48696</v>
      </c>
      <c r="CR369" s="4">
        <v>12.869724</v>
      </c>
      <c r="CS369" s="4">
        <v>14.098960999999999</v>
      </c>
      <c r="CT369" s="1">
        <v>24</v>
      </c>
      <c r="CU369" s="1">
        <v>418</v>
      </c>
      <c r="CV369" s="4">
        <v>131.93374600000001</v>
      </c>
      <c r="CW369" s="4">
        <v>42.761904999999999</v>
      </c>
      <c r="CX369" s="4">
        <v>83.598541999999995</v>
      </c>
      <c r="CY369" s="4">
        <v>6988.7162079999998</v>
      </c>
      <c r="CZ369" s="4">
        <v>0.63363999999999998</v>
      </c>
      <c r="DA369" s="4">
        <v>114</v>
      </c>
      <c r="DB369" s="4">
        <v>0.96794400000000003</v>
      </c>
      <c r="DC369" s="4">
        <v>3.283712</v>
      </c>
      <c r="DD369" s="4">
        <v>67.216262999999998</v>
      </c>
      <c r="DE369" s="4">
        <v>131.93374600000001</v>
      </c>
      <c r="DF369" s="4">
        <v>45.782226999999999</v>
      </c>
      <c r="DG369" s="4">
        <v>10.306870999999999</v>
      </c>
      <c r="DH369" s="4">
        <v>4.1648719999999999</v>
      </c>
      <c r="DI369" s="4">
        <v>0.34700900000000001</v>
      </c>
      <c r="DJ369" s="4">
        <v>0.22512799999999999</v>
      </c>
      <c r="DK369" s="4">
        <v>9.0970999999999996E-2</v>
      </c>
      <c r="DL369" s="4">
        <v>30</v>
      </c>
      <c r="DM369" s="4">
        <v>36</v>
      </c>
      <c r="DN369" s="4">
        <v>43</v>
      </c>
      <c r="DO369" s="4">
        <v>56</v>
      </c>
      <c r="DP369" s="4">
        <v>63</v>
      </c>
      <c r="DQ369" s="4">
        <v>72</v>
      </c>
      <c r="DR369" s="4">
        <v>91</v>
      </c>
      <c r="DS369" s="4">
        <v>112</v>
      </c>
      <c r="DT369" s="4">
        <v>135</v>
      </c>
      <c r="DU369" s="4">
        <v>164</v>
      </c>
      <c r="DV369" s="4">
        <v>177</v>
      </c>
      <c r="DW369" s="4">
        <v>196</v>
      </c>
      <c r="DX369" s="4">
        <v>262</v>
      </c>
      <c r="DY369" s="4">
        <v>306</v>
      </c>
      <c r="DZ369" s="4">
        <v>361.37988300000001</v>
      </c>
      <c r="EA369" s="4">
        <v>81.392235999999997</v>
      </c>
      <c r="EB369" s="4">
        <v>63.162543999999997</v>
      </c>
      <c r="EC369" s="4">
        <v>95.716198000000006</v>
      </c>
      <c r="ED369" s="4">
        <v>608</v>
      </c>
      <c r="EE369" s="4">
        <v>715</v>
      </c>
      <c r="EF369" s="4">
        <v>76.840695999999994</v>
      </c>
      <c r="EG369" s="4">
        <v>100</v>
      </c>
      <c r="EH369" s="4">
        <v>58.480564999999999</v>
      </c>
      <c r="EI369" s="4">
        <v>99.911660999999995</v>
      </c>
      <c r="EJ369" s="4">
        <v>88.621150999999998</v>
      </c>
      <c r="EK369" s="4">
        <v>151.40562199999999</v>
      </c>
      <c r="EL369" s="4">
        <v>574</v>
      </c>
      <c r="EM369" s="4">
        <v>747</v>
      </c>
      <c r="EN369" s="4">
        <v>662</v>
      </c>
      <c r="EO369" s="4">
        <v>1131</v>
      </c>
      <c r="EP369" s="4">
        <v>747</v>
      </c>
      <c r="EQ369" s="4">
        <v>1132</v>
      </c>
      <c r="ER369" s="4">
        <v>49.795006000000001</v>
      </c>
    </row>
    <row r="370" spans="1:148" x14ac:dyDescent="0.2">
      <c r="A370" s="1">
        <v>2025</v>
      </c>
      <c r="B370" s="1" t="str">
        <f t="shared" si="10"/>
        <v>NE</v>
      </c>
      <c r="C370" s="1" t="s">
        <v>1638</v>
      </c>
      <c r="D370" s="1" t="s">
        <v>1638</v>
      </c>
      <c r="E370" s="1">
        <v>29073</v>
      </c>
      <c r="F370" s="1" t="s">
        <v>2199</v>
      </c>
      <c r="G370" s="1" t="s">
        <v>2020</v>
      </c>
      <c r="H370" s="1" t="s">
        <v>1950</v>
      </c>
      <c r="I370" s="1">
        <v>47.54</v>
      </c>
      <c r="J370" s="1">
        <v>47.54</v>
      </c>
      <c r="K370" s="1" t="s">
        <v>434</v>
      </c>
      <c r="L370" s="1">
        <v>1</v>
      </c>
      <c r="M370" s="3">
        <v>2021</v>
      </c>
      <c r="O370" s="1">
        <v>1</v>
      </c>
      <c r="P370" s="1" t="str">
        <f t="shared" si="11"/>
        <v>Alto fuste</v>
      </c>
      <c r="Q370" s="2">
        <v>44439</v>
      </c>
      <c r="R370" s="1" t="s">
        <v>169</v>
      </c>
      <c r="S370" s="1" t="s">
        <v>442</v>
      </c>
      <c r="T370" s="1" t="s">
        <v>2268</v>
      </c>
      <c r="U370" s="1" t="s">
        <v>151</v>
      </c>
      <c r="V370" s="1" t="s">
        <v>152</v>
      </c>
      <c r="W370" s="2">
        <v>44773</v>
      </c>
      <c r="X370" s="1" t="s">
        <v>2200</v>
      </c>
      <c r="Y370" s="1">
        <v>138.22</v>
      </c>
      <c r="Z370" s="1">
        <v>20.8</v>
      </c>
      <c r="AA370" s="1">
        <v>22</v>
      </c>
      <c r="AB370" s="1">
        <v>14.4</v>
      </c>
      <c r="AC370" s="1">
        <v>3</v>
      </c>
      <c r="AD370" s="3">
        <v>299.52</v>
      </c>
      <c r="AE370" s="3">
        <v>277.32951606836201</v>
      </c>
      <c r="AF370" s="2">
        <v>45736</v>
      </c>
      <c r="AG370" s="1">
        <v>43</v>
      </c>
      <c r="AH370" s="3">
        <v>3.55099247091034</v>
      </c>
      <c r="AI370" s="4">
        <v>23.355998895413599</v>
      </c>
      <c r="AJ370" s="4">
        <v>13.7083333333333</v>
      </c>
      <c r="AK370" s="4">
        <v>12.9610605533765</v>
      </c>
      <c r="AL370" s="1">
        <v>24</v>
      </c>
      <c r="AM370" s="5">
        <v>865.39652685522105</v>
      </c>
      <c r="AN370" s="4">
        <v>137.99559500215801</v>
      </c>
      <c r="AO370" s="4">
        <v>0.15945938158964301</v>
      </c>
      <c r="AP370" s="1" t="s">
        <v>442</v>
      </c>
      <c r="AQ370" s="1" t="s">
        <v>156</v>
      </c>
      <c r="AR370" s="1" t="s">
        <v>500</v>
      </c>
      <c r="AS370" s="1">
        <v>9</v>
      </c>
      <c r="AT370" s="4">
        <v>0.77885687416969895</v>
      </c>
      <c r="AU370" s="1" t="s">
        <v>1637</v>
      </c>
      <c r="AV370" s="1" t="s">
        <v>1638</v>
      </c>
      <c r="AW370" s="1">
        <v>968</v>
      </c>
      <c r="AX370" s="1">
        <v>524</v>
      </c>
      <c r="AY370" s="1">
        <v>328</v>
      </c>
      <c r="AZ370" s="1">
        <v>103</v>
      </c>
      <c r="BA370" s="1">
        <v>13</v>
      </c>
      <c r="BB370" s="1">
        <v>0</v>
      </c>
      <c r="BC370" s="1">
        <v>0</v>
      </c>
      <c r="BD370" s="1">
        <v>0</v>
      </c>
      <c r="BE370" s="1">
        <v>0</v>
      </c>
      <c r="BF370" s="1">
        <v>0</v>
      </c>
      <c r="BG370" s="1">
        <v>0</v>
      </c>
      <c r="BH370" s="4">
        <v>0</v>
      </c>
      <c r="BI370" s="4">
        <v>24.044001000000002</v>
      </c>
      <c r="BJ370" s="4">
        <v>12.791181999999999</v>
      </c>
      <c r="BK370" s="4">
        <v>0</v>
      </c>
      <c r="BL370" s="4">
        <v>9.9180089999999996</v>
      </c>
      <c r="BM370" s="4">
        <v>98.366906999999998</v>
      </c>
      <c r="BN370" s="4">
        <v>0.77537900000000004</v>
      </c>
      <c r="BO370" s="4">
        <v>20.591999000000001</v>
      </c>
      <c r="BP370" s="4">
        <v>-0.35067599999999999</v>
      </c>
      <c r="BQ370" s="4">
        <v>1.2105440000000001</v>
      </c>
      <c r="BR370" s="4">
        <v>9.5962700000000005</v>
      </c>
      <c r="BS370" s="4">
        <v>3.1729989999999999</v>
      </c>
      <c r="BT370" s="4">
        <v>19.540500999999999</v>
      </c>
      <c r="BU370" s="4">
        <v>12.791181999999999</v>
      </c>
      <c r="BV370" s="4">
        <v>5.2504280000000003</v>
      </c>
      <c r="BW370" s="4">
        <v>-0.69379299999999999</v>
      </c>
      <c r="BX370" s="4">
        <v>-0.850939</v>
      </c>
      <c r="BY370" s="4">
        <v>0.410472</v>
      </c>
      <c r="BZ370" s="4">
        <v>-0.13214000000000001</v>
      </c>
      <c r="CA370" s="4">
        <v>-0.16206999999999999</v>
      </c>
      <c r="CB370" s="4">
        <v>2E-3</v>
      </c>
      <c r="CC370" s="4">
        <v>2.3E-2</v>
      </c>
      <c r="CD370" s="4">
        <v>6.4699999999999994E-2</v>
      </c>
      <c r="CE370" s="4">
        <v>0.22500000000000001</v>
      </c>
      <c r="CF370" s="4">
        <v>0.70074999999999998</v>
      </c>
      <c r="CG370" s="4">
        <v>1.3452</v>
      </c>
      <c r="CH370" s="4">
        <v>6.7789989999999998</v>
      </c>
      <c r="CI370" s="4">
        <v>19.540500999999999</v>
      </c>
      <c r="CJ370" s="4">
        <v>20.341999000000001</v>
      </c>
      <c r="CK370" s="4">
        <v>20.933201</v>
      </c>
      <c r="CL370" s="4">
        <v>21.292749000000001</v>
      </c>
      <c r="CM370" s="4">
        <v>21.7332</v>
      </c>
      <c r="CN370" s="4">
        <v>22.572800000000001</v>
      </c>
      <c r="CO370" s="4">
        <v>23.022849999999998</v>
      </c>
      <c r="CP370" s="4">
        <v>23.547281000000002</v>
      </c>
      <c r="CQ370" s="4">
        <v>0.53199099999999999</v>
      </c>
      <c r="CR370" s="4">
        <v>16.182694999999999</v>
      </c>
      <c r="CS370" s="4">
        <v>17.675070999999999</v>
      </c>
      <c r="CT370" s="1">
        <v>24</v>
      </c>
      <c r="CU370" s="1">
        <v>563</v>
      </c>
      <c r="CV370" s="4">
        <v>131.30062000000001</v>
      </c>
      <c r="CW370" s="4">
        <v>41.111111000000001</v>
      </c>
      <c r="CX370" s="4">
        <v>96.004823000000002</v>
      </c>
      <c r="CY370" s="4">
        <v>9216.9260799999993</v>
      </c>
      <c r="CZ370" s="4">
        <v>0.73118300000000003</v>
      </c>
      <c r="DA370" s="4">
        <v>114.25</v>
      </c>
      <c r="DB370" s="4">
        <v>1.559277</v>
      </c>
      <c r="DC370" s="4">
        <v>5.6713940000000003</v>
      </c>
      <c r="DD370" s="4">
        <v>72.607356999999993</v>
      </c>
      <c r="DE370" s="4">
        <v>131.30062000000001</v>
      </c>
      <c r="DF370" s="4">
        <v>49.732743999999997</v>
      </c>
      <c r="DG370" s="4">
        <v>14.644704000000001</v>
      </c>
      <c r="DH370" s="4">
        <v>7.2544510000000004</v>
      </c>
      <c r="DI370" s="4">
        <v>0.37877</v>
      </c>
      <c r="DJ370" s="4">
        <v>0.29446800000000001</v>
      </c>
      <c r="DK370" s="4">
        <v>0.145869</v>
      </c>
      <c r="DL370" s="4">
        <v>28</v>
      </c>
      <c r="DM370" s="4">
        <v>33</v>
      </c>
      <c r="DN370" s="4">
        <v>40</v>
      </c>
      <c r="DO370" s="4">
        <v>52</v>
      </c>
      <c r="DP370" s="4">
        <v>59.75</v>
      </c>
      <c r="DQ370" s="4">
        <v>67</v>
      </c>
      <c r="DR370" s="4">
        <v>84.799987999999999</v>
      </c>
      <c r="DS370" s="4">
        <v>105</v>
      </c>
      <c r="DT370" s="4">
        <v>130</v>
      </c>
      <c r="DU370" s="4">
        <v>157</v>
      </c>
      <c r="DV370" s="4">
        <v>174</v>
      </c>
      <c r="DW370" s="4">
        <v>195.599976</v>
      </c>
      <c r="DX370" s="4">
        <v>250</v>
      </c>
      <c r="DY370" s="4">
        <v>334.65002399999997</v>
      </c>
      <c r="DZ370" s="4">
        <v>468.660034</v>
      </c>
      <c r="EA370" s="4">
        <v>86.832060999999996</v>
      </c>
      <c r="EB370" s="4">
        <v>63.223140000000001</v>
      </c>
      <c r="EC370" s="4">
        <v>116.793893</v>
      </c>
      <c r="ED370" s="4">
        <v>455</v>
      </c>
      <c r="EE370" s="4">
        <v>612</v>
      </c>
      <c r="EF370" s="4">
        <v>84.923664000000002</v>
      </c>
      <c r="EG370" s="4">
        <v>99.809160000000006</v>
      </c>
      <c r="EH370" s="4">
        <v>58.780991999999998</v>
      </c>
      <c r="EI370" s="4">
        <v>99.793387999999993</v>
      </c>
      <c r="EJ370" s="4">
        <v>108.58778599999999</v>
      </c>
      <c r="EK370" s="4">
        <v>184.351145</v>
      </c>
      <c r="EL370" s="4">
        <v>445</v>
      </c>
      <c r="EM370" s="4">
        <v>523</v>
      </c>
      <c r="EN370" s="4">
        <v>569</v>
      </c>
      <c r="EO370" s="4">
        <v>966</v>
      </c>
      <c r="EP370" s="4">
        <v>524</v>
      </c>
      <c r="EQ370" s="4">
        <v>968</v>
      </c>
      <c r="ER370" s="4">
        <v>53.298929999999999</v>
      </c>
    </row>
    <row r="371" spans="1:148" x14ac:dyDescent="0.2">
      <c r="A371" s="1">
        <v>2025</v>
      </c>
      <c r="B371" s="1" t="str">
        <f t="shared" si="10"/>
        <v>NE</v>
      </c>
      <c r="C371" s="1" t="s">
        <v>1640</v>
      </c>
      <c r="D371" s="1" t="s">
        <v>1640</v>
      </c>
      <c r="E371" s="1">
        <v>29074</v>
      </c>
      <c r="F371" s="1" t="s">
        <v>2199</v>
      </c>
      <c r="G371" s="1" t="s">
        <v>2020</v>
      </c>
      <c r="H371" s="1" t="s">
        <v>1950</v>
      </c>
      <c r="I371" s="1">
        <v>47.54</v>
      </c>
      <c r="J371" s="1">
        <v>47.54</v>
      </c>
      <c r="K371" s="1" t="s">
        <v>434</v>
      </c>
      <c r="L371" s="1">
        <v>1</v>
      </c>
      <c r="M371" s="3">
        <v>2021</v>
      </c>
      <c r="O371" s="1">
        <v>1</v>
      </c>
      <c r="P371" s="1" t="str">
        <f t="shared" si="11"/>
        <v>Alto fuste</v>
      </c>
      <c r="Q371" s="2">
        <v>44439</v>
      </c>
      <c r="R371" s="1" t="s">
        <v>169</v>
      </c>
      <c r="S371" s="1" t="s">
        <v>442</v>
      </c>
      <c r="T371" s="1" t="s">
        <v>2268</v>
      </c>
      <c r="U371" s="1" t="s">
        <v>151</v>
      </c>
      <c r="V371" s="1" t="s">
        <v>152</v>
      </c>
      <c r="W371" s="2">
        <v>45736</v>
      </c>
      <c r="X371" s="1" t="s">
        <v>2200</v>
      </c>
      <c r="Y371" s="1">
        <v>138.22</v>
      </c>
      <c r="Z371" s="1">
        <v>20.8</v>
      </c>
      <c r="AA371" s="1">
        <v>19</v>
      </c>
      <c r="AB371" s="1">
        <v>16.5</v>
      </c>
      <c r="AC371" s="1">
        <v>2</v>
      </c>
      <c r="AD371" s="3">
        <v>343.2</v>
      </c>
      <c r="AE371" s="3">
        <v>324.30429731017699</v>
      </c>
      <c r="AF371" s="2">
        <v>45736</v>
      </c>
      <c r="AG371" s="1">
        <v>43</v>
      </c>
      <c r="AH371" s="3">
        <v>3.55099247091034</v>
      </c>
      <c r="AI371" s="4">
        <v>20.017524653252401</v>
      </c>
      <c r="AJ371" s="4">
        <v>14.1076923076923</v>
      </c>
      <c r="AK371" s="4">
        <v>12.695866945311</v>
      </c>
      <c r="AL371" s="1">
        <v>26</v>
      </c>
      <c r="AM371" s="5">
        <v>801.71617260848802</v>
      </c>
      <c r="AN371" s="4">
        <v>115.862405249096</v>
      </c>
      <c r="AO371" s="4">
        <v>0.14451798430375001</v>
      </c>
      <c r="AP371" s="1" t="s">
        <v>442</v>
      </c>
      <c r="AQ371" s="1" t="s">
        <v>156</v>
      </c>
      <c r="AR371" s="1" t="s">
        <v>500</v>
      </c>
      <c r="AS371" s="1">
        <v>9</v>
      </c>
      <c r="AT371" s="4">
        <v>0.72154455534763928</v>
      </c>
      <c r="AU371" s="1" t="s">
        <v>1639</v>
      </c>
      <c r="AV371" s="1" t="s">
        <v>1640</v>
      </c>
      <c r="AW371" s="1">
        <v>1318</v>
      </c>
      <c r="AX371" s="1">
        <v>743</v>
      </c>
      <c r="AY371" s="1">
        <v>429</v>
      </c>
      <c r="AZ371" s="1">
        <v>124</v>
      </c>
      <c r="BA371" s="1">
        <v>20</v>
      </c>
      <c r="BB371" s="1">
        <v>2</v>
      </c>
      <c r="BC371" s="1">
        <v>0</v>
      </c>
      <c r="BD371" s="1">
        <v>0</v>
      </c>
      <c r="BE371" s="1">
        <v>0</v>
      </c>
      <c r="BF371" s="1">
        <v>0</v>
      </c>
      <c r="BG371" s="1">
        <v>0</v>
      </c>
      <c r="BH371" s="4">
        <v>0</v>
      </c>
      <c r="BI371" s="4">
        <v>24.402000000000001</v>
      </c>
      <c r="BJ371" s="4">
        <v>10.808318999999999</v>
      </c>
      <c r="BK371" s="4">
        <v>0</v>
      </c>
      <c r="BL371" s="4">
        <v>9.2044949999999996</v>
      </c>
      <c r="BM371" s="4">
        <v>84.722735999999998</v>
      </c>
      <c r="BN371" s="4">
        <v>0.85161200000000004</v>
      </c>
      <c r="BO371" s="4">
        <v>19.292000999999999</v>
      </c>
      <c r="BP371" s="4">
        <v>-0.111902</v>
      </c>
      <c r="BQ371" s="4">
        <v>1.192677</v>
      </c>
      <c r="BR371" s="4">
        <v>8.8510089999999995</v>
      </c>
      <c r="BS371" s="4">
        <v>6.6074999999999999</v>
      </c>
      <c r="BT371" s="4">
        <v>15.566998999999999</v>
      </c>
      <c r="BU371" s="4">
        <v>10.808318999999999</v>
      </c>
      <c r="BV371" s="4">
        <v>5.0309179999999998</v>
      </c>
      <c r="BW371" s="4">
        <v>-6.8587999999999996E-2</v>
      </c>
      <c r="BX371" s="4">
        <v>-0.84945499999999996</v>
      </c>
      <c r="BY371" s="4">
        <v>0.46546700000000002</v>
      </c>
      <c r="BZ371" s="4">
        <v>-1.3632999999999999E-2</v>
      </c>
      <c r="CA371" s="4">
        <v>-0.168847</v>
      </c>
      <c r="CB371" s="4">
        <v>5.3400000000000001E-3</v>
      </c>
      <c r="CC371" s="4">
        <v>2.8000000000000001E-2</v>
      </c>
      <c r="CD371" s="4">
        <v>6.3E-2</v>
      </c>
      <c r="CE371" s="4">
        <v>0.15240000000000001</v>
      </c>
      <c r="CF371" s="4">
        <v>0.22750000000000001</v>
      </c>
      <c r="CG371" s="4">
        <v>0.33410000000000001</v>
      </c>
      <c r="CH371" s="4">
        <v>3.4205990000000002</v>
      </c>
      <c r="CI371" s="4">
        <v>15.566998999999999</v>
      </c>
      <c r="CJ371" s="4">
        <v>17.5854</v>
      </c>
      <c r="CK371" s="4">
        <v>18.788401</v>
      </c>
      <c r="CL371" s="4">
        <v>19.519501000000002</v>
      </c>
      <c r="CM371" s="4">
        <v>20.130001</v>
      </c>
      <c r="CN371" s="4">
        <v>21.3139</v>
      </c>
      <c r="CO371" s="4">
        <v>22.158000999999999</v>
      </c>
      <c r="CP371" s="4">
        <v>23.086451</v>
      </c>
      <c r="CQ371" s="4">
        <v>0.44292799999999999</v>
      </c>
      <c r="CR371" s="4">
        <v>14.194302</v>
      </c>
      <c r="CS371" s="4">
        <v>15.7681</v>
      </c>
      <c r="CT371" s="1">
        <v>22</v>
      </c>
      <c r="CU371" s="1">
        <v>554</v>
      </c>
      <c r="CV371" s="4">
        <v>157.034143</v>
      </c>
      <c r="CW371" s="4">
        <v>30.444444000000001</v>
      </c>
      <c r="CX371" s="4">
        <v>120.078845</v>
      </c>
      <c r="CY371" s="4">
        <v>14418.928980000001</v>
      </c>
      <c r="CZ371" s="4">
        <v>0.76466699999999999</v>
      </c>
      <c r="DA371" s="4">
        <v>142</v>
      </c>
      <c r="DB371" s="4">
        <v>1.210988</v>
      </c>
      <c r="DC371" s="4">
        <v>3.6658409999999999</v>
      </c>
      <c r="DD371" s="4">
        <v>94.113701000000006</v>
      </c>
      <c r="DE371" s="4">
        <v>157.034143</v>
      </c>
      <c r="DF371" s="4">
        <v>63.699722999999999</v>
      </c>
      <c r="DG371" s="4">
        <v>18.817385000000002</v>
      </c>
      <c r="DH371" s="4">
        <v>7.465344</v>
      </c>
      <c r="DI371" s="4">
        <v>0.40564299999999998</v>
      </c>
      <c r="DJ371" s="4">
        <v>0.295408</v>
      </c>
      <c r="DK371" s="4">
        <v>0.11719599999999999</v>
      </c>
      <c r="DL371" s="4">
        <v>27.17</v>
      </c>
      <c r="DM371" s="4">
        <v>35</v>
      </c>
      <c r="DN371" s="4">
        <v>41</v>
      </c>
      <c r="DO371" s="4">
        <v>55</v>
      </c>
      <c r="DP371" s="4">
        <v>63</v>
      </c>
      <c r="DQ371" s="4">
        <v>71</v>
      </c>
      <c r="DR371" s="4">
        <v>97</v>
      </c>
      <c r="DS371" s="4">
        <v>122</v>
      </c>
      <c r="DT371" s="4">
        <v>149.20001199999999</v>
      </c>
      <c r="DU371" s="4">
        <v>184</v>
      </c>
      <c r="DV371" s="4">
        <v>205</v>
      </c>
      <c r="DW371" s="4">
        <v>236.599976</v>
      </c>
      <c r="DX371" s="4">
        <v>359.600098</v>
      </c>
      <c r="DY371" s="4">
        <v>425</v>
      </c>
      <c r="DZ371" s="4">
        <v>487.82995599999998</v>
      </c>
      <c r="EA371" s="4">
        <v>79.004037999999994</v>
      </c>
      <c r="EB371" s="4">
        <v>60.546281999999998</v>
      </c>
      <c r="EC371" s="4">
        <v>107.402423</v>
      </c>
      <c r="ED371" s="4">
        <v>587</v>
      </c>
      <c r="EE371" s="4">
        <v>798</v>
      </c>
      <c r="EF371" s="4">
        <v>73.755047000000005</v>
      </c>
      <c r="EG371" s="4">
        <v>99.865409999999997</v>
      </c>
      <c r="EH371" s="4">
        <v>53.186646000000003</v>
      </c>
      <c r="EI371" s="4">
        <v>99.848254999999995</v>
      </c>
      <c r="EJ371" s="4">
        <v>94.347240999999997</v>
      </c>
      <c r="EK371" s="4">
        <v>177.11978500000001</v>
      </c>
      <c r="EL371" s="4">
        <v>548</v>
      </c>
      <c r="EM371" s="4">
        <v>742</v>
      </c>
      <c r="EN371" s="4">
        <v>701</v>
      </c>
      <c r="EO371" s="4">
        <v>1316</v>
      </c>
      <c r="EP371" s="4">
        <v>743</v>
      </c>
      <c r="EQ371" s="4">
        <v>1318</v>
      </c>
      <c r="ER371" s="4">
        <v>45.801855000000003</v>
      </c>
    </row>
    <row r="372" spans="1:148" x14ac:dyDescent="0.2">
      <c r="A372" s="1">
        <v>2025</v>
      </c>
      <c r="B372" s="1" t="str">
        <f t="shared" si="10"/>
        <v>NE</v>
      </c>
      <c r="C372" s="1" t="s">
        <v>1642</v>
      </c>
      <c r="D372" s="1" t="s">
        <v>1642</v>
      </c>
      <c r="E372" s="1">
        <v>29075</v>
      </c>
      <c r="F372" s="1" t="s">
        <v>2199</v>
      </c>
      <c r="G372" s="1" t="s">
        <v>2020</v>
      </c>
      <c r="H372" s="1" t="s">
        <v>1950</v>
      </c>
      <c r="I372" s="1">
        <v>47.54</v>
      </c>
      <c r="J372" s="1">
        <v>47.54</v>
      </c>
      <c r="K372" s="1" t="s">
        <v>434</v>
      </c>
      <c r="L372" s="1">
        <v>1</v>
      </c>
      <c r="M372" s="3">
        <v>2021</v>
      </c>
      <c r="O372" s="1">
        <v>1</v>
      </c>
      <c r="P372" s="1" t="str">
        <f t="shared" si="11"/>
        <v>Alto fuste</v>
      </c>
      <c r="Q372" s="2">
        <v>44439</v>
      </c>
      <c r="R372" s="1" t="s">
        <v>169</v>
      </c>
      <c r="S372" s="1" t="s">
        <v>442</v>
      </c>
      <c r="T372" s="1" t="s">
        <v>2268</v>
      </c>
      <c r="U372" s="1" t="s">
        <v>151</v>
      </c>
      <c r="V372" s="1" t="s">
        <v>152</v>
      </c>
      <c r="W372" s="2">
        <v>44774</v>
      </c>
      <c r="X372" s="1" t="s">
        <v>2200</v>
      </c>
      <c r="Y372" s="1">
        <v>138.22</v>
      </c>
      <c r="Z372" s="1">
        <v>21.5</v>
      </c>
      <c r="AA372" s="1">
        <v>20</v>
      </c>
      <c r="AB372" s="1">
        <v>15.4</v>
      </c>
      <c r="AC372" s="1">
        <v>1</v>
      </c>
      <c r="AD372" s="3">
        <v>331.1</v>
      </c>
      <c r="AE372" s="3">
        <v>311.08483979707898</v>
      </c>
      <c r="AF372" s="2">
        <v>45736</v>
      </c>
      <c r="AG372" s="1">
        <v>43</v>
      </c>
      <c r="AH372" s="3">
        <v>3.55099247091034</v>
      </c>
      <c r="AI372" s="4">
        <v>21.890411078474902</v>
      </c>
      <c r="AJ372" s="4">
        <v>13.165625</v>
      </c>
      <c r="AK372" s="4">
        <v>14.1831743902409</v>
      </c>
      <c r="AL372" s="1">
        <v>32</v>
      </c>
      <c r="AM372" s="5">
        <v>1028.6582920875801</v>
      </c>
      <c r="AN372" s="4">
        <v>141.62430819632101</v>
      </c>
      <c r="AO372" s="4">
        <v>0.13767867258320199</v>
      </c>
      <c r="AP372" s="1" t="s">
        <v>442</v>
      </c>
      <c r="AQ372" s="1" t="s">
        <v>156</v>
      </c>
      <c r="AR372" s="1" t="s">
        <v>500</v>
      </c>
      <c r="AS372" s="1">
        <v>9</v>
      </c>
      <c r="AT372" s="4">
        <v>0.92579246287882211</v>
      </c>
      <c r="AU372" s="1" t="s">
        <v>1641</v>
      </c>
      <c r="AV372" s="1" t="s">
        <v>1642</v>
      </c>
      <c r="AW372" s="1">
        <v>1137</v>
      </c>
      <c r="AX372" s="1">
        <v>672</v>
      </c>
      <c r="AY372" s="1">
        <v>352</v>
      </c>
      <c r="AZ372" s="1">
        <v>100</v>
      </c>
      <c r="BA372" s="1">
        <v>13</v>
      </c>
      <c r="BB372" s="1">
        <v>0</v>
      </c>
      <c r="BC372" s="1">
        <v>0</v>
      </c>
      <c r="BD372" s="1">
        <v>0</v>
      </c>
      <c r="BE372" s="1">
        <v>0</v>
      </c>
      <c r="BF372" s="1">
        <v>0</v>
      </c>
      <c r="BG372" s="1">
        <v>0</v>
      </c>
      <c r="BH372" s="4">
        <v>0</v>
      </c>
      <c r="BI372" s="4">
        <v>23.427</v>
      </c>
      <c r="BJ372" s="4">
        <v>13.221555</v>
      </c>
      <c r="BK372" s="4">
        <v>0</v>
      </c>
      <c r="BL372" s="4">
        <v>9.2175449999999994</v>
      </c>
      <c r="BM372" s="4">
        <v>84.963138000000001</v>
      </c>
      <c r="BN372" s="4">
        <v>0.69716</v>
      </c>
      <c r="BO372" s="4">
        <v>20.103000000000002</v>
      </c>
      <c r="BP372" s="4">
        <v>-0.592441</v>
      </c>
      <c r="BQ372" s="4">
        <v>1.458742</v>
      </c>
      <c r="BR372" s="4">
        <v>8.6683109999999992</v>
      </c>
      <c r="BS372" s="4">
        <v>2.1410010000000002</v>
      </c>
      <c r="BT372" s="4">
        <v>19.084999</v>
      </c>
      <c r="BU372" s="4">
        <v>13.221555</v>
      </c>
      <c r="BV372" s="4">
        <v>4.786619</v>
      </c>
      <c r="BW372" s="4">
        <v>-1.090581</v>
      </c>
      <c r="BX372" s="4">
        <v>-0.52508500000000002</v>
      </c>
      <c r="BY372" s="4">
        <v>0.36203099999999999</v>
      </c>
      <c r="BZ372" s="4">
        <v>-0.22783999999999999</v>
      </c>
      <c r="CA372" s="4">
        <v>-0.109698</v>
      </c>
      <c r="CB372" s="4">
        <v>4.3600000000000002E-3</v>
      </c>
      <c r="CC372" s="4">
        <v>1.9E-2</v>
      </c>
      <c r="CD372" s="4">
        <v>3.8199999999999998E-2</v>
      </c>
      <c r="CE372" s="4">
        <v>0.14860000000000001</v>
      </c>
      <c r="CF372" s="4">
        <v>0.38300000000000001</v>
      </c>
      <c r="CG372" s="4">
        <v>2.4196</v>
      </c>
      <c r="CH372" s="4">
        <v>17.614401000000001</v>
      </c>
      <c r="CI372" s="4">
        <v>19.084999</v>
      </c>
      <c r="CJ372" s="4">
        <v>19.662001</v>
      </c>
      <c r="CK372" s="4">
        <v>20.226400000000002</v>
      </c>
      <c r="CL372" s="4">
        <v>20.486000000000001</v>
      </c>
      <c r="CM372" s="4">
        <v>20.7698</v>
      </c>
      <c r="CN372" s="4">
        <v>21.381802</v>
      </c>
      <c r="CO372" s="4">
        <v>21.856999999999999</v>
      </c>
      <c r="CP372" s="4">
        <v>22.582239000000001</v>
      </c>
      <c r="CQ372" s="4">
        <v>0.56437300000000001</v>
      </c>
      <c r="CR372" s="4">
        <v>16.115145999999999</v>
      </c>
      <c r="CS372" s="4">
        <v>17.341154</v>
      </c>
      <c r="CT372" s="1">
        <v>22</v>
      </c>
      <c r="CU372" s="1">
        <v>812</v>
      </c>
      <c r="CV372" s="4">
        <v>155.22163599999999</v>
      </c>
      <c r="CW372" s="4">
        <v>34.539682999999997</v>
      </c>
      <c r="CX372" s="4">
        <v>128.809371</v>
      </c>
      <c r="CY372" s="4">
        <v>16591.853999999999</v>
      </c>
      <c r="CZ372" s="4">
        <v>0.82984199999999997</v>
      </c>
      <c r="DA372" s="4">
        <v>139</v>
      </c>
      <c r="DB372" s="4">
        <v>1.9966889999999999</v>
      </c>
      <c r="DC372" s="4">
        <v>7.984127</v>
      </c>
      <c r="DD372" s="4">
        <v>91.928715999999994</v>
      </c>
      <c r="DE372" s="4">
        <v>155.22163599999999</v>
      </c>
      <c r="DF372" s="4">
        <v>63.897264999999997</v>
      </c>
      <c r="DG372" s="4">
        <v>20.769376999999999</v>
      </c>
      <c r="DH372" s="4">
        <v>12.055319000000001</v>
      </c>
      <c r="DI372" s="4">
        <v>0.41165200000000002</v>
      </c>
      <c r="DJ372" s="4">
        <v>0.32504300000000003</v>
      </c>
      <c r="DK372" s="4">
        <v>0.188667</v>
      </c>
      <c r="DL372" s="4">
        <v>26</v>
      </c>
      <c r="DM372" s="4">
        <v>32</v>
      </c>
      <c r="DN372" s="4">
        <v>38</v>
      </c>
      <c r="DO372" s="4">
        <v>55</v>
      </c>
      <c r="DP372" s="4">
        <v>63</v>
      </c>
      <c r="DQ372" s="4">
        <v>73</v>
      </c>
      <c r="DR372" s="4">
        <v>97.399994000000007</v>
      </c>
      <c r="DS372" s="4">
        <v>124</v>
      </c>
      <c r="DT372" s="4">
        <v>148</v>
      </c>
      <c r="DU372" s="4">
        <v>181</v>
      </c>
      <c r="DV372" s="4">
        <v>202</v>
      </c>
      <c r="DW372" s="4">
        <v>219.79998800000001</v>
      </c>
      <c r="DX372" s="4">
        <v>307.800049</v>
      </c>
      <c r="DY372" s="4">
        <v>404</v>
      </c>
      <c r="DZ372" s="4">
        <v>656.96020499999997</v>
      </c>
      <c r="EA372" s="4">
        <v>90.476190000000003</v>
      </c>
      <c r="EB372" s="4">
        <v>68.777484999999999</v>
      </c>
      <c r="EC372" s="4">
        <v>116.36904800000001</v>
      </c>
      <c r="ED372" s="4">
        <v>608</v>
      </c>
      <c r="EE372" s="4">
        <v>782</v>
      </c>
      <c r="EF372" s="4">
        <v>85.714286000000001</v>
      </c>
      <c r="EG372" s="4">
        <v>100</v>
      </c>
      <c r="EH372" s="4">
        <v>63.588391000000001</v>
      </c>
      <c r="EI372" s="4">
        <v>99.824099000000004</v>
      </c>
      <c r="EJ372" s="4">
        <v>107.589286</v>
      </c>
      <c r="EK372" s="4">
        <v>168.89881</v>
      </c>
      <c r="EL372" s="4">
        <v>576</v>
      </c>
      <c r="EM372" s="4">
        <v>672</v>
      </c>
      <c r="EN372" s="4">
        <v>723</v>
      </c>
      <c r="EO372" s="4">
        <v>1135</v>
      </c>
      <c r="EP372" s="4">
        <v>672</v>
      </c>
      <c r="EQ372" s="4">
        <v>1137</v>
      </c>
      <c r="ER372" s="4">
        <v>57.548600999999998</v>
      </c>
    </row>
    <row r="373" spans="1:148" x14ac:dyDescent="0.2">
      <c r="A373" s="1">
        <v>2025</v>
      </c>
      <c r="B373" s="1" t="str">
        <f t="shared" si="10"/>
        <v>NE</v>
      </c>
      <c r="C373" s="1" t="s">
        <v>1644</v>
      </c>
      <c r="D373" s="1" t="s">
        <v>1644</v>
      </c>
      <c r="E373" s="1">
        <v>29066</v>
      </c>
      <c r="F373" s="1" t="s">
        <v>2201</v>
      </c>
      <c r="G373" s="1" t="s">
        <v>2020</v>
      </c>
      <c r="H373" s="1" t="s">
        <v>1951</v>
      </c>
      <c r="I373" s="1">
        <v>83.64</v>
      </c>
      <c r="J373" s="1">
        <v>83.64</v>
      </c>
      <c r="K373" s="1" t="s">
        <v>434</v>
      </c>
      <c r="L373" s="1">
        <v>1</v>
      </c>
      <c r="M373" s="3">
        <v>2021</v>
      </c>
      <c r="O373" s="1">
        <v>2</v>
      </c>
      <c r="P373" s="1" t="str">
        <f t="shared" si="11"/>
        <v>Talhadia</v>
      </c>
      <c r="Q373" s="2">
        <v>44439</v>
      </c>
      <c r="R373" s="1" t="s">
        <v>169</v>
      </c>
      <c r="S373" s="1" t="s">
        <v>287</v>
      </c>
      <c r="T373" s="1" t="s">
        <v>2268</v>
      </c>
      <c r="U373" s="1" t="s">
        <v>151</v>
      </c>
      <c r="V373" s="1" t="s">
        <v>152</v>
      </c>
      <c r="W373" s="2">
        <v>45756</v>
      </c>
      <c r="X373" s="1" t="s">
        <v>2200</v>
      </c>
      <c r="Y373" s="1">
        <v>294.7</v>
      </c>
      <c r="Z373" s="1">
        <v>21.2</v>
      </c>
      <c r="AA373" s="1">
        <v>30</v>
      </c>
      <c r="AB373" s="1">
        <v>16.3</v>
      </c>
      <c r="AC373" s="1">
        <v>10</v>
      </c>
      <c r="AD373" s="3">
        <v>345.56</v>
      </c>
      <c r="AE373" s="3">
        <v>294.71724990148601</v>
      </c>
      <c r="AF373" s="2">
        <v>45756</v>
      </c>
      <c r="AG373" s="1">
        <v>44</v>
      </c>
      <c r="AH373" s="3">
        <v>3.60574948665298</v>
      </c>
      <c r="AI373" s="4">
        <v>19.9963252445717</v>
      </c>
      <c r="AJ373" s="4">
        <v>15.06</v>
      </c>
      <c r="AK373" s="4">
        <v>12.482969255220601</v>
      </c>
      <c r="AL373" s="1">
        <v>20</v>
      </c>
      <c r="AM373" s="5">
        <v>678.61653862084097</v>
      </c>
      <c r="AN373" s="4">
        <v>102.043771912007</v>
      </c>
      <c r="AO373" s="4">
        <v>0.15037029913740699</v>
      </c>
      <c r="AP373" s="1" t="s">
        <v>287</v>
      </c>
      <c r="AQ373" s="1" t="s">
        <v>254</v>
      </c>
      <c r="AR373" s="1" t="s">
        <v>500</v>
      </c>
      <c r="AS373" s="1">
        <v>9</v>
      </c>
      <c r="AT373" s="4">
        <v>0.61075488475875683</v>
      </c>
      <c r="AU373" s="1" t="s">
        <v>1643</v>
      </c>
      <c r="AV373" s="1" t="s">
        <v>1644</v>
      </c>
      <c r="AW373" s="1">
        <v>2261</v>
      </c>
      <c r="AX373" s="1">
        <v>1117</v>
      </c>
      <c r="AY373" s="1">
        <v>781</v>
      </c>
      <c r="AZ373" s="1">
        <v>301</v>
      </c>
      <c r="BA373" s="1">
        <v>53</v>
      </c>
      <c r="BB373" s="1">
        <v>9</v>
      </c>
      <c r="BC373" s="1">
        <v>0</v>
      </c>
      <c r="BD373" s="1">
        <v>0</v>
      </c>
      <c r="BE373" s="1">
        <v>0</v>
      </c>
      <c r="BF373" s="1">
        <v>0</v>
      </c>
      <c r="BG373" s="1">
        <v>0</v>
      </c>
      <c r="BH373" s="4">
        <v>0</v>
      </c>
      <c r="BI373" s="4">
        <v>26.552999</v>
      </c>
      <c r="BJ373" s="4">
        <v>10.915835</v>
      </c>
      <c r="BK373" s="4">
        <v>0</v>
      </c>
      <c r="BL373" s="4">
        <v>8.2608650000000008</v>
      </c>
      <c r="BM373" s="4">
        <v>68.241887000000006</v>
      </c>
      <c r="BN373" s="4">
        <v>0.75677799999999995</v>
      </c>
      <c r="BO373" s="4">
        <v>16.96</v>
      </c>
      <c r="BP373" s="4">
        <v>-0.198187</v>
      </c>
      <c r="BQ373" s="4">
        <v>1.37852</v>
      </c>
      <c r="BR373" s="4">
        <v>7.6942320000000004</v>
      </c>
      <c r="BS373" s="4">
        <v>6.2579989999999999</v>
      </c>
      <c r="BT373" s="4">
        <v>14.063000000000001</v>
      </c>
      <c r="BU373" s="4">
        <v>10.915835</v>
      </c>
      <c r="BV373" s="4">
        <v>4.6151600000000004</v>
      </c>
      <c r="BW373" s="4">
        <v>-0.231068</v>
      </c>
      <c r="BX373" s="4">
        <v>-0.49844100000000002</v>
      </c>
      <c r="BY373" s="4">
        <v>0.42279499999999998</v>
      </c>
      <c r="BZ373" s="4">
        <v>-5.0067E-2</v>
      </c>
      <c r="CA373" s="4">
        <v>-0.108001</v>
      </c>
      <c r="CB373" s="4">
        <v>6.0000000000000001E-3</v>
      </c>
      <c r="CC373" s="4">
        <v>2.5000000000000001E-2</v>
      </c>
      <c r="CD373" s="4">
        <v>6.0999999999999999E-2</v>
      </c>
      <c r="CE373" s="4">
        <v>0.67600000000000005</v>
      </c>
      <c r="CF373" s="4">
        <v>1.363</v>
      </c>
      <c r="CG373" s="4">
        <v>2.044</v>
      </c>
      <c r="CH373" s="4">
        <v>8.3610000000000007</v>
      </c>
      <c r="CI373" s="4">
        <v>14.063000000000001</v>
      </c>
      <c r="CJ373" s="4">
        <v>15.773999999999999</v>
      </c>
      <c r="CK373" s="4">
        <v>17.670999999999999</v>
      </c>
      <c r="CL373" s="4">
        <v>18.323</v>
      </c>
      <c r="CM373" s="4">
        <v>18.936001000000001</v>
      </c>
      <c r="CN373" s="4">
        <v>20.356000999999999</v>
      </c>
      <c r="CO373" s="4">
        <v>21.35</v>
      </c>
      <c r="CP373" s="4">
        <v>23.830998999999998</v>
      </c>
      <c r="CQ373" s="4">
        <v>0.41109600000000002</v>
      </c>
      <c r="CR373" s="4">
        <v>13.688212</v>
      </c>
      <c r="CS373" s="4">
        <v>15.070433</v>
      </c>
      <c r="CT373" s="1">
        <v>23</v>
      </c>
      <c r="CU373" s="1">
        <v>707</v>
      </c>
      <c r="CV373" s="4">
        <v>128.591331</v>
      </c>
      <c r="CW373" s="4">
        <v>33.857143000000001</v>
      </c>
      <c r="CX373" s="4">
        <v>102.466814</v>
      </c>
      <c r="CY373" s="4">
        <v>10499.44796</v>
      </c>
      <c r="CZ373" s="4">
        <v>0.79684100000000002</v>
      </c>
      <c r="DA373" s="4">
        <v>110</v>
      </c>
      <c r="DB373" s="4">
        <v>2.0339900000000002</v>
      </c>
      <c r="DC373" s="4">
        <v>8.2388440000000003</v>
      </c>
      <c r="DD373" s="4">
        <v>74.133664999999993</v>
      </c>
      <c r="DE373" s="4">
        <v>128.591331</v>
      </c>
      <c r="DF373" s="4">
        <v>50.573576000000003</v>
      </c>
      <c r="DG373" s="4">
        <v>17.507940000000001</v>
      </c>
      <c r="DH373" s="4">
        <v>9.3576560000000004</v>
      </c>
      <c r="DI373" s="4">
        <v>0.393289</v>
      </c>
      <c r="DJ373" s="4">
        <v>0.346188</v>
      </c>
      <c r="DK373" s="4">
        <v>0.185031</v>
      </c>
      <c r="DL373" s="4">
        <v>29</v>
      </c>
      <c r="DM373" s="4">
        <v>34</v>
      </c>
      <c r="DN373" s="4">
        <v>39</v>
      </c>
      <c r="DO373" s="4">
        <v>50</v>
      </c>
      <c r="DP373" s="4">
        <v>57</v>
      </c>
      <c r="DQ373" s="4">
        <v>64</v>
      </c>
      <c r="DR373" s="4">
        <v>80</v>
      </c>
      <c r="DS373" s="4">
        <v>97</v>
      </c>
      <c r="DT373" s="4">
        <v>119</v>
      </c>
      <c r="DU373" s="4">
        <v>148</v>
      </c>
      <c r="DV373" s="4">
        <v>167</v>
      </c>
      <c r="DW373" s="4">
        <v>187</v>
      </c>
      <c r="DX373" s="4">
        <v>254</v>
      </c>
      <c r="DY373" s="4">
        <v>327</v>
      </c>
      <c r="DZ373" s="4">
        <v>538.39892599999996</v>
      </c>
      <c r="EA373" s="4">
        <v>90.599821000000006</v>
      </c>
      <c r="EB373" s="4">
        <v>65.944271999999998</v>
      </c>
      <c r="EC373" s="4">
        <v>133.48254299999999</v>
      </c>
      <c r="ED373" s="4">
        <v>1012</v>
      </c>
      <c r="EE373" s="4">
        <v>1491</v>
      </c>
      <c r="EF373" s="4">
        <v>85.944494000000006</v>
      </c>
      <c r="EG373" s="4">
        <v>99.910473999999994</v>
      </c>
      <c r="EH373" s="4">
        <v>57.717824</v>
      </c>
      <c r="EI373" s="4">
        <v>99.867315000000005</v>
      </c>
      <c r="EJ373" s="4">
        <v>116.830797</v>
      </c>
      <c r="EK373" s="4">
        <v>202.14861200000001</v>
      </c>
      <c r="EL373" s="4">
        <v>960</v>
      </c>
      <c r="EM373" s="4">
        <v>1116</v>
      </c>
      <c r="EN373" s="4">
        <v>1305</v>
      </c>
      <c r="EO373" s="4">
        <v>2258</v>
      </c>
      <c r="EP373" s="4">
        <v>1117</v>
      </c>
      <c r="EQ373" s="4">
        <v>2261</v>
      </c>
      <c r="ER373" s="4">
        <v>44.778981999999999</v>
      </c>
    </row>
    <row r="374" spans="1:148" x14ac:dyDescent="0.2">
      <c r="A374" s="1">
        <v>2025</v>
      </c>
      <c r="B374" s="1" t="str">
        <f t="shared" si="10"/>
        <v>NE</v>
      </c>
      <c r="C374" s="1" t="s">
        <v>1646</v>
      </c>
      <c r="D374" s="1" t="s">
        <v>1646</v>
      </c>
      <c r="E374" s="1">
        <v>29067</v>
      </c>
      <c r="F374" s="1" t="s">
        <v>2201</v>
      </c>
      <c r="G374" s="1" t="s">
        <v>2020</v>
      </c>
      <c r="H374" s="1" t="s">
        <v>1951</v>
      </c>
      <c r="I374" s="1">
        <v>83.64</v>
      </c>
      <c r="J374" s="1">
        <v>83.64</v>
      </c>
      <c r="K374" s="1" t="s">
        <v>434</v>
      </c>
      <c r="L374" s="1">
        <v>1</v>
      </c>
      <c r="M374" s="3">
        <v>2021</v>
      </c>
      <c r="O374" s="1">
        <v>2</v>
      </c>
      <c r="P374" s="1" t="str">
        <f t="shared" si="11"/>
        <v>Talhadia</v>
      </c>
      <c r="Q374" s="2">
        <v>44439</v>
      </c>
      <c r="R374" s="1" t="s">
        <v>169</v>
      </c>
      <c r="S374" s="1" t="s">
        <v>287</v>
      </c>
      <c r="T374" s="1" t="s">
        <v>2268</v>
      </c>
      <c r="U374" s="1" t="s">
        <v>151</v>
      </c>
      <c r="V374" s="1" t="s">
        <v>152</v>
      </c>
      <c r="W374" s="2">
        <v>44775</v>
      </c>
      <c r="X374" s="1" t="s">
        <v>2200</v>
      </c>
      <c r="Y374" s="1">
        <v>294.7</v>
      </c>
      <c r="Z374" s="1">
        <v>21.3</v>
      </c>
      <c r="AA374" s="1">
        <v>22</v>
      </c>
      <c r="AB374" s="1">
        <v>15.6</v>
      </c>
      <c r="AC374" s="1">
        <v>2</v>
      </c>
      <c r="AD374" s="3">
        <v>332.28</v>
      </c>
      <c r="AE374" s="3">
        <v>307.896974350113</v>
      </c>
      <c r="AF374" s="2">
        <v>45756</v>
      </c>
      <c r="AG374" s="1">
        <v>44</v>
      </c>
      <c r="AH374" s="3">
        <v>3.60574948665298</v>
      </c>
      <c r="AI374" s="4">
        <v>19.117759754343101</v>
      </c>
      <c r="AJ374" s="4">
        <v>15</v>
      </c>
      <c r="AK374" s="4">
        <v>7.9588476214988297</v>
      </c>
      <c r="AL374" s="1">
        <v>13</v>
      </c>
      <c r="AM374" s="5">
        <v>422.21915390495502</v>
      </c>
      <c r="AN374" s="4">
        <v>63.303560534185401</v>
      </c>
      <c r="AO374" s="4">
        <v>0.149930575031268</v>
      </c>
      <c r="AP374" s="1" t="s">
        <v>287</v>
      </c>
      <c r="AQ374" s="1" t="s">
        <v>254</v>
      </c>
      <c r="AR374" s="1" t="s">
        <v>500</v>
      </c>
      <c r="AS374" s="1">
        <v>9</v>
      </c>
      <c r="AT374" s="4">
        <v>0.37999723851445955</v>
      </c>
      <c r="AU374" s="1" t="s">
        <v>1645</v>
      </c>
      <c r="AV374" s="1" t="s">
        <v>1646</v>
      </c>
      <c r="AW374" s="1">
        <v>1004</v>
      </c>
      <c r="AX374" s="1">
        <v>684</v>
      </c>
      <c r="AY374" s="1">
        <v>262</v>
      </c>
      <c r="AZ374" s="1">
        <v>54</v>
      </c>
      <c r="BA374" s="1">
        <v>4</v>
      </c>
      <c r="BB374" s="1">
        <v>0</v>
      </c>
      <c r="BC374" s="1">
        <v>0</v>
      </c>
      <c r="BD374" s="1">
        <v>0</v>
      </c>
      <c r="BE374" s="1">
        <v>0</v>
      </c>
      <c r="BF374" s="1">
        <v>0</v>
      </c>
      <c r="BG374" s="1">
        <v>0</v>
      </c>
      <c r="BH374" s="4">
        <v>0</v>
      </c>
      <c r="BI374" s="4">
        <v>24.530999999999999</v>
      </c>
      <c r="BJ374" s="4">
        <v>7.2105810000000004</v>
      </c>
      <c r="BK374" s="4">
        <v>0</v>
      </c>
      <c r="BL374" s="4">
        <v>8.4851449999999993</v>
      </c>
      <c r="BM374" s="4">
        <v>71.997686999999999</v>
      </c>
      <c r="BN374" s="4">
        <v>1.176763</v>
      </c>
      <c r="BO374" s="4">
        <v>15.6165</v>
      </c>
      <c r="BP374" s="4">
        <v>0.56435100000000005</v>
      </c>
      <c r="BQ374" s="4">
        <v>1.529048</v>
      </c>
      <c r="BR374" s="4">
        <v>8.0319699999999994</v>
      </c>
      <c r="BS374" s="4">
        <v>0.73550000000000004</v>
      </c>
      <c r="BT374" s="4">
        <v>0.78749999999999998</v>
      </c>
      <c r="BU374" s="4">
        <v>7.2105810000000004</v>
      </c>
      <c r="BV374" s="4">
        <v>4.4261699999999999</v>
      </c>
      <c r="BW374" s="4">
        <v>1.240483</v>
      </c>
      <c r="BX374" s="4">
        <v>-0.41413899999999998</v>
      </c>
      <c r="BY374" s="4">
        <v>0.61384399999999995</v>
      </c>
      <c r="BZ374" s="4">
        <v>0.28026099999999998</v>
      </c>
      <c r="CA374" s="4">
        <v>-9.3565999999999996E-2</v>
      </c>
      <c r="CB374" s="4">
        <v>8.0300000000000007E-3</v>
      </c>
      <c r="CC374" s="4">
        <v>3.5299999999999998E-2</v>
      </c>
      <c r="CD374" s="4">
        <v>7.4499999999999997E-2</v>
      </c>
      <c r="CE374" s="4">
        <v>0.17399999999999999</v>
      </c>
      <c r="CF374" s="4">
        <v>0.23</v>
      </c>
      <c r="CG374" s="4">
        <v>0.29780000000000001</v>
      </c>
      <c r="CH374" s="4">
        <v>0.47120000000000001</v>
      </c>
      <c r="CI374" s="4">
        <v>0.78749999999999998</v>
      </c>
      <c r="CJ374" s="4">
        <v>7.0187989999999996</v>
      </c>
      <c r="CK374" s="4">
        <v>14.682301000000001</v>
      </c>
      <c r="CL374" s="4">
        <v>15.846500000000001</v>
      </c>
      <c r="CM374" s="4">
        <v>17.534200999999999</v>
      </c>
      <c r="CN374" s="4">
        <v>19.934999000000001</v>
      </c>
      <c r="CO374" s="4">
        <v>20.846350000000001</v>
      </c>
      <c r="CP374" s="4">
        <v>22.943467999999999</v>
      </c>
      <c r="CQ374" s="4">
        <v>0.293937</v>
      </c>
      <c r="CR374" s="4">
        <v>11.131866</v>
      </c>
      <c r="CS374" s="4">
        <v>13.152452</v>
      </c>
      <c r="CT374" s="1">
        <v>22</v>
      </c>
      <c r="CU374" s="1">
        <v>681</v>
      </c>
      <c r="CV374" s="4">
        <v>215.56573700000001</v>
      </c>
      <c r="CW374" s="4">
        <v>42.920634999999997</v>
      </c>
      <c r="CX374" s="4">
        <v>146.993067</v>
      </c>
      <c r="CY374" s="4">
        <v>21606.961780000001</v>
      </c>
      <c r="CZ374" s="4">
        <v>0.681894</v>
      </c>
      <c r="DA374" s="4">
        <v>238.25</v>
      </c>
      <c r="DB374" s="4">
        <v>0.64332999999999996</v>
      </c>
      <c r="DC374" s="4">
        <v>2.4825759999999999</v>
      </c>
      <c r="DD374" s="4">
        <v>123.459104</v>
      </c>
      <c r="DE374" s="4">
        <v>215.56573700000001</v>
      </c>
      <c r="DF374" s="4">
        <v>82.673580999999999</v>
      </c>
      <c r="DG374" s="4">
        <v>13.843631</v>
      </c>
      <c r="DH374" s="4">
        <v>3.2197339999999999</v>
      </c>
      <c r="DI374" s="4">
        <v>0.383519</v>
      </c>
      <c r="DJ374" s="4">
        <v>0.16744899999999999</v>
      </c>
      <c r="DK374" s="4">
        <v>3.8945E-2</v>
      </c>
      <c r="DL374" s="4">
        <v>28</v>
      </c>
      <c r="DM374" s="4">
        <v>36</v>
      </c>
      <c r="DN374" s="4">
        <v>46</v>
      </c>
      <c r="DO374" s="4">
        <v>69</v>
      </c>
      <c r="DP374" s="4">
        <v>87</v>
      </c>
      <c r="DQ374" s="4">
        <v>106.89999400000001</v>
      </c>
      <c r="DR374" s="4">
        <v>146.20001199999999</v>
      </c>
      <c r="DS374" s="4">
        <v>184</v>
      </c>
      <c r="DT374" s="4">
        <v>228</v>
      </c>
      <c r="DU374" s="4">
        <v>287.09997600000003</v>
      </c>
      <c r="DV374" s="4">
        <v>325.25</v>
      </c>
      <c r="DW374" s="4">
        <v>359.800049</v>
      </c>
      <c r="DX374" s="4">
        <v>429.40002399999997</v>
      </c>
      <c r="DY374" s="4">
        <v>485</v>
      </c>
      <c r="DZ374" s="4">
        <v>580.729736</v>
      </c>
      <c r="EA374" s="4">
        <v>53.070174999999999</v>
      </c>
      <c r="EB374" s="4">
        <v>41.434263000000001</v>
      </c>
      <c r="EC374" s="4">
        <v>60.818713000000002</v>
      </c>
      <c r="ED374" s="4">
        <v>363</v>
      </c>
      <c r="EE374" s="4">
        <v>416</v>
      </c>
      <c r="EF374" s="4">
        <v>51.023392000000001</v>
      </c>
      <c r="EG374" s="4">
        <v>100</v>
      </c>
      <c r="EH374" s="4">
        <v>39.840637000000001</v>
      </c>
      <c r="EI374" s="4">
        <v>99.900397999999996</v>
      </c>
      <c r="EJ374" s="4">
        <v>58.479531999999999</v>
      </c>
      <c r="EK374" s="4">
        <v>146.637427</v>
      </c>
      <c r="EL374" s="4">
        <v>349</v>
      </c>
      <c r="EM374" s="4">
        <v>684</v>
      </c>
      <c r="EN374" s="4">
        <v>400</v>
      </c>
      <c r="EO374" s="4">
        <v>1003</v>
      </c>
      <c r="EP374" s="4">
        <v>684</v>
      </c>
      <c r="EQ374" s="4">
        <v>1004</v>
      </c>
      <c r="ER374" s="4">
        <v>30.401174000000001</v>
      </c>
    </row>
    <row r="375" spans="1:148" x14ac:dyDescent="0.2">
      <c r="A375" s="1">
        <v>2025</v>
      </c>
      <c r="B375" s="1" t="str">
        <f t="shared" si="10"/>
        <v>NE</v>
      </c>
      <c r="C375" s="1" t="s">
        <v>1648</v>
      </c>
      <c r="D375" s="1" t="s">
        <v>1648</v>
      </c>
      <c r="E375" s="1">
        <v>29068</v>
      </c>
      <c r="F375" s="1" t="s">
        <v>2201</v>
      </c>
      <c r="G375" s="1" t="s">
        <v>2020</v>
      </c>
      <c r="H375" s="1" t="s">
        <v>1951</v>
      </c>
      <c r="I375" s="1">
        <v>83.64</v>
      </c>
      <c r="J375" s="1">
        <v>83.64</v>
      </c>
      <c r="K375" s="1" t="s">
        <v>434</v>
      </c>
      <c r="L375" s="1">
        <v>1</v>
      </c>
      <c r="M375" s="3">
        <v>2021</v>
      </c>
      <c r="O375" s="1">
        <v>2</v>
      </c>
      <c r="P375" s="1" t="str">
        <f t="shared" si="11"/>
        <v>Talhadia</v>
      </c>
      <c r="Q375" s="2">
        <v>44439</v>
      </c>
      <c r="R375" s="1" t="s">
        <v>169</v>
      </c>
      <c r="S375" s="1" t="s">
        <v>287</v>
      </c>
      <c r="T375" s="1" t="s">
        <v>2268</v>
      </c>
      <c r="U375" s="1" t="s">
        <v>151</v>
      </c>
      <c r="V375" s="1" t="s">
        <v>152</v>
      </c>
      <c r="W375" s="2">
        <v>45756</v>
      </c>
      <c r="X375" s="1" t="s">
        <v>2200</v>
      </c>
      <c r="Y375" s="1">
        <v>294.7</v>
      </c>
      <c r="Z375" s="1">
        <v>19</v>
      </c>
      <c r="AA375" s="1">
        <v>20</v>
      </c>
      <c r="AB375" s="1">
        <v>14.6</v>
      </c>
      <c r="AC375" s="1">
        <v>3</v>
      </c>
      <c r="AD375" s="3">
        <v>277.39999999999998</v>
      </c>
      <c r="AE375" s="3">
        <v>260.31349282592601</v>
      </c>
      <c r="AF375" s="2">
        <v>45756</v>
      </c>
      <c r="AG375" s="1">
        <v>44</v>
      </c>
      <c r="AH375" s="3">
        <v>3.60574948665298</v>
      </c>
      <c r="AI375" s="4">
        <v>20.373621993090399</v>
      </c>
      <c r="AJ375" s="4">
        <v>14.931818181818199</v>
      </c>
      <c r="AK375" s="4">
        <v>15.2488177277008</v>
      </c>
      <c r="AL375" s="1">
        <v>22</v>
      </c>
      <c r="AM375" s="5">
        <v>845.13483189715305</v>
      </c>
      <c r="AN375" s="4">
        <v>127.96945523511801</v>
      </c>
      <c r="AO375" s="4">
        <v>0.15141898121493</v>
      </c>
      <c r="AP375" s="1" t="s">
        <v>287</v>
      </c>
      <c r="AQ375" s="1" t="s">
        <v>254</v>
      </c>
      <c r="AR375" s="1" t="s">
        <v>500</v>
      </c>
      <c r="AS375" s="1">
        <v>9</v>
      </c>
      <c r="AT375" s="4">
        <v>0.76062134870743781</v>
      </c>
      <c r="AU375" s="1" t="s">
        <v>1647</v>
      </c>
      <c r="AV375" s="1" t="s">
        <v>1648</v>
      </c>
      <c r="AW375" s="1">
        <v>2053</v>
      </c>
      <c r="AX375" s="1">
        <v>1206</v>
      </c>
      <c r="AY375" s="1">
        <v>662</v>
      </c>
      <c r="AZ375" s="1">
        <v>166</v>
      </c>
      <c r="BA375" s="1">
        <v>19</v>
      </c>
      <c r="BB375" s="1">
        <v>0</v>
      </c>
      <c r="BC375" s="1">
        <v>0</v>
      </c>
      <c r="BD375" s="1">
        <v>0</v>
      </c>
      <c r="BE375" s="1">
        <v>0</v>
      </c>
      <c r="BF375" s="1">
        <v>0</v>
      </c>
      <c r="BG375" s="1">
        <v>0</v>
      </c>
      <c r="BH375" s="4">
        <v>0</v>
      </c>
      <c r="BI375" s="4">
        <v>23.978999999999999</v>
      </c>
      <c r="BJ375" s="4">
        <v>12.649975</v>
      </c>
      <c r="BK375" s="4">
        <v>0</v>
      </c>
      <c r="BL375" s="4">
        <v>8.9740529999999996</v>
      </c>
      <c r="BM375" s="4">
        <v>80.533632999999995</v>
      </c>
      <c r="BN375" s="4">
        <v>0.70941299999999996</v>
      </c>
      <c r="BO375" s="4">
        <v>19.765999000000001</v>
      </c>
      <c r="BP375" s="4">
        <v>-0.56064000000000003</v>
      </c>
      <c r="BQ375" s="4">
        <v>1.4906330000000001</v>
      </c>
      <c r="BR375" s="4">
        <v>8.2874859999999995</v>
      </c>
      <c r="BS375" s="4">
        <v>3.2940010000000002</v>
      </c>
      <c r="BT375" s="4">
        <v>17.712</v>
      </c>
      <c r="BU375" s="4">
        <v>12.649975</v>
      </c>
      <c r="BV375" s="4">
        <v>4.7547350000000002</v>
      </c>
      <c r="BW375" s="4">
        <v>-0.88847200000000004</v>
      </c>
      <c r="BX375" s="4">
        <v>-0.507494</v>
      </c>
      <c r="BY375" s="4">
        <v>0.37586900000000001</v>
      </c>
      <c r="BZ375" s="4">
        <v>-0.18686</v>
      </c>
      <c r="CA375" s="4">
        <v>-0.106734</v>
      </c>
      <c r="CB375" s="4">
        <v>2E-3</v>
      </c>
      <c r="CC375" s="4">
        <v>1.2E-2</v>
      </c>
      <c r="CD375" s="4">
        <v>2.5999999999999999E-2</v>
      </c>
      <c r="CE375" s="4">
        <v>7.9000000000000001E-2</v>
      </c>
      <c r="CF375" s="4">
        <v>0.13800000000000001</v>
      </c>
      <c r="CG375" s="4">
        <v>0.38279999999999997</v>
      </c>
      <c r="CH375" s="4">
        <v>15.438999000000001</v>
      </c>
      <c r="CI375" s="4">
        <v>17.712</v>
      </c>
      <c r="CJ375" s="4">
        <v>18.695</v>
      </c>
      <c r="CK375" s="4">
        <v>19.499001</v>
      </c>
      <c r="CL375" s="4">
        <v>19.903998999999999</v>
      </c>
      <c r="CM375" s="4">
        <v>20.285</v>
      </c>
      <c r="CN375" s="4">
        <v>21.155398999999999</v>
      </c>
      <c r="CO375" s="4">
        <v>21.776800000000001</v>
      </c>
      <c r="CP375" s="4">
        <v>22.84272</v>
      </c>
      <c r="CQ375" s="4">
        <v>0.52754400000000001</v>
      </c>
      <c r="CR375" s="4">
        <v>15.508587</v>
      </c>
      <c r="CS375" s="4">
        <v>16.71979</v>
      </c>
      <c r="CT375" s="1">
        <v>24</v>
      </c>
      <c r="CU375" s="1">
        <v>797</v>
      </c>
      <c r="CV375" s="4">
        <v>195.87822700000001</v>
      </c>
      <c r="CW375" s="4">
        <v>36.269841</v>
      </c>
      <c r="CX375" s="4">
        <v>148.76390900000001</v>
      </c>
      <c r="CY375" s="4">
        <v>22130.700560000001</v>
      </c>
      <c r="CZ375" s="4">
        <v>0.75947100000000001</v>
      </c>
      <c r="DA375" s="4">
        <v>186</v>
      </c>
      <c r="DB375" s="4">
        <v>1.308106</v>
      </c>
      <c r="DC375" s="4">
        <v>4.5574389999999996</v>
      </c>
      <c r="DD375" s="4">
        <v>114.574432</v>
      </c>
      <c r="DE375" s="4">
        <v>195.87822700000001</v>
      </c>
      <c r="DF375" s="4">
        <v>78.929042999999993</v>
      </c>
      <c r="DG375" s="4">
        <v>20.68027</v>
      </c>
      <c r="DH375" s="4">
        <v>10.126625000000001</v>
      </c>
      <c r="DI375" s="4">
        <v>0.40294999999999997</v>
      </c>
      <c r="DJ375" s="4">
        <v>0.26201099999999999</v>
      </c>
      <c r="DK375" s="4">
        <v>0.1283</v>
      </c>
      <c r="DL375" s="4">
        <v>27</v>
      </c>
      <c r="DM375" s="4">
        <v>36</v>
      </c>
      <c r="DN375" s="4">
        <v>45</v>
      </c>
      <c r="DO375" s="4">
        <v>65</v>
      </c>
      <c r="DP375" s="4">
        <v>78</v>
      </c>
      <c r="DQ375" s="4">
        <v>92.599975999999998</v>
      </c>
      <c r="DR375" s="4">
        <v>127</v>
      </c>
      <c r="DS375" s="4">
        <v>164</v>
      </c>
      <c r="DT375" s="4">
        <v>200.199951</v>
      </c>
      <c r="DU375" s="4">
        <v>237</v>
      </c>
      <c r="DV375" s="4">
        <v>264</v>
      </c>
      <c r="DW375" s="4">
        <v>294.59997600000003</v>
      </c>
      <c r="DX375" s="4">
        <v>395</v>
      </c>
      <c r="DY375" s="4">
        <v>527.40002400000003</v>
      </c>
      <c r="DZ375" s="4">
        <v>680.91992200000004</v>
      </c>
      <c r="EA375" s="4">
        <v>87.396351999999993</v>
      </c>
      <c r="EB375" s="4">
        <v>68.241597999999996</v>
      </c>
      <c r="EC375" s="4">
        <v>116.16915400000001</v>
      </c>
      <c r="ED375" s="4">
        <v>1054</v>
      </c>
      <c r="EE375" s="4">
        <v>1401</v>
      </c>
      <c r="EF375" s="4">
        <v>84.162520999999998</v>
      </c>
      <c r="EG375" s="4">
        <v>99.917080999999996</v>
      </c>
      <c r="EH375" s="4">
        <v>62.981003000000001</v>
      </c>
      <c r="EI375" s="4">
        <v>99.707745000000003</v>
      </c>
      <c r="EJ375" s="4">
        <v>107.21393</v>
      </c>
      <c r="EK375" s="4">
        <v>169.73465999999999</v>
      </c>
      <c r="EL375" s="4">
        <v>1015</v>
      </c>
      <c r="EM375" s="4">
        <v>1205</v>
      </c>
      <c r="EN375" s="4">
        <v>1293</v>
      </c>
      <c r="EO375" s="4">
        <v>2047</v>
      </c>
      <c r="EP375" s="4">
        <v>1206</v>
      </c>
      <c r="EQ375" s="4">
        <v>2053</v>
      </c>
      <c r="ER375" s="4">
        <v>54.345886999999998</v>
      </c>
    </row>
    <row r="376" spans="1:148" x14ac:dyDescent="0.2">
      <c r="A376" s="1">
        <v>2025</v>
      </c>
      <c r="B376" s="1" t="str">
        <f t="shared" si="10"/>
        <v>NE</v>
      </c>
      <c r="C376" s="1" t="s">
        <v>1650</v>
      </c>
      <c r="D376" s="1" t="s">
        <v>1650</v>
      </c>
      <c r="E376" s="1">
        <v>29069</v>
      </c>
      <c r="F376" s="1" t="s">
        <v>2201</v>
      </c>
      <c r="G376" s="1" t="s">
        <v>2020</v>
      </c>
      <c r="H376" s="1" t="s">
        <v>1951</v>
      </c>
      <c r="I376" s="1">
        <v>83.64</v>
      </c>
      <c r="J376" s="1">
        <v>83.64</v>
      </c>
      <c r="K376" s="1" t="s">
        <v>434</v>
      </c>
      <c r="L376" s="1">
        <v>1</v>
      </c>
      <c r="M376" s="3">
        <v>2021</v>
      </c>
      <c r="O376" s="1">
        <v>2</v>
      </c>
      <c r="P376" s="1" t="str">
        <f t="shared" si="11"/>
        <v>Talhadia</v>
      </c>
      <c r="Q376" s="2">
        <v>44439</v>
      </c>
      <c r="R376" s="1" t="s">
        <v>169</v>
      </c>
      <c r="S376" s="1" t="s">
        <v>287</v>
      </c>
      <c r="T376" s="1" t="s">
        <v>2268</v>
      </c>
      <c r="U376" s="1" t="s">
        <v>151</v>
      </c>
      <c r="V376" s="1" t="s">
        <v>152</v>
      </c>
      <c r="W376" s="2">
        <v>44776</v>
      </c>
      <c r="X376" s="1" t="s">
        <v>2200</v>
      </c>
      <c r="Y376" s="1">
        <v>294.7</v>
      </c>
      <c r="Z376" s="1">
        <v>18.600000000000001</v>
      </c>
      <c r="AA376" s="1">
        <v>20</v>
      </c>
      <c r="AB376" s="1">
        <v>15.4</v>
      </c>
      <c r="AC376" s="1">
        <v>6</v>
      </c>
      <c r="AD376" s="3">
        <v>286.44</v>
      </c>
      <c r="AE376" s="3">
        <v>267.69103722821501</v>
      </c>
      <c r="AF376" s="2">
        <v>45756</v>
      </c>
      <c r="AG376" s="1">
        <v>44</v>
      </c>
      <c r="AH376" s="3">
        <v>3.60574948665298</v>
      </c>
      <c r="AI376" s="4">
        <v>19.179061563507702</v>
      </c>
      <c r="AJ376" s="4">
        <v>14.647826086956499</v>
      </c>
      <c r="AK376" s="4">
        <v>15.065215712073</v>
      </c>
      <c r="AL376" s="1">
        <v>23</v>
      </c>
      <c r="AM376" s="5">
        <v>859.19948004802995</v>
      </c>
      <c r="AN376" s="4">
        <v>118.76026208783099</v>
      </c>
      <c r="AO376" s="4">
        <v>0.13822199017298301</v>
      </c>
      <c r="AP376" s="1" t="s">
        <v>287</v>
      </c>
      <c r="AQ376" s="1" t="s">
        <v>254</v>
      </c>
      <c r="AR376" s="1" t="s">
        <v>500</v>
      </c>
      <c r="AS376" s="1">
        <v>9</v>
      </c>
      <c r="AT376" s="4">
        <v>0.77327953204322697</v>
      </c>
      <c r="AU376" s="1" t="s">
        <v>1649</v>
      </c>
      <c r="AV376" s="1" t="s">
        <v>1650</v>
      </c>
      <c r="AW376" s="1">
        <v>2165</v>
      </c>
      <c r="AX376" s="1">
        <v>1250</v>
      </c>
      <c r="AY376" s="1">
        <v>702</v>
      </c>
      <c r="AZ376" s="1">
        <v>186</v>
      </c>
      <c r="BA376" s="1">
        <v>26</v>
      </c>
      <c r="BB376" s="1">
        <v>1</v>
      </c>
      <c r="BC376" s="1">
        <v>0</v>
      </c>
      <c r="BD376" s="1">
        <v>0</v>
      </c>
      <c r="BE376" s="1">
        <v>0</v>
      </c>
      <c r="BF376" s="1">
        <v>0</v>
      </c>
      <c r="BG376" s="1">
        <v>0</v>
      </c>
      <c r="BH376" s="4">
        <v>0</v>
      </c>
      <c r="BI376" s="4">
        <v>23.311001000000001</v>
      </c>
      <c r="BJ376" s="4">
        <v>11.889485000000001</v>
      </c>
      <c r="BK376" s="4">
        <v>0</v>
      </c>
      <c r="BL376" s="4">
        <v>9.4428809999999999</v>
      </c>
      <c r="BM376" s="4">
        <v>89.168006000000005</v>
      </c>
      <c r="BN376" s="4">
        <v>0.79422099999999995</v>
      </c>
      <c r="BO376" s="4">
        <v>20.190000000000001</v>
      </c>
      <c r="BP376" s="4">
        <v>-0.34213300000000002</v>
      </c>
      <c r="BQ376" s="4">
        <v>1.2374050000000001</v>
      </c>
      <c r="BR376" s="4">
        <v>9.0508670000000002</v>
      </c>
      <c r="BS376" s="4">
        <v>3.8620000000000001</v>
      </c>
      <c r="BT376" s="4">
        <v>17.658999999999999</v>
      </c>
      <c r="BU376" s="4">
        <v>11.889485000000001</v>
      </c>
      <c r="BV376" s="4">
        <v>5.028994</v>
      </c>
      <c r="BW376" s="4">
        <v>-0.57406999999999997</v>
      </c>
      <c r="BX376" s="4">
        <v>-0.84886799999999996</v>
      </c>
      <c r="BY376" s="4">
        <v>0.42297800000000002</v>
      </c>
      <c r="BZ376" s="4">
        <v>-0.114152</v>
      </c>
      <c r="CA376" s="4">
        <v>-0.168795</v>
      </c>
      <c r="CB376" s="4">
        <v>1.64E-3</v>
      </c>
      <c r="CC376" s="4">
        <v>8.0000000000000002E-3</v>
      </c>
      <c r="CD376" s="4">
        <v>1.9E-2</v>
      </c>
      <c r="CE376" s="4">
        <v>4.5999999999999999E-2</v>
      </c>
      <c r="CF376" s="4">
        <v>7.0999999999999994E-2</v>
      </c>
      <c r="CG376" s="4">
        <v>0.13819999999999999</v>
      </c>
      <c r="CH376" s="4">
        <v>9.5847999999999995</v>
      </c>
      <c r="CI376" s="4">
        <v>17.658999999999999</v>
      </c>
      <c r="CJ376" s="4">
        <v>19.041799999999999</v>
      </c>
      <c r="CK376" s="4">
        <v>19.919001000000002</v>
      </c>
      <c r="CL376" s="4">
        <v>20.260999999999999</v>
      </c>
      <c r="CM376" s="4">
        <v>20.610800000000001</v>
      </c>
      <c r="CN376" s="4">
        <v>21.3262</v>
      </c>
      <c r="CO376" s="4">
        <v>21.841200000000001</v>
      </c>
      <c r="CP376" s="4">
        <v>22.475441</v>
      </c>
      <c r="CQ376" s="4">
        <v>0.51003799999999999</v>
      </c>
      <c r="CR376" s="4">
        <v>15.181787999999999</v>
      </c>
      <c r="CS376" s="4">
        <v>16.596935999999999</v>
      </c>
      <c r="CT376" s="1">
        <v>24</v>
      </c>
      <c r="CU376" s="1">
        <v>939</v>
      </c>
      <c r="CV376" s="4">
        <v>206.38383400000001</v>
      </c>
      <c r="CW376" s="4">
        <v>38.523809999999997</v>
      </c>
      <c r="CX376" s="4">
        <v>166.885898</v>
      </c>
      <c r="CY376" s="4">
        <v>27850.902969999999</v>
      </c>
      <c r="CZ376" s="4">
        <v>0.80861899999999998</v>
      </c>
      <c r="DA376" s="4">
        <v>222</v>
      </c>
      <c r="DB376" s="4">
        <v>1.257134</v>
      </c>
      <c r="DC376" s="4">
        <v>4.2889850000000003</v>
      </c>
      <c r="DD376" s="4">
        <v>131.919037</v>
      </c>
      <c r="DE376" s="4">
        <v>206.38383400000001</v>
      </c>
      <c r="DF376" s="4">
        <v>88.824539000000001</v>
      </c>
      <c r="DG376" s="4">
        <v>24.835027</v>
      </c>
      <c r="DH376" s="4">
        <v>9.1669900000000002</v>
      </c>
      <c r="DI376" s="4">
        <v>0.43038500000000002</v>
      </c>
      <c r="DJ376" s="4">
        <v>0.27959600000000001</v>
      </c>
      <c r="DK376" s="4">
        <v>0.103203</v>
      </c>
      <c r="DL376" s="4">
        <v>28</v>
      </c>
      <c r="DM376" s="4">
        <v>36</v>
      </c>
      <c r="DN376" s="4">
        <v>43</v>
      </c>
      <c r="DO376" s="4">
        <v>60</v>
      </c>
      <c r="DP376" s="4">
        <v>72</v>
      </c>
      <c r="DQ376" s="4">
        <v>87</v>
      </c>
      <c r="DR376" s="4">
        <v>118</v>
      </c>
      <c r="DS376" s="4">
        <v>159</v>
      </c>
      <c r="DT376" s="4">
        <v>203.400024</v>
      </c>
      <c r="DU376" s="4">
        <v>259</v>
      </c>
      <c r="DV376" s="4">
        <v>294</v>
      </c>
      <c r="DW376" s="4">
        <v>330</v>
      </c>
      <c r="DX376" s="4">
        <v>449.59997600000003</v>
      </c>
      <c r="DY376" s="4">
        <v>543</v>
      </c>
      <c r="DZ376" s="4">
        <v>739.60107400000004</v>
      </c>
      <c r="EA376" s="4">
        <v>86.16</v>
      </c>
      <c r="EB376" s="4">
        <v>62.817551999999999</v>
      </c>
      <c r="EC376" s="4">
        <v>108.8</v>
      </c>
      <c r="ED376" s="4">
        <v>1077</v>
      </c>
      <c r="EE376" s="4">
        <v>1360</v>
      </c>
      <c r="EF376" s="4">
        <v>83.28</v>
      </c>
      <c r="EG376" s="4">
        <v>99.92</v>
      </c>
      <c r="EH376" s="4">
        <v>58.429561</v>
      </c>
      <c r="EI376" s="4">
        <v>99.491917000000001</v>
      </c>
      <c r="EJ376" s="4">
        <v>101.2</v>
      </c>
      <c r="EK376" s="4">
        <v>172.32</v>
      </c>
      <c r="EL376" s="4">
        <v>1041</v>
      </c>
      <c r="EM376" s="4">
        <v>1249</v>
      </c>
      <c r="EN376" s="4">
        <v>1265</v>
      </c>
      <c r="EO376" s="4">
        <v>2154</v>
      </c>
      <c r="EP376" s="4">
        <v>1250</v>
      </c>
      <c r="EQ376" s="4">
        <v>2165</v>
      </c>
      <c r="ER376" s="4">
        <v>51.865591000000002</v>
      </c>
    </row>
    <row r="377" spans="1:148" x14ac:dyDescent="0.2">
      <c r="A377" s="1">
        <v>2025</v>
      </c>
      <c r="B377" s="1" t="str">
        <f t="shared" si="10"/>
        <v>NE</v>
      </c>
      <c r="C377" s="1" t="s">
        <v>1652</v>
      </c>
      <c r="D377" s="1" t="s">
        <v>1652</v>
      </c>
      <c r="E377" s="1">
        <v>26653</v>
      </c>
      <c r="F377" s="1" t="s">
        <v>2202</v>
      </c>
      <c r="G377" s="1" t="s">
        <v>2021</v>
      </c>
      <c r="H377" s="1" t="s">
        <v>1952</v>
      </c>
      <c r="I377" s="1">
        <v>43.14</v>
      </c>
      <c r="J377" s="1">
        <v>43.14</v>
      </c>
      <c r="K377" s="1" t="s">
        <v>434</v>
      </c>
      <c r="L377" s="1">
        <v>1</v>
      </c>
      <c r="M377" s="3">
        <v>2018</v>
      </c>
      <c r="O377" s="1">
        <v>2</v>
      </c>
      <c r="P377" s="1" t="str">
        <f t="shared" si="11"/>
        <v>Talhadia</v>
      </c>
      <c r="Q377" s="2">
        <v>43429</v>
      </c>
      <c r="R377" s="1" t="s">
        <v>306</v>
      </c>
      <c r="S377" s="1" t="s">
        <v>163</v>
      </c>
      <c r="T377" s="1" t="s">
        <v>2268</v>
      </c>
      <c r="U377" s="1" t="s">
        <v>151</v>
      </c>
      <c r="V377" s="1" t="s">
        <v>152</v>
      </c>
      <c r="W377" s="2">
        <v>45743</v>
      </c>
      <c r="X377" s="1" t="s">
        <v>2203</v>
      </c>
      <c r="Y377" s="1">
        <v>309.96999999999997</v>
      </c>
      <c r="Z377" s="1">
        <v>18.600000000000001</v>
      </c>
      <c r="AA377" s="1">
        <v>29</v>
      </c>
      <c r="AB377" s="1">
        <v>14</v>
      </c>
      <c r="AC377" s="1">
        <v>12</v>
      </c>
      <c r="AD377" s="3">
        <v>260.39999999999998</v>
      </c>
      <c r="AE377" s="3">
        <v>222.77406657139201</v>
      </c>
      <c r="AF377" s="2">
        <v>45743</v>
      </c>
      <c r="AG377" s="1">
        <v>76</v>
      </c>
      <c r="AH377" s="3">
        <v>6.3353867214236796</v>
      </c>
      <c r="AI377" s="4">
        <v>29.986766988397498</v>
      </c>
      <c r="AJ377" s="4">
        <v>17.840909090909101</v>
      </c>
      <c r="AK377" s="4">
        <v>24.866421724935599</v>
      </c>
      <c r="AL377" s="1">
        <v>22</v>
      </c>
      <c r="AM377" s="5">
        <v>987.54762341018204</v>
      </c>
      <c r="AN377" s="4">
        <v>325.94728101458998</v>
      </c>
      <c r="AO377" s="4">
        <v>0.33005727854322098</v>
      </c>
      <c r="AP377" s="1" t="s">
        <v>163</v>
      </c>
      <c r="AQ377" s="1" t="s">
        <v>254</v>
      </c>
      <c r="AR377" s="1" t="s">
        <v>500</v>
      </c>
      <c r="AS377" s="1">
        <v>9.99</v>
      </c>
      <c r="AT377" s="4">
        <v>0.98656007578677185</v>
      </c>
      <c r="AU377" s="1" t="s">
        <v>1651</v>
      </c>
      <c r="AV377" s="1" t="s">
        <v>1652</v>
      </c>
      <c r="AW377" s="1">
        <v>956</v>
      </c>
      <c r="AX377" s="1">
        <v>464</v>
      </c>
      <c r="AY377" s="1">
        <v>336</v>
      </c>
      <c r="AZ377" s="1">
        <v>132</v>
      </c>
      <c r="BA377" s="1">
        <v>22</v>
      </c>
      <c r="BB377" s="1">
        <v>2</v>
      </c>
      <c r="BC377" s="1">
        <v>0</v>
      </c>
      <c r="BD377" s="1">
        <v>0</v>
      </c>
      <c r="BE377" s="1">
        <v>0</v>
      </c>
      <c r="BF377" s="1">
        <v>0</v>
      </c>
      <c r="BG377" s="1">
        <v>0</v>
      </c>
      <c r="BH377" s="4">
        <v>1E-3</v>
      </c>
      <c r="BI377" s="4">
        <v>34.318001000000002</v>
      </c>
      <c r="BJ377" s="4">
        <v>20.012291000000001</v>
      </c>
      <c r="BK377" s="4">
        <v>1E-3</v>
      </c>
      <c r="BL377" s="4">
        <v>11.779375999999999</v>
      </c>
      <c r="BM377" s="4">
        <v>138.75369000000001</v>
      </c>
      <c r="BN377" s="4">
        <v>0.58860699999999999</v>
      </c>
      <c r="BO377" s="4">
        <v>19.266749999999998</v>
      </c>
      <c r="BP377" s="4">
        <v>-0.77599700000000005</v>
      </c>
      <c r="BQ377" s="4">
        <v>2.017525</v>
      </c>
      <c r="BR377" s="4">
        <v>10.040649999999999</v>
      </c>
      <c r="BS377" s="4">
        <v>5.8224980000000004</v>
      </c>
      <c r="BT377" s="4">
        <v>24.531502</v>
      </c>
      <c r="BU377" s="4">
        <v>20.012291000000001</v>
      </c>
      <c r="BV377" s="4">
        <v>6.3472489999999997</v>
      </c>
      <c r="BW377" s="4">
        <v>-1.51705</v>
      </c>
      <c r="BX377" s="4">
        <v>-8.1284999999999996E-2</v>
      </c>
      <c r="BY377" s="4">
        <v>0.31716800000000001</v>
      </c>
      <c r="BZ377" s="4">
        <v>-0.239009</v>
      </c>
      <c r="CA377" s="4">
        <v>-1.2806E-2</v>
      </c>
      <c r="CB377" s="4">
        <v>3.5500000000000002E-3</v>
      </c>
      <c r="CC377" s="4">
        <v>2.2749999999999999E-2</v>
      </c>
      <c r="CD377" s="4">
        <v>6.8500000000000005E-2</v>
      </c>
      <c r="CE377" s="4">
        <v>1.6020000000000001</v>
      </c>
      <c r="CF377" s="4">
        <v>10.085751</v>
      </c>
      <c r="CG377" s="4">
        <v>17.534500000000001</v>
      </c>
      <c r="CH377" s="4">
        <v>22.094999000000001</v>
      </c>
      <c r="CI377" s="4">
        <v>24.532501</v>
      </c>
      <c r="CJ377" s="4">
        <v>27.172999999999998</v>
      </c>
      <c r="CK377" s="4">
        <v>28.825500000000002</v>
      </c>
      <c r="CL377" s="4">
        <v>29.352501</v>
      </c>
      <c r="CM377" s="4">
        <v>30.138000000000002</v>
      </c>
      <c r="CN377" s="4">
        <v>31.5625</v>
      </c>
      <c r="CO377" s="4">
        <v>32.275748999999998</v>
      </c>
      <c r="CP377" s="4">
        <v>33.200499999999998</v>
      </c>
      <c r="CQ377" s="4">
        <v>0.58313099999999995</v>
      </c>
      <c r="CR377" s="4">
        <v>23.218533999999998</v>
      </c>
      <c r="CS377" s="4">
        <v>24.700085000000001</v>
      </c>
      <c r="CT377" s="1">
        <v>22</v>
      </c>
      <c r="CU377" s="1">
        <v>438</v>
      </c>
      <c r="CV377" s="4">
        <v>94.830544000000003</v>
      </c>
      <c r="CW377" s="4">
        <v>41.809524000000003</v>
      </c>
      <c r="CX377" s="4">
        <v>64.598951999999997</v>
      </c>
      <c r="CY377" s="4">
        <v>4173.0246580000003</v>
      </c>
      <c r="CZ377" s="4">
        <v>0.68120400000000003</v>
      </c>
      <c r="DA377" s="4">
        <v>74</v>
      </c>
      <c r="DB377" s="4">
        <v>1.9382889999999999</v>
      </c>
      <c r="DC377" s="4">
        <v>8.0514550000000007</v>
      </c>
      <c r="DD377" s="4">
        <v>47.263677000000001</v>
      </c>
      <c r="DE377" s="4">
        <v>94.830544000000003</v>
      </c>
      <c r="DF377" s="4">
        <v>32.442985</v>
      </c>
      <c r="DG377" s="4">
        <v>10.02488</v>
      </c>
      <c r="DH377" s="4">
        <v>5.4388870000000002</v>
      </c>
      <c r="DI377" s="4">
        <v>0.342115</v>
      </c>
      <c r="DJ377" s="4">
        <v>0.309</v>
      </c>
      <c r="DK377" s="4">
        <v>0.16764399999999999</v>
      </c>
      <c r="DL377" s="4">
        <v>26</v>
      </c>
      <c r="DM377" s="4">
        <v>32</v>
      </c>
      <c r="DN377" s="4">
        <v>36</v>
      </c>
      <c r="DO377" s="4">
        <v>43</v>
      </c>
      <c r="DP377" s="4">
        <v>48</v>
      </c>
      <c r="DQ377" s="4">
        <v>53</v>
      </c>
      <c r="DR377" s="4">
        <v>64</v>
      </c>
      <c r="DS377" s="4">
        <v>77</v>
      </c>
      <c r="DT377" s="4">
        <v>93</v>
      </c>
      <c r="DU377" s="4">
        <v>113</v>
      </c>
      <c r="DV377" s="4">
        <v>122</v>
      </c>
      <c r="DW377" s="4">
        <v>135</v>
      </c>
      <c r="DX377" s="4">
        <v>167.5</v>
      </c>
      <c r="DY377" s="4">
        <v>212.25</v>
      </c>
      <c r="DZ377" s="4">
        <v>332.25006100000002</v>
      </c>
      <c r="EA377" s="4">
        <v>95.258621000000005</v>
      </c>
      <c r="EB377" s="4">
        <v>78.347279999999998</v>
      </c>
      <c r="EC377" s="4">
        <v>161.422414</v>
      </c>
      <c r="ED377" s="4">
        <v>442</v>
      </c>
      <c r="EE377" s="4">
        <v>749</v>
      </c>
      <c r="EF377" s="4">
        <v>88.362069000000005</v>
      </c>
      <c r="EG377" s="4">
        <v>100</v>
      </c>
      <c r="EH377" s="4">
        <v>65.271967000000004</v>
      </c>
      <c r="EI377" s="4">
        <v>99.581590000000006</v>
      </c>
      <c r="EJ377" s="4">
        <v>134.48275899999999</v>
      </c>
      <c r="EK377" s="4">
        <v>205.172414</v>
      </c>
      <c r="EL377" s="4">
        <v>410</v>
      </c>
      <c r="EM377" s="4">
        <v>464</v>
      </c>
      <c r="EN377" s="4">
        <v>624</v>
      </c>
      <c r="EO377" s="4">
        <v>952</v>
      </c>
      <c r="EP377" s="4">
        <v>464</v>
      </c>
      <c r="EQ377" s="4">
        <v>956</v>
      </c>
      <c r="ER377" s="4">
        <v>59.296661999999998</v>
      </c>
    </row>
    <row r="378" spans="1:148" x14ac:dyDescent="0.2">
      <c r="A378" s="1">
        <v>2025</v>
      </c>
      <c r="B378" s="1" t="str">
        <f t="shared" si="10"/>
        <v>NE</v>
      </c>
      <c r="C378" s="1" t="s">
        <v>1654</v>
      </c>
      <c r="D378" s="1" t="s">
        <v>1654</v>
      </c>
      <c r="E378" s="1">
        <v>30897</v>
      </c>
      <c r="F378" s="1" t="s">
        <v>2202</v>
      </c>
      <c r="G378" s="1" t="s">
        <v>2021</v>
      </c>
      <c r="H378" s="1" t="s">
        <v>1952</v>
      </c>
      <c r="I378" s="1">
        <v>43.14</v>
      </c>
      <c r="J378" s="1">
        <v>43.14</v>
      </c>
      <c r="K378" s="1" t="s">
        <v>434</v>
      </c>
      <c r="L378" s="1">
        <v>1</v>
      </c>
      <c r="M378" s="3">
        <v>2018</v>
      </c>
      <c r="O378" s="1">
        <v>2</v>
      </c>
      <c r="P378" s="1" t="str">
        <f t="shared" si="11"/>
        <v>Talhadia</v>
      </c>
      <c r="Q378" s="2">
        <v>43429</v>
      </c>
      <c r="R378" s="1" t="s">
        <v>306</v>
      </c>
      <c r="S378" s="1" t="s">
        <v>163</v>
      </c>
      <c r="T378" s="1" t="s">
        <v>2268</v>
      </c>
      <c r="U378" s="1" t="s">
        <v>151</v>
      </c>
      <c r="V378" s="1" t="s">
        <v>152</v>
      </c>
      <c r="W378" s="2">
        <v>44777</v>
      </c>
      <c r="X378" s="1" t="s">
        <v>2203</v>
      </c>
      <c r="Y378" s="1">
        <v>309.96999999999997</v>
      </c>
      <c r="Z378" s="1">
        <v>21.5</v>
      </c>
      <c r="AA378" s="1">
        <v>20</v>
      </c>
      <c r="AB378" s="1">
        <v>15.2</v>
      </c>
      <c r="AC378" s="1">
        <v>10</v>
      </c>
      <c r="AD378" s="3">
        <v>326.8</v>
      </c>
      <c r="AE378" s="3">
        <v>302.42613782057202</v>
      </c>
      <c r="AF378" s="2">
        <v>45743</v>
      </c>
      <c r="AG378" s="1">
        <v>76</v>
      </c>
      <c r="AH378" s="3">
        <v>6.3353867214236796</v>
      </c>
      <c r="AI378" s="4">
        <v>26.923891903011</v>
      </c>
      <c r="AJ378" s="4">
        <v>17.133333333333301</v>
      </c>
      <c r="AK378" s="4">
        <v>19.2850005107525</v>
      </c>
      <c r="AL378" s="1">
        <v>24</v>
      </c>
      <c r="AM378" s="5">
        <v>793.58220069718595</v>
      </c>
      <c r="AN378" s="4">
        <v>235.52119851050699</v>
      </c>
      <c r="AO378" s="4">
        <v>0.29678236016835302</v>
      </c>
      <c r="AP378" s="1" t="s">
        <v>163</v>
      </c>
      <c r="AQ378" s="1" t="s">
        <v>254</v>
      </c>
      <c r="AR378" s="1" t="s">
        <v>500</v>
      </c>
      <c r="AS378" s="1">
        <v>9.99</v>
      </c>
      <c r="AT378" s="4">
        <v>0.79278861849648874</v>
      </c>
      <c r="AU378" s="1" t="s">
        <v>1653</v>
      </c>
      <c r="AV378" s="1" t="s">
        <v>1654</v>
      </c>
      <c r="AW378" s="1">
        <v>1194</v>
      </c>
      <c r="AX378" s="1">
        <v>677</v>
      </c>
      <c r="AY378" s="1">
        <v>381</v>
      </c>
      <c r="AZ378" s="1">
        <v>121</v>
      </c>
      <c r="BA378" s="1">
        <v>14</v>
      </c>
      <c r="BB378" s="1">
        <v>1</v>
      </c>
      <c r="BC378" s="1">
        <v>0</v>
      </c>
      <c r="BD378" s="1">
        <v>0</v>
      </c>
      <c r="BE378" s="1">
        <v>0</v>
      </c>
      <c r="BF378" s="1">
        <v>0</v>
      </c>
      <c r="BG378" s="1">
        <v>0</v>
      </c>
      <c r="BH378" s="4">
        <v>0</v>
      </c>
      <c r="BI378" s="4">
        <v>34.978999999999999</v>
      </c>
      <c r="BJ378" s="4">
        <v>17.173977000000001</v>
      </c>
      <c r="BK378" s="4">
        <v>0</v>
      </c>
      <c r="BL378" s="4">
        <v>12.270479999999999</v>
      </c>
      <c r="BM378" s="4">
        <v>150.564671</v>
      </c>
      <c r="BN378" s="4">
        <v>0.71448100000000003</v>
      </c>
      <c r="BO378" s="4">
        <v>27.991</v>
      </c>
      <c r="BP378" s="4">
        <v>-0.351435</v>
      </c>
      <c r="BQ378" s="4">
        <v>1.5508850000000001</v>
      </c>
      <c r="BR378" s="4">
        <v>10.950934999999999</v>
      </c>
      <c r="BS378" s="4">
        <v>9.2974990000000002</v>
      </c>
      <c r="BT378" s="4">
        <v>20.745501000000001</v>
      </c>
      <c r="BU378" s="4">
        <v>17.173977000000001</v>
      </c>
      <c r="BV378" s="4">
        <v>6.8645810000000003</v>
      </c>
      <c r="BW378" s="4">
        <v>-0.64321799999999996</v>
      </c>
      <c r="BX378" s="4">
        <v>-0.60789099999999996</v>
      </c>
      <c r="BY378" s="4">
        <v>0.39970800000000001</v>
      </c>
      <c r="BZ378" s="4">
        <v>-9.3701000000000007E-2</v>
      </c>
      <c r="CA378" s="4">
        <v>-8.8554999999999995E-2</v>
      </c>
      <c r="CB378" s="4">
        <v>3.0000000000000001E-3</v>
      </c>
      <c r="CC378" s="4">
        <v>1.065E-2</v>
      </c>
      <c r="CD378" s="4">
        <v>2.1999999999999999E-2</v>
      </c>
      <c r="CE378" s="4">
        <v>7.0999999999999994E-2</v>
      </c>
      <c r="CF378" s="4">
        <v>0.16950000000000001</v>
      </c>
      <c r="CG378" s="4">
        <v>8.4765979999999992</v>
      </c>
      <c r="CH378" s="4">
        <v>16.506001000000001</v>
      </c>
      <c r="CI378" s="4">
        <v>20.745501000000001</v>
      </c>
      <c r="CJ378" s="4">
        <v>24.199200000000001</v>
      </c>
      <c r="CK378" s="4">
        <v>26.962299000000002</v>
      </c>
      <c r="CL378" s="4">
        <v>28.160499999999999</v>
      </c>
      <c r="CM378" s="4">
        <v>29.195999</v>
      </c>
      <c r="CN378" s="4">
        <v>31.2148</v>
      </c>
      <c r="CO378" s="4">
        <v>32.221747999999998</v>
      </c>
      <c r="CP378" s="4">
        <v>33.959839000000002</v>
      </c>
      <c r="CQ378" s="4">
        <v>0.49098000000000003</v>
      </c>
      <c r="CR378" s="4">
        <v>21.104123999999999</v>
      </c>
      <c r="CS378" s="4">
        <v>23.000332</v>
      </c>
      <c r="CT378" s="1">
        <v>23</v>
      </c>
      <c r="CU378" s="1">
        <v>516</v>
      </c>
      <c r="CV378" s="4">
        <v>124.06030199999999</v>
      </c>
      <c r="CW378" s="4">
        <v>46.476190000000003</v>
      </c>
      <c r="CX378" s="4">
        <v>105.075671</v>
      </c>
      <c r="CY378" s="4">
        <v>11040.89661</v>
      </c>
      <c r="CZ378" s="4">
        <v>0.84697299999999998</v>
      </c>
      <c r="DA378" s="4">
        <v>101</v>
      </c>
      <c r="DB378" s="4">
        <v>1.8394740000000001</v>
      </c>
      <c r="DC378" s="4">
        <v>5.9275479999999998</v>
      </c>
      <c r="DD378" s="4">
        <v>75.520895999999993</v>
      </c>
      <c r="DE378" s="4">
        <v>124.06030199999999</v>
      </c>
      <c r="DF378" s="4">
        <v>51.289966</v>
      </c>
      <c r="DG378" s="4">
        <v>19.949076999999999</v>
      </c>
      <c r="DH378" s="4">
        <v>10.285083</v>
      </c>
      <c r="DI378" s="4">
        <v>0.41342800000000002</v>
      </c>
      <c r="DJ378" s="4">
        <v>0.38894699999999999</v>
      </c>
      <c r="DK378" s="4">
        <v>0.20052800000000001</v>
      </c>
      <c r="DL378" s="4">
        <v>26</v>
      </c>
      <c r="DM378" s="4">
        <v>33</v>
      </c>
      <c r="DN378" s="4">
        <v>38</v>
      </c>
      <c r="DO378" s="4">
        <v>47</v>
      </c>
      <c r="DP378" s="4">
        <v>52</v>
      </c>
      <c r="DQ378" s="4">
        <v>57.899994</v>
      </c>
      <c r="DR378" s="4">
        <v>72</v>
      </c>
      <c r="DS378" s="4">
        <v>88</v>
      </c>
      <c r="DT378" s="4">
        <v>110</v>
      </c>
      <c r="DU378" s="4">
        <v>140</v>
      </c>
      <c r="DV378" s="4">
        <v>153</v>
      </c>
      <c r="DW378" s="4">
        <v>169</v>
      </c>
      <c r="DX378" s="4">
        <v>264.09985399999999</v>
      </c>
      <c r="DY378" s="4">
        <v>398</v>
      </c>
      <c r="DZ378" s="4">
        <v>482</v>
      </c>
      <c r="EA378" s="4">
        <v>85.967504000000005</v>
      </c>
      <c r="EB378" s="4">
        <v>71.356784000000005</v>
      </c>
      <c r="EC378" s="4">
        <v>125.849335</v>
      </c>
      <c r="ED378" s="4">
        <v>582</v>
      </c>
      <c r="EE378" s="4">
        <v>852</v>
      </c>
      <c r="EF378" s="4">
        <v>76.070901000000006</v>
      </c>
      <c r="EG378" s="4">
        <v>99.852289999999996</v>
      </c>
      <c r="EH378" s="4">
        <v>58.710217999999998</v>
      </c>
      <c r="EI378" s="4">
        <v>99.832496000000006</v>
      </c>
      <c r="EJ378" s="4">
        <v>103.545052</v>
      </c>
      <c r="EK378" s="4">
        <v>176.07090099999999</v>
      </c>
      <c r="EL378" s="4">
        <v>515</v>
      </c>
      <c r="EM378" s="4">
        <v>676</v>
      </c>
      <c r="EN378" s="4">
        <v>701</v>
      </c>
      <c r="EO378" s="4">
        <v>1192</v>
      </c>
      <c r="EP378" s="4">
        <v>677</v>
      </c>
      <c r="EQ378" s="4">
        <v>1194</v>
      </c>
      <c r="ER378" s="4">
        <v>49.588279</v>
      </c>
    </row>
    <row r="379" spans="1:148" x14ac:dyDescent="0.2">
      <c r="A379" s="1">
        <v>2025</v>
      </c>
      <c r="B379" s="1" t="str">
        <f t="shared" si="10"/>
        <v>NE</v>
      </c>
      <c r="C379" s="1" t="s">
        <v>1656</v>
      </c>
      <c r="D379" s="1" t="s">
        <v>1656</v>
      </c>
      <c r="E379" s="1">
        <v>26605</v>
      </c>
      <c r="F379" s="1" t="s">
        <v>2202</v>
      </c>
      <c r="G379" s="1" t="s">
        <v>2021</v>
      </c>
      <c r="H379" s="1" t="s">
        <v>1953</v>
      </c>
      <c r="I379" s="1">
        <v>44.26</v>
      </c>
      <c r="J379" s="1">
        <v>44.26</v>
      </c>
      <c r="K379" s="1" t="s">
        <v>434</v>
      </c>
      <c r="L379" s="1">
        <v>1</v>
      </c>
      <c r="M379" s="3">
        <v>2018</v>
      </c>
      <c r="O379" s="1">
        <v>2</v>
      </c>
      <c r="P379" s="1" t="str">
        <f t="shared" si="11"/>
        <v>Talhadia</v>
      </c>
      <c r="Q379" s="2">
        <v>43429</v>
      </c>
      <c r="R379" s="1" t="s">
        <v>306</v>
      </c>
      <c r="S379" s="1" t="s">
        <v>348</v>
      </c>
      <c r="T379" s="1" t="s">
        <v>2268</v>
      </c>
      <c r="U379" s="1" t="s">
        <v>151</v>
      </c>
      <c r="V379" s="1" t="s">
        <v>152</v>
      </c>
      <c r="W379" s="2">
        <v>45743</v>
      </c>
      <c r="X379" s="1" t="s">
        <v>2203</v>
      </c>
      <c r="Y379" s="1">
        <v>309.96999999999997</v>
      </c>
      <c r="Z379" s="1">
        <v>20.100000000000001</v>
      </c>
      <c r="AA379" s="1">
        <v>24</v>
      </c>
      <c r="AB379" s="1">
        <v>14.2</v>
      </c>
      <c r="AC379" s="1">
        <v>5</v>
      </c>
      <c r="AD379" s="3">
        <v>285.42</v>
      </c>
      <c r="AE379" s="3">
        <v>259.75193432964198</v>
      </c>
      <c r="AF379" s="2">
        <v>45743</v>
      </c>
      <c r="AG379" s="1">
        <v>76</v>
      </c>
      <c r="AH379" s="3">
        <v>6.3353867214236796</v>
      </c>
      <c r="AI379" s="4">
        <v>27.906946458351801</v>
      </c>
      <c r="AJ379" s="4">
        <v>19.094736842105299</v>
      </c>
      <c r="AK379" s="4">
        <v>21.208948746986099</v>
      </c>
      <c r="AL379" s="1">
        <v>19</v>
      </c>
      <c r="AM379" s="5">
        <v>731.46712262353299</v>
      </c>
      <c r="AN379" s="4">
        <v>251.04376383796401</v>
      </c>
      <c r="AO379" s="4">
        <v>0.34320580662265698</v>
      </c>
      <c r="AP379" s="1" t="s">
        <v>348</v>
      </c>
      <c r="AQ379" s="1" t="s">
        <v>254</v>
      </c>
      <c r="AR379" s="1" t="s">
        <v>500</v>
      </c>
      <c r="AS379" s="1">
        <v>9.99</v>
      </c>
      <c r="AT379" s="4">
        <v>0.73073565550090946</v>
      </c>
      <c r="AU379" s="1" t="s">
        <v>1655</v>
      </c>
      <c r="AV379" s="1" t="s">
        <v>1656</v>
      </c>
      <c r="AW379" s="1">
        <v>1069</v>
      </c>
      <c r="AX379" s="1">
        <v>564</v>
      </c>
      <c r="AY379" s="1">
        <v>356</v>
      </c>
      <c r="AZ379" s="1">
        <v>124</v>
      </c>
      <c r="BA379" s="1">
        <v>23</v>
      </c>
      <c r="BB379" s="1">
        <v>2</v>
      </c>
      <c r="BC379" s="1">
        <v>0</v>
      </c>
      <c r="BD379" s="1">
        <v>0</v>
      </c>
      <c r="BE379" s="1">
        <v>0</v>
      </c>
      <c r="BF379" s="1">
        <v>0</v>
      </c>
      <c r="BG379" s="1">
        <v>0</v>
      </c>
      <c r="BH379" s="4">
        <v>0</v>
      </c>
      <c r="BI379" s="4">
        <v>33.136001999999998</v>
      </c>
      <c r="BJ379" s="4">
        <v>16.480188999999999</v>
      </c>
      <c r="BK379" s="4">
        <v>0</v>
      </c>
      <c r="BL379" s="4">
        <v>12.588141999999999</v>
      </c>
      <c r="BM379" s="4">
        <v>158.46131299999999</v>
      </c>
      <c r="BN379" s="4">
        <v>0.76383500000000004</v>
      </c>
      <c r="BO379" s="4">
        <v>26.957000000000001</v>
      </c>
      <c r="BP379" s="4">
        <v>-0.25739899999999999</v>
      </c>
      <c r="BQ379" s="4">
        <v>1.2905979999999999</v>
      </c>
      <c r="BR379" s="4">
        <v>11.775029999999999</v>
      </c>
      <c r="BS379" s="4">
        <v>8.9180010000000003</v>
      </c>
      <c r="BT379" s="4">
        <v>21.082001000000002</v>
      </c>
      <c r="BU379" s="4">
        <v>16.480188999999999</v>
      </c>
      <c r="BV379" s="4">
        <v>6.9359200000000003</v>
      </c>
      <c r="BW379" s="4">
        <v>-0.56735599999999997</v>
      </c>
      <c r="BX379" s="4">
        <v>-1.0262089999999999</v>
      </c>
      <c r="BY379" s="4">
        <v>0.42086400000000002</v>
      </c>
      <c r="BZ379" s="4">
        <v>-8.1799999999999998E-2</v>
      </c>
      <c r="CA379" s="4">
        <v>-0.147956</v>
      </c>
      <c r="CB379" s="4">
        <v>7.0000000000000001E-3</v>
      </c>
      <c r="CC379" s="4">
        <v>3.6799999999999999E-2</v>
      </c>
      <c r="CD379" s="4">
        <v>0.1154</v>
      </c>
      <c r="CE379" s="4">
        <v>0.87519999999999998</v>
      </c>
      <c r="CF379" s="4">
        <v>1.37</v>
      </c>
      <c r="CG379" s="4">
        <v>2.0781999999999998</v>
      </c>
      <c r="CH379" s="4">
        <v>13.566807000000001</v>
      </c>
      <c r="CI379" s="4">
        <v>21.082001000000002</v>
      </c>
      <c r="CJ379" s="4">
        <v>25.631198999999999</v>
      </c>
      <c r="CK379" s="4">
        <v>27.635000000000002</v>
      </c>
      <c r="CL379" s="4">
        <v>28.327000000000002</v>
      </c>
      <c r="CM379" s="4">
        <v>28.972601000000001</v>
      </c>
      <c r="CN379" s="4">
        <v>30.138598999999999</v>
      </c>
      <c r="CO379" s="4">
        <v>30.945198000000001</v>
      </c>
      <c r="CP379" s="4">
        <v>32.018559000000003</v>
      </c>
      <c r="CQ379" s="4">
        <v>0.49735000000000001</v>
      </c>
      <c r="CR379" s="4">
        <v>20.734264</v>
      </c>
      <c r="CS379" s="4">
        <v>22.759999000000001</v>
      </c>
      <c r="CT379" s="1">
        <v>22</v>
      </c>
      <c r="CU379" s="1">
        <v>520</v>
      </c>
      <c r="CV379" s="4">
        <v>120.38073</v>
      </c>
      <c r="CW379" s="4">
        <v>45.714286000000001</v>
      </c>
      <c r="CX379" s="4">
        <v>87.865769</v>
      </c>
      <c r="CY379" s="4">
        <v>7720.3932990000003</v>
      </c>
      <c r="CZ379" s="4">
        <v>0.72989899999999996</v>
      </c>
      <c r="DA379" s="4">
        <v>108</v>
      </c>
      <c r="DB379" s="4">
        <v>1.5585739999999999</v>
      </c>
      <c r="DC379" s="4">
        <v>5.7219990000000003</v>
      </c>
      <c r="DD379" s="4">
        <v>67.133499</v>
      </c>
      <c r="DE379" s="4">
        <v>120.38073</v>
      </c>
      <c r="DF379" s="4">
        <v>45.531354999999998</v>
      </c>
      <c r="DG379" s="4">
        <v>13.727715999999999</v>
      </c>
      <c r="DH379" s="4">
        <v>6.2943519999999999</v>
      </c>
      <c r="DI379" s="4">
        <v>0.37822800000000001</v>
      </c>
      <c r="DJ379" s="4">
        <v>0.30149999999999999</v>
      </c>
      <c r="DK379" s="4">
        <v>0.138242</v>
      </c>
      <c r="DL379" s="4">
        <v>27</v>
      </c>
      <c r="DM379" s="4">
        <v>32</v>
      </c>
      <c r="DN379" s="4">
        <v>37.800002999999997</v>
      </c>
      <c r="DO379" s="4">
        <v>48</v>
      </c>
      <c r="DP379" s="4">
        <v>53</v>
      </c>
      <c r="DQ379" s="4">
        <v>60</v>
      </c>
      <c r="DR379" s="4">
        <v>76</v>
      </c>
      <c r="DS379" s="4">
        <v>94</v>
      </c>
      <c r="DT379" s="4">
        <v>116.799988</v>
      </c>
      <c r="DU379" s="4">
        <v>145</v>
      </c>
      <c r="DV379" s="4">
        <v>161</v>
      </c>
      <c r="DW379" s="4">
        <v>179</v>
      </c>
      <c r="DX379" s="4">
        <v>238</v>
      </c>
      <c r="DY379" s="4">
        <v>298.399902</v>
      </c>
      <c r="DZ379" s="4">
        <v>430.279785</v>
      </c>
      <c r="EA379" s="4">
        <v>88.475177000000002</v>
      </c>
      <c r="EB379" s="4">
        <v>67.165575000000004</v>
      </c>
      <c r="EC379" s="4">
        <v>127.304965</v>
      </c>
      <c r="ED379" s="4">
        <v>499</v>
      </c>
      <c r="EE379" s="4">
        <v>718</v>
      </c>
      <c r="EF379" s="4">
        <v>80.319148999999996</v>
      </c>
      <c r="EG379" s="4">
        <v>100</v>
      </c>
      <c r="EH379" s="4">
        <v>56.688493999999999</v>
      </c>
      <c r="EI379" s="4">
        <v>99.906454999999994</v>
      </c>
      <c r="EJ379" s="4">
        <v>107.446809</v>
      </c>
      <c r="EK379" s="4">
        <v>189.36170200000001</v>
      </c>
      <c r="EL379" s="4">
        <v>453</v>
      </c>
      <c r="EM379" s="4">
        <v>564</v>
      </c>
      <c r="EN379" s="4">
        <v>606</v>
      </c>
      <c r="EO379" s="4">
        <v>1068</v>
      </c>
      <c r="EP379" s="4">
        <v>564</v>
      </c>
      <c r="EQ379" s="4">
        <v>1069</v>
      </c>
      <c r="ER379" s="4">
        <v>50.485267</v>
      </c>
    </row>
    <row r="380" spans="1:148" x14ac:dyDescent="0.2">
      <c r="A380" s="1">
        <v>2025</v>
      </c>
      <c r="B380" s="1" t="str">
        <f t="shared" si="10"/>
        <v>NE</v>
      </c>
      <c r="C380" s="1" t="s">
        <v>1658</v>
      </c>
      <c r="D380" s="1" t="s">
        <v>1658</v>
      </c>
      <c r="E380" s="1">
        <v>26606</v>
      </c>
      <c r="F380" s="1" t="s">
        <v>2202</v>
      </c>
      <c r="G380" s="1" t="s">
        <v>2021</v>
      </c>
      <c r="H380" s="1" t="s">
        <v>1953</v>
      </c>
      <c r="I380" s="1">
        <v>44.26</v>
      </c>
      <c r="J380" s="1">
        <v>44.26</v>
      </c>
      <c r="K380" s="1" t="s">
        <v>434</v>
      </c>
      <c r="L380" s="1">
        <v>1</v>
      </c>
      <c r="M380" s="3">
        <v>2018</v>
      </c>
      <c r="O380" s="1">
        <v>2</v>
      </c>
      <c r="P380" s="1" t="str">
        <f t="shared" si="11"/>
        <v>Talhadia</v>
      </c>
      <c r="Q380" s="2">
        <v>43429</v>
      </c>
      <c r="R380" s="1" t="s">
        <v>306</v>
      </c>
      <c r="S380" s="1" t="s">
        <v>348</v>
      </c>
      <c r="T380" s="1" t="s">
        <v>2268</v>
      </c>
      <c r="U380" s="1" t="s">
        <v>151</v>
      </c>
      <c r="V380" s="1" t="s">
        <v>152</v>
      </c>
      <c r="W380" s="2">
        <v>44778</v>
      </c>
      <c r="X380" s="1" t="s">
        <v>2203</v>
      </c>
      <c r="Y380" s="1">
        <v>309.96999999999997</v>
      </c>
      <c r="Z380" s="1">
        <v>20.399999999999999</v>
      </c>
      <c r="AA380" s="1">
        <v>20</v>
      </c>
      <c r="AB380" s="1">
        <v>16.2</v>
      </c>
      <c r="AC380" s="1">
        <v>0</v>
      </c>
      <c r="AD380" s="3">
        <v>330.48</v>
      </c>
      <c r="AE380" s="3">
        <v>310.54961731732698</v>
      </c>
      <c r="AF380" s="2">
        <v>45743</v>
      </c>
      <c r="AG380" s="1">
        <v>76</v>
      </c>
      <c r="AH380" s="3">
        <v>6.3353867214236796</v>
      </c>
      <c r="AI380" s="4">
        <v>23.6624362667947</v>
      </c>
      <c r="AJ380" s="4">
        <v>17.304347826087</v>
      </c>
      <c r="AK380" s="4">
        <v>18.124143998633802</v>
      </c>
      <c r="AL380" s="1">
        <v>23</v>
      </c>
      <c r="AM380" s="5">
        <v>740.62239067253699</v>
      </c>
      <c r="AN380" s="4">
        <v>183.87980729918999</v>
      </c>
      <c r="AO380" s="4">
        <v>0.248277407778901</v>
      </c>
      <c r="AP380" s="1" t="s">
        <v>348</v>
      </c>
      <c r="AQ380" s="1" t="s">
        <v>254</v>
      </c>
      <c r="AR380" s="1" t="s">
        <v>500</v>
      </c>
      <c r="AS380" s="1">
        <v>9.99</v>
      </c>
      <c r="AT380" s="4">
        <v>0.73988176828186447</v>
      </c>
      <c r="AU380" s="1" t="s">
        <v>1657</v>
      </c>
      <c r="AV380" s="1" t="s">
        <v>1658</v>
      </c>
      <c r="AW380" s="1">
        <v>1218</v>
      </c>
      <c r="AX380" s="1">
        <v>707</v>
      </c>
      <c r="AY380" s="1">
        <v>377</v>
      </c>
      <c r="AZ380" s="1">
        <v>112</v>
      </c>
      <c r="BA380" s="1">
        <v>21</v>
      </c>
      <c r="BB380" s="1">
        <v>1</v>
      </c>
      <c r="BC380" s="1">
        <v>0</v>
      </c>
      <c r="BD380" s="1">
        <v>0</v>
      </c>
      <c r="BE380" s="1">
        <v>0</v>
      </c>
      <c r="BF380" s="1">
        <v>0</v>
      </c>
      <c r="BG380" s="1">
        <v>0</v>
      </c>
      <c r="BH380" s="4">
        <v>1E-3</v>
      </c>
      <c r="BI380" s="4">
        <v>31.629000000000001</v>
      </c>
      <c r="BJ380" s="4">
        <v>11.613021</v>
      </c>
      <c r="BK380" s="4">
        <v>1E-3</v>
      </c>
      <c r="BL380" s="4">
        <v>11.905678999999999</v>
      </c>
      <c r="BM380" s="4">
        <v>141.74519100000001</v>
      </c>
      <c r="BN380" s="4">
        <v>1.025201</v>
      </c>
      <c r="BO380" s="4">
        <v>25.003499000000001</v>
      </c>
      <c r="BP380" s="4">
        <v>0.46490799999999999</v>
      </c>
      <c r="BQ380" s="4">
        <v>1.4247559999999999</v>
      </c>
      <c r="BR380" s="4">
        <v>11.163758</v>
      </c>
      <c r="BS380" s="4">
        <v>4.3455000000000004</v>
      </c>
      <c r="BT380" s="4">
        <v>4.3860000000000001</v>
      </c>
      <c r="BU380" s="4">
        <v>11.613021</v>
      </c>
      <c r="BV380" s="4">
        <v>6.4410920000000003</v>
      </c>
      <c r="BW380" s="4">
        <v>1.2667710000000001</v>
      </c>
      <c r="BX380" s="4">
        <v>-0.77887499999999998</v>
      </c>
      <c r="BY380" s="4">
        <v>0.55464400000000003</v>
      </c>
      <c r="BZ380" s="4">
        <v>0.19667000000000001</v>
      </c>
      <c r="CA380" s="4">
        <v>-0.120923</v>
      </c>
      <c r="CB380" s="4">
        <v>6.0000000000000001E-3</v>
      </c>
      <c r="CC380" s="4">
        <v>2.8000000000000001E-2</v>
      </c>
      <c r="CD380" s="4">
        <v>6.8000000000000005E-2</v>
      </c>
      <c r="CE380" s="4">
        <v>0.61419999999999997</v>
      </c>
      <c r="CF380" s="4">
        <v>1.0329999999999999</v>
      </c>
      <c r="CG380" s="4">
        <v>1.4395</v>
      </c>
      <c r="CH380" s="4">
        <v>2.5697999999999999</v>
      </c>
      <c r="CI380" s="4">
        <v>4.3869999999999996</v>
      </c>
      <c r="CJ380" s="4">
        <v>13.506005</v>
      </c>
      <c r="CK380" s="4">
        <v>23.164501000000001</v>
      </c>
      <c r="CL380" s="4">
        <v>26.036498999999999</v>
      </c>
      <c r="CM380" s="4">
        <v>27.1828</v>
      </c>
      <c r="CN380" s="4">
        <v>28.603901</v>
      </c>
      <c r="CO380" s="4">
        <v>29.502151000000001</v>
      </c>
      <c r="CP380" s="4">
        <v>30.443838</v>
      </c>
      <c r="CQ380" s="4">
        <v>0.36714400000000003</v>
      </c>
      <c r="CR380" s="4">
        <v>16.628021</v>
      </c>
      <c r="CS380" s="4">
        <v>19.384848000000002</v>
      </c>
      <c r="CT380" s="1">
        <v>25</v>
      </c>
      <c r="CU380" s="1">
        <v>588</v>
      </c>
      <c r="CV380" s="4">
        <v>177.31116599999999</v>
      </c>
      <c r="CW380" s="4">
        <v>33.936508000000003</v>
      </c>
      <c r="CX380" s="4">
        <v>125.639011</v>
      </c>
      <c r="CY380" s="4">
        <v>15785.161109999999</v>
      </c>
      <c r="CZ380" s="4">
        <v>0.70857899999999996</v>
      </c>
      <c r="DA380" s="4">
        <v>168.75</v>
      </c>
      <c r="DB380" s="4">
        <v>0.95866200000000001</v>
      </c>
      <c r="DC380" s="4">
        <v>3.1883379999999999</v>
      </c>
      <c r="DD380" s="4">
        <v>101.820061</v>
      </c>
      <c r="DE380" s="4">
        <v>177.31116599999999</v>
      </c>
      <c r="DF380" s="4">
        <v>68.810879</v>
      </c>
      <c r="DG380" s="4">
        <v>15.934210999999999</v>
      </c>
      <c r="DH380" s="4">
        <v>5.7479699999999996</v>
      </c>
      <c r="DI380" s="4">
        <v>0.38807999999999998</v>
      </c>
      <c r="DJ380" s="4">
        <v>0.23156499999999999</v>
      </c>
      <c r="DK380" s="4">
        <v>8.3532999999999996E-2</v>
      </c>
      <c r="DL380" s="4">
        <v>27.17</v>
      </c>
      <c r="DM380" s="4">
        <v>36</v>
      </c>
      <c r="DN380" s="4">
        <v>43</v>
      </c>
      <c r="DO380" s="4">
        <v>63</v>
      </c>
      <c r="DP380" s="4">
        <v>74</v>
      </c>
      <c r="DQ380" s="4">
        <v>86</v>
      </c>
      <c r="DR380" s="4">
        <v>116</v>
      </c>
      <c r="DS380" s="4">
        <v>146</v>
      </c>
      <c r="DT380" s="4">
        <v>181</v>
      </c>
      <c r="DU380" s="4">
        <v>221.900024</v>
      </c>
      <c r="DV380" s="4">
        <v>242.75</v>
      </c>
      <c r="DW380" s="4">
        <v>278.59997600000003</v>
      </c>
      <c r="DX380" s="4">
        <v>375.300049</v>
      </c>
      <c r="DY380" s="4">
        <v>436.45007299999997</v>
      </c>
      <c r="DZ380" s="4">
        <v>523.489868</v>
      </c>
      <c r="EA380" s="4">
        <v>71.994342000000003</v>
      </c>
      <c r="EB380" s="4">
        <v>57.471263999999998</v>
      </c>
      <c r="EC380" s="4">
        <v>99.009900999999999</v>
      </c>
      <c r="ED380" s="4">
        <v>509</v>
      </c>
      <c r="EE380" s="4">
        <v>700</v>
      </c>
      <c r="EF380" s="4">
        <v>57.284300000000002</v>
      </c>
      <c r="EG380" s="4">
        <v>99.858557000000005</v>
      </c>
      <c r="EH380" s="4">
        <v>40.394089000000001</v>
      </c>
      <c r="EI380" s="4">
        <v>99.753694999999993</v>
      </c>
      <c r="EJ380" s="4">
        <v>69.589815999999999</v>
      </c>
      <c r="EK380" s="4">
        <v>171.85290000000001</v>
      </c>
      <c r="EL380" s="4">
        <v>405</v>
      </c>
      <c r="EM380" s="4">
        <v>706</v>
      </c>
      <c r="EN380" s="4">
        <v>492</v>
      </c>
      <c r="EO380" s="4">
        <v>1215</v>
      </c>
      <c r="EP380" s="4">
        <v>707</v>
      </c>
      <c r="EQ380" s="4">
        <v>1218</v>
      </c>
      <c r="ER380" s="4">
        <v>37.116576000000002</v>
      </c>
    </row>
    <row r="381" spans="1:148" x14ac:dyDescent="0.2">
      <c r="A381" s="1">
        <v>2025</v>
      </c>
      <c r="B381" s="1" t="str">
        <f t="shared" si="10"/>
        <v>NE</v>
      </c>
      <c r="C381" s="1" t="s">
        <v>1660</v>
      </c>
      <c r="D381" s="1" t="s">
        <v>1660</v>
      </c>
      <c r="E381" s="1">
        <v>30891</v>
      </c>
      <c r="F381" s="1" t="s">
        <v>2202</v>
      </c>
      <c r="G381" s="1" t="s">
        <v>2021</v>
      </c>
      <c r="H381" s="1" t="s">
        <v>1953</v>
      </c>
      <c r="I381" s="1">
        <v>44.26</v>
      </c>
      <c r="J381" s="1">
        <v>44.26</v>
      </c>
      <c r="K381" s="1" t="s">
        <v>434</v>
      </c>
      <c r="L381" s="1">
        <v>1</v>
      </c>
      <c r="M381" s="3">
        <v>2018</v>
      </c>
      <c r="O381" s="1">
        <v>2</v>
      </c>
      <c r="P381" s="1" t="str">
        <f t="shared" si="11"/>
        <v>Talhadia</v>
      </c>
      <c r="Q381" s="2">
        <v>43429</v>
      </c>
      <c r="R381" s="1" t="s">
        <v>306</v>
      </c>
      <c r="S381" s="1" t="s">
        <v>348</v>
      </c>
      <c r="T381" s="1" t="s">
        <v>2268</v>
      </c>
      <c r="U381" s="1" t="s">
        <v>151</v>
      </c>
      <c r="V381" s="1" t="s">
        <v>152</v>
      </c>
      <c r="W381" s="2">
        <v>45743</v>
      </c>
      <c r="X381" s="1" t="s">
        <v>2203</v>
      </c>
      <c r="Y381" s="1">
        <v>309.96999999999997</v>
      </c>
      <c r="Z381" s="1">
        <v>20.8</v>
      </c>
      <c r="AA381" s="1">
        <v>21</v>
      </c>
      <c r="AB381" s="1">
        <v>14.7</v>
      </c>
      <c r="AC381" s="1">
        <v>10</v>
      </c>
      <c r="AD381" s="3">
        <v>305.76</v>
      </c>
      <c r="AE381" s="3">
        <v>281.11490073681802</v>
      </c>
      <c r="AF381" s="2">
        <v>45743</v>
      </c>
      <c r="AG381" s="1">
        <v>76</v>
      </c>
      <c r="AH381" s="3">
        <v>6.3353867214236796</v>
      </c>
      <c r="AI381" s="4">
        <v>25.869116292981602</v>
      </c>
      <c r="AJ381" s="4">
        <v>16.573684210526299</v>
      </c>
      <c r="AK381" s="4">
        <v>14.893695741207701</v>
      </c>
      <c r="AL381" s="1">
        <v>19</v>
      </c>
      <c r="AM381" s="5">
        <v>675.88021660182199</v>
      </c>
      <c r="AN381" s="4">
        <v>165.985951986711</v>
      </c>
      <c r="AO381" s="4">
        <v>0.245584865349739</v>
      </c>
      <c r="AP381" s="1" t="s">
        <v>348</v>
      </c>
      <c r="AQ381" s="1" t="s">
        <v>254</v>
      </c>
      <c r="AR381" s="1" t="s">
        <v>500</v>
      </c>
      <c r="AS381" s="1">
        <v>9.99</v>
      </c>
      <c r="AT381" s="4">
        <v>0.67520433638522015</v>
      </c>
      <c r="AU381" s="1" t="s">
        <v>1659</v>
      </c>
      <c r="AV381" s="1" t="s">
        <v>1660</v>
      </c>
      <c r="AW381" s="1">
        <v>1105</v>
      </c>
      <c r="AX381" s="1">
        <v>618</v>
      </c>
      <c r="AY381" s="1">
        <v>367</v>
      </c>
      <c r="AZ381" s="1">
        <v>106</v>
      </c>
      <c r="BA381" s="1">
        <v>12</v>
      </c>
      <c r="BB381" s="1">
        <v>2</v>
      </c>
      <c r="BC381" s="1">
        <v>0</v>
      </c>
      <c r="BD381" s="1">
        <v>0</v>
      </c>
      <c r="BE381" s="1">
        <v>0</v>
      </c>
      <c r="BF381" s="1">
        <v>0</v>
      </c>
      <c r="BG381" s="1">
        <v>0</v>
      </c>
      <c r="BH381" s="4">
        <v>0</v>
      </c>
      <c r="BI381" s="4">
        <v>30.917998999999998</v>
      </c>
      <c r="BJ381" s="4">
        <v>12.564330999999999</v>
      </c>
      <c r="BK381" s="4">
        <v>0</v>
      </c>
      <c r="BL381" s="4">
        <v>12.042049</v>
      </c>
      <c r="BM381" s="4">
        <v>145.010955</v>
      </c>
      <c r="BN381" s="4">
        <v>0.95843100000000003</v>
      </c>
      <c r="BO381" s="4">
        <v>25.189001000000001</v>
      </c>
      <c r="BP381" s="4">
        <v>0.21962100000000001</v>
      </c>
      <c r="BQ381" s="4">
        <v>1.1943509999999999</v>
      </c>
      <c r="BR381" s="4">
        <v>11.630326</v>
      </c>
      <c r="BS381" s="4">
        <v>5.2439999999999998</v>
      </c>
      <c r="BT381" s="4">
        <v>5.2549999999999999</v>
      </c>
      <c r="BU381" s="4">
        <v>12.564330999999999</v>
      </c>
      <c r="BV381" s="4">
        <v>6.540451</v>
      </c>
      <c r="BW381" s="4">
        <v>0.673956</v>
      </c>
      <c r="BX381" s="4">
        <v>-1.119829</v>
      </c>
      <c r="BY381" s="4">
        <v>0.52055700000000005</v>
      </c>
      <c r="BZ381" s="4">
        <v>0.103044</v>
      </c>
      <c r="CA381" s="4">
        <v>-0.17121600000000001</v>
      </c>
      <c r="CB381" s="4">
        <v>2E-3</v>
      </c>
      <c r="CC381" s="4">
        <v>1.6E-2</v>
      </c>
      <c r="CD381" s="4">
        <v>3.5999999999999997E-2</v>
      </c>
      <c r="CE381" s="4">
        <v>0.30740000000000001</v>
      </c>
      <c r="CF381" s="4">
        <v>0.78900000000000003</v>
      </c>
      <c r="CG381" s="4">
        <v>1.2487999999999999</v>
      </c>
      <c r="CH381" s="4">
        <v>3</v>
      </c>
      <c r="CI381" s="4">
        <v>5.2549999999999999</v>
      </c>
      <c r="CJ381" s="4">
        <v>21.446203000000001</v>
      </c>
      <c r="CK381" s="4">
        <v>25.079401000000001</v>
      </c>
      <c r="CL381" s="4">
        <v>25.978000999999999</v>
      </c>
      <c r="CM381" s="4">
        <v>26.686401</v>
      </c>
      <c r="CN381" s="4">
        <v>27.808599000000001</v>
      </c>
      <c r="CO381" s="4">
        <v>28.523199000000002</v>
      </c>
      <c r="CP381" s="4">
        <v>29.564878</v>
      </c>
      <c r="CQ381" s="4">
        <v>0.40637600000000001</v>
      </c>
      <c r="CR381" s="4">
        <v>17.399487000000001</v>
      </c>
      <c r="CS381" s="4">
        <v>19.855239000000001</v>
      </c>
      <c r="CT381" s="1">
        <v>22</v>
      </c>
      <c r="CU381" s="1">
        <v>587</v>
      </c>
      <c r="CV381" s="4">
        <v>166.145701</v>
      </c>
      <c r="CW381" s="4">
        <v>39.936508000000003</v>
      </c>
      <c r="CX381" s="4">
        <v>115.939841</v>
      </c>
      <c r="CY381" s="4">
        <v>13442.046689999999</v>
      </c>
      <c r="CZ381" s="4">
        <v>0.69782</v>
      </c>
      <c r="DA381" s="4">
        <v>159</v>
      </c>
      <c r="DB381" s="4">
        <v>0.995591</v>
      </c>
      <c r="DC381" s="4">
        <v>3.4343759999999999</v>
      </c>
      <c r="DD381" s="4">
        <v>93.289102</v>
      </c>
      <c r="DE381" s="4">
        <v>166.145701</v>
      </c>
      <c r="DF381" s="4">
        <v>63.349576999999996</v>
      </c>
      <c r="DG381" s="4">
        <v>14.355149000000001</v>
      </c>
      <c r="DH381" s="4">
        <v>5.5146730000000002</v>
      </c>
      <c r="DI381" s="4">
        <v>0.38128899999999999</v>
      </c>
      <c r="DJ381" s="4">
        <v>0.226602</v>
      </c>
      <c r="DK381" s="4">
        <v>8.7051000000000003E-2</v>
      </c>
      <c r="DL381" s="4">
        <v>28</v>
      </c>
      <c r="DM381" s="4">
        <v>35</v>
      </c>
      <c r="DN381" s="4">
        <v>43</v>
      </c>
      <c r="DO381" s="4">
        <v>60.800002999999997</v>
      </c>
      <c r="DP381" s="4">
        <v>69</v>
      </c>
      <c r="DQ381" s="4">
        <v>79</v>
      </c>
      <c r="DR381" s="4">
        <v>108</v>
      </c>
      <c r="DS381" s="4">
        <v>141</v>
      </c>
      <c r="DT381" s="4">
        <v>176.400024</v>
      </c>
      <c r="DU381" s="4">
        <v>211</v>
      </c>
      <c r="DV381" s="4">
        <v>228</v>
      </c>
      <c r="DW381" s="4">
        <v>252.20001199999999</v>
      </c>
      <c r="DX381" s="4">
        <v>341.199951</v>
      </c>
      <c r="DY381" s="4">
        <v>404.600098</v>
      </c>
      <c r="DZ381" s="4">
        <v>509.71972699999998</v>
      </c>
      <c r="EA381" s="4">
        <v>76.699028999999996</v>
      </c>
      <c r="EB381" s="4">
        <v>60</v>
      </c>
      <c r="EC381" s="4">
        <v>107.281553</v>
      </c>
      <c r="ED381" s="4">
        <v>474</v>
      </c>
      <c r="EE381" s="4">
        <v>663</v>
      </c>
      <c r="EF381" s="4">
        <v>65.695792999999995</v>
      </c>
      <c r="EG381" s="4">
        <v>99.676374999999993</v>
      </c>
      <c r="EH381" s="4">
        <v>45.610860000000002</v>
      </c>
      <c r="EI381" s="4">
        <v>99.819005000000004</v>
      </c>
      <c r="EJ381" s="4">
        <v>81.553398000000001</v>
      </c>
      <c r="EK381" s="4">
        <v>178.47896399999999</v>
      </c>
      <c r="EL381" s="4">
        <v>406</v>
      </c>
      <c r="EM381" s="4">
        <v>616</v>
      </c>
      <c r="EN381" s="4">
        <v>504</v>
      </c>
      <c r="EO381" s="4">
        <v>1103</v>
      </c>
      <c r="EP381" s="4">
        <v>618</v>
      </c>
      <c r="EQ381" s="4">
        <v>1105</v>
      </c>
      <c r="ER381" s="4">
        <v>41.476745999999999</v>
      </c>
    </row>
    <row r="382" spans="1:148" x14ac:dyDescent="0.2">
      <c r="A382" s="1">
        <v>2025</v>
      </c>
      <c r="B382" s="1" t="str">
        <f t="shared" si="10"/>
        <v>NE</v>
      </c>
      <c r="C382" s="1" t="s">
        <v>1662</v>
      </c>
      <c r="D382" s="1" t="s">
        <v>1662</v>
      </c>
      <c r="E382" s="1">
        <v>25524</v>
      </c>
      <c r="F382" s="1" t="s">
        <v>2204</v>
      </c>
      <c r="G382" s="1" t="s">
        <v>2022</v>
      </c>
      <c r="H382" s="1" t="s">
        <v>1954</v>
      </c>
      <c r="I382" s="1">
        <v>46.88</v>
      </c>
      <c r="J382" s="1">
        <v>46.88</v>
      </c>
      <c r="K382" s="1" t="s">
        <v>148</v>
      </c>
      <c r="L382" s="1">
        <v>1</v>
      </c>
      <c r="M382" s="3">
        <v>2017</v>
      </c>
      <c r="O382" s="1">
        <v>1</v>
      </c>
      <c r="P382" s="1" t="str">
        <f t="shared" si="11"/>
        <v>Alto fuste</v>
      </c>
      <c r="Q382" s="2">
        <v>43054</v>
      </c>
      <c r="R382" s="1" t="s">
        <v>169</v>
      </c>
      <c r="S382" s="1" t="s">
        <v>442</v>
      </c>
      <c r="T382" s="1" t="s">
        <v>2268</v>
      </c>
      <c r="U382" s="1" t="s">
        <v>151</v>
      </c>
      <c r="V382" s="1" t="s">
        <v>152</v>
      </c>
      <c r="W382" s="2">
        <v>44779</v>
      </c>
      <c r="X382" s="1" t="s">
        <v>2205</v>
      </c>
      <c r="Y382" s="1">
        <v>104.15</v>
      </c>
      <c r="Z382" s="1">
        <v>21.1</v>
      </c>
      <c r="AA382" s="1">
        <v>28</v>
      </c>
      <c r="AB382" s="1">
        <v>15.7</v>
      </c>
      <c r="AC382" s="1">
        <v>2</v>
      </c>
      <c r="AD382" s="3">
        <v>331.27</v>
      </c>
      <c r="AE382" s="3">
        <v>292.315869614598</v>
      </c>
      <c r="AF382" s="2">
        <v>45740</v>
      </c>
      <c r="AG382" s="1">
        <v>88</v>
      </c>
      <c r="AH382" s="3">
        <v>7.3538672142368204</v>
      </c>
      <c r="AI382" s="4">
        <v>30.860829258834901</v>
      </c>
      <c r="AJ382" s="4">
        <v>17.0457142857143</v>
      </c>
      <c r="AK382" s="4">
        <v>27.793041511960102</v>
      </c>
      <c r="AL382" s="1">
        <v>35</v>
      </c>
      <c r="AM382" s="5">
        <v>1197.3349256113099</v>
      </c>
      <c r="AN382" s="4">
        <v>386.39979743985998</v>
      </c>
      <c r="AO382" s="4">
        <v>0.32271655087867801</v>
      </c>
      <c r="AP382" s="1" t="s">
        <v>442</v>
      </c>
      <c r="AQ382" s="1" t="s">
        <v>156</v>
      </c>
      <c r="AR382" s="1" t="s">
        <v>500</v>
      </c>
      <c r="AS382" s="1">
        <v>9</v>
      </c>
      <c r="AT382" s="4">
        <v>1.0776014330501789</v>
      </c>
      <c r="AU382" s="1" t="s">
        <v>1661</v>
      </c>
      <c r="AV382" s="1" t="s">
        <v>1662</v>
      </c>
      <c r="AW382" s="1">
        <v>3168</v>
      </c>
      <c r="AX382" s="1">
        <v>1921</v>
      </c>
      <c r="AY382" s="1">
        <v>990</v>
      </c>
      <c r="AZ382" s="1">
        <v>225</v>
      </c>
      <c r="BA382" s="1">
        <v>32</v>
      </c>
      <c r="BB382" s="1">
        <v>0</v>
      </c>
      <c r="BC382" s="1">
        <v>0</v>
      </c>
      <c r="BD382" s="1">
        <v>0</v>
      </c>
      <c r="BE382" s="1">
        <v>0</v>
      </c>
      <c r="BF382" s="1">
        <v>0</v>
      </c>
      <c r="BG382" s="1">
        <v>0</v>
      </c>
      <c r="BH382" s="4">
        <v>0</v>
      </c>
      <c r="BI382" s="4">
        <v>33.971001000000001</v>
      </c>
      <c r="BJ382" s="4">
        <v>19.579616000000001</v>
      </c>
      <c r="BK382" s="4">
        <v>0</v>
      </c>
      <c r="BL382" s="4">
        <v>13.884358000000001</v>
      </c>
      <c r="BM382" s="4">
        <v>192.775409</v>
      </c>
      <c r="BN382" s="4">
        <v>0.70912299999999995</v>
      </c>
      <c r="BO382" s="4">
        <v>30.556498999999999</v>
      </c>
      <c r="BP382" s="4">
        <v>-0.57952099999999995</v>
      </c>
      <c r="BQ382" s="4">
        <v>1.4420170000000001</v>
      </c>
      <c r="BR382" s="4">
        <v>12.974852</v>
      </c>
      <c r="BS382" s="4">
        <v>2.8895</v>
      </c>
      <c r="BT382" s="4">
        <v>28.975999999999999</v>
      </c>
      <c r="BU382" s="4">
        <v>19.579616000000001</v>
      </c>
      <c r="BV382" s="4">
        <v>7.1883520000000001</v>
      </c>
      <c r="BW382" s="4">
        <v>-1.641297</v>
      </c>
      <c r="BX382" s="4">
        <v>-0.90449800000000002</v>
      </c>
      <c r="BY382" s="4">
        <v>0.36713400000000002</v>
      </c>
      <c r="BZ382" s="4">
        <v>-0.228327</v>
      </c>
      <c r="CA382" s="4">
        <v>-0.125828</v>
      </c>
      <c r="CB382" s="4">
        <v>2E-3</v>
      </c>
      <c r="CC382" s="4">
        <v>8.9999999999999993E-3</v>
      </c>
      <c r="CD382" s="4">
        <v>1.7999999999999999E-2</v>
      </c>
      <c r="CE382" s="4">
        <v>4.8000000000000001E-2</v>
      </c>
      <c r="CF382" s="4">
        <v>0.1215</v>
      </c>
      <c r="CG382" s="4">
        <v>2.3898000000000001</v>
      </c>
      <c r="CH382" s="4">
        <v>23.117001999999999</v>
      </c>
      <c r="CI382" s="4">
        <v>28.975999999999999</v>
      </c>
      <c r="CJ382" s="4">
        <v>29.795200000000001</v>
      </c>
      <c r="CK382" s="4">
        <v>30.375799000000001</v>
      </c>
      <c r="CL382" s="4">
        <v>30.677999</v>
      </c>
      <c r="CM382" s="4">
        <v>30.992201000000001</v>
      </c>
      <c r="CN382" s="4">
        <v>31.763901000000001</v>
      </c>
      <c r="CO382" s="4">
        <v>32.248950999999998</v>
      </c>
      <c r="CP382" s="4">
        <v>33.016990999999997</v>
      </c>
      <c r="CQ382" s="4">
        <v>0.57636299999999996</v>
      </c>
      <c r="CR382" s="4">
        <v>24.001581000000002</v>
      </c>
      <c r="CS382" s="4">
        <v>25.850847000000002</v>
      </c>
      <c r="CT382" s="1">
        <v>18</v>
      </c>
      <c r="CU382" s="1">
        <v>698</v>
      </c>
      <c r="CV382" s="4">
        <v>172.023043</v>
      </c>
      <c r="CW382" s="4">
        <v>39.587302000000001</v>
      </c>
      <c r="CX382" s="4">
        <v>128.05637899999999</v>
      </c>
      <c r="CY382" s="4">
        <v>16398.436160000001</v>
      </c>
      <c r="CZ382" s="4">
        <v>0.74441400000000002</v>
      </c>
      <c r="DA382" s="4">
        <v>167</v>
      </c>
      <c r="DB382" s="4">
        <v>1.2917019999999999</v>
      </c>
      <c r="DC382" s="4">
        <v>4.6255179999999996</v>
      </c>
      <c r="DD382" s="4">
        <v>99.414232999999996</v>
      </c>
      <c r="DE382" s="4">
        <v>172.023043</v>
      </c>
      <c r="DF382" s="4">
        <v>68.127841000000004</v>
      </c>
      <c r="DG382" s="4">
        <v>16.987479</v>
      </c>
      <c r="DH382" s="4">
        <v>8.2227399999999999</v>
      </c>
      <c r="DI382" s="4">
        <v>0.39603899999999997</v>
      </c>
      <c r="DJ382" s="4">
        <v>0.24934700000000001</v>
      </c>
      <c r="DK382" s="4">
        <v>0.120696</v>
      </c>
      <c r="DL382" s="4">
        <v>25</v>
      </c>
      <c r="DM382" s="4">
        <v>32</v>
      </c>
      <c r="DN382" s="4">
        <v>40</v>
      </c>
      <c r="DO382" s="4">
        <v>57.400024000000002</v>
      </c>
      <c r="DP382" s="4">
        <v>70</v>
      </c>
      <c r="DQ382" s="4">
        <v>82</v>
      </c>
      <c r="DR382" s="4">
        <v>113</v>
      </c>
      <c r="DS382" s="4">
        <v>144</v>
      </c>
      <c r="DT382" s="4">
        <v>181</v>
      </c>
      <c r="DU382" s="4">
        <v>217</v>
      </c>
      <c r="DV382" s="4">
        <v>237</v>
      </c>
      <c r="DW382" s="4">
        <v>258</v>
      </c>
      <c r="DX382" s="4">
        <v>332.300049</v>
      </c>
      <c r="DY382" s="4">
        <v>449.59960899999999</v>
      </c>
      <c r="DZ382" s="4">
        <v>585.33007799999996</v>
      </c>
      <c r="EA382" s="4">
        <v>89.796981000000002</v>
      </c>
      <c r="EB382" s="4">
        <v>69.065657000000002</v>
      </c>
      <c r="EC382" s="4">
        <v>113.899011</v>
      </c>
      <c r="ED382" s="4">
        <v>1725</v>
      </c>
      <c r="EE382" s="4">
        <v>2188</v>
      </c>
      <c r="EF382" s="4">
        <v>86.673607000000004</v>
      </c>
      <c r="EG382" s="4">
        <v>99.843830999999994</v>
      </c>
      <c r="EH382" s="4">
        <v>63.257576</v>
      </c>
      <c r="EI382" s="4">
        <v>99.747474999999994</v>
      </c>
      <c r="EJ382" s="4">
        <v>104.320666</v>
      </c>
      <c r="EK382" s="4">
        <v>164.497657</v>
      </c>
      <c r="EL382" s="4">
        <v>1665</v>
      </c>
      <c r="EM382" s="4">
        <v>1918</v>
      </c>
      <c r="EN382" s="4">
        <v>2004</v>
      </c>
      <c r="EO382" s="4">
        <v>3160</v>
      </c>
      <c r="EP382" s="4">
        <v>1921</v>
      </c>
      <c r="EQ382" s="4">
        <v>3168</v>
      </c>
      <c r="ER382" s="4">
        <v>58.290818000000002</v>
      </c>
    </row>
    <row r="383" spans="1:148" x14ac:dyDescent="0.2">
      <c r="A383" s="1">
        <v>2025</v>
      </c>
      <c r="B383" s="1" t="str">
        <f t="shared" si="10"/>
        <v>NE</v>
      </c>
      <c r="C383" s="1" t="s">
        <v>1664</v>
      </c>
      <c r="D383" s="1" t="s">
        <v>1664</v>
      </c>
      <c r="E383" s="1">
        <v>31037</v>
      </c>
      <c r="F383" s="1" t="s">
        <v>2204</v>
      </c>
      <c r="G383" s="1" t="s">
        <v>2022</v>
      </c>
      <c r="H383" s="1" t="s">
        <v>1954</v>
      </c>
      <c r="I383" s="1">
        <v>46.88</v>
      </c>
      <c r="J383" s="1">
        <v>46.88</v>
      </c>
      <c r="K383" s="1" t="s">
        <v>148</v>
      </c>
      <c r="L383" s="1">
        <v>1</v>
      </c>
      <c r="M383" s="3">
        <v>2017</v>
      </c>
      <c r="O383" s="1">
        <v>1</v>
      </c>
      <c r="P383" s="1" t="str">
        <f t="shared" si="11"/>
        <v>Alto fuste</v>
      </c>
      <c r="Q383" s="2">
        <v>43054</v>
      </c>
      <c r="R383" s="1" t="s">
        <v>169</v>
      </c>
      <c r="S383" s="1" t="s">
        <v>442</v>
      </c>
      <c r="T383" s="1" t="s">
        <v>2268</v>
      </c>
      <c r="U383" s="1" t="s">
        <v>151</v>
      </c>
      <c r="V383" s="1" t="s">
        <v>152</v>
      </c>
      <c r="W383" s="2">
        <v>44780</v>
      </c>
      <c r="X383" s="1" t="s">
        <v>2205</v>
      </c>
      <c r="Y383" s="1">
        <v>104.15</v>
      </c>
      <c r="Z383" s="1">
        <v>20.3</v>
      </c>
      <c r="AA383" s="1">
        <v>21</v>
      </c>
      <c r="AB383" s="1">
        <v>14.7</v>
      </c>
      <c r="AC383" s="1">
        <v>6</v>
      </c>
      <c r="AD383" s="3">
        <v>298.41000000000003</v>
      </c>
      <c r="AE383" s="3">
        <v>277.06359135298601</v>
      </c>
      <c r="AF383" s="2">
        <v>45740</v>
      </c>
      <c r="AG383" s="1">
        <v>88</v>
      </c>
      <c r="AH383" s="3">
        <v>7.3538672142368204</v>
      </c>
      <c r="AI383" s="4">
        <v>26.686381134906199</v>
      </c>
      <c r="AJ383" s="4">
        <v>15.728125</v>
      </c>
      <c r="AK383" s="4">
        <v>23.547324146036001</v>
      </c>
      <c r="AL383" s="1">
        <v>32</v>
      </c>
      <c r="AM383" s="5">
        <v>1154.9695087591399</v>
      </c>
      <c r="AN383" s="4">
        <v>293.50417025961701</v>
      </c>
      <c r="AO383" s="4">
        <v>0.25412287340377399</v>
      </c>
      <c r="AP383" s="1" t="s">
        <v>442</v>
      </c>
      <c r="AQ383" s="1" t="s">
        <v>156</v>
      </c>
      <c r="AR383" s="1" t="s">
        <v>500</v>
      </c>
      <c r="AS383" s="1">
        <v>9</v>
      </c>
      <c r="AT383" s="4">
        <v>1.039472557883226</v>
      </c>
      <c r="AU383" s="1" t="s">
        <v>1663</v>
      </c>
      <c r="AV383" s="1" t="s">
        <v>1664</v>
      </c>
      <c r="AW383" s="1">
        <v>1808</v>
      </c>
      <c r="AX383" s="1">
        <v>990</v>
      </c>
      <c r="AY383" s="1">
        <v>634</v>
      </c>
      <c r="AZ383" s="1">
        <v>163</v>
      </c>
      <c r="BA383" s="1">
        <v>21</v>
      </c>
      <c r="BB383" s="1">
        <v>0</v>
      </c>
      <c r="BC383" s="1">
        <v>0</v>
      </c>
      <c r="BD383" s="1">
        <v>0</v>
      </c>
      <c r="BE383" s="1">
        <v>0</v>
      </c>
      <c r="BF383" s="1">
        <v>0</v>
      </c>
      <c r="BG383" s="1">
        <v>0</v>
      </c>
      <c r="BH383" s="4">
        <v>0</v>
      </c>
      <c r="BI383" s="4">
        <v>31.714001</v>
      </c>
      <c r="BJ383" s="4">
        <v>14.776007999999999</v>
      </c>
      <c r="BK383" s="4">
        <v>0</v>
      </c>
      <c r="BL383" s="4">
        <v>13.271596000000001</v>
      </c>
      <c r="BM383" s="4">
        <v>176.13526999999999</v>
      </c>
      <c r="BN383" s="4">
        <v>0.89818600000000004</v>
      </c>
      <c r="BO383" s="4">
        <v>27.954250999999999</v>
      </c>
      <c r="BP383" s="4">
        <v>-7.8259999999999996E-2</v>
      </c>
      <c r="BQ383" s="4">
        <v>1.0998669999999999</v>
      </c>
      <c r="BR383" s="4">
        <v>12.946284</v>
      </c>
      <c r="BS383" s="4">
        <v>10.4945</v>
      </c>
      <c r="BT383" s="4">
        <v>19.069500000000001</v>
      </c>
      <c r="BU383" s="4">
        <v>14.776007999999999</v>
      </c>
      <c r="BV383" s="4">
        <v>7.0726440000000004</v>
      </c>
      <c r="BW383" s="4">
        <v>-0.117074</v>
      </c>
      <c r="BX383" s="4">
        <v>-1.4911160000000001</v>
      </c>
      <c r="BY383" s="4">
        <v>0.478657</v>
      </c>
      <c r="BZ383" s="4">
        <v>-1.6552999999999998E-2</v>
      </c>
      <c r="CA383" s="4">
        <v>-0.21082899999999999</v>
      </c>
      <c r="CB383" s="4">
        <v>2E-3</v>
      </c>
      <c r="CC383" s="4">
        <v>8.0000000000000002E-3</v>
      </c>
      <c r="CD383" s="4">
        <v>0.02</v>
      </c>
      <c r="CE383" s="4">
        <v>5.2400000000000002E-2</v>
      </c>
      <c r="CF383" s="4">
        <v>7.9000000000000001E-2</v>
      </c>
      <c r="CG383" s="4">
        <v>0.14599999999999999</v>
      </c>
      <c r="CH383" s="4">
        <v>1.9450000000000001</v>
      </c>
      <c r="CI383" s="4">
        <v>19.069500000000001</v>
      </c>
      <c r="CJ383" s="4">
        <v>26.763399</v>
      </c>
      <c r="CK383" s="4">
        <v>27.660900000000002</v>
      </c>
      <c r="CL383" s="4">
        <v>28.033251</v>
      </c>
      <c r="CM383" s="4">
        <v>28.312000000000001</v>
      </c>
      <c r="CN383" s="4">
        <v>29.007200000000001</v>
      </c>
      <c r="CO383" s="4">
        <v>29.511649999999999</v>
      </c>
      <c r="CP383" s="4">
        <v>30.501816000000002</v>
      </c>
      <c r="CQ383" s="4">
        <v>0.46591399999999999</v>
      </c>
      <c r="CR383" s="4">
        <v>19.858706999999999</v>
      </c>
      <c r="CS383" s="4">
        <v>22.135943999999999</v>
      </c>
      <c r="CT383" s="1">
        <v>19</v>
      </c>
      <c r="CU383" s="1">
        <v>747</v>
      </c>
      <c r="CV383" s="4">
        <v>205.83075199999999</v>
      </c>
      <c r="CW383" s="4">
        <v>30.555555999999999</v>
      </c>
      <c r="CX383" s="4">
        <v>152.00280699999999</v>
      </c>
      <c r="CY383" s="4">
        <v>23104.853459999998</v>
      </c>
      <c r="CZ383" s="4">
        <v>0.73848400000000003</v>
      </c>
      <c r="DA383" s="4">
        <v>222</v>
      </c>
      <c r="DB383" s="4">
        <v>0.935836</v>
      </c>
      <c r="DC383" s="4">
        <v>3.3691279999999999</v>
      </c>
      <c r="DD383" s="4">
        <v>123.72683600000001</v>
      </c>
      <c r="DE383" s="4">
        <v>205.83075199999999</v>
      </c>
      <c r="DF383" s="4">
        <v>83.463316000000006</v>
      </c>
      <c r="DG383" s="4">
        <v>17.483685000000001</v>
      </c>
      <c r="DH383" s="4">
        <v>6.0109079999999997</v>
      </c>
      <c r="DI383" s="4">
        <v>0.40549499999999999</v>
      </c>
      <c r="DJ383" s="4">
        <v>0.209477</v>
      </c>
      <c r="DK383" s="4">
        <v>7.2019E-2</v>
      </c>
      <c r="DL383" s="4">
        <v>26</v>
      </c>
      <c r="DM383" s="4">
        <v>33</v>
      </c>
      <c r="DN383" s="4">
        <v>42</v>
      </c>
      <c r="DO383" s="4">
        <v>62</v>
      </c>
      <c r="DP383" s="4">
        <v>72</v>
      </c>
      <c r="DQ383" s="4">
        <v>88.099975999999998</v>
      </c>
      <c r="DR383" s="4">
        <v>130</v>
      </c>
      <c r="DS383" s="4">
        <v>179</v>
      </c>
      <c r="DT383" s="4">
        <v>228</v>
      </c>
      <c r="DU383" s="4">
        <v>273</v>
      </c>
      <c r="DV383" s="4">
        <v>294</v>
      </c>
      <c r="DW383" s="4">
        <v>325</v>
      </c>
      <c r="DX383" s="4">
        <v>417</v>
      </c>
      <c r="DY383" s="4">
        <v>522.30004899999994</v>
      </c>
      <c r="DZ383" s="4">
        <v>642.93005400000004</v>
      </c>
      <c r="EA383" s="4">
        <v>83.232322999999994</v>
      </c>
      <c r="EB383" s="4">
        <v>57.411504000000001</v>
      </c>
      <c r="EC383" s="4">
        <v>104.848485</v>
      </c>
      <c r="ED383" s="4">
        <v>824</v>
      </c>
      <c r="EE383" s="4">
        <v>1038</v>
      </c>
      <c r="EF383" s="4">
        <v>81.414141000000001</v>
      </c>
      <c r="EG383" s="4">
        <v>99.898989999999998</v>
      </c>
      <c r="EH383" s="4">
        <v>52.986725999999997</v>
      </c>
      <c r="EI383" s="4">
        <v>99.778761000000003</v>
      </c>
      <c r="EJ383" s="4">
        <v>96.767677000000006</v>
      </c>
      <c r="EK383" s="4">
        <v>182.22222199999999</v>
      </c>
      <c r="EL383" s="4">
        <v>806</v>
      </c>
      <c r="EM383" s="4">
        <v>989</v>
      </c>
      <c r="EN383" s="4">
        <v>958</v>
      </c>
      <c r="EO383" s="4">
        <v>1804</v>
      </c>
      <c r="EP383" s="4">
        <v>990</v>
      </c>
      <c r="EQ383" s="4">
        <v>1808</v>
      </c>
      <c r="ER383" s="4">
        <v>47.431415000000001</v>
      </c>
    </row>
    <row r="384" spans="1:148" x14ac:dyDescent="0.2">
      <c r="A384" s="1">
        <v>2025</v>
      </c>
      <c r="B384" s="1" t="str">
        <f t="shared" si="10"/>
        <v>NE</v>
      </c>
      <c r="C384" s="1" t="s">
        <v>1666</v>
      </c>
      <c r="D384" s="1" t="s">
        <v>1666</v>
      </c>
      <c r="E384" s="1">
        <v>25517</v>
      </c>
      <c r="F384" s="1" t="s">
        <v>2204</v>
      </c>
      <c r="G384" s="1" t="s">
        <v>2022</v>
      </c>
      <c r="H384" s="1" t="s">
        <v>1955</v>
      </c>
      <c r="I384" s="1">
        <v>31.06</v>
      </c>
      <c r="J384" s="1">
        <v>31.06</v>
      </c>
      <c r="K384" s="1" t="s">
        <v>148</v>
      </c>
      <c r="L384" s="1">
        <v>1</v>
      </c>
      <c r="M384" s="3">
        <v>2017</v>
      </c>
      <c r="O384" s="1">
        <v>1</v>
      </c>
      <c r="P384" s="1" t="str">
        <f t="shared" si="11"/>
        <v>Alto fuste</v>
      </c>
      <c r="Q384" s="2">
        <v>43032</v>
      </c>
      <c r="R384" s="1" t="s">
        <v>169</v>
      </c>
      <c r="S384" s="1" t="s">
        <v>348</v>
      </c>
      <c r="T384" s="1" t="s">
        <v>2268</v>
      </c>
      <c r="U384" s="1" t="s">
        <v>151</v>
      </c>
      <c r="V384" s="1" t="s">
        <v>152</v>
      </c>
      <c r="W384" s="2">
        <v>45740</v>
      </c>
      <c r="X384" s="1" t="s">
        <v>2205</v>
      </c>
      <c r="Y384" s="1">
        <v>104.15</v>
      </c>
      <c r="Z384" s="1">
        <v>20.3</v>
      </c>
      <c r="AA384" s="1">
        <v>12</v>
      </c>
      <c r="AB384" s="1">
        <v>15.7</v>
      </c>
      <c r="AC384" s="1">
        <v>2</v>
      </c>
      <c r="AD384" s="3">
        <v>318.70999999999998</v>
      </c>
      <c r="AE384" s="3">
        <v>311.55551494197198</v>
      </c>
      <c r="AF384" s="2">
        <v>45740</v>
      </c>
      <c r="AG384" s="1">
        <v>89</v>
      </c>
      <c r="AH384" s="3">
        <v>7.4140999315537304</v>
      </c>
      <c r="AI384" s="4">
        <v>24.543682636279499</v>
      </c>
      <c r="AJ384" s="4">
        <v>15.229411764705899</v>
      </c>
      <c r="AK384" s="4">
        <v>20.272921877556399</v>
      </c>
      <c r="AL384" s="1">
        <v>34</v>
      </c>
      <c r="AM384" s="5">
        <v>1091.2982877652701</v>
      </c>
      <c r="AN384" s="4">
        <v>223.07481344088299</v>
      </c>
      <c r="AO384" s="4">
        <v>0.20441231874164301</v>
      </c>
      <c r="AP384" s="1" t="s">
        <v>348</v>
      </c>
      <c r="AQ384" s="1" t="s">
        <v>156</v>
      </c>
      <c r="AR384" s="1" t="s">
        <v>500</v>
      </c>
      <c r="AS384" s="1">
        <v>9</v>
      </c>
      <c r="AT384" s="4">
        <v>0.98216845898874305</v>
      </c>
      <c r="AU384" s="1" t="s">
        <v>1665</v>
      </c>
      <c r="AV384" s="1" t="s">
        <v>1666</v>
      </c>
      <c r="AW384" s="1">
        <v>1120</v>
      </c>
      <c r="AX384" s="1">
        <v>636</v>
      </c>
      <c r="AY384" s="1">
        <v>380</v>
      </c>
      <c r="AZ384" s="1">
        <v>95</v>
      </c>
      <c r="BA384" s="1">
        <v>8</v>
      </c>
      <c r="BB384" s="1">
        <v>1</v>
      </c>
      <c r="BC384" s="1">
        <v>0</v>
      </c>
      <c r="BD384" s="1">
        <v>0</v>
      </c>
      <c r="BE384" s="1">
        <v>0</v>
      </c>
      <c r="BF384" s="1">
        <v>0</v>
      </c>
      <c r="BG384" s="1">
        <v>0</v>
      </c>
      <c r="BH384" s="4">
        <v>0</v>
      </c>
      <c r="BI384" s="4">
        <v>28.048999999999999</v>
      </c>
      <c r="BJ384" s="4">
        <v>16.636506000000001</v>
      </c>
      <c r="BK384" s="4">
        <v>0</v>
      </c>
      <c r="BL384" s="4">
        <v>11.115800999999999</v>
      </c>
      <c r="BM384" s="4">
        <v>123.56103299999999</v>
      </c>
      <c r="BN384" s="4">
        <v>0.668157</v>
      </c>
      <c r="BO384" s="4">
        <v>24.85125</v>
      </c>
      <c r="BP384" s="4">
        <v>-0.74122100000000002</v>
      </c>
      <c r="BQ384" s="4">
        <v>1.662436</v>
      </c>
      <c r="BR384" s="4">
        <v>10.151033999999999</v>
      </c>
      <c r="BS384" s="4">
        <v>2.1335009999999999</v>
      </c>
      <c r="BT384" s="4">
        <v>23.550498999999999</v>
      </c>
      <c r="BU384" s="4">
        <v>16.636506000000001</v>
      </c>
      <c r="BV384" s="4">
        <v>5.6450449999999996</v>
      </c>
      <c r="BW384" s="4">
        <v>-1.571734</v>
      </c>
      <c r="BX384" s="4">
        <v>-0.45357999999999998</v>
      </c>
      <c r="BY384" s="4">
        <v>0.33931699999999998</v>
      </c>
      <c r="BZ384" s="4">
        <v>-0.27842699999999998</v>
      </c>
      <c r="CA384" s="4">
        <v>-8.0350000000000005E-2</v>
      </c>
      <c r="CB384" s="4">
        <v>1.1900000000000001E-3</v>
      </c>
      <c r="CC384" s="4">
        <v>7.0000000000000001E-3</v>
      </c>
      <c r="CD384" s="4">
        <v>1.2E-2</v>
      </c>
      <c r="CE384" s="4">
        <v>2.8000000000000001E-2</v>
      </c>
      <c r="CF384" s="4">
        <v>4.4999999999999998E-2</v>
      </c>
      <c r="CG384" s="4">
        <v>8.3942130000000006</v>
      </c>
      <c r="CH384" s="4">
        <v>22.341200000000001</v>
      </c>
      <c r="CI384" s="4">
        <v>23.550498999999999</v>
      </c>
      <c r="CJ384" s="4">
        <v>24.240801000000001</v>
      </c>
      <c r="CK384" s="4">
        <v>24.634900999999999</v>
      </c>
      <c r="CL384" s="4">
        <v>24.896249999999998</v>
      </c>
      <c r="CM384" s="4">
        <v>25.205400000000001</v>
      </c>
      <c r="CN384" s="4">
        <v>25.797198999999999</v>
      </c>
      <c r="CO384" s="4">
        <v>26.293199999999999</v>
      </c>
      <c r="CP384" s="4">
        <v>27.343402999999999</v>
      </c>
      <c r="CQ384" s="4">
        <v>0.59312299999999996</v>
      </c>
      <c r="CR384" s="4">
        <v>20.005600000000001</v>
      </c>
      <c r="CS384" s="4">
        <v>21.362383999999999</v>
      </c>
      <c r="CT384" s="1">
        <v>22</v>
      </c>
      <c r="CU384" s="1">
        <v>817</v>
      </c>
      <c r="CV384" s="4">
        <v>192.2</v>
      </c>
      <c r="CW384" s="4">
        <v>34.619047999999999</v>
      </c>
      <c r="CX384" s="4">
        <v>148.23200900000001</v>
      </c>
      <c r="CY384" s="4">
        <v>21972.728510000001</v>
      </c>
      <c r="CZ384" s="4">
        <v>0.77123799999999998</v>
      </c>
      <c r="DA384" s="4">
        <v>172</v>
      </c>
      <c r="DB384" s="4">
        <v>1.512159</v>
      </c>
      <c r="DC384" s="4">
        <v>5.435384</v>
      </c>
      <c r="DD384" s="4">
        <v>110.285</v>
      </c>
      <c r="DE384" s="4">
        <v>192.2</v>
      </c>
      <c r="DF384" s="4">
        <v>77.013204999999999</v>
      </c>
      <c r="DG384" s="4">
        <v>20.978373999999999</v>
      </c>
      <c r="DH384" s="4">
        <v>11.905749</v>
      </c>
      <c r="DI384" s="4">
        <v>0.40069300000000002</v>
      </c>
      <c r="DJ384" s="4">
        <v>0.27239999999999998</v>
      </c>
      <c r="DK384" s="4">
        <v>0.15459400000000001</v>
      </c>
      <c r="DL384" s="4">
        <v>26.189999</v>
      </c>
      <c r="DM384" s="4">
        <v>36</v>
      </c>
      <c r="DN384" s="4">
        <v>45</v>
      </c>
      <c r="DO384" s="4">
        <v>65</v>
      </c>
      <c r="DP384" s="4">
        <v>79</v>
      </c>
      <c r="DQ384" s="4">
        <v>92</v>
      </c>
      <c r="DR384" s="4">
        <v>127.60000599999999</v>
      </c>
      <c r="DS384" s="4">
        <v>165</v>
      </c>
      <c r="DT384" s="4">
        <v>196.400024</v>
      </c>
      <c r="DU384" s="4">
        <v>233.29998800000001</v>
      </c>
      <c r="DV384" s="4">
        <v>251</v>
      </c>
      <c r="DW384" s="4">
        <v>272.20001200000002</v>
      </c>
      <c r="DX384" s="4">
        <v>366.09997600000003</v>
      </c>
      <c r="DY384" s="4">
        <v>541.100098</v>
      </c>
      <c r="DZ384" s="4">
        <v>685.290527</v>
      </c>
      <c r="EA384" s="4">
        <v>92.924527999999995</v>
      </c>
      <c r="EB384" s="4">
        <v>70.357142999999994</v>
      </c>
      <c r="EC384" s="4">
        <v>123.899371</v>
      </c>
      <c r="ED384" s="4">
        <v>591</v>
      </c>
      <c r="EE384" s="4">
        <v>788</v>
      </c>
      <c r="EF384" s="4">
        <v>90.723269999999999</v>
      </c>
      <c r="EG384" s="4">
        <v>100</v>
      </c>
      <c r="EH384" s="4">
        <v>66.160713999999999</v>
      </c>
      <c r="EI384" s="4">
        <v>99.910713999999999</v>
      </c>
      <c r="EJ384" s="4">
        <v>116.509434</v>
      </c>
      <c r="EK384" s="4">
        <v>175.94339600000001</v>
      </c>
      <c r="EL384" s="4">
        <v>577</v>
      </c>
      <c r="EM384" s="4">
        <v>636</v>
      </c>
      <c r="EN384" s="4">
        <v>741</v>
      </c>
      <c r="EO384" s="4">
        <v>1119</v>
      </c>
      <c r="EP384" s="4">
        <v>636</v>
      </c>
      <c r="EQ384" s="4">
        <v>1120</v>
      </c>
      <c r="ER384" s="4">
        <v>59.875539000000003</v>
      </c>
    </row>
    <row r="385" spans="1:148" x14ac:dyDescent="0.2">
      <c r="A385" s="1">
        <v>2025</v>
      </c>
      <c r="B385" s="1" t="str">
        <f t="shared" si="10"/>
        <v>NE</v>
      </c>
      <c r="C385" s="1" t="s">
        <v>1668</v>
      </c>
      <c r="D385" s="1" t="s">
        <v>1668</v>
      </c>
      <c r="E385" s="1">
        <v>31039</v>
      </c>
      <c r="F385" s="1" t="s">
        <v>2204</v>
      </c>
      <c r="G385" s="1" t="s">
        <v>2022</v>
      </c>
      <c r="H385" s="1" t="s">
        <v>1955</v>
      </c>
      <c r="I385" s="1">
        <v>31.06</v>
      </c>
      <c r="J385" s="1">
        <v>31.06</v>
      </c>
      <c r="K385" s="1" t="s">
        <v>148</v>
      </c>
      <c r="L385" s="1">
        <v>1</v>
      </c>
      <c r="M385" s="3">
        <v>2017</v>
      </c>
      <c r="O385" s="1">
        <v>1</v>
      </c>
      <c r="P385" s="1" t="str">
        <f t="shared" si="11"/>
        <v>Alto fuste</v>
      </c>
      <c r="Q385" s="2">
        <v>43032</v>
      </c>
      <c r="R385" s="1" t="s">
        <v>169</v>
      </c>
      <c r="S385" s="1" t="s">
        <v>348</v>
      </c>
      <c r="T385" s="1" t="s">
        <v>2268</v>
      </c>
      <c r="U385" s="1" t="s">
        <v>151</v>
      </c>
      <c r="V385" s="1" t="s">
        <v>152</v>
      </c>
      <c r="W385" s="2">
        <v>44781</v>
      </c>
      <c r="X385" s="1" t="s">
        <v>2205</v>
      </c>
      <c r="Y385" s="1">
        <v>104.15</v>
      </c>
      <c r="Z385" s="1">
        <v>20.2</v>
      </c>
      <c r="AA385" s="1">
        <v>7</v>
      </c>
      <c r="AB385" s="1">
        <v>15.2</v>
      </c>
      <c r="AC385" s="1">
        <v>2</v>
      </c>
      <c r="AD385" s="3">
        <v>307.04000000000002</v>
      </c>
      <c r="AE385" s="3">
        <v>304.56572409921</v>
      </c>
      <c r="AF385" s="2">
        <v>45740</v>
      </c>
      <c r="AG385" s="1">
        <v>89</v>
      </c>
      <c r="AH385" s="3">
        <v>7.4140999315537304</v>
      </c>
      <c r="AI385" s="4">
        <v>27.1135239450055</v>
      </c>
      <c r="AJ385" s="4">
        <v>17.6689655172414</v>
      </c>
      <c r="AK385" s="4">
        <v>23.893438479971699</v>
      </c>
      <c r="AL385" s="1">
        <v>29</v>
      </c>
      <c r="AM385" s="5">
        <v>952.17543227396902</v>
      </c>
      <c r="AN385" s="4">
        <v>288.545398692954</v>
      </c>
      <c r="AO385" s="4">
        <v>0.30303806306349901</v>
      </c>
      <c r="AP385" s="1" t="s">
        <v>348</v>
      </c>
      <c r="AQ385" s="1" t="s">
        <v>156</v>
      </c>
      <c r="AR385" s="1" t="s">
        <v>500</v>
      </c>
      <c r="AS385" s="1">
        <v>9</v>
      </c>
      <c r="AT385" s="4">
        <v>0.85695788904657211</v>
      </c>
      <c r="AU385" s="1" t="s">
        <v>1667</v>
      </c>
      <c r="AV385" s="1" t="s">
        <v>1668</v>
      </c>
      <c r="AW385" s="1">
        <v>1155</v>
      </c>
      <c r="AX385" s="1">
        <v>674</v>
      </c>
      <c r="AY385" s="1">
        <v>364</v>
      </c>
      <c r="AZ385" s="1">
        <v>108</v>
      </c>
      <c r="BA385" s="1">
        <v>9</v>
      </c>
      <c r="BB385" s="1">
        <v>0</v>
      </c>
      <c r="BC385" s="1">
        <v>0</v>
      </c>
      <c r="BD385" s="1">
        <v>0</v>
      </c>
      <c r="BE385" s="1">
        <v>0</v>
      </c>
      <c r="BF385" s="1">
        <v>0</v>
      </c>
      <c r="BG385" s="1">
        <v>0</v>
      </c>
      <c r="BH385" s="4">
        <v>0</v>
      </c>
      <c r="BI385" s="4">
        <v>30.263000000000002</v>
      </c>
      <c r="BJ385" s="4">
        <v>16.625819</v>
      </c>
      <c r="BK385" s="4">
        <v>0</v>
      </c>
      <c r="BL385" s="4">
        <v>12.130350999999999</v>
      </c>
      <c r="BM385" s="4">
        <v>147.14542</v>
      </c>
      <c r="BN385" s="4">
        <v>0.72960899999999995</v>
      </c>
      <c r="BO385" s="4">
        <v>26.381001000000001</v>
      </c>
      <c r="BP385" s="4">
        <v>-0.548373</v>
      </c>
      <c r="BQ385" s="4">
        <v>1.4074960000000001</v>
      </c>
      <c r="BR385" s="4">
        <v>11.365508999999999</v>
      </c>
      <c r="BS385" s="4">
        <v>2.8420010000000002</v>
      </c>
      <c r="BT385" s="4">
        <v>24.653998999999999</v>
      </c>
      <c r="BU385" s="4">
        <v>16.625819</v>
      </c>
      <c r="BV385" s="4">
        <v>6.2966230000000003</v>
      </c>
      <c r="BW385" s="4">
        <v>-1.2931589999999999</v>
      </c>
      <c r="BX385" s="4">
        <v>-0.83954399999999996</v>
      </c>
      <c r="BY385" s="4">
        <v>0.37872600000000001</v>
      </c>
      <c r="BZ385" s="4">
        <v>-0.205373</v>
      </c>
      <c r="CA385" s="4">
        <v>-0.13333200000000001</v>
      </c>
      <c r="CB385" s="4">
        <v>1E-3</v>
      </c>
      <c r="CC385" s="4">
        <v>4.0000000000000001E-3</v>
      </c>
      <c r="CD385" s="4">
        <v>8.9999999999999993E-3</v>
      </c>
      <c r="CE385" s="4">
        <v>2.3E-2</v>
      </c>
      <c r="CF385" s="4">
        <v>3.3000000000000002E-2</v>
      </c>
      <c r="CG385" s="4">
        <v>6.0199999999999997E-2</v>
      </c>
      <c r="CH385" s="4">
        <v>20.93</v>
      </c>
      <c r="CI385" s="4">
        <v>24.653998999999999</v>
      </c>
      <c r="CJ385" s="4">
        <v>25.384599999999999</v>
      </c>
      <c r="CK385" s="4">
        <v>26.149398999999999</v>
      </c>
      <c r="CL385" s="4">
        <v>26.414000999999999</v>
      </c>
      <c r="CM385" s="4">
        <v>26.676200999999999</v>
      </c>
      <c r="CN385" s="4">
        <v>27.469801</v>
      </c>
      <c r="CO385" s="4">
        <v>27.929199000000001</v>
      </c>
      <c r="CP385" s="4">
        <v>29.133679999999998</v>
      </c>
      <c r="CQ385" s="4">
        <v>0.54937800000000003</v>
      </c>
      <c r="CR385" s="4">
        <v>20.577558</v>
      </c>
      <c r="CS385" s="4">
        <v>22.206451999999999</v>
      </c>
      <c r="CT385" s="1">
        <v>21</v>
      </c>
      <c r="CU385" s="1">
        <v>947</v>
      </c>
      <c r="CV385" s="4">
        <v>226.39134200000001</v>
      </c>
      <c r="CW385" s="4">
        <v>35.698413000000002</v>
      </c>
      <c r="CX385" s="4">
        <v>185.01655500000001</v>
      </c>
      <c r="CY385" s="4">
        <v>34231.125749999999</v>
      </c>
      <c r="CZ385" s="4">
        <v>0.81724200000000002</v>
      </c>
      <c r="DA385" s="4">
        <v>203.5</v>
      </c>
      <c r="DB385" s="4">
        <v>1.525644</v>
      </c>
      <c r="DC385" s="4">
        <v>5.1445239999999997</v>
      </c>
      <c r="DD385" s="4">
        <v>136.57094699999999</v>
      </c>
      <c r="DE385" s="4">
        <v>226.39134200000001</v>
      </c>
      <c r="DF385" s="4">
        <v>95.404700000000005</v>
      </c>
      <c r="DG385" s="4">
        <v>28.143758999999999</v>
      </c>
      <c r="DH385" s="4">
        <v>15.777355</v>
      </c>
      <c r="DI385" s="4">
        <v>0.42141499999999998</v>
      </c>
      <c r="DJ385" s="4">
        <v>0.29499300000000001</v>
      </c>
      <c r="DK385" s="4">
        <v>0.16537299999999999</v>
      </c>
      <c r="DL385" s="4">
        <v>25</v>
      </c>
      <c r="DM385" s="4">
        <v>36</v>
      </c>
      <c r="DN385" s="4">
        <v>48</v>
      </c>
      <c r="DO385" s="4">
        <v>72.800003000000004</v>
      </c>
      <c r="DP385" s="4">
        <v>87.5</v>
      </c>
      <c r="DQ385" s="4">
        <v>101</v>
      </c>
      <c r="DR385" s="4">
        <v>144.60000600000001</v>
      </c>
      <c r="DS385" s="4">
        <v>188</v>
      </c>
      <c r="DT385" s="4">
        <v>223.400024</v>
      </c>
      <c r="DU385" s="4">
        <v>268</v>
      </c>
      <c r="DV385" s="4">
        <v>291</v>
      </c>
      <c r="DW385" s="4">
        <v>327</v>
      </c>
      <c r="DX385" s="4">
        <v>446.79992700000003</v>
      </c>
      <c r="DY385" s="4">
        <v>692.30004899999994</v>
      </c>
      <c r="DZ385" s="4">
        <v>811.21972700000003</v>
      </c>
      <c r="EA385" s="4">
        <v>87.537092000000001</v>
      </c>
      <c r="EB385" s="4">
        <v>66.926406999999998</v>
      </c>
      <c r="EC385" s="4">
        <v>114.688427</v>
      </c>
      <c r="ED385" s="4">
        <v>590</v>
      </c>
      <c r="EE385" s="4">
        <v>773</v>
      </c>
      <c r="EF385" s="4">
        <v>84.421364999999994</v>
      </c>
      <c r="EG385" s="4">
        <v>100</v>
      </c>
      <c r="EH385" s="4">
        <v>62.510823000000002</v>
      </c>
      <c r="EI385" s="4">
        <v>99.480519000000001</v>
      </c>
      <c r="EJ385" s="4">
        <v>107.121662</v>
      </c>
      <c r="EK385" s="4">
        <v>170.47477699999999</v>
      </c>
      <c r="EL385" s="4">
        <v>569</v>
      </c>
      <c r="EM385" s="4">
        <v>674</v>
      </c>
      <c r="EN385" s="4">
        <v>722</v>
      </c>
      <c r="EO385" s="4">
        <v>1149</v>
      </c>
      <c r="EP385" s="4">
        <v>674</v>
      </c>
      <c r="EQ385" s="4">
        <v>1155</v>
      </c>
      <c r="ER385" s="4">
        <v>56.059556999999998</v>
      </c>
    </row>
    <row r="386" spans="1:148" x14ac:dyDescent="0.2">
      <c r="A386" s="1">
        <v>2025</v>
      </c>
      <c r="B386" s="1" t="str">
        <f t="shared" si="10"/>
        <v>NE</v>
      </c>
      <c r="C386" s="1" t="s">
        <v>1670</v>
      </c>
      <c r="D386" s="1" t="s">
        <v>1670</v>
      </c>
      <c r="E386" s="1">
        <v>25508</v>
      </c>
      <c r="F386" s="1" t="s">
        <v>2206</v>
      </c>
      <c r="G386" s="1" t="s">
        <v>2022</v>
      </c>
      <c r="H386" s="1" t="s">
        <v>1956</v>
      </c>
      <c r="I386" s="1">
        <v>32.840000000000003</v>
      </c>
      <c r="J386" s="1">
        <v>32.840000000000003</v>
      </c>
      <c r="K386" s="1" t="s">
        <v>148</v>
      </c>
      <c r="L386" s="1">
        <v>1</v>
      </c>
      <c r="M386" s="3">
        <v>2017</v>
      </c>
      <c r="O386" s="1">
        <v>2</v>
      </c>
      <c r="P386" s="1" t="str">
        <f t="shared" si="11"/>
        <v>Talhadia</v>
      </c>
      <c r="Q386" s="2">
        <v>43064</v>
      </c>
      <c r="R386" s="1" t="s">
        <v>149</v>
      </c>
      <c r="S386" s="1" t="s">
        <v>2207</v>
      </c>
      <c r="T386" s="1" t="s">
        <v>2268</v>
      </c>
      <c r="U386" s="1" t="s">
        <v>151</v>
      </c>
      <c r="V386" s="1" t="s">
        <v>152</v>
      </c>
      <c r="W386" s="2">
        <v>45740</v>
      </c>
      <c r="X386" s="1" t="s">
        <v>2205</v>
      </c>
      <c r="Y386" s="1">
        <v>67.37</v>
      </c>
      <c r="Z386" s="1">
        <v>21.1</v>
      </c>
      <c r="AA386" s="1">
        <v>24</v>
      </c>
      <c r="AB386" s="1">
        <v>15.5</v>
      </c>
      <c r="AC386" s="1">
        <v>1</v>
      </c>
      <c r="AD386" s="3">
        <v>327.05</v>
      </c>
      <c r="AE386" s="3">
        <v>298.72953703597801</v>
      </c>
      <c r="AF386" s="2">
        <v>45740</v>
      </c>
      <c r="AG386" s="1">
        <v>88</v>
      </c>
      <c r="AH386" s="3">
        <v>7.3264887063654998</v>
      </c>
      <c r="AI386" s="4">
        <v>24.168150875059499</v>
      </c>
      <c r="AJ386" s="4">
        <v>18.613043478260899</v>
      </c>
      <c r="AK386" s="4">
        <v>22.218102689317401</v>
      </c>
      <c r="AL386" s="1">
        <v>23</v>
      </c>
      <c r="AM386" s="5">
        <v>769.92721336524301</v>
      </c>
      <c r="AN386" s="4">
        <v>249.52580023637</v>
      </c>
      <c r="AO386" s="4">
        <v>0.32409011644844699</v>
      </c>
      <c r="AP386" s="1" t="s">
        <v>2207</v>
      </c>
      <c r="AQ386" s="1" t="s">
        <v>254</v>
      </c>
      <c r="AR386" s="1" t="s">
        <v>500</v>
      </c>
      <c r="AS386" s="1">
        <v>9.99</v>
      </c>
      <c r="AT386" s="4">
        <v>0.76915728615187773</v>
      </c>
      <c r="AU386" s="1" t="s">
        <v>1669</v>
      </c>
      <c r="AV386" s="1" t="s">
        <v>1670</v>
      </c>
      <c r="AW386" s="1">
        <v>1240</v>
      </c>
      <c r="AX386" s="1">
        <v>756</v>
      </c>
      <c r="AY386" s="1">
        <v>373</v>
      </c>
      <c r="AZ386" s="1">
        <v>100</v>
      </c>
      <c r="BA386" s="1">
        <v>11</v>
      </c>
      <c r="BB386" s="1">
        <v>0</v>
      </c>
      <c r="BC386" s="1">
        <v>0</v>
      </c>
      <c r="BD386" s="1">
        <v>0</v>
      </c>
      <c r="BE386" s="1">
        <v>0</v>
      </c>
      <c r="BF386" s="1">
        <v>0</v>
      </c>
      <c r="BG386" s="1">
        <v>0</v>
      </c>
      <c r="BH386" s="4">
        <v>0</v>
      </c>
      <c r="BI386" s="4">
        <v>28.783000999999999</v>
      </c>
      <c r="BJ386" s="4">
        <v>16.364744000000002</v>
      </c>
      <c r="BK386" s="4">
        <v>0</v>
      </c>
      <c r="BL386" s="4">
        <v>10.817119999999999</v>
      </c>
      <c r="BM386" s="4">
        <v>117.010081</v>
      </c>
      <c r="BN386" s="4">
        <v>0.66100099999999995</v>
      </c>
      <c r="BO386" s="4">
        <v>24.114498999999999</v>
      </c>
      <c r="BP386" s="4">
        <v>-0.68763399999999997</v>
      </c>
      <c r="BQ386" s="4">
        <v>1.673136</v>
      </c>
      <c r="BR386" s="4">
        <v>9.7658570000000005</v>
      </c>
      <c r="BS386" s="4">
        <v>3.7325010000000001</v>
      </c>
      <c r="BT386" s="4">
        <v>22.209499000000001</v>
      </c>
      <c r="BU386" s="4">
        <v>16.364744000000002</v>
      </c>
      <c r="BV386" s="4">
        <v>5.6924400000000004</v>
      </c>
      <c r="BW386" s="4">
        <v>-1.320946</v>
      </c>
      <c r="BX386" s="4">
        <v>-0.39342199999999999</v>
      </c>
      <c r="BY386" s="4">
        <v>0.34784799999999999</v>
      </c>
      <c r="BZ386" s="4">
        <v>-0.23205300000000001</v>
      </c>
      <c r="CA386" s="4">
        <v>-6.9112999999999994E-2</v>
      </c>
      <c r="CB386" s="4">
        <v>1E-3</v>
      </c>
      <c r="CC386" s="4">
        <v>8.9999999999999993E-3</v>
      </c>
      <c r="CD386" s="4">
        <v>1.7999999999999999E-2</v>
      </c>
      <c r="CE386" s="4">
        <v>0.10539999999999999</v>
      </c>
      <c r="CF386" s="4">
        <v>0.68925000000000003</v>
      </c>
      <c r="CG386" s="4">
        <v>9.1344060000000002</v>
      </c>
      <c r="CH386" s="4">
        <v>20.371798999999999</v>
      </c>
      <c r="CI386" s="4">
        <v>22.209499000000001</v>
      </c>
      <c r="CJ386" s="4">
        <v>23.317999</v>
      </c>
      <c r="CK386" s="4">
        <v>24.345299000000001</v>
      </c>
      <c r="CL386" s="4">
        <v>24.803749</v>
      </c>
      <c r="CM386" s="4">
        <v>25.25</v>
      </c>
      <c r="CN386" s="4">
        <v>26.1873</v>
      </c>
      <c r="CO386" s="4">
        <v>27.1462</v>
      </c>
      <c r="CP386" s="4">
        <v>28.109831</v>
      </c>
      <c r="CQ386" s="4">
        <v>0.56855599999999995</v>
      </c>
      <c r="CR386" s="4">
        <v>19.614294999999998</v>
      </c>
      <c r="CS386" s="4">
        <v>20.993794000000001</v>
      </c>
      <c r="CT386" s="1">
        <v>24</v>
      </c>
      <c r="CU386" s="1">
        <v>504</v>
      </c>
      <c r="CV386" s="4">
        <v>121.283871</v>
      </c>
      <c r="CW386" s="4">
        <v>46.857143000000001</v>
      </c>
      <c r="CX386" s="4">
        <v>84.207093999999998</v>
      </c>
      <c r="CY386" s="4">
        <v>7090.8346060000003</v>
      </c>
      <c r="CZ386" s="4">
        <v>0.69429799999999997</v>
      </c>
      <c r="DA386" s="4">
        <v>101</v>
      </c>
      <c r="DB386" s="4">
        <v>1.6373310000000001</v>
      </c>
      <c r="DC386" s="4">
        <v>6.3645909999999999</v>
      </c>
      <c r="DD386" s="4">
        <v>62.798751000000003</v>
      </c>
      <c r="DE386" s="4">
        <v>121.283871</v>
      </c>
      <c r="DF386" s="4">
        <v>43.483215999999999</v>
      </c>
      <c r="DG386" s="4">
        <v>11.780571999999999</v>
      </c>
      <c r="DH386" s="4">
        <v>6.5914960000000002</v>
      </c>
      <c r="DI386" s="4">
        <v>0.35852400000000001</v>
      </c>
      <c r="DJ386" s="4">
        <v>0.270922</v>
      </c>
      <c r="DK386" s="4">
        <v>0.151587</v>
      </c>
      <c r="DL386" s="4">
        <v>26.389999</v>
      </c>
      <c r="DM386" s="4">
        <v>32</v>
      </c>
      <c r="DN386" s="4">
        <v>39</v>
      </c>
      <c r="DO386" s="4">
        <v>51</v>
      </c>
      <c r="DP386" s="4">
        <v>57</v>
      </c>
      <c r="DQ386" s="4">
        <v>64</v>
      </c>
      <c r="DR386" s="4">
        <v>83.600005999999993</v>
      </c>
      <c r="DS386" s="4">
        <v>103</v>
      </c>
      <c r="DT386" s="4">
        <v>125</v>
      </c>
      <c r="DU386" s="4">
        <v>148</v>
      </c>
      <c r="DV386" s="4">
        <v>158</v>
      </c>
      <c r="DW386" s="4">
        <v>174</v>
      </c>
      <c r="DX386" s="4">
        <v>212.099976</v>
      </c>
      <c r="DY386" s="4">
        <v>286.050049</v>
      </c>
      <c r="DZ386" s="4">
        <v>432.92980999999997</v>
      </c>
      <c r="EA386" s="4">
        <v>91.931217000000004</v>
      </c>
      <c r="EB386" s="4">
        <v>71.209676999999999</v>
      </c>
      <c r="EC386" s="4">
        <v>116.798942</v>
      </c>
      <c r="ED386" s="4">
        <v>695</v>
      </c>
      <c r="EE386" s="4">
        <v>883</v>
      </c>
      <c r="EF386" s="4">
        <v>87.830687999999995</v>
      </c>
      <c r="EG386" s="4">
        <v>99.867724999999993</v>
      </c>
      <c r="EH386" s="4">
        <v>65.483870999999994</v>
      </c>
      <c r="EI386" s="4">
        <v>99.596773999999996</v>
      </c>
      <c r="EJ386" s="4">
        <v>107.40740700000001</v>
      </c>
      <c r="EK386" s="4">
        <v>163.35978800000001</v>
      </c>
      <c r="EL386" s="4">
        <v>664</v>
      </c>
      <c r="EM386" s="4">
        <v>755</v>
      </c>
      <c r="EN386" s="4">
        <v>812</v>
      </c>
      <c r="EO386" s="4">
        <v>1235</v>
      </c>
      <c r="EP386" s="4">
        <v>756</v>
      </c>
      <c r="EQ386" s="4">
        <v>1240</v>
      </c>
      <c r="ER386" s="4">
        <v>57.237606</v>
      </c>
    </row>
    <row r="387" spans="1:148" x14ac:dyDescent="0.2">
      <c r="A387" s="1">
        <v>2025</v>
      </c>
      <c r="B387" s="1" t="str">
        <f t="shared" ref="B387:B450" si="12">LEFT(C387,2)</f>
        <v>NE</v>
      </c>
      <c r="C387" s="1" t="s">
        <v>1672</v>
      </c>
      <c r="D387" s="1" t="s">
        <v>1672</v>
      </c>
      <c r="E387" s="1">
        <v>25529</v>
      </c>
      <c r="F387" s="1" t="s">
        <v>2206</v>
      </c>
      <c r="G387" s="1" t="s">
        <v>2022</v>
      </c>
      <c r="H387" s="1" t="s">
        <v>1957</v>
      </c>
      <c r="I387" s="1">
        <v>34.53</v>
      </c>
      <c r="J387" s="1">
        <v>34.53</v>
      </c>
      <c r="K387" s="1" t="s">
        <v>148</v>
      </c>
      <c r="L387" s="1">
        <v>1</v>
      </c>
      <c r="M387" s="3">
        <v>2017</v>
      </c>
      <c r="O387" s="1">
        <v>2</v>
      </c>
      <c r="P387" s="1" t="str">
        <f t="shared" ref="P387:P450" si="13">IF(MID(H387,12,1)="R","Talhadia","Alto fuste")</f>
        <v>Talhadia</v>
      </c>
      <c r="Q387" s="2">
        <v>43089</v>
      </c>
      <c r="R387" s="1" t="s">
        <v>169</v>
      </c>
      <c r="S387" s="1" t="s">
        <v>163</v>
      </c>
      <c r="T387" s="1" t="s">
        <v>2268</v>
      </c>
      <c r="U387" s="1" t="s">
        <v>151</v>
      </c>
      <c r="V387" s="1" t="s">
        <v>152</v>
      </c>
      <c r="W387" s="2">
        <v>44782</v>
      </c>
      <c r="X387" s="1" t="s">
        <v>2205</v>
      </c>
      <c r="Y387" s="1">
        <v>67.37</v>
      </c>
      <c r="Z387" s="1">
        <v>19.2</v>
      </c>
      <c r="AA387" s="1">
        <v>22</v>
      </c>
      <c r="AB387" s="1">
        <v>15.3</v>
      </c>
      <c r="AC387" s="1">
        <v>2</v>
      </c>
      <c r="AD387" s="3">
        <v>293.76</v>
      </c>
      <c r="AE387" s="3">
        <v>272.20360895957998</v>
      </c>
      <c r="AF387" s="2">
        <v>45740</v>
      </c>
      <c r="AG387" s="1">
        <v>87</v>
      </c>
      <c r="AH387" s="3">
        <v>7.2580424366871998</v>
      </c>
      <c r="AI387" s="4">
        <v>26.710900901204599</v>
      </c>
      <c r="AJ387" s="4">
        <v>20.436842105263199</v>
      </c>
      <c r="AK387" s="4">
        <v>23.971205589044001</v>
      </c>
      <c r="AL387" s="1">
        <v>19</v>
      </c>
      <c r="AM387" s="5">
        <v>698.00691007081298</v>
      </c>
      <c r="AN387" s="4">
        <v>295.260111263282</v>
      </c>
      <c r="AO387" s="4">
        <v>0.423004567724592</v>
      </c>
      <c r="AP387" s="1" t="s">
        <v>163</v>
      </c>
      <c r="AQ387" s="1" t="s">
        <v>254</v>
      </c>
      <c r="AR387" s="1" t="s">
        <v>500</v>
      </c>
      <c r="AS387" s="1">
        <v>9</v>
      </c>
      <c r="AT387" s="4">
        <v>0.62820621906373164</v>
      </c>
      <c r="AU387" s="1" t="s">
        <v>1671</v>
      </c>
      <c r="AV387" s="1" t="s">
        <v>1672</v>
      </c>
      <c r="AW387" s="1">
        <v>1049</v>
      </c>
      <c r="AX387" s="1">
        <v>591</v>
      </c>
      <c r="AY387" s="1">
        <v>319</v>
      </c>
      <c r="AZ387" s="1">
        <v>117</v>
      </c>
      <c r="BA387" s="1">
        <v>22</v>
      </c>
      <c r="BB387" s="1">
        <v>0</v>
      </c>
      <c r="BC387" s="1">
        <v>0</v>
      </c>
      <c r="BD387" s="1">
        <v>0</v>
      </c>
      <c r="BE387" s="1">
        <v>0</v>
      </c>
      <c r="BF387" s="1">
        <v>0</v>
      </c>
      <c r="BG387" s="1">
        <v>0</v>
      </c>
      <c r="BH387" s="4">
        <v>0</v>
      </c>
      <c r="BI387" s="4">
        <v>33.536999000000002</v>
      </c>
      <c r="BJ387" s="4">
        <v>17.618312</v>
      </c>
      <c r="BK387" s="4">
        <v>0</v>
      </c>
      <c r="BL387" s="4">
        <v>12.06828</v>
      </c>
      <c r="BM387" s="4">
        <v>145.64338699999999</v>
      </c>
      <c r="BN387" s="4">
        <v>0.68498499999999996</v>
      </c>
      <c r="BO387" s="4">
        <v>27.544</v>
      </c>
      <c r="BP387" s="4">
        <v>-0.52680700000000003</v>
      </c>
      <c r="BQ387" s="4">
        <v>1.591923</v>
      </c>
      <c r="BR387" s="4">
        <v>10.890340999999999</v>
      </c>
      <c r="BS387" s="4">
        <v>6.1840000000000002</v>
      </c>
      <c r="BT387" s="4">
        <v>23.399000000000001</v>
      </c>
      <c r="BU387" s="4">
        <v>17.618312</v>
      </c>
      <c r="BV387" s="4">
        <v>6.5846070000000001</v>
      </c>
      <c r="BW387" s="4">
        <v>-1.0927169999999999</v>
      </c>
      <c r="BX387" s="4">
        <v>-0.57849799999999996</v>
      </c>
      <c r="BY387" s="4">
        <v>0.37373699999999999</v>
      </c>
      <c r="BZ387" s="4">
        <v>-0.16594999999999999</v>
      </c>
      <c r="CA387" s="4">
        <v>-8.7856000000000004E-2</v>
      </c>
      <c r="CB387" s="4">
        <v>2E-3</v>
      </c>
      <c r="CC387" s="4">
        <v>8.0000000000000002E-3</v>
      </c>
      <c r="CD387" s="4">
        <v>1.4999999999999999E-2</v>
      </c>
      <c r="CE387" s="4">
        <v>4.2000000000000003E-2</v>
      </c>
      <c r="CF387" s="4">
        <v>0.12</v>
      </c>
      <c r="CG387" s="4">
        <v>10.2072</v>
      </c>
      <c r="CH387" s="4">
        <v>18.252199000000001</v>
      </c>
      <c r="CI387" s="4">
        <v>23.399000000000001</v>
      </c>
      <c r="CJ387" s="4">
        <v>25.677999</v>
      </c>
      <c r="CK387" s="4">
        <v>27.094200000000001</v>
      </c>
      <c r="CL387" s="4">
        <v>27.664000000000001</v>
      </c>
      <c r="CM387" s="4">
        <v>28.367401000000001</v>
      </c>
      <c r="CN387" s="4">
        <v>29.945799000000001</v>
      </c>
      <c r="CO387" s="4">
        <v>30.898001000000001</v>
      </c>
      <c r="CP387" s="4">
        <v>32.274600999999997</v>
      </c>
      <c r="CQ387" s="4">
        <v>0.52534000000000003</v>
      </c>
      <c r="CR387" s="4">
        <v>21.352035999999998</v>
      </c>
      <c r="CS387" s="4">
        <v>23.042369999999998</v>
      </c>
      <c r="CT387" s="1">
        <v>20</v>
      </c>
      <c r="CU387" s="1">
        <v>897</v>
      </c>
      <c r="CV387" s="4">
        <v>195.029552</v>
      </c>
      <c r="CW387" s="4">
        <v>33.920634999999997</v>
      </c>
      <c r="CX387" s="4">
        <v>168.219742</v>
      </c>
      <c r="CY387" s="4">
        <v>28297.88176</v>
      </c>
      <c r="CZ387" s="4">
        <v>0.86253500000000005</v>
      </c>
      <c r="DA387" s="4">
        <v>195</v>
      </c>
      <c r="DB387" s="4">
        <v>1.582581</v>
      </c>
      <c r="DC387" s="4">
        <v>5.4360340000000003</v>
      </c>
      <c r="DD387" s="4">
        <v>126.32597199999999</v>
      </c>
      <c r="DE387" s="4">
        <v>195.029552</v>
      </c>
      <c r="DF387" s="4">
        <v>86.338468000000006</v>
      </c>
      <c r="DG387" s="4">
        <v>27.571923000000002</v>
      </c>
      <c r="DH387" s="4">
        <v>12.775765</v>
      </c>
      <c r="DI387" s="4">
        <v>0.44269399999999998</v>
      </c>
      <c r="DJ387" s="4">
        <v>0.31934699999999999</v>
      </c>
      <c r="DK387" s="4">
        <v>0.14797299999999999</v>
      </c>
      <c r="DL387" s="4">
        <v>26</v>
      </c>
      <c r="DM387" s="4">
        <v>34</v>
      </c>
      <c r="DN387" s="4">
        <v>41</v>
      </c>
      <c r="DO387" s="4">
        <v>55</v>
      </c>
      <c r="DP387" s="4">
        <v>67</v>
      </c>
      <c r="DQ387" s="4">
        <v>79.399994000000007</v>
      </c>
      <c r="DR387" s="4">
        <v>108</v>
      </c>
      <c r="DS387" s="4">
        <v>150</v>
      </c>
      <c r="DT387" s="4">
        <v>191.79998800000001</v>
      </c>
      <c r="DU387" s="4">
        <v>235</v>
      </c>
      <c r="DV387" s="4">
        <v>262</v>
      </c>
      <c r="DW387" s="4">
        <v>301</v>
      </c>
      <c r="DX387" s="4">
        <v>405.20001200000002</v>
      </c>
      <c r="DY387" s="4">
        <v>595.99987799999997</v>
      </c>
      <c r="DZ387" s="4">
        <v>749.16015600000003</v>
      </c>
      <c r="EA387" s="4">
        <v>90.355329999999995</v>
      </c>
      <c r="EB387" s="4">
        <v>71.877978999999996</v>
      </c>
      <c r="EC387" s="4">
        <v>127.580372</v>
      </c>
      <c r="ED387" s="4">
        <v>534</v>
      </c>
      <c r="EE387" s="4">
        <v>754</v>
      </c>
      <c r="EF387" s="4">
        <v>81.049069000000003</v>
      </c>
      <c r="EG387" s="4">
        <v>100</v>
      </c>
      <c r="EH387" s="4">
        <v>61.487130999999998</v>
      </c>
      <c r="EI387" s="4">
        <v>99.809342000000001</v>
      </c>
      <c r="EJ387" s="4">
        <v>109.137056</v>
      </c>
      <c r="EK387" s="4">
        <v>177.15736000000001</v>
      </c>
      <c r="EL387" s="4">
        <v>479</v>
      </c>
      <c r="EM387" s="4">
        <v>591</v>
      </c>
      <c r="EN387" s="4">
        <v>645</v>
      </c>
      <c r="EO387" s="4">
        <v>1047</v>
      </c>
      <c r="EP387" s="4">
        <v>591</v>
      </c>
      <c r="EQ387" s="4">
        <v>1049</v>
      </c>
      <c r="ER387" s="4">
        <v>53.575308999999997</v>
      </c>
    </row>
    <row r="388" spans="1:148" x14ac:dyDescent="0.2">
      <c r="A388" s="1">
        <v>2025</v>
      </c>
      <c r="B388" s="1" t="str">
        <f t="shared" si="12"/>
        <v>NE</v>
      </c>
      <c r="C388" s="1" t="s">
        <v>1674</v>
      </c>
      <c r="D388" s="1" t="s">
        <v>1674</v>
      </c>
      <c r="E388" s="1">
        <v>25536</v>
      </c>
      <c r="F388" s="1" t="s">
        <v>2206</v>
      </c>
      <c r="G388" s="1" t="s">
        <v>2022</v>
      </c>
      <c r="H388" s="1" t="s">
        <v>1957</v>
      </c>
      <c r="I388" s="1">
        <v>34.53</v>
      </c>
      <c r="J388" s="1">
        <v>34.53</v>
      </c>
      <c r="K388" s="1" t="s">
        <v>148</v>
      </c>
      <c r="L388" s="1">
        <v>1</v>
      </c>
      <c r="M388" s="3">
        <v>2017</v>
      </c>
      <c r="O388" s="1">
        <v>2</v>
      </c>
      <c r="P388" s="1" t="str">
        <f t="shared" si="13"/>
        <v>Talhadia</v>
      </c>
      <c r="Q388" s="2">
        <v>43089</v>
      </c>
      <c r="R388" s="1" t="s">
        <v>169</v>
      </c>
      <c r="S388" s="1" t="s">
        <v>163</v>
      </c>
      <c r="T388" s="1" t="s">
        <v>2268</v>
      </c>
      <c r="U388" s="1" t="s">
        <v>151</v>
      </c>
      <c r="V388" s="1" t="s">
        <v>152</v>
      </c>
      <c r="W388" s="2">
        <v>45740</v>
      </c>
      <c r="X388" s="1" t="s">
        <v>2205</v>
      </c>
      <c r="Y388" s="1">
        <v>67.37</v>
      </c>
      <c r="Z388" s="1">
        <v>19.7</v>
      </c>
      <c r="AA388" s="1">
        <v>8</v>
      </c>
      <c r="AB388" s="1">
        <v>15.8</v>
      </c>
      <c r="AC388" s="1">
        <v>2</v>
      </c>
      <c r="AD388" s="3">
        <v>311.26</v>
      </c>
      <c r="AE388" s="3">
        <v>308.043073177454</v>
      </c>
      <c r="AF388" s="2">
        <v>45740</v>
      </c>
      <c r="AG388" s="1">
        <v>87</v>
      </c>
      <c r="AH388" s="3">
        <v>7.2580424366871998</v>
      </c>
      <c r="AI388" s="4">
        <v>28.283026800911301</v>
      </c>
      <c r="AJ388" s="4">
        <v>17.803571428571399</v>
      </c>
      <c r="AK388" s="4">
        <v>24.219031877955501</v>
      </c>
      <c r="AL388" s="1">
        <v>28</v>
      </c>
      <c r="AM388" s="5">
        <v>908.96379234179506</v>
      </c>
      <c r="AN388" s="4">
        <v>336.893879028448</v>
      </c>
      <c r="AO388" s="4">
        <v>0.37063509225213098</v>
      </c>
      <c r="AP388" s="1" t="s">
        <v>163</v>
      </c>
      <c r="AQ388" s="1" t="s">
        <v>254</v>
      </c>
      <c r="AR388" s="1" t="s">
        <v>500</v>
      </c>
      <c r="AS388" s="1">
        <v>9</v>
      </c>
      <c r="AT388" s="4">
        <v>0.81806741310761555</v>
      </c>
      <c r="AU388" s="1" t="s">
        <v>1673</v>
      </c>
      <c r="AV388" s="1" t="s">
        <v>1674</v>
      </c>
      <c r="AW388" s="1">
        <v>1088</v>
      </c>
      <c r="AX388" s="1">
        <v>591</v>
      </c>
      <c r="AY388" s="1">
        <v>349</v>
      </c>
      <c r="AZ388" s="1">
        <v>128</v>
      </c>
      <c r="BA388" s="1">
        <v>18</v>
      </c>
      <c r="BB388" s="1">
        <v>2</v>
      </c>
      <c r="BC388" s="1">
        <v>0</v>
      </c>
      <c r="BD388" s="1">
        <v>0</v>
      </c>
      <c r="BE388" s="1">
        <v>0</v>
      </c>
      <c r="BF388" s="1">
        <v>0</v>
      </c>
      <c r="BG388" s="1">
        <v>0</v>
      </c>
      <c r="BH388" s="4">
        <v>0</v>
      </c>
      <c r="BI388" s="4">
        <v>34.498001000000002</v>
      </c>
      <c r="BJ388" s="4">
        <v>17.035851999999998</v>
      </c>
      <c r="BK388" s="4">
        <v>0</v>
      </c>
      <c r="BL388" s="4">
        <v>14.132923999999999</v>
      </c>
      <c r="BM388" s="4">
        <v>199.73953900000001</v>
      </c>
      <c r="BN388" s="4">
        <v>0.82959899999999998</v>
      </c>
      <c r="BO388" s="4">
        <v>30.588999999999999</v>
      </c>
      <c r="BP388" s="4">
        <v>-0.172457</v>
      </c>
      <c r="BQ388" s="4">
        <v>1.208197</v>
      </c>
      <c r="BR388" s="4">
        <v>13.44586</v>
      </c>
      <c r="BS388" s="4">
        <v>10.435999000000001</v>
      </c>
      <c r="BT388" s="4">
        <v>21.991001000000001</v>
      </c>
      <c r="BU388" s="4">
        <v>17.035851999999998</v>
      </c>
      <c r="BV388" s="4">
        <v>7.697349</v>
      </c>
      <c r="BW388" s="4">
        <v>-0.40291300000000002</v>
      </c>
      <c r="BX388" s="4">
        <v>-1.4133869999999999</v>
      </c>
      <c r="BY388" s="4">
        <v>0.45183200000000001</v>
      </c>
      <c r="BZ388" s="4">
        <v>-5.2344000000000002E-2</v>
      </c>
      <c r="CA388" s="4">
        <v>-0.18362000000000001</v>
      </c>
      <c r="CB388" s="4">
        <v>2E-3</v>
      </c>
      <c r="CC388" s="4">
        <v>1.2999999999999999E-2</v>
      </c>
      <c r="CD388" s="4">
        <v>2.9700000000000001E-2</v>
      </c>
      <c r="CE388" s="4">
        <v>9.4E-2</v>
      </c>
      <c r="CF388" s="4">
        <v>0.17549999999999999</v>
      </c>
      <c r="CG388" s="4">
        <v>0.3281</v>
      </c>
      <c r="CH388" s="4">
        <v>10.312397000000001</v>
      </c>
      <c r="CI388" s="4">
        <v>21.991001000000001</v>
      </c>
      <c r="CJ388" s="4">
        <v>28.640599999999999</v>
      </c>
      <c r="CK388" s="4">
        <v>30.25</v>
      </c>
      <c r="CL388" s="4">
        <v>30.764500000000002</v>
      </c>
      <c r="CM388" s="4">
        <v>31.339199000000001</v>
      </c>
      <c r="CN388" s="4">
        <v>32.345298999999997</v>
      </c>
      <c r="CO388" s="4">
        <v>33.006301999999998</v>
      </c>
      <c r="CP388" s="4">
        <v>33.891640000000002</v>
      </c>
      <c r="CQ388" s="4">
        <v>0.49382100000000001</v>
      </c>
      <c r="CR388" s="4">
        <v>22.130887999999999</v>
      </c>
      <c r="CS388" s="4">
        <v>24.472449999999998</v>
      </c>
      <c r="CT388" s="1">
        <v>21</v>
      </c>
      <c r="CU388" s="1">
        <v>791</v>
      </c>
      <c r="CV388" s="4">
        <v>190.87132399999999</v>
      </c>
      <c r="CW388" s="4">
        <v>33.222222000000002</v>
      </c>
      <c r="CX388" s="4">
        <v>157.461626</v>
      </c>
      <c r="CY388" s="4">
        <v>24794.16374</v>
      </c>
      <c r="CZ388" s="4">
        <v>0.82496199999999997</v>
      </c>
      <c r="DA388" s="4">
        <v>202.25</v>
      </c>
      <c r="DB388" s="4">
        <v>1.258516</v>
      </c>
      <c r="DC388" s="4">
        <v>4.022278</v>
      </c>
      <c r="DD388" s="4">
        <v>125.061689</v>
      </c>
      <c r="DE388" s="4">
        <v>190.87132399999999</v>
      </c>
      <c r="DF388" s="4">
        <v>83.373304000000005</v>
      </c>
      <c r="DG388" s="4">
        <v>24.959201</v>
      </c>
      <c r="DH388" s="4">
        <v>8.8052299999999999</v>
      </c>
      <c r="DI388" s="4">
        <v>0.43680400000000003</v>
      </c>
      <c r="DJ388" s="4">
        <v>0.29936699999999999</v>
      </c>
      <c r="DK388" s="4">
        <v>0.105612</v>
      </c>
      <c r="DL388" s="4">
        <v>26</v>
      </c>
      <c r="DM388" s="4">
        <v>35</v>
      </c>
      <c r="DN388" s="4">
        <v>41</v>
      </c>
      <c r="DO388" s="4">
        <v>57</v>
      </c>
      <c r="DP388" s="4">
        <v>65.75</v>
      </c>
      <c r="DQ388" s="4">
        <v>75.100005999999993</v>
      </c>
      <c r="DR388" s="4">
        <v>103</v>
      </c>
      <c r="DS388" s="4">
        <v>138</v>
      </c>
      <c r="DT388" s="4">
        <v>184.20001199999999</v>
      </c>
      <c r="DU388" s="4">
        <v>241</v>
      </c>
      <c r="DV388" s="4">
        <v>268</v>
      </c>
      <c r="DW388" s="4">
        <v>303</v>
      </c>
      <c r="DX388" s="4">
        <v>425</v>
      </c>
      <c r="DY388" s="4">
        <v>536</v>
      </c>
      <c r="DZ388" s="4">
        <v>655.13000499999998</v>
      </c>
      <c r="EA388" s="4">
        <v>80.879864999999995</v>
      </c>
      <c r="EB388" s="4">
        <v>63.602941000000001</v>
      </c>
      <c r="EC388" s="4">
        <v>117.089679</v>
      </c>
      <c r="ED388" s="4">
        <v>478</v>
      </c>
      <c r="EE388" s="4">
        <v>692</v>
      </c>
      <c r="EF388" s="4">
        <v>72.758037000000002</v>
      </c>
      <c r="EG388" s="4">
        <v>100</v>
      </c>
      <c r="EH388" s="4">
        <v>52.665441000000001</v>
      </c>
      <c r="EI388" s="4">
        <v>99.908088000000006</v>
      </c>
      <c r="EJ388" s="4">
        <v>96.954314999999994</v>
      </c>
      <c r="EK388" s="4">
        <v>183.92554999999999</v>
      </c>
      <c r="EL388" s="4">
        <v>430</v>
      </c>
      <c r="EM388" s="4">
        <v>591</v>
      </c>
      <c r="EN388" s="4">
        <v>573</v>
      </c>
      <c r="EO388" s="4">
        <v>1087</v>
      </c>
      <c r="EP388" s="4">
        <v>591</v>
      </c>
      <c r="EQ388" s="4">
        <v>1088</v>
      </c>
      <c r="ER388" s="4">
        <v>49.228363999999999</v>
      </c>
    </row>
    <row r="389" spans="1:148" x14ac:dyDescent="0.2">
      <c r="A389" s="1">
        <v>2025</v>
      </c>
      <c r="B389" s="1" t="str">
        <f t="shared" si="12"/>
        <v>NE</v>
      </c>
      <c r="C389" s="1" t="s">
        <v>1676</v>
      </c>
      <c r="D389" s="1" t="s">
        <v>1676</v>
      </c>
      <c r="E389" s="1">
        <v>31038</v>
      </c>
      <c r="F389" s="1" t="s">
        <v>2206</v>
      </c>
      <c r="G389" s="1" t="s">
        <v>2022</v>
      </c>
      <c r="H389" s="1" t="s">
        <v>1957</v>
      </c>
      <c r="I389" s="1">
        <v>34.53</v>
      </c>
      <c r="J389" s="1">
        <v>34.53</v>
      </c>
      <c r="K389" s="1" t="s">
        <v>148</v>
      </c>
      <c r="L389" s="1">
        <v>1</v>
      </c>
      <c r="M389" s="3">
        <v>2017</v>
      </c>
      <c r="O389" s="1">
        <v>2</v>
      </c>
      <c r="P389" s="1" t="str">
        <f t="shared" si="13"/>
        <v>Talhadia</v>
      </c>
      <c r="Q389" s="2">
        <v>43089</v>
      </c>
      <c r="R389" s="1" t="s">
        <v>169</v>
      </c>
      <c r="S389" s="1" t="s">
        <v>163</v>
      </c>
      <c r="T389" s="1" t="s">
        <v>2268</v>
      </c>
      <c r="U389" s="1" t="s">
        <v>151</v>
      </c>
      <c r="V389" s="1" t="s">
        <v>152</v>
      </c>
      <c r="W389" s="2">
        <v>44783</v>
      </c>
      <c r="X389" s="1" t="s">
        <v>2205</v>
      </c>
      <c r="Y389" s="1">
        <v>67.37</v>
      </c>
      <c r="Z389" s="1">
        <v>21.4</v>
      </c>
      <c r="AA389" s="1">
        <v>10</v>
      </c>
      <c r="AB389" s="1">
        <v>14.8</v>
      </c>
      <c r="AC389" s="1">
        <v>2</v>
      </c>
      <c r="AD389" s="3">
        <v>316.72000000000003</v>
      </c>
      <c r="AE389" s="3">
        <v>311.71830541812102</v>
      </c>
      <c r="AF389" s="2">
        <v>45740</v>
      </c>
      <c r="AG389" s="1">
        <v>87</v>
      </c>
      <c r="AH389" s="3">
        <v>7.2580424366871998</v>
      </c>
      <c r="AI389" s="4">
        <v>24.758734267151102</v>
      </c>
      <c r="AJ389" s="4">
        <v>20.5818181818182</v>
      </c>
      <c r="AK389" s="4">
        <v>24.984222837815501</v>
      </c>
      <c r="AL389" s="1">
        <v>22</v>
      </c>
      <c r="AM389" s="5">
        <v>705.76541760967496</v>
      </c>
      <c r="AN389" s="4">
        <v>287.70826921230002</v>
      </c>
      <c r="AO389" s="4">
        <v>0.40765424606199402</v>
      </c>
      <c r="AP389" s="1" t="s">
        <v>163</v>
      </c>
      <c r="AQ389" s="1" t="s">
        <v>254</v>
      </c>
      <c r="AR389" s="1" t="s">
        <v>500</v>
      </c>
      <c r="AS389" s="1">
        <v>9</v>
      </c>
      <c r="AT389" s="4">
        <v>0.63518887584870742</v>
      </c>
      <c r="AU389" s="1" t="s">
        <v>1675</v>
      </c>
      <c r="AV389" s="1" t="s">
        <v>1676</v>
      </c>
      <c r="AW389" s="1">
        <v>1028</v>
      </c>
      <c r="AX389" s="1">
        <v>622</v>
      </c>
      <c r="AY389" s="1">
        <v>316</v>
      </c>
      <c r="AZ389" s="1">
        <v>76</v>
      </c>
      <c r="BA389" s="1">
        <v>14</v>
      </c>
      <c r="BB389" s="1">
        <v>0</v>
      </c>
      <c r="BC389" s="1">
        <v>0</v>
      </c>
      <c r="BD389" s="1">
        <v>0</v>
      </c>
      <c r="BE389" s="1">
        <v>0</v>
      </c>
      <c r="BF389" s="1">
        <v>0</v>
      </c>
      <c r="BG389" s="1">
        <v>0</v>
      </c>
      <c r="BH389" s="4">
        <v>0</v>
      </c>
      <c r="BI389" s="4">
        <v>32.653998999999999</v>
      </c>
      <c r="BJ389" s="4">
        <v>18.658833000000001</v>
      </c>
      <c r="BK389" s="4">
        <v>0</v>
      </c>
      <c r="BL389" s="4">
        <v>12.677141000000001</v>
      </c>
      <c r="BM389" s="4">
        <v>160.70991100000001</v>
      </c>
      <c r="BN389" s="4">
        <v>0.67941799999999997</v>
      </c>
      <c r="BO389" s="4">
        <v>29.069749999999999</v>
      </c>
      <c r="BP389" s="4">
        <v>-0.60233899999999996</v>
      </c>
      <c r="BQ389" s="4">
        <v>1.5837939999999999</v>
      </c>
      <c r="BR389" s="4">
        <v>11.579015999999999</v>
      </c>
      <c r="BS389" s="4">
        <v>4.5394990000000002</v>
      </c>
      <c r="BT389" s="4">
        <v>26.041</v>
      </c>
      <c r="BU389" s="4">
        <v>18.658833000000001</v>
      </c>
      <c r="BV389" s="4">
        <v>6.755598</v>
      </c>
      <c r="BW389" s="4">
        <v>-1.44082</v>
      </c>
      <c r="BX389" s="4">
        <v>-0.68713900000000006</v>
      </c>
      <c r="BY389" s="4">
        <v>0.36205900000000002</v>
      </c>
      <c r="BZ389" s="4">
        <v>-0.213278</v>
      </c>
      <c r="CA389" s="4">
        <v>-0.101714</v>
      </c>
      <c r="CB389" s="4">
        <v>1E-3</v>
      </c>
      <c r="CC389" s="4">
        <v>8.9999999999999993E-3</v>
      </c>
      <c r="CD389" s="4">
        <v>1.7000000000000001E-2</v>
      </c>
      <c r="CE389" s="4">
        <v>4.2000000000000003E-2</v>
      </c>
      <c r="CF389" s="4">
        <v>7.8750000000000001E-2</v>
      </c>
      <c r="CG389" s="4">
        <v>9.6944049999999997</v>
      </c>
      <c r="CH389" s="4">
        <v>21.076391000000001</v>
      </c>
      <c r="CI389" s="4">
        <v>26.041</v>
      </c>
      <c r="CJ389" s="4">
        <v>27.588799000000002</v>
      </c>
      <c r="CK389" s="4">
        <v>28.660799000000001</v>
      </c>
      <c r="CL389" s="4">
        <v>29.148499999999999</v>
      </c>
      <c r="CM389" s="4">
        <v>29.631601</v>
      </c>
      <c r="CN389" s="4">
        <v>30.503201000000001</v>
      </c>
      <c r="CO389" s="4">
        <v>31.118299</v>
      </c>
      <c r="CP389" s="4">
        <v>31.845600000000001</v>
      </c>
      <c r="CQ389" s="4">
        <v>0.57140999999999997</v>
      </c>
      <c r="CR389" s="4">
        <v>22.554503</v>
      </c>
      <c r="CS389" s="4">
        <v>24.248203</v>
      </c>
      <c r="CT389" s="1">
        <v>20</v>
      </c>
      <c r="CU389" s="1">
        <v>908</v>
      </c>
      <c r="CV389" s="4">
        <v>231.17607000000001</v>
      </c>
      <c r="CW389" s="4">
        <v>34.095238000000002</v>
      </c>
      <c r="CX389" s="4">
        <v>193.238226</v>
      </c>
      <c r="CY389" s="4">
        <v>37341.011810000004</v>
      </c>
      <c r="CZ389" s="4">
        <v>0.83589199999999997</v>
      </c>
      <c r="DA389" s="4">
        <v>220</v>
      </c>
      <c r="DB389" s="4">
        <v>1.395308</v>
      </c>
      <c r="DC389" s="4">
        <v>4.559666</v>
      </c>
      <c r="DD389" s="4">
        <v>145.54243399999999</v>
      </c>
      <c r="DE389" s="4">
        <v>231.17607000000001</v>
      </c>
      <c r="DF389" s="4">
        <v>100.92921</v>
      </c>
      <c r="DG389" s="4">
        <v>29.131695000000001</v>
      </c>
      <c r="DH389" s="4">
        <v>14.689759</v>
      </c>
      <c r="DI389" s="4">
        <v>0.43658999999999998</v>
      </c>
      <c r="DJ389" s="4">
        <v>0.28863499999999997</v>
      </c>
      <c r="DK389" s="4">
        <v>0.14554500000000001</v>
      </c>
      <c r="DL389" s="4">
        <v>25</v>
      </c>
      <c r="DM389" s="4">
        <v>33</v>
      </c>
      <c r="DN389" s="4">
        <v>41</v>
      </c>
      <c r="DO389" s="4">
        <v>63</v>
      </c>
      <c r="DP389" s="4">
        <v>82</v>
      </c>
      <c r="DQ389" s="4">
        <v>103</v>
      </c>
      <c r="DR389" s="4">
        <v>139</v>
      </c>
      <c r="DS389" s="4">
        <v>185.5</v>
      </c>
      <c r="DT389" s="4">
        <v>231</v>
      </c>
      <c r="DU389" s="4">
        <v>282</v>
      </c>
      <c r="DV389" s="4">
        <v>302</v>
      </c>
      <c r="DW389" s="4">
        <v>333.59997600000003</v>
      </c>
      <c r="DX389" s="4">
        <v>522.29998799999998</v>
      </c>
      <c r="DY389" s="4">
        <v>683.65002400000003</v>
      </c>
      <c r="DZ389" s="4">
        <v>836.37988299999995</v>
      </c>
      <c r="EA389" s="4">
        <v>85.530546999999999</v>
      </c>
      <c r="EB389" s="4">
        <v>71.692606999999995</v>
      </c>
      <c r="EC389" s="4">
        <v>118.48874600000001</v>
      </c>
      <c r="ED389" s="4">
        <v>532</v>
      </c>
      <c r="EE389" s="4">
        <v>737</v>
      </c>
      <c r="EF389" s="4">
        <v>79.581993999999995</v>
      </c>
      <c r="EG389" s="4">
        <v>99.839228000000006</v>
      </c>
      <c r="EH389" s="4">
        <v>61.867704000000003</v>
      </c>
      <c r="EI389" s="4">
        <v>99.610894999999999</v>
      </c>
      <c r="EJ389" s="4">
        <v>102.250804</v>
      </c>
      <c r="EK389" s="4">
        <v>164.630225</v>
      </c>
      <c r="EL389" s="4">
        <v>495</v>
      </c>
      <c r="EM389" s="4">
        <v>621</v>
      </c>
      <c r="EN389" s="4">
        <v>636</v>
      </c>
      <c r="EO389" s="4">
        <v>1024</v>
      </c>
      <c r="EP389" s="4">
        <v>622</v>
      </c>
      <c r="EQ389" s="4">
        <v>1028</v>
      </c>
      <c r="ER389" s="4">
        <v>57.573642</v>
      </c>
    </row>
    <row r="390" spans="1:148" x14ac:dyDescent="0.2">
      <c r="A390" s="1">
        <v>2025</v>
      </c>
      <c r="B390" s="1" t="str">
        <f t="shared" si="12"/>
        <v>NE</v>
      </c>
      <c r="C390" s="1" t="s">
        <v>1678</v>
      </c>
      <c r="D390" s="1" t="s">
        <v>1678</v>
      </c>
      <c r="E390" s="1">
        <v>27065</v>
      </c>
      <c r="F390" s="1" t="s">
        <v>2208</v>
      </c>
      <c r="G390" s="1" t="s">
        <v>2023</v>
      </c>
      <c r="H390" s="1" t="s">
        <v>1958</v>
      </c>
      <c r="I390" s="1">
        <v>66.209999999999994</v>
      </c>
      <c r="J390" s="1">
        <v>66.209999999999994</v>
      </c>
      <c r="K390" s="1" t="s">
        <v>148</v>
      </c>
      <c r="L390" s="1">
        <v>1</v>
      </c>
      <c r="M390" s="3">
        <v>2019</v>
      </c>
      <c r="O390" s="1">
        <v>2</v>
      </c>
      <c r="P390" s="1" t="str">
        <f t="shared" si="13"/>
        <v>Talhadia</v>
      </c>
      <c r="Q390" s="2">
        <v>43549</v>
      </c>
      <c r="R390" s="1" t="s">
        <v>306</v>
      </c>
      <c r="S390" s="1" t="s">
        <v>160</v>
      </c>
      <c r="T390" s="1" t="s">
        <v>2268</v>
      </c>
      <c r="U390" s="1" t="s">
        <v>151</v>
      </c>
      <c r="V390" s="1" t="s">
        <v>152</v>
      </c>
      <c r="W390" s="2">
        <v>45742</v>
      </c>
      <c r="X390" s="1" t="s">
        <v>2209</v>
      </c>
      <c r="Y390" s="1">
        <v>330.74</v>
      </c>
      <c r="Z390" s="1">
        <v>20.6</v>
      </c>
      <c r="AA390" s="1">
        <v>25</v>
      </c>
      <c r="AB390" s="1">
        <v>16.2</v>
      </c>
      <c r="AC390" s="1">
        <v>1</v>
      </c>
      <c r="AD390" s="3">
        <v>333.72</v>
      </c>
      <c r="AE390" s="3">
        <v>302.40696962772302</v>
      </c>
      <c r="AF390" s="2">
        <v>45742</v>
      </c>
      <c r="AG390" s="1">
        <v>72</v>
      </c>
      <c r="AH390" s="3">
        <v>6.0041067761807003</v>
      </c>
      <c r="AI390" s="4">
        <v>24.0112710514253</v>
      </c>
      <c r="AJ390" s="4">
        <v>15.3125</v>
      </c>
      <c r="AK390" s="4">
        <v>20.333863803129599</v>
      </c>
      <c r="AL390" s="1">
        <v>32</v>
      </c>
      <c r="AM390" s="5">
        <v>1058.17666965128</v>
      </c>
      <c r="AN390" s="4">
        <v>231.93187517125699</v>
      </c>
      <c r="AO390" s="4">
        <v>0.219180673533173</v>
      </c>
      <c r="AP390" s="1" t="s">
        <v>160</v>
      </c>
      <c r="AQ390" s="1" t="s">
        <v>254</v>
      </c>
      <c r="AR390" s="1" t="s">
        <v>500</v>
      </c>
      <c r="AS390" s="1">
        <v>9.99</v>
      </c>
      <c r="AT390" s="4">
        <v>1.0571184929816289</v>
      </c>
      <c r="AU390" s="1" t="s">
        <v>1677</v>
      </c>
      <c r="AV390" s="1" t="s">
        <v>1678</v>
      </c>
      <c r="AW390" s="1">
        <v>1247</v>
      </c>
      <c r="AX390" s="1">
        <v>810</v>
      </c>
      <c r="AY390" s="1">
        <v>364</v>
      </c>
      <c r="AZ390" s="1">
        <v>69</v>
      </c>
      <c r="BA390" s="1">
        <v>4</v>
      </c>
      <c r="BB390" s="1">
        <v>0</v>
      </c>
      <c r="BC390" s="1">
        <v>0</v>
      </c>
      <c r="BD390" s="1">
        <v>0</v>
      </c>
      <c r="BE390" s="1">
        <v>0</v>
      </c>
      <c r="BF390" s="1">
        <v>0</v>
      </c>
      <c r="BG390" s="1">
        <v>0</v>
      </c>
      <c r="BH390" s="4">
        <v>0</v>
      </c>
      <c r="BI390" s="4">
        <v>29.363001000000001</v>
      </c>
      <c r="BJ390" s="4">
        <v>15.700338</v>
      </c>
      <c r="BK390" s="4">
        <v>0</v>
      </c>
      <c r="BL390" s="4">
        <v>11.611606999999999</v>
      </c>
      <c r="BM390" s="4">
        <v>134.82941700000001</v>
      </c>
      <c r="BN390" s="4">
        <v>0.73957700000000004</v>
      </c>
      <c r="BO390" s="4">
        <v>25.581999</v>
      </c>
      <c r="BP390" s="4">
        <v>-0.48165599999999997</v>
      </c>
      <c r="BQ390" s="4">
        <v>1.377462</v>
      </c>
      <c r="BR390" s="4">
        <v>10.913074</v>
      </c>
      <c r="BS390" s="4">
        <v>4.2420010000000001</v>
      </c>
      <c r="BT390" s="4">
        <v>22.524000000000001</v>
      </c>
      <c r="BU390" s="4">
        <v>15.700338</v>
      </c>
      <c r="BV390" s="4">
        <v>6.1567999999999996</v>
      </c>
      <c r="BW390" s="4">
        <v>-1.041007</v>
      </c>
      <c r="BX390" s="4">
        <v>-0.86308499999999999</v>
      </c>
      <c r="BY390" s="4">
        <v>0.39214399999999999</v>
      </c>
      <c r="BZ390" s="4">
        <v>-0.16908300000000001</v>
      </c>
      <c r="CA390" s="4">
        <v>-0.140184</v>
      </c>
      <c r="CB390" s="4">
        <v>1E-3</v>
      </c>
      <c r="CC390" s="4">
        <v>8.9999999999999993E-3</v>
      </c>
      <c r="CD390" s="4">
        <v>1.7999999999999999E-2</v>
      </c>
      <c r="CE390" s="4">
        <v>5.0999999999999997E-2</v>
      </c>
      <c r="CF390" s="4">
        <v>9.4E-2</v>
      </c>
      <c r="CG390" s="4">
        <v>0.57139899999999999</v>
      </c>
      <c r="CH390" s="4">
        <v>17.491598</v>
      </c>
      <c r="CI390" s="4">
        <v>22.524000000000001</v>
      </c>
      <c r="CJ390" s="4">
        <v>24.021000000000001</v>
      </c>
      <c r="CK390" s="4">
        <v>25.186599999999999</v>
      </c>
      <c r="CL390" s="4">
        <v>25.675999000000001</v>
      </c>
      <c r="CM390" s="4">
        <v>26.047799999999999</v>
      </c>
      <c r="CN390" s="4">
        <v>26.742401000000001</v>
      </c>
      <c r="CO390" s="4">
        <v>27.260899999999999</v>
      </c>
      <c r="CP390" s="4">
        <v>28.248761999999999</v>
      </c>
      <c r="CQ390" s="4">
        <v>0.53469800000000001</v>
      </c>
      <c r="CR390" s="4">
        <v>19.524905</v>
      </c>
      <c r="CS390" s="4">
        <v>21.150971999999999</v>
      </c>
      <c r="CT390" s="1">
        <v>21</v>
      </c>
      <c r="CU390" s="1">
        <v>574</v>
      </c>
      <c r="CV390" s="4">
        <v>189.00882100000001</v>
      </c>
      <c r="CW390" s="4">
        <v>38.555556000000003</v>
      </c>
      <c r="CX390" s="4">
        <v>123.743031</v>
      </c>
      <c r="CY390" s="4">
        <v>15312.337799999999</v>
      </c>
      <c r="CZ390" s="4">
        <v>0.654694</v>
      </c>
      <c r="DA390" s="4">
        <v>195</v>
      </c>
      <c r="DB390" s="4">
        <v>0.61407199999999995</v>
      </c>
      <c r="DC390" s="4">
        <v>2.6798150000000001</v>
      </c>
      <c r="DD390" s="4">
        <v>102.79048299999999</v>
      </c>
      <c r="DE390" s="4">
        <v>189.00882100000001</v>
      </c>
      <c r="DF390" s="4">
        <v>69.628726</v>
      </c>
      <c r="DG390" s="4">
        <v>9.7625740000000008</v>
      </c>
      <c r="DH390" s="4">
        <v>3.4126069999999999</v>
      </c>
      <c r="DI390" s="4">
        <v>0.36838900000000002</v>
      </c>
      <c r="DJ390" s="4">
        <v>0.140209</v>
      </c>
      <c r="DK390" s="4">
        <v>4.9010999999999999E-2</v>
      </c>
      <c r="DL390" s="4">
        <v>26.459999</v>
      </c>
      <c r="DM390" s="4">
        <v>35</v>
      </c>
      <c r="DN390" s="4">
        <v>41</v>
      </c>
      <c r="DO390" s="4">
        <v>62.199997000000003</v>
      </c>
      <c r="DP390" s="4">
        <v>75</v>
      </c>
      <c r="DQ390" s="4">
        <v>92.799987999999999</v>
      </c>
      <c r="DR390" s="4">
        <v>137</v>
      </c>
      <c r="DS390" s="4">
        <v>179</v>
      </c>
      <c r="DT390" s="4">
        <v>218</v>
      </c>
      <c r="DU390" s="4">
        <v>254</v>
      </c>
      <c r="DV390" s="4">
        <v>270</v>
      </c>
      <c r="DW390" s="4">
        <v>289</v>
      </c>
      <c r="DX390" s="4">
        <v>362.800049</v>
      </c>
      <c r="DY390" s="4">
        <v>427.399902</v>
      </c>
      <c r="DZ390" s="4">
        <v>503.54003899999998</v>
      </c>
      <c r="EA390" s="4">
        <v>83.703704000000002</v>
      </c>
      <c r="EB390" s="4">
        <v>66.399358000000007</v>
      </c>
      <c r="EC390" s="4">
        <v>102.222222</v>
      </c>
      <c r="ED390" s="4">
        <v>678</v>
      </c>
      <c r="EE390" s="4">
        <v>828</v>
      </c>
      <c r="EF390" s="4">
        <v>79.259259</v>
      </c>
      <c r="EG390" s="4">
        <v>99.876542999999998</v>
      </c>
      <c r="EH390" s="4">
        <v>60.545309000000003</v>
      </c>
      <c r="EI390" s="4">
        <v>99.759422999999998</v>
      </c>
      <c r="EJ390" s="4">
        <v>93.209877000000006</v>
      </c>
      <c r="EK390" s="4">
        <v>153.58024700000001</v>
      </c>
      <c r="EL390" s="4">
        <v>642</v>
      </c>
      <c r="EM390" s="4">
        <v>809</v>
      </c>
      <c r="EN390" s="4">
        <v>755</v>
      </c>
      <c r="EO390" s="4">
        <v>1244</v>
      </c>
      <c r="EP390" s="4">
        <v>810</v>
      </c>
      <c r="EQ390" s="4">
        <v>1247</v>
      </c>
      <c r="ER390" s="4">
        <v>54.598097000000003</v>
      </c>
    </row>
    <row r="391" spans="1:148" x14ac:dyDescent="0.2">
      <c r="A391" s="1">
        <v>2025</v>
      </c>
      <c r="B391" s="1" t="str">
        <f t="shared" si="12"/>
        <v>NE</v>
      </c>
      <c r="C391" s="1" t="s">
        <v>1680</v>
      </c>
      <c r="D391" s="1" t="s">
        <v>1680</v>
      </c>
      <c r="E391" s="1">
        <v>28756</v>
      </c>
      <c r="F391" s="1" t="s">
        <v>2210</v>
      </c>
      <c r="G391" s="1" t="s">
        <v>2024</v>
      </c>
      <c r="H391" s="1" t="s">
        <v>1959</v>
      </c>
      <c r="I391" s="1">
        <v>64.84</v>
      </c>
      <c r="J391" s="1">
        <v>64.84</v>
      </c>
      <c r="K391" s="1" t="s">
        <v>148</v>
      </c>
      <c r="L391" s="1">
        <v>1</v>
      </c>
      <c r="M391" s="3">
        <v>2021</v>
      </c>
      <c r="O391" s="1">
        <v>2</v>
      </c>
      <c r="P391" s="1" t="str">
        <f t="shared" si="13"/>
        <v>Talhadia</v>
      </c>
      <c r="Q391" s="2">
        <v>44494</v>
      </c>
      <c r="R391" s="1" t="s">
        <v>169</v>
      </c>
      <c r="S391" s="1" t="s">
        <v>299</v>
      </c>
      <c r="T391" s="1" t="s">
        <v>2268</v>
      </c>
      <c r="U391" s="1" t="s">
        <v>151</v>
      </c>
      <c r="V391" s="1" t="s">
        <v>152</v>
      </c>
      <c r="W391" s="2">
        <v>44784</v>
      </c>
      <c r="X391" s="1" t="s">
        <v>2211</v>
      </c>
      <c r="Y391" s="1">
        <v>137.38</v>
      </c>
      <c r="Z391" s="1">
        <v>20.8</v>
      </c>
      <c r="AA391" s="1">
        <v>30</v>
      </c>
      <c r="AB391" s="1">
        <v>15.2</v>
      </c>
      <c r="AC391" s="1">
        <v>2</v>
      </c>
      <c r="AD391" s="3">
        <v>316.16000000000003</v>
      </c>
      <c r="AE391" s="3">
        <v>273.635798519547</v>
      </c>
      <c r="AF391" s="2">
        <v>45742</v>
      </c>
      <c r="AG391" s="1">
        <v>41</v>
      </c>
      <c r="AH391" s="3">
        <v>3.4168377823408602</v>
      </c>
      <c r="AI391" s="4">
        <v>21.7136458991612</v>
      </c>
      <c r="AJ391" s="4">
        <v>14.314285714285701</v>
      </c>
      <c r="AK391" s="4">
        <v>13.152320464064699</v>
      </c>
      <c r="AL391" s="1">
        <v>21</v>
      </c>
      <c r="AM391" s="5">
        <v>767.44344539772896</v>
      </c>
      <c r="AN391" s="4">
        <v>135.541588507672</v>
      </c>
      <c r="AO391" s="4">
        <v>0.176614432399546</v>
      </c>
      <c r="AP391" s="1" t="s">
        <v>299</v>
      </c>
      <c r="AQ391" s="1" t="s">
        <v>254</v>
      </c>
      <c r="AR391" s="1" t="s">
        <v>500</v>
      </c>
      <c r="AS391" s="1">
        <v>9</v>
      </c>
      <c r="AT391" s="4">
        <v>0.69069910085795605</v>
      </c>
      <c r="AU391" s="1" t="s">
        <v>1679</v>
      </c>
      <c r="AV391" s="1" t="s">
        <v>1680</v>
      </c>
      <c r="AW391" s="1">
        <v>965</v>
      </c>
      <c r="AX391" s="1">
        <v>493</v>
      </c>
      <c r="AY391" s="1">
        <v>306</v>
      </c>
      <c r="AZ391" s="1">
        <v>140</v>
      </c>
      <c r="BA391" s="1">
        <v>25</v>
      </c>
      <c r="BB391" s="1">
        <v>1</v>
      </c>
      <c r="BC391" s="1">
        <v>0</v>
      </c>
      <c r="BD391" s="1">
        <v>0</v>
      </c>
      <c r="BE391" s="1">
        <v>0</v>
      </c>
      <c r="BF391" s="1">
        <v>0</v>
      </c>
      <c r="BG391" s="1">
        <v>0</v>
      </c>
      <c r="BH391" s="4">
        <v>1E-3</v>
      </c>
      <c r="BI391" s="4">
        <v>23.636998999999999</v>
      </c>
      <c r="BJ391" s="4">
        <v>13.705850999999999</v>
      </c>
      <c r="BK391" s="4">
        <v>1E-3</v>
      </c>
      <c r="BL391" s="4">
        <v>8.6157819999999994</v>
      </c>
      <c r="BM391" s="4">
        <v>74.231702999999996</v>
      </c>
      <c r="BN391" s="4">
        <v>0.62862099999999999</v>
      </c>
      <c r="BO391" s="4">
        <v>17.832999000000001</v>
      </c>
      <c r="BP391" s="4">
        <v>-0.77331499999999997</v>
      </c>
      <c r="BQ391" s="4">
        <v>1.8056680000000001</v>
      </c>
      <c r="BR391" s="4">
        <v>7.6875109999999998</v>
      </c>
      <c r="BS391" s="4">
        <v>2.8100010000000002</v>
      </c>
      <c r="BT391" s="4">
        <v>17.875</v>
      </c>
      <c r="BU391" s="4">
        <v>13.705850999999999</v>
      </c>
      <c r="BV391" s="4">
        <v>4.4951080000000001</v>
      </c>
      <c r="BW391" s="4">
        <v>-1.149931</v>
      </c>
      <c r="BX391" s="4">
        <v>-0.14579800000000001</v>
      </c>
      <c r="BY391" s="4">
        <v>0.32796999999999998</v>
      </c>
      <c r="BZ391" s="4">
        <v>-0.25581799999999999</v>
      </c>
      <c r="CA391" s="4">
        <v>-3.2434999999999999E-2</v>
      </c>
      <c r="CB391" s="4">
        <v>2E-3</v>
      </c>
      <c r="CC391" s="4">
        <v>1.2E-2</v>
      </c>
      <c r="CD391" s="4">
        <v>3.4799999999999998E-2</v>
      </c>
      <c r="CE391" s="4">
        <v>0.14199999999999999</v>
      </c>
      <c r="CF391" s="4">
        <v>2.3420000000000001</v>
      </c>
      <c r="CG391" s="4">
        <v>9.661448</v>
      </c>
      <c r="CH391" s="4">
        <v>16.753799000000001</v>
      </c>
      <c r="CI391" s="4">
        <v>17.875999</v>
      </c>
      <c r="CJ391" s="4">
        <v>18.946199</v>
      </c>
      <c r="CK391" s="4">
        <v>19.6996</v>
      </c>
      <c r="CL391" s="4">
        <v>20.174999</v>
      </c>
      <c r="CM391" s="4">
        <v>20.594601000000001</v>
      </c>
      <c r="CN391" s="4">
        <v>21.5578</v>
      </c>
      <c r="CO391" s="4">
        <v>22.127800000000001</v>
      </c>
      <c r="CP391" s="4">
        <v>22.975038999999999</v>
      </c>
      <c r="CQ391" s="4">
        <v>0.57982999999999996</v>
      </c>
      <c r="CR391" s="4">
        <v>16.186572000000002</v>
      </c>
      <c r="CS391" s="4">
        <v>17.246282999999998</v>
      </c>
      <c r="CT391" s="1">
        <v>23</v>
      </c>
      <c r="CU391" s="1">
        <v>430</v>
      </c>
      <c r="CV391" s="4">
        <v>109.095337</v>
      </c>
      <c r="CW391" s="4">
        <v>48.841270000000002</v>
      </c>
      <c r="CX391" s="4">
        <v>71.657865999999999</v>
      </c>
      <c r="CY391" s="4">
        <v>5134.8498229999996</v>
      </c>
      <c r="CZ391" s="4">
        <v>0.656837</v>
      </c>
      <c r="DA391" s="4">
        <v>85</v>
      </c>
      <c r="DB391" s="4">
        <v>1.651443</v>
      </c>
      <c r="DC391" s="4">
        <v>6.5064469999999996</v>
      </c>
      <c r="DD391" s="4">
        <v>54.132463999999999</v>
      </c>
      <c r="DE391" s="4">
        <v>109.095337</v>
      </c>
      <c r="DF391" s="4">
        <v>37.008274999999998</v>
      </c>
      <c r="DG391" s="4">
        <v>10.345024</v>
      </c>
      <c r="DH391" s="4">
        <v>5.4005850000000004</v>
      </c>
      <c r="DI391" s="4">
        <v>0.339229</v>
      </c>
      <c r="DJ391" s="4">
        <v>0.27953299999999998</v>
      </c>
      <c r="DK391" s="4">
        <v>0.145929</v>
      </c>
      <c r="DL391" s="4">
        <v>28</v>
      </c>
      <c r="DM391" s="4">
        <v>34</v>
      </c>
      <c r="DN391" s="4">
        <v>40</v>
      </c>
      <c r="DO391" s="4">
        <v>50</v>
      </c>
      <c r="DP391" s="4">
        <v>55</v>
      </c>
      <c r="DQ391" s="4">
        <v>61</v>
      </c>
      <c r="DR391" s="4">
        <v>75</v>
      </c>
      <c r="DS391" s="4">
        <v>90</v>
      </c>
      <c r="DT391" s="4">
        <v>110.400024</v>
      </c>
      <c r="DU391" s="4">
        <v>131</v>
      </c>
      <c r="DV391" s="4">
        <v>140</v>
      </c>
      <c r="DW391" s="4">
        <v>156</v>
      </c>
      <c r="DX391" s="4">
        <v>194</v>
      </c>
      <c r="DY391" s="4">
        <v>240</v>
      </c>
      <c r="DZ391" s="4">
        <v>388.43994099999998</v>
      </c>
      <c r="EA391" s="4">
        <v>93.509128000000004</v>
      </c>
      <c r="EB391" s="4">
        <v>73.471502999999998</v>
      </c>
      <c r="EC391" s="4">
        <v>143.81338700000001</v>
      </c>
      <c r="ED391" s="4">
        <v>461</v>
      </c>
      <c r="EE391" s="4">
        <v>709</v>
      </c>
      <c r="EF391" s="4">
        <v>91.886409999999998</v>
      </c>
      <c r="EG391" s="4">
        <v>100</v>
      </c>
      <c r="EH391" s="4">
        <v>69.637305999999995</v>
      </c>
      <c r="EI391" s="4">
        <v>99.689119000000005</v>
      </c>
      <c r="EJ391" s="4">
        <v>136.30831599999999</v>
      </c>
      <c r="EK391" s="4">
        <v>195.131846</v>
      </c>
      <c r="EL391" s="4">
        <v>453</v>
      </c>
      <c r="EM391" s="4">
        <v>493</v>
      </c>
      <c r="EN391" s="4">
        <v>672</v>
      </c>
      <c r="EO391" s="4">
        <v>962</v>
      </c>
      <c r="EP391" s="4">
        <v>493</v>
      </c>
      <c r="EQ391" s="4">
        <v>965</v>
      </c>
      <c r="ER391" s="4">
        <v>58.636794000000002</v>
      </c>
    </row>
    <row r="392" spans="1:148" x14ac:dyDescent="0.2">
      <c r="A392" s="1">
        <v>2025</v>
      </c>
      <c r="B392" s="1" t="str">
        <f t="shared" si="12"/>
        <v>NE</v>
      </c>
      <c r="C392" s="1" t="s">
        <v>1682</v>
      </c>
      <c r="D392" s="1" t="s">
        <v>1682</v>
      </c>
      <c r="E392" s="1">
        <v>28757</v>
      </c>
      <c r="F392" s="1" t="s">
        <v>2210</v>
      </c>
      <c r="G392" s="1" t="s">
        <v>2024</v>
      </c>
      <c r="H392" s="1" t="s">
        <v>1959</v>
      </c>
      <c r="I392" s="1">
        <v>64.84</v>
      </c>
      <c r="J392" s="1">
        <v>64.84</v>
      </c>
      <c r="K392" s="1" t="s">
        <v>148</v>
      </c>
      <c r="L392" s="1">
        <v>1</v>
      </c>
      <c r="M392" s="3">
        <v>2021</v>
      </c>
      <c r="O392" s="1">
        <v>2</v>
      </c>
      <c r="P392" s="1" t="str">
        <f t="shared" si="13"/>
        <v>Talhadia</v>
      </c>
      <c r="Q392" s="2">
        <v>44494</v>
      </c>
      <c r="R392" s="1" t="s">
        <v>169</v>
      </c>
      <c r="S392" s="1" t="s">
        <v>299</v>
      </c>
      <c r="T392" s="1" t="s">
        <v>2268</v>
      </c>
      <c r="U392" s="1" t="s">
        <v>151</v>
      </c>
      <c r="V392" s="1" t="s">
        <v>152</v>
      </c>
      <c r="W392" s="2">
        <v>45742</v>
      </c>
      <c r="X392" s="1" t="s">
        <v>2211</v>
      </c>
      <c r="Y392" s="1">
        <v>137.38</v>
      </c>
      <c r="Z392" s="1">
        <v>19.399999999999999</v>
      </c>
      <c r="AA392" s="1">
        <v>33</v>
      </c>
      <c r="AB392" s="1">
        <v>16.2</v>
      </c>
      <c r="AC392" s="1">
        <v>2</v>
      </c>
      <c r="AD392" s="3">
        <v>314.27999999999997</v>
      </c>
      <c r="AE392" s="3">
        <v>263.41682187190202</v>
      </c>
      <c r="AF392" s="2">
        <v>45742</v>
      </c>
      <c r="AG392" s="1">
        <v>41</v>
      </c>
      <c r="AH392" s="3">
        <v>3.4168377823408602</v>
      </c>
      <c r="AI392" s="4">
        <v>24.9781358207705</v>
      </c>
      <c r="AJ392" s="4">
        <v>14.3708333333333</v>
      </c>
      <c r="AK392" s="4">
        <v>15.192309738906401</v>
      </c>
      <c r="AL392" s="1">
        <v>24</v>
      </c>
      <c r="AM392" s="5">
        <v>911.10354416435302</v>
      </c>
      <c r="AN392" s="4">
        <v>178.46286708650601</v>
      </c>
      <c r="AO392" s="4">
        <v>0.19587550529198</v>
      </c>
      <c r="AP392" s="1" t="s">
        <v>299</v>
      </c>
      <c r="AQ392" s="1" t="s">
        <v>254</v>
      </c>
      <c r="AR392" s="1" t="s">
        <v>500</v>
      </c>
      <c r="AS392" s="1">
        <v>9</v>
      </c>
      <c r="AT392" s="4">
        <v>0.81999318974791779</v>
      </c>
      <c r="AU392" s="1" t="s">
        <v>1681</v>
      </c>
      <c r="AV392" s="1" t="s">
        <v>1682</v>
      </c>
      <c r="AW392" s="1">
        <v>1030</v>
      </c>
      <c r="AX392" s="1">
        <v>512</v>
      </c>
      <c r="AY392" s="1">
        <v>351</v>
      </c>
      <c r="AZ392" s="1">
        <v>145</v>
      </c>
      <c r="BA392" s="1">
        <v>22</v>
      </c>
      <c r="BB392" s="1">
        <v>0</v>
      </c>
      <c r="BC392" s="1">
        <v>0</v>
      </c>
      <c r="BD392" s="1">
        <v>0</v>
      </c>
      <c r="BE392" s="1">
        <v>0</v>
      </c>
      <c r="BF392" s="1">
        <v>0</v>
      </c>
      <c r="BG392" s="1">
        <v>0</v>
      </c>
      <c r="BH392" s="4">
        <v>0</v>
      </c>
      <c r="BI392" s="4">
        <v>25.743998999999999</v>
      </c>
      <c r="BJ392" s="4">
        <v>14.627846999999999</v>
      </c>
      <c r="BK392" s="4">
        <v>0</v>
      </c>
      <c r="BL392" s="4">
        <v>9.1436949999999992</v>
      </c>
      <c r="BM392" s="4">
        <v>83.607166000000007</v>
      </c>
      <c r="BN392" s="4">
        <v>0.62508799999999998</v>
      </c>
      <c r="BO392" s="4">
        <v>18.735002000000001</v>
      </c>
      <c r="BP392" s="4">
        <v>-0.748506</v>
      </c>
      <c r="BQ392" s="4">
        <v>1.792176</v>
      </c>
      <c r="BR392" s="4">
        <v>8.1725809999999992</v>
      </c>
      <c r="BS392" s="4">
        <v>3.1620010000000001</v>
      </c>
      <c r="BT392" s="4">
        <v>19.073499999999999</v>
      </c>
      <c r="BU392" s="4">
        <v>14.627846999999999</v>
      </c>
      <c r="BV392" s="4">
        <v>4.8102229999999997</v>
      </c>
      <c r="BW392" s="4">
        <v>-1.201848</v>
      </c>
      <c r="BX392" s="4">
        <v>-0.157972</v>
      </c>
      <c r="BY392" s="4">
        <v>0.32884000000000002</v>
      </c>
      <c r="BZ392" s="4">
        <v>-0.24985299999999999</v>
      </c>
      <c r="CA392" s="4">
        <v>-3.2841000000000002E-2</v>
      </c>
      <c r="CB392" s="4">
        <v>4.0000000000000001E-3</v>
      </c>
      <c r="CC392" s="4">
        <v>1.8450000000000001E-2</v>
      </c>
      <c r="CD392" s="4">
        <v>3.7999999999999999E-2</v>
      </c>
      <c r="CE392" s="4">
        <v>0.61099999999999999</v>
      </c>
      <c r="CF392" s="4">
        <v>2.8972500000000001</v>
      </c>
      <c r="CG392" s="4">
        <v>9.9330020000000001</v>
      </c>
      <c r="CH392" s="4">
        <v>17.883199999999999</v>
      </c>
      <c r="CI392" s="4">
        <v>19.073499999999999</v>
      </c>
      <c r="CJ392" s="4">
        <v>20.058401</v>
      </c>
      <c r="CK392" s="4">
        <v>21.051300000000001</v>
      </c>
      <c r="CL392" s="4">
        <v>21.632252000000001</v>
      </c>
      <c r="CM392" s="4">
        <v>22.081600000000002</v>
      </c>
      <c r="CN392" s="4">
        <v>22.923300000000001</v>
      </c>
      <c r="CO392" s="4">
        <v>23.684099</v>
      </c>
      <c r="CP392" s="4">
        <v>24.906420000000001</v>
      </c>
      <c r="CQ392" s="4">
        <v>0.56820400000000004</v>
      </c>
      <c r="CR392" s="4">
        <v>17.248184999999999</v>
      </c>
      <c r="CS392" s="4">
        <v>18.394310999999998</v>
      </c>
      <c r="CT392" s="1">
        <v>22</v>
      </c>
      <c r="CU392" s="1">
        <v>479</v>
      </c>
      <c r="CV392" s="4">
        <v>102.073786</v>
      </c>
      <c r="CW392" s="4">
        <v>43.761904999999999</v>
      </c>
      <c r="CX392" s="4">
        <v>70.360119999999995</v>
      </c>
      <c r="CY392" s="4">
        <v>4950.5465430000004</v>
      </c>
      <c r="CZ392" s="4">
        <v>0.68930599999999997</v>
      </c>
      <c r="DA392" s="4">
        <v>76</v>
      </c>
      <c r="DB392" s="4">
        <v>1.9347650000000001</v>
      </c>
      <c r="DC392" s="4">
        <v>8.0585909999999998</v>
      </c>
      <c r="DD392" s="4">
        <v>51.357858</v>
      </c>
      <c r="DE392" s="4">
        <v>102.073786</v>
      </c>
      <c r="DF392" s="4">
        <v>35.366892</v>
      </c>
      <c r="DG392" s="4">
        <v>10.987512000000001</v>
      </c>
      <c r="DH392" s="4">
        <v>6.026548</v>
      </c>
      <c r="DI392" s="4">
        <v>0.34648400000000001</v>
      </c>
      <c r="DJ392" s="4">
        <v>0.310672</v>
      </c>
      <c r="DK392" s="4">
        <v>0.170401</v>
      </c>
      <c r="DL392" s="4">
        <v>27</v>
      </c>
      <c r="DM392" s="4">
        <v>32</v>
      </c>
      <c r="DN392" s="4">
        <v>38</v>
      </c>
      <c r="DO392" s="4">
        <v>48</v>
      </c>
      <c r="DP392" s="4">
        <v>52</v>
      </c>
      <c r="DQ392" s="4">
        <v>56</v>
      </c>
      <c r="DR392" s="4">
        <v>68</v>
      </c>
      <c r="DS392" s="4">
        <v>82.5</v>
      </c>
      <c r="DT392" s="4">
        <v>100</v>
      </c>
      <c r="DU392" s="4">
        <v>118.299988</v>
      </c>
      <c r="DV392" s="4">
        <v>128</v>
      </c>
      <c r="DW392" s="4">
        <v>145</v>
      </c>
      <c r="DX392" s="4">
        <v>187</v>
      </c>
      <c r="DY392" s="4">
        <v>235.54998800000001</v>
      </c>
      <c r="DZ392" s="4">
        <v>380.71002199999998</v>
      </c>
      <c r="EA392" s="4">
        <v>93.75</v>
      </c>
      <c r="EB392" s="4">
        <v>74.757282000000004</v>
      </c>
      <c r="EC392" s="4">
        <v>150.390625</v>
      </c>
      <c r="ED392" s="4">
        <v>480</v>
      </c>
      <c r="EE392" s="4">
        <v>770</v>
      </c>
      <c r="EF392" s="4">
        <v>91.210937999999999</v>
      </c>
      <c r="EG392" s="4">
        <v>99.804687999999999</v>
      </c>
      <c r="EH392" s="4">
        <v>68.446601999999999</v>
      </c>
      <c r="EI392" s="4">
        <v>99.805824999999999</v>
      </c>
      <c r="EJ392" s="4">
        <v>137.695313</v>
      </c>
      <c r="EK392" s="4">
        <v>200.78125</v>
      </c>
      <c r="EL392" s="4">
        <v>467</v>
      </c>
      <c r="EM392" s="4">
        <v>511</v>
      </c>
      <c r="EN392" s="4">
        <v>705</v>
      </c>
      <c r="EO392" s="4">
        <v>1028</v>
      </c>
      <c r="EP392" s="4">
        <v>512</v>
      </c>
      <c r="EQ392" s="4">
        <v>1030</v>
      </c>
      <c r="ER392" s="4">
        <v>57.727753999999997</v>
      </c>
    </row>
    <row r="393" spans="1:148" x14ac:dyDescent="0.2">
      <c r="A393" s="1">
        <v>2025</v>
      </c>
      <c r="B393" s="1" t="str">
        <f t="shared" si="12"/>
        <v>NE</v>
      </c>
      <c r="C393" s="1" t="s">
        <v>1684</v>
      </c>
      <c r="D393" s="1" t="s">
        <v>1684</v>
      </c>
      <c r="E393" s="1">
        <v>28758</v>
      </c>
      <c r="F393" s="1" t="s">
        <v>2210</v>
      </c>
      <c r="G393" s="1" t="s">
        <v>2024</v>
      </c>
      <c r="H393" s="1" t="s">
        <v>1959</v>
      </c>
      <c r="I393" s="1">
        <v>64.84</v>
      </c>
      <c r="J393" s="1">
        <v>64.84</v>
      </c>
      <c r="K393" s="1" t="s">
        <v>148</v>
      </c>
      <c r="L393" s="1">
        <v>1</v>
      </c>
      <c r="M393" s="3">
        <v>2021</v>
      </c>
      <c r="O393" s="1">
        <v>2</v>
      </c>
      <c r="P393" s="1" t="str">
        <f t="shared" si="13"/>
        <v>Talhadia</v>
      </c>
      <c r="Q393" s="2">
        <v>44494</v>
      </c>
      <c r="R393" s="1" t="s">
        <v>169</v>
      </c>
      <c r="S393" s="1" t="s">
        <v>299</v>
      </c>
      <c r="T393" s="1" t="s">
        <v>2268</v>
      </c>
      <c r="U393" s="1" t="s">
        <v>151</v>
      </c>
      <c r="V393" s="1" t="s">
        <v>152</v>
      </c>
      <c r="W393" s="2">
        <v>44785</v>
      </c>
      <c r="X393" s="1" t="s">
        <v>2211</v>
      </c>
      <c r="Y393" s="1">
        <v>137.38</v>
      </c>
      <c r="Z393" s="1">
        <v>20.5</v>
      </c>
      <c r="AA393" s="1">
        <v>22</v>
      </c>
      <c r="AB393" s="1">
        <v>14.7</v>
      </c>
      <c r="AC393" s="1">
        <v>3</v>
      </c>
      <c r="AD393" s="3">
        <v>301.35000000000002</v>
      </c>
      <c r="AE393" s="3">
        <v>279.02393719017402</v>
      </c>
      <c r="AF393" s="2">
        <v>45742</v>
      </c>
      <c r="AG393" s="1">
        <v>41</v>
      </c>
      <c r="AH393" s="3">
        <v>3.4168377823408602</v>
      </c>
      <c r="AI393" s="4">
        <v>21.385699950429899</v>
      </c>
      <c r="AJ393" s="4">
        <v>14.95</v>
      </c>
      <c r="AK393" s="4">
        <v>14.221890146736801</v>
      </c>
      <c r="AL393" s="1">
        <v>22</v>
      </c>
      <c r="AM393" s="5">
        <v>788.46281869377594</v>
      </c>
      <c r="AN393" s="4">
        <v>138.31326946885801</v>
      </c>
      <c r="AO393" s="4">
        <v>0.175421422785665</v>
      </c>
      <c r="AP393" s="1" t="s">
        <v>299</v>
      </c>
      <c r="AQ393" s="1" t="s">
        <v>254</v>
      </c>
      <c r="AR393" s="1" t="s">
        <v>500</v>
      </c>
      <c r="AS393" s="1">
        <v>9</v>
      </c>
      <c r="AT393" s="4">
        <v>0.7096165368243984</v>
      </c>
      <c r="AU393" s="1" t="s">
        <v>1683</v>
      </c>
      <c r="AV393" s="1" t="s">
        <v>1684</v>
      </c>
      <c r="AW393" s="1">
        <v>1022</v>
      </c>
      <c r="AX393" s="1">
        <v>581</v>
      </c>
      <c r="AY393" s="1">
        <v>309</v>
      </c>
      <c r="AZ393" s="1">
        <v>107</v>
      </c>
      <c r="BA393" s="1">
        <v>25</v>
      </c>
      <c r="BB393" s="1">
        <v>0</v>
      </c>
      <c r="BC393" s="1">
        <v>0</v>
      </c>
      <c r="BD393" s="1">
        <v>0</v>
      </c>
      <c r="BE393" s="1">
        <v>0</v>
      </c>
      <c r="BF393" s="1">
        <v>0</v>
      </c>
      <c r="BG393" s="1">
        <v>0</v>
      </c>
      <c r="BH393" s="4">
        <v>0</v>
      </c>
      <c r="BI393" s="4">
        <v>22.67</v>
      </c>
      <c r="BJ393" s="4">
        <v>12.889354000000001</v>
      </c>
      <c r="BK393" s="4">
        <v>0</v>
      </c>
      <c r="BL393" s="4">
        <v>7.9096200000000003</v>
      </c>
      <c r="BM393" s="4">
        <v>62.562089</v>
      </c>
      <c r="BN393" s="4">
        <v>0.61365499999999995</v>
      </c>
      <c r="BO393" s="4">
        <v>14.908751000000001</v>
      </c>
      <c r="BP393" s="4">
        <v>-0.759517</v>
      </c>
      <c r="BQ393" s="4">
        <v>1.9040919999999999</v>
      </c>
      <c r="BR393" s="4">
        <v>6.8885550000000002</v>
      </c>
      <c r="BS393" s="4">
        <v>3.5249999999999999</v>
      </c>
      <c r="BT393" s="4">
        <v>16.241001000000001</v>
      </c>
      <c r="BU393" s="4">
        <v>12.889354000000001</v>
      </c>
      <c r="BV393" s="4">
        <v>4.2190190000000003</v>
      </c>
      <c r="BW393" s="4">
        <v>-1.0034559999999999</v>
      </c>
      <c r="BX393" s="4">
        <v>-9.9899000000000002E-2</v>
      </c>
      <c r="BY393" s="4">
        <v>0.32732600000000001</v>
      </c>
      <c r="BZ393" s="4">
        <v>-0.237841</v>
      </c>
      <c r="CA393" s="4">
        <v>-2.3678000000000001E-2</v>
      </c>
      <c r="CB393" s="4">
        <v>2E-3</v>
      </c>
      <c r="CC393" s="4">
        <v>0.01</v>
      </c>
      <c r="CD393" s="4">
        <v>2.3E-2</v>
      </c>
      <c r="CE393" s="4">
        <v>0.17960000000000001</v>
      </c>
      <c r="CF393" s="4">
        <v>4.2262500000000003</v>
      </c>
      <c r="CG393" s="4">
        <v>11.4367</v>
      </c>
      <c r="CH393" s="4">
        <v>14.9306</v>
      </c>
      <c r="CI393" s="4">
        <v>16.241001000000001</v>
      </c>
      <c r="CJ393" s="4">
        <v>17.407399999999999</v>
      </c>
      <c r="CK393" s="4">
        <v>18.618400999999999</v>
      </c>
      <c r="CL393" s="4">
        <v>19.135000000000002</v>
      </c>
      <c r="CM393" s="4">
        <v>19.6022</v>
      </c>
      <c r="CN393" s="4">
        <v>20.403502</v>
      </c>
      <c r="CO393" s="4">
        <v>21.059849</v>
      </c>
      <c r="CP393" s="4">
        <v>21.811738999999999</v>
      </c>
      <c r="CQ393" s="4">
        <v>0.56856399999999996</v>
      </c>
      <c r="CR393" s="4">
        <v>15.120725</v>
      </c>
      <c r="CS393" s="4">
        <v>16.112089999999998</v>
      </c>
      <c r="CT393" s="1">
        <v>22</v>
      </c>
      <c r="CU393" s="1">
        <v>587</v>
      </c>
      <c r="CV393" s="4">
        <v>136.41878700000001</v>
      </c>
      <c r="CW393" s="4">
        <v>48.904761999999998</v>
      </c>
      <c r="CX393" s="4">
        <v>104.67095399999999</v>
      </c>
      <c r="CY393" s="4">
        <v>10956.00858</v>
      </c>
      <c r="CZ393" s="4">
        <v>0.76727699999999999</v>
      </c>
      <c r="DA393" s="4">
        <v>116</v>
      </c>
      <c r="DB393" s="4">
        <v>1.7307809999999999</v>
      </c>
      <c r="DC393" s="4">
        <v>6.2780079999999998</v>
      </c>
      <c r="DD393" s="4">
        <v>77.261590999999996</v>
      </c>
      <c r="DE393" s="4">
        <v>136.41878700000001</v>
      </c>
      <c r="DF393" s="4">
        <v>53.082819000000001</v>
      </c>
      <c r="DG393" s="4">
        <v>16.901026999999999</v>
      </c>
      <c r="DH393" s="4">
        <v>8.8901109999999992</v>
      </c>
      <c r="DI393" s="4">
        <v>0.38911699999999999</v>
      </c>
      <c r="DJ393" s="4">
        <v>0.31839000000000001</v>
      </c>
      <c r="DK393" s="4">
        <v>0.16747600000000001</v>
      </c>
      <c r="DL393" s="4">
        <v>27.209999</v>
      </c>
      <c r="DM393" s="4">
        <v>34</v>
      </c>
      <c r="DN393" s="4">
        <v>41</v>
      </c>
      <c r="DO393" s="4">
        <v>53.199997000000003</v>
      </c>
      <c r="DP393" s="4">
        <v>60</v>
      </c>
      <c r="DQ393" s="4">
        <v>66</v>
      </c>
      <c r="DR393" s="4">
        <v>86</v>
      </c>
      <c r="DS393" s="4">
        <v>108</v>
      </c>
      <c r="DT393" s="4">
        <v>131.599976</v>
      </c>
      <c r="DU393" s="4">
        <v>161.70001199999999</v>
      </c>
      <c r="DV393" s="4">
        <v>176</v>
      </c>
      <c r="DW393" s="4">
        <v>197</v>
      </c>
      <c r="DX393" s="4">
        <v>259.800049</v>
      </c>
      <c r="DY393" s="4">
        <v>381</v>
      </c>
      <c r="DZ393" s="4">
        <v>516.219604</v>
      </c>
      <c r="EA393" s="4">
        <v>90.533563000000001</v>
      </c>
      <c r="EB393" s="4">
        <v>75.636008000000004</v>
      </c>
      <c r="EC393" s="4">
        <v>133.04647199999999</v>
      </c>
      <c r="ED393" s="4">
        <v>526</v>
      </c>
      <c r="EE393" s="4">
        <v>773</v>
      </c>
      <c r="EF393" s="4">
        <v>85.542169000000001</v>
      </c>
      <c r="EG393" s="4">
        <v>99.827883</v>
      </c>
      <c r="EH393" s="4">
        <v>67.514677000000006</v>
      </c>
      <c r="EI393" s="4">
        <v>99.706457999999998</v>
      </c>
      <c r="EJ393" s="4">
        <v>118.760757</v>
      </c>
      <c r="EK393" s="4">
        <v>175.38726299999999</v>
      </c>
      <c r="EL393" s="4">
        <v>497</v>
      </c>
      <c r="EM393" s="4">
        <v>580</v>
      </c>
      <c r="EN393" s="4">
        <v>690</v>
      </c>
      <c r="EO393" s="4">
        <v>1019</v>
      </c>
      <c r="EP393" s="4">
        <v>581</v>
      </c>
      <c r="EQ393" s="4">
        <v>1022</v>
      </c>
      <c r="ER393" s="4">
        <v>58.125793999999999</v>
      </c>
    </row>
    <row r="394" spans="1:148" x14ac:dyDescent="0.2">
      <c r="A394" s="1">
        <v>2025</v>
      </c>
      <c r="B394" s="1" t="str">
        <f t="shared" si="12"/>
        <v>NE</v>
      </c>
      <c r="C394" s="1" t="s">
        <v>1686</v>
      </c>
      <c r="D394" s="1" t="s">
        <v>1686</v>
      </c>
      <c r="E394" s="1">
        <v>28759</v>
      </c>
      <c r="F394" s="1" t="s">
        <v>2210</v>
      </c>
      <c r="G394" s="1" t="s">
        <v>2024</v>
      </c>
      <c r="H394" s="1" t="s">
        <v>1959</v>
      </c>
      <c r="I394" s="1">
        <v>64.84</v>
      </c>
      <c r="J394" s="1">
        <v>64.84</v>
      </c>
      <c r="K394" s="1" t="s">
        <v>148</v>
      </c>
      <c r="L394" s="1">
        <v>1</v>
      </c>
      <c r="M394" s="3">
        <v>2021</v>
      </c>
      <c r="O394" s="1">
        <v>2</v>
      </c>
      <c r="P394" s="1" t="str">
        <f t="shared" si="13"/>
        <v>Talhadia</v>
      </c>
      <c r="Q394" s="2">
        <v>44494</v>
      </c>
      <c r="R394" s="1" t="s">
        <v>169</v>
      </c>
      <c r="S394" s="1" t="s">
        <v>299</v>
      </c>
      <c r="T394" s="1" t="s">
        <v>2268</v>
      </c>
      <c r="U394" s="1" t="s">
        <v>151</v>
      </c>
      <c r="V394" s="1" t="s">
        <v>152</v>
      </c>
      <c r="W394" s="2">
        <v>45742</v>
      </c>
      <c r="X394" s="1" t="s">
        <v>2211</v>
      </c>
      <c r="Y394" s="1">
        <v>137.38</v>
      </c>
      <c r="Z394" s="1">
        <v>20.9</v>
      </c>
      <c r="AA394" s="1">
        <v>36</v>
      </c>
      <c r="AB394" s="1">
        <v>16.3</v>
      </c>
      <c r="AC394" s="1">
        <v>4</v>
      </c>
      <c r="AD394" s="3">
        <v>340.67</v>
      </c>
      <c r="AE394" s="3">
        <v>274.93645267747598</v>
      </c>
      <c r="AF394" s="2">
        <v>45742</v>
      </c>
      <c r="AG394" s="1">
        <v>41</v>
      </c>
      <c r="AH394" s="3">
        <v>3.4168377823408602</v>
      </c>
      <c r="AI394" s="4">
        <v>19.980818176218801</v>
      </c>
      <c r="AJ394" s="4">
        <v>14.7235294117647</v>
      </c>
      <c r="AK394" s="4">
        <v>11.0684179876597</v>
      </c>
      <c r="AL394" s="1">
        <v>17</v>
      </c>
      <c r="AM394" s="5">
        <v>618.32470137899304</v>
      </c>
      <c r="AN394" s="4">
        <v>101.662002746347</v>
      </c>
      <c r="AO394" s="4">
        <v>0.164415237689227</v>
      </c>
      <c r="AP394" s="1" t="s">
        <v>299</v>
      </c>
      <c r="AQ394" s="1" t="s">
        <v>254</v>
      </c>
      <c r="AR394" s="1" t="s">
        <v>500</v>
      </c>
      <c r="AS394" s="1">
        <v>9</v>
      </c>
      <c r="AT394" s="4">
        <v>0.5564922312410937</v>
      </c>
      <c r="AU394" s="1" t="s">
        <v>1685</v>
      </c>
      <c r="AV394" s="1" t="s">
        <v>1686</v>
      </c>
      <c r="AW394" s="1">
        <v>1142</v>
      </c>
      <c r="AX394" s="1">
        <v>575</v>
      </c>
      <c r="AY394" s="1">
        <v>417</v>
      </c>
      <c r="AZ394" s="1">
        <v>125</v>
      </c>
      <c r="BA394" s="1">
        <v>22</v>
      </c>
      <c r="BB394" s="1">
        <v>3</v>
      </c>
      <c r="BC394" s="1">
        <v>0</v>
      </c>
      <c r="BD394" s="1">
        <v>0</v>
      </c>
      <c r="BE394" s="1">
        <v>0</v>
      </c>
      <c r="BF394" s="1">
        <v>0</v>
      </c>
      <c r="BG394" s="1">
        <v>0</v>
      </c>
      <c r="BH394" s="4">
        <v>1E-3</v>
      </c>
      <c r="BI394" s="4">
        <v>22.218</v>
      </c>
      <c r="BJ394" s="4">
        <v>8.0663990000000005</v>
      </c>
      <c r="BK394" s="4">
        <v>1E-3</v>
      </c>
      <c r="BL394" s="4">
        <v>7.61869</v>
      </c>
      <c r="BM394" s="4">
        <v>58.044429999999998</v>
      </c>
      <c r="BN394" s="4">
        <v>0.94449700000000003</v>
      </c>
      <c r="BO394" s="4">
        <v>15.048249999999999</v>
      </c>
      <c r="BP394" s="4">
        <v>0.31207499999999999</v>
      </c>
      <c r="BQ394" s="4">
        <v>1.3578760000000001</v>
      </c>
      <c r="BR394" s="4">
        <v>7.2262839999999997</v>
      </c>
      <c r="BS394" s="4">
        <v>4.6310000000000002</v>
      </c>
      <c r="BT394" s="4">
        <v>4.7145000000000001</v>
      </c>
      <c r="BU394" s="4">
        <v>8.0663990000000005</v>
      </c>
      <c r="BV394" s="4">
        <v>4.193791</v>
      </c>
      <c r="BW394" s="4">
        <v>0.60118799999999994</v>
      </c>
      <c r="BX394" s="4">
        <v>-0.52116600000000002</v>
      </c>
      <c r="BY394" s="4">
        <v>0.51990899999999995</v>
      </c>
      <c r="BZ394" s="4">
        <v>0.14335200000000001</v>
      </c>
      <c r="CA394" s="4">
        <v>-0.12427100000000001</v>
      </c>
      <c r="CB394" s="4">
        <v>1.6410000000000001E-2</v>
      </c>
      <c r="CC394" s="4">
        <v>6.0100000000000001E-2</v>
      </c>
      <c r="CD394" s="4">
        <v>0.14530000000000001</v>
      </c>
      <c r="CE394" s="4">
        <v>0.60919999999999996</v>
      </c>
      <c r="CF394" s="4">
        <v>0.88224999999999998</v>
      </c>
      <c r="CG394" s="4">
        <v>1.0942000000000001</v>
      </c>
      <c r="CH394" s="4">
        <v>1.7587999999999999</v>
      </c>
      <c r="CI394" s="4">
        <v>4.7154999999999996</v>
      </c>
      <c r="CJ394" s="4">
        <v>12.7012</v>
      </c>
      <c r="CK394" s="4">
        <v>15.2194</v>
      </c>
      <c r="CL394" s="4">
        <v>15.9305</v>
      </c>
      <c r="CM394" s="4">
        <v>16.723199999999999</v>
      </c>
      <c r="CN394" s="4">
        <v>18.3398</v>
      </c>
      <c r="CO394" s="4">
        <v>19.414400000000001</v>
      </c>
      <c r="CP394" s="4">
        <v>21.24342</v>
      </c>
      <c r="CQ394" s="4">
        <v>0.36302800000000002</v>
      </c>
      <c r="CR394" s="4">
        <v>11.093259</v>
      </c>
      <c r="CS394" s="4">
        <v>12.736587</v>
      </c>
      <c r="CT394" s="1">
        <v>24</v>
      </c>
      <c r="CU394" s="1">
        <v>572</v>
      </c>
      <c r="CV394" s="4">
        <v>134.65849399999999</v>
      </c>
      <c r="CW394" s="4">
        <v>41.396825</v>
      </c>
      <c r="CX394" s="4">
        <v>103.69035</v>
      </c>
      <c r="CY394" s="4">
        <v>10751.68871</v>
      </c>
      <c r="CZ394" s="4">
        <v>0.77002499999999996</v>
      </c>
      <c r="DA394" s="4">
        <v>109</v>
      </c>
      <c r="DB394" s="4">
        <v>1.4798629999999999</v>
      </c>
      <c r="DC394" s="4">
        <v>4.7347580000000002</v>
      </c>
      <c r="DD394" s="4">
        <v>78.992896999999999</v>
      </c>
      <c r="DE394" s="4">
        <v>134.65849399999999</v>
      </c>
      <c r="DF394" s="4">
        <v>53.377170999999997</v>
      </c>
      <c r="DG394" s="4">
        <v>18.010536999999999</v>
      </c>
      <c r="DH394" s="4">
        <v>8.0249980000000001</v>
      </c>
      <c r="DI394" s="4">
        <v>0.39638899999999999</v>
      </c>
      <c r="DJ394" s="4">
        <v>0.33742</v>
      </c>
      <c r="DK394" s="4">
        <v>0.15034500000000001</v>
      </c>
      <c r="DL394" s="4">
        <v>28.41</v>
      </c>
      <c r="DM394" s="4">
        <v>35</v>
      </c>
      <c r="DN394" s="4">
        <v>41</v>
      </c>
      <c r="DO394" s="4">
        <v>53</v>
      </c>
      <c r="DP394" s="4">
        <v>59</v>
      </c>
      <c r="DQ394" s="4">
        <v>65</v>
      </c>
      <c r="DR394" s="4">
        <v>81</v>
      </c>
      <c r="DS394" s="4">
        <v>101</v>
      </c>
      <c r="DT394" s="4">
        <v>122</v>
      </c>
      <c r="DU394" s="4">
        <v>149.70001199999999</v>
      </c>
      <c r="DV394" s="4">
        <v>168</v>
      </c>
      <c r="DW394" s="4">
        <v>200.79998800000001</v>
      </c>
      <c r="DX394" s="4">
        <v>295.800049</v>
      </c>
      <c r="DY394" s="4">
        <v>372.899902</v>
      </c>
      <c r="DZ394" s="4">
        <v>452.53979500000003</v>
      </c>
      <c r="EA394" s="4">
        <v>71.652174000000002</v>
      </c>
      <c r="EB394" s="4">
        <v>54.290717999999998</v>
      </c>
      <c r="EC394" s="4">
        <v>107.826087</v>
      </c>
      <c r="ED394" s="4">
        <v>412</v>
      </c>
      <c r="EE394" s="4">
        <v>620</v>
      </c>
      <c r="EF394" s="4">
        <v>64.173912999999999</v>
      </c>
      <c r="EG394" s="4">
        <v>100</v>
      </c>
      <c r="EH394" s="4">
        <v>43.432574000000002</v>
      </c>
      <c r="EI394" s="4">
        <v>99.912434000000005</v>
      </c>
      <c r="EJ394" s="4">
        <v>86.260869999999997</v>
      </c>
      <c r="EK394" s="4">
        <v>198.43478300000001</v>
      </c>
      <c r="EL394" s="4">
        <v>369</v>
      </c>
      <c r="EM394" s="4">
        <v>575</v>
      </c>
      <c r="EN394" s="4">
        <v>496</v>
      </c>
      <c r="EO394" s="4">
        <v>1141</v>
      </c>
      <c r="EP394" s="4">
        <v>575</v>
      </c>
      <c r="EQ394" s="4">
        <v>1142</v>
      </c>
      <c r="ER394" s="4">
        <v>36.942557000000001</v>
      </c>
    </row>
    <row r="395" spans="1:148" x14ac:dyDescent="0.2">
      <c r="A395" s="1">
        <v>2025</v>
      </c>
      <c r="B395" s="1" t="str">
        <f t="shared" si="12"/>
        <v>NE</v>
      </c>
      <c r="C395" s="1" t="s">
        <v>1688</v>
      </c>
      <c r="D395" s="1" t="s">
        <v>1688</v>
      </c>
      <c r="E395" s="1">
        <v>26419</v>
      </c>
      <c r="F395" s="1" t="s">
        <v>2212</v>
      </c>
      <c r="G395" s="1" t="s">
        <v>2025</v>
      </c>
      <c r="H395" s="1" t="s">
        <v>1960</v>
      </c>
      <c r="I395" s="1">
        <v>26.92</v>
      </c>
      <c r="J395" s="1">
        <v>26.92</v>
      </c>
      <c r="K395" s="1" t="s">
        <v>148</v>
      </c>
      <c r="L395" s="1">
        <v>1</v>
      </c>
      <c r="M395" s="3">
        <v>2018</v>
      </c>
      <c r="O395" s="1">
        <v>2</v>
      </c>
      <c r="P395" s="1" t="str">
        <f t="shared" si="13"/>
        <v>Talhadia</v>
      </c>
      <c r="Q395" s="2">
        <v>43138</v>
      </c>
      <c r="R395" s="1" t="s">
        <v>149</v>
      </c>
      <c r="S395" s="1" t="s">
        <v>265</v>
      </c>
      <c r="T395" s="1" t="s">
        <v>2268</v>
      </c>
      <c r="U395" s="1" t="s">
        <v>151</v>
      </c>
      <c r="V395" s="1" t="s">
        <v>152</v>
      </c>
      <c r="W395" s="2">
        <v>44786</v>
      </c>
      <c r="X395" s="1" t="s">
        <v>2213</v>
      </c>
      <c r="Y395" s="1">
        <v>122.14</v>
      </c>
      <c r="Z395" s="1">
        <v>21</v>
      </c>
      <c r="AA395" s="1">
        <v>25</v>
      </c>
      <c r="AB395" s="1">
        <v>16.8</v>
      </c>
      <c r="AC395" s="1">
        <v>2</v>
      </c>
      <c r="AD395" s="3">
        <v>352.8</v>
      </c>
      <c r="AE395" s="3">
        <v>319.55060701583898</v>
      </c>
      <c r="AF395" s="2">
        <v>45742</v>
      </c>
      <c r="AG395" s="1">
        <v>85</v>
      </c>
      <c r="AH395" s="3">
        <v>7.12936344969199</v>
      </c>
      <c r="AI395" s="4">
        <v>27.971278001542</v>
      </c>
      <c r="AJ395" s="4">
        <v>18.162500000000001</v>
      </c>
      <c r="AK395" s="4">
        <v>26.375023646850899</v>
      </c>
      <c r="AL395" s="1">
        <v>32</v>
      </c>
      <c r="AM395" s="5">
        <v>1001.4063280566399</v>
      </c>
      <c r="AN395" s="4">
        <v>337.05577826661499</v>
      </c>
      <c r="AO395" s="4">
        <v>0.336582432947789</v>
      </c>
      <c r="AP395" s="1" t="s">
        <v>265</v>
      </c>
      <c r="AQ395" s="1" t="s">
        <v>254</v>
      </c>
      <c r="AR395" s="1" t="s">
        <v>500</v>
      </c>
      <c r="AS395" s="1">
        <v>9.99</v>
      </c>
      <c r="AT395" s="4">
        <v>1.0004049217285833</v>
      </c>
      <c r="AU395" s="1" t="s">
        <v>1687</v>
      </c>
      <c r="AV395" s="1" t="s">
        <v>1688</v>
      </c>
      <c r="AW395" s="1">
        <v>1400</v>
      </c>
      <c r="AX395" s="1">
        <v>722</v>
      </c>
      <c r="AY395" s="1">
        <v>489</v>
      </c>
      <c r="AZ395" s="1">
        <v>165</v>
      </c>
      <c r="BA395" s="1">
        <v>22</v>
      </c>
      <c r="BB395" s="1">
        <v>2</v>
      </c>
      <c r="BC395" s="1">
        <v>0</v>
      </c>
      <c r="BD395" s="1">
        <v>0</v>
      </c>
      <c r="BE395" s="1">
        <v>0</v>
      </c>
      <c r="BF395" s="1">
        <v>0</v>
      </c>
      <c r="BG395" s="1">
        <v>0</v>
      </c>
      <c r="BH395" s="4">
        <v>0</v>
      </c>
      <c r="BI395" s="4">
        <v>31.431999000000001</v>
      </c>
      <c r="BJ395" s="4">
        <v>17.629529000000002</v>
      </c>
      <c r="BK395" s="4">
        <v>0</v>
      </c>
      <c r="BL395" s="4">
        <v>13.701703</v>
      </c>
      <c r="BM395" s="4">
        <v>187.736659</v>
      </c>
      <c r="BN395" s="4">
        <v>0.77720199999999995</v>
      </c>
      <c r="BO395" s="4">
        <v>28.572248999999999</v>
      </c>
      <c r="BP395" s="4">
        <v>-0.40781400000000001</v>
      </c>
      <c r="BQ395" s="4">
        <v>1.2125319999999999</v>
      </c>
      <c r="BR395" s="4">
        <v>13.282717</v>
      </c>
      <c r="BS395" s="4">
        <v>2.308001</v>
      </c>
      <c r="BT395" s="4">
        <v>27.757999000000002</v>
      </c>
      <c r="BU395" s="4">
        <v>17.629529000000002</v>
      </c>
      <c r="BV395" s="4">
        <v>7.0565720000000001</v>
      </c>
      <c r="BW395" s="4">
        <v>-1.2173989999999999</v>
      </c>
      <c r="BX395" s="4">
        <v>-1.236591</v>
      </c>
      <c r="BY395" s="4">
        <v>0.40027000000000001</v>
      </c>
      <c r="BZ395" s="4">
        <v>-0.17252000000000001</v>
      </c>
      <c r="CA395" s="4">
        <v>-0.17524000000000001</v>
      </c>
      <c r="CB395" s="4">
        <v>3.0000000000000001E-3</v>
      </c>
      <c r="CC395" s="4">
        <v>2.1000000000000001E-2</v>
      </c>
      <c r="CD395" s="4">
        <v>4.5999999999999999E-2</v>
      </c>
      <c r="CE395" s="4">
        <v>0.2298</v>
      </c>
      <c r="CF395" s="4">
        <v>0.66525000000000001</v>
      </c>
      <c r="CG395" s="4">
        <v>1.1144000000000001</v>
      </c>
      <c r="CH395" s="4">
        <v>17.087799</v>
      </c>
      <c r="CI395" s="4">
        <v>27.757999000000002</v>
      </c>
      <c r="CJ395" s="4">
        <v>28.414200000000001</v>
      </c>
      <c r="CK395" s="4">
        <v>28.9939</v>
      </c>
      <c r="CL395" s="4">
        <v>29.237499</v>
      </c>
      <c r="CM395" s="4">
        <v>29.496200999999999</v>
      </c>
      <c r="CN395" s="4">
        <v>29.962299000000002</v>
      </c>
      <c r="CO395" s="4">
        <v>30.318100000000001</v>
      </c>
      <c r="CP395" s="4">
        <v>30.785250000000001</v>
      </c>
      <c r="CQ395" s="4">
        <v>0.56087799999999999</v>
      </c>
      <c r="CR395" s="4">
        <v>22.324938</v>
      </c>
      <c r="CS395" s="4">
        <v>24.302313999999999</v>
      </c>
      <c r="CT395" s="1">
        <v>21</v>
      </c>
      <c r="CU395" s="1">
        <v>555</v>
      </c>
      <c r="CV395" s="4">
        <v>128.09</v>
      </c>
      <c r="CW395" s="4">
        <v>37.952381000000003</v>
      </c>
      <c r="CX395" s="4">
        <v>87.292040999999998</v>
      </c>
      <c r="CY395" s="4">
        <v>7619.9004000000004</v>
      </c>
      <c r="CZ395" s="4">
        <v>0.68149000000000004</v>
      </c>
      <c r="DA395" s="4">
        <v>116.25</v>
      </c>
      <c r="DB395" s="4">
        <v>1.3738300000000001</v>
      </c>
      <c r="DC395" s="4">
        <v>5.5147599999999999</v>
      </c>
      <c r="DD395" s="4">
        <v>68.194256999999993</v>
      </c>
      <c r="DE395" s="4">
        <v>128.09</v>
      </c>
      <c r="DF395" s="4">
        <v>46.400987999999998</v>
      </c>
      <c r="DG395" s="4">
        <v>11.189968</v>
      </c>
      <c r="DH395" s="4">
        <v>5.1724699999999997</v>
      </c>
      <c r="DI395" s="4">
        <v>0.36225299999999999</v>
      </c>
      <c r="DJ395" s="4">
        <v>0.24115800000000001</v>
      </c>
      <c r="DK395" s="4">
        <v>0.111473</v>
      </c>
      <c r="DL395" s="4">
        <v>25.99</v>
      </c>
      <c r="DM395" s="4">
        <v>32.949997000000003</v>
      </c>
      <c r="DN395" s="4">
        <v>39</v>
      </c>
      <c r="DO395" s="4">
        <v>50</v>
      </c>
      <c r="DP395" s="4">
        <v>58.75</v>
      </c>
      <c r="DQ395" s="4">
        <v>68</v>
      </c>
      <c r="DR395" s="4">
        <v>85.599975999999998</v>
      </c>
      <c r="DS395" s="4">
        <v>108</v>
      </c>
      <c r="DT395" s="4">
        <v>132.400024</v>
      </c>
      <c r="DU395" s="4">
        <v>161</v>
      </c>
      <c r="DV395" s="4">
        <v>175</v>
      </c>
      <c r="DW395" s="4">
        <v>194</v>
      </c>
      <c r="DX395" s="4">
        <v>236.099976</v>
      </c>
      <c r="DY395" s="4">
        <v>291.25024400000001</v>
      </c>
      <c r="DZ395" s="4">
        <v>422.02001999999999</v>
      </c>
      <c r="EA395" s="4">
        <v>93.074792000000002</v>
      </c>
      <c r="EB395" s="4">
        <v>62.285713999999999</v>
      </c>
      <c r="EC395" s="4">
        <v>120.775623</v>
      </c>
      <c r="ED395" s="4">
        <v>672</v>
      </c>
      <c r="EE395" s="4">
        <v>872</v>
      </c>
      <c r="EF395" s="4">
        <v>91.551247000000004</v>
      </c>
      <c r="EG395" s="4">
        <v>100</v>
      </c>
      <c r="EH395" s="4">
        <v>59.785713999999999</v>
      </c>
      <c r="EI395" s="4">
        <v>99.928571000000005</v>
      </c>
      <c r="EJ395" s="4">
        <v>115.927978</v>
      </c>
      <c r="EK395" s="4">
        <v>193.767313</v>
      </c>
      <c r="EL395" s="4">
        <v>661</v>
      </c>
      <c r="EM395" s="4">
        <v>722</v>
      </c>
      <c r="EN395" s="4">
        <v>837</v>
      </c>
      <c r="EO395" s="4">
        <v>1399</v>
      </c>
      <c r="EP395" s="4">
        <v>722</v>
      </c>
      <c r="EQ395" s="4">
        <v>1400</v>
      </c>
      <c r="ER395" s="4">
        <v>56.306564000000002</v>
      </c>
    </row>
    <row r="396" spans="1:148" x14ac:dyDescent="0.2">
      <c r="A396" s="1">
        <v>2025</v>
      </c>
      <c r="B396" s="1" t="str">
        <f t="shared" si="12"/>
        <v>NE</v>
      </c>
      <c r="C396" s="1" t="s">
        <v>1690</v>
      </c>
      <c r="D396" s="1" t="s">
        <v>1690</v>
      </c>
      <c r="E396" s="1">
        <v>29909</v>
      </c>
      <c r="F396" s="1" t="s">
        <v>2214</v>
      </c>
      <c r="G396" s="1" t="s">
        <v>2026</v>
      </c>
      <c r="H396" s="1" t="s">
        <v>1961</v>
      </c>
      <c r="I396" s="1">
        <v>50.81</v>
      </c>
      <c r="J396" s="1">
        <v>50.81</v>
      </c>
      <c r="K396" s="1" t="s">
        <v>148</v>
      </c>
      <c r="L396" s="1">
        <v>1</v>
      </c>
      <c r="M396" s="3">
        <v>2022</v>
      </c>
      <c r="O396" s="1">
        <v>2</v>
      </c>
      <c r="P396" s="1" t="str">
        <f t="shared" si="13"/>
        <v>Talhadia</v>
      </c>
      <c r="Q396" s="2">
        <v>44586</v>
      </c>
      <c r="R396" s="1" t="s">
        <v>169</v>
      </c>
      <c r="S396" s="1" t="s">
        <v>299</v>
      </c>
      <c r="T396" s="1" t="s">
        <v>2268</v>
      </c>
      <c r="U396" s="1" t="s">
        <v>151</v>
      </c>
      <c r="V396" s="1" t="s">
        <v>152</v>
      </c>
      <c r="W396" s="2">
        <v>45742</v>
      </c>
      <c r="X396" s="1" t="s">
        <v>2215</v>
      </c>
      <c r="Y396" s="1">
        <v>98.26</v>
      </c>
      <c r="Z396" s="1">
        <v>21</v>
      </c>
      <c r="AA396" s="1">
        <v>24</v>
      </c>
      <c r="AB396" s="1">
        <v>15.4</v>
      </c>
      <c r="AC396" s="1">
        <v>11</v>
      </c>
      <c r="AD396" s="3">
        <v>323.39999999999998</v>
      </c>
      <c r="AE396" s="3">
        <v>290.01252503730302</v>
      </c>
      <c r="AF396" s="2">
        <v>45742</v>
      </c>
      <c r="AG396" s="1">
        <v>38</v>
      </c>
      <c r="AH396" s="3">
        <v>3.16495550992471</v>
      </c>
      <c r="AI396" s="4">
        <v>16.6036640774002</v>
      </c>
      <c r="AJ396" s="4">
        <v>10.214285714285699</v>
      </c>
      <c r="AK396" s="4">
        <v>12.128948728858299</v>
      </c>
      <c r="AL396" s="1">
        <v>42</v>
      </c>
      <c r="AM396" s="5">
        <v>1448.21331404903</v>
      </c>
      <c r="AN396" s="4">
        <v>92.715622916560804</v>
      </c>
      <c r="AO396" s="4">
        <v>6.4020695029614799E-2</v>
      </c>
      <c r="AP396" s="1" t="s">
        <v>299</v>
      </c>
      <c r="AQ396" s="1" t="s">
        <v>254</v>
      </c>
      <c r="AR396" s="1" t="s">
        <v>500</v>
      </c>
      <c r="AS396" s="1">
        <v>9</v>
      </c>
      <c r="AT396" s="4">
        <v>1.3033919826441271</v>
      </c>
      <c r="AU396" s="1" t="s">
        <v>1689</v>
      </c>
      <c r="AV396" s="1" t="s">
        <v>1690</v>
      </c>
      <c r="AW396" s="1">
        <v>1057</v>
      </c>
      <c r="AX396" s="1">
        <v>655</v>
      </c>
      <c r="AY396" s="1">
        <v>322</v>
      </c>
      <c r="AZ396" s="1">
        <v>74</v>
      </c>
      <c r="BA396" s="1">
        <v>6</v>
      </c>
      <c r="BB396" s="1">
        <v>0</v>
      </c>
      <c r="BC396" s="1">
        <v>0</v>
      </c>
      <c r="BD396" s="1">
        <v>0</v>
      </c>
      <c r="BE396" s="1">
        <v>0</v>
      </c>
      <c r="BF396" s="1">
        <v>0</v>
      </c>
      <c r="BG396" s="1">
        <v>0</v>
      </c>
      <c r="BH396" s="4">
        <v>0</v>
      </c>
      <c r="BI396" s="4">
        <v>18.558001000000001</v>
      </c>
      <c r="BJ396" s="4">
        <v>11.016489</v>
      </c>
      <c r="BK396" s="4">
        <v>0</v>
      </c>
      <c r="BL396" s="4">
        <v>6.2643110000000002</v>
      </c>
      <c r="BM396" s="4">
        <v>39.241593999999999</v>
      </c>
      <c r="BN396" s="4">
        <v>0.56862999999999997</v>
      </c>
      <c r="BO396" s="4">
        <v>5.3280000000000003</v>
      </c>
      <c r="BP396" s="4">
        <v>-1.009649</v>
      </c>
      <c r="BQ396" s="4">
        <v>2.3019880000000001</v>
      </c>
      <c r="BR396" s="4">
        <v>5.2277430000000003</v>
      </c>
      <c r="BS396" s="4">
        <v>1.9140010000000001</v>
      </c>
      <c r="BT396" s="4">
        <v>13.785</v>
      </c>
      <c r="BU396" s="4">
        <v>11.016489</v>
      </c>
      <c r="BV396" s="4">
        <v>3.1914859999999998</v>
      </c>
      <c r="BW396" s="4">
        <v>-0.98239299999999996</v>
      </c>
      <c r="BX396" s="4">
        <v>0.123821</v>
      </c>
      <c r="BY396" s="4">
        <v>0.28970099999999999</v>
      </c>
      <c r="BZ396" s="4">
        <v>-0.30781700000000001</v>
      </c>
      <c r="CA396" s="4">
        <v>3.8796999999999998E-2</v>
      </c>
      <c r="CB396" s="4">
        <v>2E-3</v>
      </c>
      <c r="CC396" s="4">
        <v>1.2E-2</v>
      </c>
      <c r="CD396" s="4">
        <v>3.3000000000000002E-2</v>
      </c>
      <c r="CE396" s="4">
        <v>0.4264</v>
      </c>
      <c r="CF396" s="4">
        <v>10.052</v>
      </c>
      <c r="CG396" s="4">
        <v>11.776400000000001</v>
      </c>
      <c r="CH396" s="4">
        <v>12.837</v>
      </c>
      <c r="CI396" s="4">
        <v>13.785</v>
      </c>
      <c r="CJ396" s="4">
        <v>14.557600000000001</v>
      </c>
      <c r="CK396" s="4">
        <v>15.106999</v>
      </c>
      <c r="CL396" s="4">
        <v>15.38</v>
      </c>
      <c r="CM396" s="4">
        <v>15.691800000000001</v>
      </c>
      <c r="CN396" s="4">
        <v>16.415400000000002</v>
      </c>
      <c r="CO396" s="4">
        <v>16.905799999999999</v>
      </c>
      <c r="CP396" s="4">
        <v>17.851519</v>
      </c>
      <c r="CQ396" s="4">
        <v>0.59362499999999996</v>
      </c>
      <c r="CR396" s="4">
        <v>12.671523000000001</v>
      </c>
      <c r="CS396" s="4">
        <v>13.360186000000001</v>
      </c>
      <c r="CT396" s="1">
        <v>25</v>
      </c>
      <c r="CU396" s="1">
        <v>669</v>
      </c>
      <c r="CV396" s="4">
        <v>127.764428</v>
      </c>
      <c r="CW396" s="4">
        <v>35.222222000000002</v>
      </c>
      <c r="CX396" s="4">
        <v>86.225361000000007</v>
      </c>
      <c r="CY396" s="4">
        <v>7434.8128239999996</v>
      </c>
      <c r="CZ396" s="4">
        <v>0.67487799999999998</v>
      </c>
      <c r="DA396" s="4">
        <v>104</v>
      </c>
      <c r="DB396" s="4">
        <v>1.8690869999999999</v>
      </c>
      <c r="DC396" s="4">
        <v>8.3724190000000007</v>
      </c>
      <c r="DD396" s="4">
        <v>63.180041000000003</v>
      </c>
      <c r="DE396" s="4">
        <v>127.764428</v>
      </c>
      <c r="DF396" s="4">
        <v>43.980265000000003</v>
      </c>
      <c r="DG396" s="4">
        <v>11.324999999999999</v>
      </c>
      <c r="DH396" s="4">
        <v>6.9771200000000002</v>
      </c>
      <c r="DI396" s="4">
        <v>0.34422900000000001</v>
      </c>
      <c r="DJ396" s="4">
        <v>0.25750200000000001</v>
      </c>
      <c r="DK396" s="4">
        <v>0.15864200000000001</v>
      </c>
      <c r="DL396" s="4">
        <v>29.560001</v>
      </c>
      <c r="DM396" s="4">
        <v>36</v>
      </c>
      <c r="DN396" s="4">
        <v>42</v>
      </c>
      <c r="DO396" s="4">
        <v>57</v>
      </c>
      <c r="DP396" s="4">
        <v>63</v>
      </c>
      <c r="DQ396" s="4">
        <v>72</v>
      </c>
      <c r="DR396" s="4">
        <v>92</v>
      </c>
      <c r="DS396" s="4">
        <v>111</v>
      </c>
      <c r="DT396" s="4">
        <v>131</v>
      </c>
      <c r="DU396" s="4">
        <v>155</v>
      </c>
      <c r="DV396" s="4">
        <v>167</v>
      </c>
      <c r="DW396" s="4">
        <v>182</v>
      </c>
      <c r="DX396" s="4">
        <v>221.400024</v>
      </c>
      <c r="DY396" s="4">
        <v>271.60003699999999</v>
      </c>
      <c r="DZ396" s="4">
        <v>464.43994099999998</v>
      </c>
      <c r="EA396" s="4">
        <v>95.419847000000004</v>
      </c>
      <c r="EB396" s="4">
        <v>76.537369999999996</v>
      </c>
      <c r="EC396" s="4">
        <v>123.51145</v>
      </c>
      <c r="ED396" s="4">
        <v>625</v>
      </c>
      <c r="EE396" s="4">
        <v>809</v>
      </c>
      <c r="EF396" s="4">
        <v>93.435114999999996</v>
      </c>
      <c r="EG396" s="4">
        <v>99.847328000000005</v>
      </c>
      <c r="EH396" s="4">
        <v>73.320718999999997</v>
      </c>
      <c r="EI396" s="4">
        <v>99.716177999999999</v>
      </c>
      <c r="EJ396" s="4">
        <v>118.320611</v>
      </c>
      <c r="EK396" s="4">
        <v>160.916031</v>
      </c>
      <c r="EL396" s="4">
        <v>612</v>
      </c>
      <c r="EM396" s="4">
        <v>654</v>
      </c>
      <c r="EN396" s="4">
        <v>775</v>
      </c>
      <c r="EO396" s="4">
        <v>1054</v>
      </c>
      <c r="EP396" s="4">
        <v>655</v>
      </c>
      <c r="EQ396" s="4">
        <v>1057</v>
      </c>
      <c r="ER396" s="4">
        <v>60.626544000000003</v>
      </c>
    </row>
    <row r="397" spans="1:148" x14ac:dyDescent="0.2">
      <c r="A397" s="1">
        <v>2025</v>
      </c>
      <c r="B397" s="1" t="str">
        <f t="shared" si="12"/>
        <v>NE</v>
      </c>
      <c r="C397" s="1" t="s">
        <v>1692</v>
      </c>
      <c r="D397" s="1" t="s">
        <v>1692</v>
      </c>
      <c r="E397" s="1">
        <v>26169</v>
      </c>
      <c r="F397" s="1" t="s">
        <v>2216</v>
      </c>
      <c r="G397" s="1" t="s">
        <v>1200</v>
      </c>
      <c r="H397" s="1" t="s">
        <v>1962</v>
      </c>
      <c r="I397" s="1">
        <v>73.59</v>
      </c>
      <c r="J397" s="1">
        <v>73.59</v>
      </c>
      <c r="K397" s="1" t="s">
        <v>148</v>
      </c>
      <c r="L397" s="1">
        <v>1</v>
      </c>
      <c r="M397" s="3">
        <v>2018</v>
      </c>
      <c r="O397" s="1">
        <v>2</v>
      </c>
      <c r="P397" s="1" t="str">
        <f t="shared" si="13"/>
        <v>Talhadia</v>
      </c>
      <c r="Q397" s="2">
        <v>43368</v>
      </c>
      <c r="R397" s="1" t="s">
        <v>169</v>
      </c>
      <c r="S397" s="1" t="s">
        <v>163</v>
      </c>
      <c r="T397" s="1" t="s">
        <v>2268</v>
      </c>
      <c r="U397" s="1" t="s">
        <v>151</v>
      </c>
      <c r="V397" s="1" t="s">
        <v>152</v>
      </c>
      <c r="W397" s="2">
        <v>44787</v>
      </c>
      <c r="X397" s="1" t="s">
        <v>1202</v>
      </c>
      <c r="Y397" s="1">
        <v>74.740000000000009</v>
      </c>
      <c r="Z397" s="1">
        <v>21.4</v>
      </c>
      <c r="AA397" s="1">
        <v>9</v>
      </c>
      <c r="AB397" s="1">
        <v>15</v>
      </c>
      <c r="AC397" s="1">
        <v>7</v>
      </c>
      <c r="AD397" s="3">
        <v>321</v>
      </c>
      <c r="AE397" s="3">
        <v>314.68472993466497</v>
      </c>
      <c r="AF397" s="2">
        <v>45742</v>
      </c>
      <c r="AG397" s="1">
        <v>78</v>
      </c>
      <c r="AH397" s="3">
        <v>6.4996577686516099</v>
      </c>
      <c r="AI397" s="4">
        <v>24.731205403281798</v>
      </c>
      <c r="AJ397" s="4">
        <v>16.685185185185201</v>
      </c>
      <c r="AK397" s="4">
        <v>20.865824705541598</v>
      </c>
      <c r="AL397" s="1">
        <v>27</v>
      </c>
      <c r="AM397" s="5">
        <v>858.00159434510101</v>
      </c>
      <c r="AN397" s="4">
        <v>259.83601422021201</v>
      </c>
      <c r="AO397" s="4">
        <v>0.30283861467476803</v>
      </c>
      <c r="AP397" s="1" t="s">
        <v>163</v>
      </c>
      <c r="AQ397" s="1" t="s">
        <v>254</v>
      </c>
      <c r="AR397" s="1" t="s">
        <v>500</v>
      </c>
      <c r="AS397" s="1">
        <v>9</v>
      </c>
      <c r="AT397" s="4">
        <v>0.7722014349105909</v>
      </c>
      <c r="AU397" s="1" t="s">
        <v>1691</v>
      </c>
      <c r="AV397" s="1" t="s">
        <v>1692</v>
      </c>
      <c r="AW397" s="1">
        <v>1231</v>
      </c>
      <c r="AX397" s="1">
        <v>573</v>
      </c>
      <c r="AY397" s="1">
        <v>425</v>
      </c>
      <c r="AZ397" s="1">
        <v>180</v>
      </c>
      <c r="BA397" s="1">
        <v>42</v>
      </c>
      <c r="BB397" s="1">
        <v>11</v>
      </c>
      <c r="BC397" s="1">
        <v>0</v>
      </c>
      <c r="BD397" s="1">
        <v>0</v>
      </c>
      <c r="BE397" s="1">
        <v>0</v>
      </c>
      <c r="BF397" s="1">
        <v>0</v>
      </c>
      <c r="BG397" s="1">
        <v>0</v>
      </c>
      <c r="BH397" s="4">
        <v>0</v>
      </c>
      <c r="BI397" s="4">
        <v>32.229999999999997</v>
      </c>
      <c r="BJ397" s="4">
        <v>15.74902</v>
      </c>
      <c r="BK397" s="4">
        <v>0</v>
      </c>
      <c r="BL397" s="4">
        <v>11.402048000000001</v>
      </c>
      <c r="BM397" s="4">
        <v>130.00670700000001</v>
      </c>
      <c r="BN397" s="4">
        <v>0.72398499999999999</v>
      </c>
      <c r="BO397" s="4">
        <v>25.032999</v>
      </c>
      <c r="BP397" s="4">
        <v>-0.195108</v>
      </c>
      <c r="BQ397" s="4">
        <v>1.530681</v>
      </c>
      <c r="BR397" s="4">
        <v>10.140806</v>
      </c>
      <c r="BS397" s="4">
        <v>10.68</v>
      </c>
      <c r="BT397" s="4">
        <v>17.335999999999999</v>
      </c>
      <c r="BU397" s="4">
        <v>15.74902</v>
      </c>
      <c r="BV397" s="4">
        <v>6.4791100000000004</v>
      </c>
      <c r="BW397" s="4">
        <v>-0.32572699999999999</v>
      </c>
      <c r="BX397" s="4">
        <v>-0.56486199999999998</v>
      </c>
      <c r="BY397" s="4">
        <v>0.41139799999999999</v>
      </c>
      <c r="BZ397" s="4">
        <v>-5.0272999999999998E-2</v>
      </c>
      <c r="CA397" s="4">
        <v>-8.7181999999999996E-2</v>
      </c>
      <c r="CB397" s="4">
        <v>2E-3</v>
      </c>
      <c r="CC397" s="4">
        <v>1.0999999999999999E-2</v>
      </c>
      <c r="CD397" s="4">
        <v>2.8000000000000001E-2</v>
      </c>
      <c r="CE397" s="4">
        <v>0.11</v>
      </c>
      <c r="CF397" s="4">
        <v>1.6975</v>
      </c>
      <c r="CG397" s="4">
        <v>7.0350000000000001</v>
      </c>
      <c r="CH397" s="4">
        <v>13.144</v>
      </c>
      <c r="CI397" s="4">
        <v>17.335999999999999</v>
      </c>
      <c r="CJ397" s="4">
        <v>21.301000999999999</v>
      </c>
      <c r="CK397" s="4">
        <v>25.407</v>
      </c>
      <c r="CL397" s="4">
        <v>26.730498999999998</v>
      </c>
      <c r="CM397" s="4">
        <v>28.049999</v>
      </c>
      <c r="CN397" s="4">
        <v>29.611999999999998</v>
      </c>
      <c r="CO397" s="4">
        <v>30.575500000000002</v>
      </c>
      <c r="CP397" s="4">
        <v>31.747696000000001</v>
      </c>
      <c r="CQ397" s="4">
        <v>0.488645</v>
      </c>
      <c r="CR397" s="4">
        <v>19.440491999999999</v>
      </c>
      <c r="CS397" s="4">
        <v>21.366731999999999</v>
      </c>
      <c r="CT397" s="1">
        <v>19</v>
      </c>
      <c r="CU397" s="1">
        <v>981</v>
      </c>
      <c r="CV397" s="4">
        <v>173.23720599999999</v>
      </c>
      <c r="CW397" s="4">
        <v>34.269841</v>
      </c>
      <c r="CX397" s="4">
        <v>153.51445100000001</v>
      </c>
      <c r="CY397" s="4">
        <v>23566.68678</v>
      </c>
      <c r="CZ397" s="4">
        <v>0.88615200000000005</v>
      </c>
      <c r="DA397" s="4">
        <v>187.5</v>
      </c>
      <c r="DB397" s="4">
        <v>1.6944779999999999</v>
      </c>
      <c r="DC397" s="4">
        <v>6.1385459999999998</v>
      </c>
      <c r="DD397" s="4">
        <v>116.696037</v>
      </c>
      <c r="DE397" s="4">
        <v>173.23720599999999</v>
      </c>
      <c r="DF397" s="4">
        <v>77.894288000000003</v>
      </c>
      <c r="DG397" s="4">
        <v>26.588481000000002</v>
      </c>
      <c r="DH397" s="4">
        <v>11.00704</v>
      </c>
      <c r="DI397" s="4">
        <v>0.44963900000000001</v>
      </c>
      <c r="DJ397" s="4">
        <v>0.34134100000000001</v>
      </c>
      <c r="DK397" s="4">
        <v>0.14130699999999999</v>
      </c>
      <c r="DL397" s="4">
        <v>27</v>
      </c>
      <c r="DM397" s="4">
        <v>32.5</v>
      </c>
      <c r="DN397" s="4">
        <v>39</v>
      </c>
      <c r="DO397" s="4">
        <v>52</v>
      </c>
      <c r="DP397" s="4">
        <v>58</v>
      </c>
      <c r="DQ397" s="4">
        <v>67</v>
      </c>
      <c r="DR397" s="4">
        <v>89</v>
      </c>
      <c r="DS397" s="4">
        <v>120</v>
      </c>
      <c r="DT397" s="4">
        <v>165</v>
      </c>
      <c r="DU397" s="4">
        <v>213</v>
      </c>
      <c r="DV397" s="4">
        <v>245.5</v>
      </c>
      <c r="DW397" s="4">
        <v>279</v>
      </c>
      <c r="DX397" s="4">
        <v>369</v>
      </c>
      <c r="DY397" s="4">
        <v>493</v>
      </c>
      <c r="DZ397" s="4">
        <v>708.79980499999999</v>
      </c>
      <c r="EA397" s="4">
        <v>90.575916000000007</v>
      </c>
      <c r="EB397" s="4">
        <v>73.517465000000001</v>
      </c>
      <c r="EC397" s="4">
        <v>157.940663</v>
      </c>
      <c r="ED397" s="4">
        <v>519</v>
      </c>
      <c r="EE397" s="4">
        <v>905</v>
      </c>
      <c r="EF397" s="4">
        <v>76.265270999999998</v>
      </c>
      <c r="EG397" s="4">
        <v>100</v>
      </c>
      <c r="EH397" s="4">
        <v>53.939886000000001</v>
      </c>
      <c r="EI397" s="4">
        <v>99.512591</v>
      </c>
      <c r="EJ397" s="4">
        <v>115.881326</v>
      </c>
      <c r="EK397" s="4">
        <v>213.78708599999999</v>
      </c>
      <c r="EL397" s="4">
        <v>437</v>
      </c>
      <c r="EM397" s="4">
        <v>573</v>
      </c>
      <c r="EN397" s="4">
        <v>664</v>
      </c>
      <c r="EO397" s="4">
        <v>1225</v>
      </c>
      <c r="EP397" s="4">
        <v>573</v>
      </c>
      <c r="EQ397" s="4">
        <v>1231</v>
      </c>
      <c r="ER397" s="4">
        <v>48.599820999999999</v>
      </c>
    </row>
    <row r="398" spans="1:148" x14ac:dyDescent="0.2">
      <c r="A398" s="1">
        <v>2025</v>
      </c>
      <c r="B398" s="1" t="str">
        <f t="shared" si="12"/>
        <v>NE</v>
      </c>
      <c r="C398" s="1" t="s">
        <v>1694</v>
      </c>
      <c r="D398" s="1" t="s">
        <v>1694</v>
      </c>
      <c r="E398" s="1">
        <v>26170</v>
      </c>
      <c r="F398" s="1" t="s">
        <v>2216</v>
      </c>
      <c r="G398" s="1" t="s">
        <v>1200</v>
      </c>
      <c r="H398" s="1" t="s">
        <v>1962</v>
      </c>
      <c r="I398" s="1">
        <v>73.59</v>
      </c>
      <c r="J398" s="1">
        <v>73.59</v>
      </c>
      <c r="K398" s="1" t="s">
        <v>148</v>
      </c>
      <c r="L398" s="1">
        <v>1</v>
      </c>
      <c r="M398" s="3">
        <v>2018</v>
      </c>
      <c r="O398" s="1">
        <v>2</v>
      </c>
      <c r="P398" s="1" t="str">
        <f t="shared" si="13"/>
        <v>Talhadia</v>
      </c>
      <c r="Q398" s="2">
        <v>43368</v>
      </c>
      <c r="R398" s="1" t="s">
        <v>169</v>
      </c>
      <c r="S398" s="1" t="s">
        <v>163</v>
      </c>
      <c r="T398" s="1" t="s">
        <v>2268</v>
      </c>
      <c r="U398" s="1" t="s">
        <v>151</v>
      </c>
      <c r="V398" s="1" t="s">
        <v>152</v>
      </c>
      <c r="W398" s="2">
        <v>45742</v>
      </c>
      <c r="X398" s="1" t="s">
        <v>1202</v>
      </c>
      <c r="Y398" s="1">
        <v>74.740000000000009</v>
      </c>
      <c r="Z398" s="1">
        <v>20.7</v>
      </c>
      <c r="AA398" s="1">
        <v>19</v>
      </c>
      <c r="AB398" s="1">
        <v>15</v>
      </c>
      <c r="AC398" s="1">
        <v>2</v>
      </c>
      <c r="AD398" s="3">
        <v>310.5</v>
      </c>
      <c r="AE398" s="3">
        <v>293.404674576952</v>
      </c>
      <c r="AF398" s="2">
        <v>45742</v>
      </c>
      <c r="AG398" s="1">
        <v>78</v>
      </c>
      <c r="AH398" s="3">
        <v>6.4996577686516099</v>
      </c>
      <c r="AI398" s="4">
        <v>26.786422311938399</v>
      </c>
      <c r="AJ398" s="4">
        <v>17.985185185185198</v>
      </c>
      <c r="AK398" s="4">
        <v>24.988915580298698</v>
      </c>
      <c r="AL398" s="1">
        <v>27</v>
      </c>
      <c r="AM398" s="5">
        <v>920.23073725495999</v>
      </c>
      <c r="AN398" s="4">
        <v>326.73905920822102</v>
      </c>
      <c r="AO398" s="4">
        <v>0.35506210125395399</v>
      </c>
      <c r="AP398" s="1" t="s">
        <v>163</v>
      </c>
      <c r="AQ398" s="1" t="s">
        <v>254</v>
      </c>
      <c r="AR398" s="1" t="s">
        <v>500</v>
      </c>
      <c r="AS398" s="1">
        <v>9</v>
      </c>
      <c r="AT398" s="4">
        <v>0.82820766352946396</v>
      </c>
      <c r="AU398" s="1" t="s">
        <v>1693</v>
      </c>
      <c r="AV398" s="1" t="s">
        <v>1694</v>
      </c>
      <c r="AW398" s="1">
        <v>1219</v>
      </c>
      <c r="AX398" s="1">
        <v>606</v>
      </c>
      <c r="AY398" s="1">
        <v>404</v>
      </c>
      <c r="AZ398" s="1">
        <v>152</v>
      </c>
      <c r="BA398" s="1">
        <v>55</v>
      </c>
      <c r="BB398" s="1">
        <v>2</v>
      </c>
      <c r="BC398" s="1">
        <v>0</v>
      </c>
      <c r="BD398" s="1">
        <v>0</v>
      </c>
      <c r="BE398" s="1">
        <v>0</v>
      </c>
      <c r="BF398" s="1">
        <v>0</v>
      </c>
      <c r="BG398" s="1">
        <v>0</v>
      </c>
      <c r="BH398" s="4">
        <v>0</v>
      </c>
      <c r="BI398" s="4">
        <v>34.137999999999998</v>
      </c>
      <c r="BJ398" s="4">
        <v>18.137799000000001</v>
      </c>
      <c r="BK398" s="4">
        <v>0</v>
      </c>
      <c r="BL398" s="4">
        <v>12.540775</v>
      </c>
      <c r="BM398" s="4">
        <v>157.27103</v>
      </c>
      <c r="BN398" s="4">
        <v>0.69141699999999995</v>
      </c>
      <c r="BO398" s="4">
        <v>27.054499</v>
      </c>
      <c r="BP398" s="4">
        <v>-0.38660699999999998</v>
      </c>
      <c r="BQ398" s="4">
        <v>1.466019</v>
      </c>
      <c r="BR398" s="4">
        <v>11.432214999999999</v>
      </c>
      <c r="BS398" s="4">
        <v>8.4769989999999993</v>
      </c>
      <c r="BT398" s="4">
        <v>22.635000000000002</v>
      </c>
      <c r="BU398" s="4">
        <v>18.137799000000001</v>
      </c>
      <c r="BV398" s="4">
        <v>6.9607460000000003</v>
      </c>
      <c r="BW398" s="4">
        <v>-0.92489399999999999</v>
      </c>
      <c r="BX398" s="4">
        <v>-0.76481900000000003</v>
      </c>
      <c r="BY398" s="4">
        <v>0.38377</v>
      </c>
      <c r="BZ398" s="4">
        <v>-0.13287299999999999</v>
      </c>
      <c r="CA398" s="4">
        <v>-0.109876</v>
      </c>
      <c r="CB398" s="4">
        <v>3.0000000000000001E-3</v>
      </c>
      <c r="CC398" s="4">
        <v>2.5000000000000001E-2</v>
      </c>
      <c r="CD398" s="4">
        <v>7.8600000000000003E-2</v>
      </c>
      <c r="CE398" s="4">
        <v>1.391</v>
      </c>
      <c r="CF398" s="4">
        <v>2.496</v>
      </c>
      <c r="CG398" s="4">
        <v>5.8196000000000003</v>
      </c>
      <c r="CH398" s="4">
        <v>16.894600000000001</v>
      </c>
      <c r="CI398" s="4">
        <v>22.635000000000002</v>
      </c>
      <c r="CJ398" s="4">
        <v>27.063600999999998</v>
      </c>
      <c r="CK398" s="4">
        <v>28.972598999999999</v>
      </c>
      <c r="CL398" s="4">
        <v>29.550498999999999</v>
      </c>
      <c r="CM398" s="4">
        <v>30.386199999999999</v>
      </c>
      <c r="CN398" s="4">
        <v>31.530201000000002</v>
      </c>
      <c r="CO398" s="4">
        <v>32.127696999999998</v>
      </c>
      <c r="CP398" s="4">
        <v>33.246718999999999</v>
      </c>
      <c r="CQ398" s="4">
        <v>0.531308</v>
      </c>
      <c r="CR398" s="4">
        <v>22.048169000000001</v>
      </c>
      <c r="CS398" s="4">
        <v>23.960412999999999</v>
      </c>
      <c r="CT398" s="1">
        <v>22</v>
      </c>
      <c r="CU398" s="1">
        <v>671</v>
      </c>
      <c r="CV398" s="4">
        <v>139.065628</v>
      </c>
      <c r="CW398" s="4">
        <v>42.603175</v>
      </c>
      <c r="CX398" s="4">
        <v>98.942796999999999</v>
      </c>
      <c r="CY398" s="4">
        <v>9789.6771339999996</v>
      </c>
      <c r="CZ398" s="4">
        <v>0.71148299999999998</v>
      </c>
      <c r="DA398" s="4">
        <v>141</v>
      </c>
      <c r="DB398" s="4">
        <v>1.2237629999999999</v>
      </c>
      <c r="DC398" s="4">
        <v>4.7086030000000001</v>
      </c>
      <c r="DD398" s="4">
        <v>79.464877000000001</v>
      </c>
      <c r="DE398" s="4">
        <v>139.065628</v>
      </c>
      <c r="DF398" s="4">
        <v>53.156024000000002</v>
      </c>
      <c r="DG398" s="4">
        <v>13.34149</v>
      </c>
      <c r="DH398" s="4">
        <v>4.5265589999999998</v>
      </c>
      <c r="DI398" s="4">
        <v>0.38223699999999999</v>
      </c>
      <c r="DJ398" s="4">
        <v>0.25098700000000002</v>
      </c>
      <c r="DK398" s="4">
        <v>8.5155999999999996E-2</v>
      </c>
      <c r="DL398" s="4">
        <v>26</v>
      </c>
      <c r="DM398" s="4">
        <v>33</v>
      </c>
      <c r="DN398" s="4">
        <v>39</v>
      </c>
      <c r="DO398" s="4">
        <v>52</v>
      </c>
      <c r="DP398" s="4">
        <v>59</v>
      </c>
      <c r="DQ398" s="4">
        <v>67</v>
      </c>
      <c r="DR398" s="4">
        <v>86</v>
      </c>
      <c r="DS398" s="4">
        <v>112</v>
      </c>
      <c r="DT398" s="4">
        <v>141</v>
      </c>
      <c r="DU398" s="4">
        <v>175</v>
      </c>
      <c r="DV398" s="4">
        <v>200</v>
      </c>
      <c r="DW398" s="4">
        <v>221.400024</v>
      </c>
      <c r="DX398" s="4">
        <v>280</v>
      </c>
      <c r="DY398" s="4">
        <v>320.09997600000003</v>
      </c>
      <c r="DZ398" s="4">
        <v>431.55957000000001</v>
      </c>
      <c r="EA398" s="4">
        <v>94.059405999999996</v>
      </c>
      <c r="EB398" s="4">
        <v>73.666939999999997</v>
      </c>
      <c r="EC398" s="4">
        <v>148.18481800000001</v>
      </c>
      <c r="ED398" s="4">
        <v>570</v>
      </c>
      <c r="EE398" s="4">
        <v>898</v>
      </c>
      <c r="EF398" s="4">
        <v>85.643563999999998</v>
      </c>
      <c r="EG398" s="4">
        <v>100</v>
      </c>
      <c r="EH398" s="4">
        <v>58.736668999999999</v>
      </c>
      <c r="EI398" s="4">
        <v>99.835931000000002</v>
      </c>
      <c r="EJ398" s="4">
        <v>118.151815</v>
      </c>
      <c r="EK398" s="4">
        <v>200.82508300000001</v>
      </c>
      <c r="EL398" s="4">
        <v>519</v>
      </c>
      <c r="EM398" s="4">
        <v>606</v>
      </c>
      <c r="EN398" s="4">
        <v>716</v>
      </c>
      <c r="EO398" s="4">
        <v>1217</v>
      </c>
      <c r="EP398" s="4">
        <v>606</v>
      </c>
      <c r="EQ398" s="4">
        <v>1219</v>
      </c>
      <c r="ER398" s="4">
        <v>53.533355</v>
      </c>
    </row>
    <row r="399" spans="1:148" x14ac:dyDescent="0.2">
      <c r="A399" s="1">
        <v>2025</v>
      </c>
      <c r="B399" s="1" t="str">
        <f t="shared" si="12"/>
        <v>NE</v>
      </c>
      <c r="C399" s="1" t="s">
        <v>1696</v>
      </c>
      <c r="D399" s="1" t="s">
        <v>1696</v>
      </c>
      <c r="E399" s="1">
        <v>26171</v>
      </c>
      <c r="F399" s="1" t="s">
        <v>2216</v>
      </c>
      <c r="G399" s="1" t="s">
        <v>1200</v>
      </c>
      <c r="H399" s="1" t="s">
        <v>1962</v>
      </c>
      <c r="I399" s="1">
        <v>73.59</v>
      </c>
      <c r="J399" s="1">
        <v>73.59</v>
      </c>
      <c r="K399" s="1" t="s">
        <v>148</v>
      </c>
      <c r="L399" s="1">
        <v>1</v>
      </c>
      <c r="M399" s="3">
        <v>2018</v>
      </c>
      <c r="O399" s="1">
        <v>2</v>
      </c>
      <c r="P399" s="1" t="str">
        <f t="shared" si="13"/>
        <v>Talhadia</v>
      </c>
      <c r="Q399" s="2">
        <v>43368</v>
      </c>
      <c r="R399" s="1" t="s">
        <v>169</v>
      </c>
      <c r="S399" s="1" t="s">
        <v>163</v>
      </c>
      <c r="T399" s="1" t="s">
        <v>2268</v>
      </c>
      <c r="U399" s="1" t="s">
        <v>151</v>
      </c>
      <c r="V399" s="1" t="s">
        <v>152</v>
      </c>
      <c r="W399" s="2">
        <v>44788</v>
      </c>
      <c r="X399" s="1" t="s">
        <v>1202</v>
      </c>
      <c r="Y399" s="1">
        <v>74.740000000000009</v>
      </c>
      <c r="Z399" s="1">
        <v>21</v>
      </c>
      <c r="AA399" s="1">
        <v>31</v>
      </c>
      <c r="AB399" s="1">
        <v>15.6</v>
      </c>
      <c r="AC399" s="1">
        <v>10</v>
      </c>
      <c r="AD399" s="3">
        <v>327.60000000000002</v>
      </c>
      <c r="AE399" s="3">
        <v>276.54190310073199</v>
      </c>
      <c r="AF399" s="2">
        <v>45742</v>
      </c>
      <c r="AG399" s="1">
        <v>78</v>
      </c>
      <c r="AH399" s="3">
        <v>6.4996577686516099</v>
      </c>
      <c r="AI399" s="4">
        <v>22.745327981637299</v>
      </c>
      <c r="AJ399" s="4">
        <v>15.828125</v>
      </c>
      <c r="AK399" s="4">
        <v>24.588382599335102</v>
      </c>
      <c r="AL399" s="1">
        <v>32</v>
      </c>
      <c r="AM399" s="5">
        <v>1157.1483251253901</v>
      </c>
      <c r="AN399" s="4">
        <v>271.41296896456203</v>
      </c>
      <c r="AO399" s="4">
        <v>0.234553309261499</v>
      </c>
      <c r="AP399" s="1" t="s">
        <v>163</v>
      </c>
      <c r="AQ399" s="1" t="s">
        <v>254</v>
      </c>
      <c r="AR399" s="1" t="s">
        <v>500</v>
      </c>
      <c r="AS399" s="1">
        <v>9</v>
      </c>
      <c r="AT399" s="4">
        <v>1.041433492612851</v>
      </c>
      <c r="AU399" s="1" t="s">
        <v>1695</v>
      </c>
      <c r="AV399" s="1" t="s">
        <v>1696</v>
      </c>
      <c r="AW399" s="1">
        <v>1206</v>
      </c>
      <c r="AX399" s="1">
        <v>612</v>
      </c>
      <c r="AY399" s="1">
        <v>395</v>
      </c>
      <c r="AZ399" s="1">
        <v>154</v>
      </c>
      <c r="BA399" s="1">
        <v>38</v>
      </c>
      <c r="BB399" s="1">
        <v>7</v>
      </c>
      <c r="BC399" s="1">
        <v>0</v>
      </c>
      <c r="BD399" s="1">
        <v>0</v>
      </c>
      <c r="BE399" s="1">
        <v>0</v>
      </c>
      <c r="BF399" s="1">
        <v>0</v>
      </c>
      <c r="BG399" s="1">
        <v>0</v>
      </c>
      <c r="BH399" s="4">
        <v>0</v>
      </c>
      <c r="BI399" s="4">
        <v>30.620999999999999</v>
      </c>
      <c r="BJ399" s="4">
        <v>16.125216000000002</v>
      </c>
      <c r="BK399" s="4">
        <v>0</v>
      </c>
      <c r="BL399" s="4">
        <v>11.409651999999999</v>
      </c>
      <c r="BM399" s="4">
        <v>130.18016399999999</v>
      </c>
      <c r="BN399" s="4">
        <v>0.70756600000000003</v>
      </c>
      <c r="BO399" s="4">
        <v>26.180250000000001</v>
      </c>
      <c r="BP399" s="4">
        <v>-0.38187500000000002</v>
      </c>
      <c r="BQ399" s="4">
        <v>1.492472</v>
      </c>
      <c r="BR399" s="4">
        <v>10.35398</v>
      </c>
      <c r="BS399" s="4">
        <v>8.0165000000000006</v>
      </c>
      <c r="BT399" s="4">
        <v>20.077499</v>
      </c>
      <c r="BU399" s="4">
        <v>16.125216000000002</v>
      </c>
      <c r="BV399" s="4">
        <v>6.3411169999999997</v>
      </c>
      <c r="BW399" s="4">
        <v>-0.75760099999999997</v>
      </c>
      <c r="BX399" s="4">
        <v>-0.69283600000000001</v>
      </c>
      <c r="BY399" s="4">
        <v>0.39324199999999998</v>
      </c>
      <c r="BZ399" s="4">
        <v>-0.119474</v>
      </c>
      <c r="CA399" s="4">
        <v>-0.109261</v>
      </c>
      <c r="CB399" s="4">
        <v>5.0000000000000001E-3</v>
      </c>
      <c r="CC399" s="4">
        <v>2.8250000000000001E-2</v>
      </c>
      <c r="CD399" s="4">
        <v>8.5000000000000006E-2</v>
      </c>
      <c r="CE399" s="4">
        <v>0.26400000000000001</v>
      </c>
      <c r="CF399" s="4">
        <v>0.47925000000000001</v>
      </c>
      <c r="CG399" s="4">
        <v>6.9435000000000002</v>
      </c>
      <c r="CH399" s="4">
        <v>14.521000000000001</v>
      </c>
      <c r="CI399" s="4">
        <v>20.077499</v>
      </c>
      <c r="CJ399" s="4">
        <v>23.539000000000001</v>
      </c>
      <c r="CK399" s="4">
        <v>25.854500000000002</v>
      </c>
      <c r="CL399" s="4">
        <v>26.659500000000001</v>
      </c>
      <c r="CM399" s="4">
        <v>27.389999</v>
      </c>
      <c r="CN399" s="4">
        <v>28.591999000000001</v>
      </c>
      <c r="CO399" s="4">
        <v>29.240500999999998</v>
      </c>
      <c r="CP399" s="4">
        <v>29.934398999999999</v>
      </c>
      <c r="CQ399" s="4">
        <v>0.52660600000000002</v>
      </c>
      <c r="CR399" s="4">
        <v>19.750817999999999</v>
      </c>
      <c r="CS399" s="4">
        <v>21.485662999999999</v>
      </c>
      <c r="CT399" s="1">
        <v>23</v>
      </c>
      <c r="CU399" s="1">
        <v>921</v>
      </c>
      <c r="CV399" s="4">
        <v>201.09369799999999</v>
      </c>
      <c r="CW399" s="4">
        <v>37.253968</v>
      </c>
      <c r="CX399" s="4">
        <v>166.41074599999999</v>
      </c>
      <c r="CY399" s="4">
        <v>27692.53644</v>
      </c>
      <c r="CZ399" s="4">
        <v>0.82752800000000004</v>
      </c>
      <c r="DA399" s="4">
        <v>216.75</v>
      </c>
      <c r="DB399" s="4">
        <v>1.3442069999999999</v>
      </c>
      <c r="DC399" s="4">
        <v>4.579472</v>
      </c>
      <c r="DD399" s="4">
        <v>131.22366199999999</v>
      </c>
      <c r="DE399" s="4">
        <v>201.09369799999999</v>
      </c>
      <c r="DF399" s="4">
        <v>87.677428000000006</v>
      </c>
      <c r="DG399" s="4">
        <v>26.112279000000001</v>
      </c>
      <c r="DH399" s="4">
        <v>9.6133950000000006</v>
      </c>
      <c r="DI399" s="4">
        <v>0.43600299999999997</v>
      </c>
      <c r="DJ399" s="4">
        <v>0.29782199999999998</v>
      </c>
      <c r="DK399" s="4">
        <v>0.10964500000000001</v>
      </c>
      <c r="DL399" s="4">
        <v>27.049999</v>
      </c>
      <c r="DM399" s="4">
        <v>36</v>
      </c>
      <c r="DN399" s="4">
        <v>43</v>
      </c>
      <c r="DO399" s="4">
        <v>59</v>
      </c>
      <c r="DP399" s="4">
        <v>71</v>
      </c>
      <c r="DQ399" s="4">
        <v>83</v>
      </c>
      <c r="DR399" s="4">
        <v>108</v>
      </c>
      <c r="DS399" s="4">
        <v>150</v>
      </c>
      <c r="DT399" s="4">
        <v>196</v>
      </c>
      <c r="DU399" s="4">
        <v>254.5</v>
      </c>
      <c r="DV399" s="4">
        <v>287.75</v>
      </c>
      <c r="DW399" s="4">
        <v>328</v>
      </c>
      <c r="DX399" s="4">
        <v>438.5</v>
      </c>
      <c r="DY399" s="4">
        <v>547</v>
      </c>
      <c r="DZ399" s="4">
        <v>748.74975600000005</v>
      </c>
      <c r="EA399" s="4">
        <v>86.111110999999994</v>
      </c>
      <c r="EB399" s="4">
        <v>72.222222000000002</v>
      </c>
      <c r="EC399" s="4">
        <v>142.32026099999999</v>
      </c>
      <c r="ED399" s="4">
        <v>527</v>
      </c>
      <c r="EE399" s="4">
        <v>871</v>
      </c>
      <c r="EF399" s="4">
        <v>74.673203000000001</v>
      </c>
      <c r="EG399" s="4">
        <v>99.836601000000002</v>
      </c>
      <c r="EH399" s="4">
        <v>57.794362</v>
      </c>
      <c r="EI399" s="4">
        <v>99.917080999999996</v>
      </c>
      <c r="EJ399" s="4">
        <v>113.88888900000001</v>
      </c>
      <c r="EK399" s="4">
        <v>196.89542499999999</v>
      </c>
      <c r="EL399" s="4">
        <v>457</v>
      </c>
      <c r="EM399" s="4">
        <v>611</v>
      </c>
      <c r="EN399" s="4">
        <v>697</v>
      </c>
      <c r="EO399" s="4">
        <v>1205</v>
      </c>
      <c r="EP399" s="4">
        <v>612</v>
      </c>
      <c r="EQ399" s="4">
        <v>1206</v>
      </c>
      <c r="ER399" s="4">
        <v>52.85472</v>
      </c>
    </row>
    <row r="400" spans="1:148" x14ac:dyDescent="0.2">
      <c r="A400" s="1">
        <v>2025</v>
      </c>
      <c r="B400" s="1" t="str">
        <f t="shared" si="12"/>
        <v>NE</v>
      </c>
      <c r="C400" s="1" t="s">
        <v>1698</v>
      </c>
      <c r="D400" s="1" t="s">
        <v>1698</v>
      </c>
      <c r="E400" s="1">
        <v>26172</v>
      </c>
      <c r="F400" s="1" t="s">
        <v>2216</v>
      </c>
      <c r="G400" s="1" t="s">
        <v>1200</v>
      </c>
      <c r="H400" s="1" t="s">
        <v>1962</v>
      </c>
      <c r="I400" s="1">
        <v>73.59</v>
      </c>
      <c r="J400" s="1">
        <v>73.59</v>
      </c>
      <c r="K400" s="1" t="s">
        <v>148</v>
      </c>
      <c r="L400" s="1">
        <v>1</v>
      </c>
      <c r="M400" s="3">
        <v>2018</v>
      </c>
      <c r="O400" s="1">
        <v>2</v>
      </c>
      <c r="P400" s="1" t="str">
        <f t="shared" si="13"/>
        <v>Talhadia</v>
      </c>
      <c r="Q400" s="2">
        <v>43368</v>
      </c>
      <c r="R400" s="1" t="s">
        <v>169</v>
      </c>
      <c r="S400" s="1" t="s">
        <v>163</v>
      </c>
      <c r="T400" s="1" t="s">
        <v>2268</v>
      </c>
      <c r="U400" s="1" t="s">
        <v>151</v>
      </c>
      <c r="V400" s="1" t="s">
        <v>152</v>
      </c>
      <c r="W400" s="2">
        <v>45742</v>
      </c>
      <c r="X400" s="1" t="s">
        <v>1202</v>
      </c>
      <c r="Y400" s="1">
        <v>74.740000000000009</v>
      </c>
      <c r="Z400" s="1">
        <v>20.8</v>
      </c>
      <c r="AA400" s="1">
        <v>31</v>
      </c>
      <c r="AB400" s="1">
        <v>14.6</v>
      </c>
      <c r="AC400" s="1">
        <v>2</v>
      </c>
      <c r="AD400" s="3">
        <v>303.68</v>
      </c>
      <c r="AE400" s="3">
        <v>260.14599536887903</v>
      </c>
      <c r="AF400" s="2">
        <v>45742</v>
      </c>
      <c r="AG400" s="1">
        <v>78</v>
      </c>
      <c r="AH400" s="3">
        <v>6.4996577686516099</v>
      </c>
      <c r="AI400" s="4">
        <v>24.184065217111499</v>
      </c>
      <c r="AJ400" s="4">
        <v>16.36</v>
      </c>
      <c r="AK400" s="4">
        <v>26.390267576679001</v>
      </c>
      <c r="AL400" s="1">
        <v>30</v>
      </c>
      <c r="AM400" s="5">
        <v>1153.19860901418</v>
      </c>
      <c r="AN400" s="4">
        <v>314.68999648284301</v>
      </c>
      <c r="AO400" s="4">
        <v>0.272884474558861</v>
      </c>
      <c r="AP400" s="1" t="s">
        <v>163</v>
      </c>
      <c r="AQ400" s="1" t="s">
        <v>254</v>
      </c>
      <c r="AR400" s="1" t="s">
        <v>500</v>
      </c>
      <c r="AS400" s="1">
        <v>9</v>
      </c>
      <c r="AT400" s="4">
        <v>1.037878748112762</v>
      </c>
      <c r="AU400" s="1" t="s">
        <v>1697</v>
      </c>
      <c r="AV400" s="1" t="s">
        <v>1698</v>
      </c>
      <c r="AW400" s="1">
        <v>1038</v>
      </c>
      <c r="AX400" s="1">
        <v>544</v>
      </c>
      <c r="AY400" s="1">
        <v>345</v>
      </c>
      <c r="AZ400" s="1">
        <v>112</v>
      </c>
      <c r="BA400" s="1">
        <v>32</v>
      </c>
      <c r="BB400" s="1">
        <v>5</v>
      </c>
      <c r="BC400" s="1">
        <v>0</v>
      </c>
      <c r="BD400" s="1">
        <v>0</v>
      </c>
      <c r="BE400" s="1">
        <v>0</v>
      </c>
      <c r="BF400" s="1">
        <v>0</v>
      </c>
      <c r="BG400" s="1">
        <v>0</v>
      </c>
      <c r="BH400" s="4">
        <v>0</v>
      </c>
      <c r="BI400" s="4">
        <v>34.074001000000003</v>
      </c>
      <c r="BJ400" s="4">
        <v>19.871279999999999</v>
      </c>
      <c r="BK400" s="4">
        <v>0</v>
      </c>
      <c r="BL400" s="4">
        <v>12.591549000000001</v>
      </c>
      <c r="BM400" s="4">
        <v>158.547111</v>
      </c>
      <c r="BN400" s="4">
        <v>0.633656</v>
      </c>
      <c r="BO400" s="4">
        <v>21.641999999999999</v>
      </c>
      <c r="BP400" s="4">
        <v>-0.620645</v>
      </c>
      <c r="BQ400" s="4">
        <v>1.744218</v>
      </c>
      <c r="BR400" s="4">
        <v>11.289417</v>
      </c>
      <c r="BS400" s="4">
        <v>6.0880010000000002</v>
      </c>
      <c r="BT400" s="4">
        <v>26.2745</v>
      </c>
      <c r="BU400" s="4">
        <v>19.871279999999999</v>
      </c>
      <c r="BV400" s="4">
        <v>6.8567499999999999</v>
      </c>
      <c r="BW400" s="4">
        <v>-1.43163</v>
      </c>
      <c r="BX400" s="4">
        <v>-0.44245000000000001</v>
      </c>
      <c r="BY400" s="4">
        <v>0.34505799999999998</v>
      </c>
      <c r="BZ400" s="4">
        <v>-0.208791</v>
      </c>
      <c r="CA400" s="4">
        <v>-6.4528000000000002E-2</v>
      </c>
      <c r="CB400" s="4">
        <v>2E-3</v>
      </c>
      <c r="CC400" s="4">
        <v>1.2E-2</v>
      </c>
      <c r="CD400" s="4">
        <v>2.6700000000000002E-2</v>
      </c>
      <c r="CE400" s="4">
        <v>8.72E-2</v>
      </c>
      <c r="CF400" s="4">
        <v>8.71875</v>
      </c>
      <c r="CG400" s="4">
        <v>12.486800000000001</v>
      </c>
      <c r="CH400" s="4">
        <v>20.725000000000001</v>
      </c>
      <c r="CI400" s="4">
        <v>26.2745</v>
      </c>
      <c r="CJ400" s="4">
        <v>28.069201</v>
      </c>
      <c r="CK400" s="4">
        <v>29.691799</v>
      </c>
      <c r="CL400" s="4">
        <v>30.360749999999999</v>
      </c>
      <c r="CM400" s="4">
        <v>31.1252</v>
      </c>
      <c r="CN400" s="4">
        <v>32.392498000000003</v>
      </c>
      <c r="CO400" s="4">
        <v>33.020102999999999</v>
      </c>
      <c r="CP400" s="4">
        <v>33.702781999999999</v>
      </c>
      <c r="CQ400" s="4">
        <v>0.58318000000000003</v>
      </c>
      <c r="CR400" s="4">
        <v>23.521525</v>
      </c>
      <c r="CS400" s="4">
        <v>25.225258</v>
      </c>
      <c r="CT400" s="1">
        <v>23</v>
      </c>
      <c r="CU400" s="1">
        <v>778</v>
      </c>
      <c r="CV400" s="4">
        <v>175.13872799999999</v>
      </c>
      <c r="CW400" s="4">
        <v>34.984127000000001</v>
      </c>
      <c r="CX400" s="4">
        <v>155.07285100000001</v>
      </c>
      <c r="CY400" s="4">
        <v>24047.589220000002</v>
      </c>
      <c r="CZ400" s="4">
        <v>0.88542900000000002</v>
      </c>
      <c r="DA400" s="4">
        <v>169.75</v>
      </c>
      <c r="DB400" s="4">
        <v>1.642541</v>
      </c>
      <c r="DC400" s="4">
        <v>5.5124449999999996</v>
      </c>
      <c r="DD400" s="4">
        <v>116.58607600000001</v>
      </c>
      <c r="DE400" s="4">
        <v>175.13872799999999</v>
      </c>
      <c r="DF400" s="4">
        <v>78.597605000000001</v>
      </c>
      <c r="DG400" s="4">
        <v>27.573347999999999</v>
      </c>
      <c r="DH400" s="4">
        <v>12.334021</v>
      </c>
      <c r="DI400" s="4">
        <v>0.44877299999999998</v>
      </c>
      <c r="DJ400" s="4">
        <v>0.35081699999999999</v>
      </c>
      <c r="DK400" s="4">
        <v>0.15692600000000001</v>
      </c>
      <c r="DL400" s="4">
        <v>26</v>
      </c>
      <c r="DM400" s="4">
        <v>34</v>
      </c>
      <c r="DN400" s="4">
        <v>39</v>
      </c>
      <c r="DO400" s="4">
        <v>54</v>
      </c>
      <c r="DP400" s="4">
        <v>61</v>
      </c>
      <c r="DQ400" s="4">
        <v>70</v>
      </c>
      <c r="DR400" s="4">
        <v>93</v>
      </c>
      <c r="DS400" s="4">
        <v>123</v>
      </c>
      <c r="DT400" s="4">
        <v>162</v>
      </c>
      <c r="DU400" s="4">
        <v>208</v>
      </c>
      <c r="DV400" s="4">
        <v>230.75</v>
      </c>
      <c r="DW400" s="4">
        <v>262.59997600000003</v>
      </c>
      <c r="DX400" s="4">
        <v>394.59997600000003</v>
      </c>
      <c r="DY400" s="4">
        <v>522.45007299999997</v>
      </c>
      <c r="DZ400" s="4">
        <v>724.08007799999996</v>
      </c>
      <c r="EA400" s="4">
        <v>91.727941000000001</v>
      </c>
      <c r="EB400" s="4">
        <v>77.071291000000002</v>
      </c>
      <c r="EC400" s="4">
        <v>147.05882399999999</v>
      </c>
      <c r="ED400" s="4">
        <v>499</v>
      </c>
      <c r="EE400" s="4">
        <v>800</v>
      </c>
      <c r="EF400" s="4">
        <v>81.617647000000005</v>
      </c>
      <c r="EG400" s="4">
        <v>100</v>
      </c>
      <c r="EH400" s="4">
        <v>60.597302999999997</v>
      </c>
      <c r="EI400" s="4">
        <v>99.903661</v>
      </c>
      <c r="EJ400" s="4">
        <v>115.625</v>
      </c>
      <c r="EK400" s="4">
        <v>190.625</v>
      </c>
      <c r="EL400" s="4">
        <v>444</v>
      </c>
      <c r="EM400" s="4">
        <v>544</v>
      </c>
      <c r="EN400" s="4">
        <v>629</v>
      </c>
      <c r="EO400" s="4">
        <v>1037</v>
      </c>
      <c r="EP400" s="4">
        <v>544</v>
      </c>
      <c r="EQ400" s="4">
        <v>1038</v>
      </c>
      <c r="ER400" s="4">
        <v>57.993012999999998</v>
      </c>
    </row>
    <row r="401" spans="1:148" x14ac:dyDescent="0.2">
      <c r="A401" s="1">
        <v>2025</v>
      </c>
      <c r="B401" s="1" t="str">
        <f t="shared" si="12"/>
        <v>NE</v>
      </c>
      <c r="C401" s="1" t="s">
        <v>1700</v>
      </c>
      <c r="D401" s="1" t="s">
        <v>1700</v>
      </c>
      <c r="E401" s="1">
        <v>25419</v>
      </c>
      <c r="F401" s="1" t="s">
        <v>2217</v>
      </c>
      <c r="G401" s="1" t="s">
        <v>2027</v>
      </c>
      <c r="H401" s="1" t="s">
        <v>1963</v>
      </c>
      <c r="I401" s="1">
        <v>33.03</v>
      </c>
      <c r="J401" s="1">
        <v>33.03</v>
      </c>
      <c r="K401" s="1" t="s">
        <v>286</v>
      </c>
      <c r="L401" s="1">
        <v>1</v>
      </c>
      <c r="M401" s="3">
        <v>2017</v>
      </c>
      <c r="O401" s="1">
        <v>1</v>
      </c>
      <c r="P401" s="1" t="str">
        <f t="shared" si="13"/>
        <v>Alto fuste</v>
      </c>
      <c r="Q401" s="2">
        <v>42916</v>
      </c>
      <c r="R401" s="1" t="s">
        <v>169</v>
      </c>
      <c r="S401" s="1" t="s">
        <v>442</v>
      </c>
      <c r="T401" s="1" t="s">
        <v>2268</v>
      </c>
      <c r="U401" s="1" t="s">
        <v>170</v>
      </c>
      <c r="V401" s="1" t="s">
        <v>152</v>
      </c>
      <c r="W401" s="2">
        <v>44789</v>
      </c>
      <c r="X401" s="1" t="s">
        <v>2218</v>
      </c>
      <c r="Y401" s="1">
        <v>86.3</v>
      </c>
      <c r="Z401" s="1">
        <v>20</v>
      </c>
      <c r="AA401" s="1">
        <v>29</v>
      </c>
      <c r="AB401" s="1">
        <v>14.4</v>
      </c>
      <c r="AC401" s="1">
        <v>9</v>
      </c>
      <c r="AD401" s="3">
        <v>288</v>
      </c>
      <c r="AE401" s="3">
        <v>248.78928591253899</v>
      </c>
      <c r="AF401" s="2">
        <v>45722</v>
      </c>
      <c r="AG401" s="1">
        <v>93</v>
      </c>
      <c r="AH401" s="3">
        <v>7.6824093086926801</v>
      </c>
      <c r="AI401" s="4">
        <v>30.3960141347312</v>
      </c>
      <c r="AJ401" s="4">
        <v>16.7</v>
      </c>
      <c r="AK401" s="4">
        <v>30.325188059437099</v>
      </c>
      <c r="AL401" s="1">
        <v>34</v>
      </c>
      <c r="AM401" s="5">
        <v>1366.61833628771</v>
      </c>
      <c r="AN401" s="4">
        <v>413.32208098130701</v>
      </c>
      <c r="AO401" s="4">
        <v>0.30244148640948199</v>
      </c>
      <c r="AP401" s="1" t="s">
        <v>442</v>
      </c>
      <c r="AQ401" s="1" t="s">
        <v>156</v>
      </c>
      <c r="AR401" s="1" t="s">
        <v>796</v>
      </c>
      <c r="AS401" s="1">
        <v>9</v>
      </c>
      <c r="AT401" s="4">
        <v>1.229956502658939</v>
      </c>
      <c r="AU401" s="1" t="s">
        <v>1699</v>
      </c>
      <c r="AV401" s="1" t="s">
        <v>1700</v>
      </c>
      <c r="AW401" s="1">
        <v>1041</v>
      </c>
      <c r="AX401" s="1">
        <v>564</v>
      </c>
      <c r="AY401" s="1">
        <v>321</v>
      </c>
      <c r="AZ401" s="1">
        <v>121</v>
      </c>
      <c r="BA401" s="1">
        <v>30</v>
      </c>
      <c r="BB401" s="1">
        <v>5</v>
      </c>
      <c r="BC401" s="1">
        <v>0</v>
      </c>
      <c r="BD401" s="1">
        <v>0</v>
      </c>
      <c r="BE401" s="1">
        <v>0</v>
      </c>
      <c r="BF401" s="1">
        <v>0</v>
      </c>
      <c r="BG401" s="1">
        <v>0</v>
      </c>
      <c r="BH401" s="4">
        <v>0</v>
      </c>
      <c r="BI401" s="4">
        <v>35.779998999999997</v>
      </c>
      <c r="BJ401" s="4">
        <v>22.233561000000002</v>
      </c>
      <c r="BK401" s="4">
        <v>0</v>
      </c>
      <c r="BL401" s="4">
        <v>12.066824</v>
      </c>
      <c r="BM401" s="4">
        <v>145.60824500000001</v>
      </c>
      <c r="BN401" s="4">
        <v>0.54273000000000005</v>
      </c>
      <c r="BO401" s="4">
        <v>17.346001999999999</v>
      </c>
      <c r="BP401" s="4">
        <v>-0.90980000000000005</v>
      </c>
      <c r="BQ401" s="4">
        <v>2.3504290000000001</v>
      </c>
      <c r="BR401" s="4">
        <v>10.171681</v>
      </c>
      <c r="BS401" s="4">
        <v>5.7899989999999999</v>
      </c>
      <c r="BT401" s="4">
        <v>27.356999999999999</v>
      </c>
      <c r="BU401" s="4">
        <v>22.233561000000002</v>
      </c>
      <c r="BV401" s="4">
        <v>6.4423680000000001</v>
      </c>
      <c r="BW401" s="4">
        <v>-1.7694540000000001</v>
      </c>
      <c r="BX401" s="4">
        <v>0.14970900000000001</v>
      </c>
      <c r="BY401" s="4">
        <v>0.28975899999999999</v>
      </c>
      <c r="BZ401" s="4">
        <v>-0.27465899999999999</v>
      </c>
      <c r="CA401" s="4">
        <v>2.3238000000000002E-2</v>
      </c>
      <c r="CB401" s="4">
        <v>3.0000000000000001E-3</v>
      </c>
      <c r="CC401" s="4">
        <v>1.2E-2</v>
      </c>
      <c r="CD401" s="4">
        <v>0.03</v>
      </c>
      <c r="CE401" s="4">
        <v>10.933</v>
      </c>
      <c r="CF401" s="4">
        <v>14.999000000000001</v>
      </c>
      <c r="CG401" s="4">
        <v>19.322001</v>
      </c>
      <c r="CH401" s="4">
        <v>24.934999000000001</v>
      </c>
      <c r="CI401" s="4">
        <v>27.356999999999999</v>
      </c>
      <c r="CJ401" s="4">
        <v>28.511998999999999</v>
      </c>
      <c r="CK401" s="4">
        <v>30.739000000000001</v>
      </c>
      <c r="CL401" s="4">
        <v>32.345001000000003</v>
      </c>
      <c r="CM401" s="4">
        <v>32.870998</v>
      </c>
      <c r="CN401" s="4">
        <v>33.597000000000001</v>
      </c>
      <c r="CO401" s="4">
        <v>34.169998</v>
      </c>
      <c r="CP401" s="4">
        <v>35.026401999999997</v>
      </c>
      <c r="CQ401" s="4">
        <v>0.62139599999999995</v>
      </c>
      <c r="CR401" s="4">
        <v>25.294260000000001</v>
      </c>
      <c r="CS401" s="4">
        <v>26.729142</v>
      </c>
      <c r="CT401" s="1">
        <v>19</v>
      </c>
      <c r="CU401" s="1">
        <v>525</v>
      </c>
      <c r="CV401" s="4">
        <v>103.39577300000001</v>
      </c>
      <c r="CW401" s="4">
        <v>35.063491999999997</v>
      </c>
      <c r="CX401" s="4">
        <v>71.757436999999996</v>
      </c>
      <c r="CY401" s="4">
        <v>5149.1297510000004</v>
      </c>
      <c r="CZ401" s="4">
        <v>0.69400700000000004</v>
      </c>
      <c r="DA401" s="4">
        <v>85</v>
      </c>
      <c r="DB401" s="4">
        <v>1.948596</v>
      </c>
      <c r="DC401" s="4">
        <v>8.6794919999999998</v>
      </c>
      <c r="DD401" s="4">
        <v>53.025824</v>
      </c>
      <c r="DE401" s="4">
        <v>103.39577300000001</v>
      </c>
      <c r="DF401" s="4">
        <v>36.288508</v>
      </c>
      <c r="DG401" s="4">
        <v>10.610044</v>
      </c>
      <c r="DH401" s="4">
        <v>5.5830019999999996</v>
      </c>
      <c r="DI401" s="4">
        <v>0.35096699999999997</v>
      </c>
      <c r="DJ401" s="4">
        <v>0.29237999999999997</v>
      </c>
      <c r="DK401" s="4">
        <v>0.15384999999999999</v>
      </c>
      <c r="DL401" s="4">
        <v>26</v>
      </c>
      <c r="DM401" s="4">
        <v>32</v>
      </c>
      <c r="DN401" s="4">
        <v>37</v>
      </c>
      <c r="DO401" s="4">
        <v>46</v>
      </c>
      <c r="DP401" s="4">
        <v>51</v>
      </c>
      <c r="DQ401" s="4">
        <v>56</v>
      </c>
      <c r="DR401" s="4">
        <v>69</v>
      </c>
      <c r="DS401" s="4">
        <v>84</v>
      </c>
      <c r="DT401" s="4">
        <v>102</v>
      </c>
      <c r="DU401" s="4">
        <v>126</v>
      </c>
      <c r="DV401" s="4">
        <v>136</v>
      </c>
      <c r="DW401" s="4">
        <v>148</v>
      </c>
      <c r="DX401" s="4">
        <v>186</v>
      </c>
      <c r="DY401" s="4">
        <v>229</v>
      </c>
      <c r="DZ401" s="4">
        <v>379.59997600000003</v>
      </c>
      <c r="EA401" s="4">
        <v>96.808510999999996</v>
      </c>
      <c r="EB401" s="4">
        <v>82.132565</v>
      </c>
      <c r="EC401" s="4">
        <v>151.59574499999999</v>
      </c>
      <c r="ED401" s="4">
        <v>546</v>
      </c>
      <c r="EE401" s="4">
        <v>855</v>
      </c>
      <c r="EF401" s="4">
        <v>89.184397000000004</v>
      </c>
      <c r="EG401" s="4">
        <v>100</v>
      </c>
      <c r="EH401" s="4">
        <v>65.417867000000001</v>
      </c>
      <c r="EI401" s="4">
        <v>99.807877000000005</v>
      </c>
      <c r="EJ401" s="4">
        <v>120.744681</v>
      </c>
      <c r="EK401" s="4">
        <v>184.21985799999999</v>
      </c>
      <c r="EL401" s="4">
        <v>503</v>
      </c>
      <c r="EM401" s="4">
        <v>564</v>
      </c>
      <c r="EN401" s="4">
        <v>681</v>
      </c>
      <c r="EO401" s="4">
        <v>1039</v>
      </c>
      <c r="EP401" s="4">
        <v>564</v>
      </c>
      <c r="EQ401" s="4">
        <v>1041</v>
      </c>
      <c r="ER401" s="4">
        <v>62.526519999999998</v>
      </c>
    </row>
    <row r="402" spans="1:148" x14ac:dyDescent="0.2">
      <c r="A402" s="1">
        <v>2025</v>
      </c>
      <c r="B402" s="1" t="str">
        <f t="shared" si="12"/>
        <v>NE</v>
      </c>
      <c r="C402" s="1" t="s">
        <v>1702</v>
      </c>
      <c r="D402" s="1" t="s">
        <v>1702</v>
      </c>
      <c r="E402" s="1">
        <v>28326</v>
      </c>
      <c r="F402" s="1" t="s">
        <v>2219</v>
      </c>
      <c r="G402" s="1" t="s">
        <v>286</v>
      </c>
      <c r="H402" s="1" t="s">
        <v>1964</v>
      </c>
      <c r="I402" s="1">
        <v>62.67</v>
      </c>
      <c r="J402" s="1">
        <v>62.67</v>
      </c>
      <c r="K402" s="1" t="s">
        <v>286</v>
      </c>
      <c r="L402" s="1">
        <v>1</v>
      </c>
      <c r="M402" s="3">
        <v>2021</v>
      </c>
      <c r="O402" s="1">
        <v>1</v>
      </c>
      <c r="P402" s="1" t="str">
        <f t="shared" si="13"/>
        <v>Alto fuste</v>
      </c>
      <c r="Q402" s="2">
        <v>44477</v>
      </c>
      <c r="R402" s="1" t="s">
        <v>169</v>
      </c>
      <c r="S402" s="1" t="s">
        <v>651</v>
      </c>
      <c r="T402" s="1" t="s">
        <v>2268</v>
      </c>
      <c r="U402" s="1" t="s">
        <v>170</v>
      </c>
      <c r="V402" s="1" t="s">
        <v>152</v>
      </c>
      <c r="W402" s="2">
        <v>45768</v>
      </c>
      <c r="X402" s="1" t="s">
        <v>1009</v>
      </c>
      <c r="Y402" s="1">
        <v>185.06</v>
      </c>
      <c r="Z402" s="1">
        <v>19.600000000000001</v>
      </c>
      <c r="AA402" s="1">
        <v>8</v>
      </c>
      <c r="AB402" s="1">
        <v>15.8</v>
      </c>
      <c r="AC402" s="1">
        <v>5</v>
      </c>
      <c r="AD402" s="3">
        <v>309.68</v>
      </c>
      <c r="AE402" s="3">
        <v>305.49925799274399</v>
      </c>
      <c r="AF402" s="2">
        <v>45768</v>
      </c>
      <c r="AG402" s="1">
        <v>42</v>
      </c>
      <c r="AH402" s="3">
        <v>3.53456536618754</v>
      </c>
      <c r="AI402" s="4">
        <v>24.026031716335702</v>
      </c>
      <c r="AJ402" s="4">
        <v>14.527586206896601</v>
      </c>
      <c r="AK402" s="4">
        <v>16.337941125558999</v>
      </c>
      <c r="AL402" s="1">
        <v>29</v>
      </c>
      <c r="AM402" s="5">
        <v>949.26580805930405</v>
      </c>
      <c r="AN402" s="4">
        <v>182.87062185712699</v>
      </c>
      <c r="AO402" s="4">
        <v>0.192644273400082</v>
      </c>
      <c r="AP402" s="1" t="s">
        <v>651</v>
      </c>
      <c r="AQ402" s="1" t="s">
        <v>156</v>
      </c>
      <c r="AR402" s="1" t="s">
        <v>796</v>
      </c>
      <c r="AS402" s="1">
        <v>9</v>
      </c>
      <c r="AT402" s="4">
        <v>0.85433922725337363</v>
      </c>
      <c r="AU402" s="1" t="s">
        <v>1701</v>
      </c>
      <c r="AV402" s="1" t="s">
        <v>1702</v>
      </c>
      <c r="AW402" s="1">
        <v>1035</v>
      </c>
      <c r="AX402" s="1">
        <v>657</v>
      </c>
      <c r="AY402" s="1">
        <v>302</v>
      </c>
      <c r="AZ402" s="1">
        <v>70</v>
      </c>
      <c r="BA402" s="1">
        <v>6</v>
      </c>
      <c r="BB402" s="1">
        <v>0</v>
      </c>
      <c r="BC402" s="1">
        <v>0</v>
      </c>
      <c r="BD402" s="1">
        <v>0</v>
      </c>
      <c r="BE402" s="1">
        <v>0</v>
      </c>
      <c r="BF402" s="1">
        <v>0</v>
      </c>
      <c r="BG402" s="1">
        <v>0</v>
      </c>
      <c r="BH402" s="4">
        <v>0</v>
      </c>
      <c r="BI402" s="4">
        <v>26.075001</v>
      </c>
      <c r="BJ402" s="4">
        <v>14.977584</v>
      </c>
      <c r="BK402" s="4">
        <v>0</v>
      </c>
      <c r="BL402" s="4">
        <v>9.5913500000000003</v>
      </c>
      <c r="BM402" s="4">
        <v>91.993988000000002</v>
      </c>
      <c r="BN402" s="4">
        <v>0.64037999999999995</v>
      </c>
      <c r="BO402" s="4">
        <v>21.946000000000002</v>
      </c>
      <c r="BP402" s="4">
        <v>-0.78937900000000005</v>
      </c>
      <c r="BQ402" s="4">
        <v>1.833623</v>
      </c>
      <c r="BR402" s="4">
        <v>8.5152129999999993</v>
      </c>
      <c r="BS402" s="4">
        <v>2.7790010000000001</v>
      </c>
      <c r="BT402" s="4">
        <v>19.864000000000001</v>
      </c>
      <c r="BU402" s="4">
        <v>14.977584</v>
      </c>
      <c r="BV402" s="4">
        <v>4.972245</v>
      </c>
      <c r="BW402" s="4">
        <v>-1.269633</v>
      </c>
      <c r="BX402" s="4">
        <v>-0.17466499999999999</v>
      </c>
      <c r="BY402" s="4">
        <v>0.33197900000000002</v>
      </c>
      <c r="BZ402" s="4">
        <v>-0.25534400000000002</v>
      </c>
      <c r="CA402" s="4">
        <v>-3.5128E-2</v>
      </c>
      <c r="CB402" s="4">
        <v>1E-3</v>
      </c>
      <c r="CC402" s="4">
        <v>6.0000000000000001E-3</v>
      </c>
      <c r="CD402" s="4">
        <v>1.0999999999999999E-2</v>
      </c>
      <c r="CE402" s="4">
        <v>2.8000000000000001E-2</v>
      </c>
      <c r="CF402" s="4">
        <v>0.05</v>
      </c>
      <c r="CG402" s="4">
        <v>12.689209</v>
      </c>
      <c r="CH402" s="4">
        <v>18.525600000000001</v>
      </c>
      <c r="CI402" s="4">
        <v>19.864000000000001</v>
      </c>
      <c r="CJ402" s="4">
        <v>20.880400000000002</v>
      </c>
      <c r="CK402" s="4">
        <v>21.709199999999999</v>
      </c>
      <c r="CL402" s="4">
        <v>21.995999999999999</v>
      </c>
      <c r="CM402" s="4">
        <v>22.306801</v>
      </c>
      <c r="CN402" s="4">
        <v>23.533999999999999</v>
      </c>
      <c r="CO402" s="4">
        <v>24.584299000000001</v>
      </c>
      <c r="CP402" s="4">
        <v>25.638399</v>
      </c>
      <c r="CQ402" s="4">
        <v>0.57440400000000003</v>
      </c>
      <c r="CR402" s="4">
        <v>17.782945000000002</v>
      </c>
      <c r="CS402" s="4">
        <v>18.939420999999999</v>
      </c>
      <c r="CT402" s="1">
        <v>23</v>
      </c>
      <c r="CU402" s="1">
        <v>468</v>
      </c>
      <c r="CV402" s="4">
        <v>125.02029</v>
      </c>
      <c r="CW402" s="4">
        <v>37.126984</v>
      </c>
      <c r="CX402" s="4">
        <v>88.450494000000006</v>
      </c>
      <c r="CY402" s="4">
        <v>7823.4899169999999</v>
      </c>
      <c r="CZ402" s="4">
        <v>0.70748900000000003</v>
      </c>
      <c r="DA402" s="4">
        <v>107</v>
      </c>
      <c r="DB402" s="4">
        <v>1.4097999999999999</v>
      </c>
      <c r="DC402" s="4">
        <v>4.7653850000000002</v>
      </c>
      <c r="DD402" s="4">
        <v>67.750382999999999</v>
      </c>
      <c r="DE402" s="4">
        <v>125.02029</v>
      </c>
      <c r="DF402" s="4">
        <v>46.320968999999998</v>
      </c>
      <c r="DG402" s="4">
        <v>13.644026999999999</v>
      </c>
      <c r="DH402" s="4">
        <v>6.4621420000000001</v>
      </c>
      <c r="DI402" s="4">
        <v>0.370508</v>
      </c>
      <c r="DJ402" s="4">
        <v>0.29455399999999998</v>
      </c>
      <c r="DK402" s="4">
        <v>0.13950799999999999</v>
      </c>
      <c r="DL402" s="4">
        <v>28</v>
      </c>
      <c r="DM402" s="4">
        <v>34</v>
      </c>
      <c r="DN402" s="4">
        <v>40</v>
      </c>
      <c r="DO402" s="4">
        <v>52</v>
      </c>
      <c r="DP402" s="4">
        <v>57</v>
      </c>
      <c r="DQ402" s="4">
        <v>64</v>
      </c>
      <c r="DR402" s="4">
        <v>81.600005999999993</v>
      </c>
      <c r="DS402" s="4">
        <v>100</v>
      </c>
      <c r="DT402" s="4">
        <v>122.400024</v>
      </c>
      <c r="DU402" s="4">
        <v>148.79998800000001</v>
      </c>
      <c r="DV402" s="4">
        <v>164</v>
      </c>
      <c r="DW402" s="4">
        <v>181.20001199999999</v>
      </c>
      <c r="DX402" s="4">
        <v>251.599976</v>
      </c>
      <c r="DY402" s="4">
        <v>312</v>
      </c>
      <c r="DZ402" s="4">
        <v>413.979919</v>
      </c>
      <c r="EA402" s="4">
        <v>89.041095999999996</v>
      </c>
      <c r="EB402" s="4">
        <v>72.850241999999994</v>
      </c>
      <c r="EC402" s="4">
        <v>114.764079</v>
      </c>
      <c r="ED402" s="4">
        <v>585</v>
      </c>
      <c r="EE402" s="4">
        <v>754</v>
      </c>
      <c r="EF402" s="4">
        <v>85.235921000000005</v>
      </c>
      <c r="EG402" s="4">
        <v>99.695586000000006</v>
      </c>
      <c r="EH402" s="4">
        <v>69.082126000000002</v>
      </c>
      <c r="EI402" s="4">
        <v>99.516908000000001</v>
      </c>
      <c r="EJ402" s="4">
        <v>108.828006</v>
      </c>
      <c r="EK402" s="4">
        <v>156.773212</v>
      </c>
      <c r="EL402" s="4">
        <v>560</v>
      </c>
      <c r="EM402" s="4">
        <v>655</v>
      </c>
      <c r="EN402" s="4">
        <v>715</v>
      </c>
      <c r="EO402" s="4">
        <v>1030</v>
      </c>
      <c r="EP402" s="4">
        <v>657</v>
      </c>
      <c r="EQ402" s="4">
        <v>1035</v>
      </c>
      <c r="ER402" s="4">
        <v>57.378115000000001</v>
      </c>
    </row>
    <row r="403" spans="1:148" x14ac:dyDescent="0.2">
      <c r="A403" s="1">
        <v>2025</v>
      </c>
      <c r="B403" s="1" t="str">
        <f t="shared" si="12"/>
        <v>NE</v>
      </c>
      <c r="C403" s="1" t="s">
        <v>1704</v>
      </c>
      <c r="D403" s="1" t="s">
        <v>1704</v>
      </c>
      <c r="E403" s="1">
        <v>27719</v>
      </c>
      <c r="F403" s="1" t="s">
        <v>2220</v>
      </c>
      <c r="G403" s="1" t="s">
        <v>2028</v>
      </c>
      <c r="H403" s="1" t="s">
        <v>1965</v>
      </c>
      <c r="I403" s="1">
        <v>33.53</v>
      </c>
      <c r="J403" s="1">
        <v>33.53</v>
      </c>
      <c r="K403" s="1" t="s">
        <v>286</v>
      </c>
      <c r="L403" s="1">
        <v>1</v>
      </c>
      <c r="M403" s="3">
        <v>2020</v>
      </c>
      <c r="O403" s="1">
        <v>2</v>
      </c>
      <c r="P403" s="1" t="str">
        <f t="shared" si="13"/>
        <v>Talhadia</v>
      </c>
      <c r="Q403" s="2">
        <v>44068</v>
      </c>
      <c r="R403" s="1" t="s">
        <v>169</v>
      </c>
      <c r="S403" s="1" t="s">
        <v>348</v>
      </c>
      <c r="T403" s="1" t="s">
        <v>2268</v>
      </c>
      <c r="U403" s="1" t="s">
        <v>170</v>
      </c>
      <c r="V403" s="1" t="s">
        <v>152</v>
      </c>
      <c r="W403" s="2">
        <v>44790</v>
      </c>
      <c r="X403" s="1" t="s">
        <v>2221</v>
      </c>
      <c r="Y403" s="1">
        <v>33.53</v>
      </c>
      <c r="Z403" s="1">
        <v>21.3</v>
      </c>
      <c r="AA403" s="1">
        <v>19</v>
      </c>
      <c r="AB403" s="1">
        <v>15.8</v>
      </c>
      <c r="AC403" s="1">
        <v>0</v>
      </c>
      <c r="AD403" s="3">
        <v>336.54</v>
      </c>
      <c r="AE403" s="3">
        <v>318.20482143219402</v>
      </c>
      <c r="AF403" s="2">
        <v>45708</v>
      </c>
      <c r="AG403" s="1">
        <v>54</v>
      </c>
      <c r="AH403" s="3">
        <v>4.4900752908966499</v>
      </c>
      <c r="AI403" s="4">
        <v>20.887485665267501</v>
      </c>
      <c r="AJ403" s="4">
        <v>16.6142857142857</v>
      </c>
      <c r="AK403" s="4">
        <v>10.0911027845658</v>
      </c>
      <c r="AL403" s="1">
        <v>14</v>
      </c>
      <c r="AM403" s="5">
        <v>439.96819209049102</v>
      </c>
      <c r="AN403" s="4">
        <v>96.566123801879499</v>
      </c>
      <c r="AO403" s="4">
        <v>0.21948432986268701</v>
      </c>
      <c r="AP403" s="1" t="s">
        <v>348</v>
      </c>
      <c r="AQ403" s="1" t="s">
        <v>254</v>
      </c>
      <c r="AR403" s="1" t="s">
        <v>796</v>
      </c>
      <c r="AS403" s="1">
        <v>9</v>
      </c>
      <c r="AT403" s="4">
        <v>0.39597137288144191</v>
      </c>
      <c r="AU403" s="1" t="s">
        <v>1703</v>
      </c>
      <c r="AV403" s="1" t="s">
        <v>1704</v>
      </c>
      <c r="AW403" s="1">
        <v>972</v>
      </c>
      <c r="AX403" s="1">
        <v>544</v>
      </c>
      <c r="AY403" s="1">
        <v>297</v>
      </c>
      <c r="AZ403" s="1">
        <v>111</v>
      </c>
      <c r="BA403" s="1">
        <v>19</v>
      </c>
      <c r="BB403" s="1">
        <v>1</v>
      </c>
      <c r="BC403" s="1">
        <v>0</v>
      </c>
      <c r="BD403" s="1">
        <v>0</v>
      </c>
      <c r="BE403" s="1">
        <v>0</v>
      </c>
      <c r="BF403" s="1">
        <v>0</v>
      </c>
      <c r="BG403" s="1">
        <v>0</v>
      </c>
      <c r="BH403" s="4">
        <v>0</v>
      </c>
      <c r="BI403" s="4">
        <v>25.427</v>
      </c>
      <c r="BJ403" s="4">
        <v>9.9647100000000002</v>
      </c>
      <c r="BK403" s="4">
        <v>0</v>
      </c>
      <c r="BL403" s="4">
        <v>9.0745959999999997</v>
      </c>
      <c r="BM403" s="4">
        <v>82.348285000000004</v>
      </c>
      <c r="BN403" s="4">
        <v>0.91067299999999995</v>
      </c>
      <c r="BO403" s="4">
        <v>18.958500999999998</v>
      </c>
      <c r="BP403" s="4">
        <v>0.14015900000000001</v>
      </c>
      <c r="BQ403" s="4">
        <v>1.377154</v>
      </c>
      <c r="BR403" s="4">
        <v>8.4294340000000005</v>
      </c>
      <c r="BS403" s="4">
        <v>10.211499999999999</v>
      </c>
      <c r="BT403" s="4">
        <v>10.284000000000001</v>
      </c>
      <c r="BU403" s="4">
        <v>9.9647100000000002</v>
      </c>
      <c r="BV403" s="4">
        <v>5.074363</v>
      </c>
      <c r="BW403" s="4">
        <v>0.45203199999999999</v>
      </c>
      <c r="BX403" s="4">
        <v>-0.67240299999999997</v>
      </c>
      <c r="BY403" s="4">
        <v>0.50923300000000005</v>
      </c>
      <c r="BZ403" s="4">
        <v>8.9081999999999995E-2</v>
      </c>
      <c r="CA403" s="4">
        <v>-0.13250999999999999</v>
      </c>
      <c r="CB403" s="4">
        <v>1E-3</v>
      </c>
      <c r="CC403" s="4">
        <v>6.0000000000000001E-3</v>
      </c>
      <c r="CD403" s="4">
        <v>1.2E-2</v>
      </c>
      <c r="CE403" s="4">
        <v>2.7E-2</v>
      </c>
      <c r="CF403" s="4">
        <v>0.04</v>
      </c>
      <c r="CG403" s="4">
        <v>7.0000000000000007E-2</v>
      </c>
      <c r="CH403" s="4">
        <v>3.3584000000000001</v>
      </c>
      <c r="CI403" s="4">
        <v>10.284000000000001</v>
      </c>
      <c r="CJ403" s="4">
        <v>14.499999000000001</v>
      </c>
      <c r="CK403" s="4">
        <v>17.240801000000001</v>
      </c>
      <c r="CL403" s="4">
        <v>18.998501000000001</v>
      </c>
      <c r="CM403" s="4">
        <v>20.353000999999999</v>
      </c>
      <c r="CN403" s="4">
        <v>22.162800000000001</v>
      </c>
      <c r="CO403" s="4">
        <v>23.078700999999999</v>
      </c>
      <c r="CP403" s="4">
        <v>24.426580000000001</v>
      </c>
      <c r="CQ403" s="4">
        <v>0.39189499999999999</v>
      </c>
      <c r="CR403" s="4">
        <v>13.474383</v>
      </c>
      <c r="CS403" s="4">
        <v>15.259592</v>
      </c>
      <c r="CT403" s="1">
        <v>25</v>
      </c>
      <c r="CU403" s="1">
        <v>687</v>
      </c>
      <c r="CV403" s="4">
        <v>177.04938300000001</v>
      </c>
      <c r="CW403" s="4">
        <v>35.507936999999998</v>
      </c>
      <c r="CX403" s="4">
        <v>154.020735</v>
      </c>
      <c r="CY403" s="4">
        <v>23722.386849999999</v>
      </c>
      <c r="CZ403" s="4">
        <v>0.86993100000000001</v>
      </c>
      <c r="DA403" s="4">
        <v>164.25</v>
      </c>
      <c r="DB403" s="4">
        <v>1.3037810000000001</v>
      </c>
      <c r="DC403" s="4">
        <v>3.618188</v>
      </c>
      <c r="DD403" s="4">
        <v>120.574684</v>
      </c>
      <c r="DE403" s="4">
        <v>177.04938300000001</v>
      </c>
      <c r="DF403" s="4">
        <v>79.654725999999997</v>
      </c>
      <c r="DG403" s="4">
        <v>27.967002999999998</v>
      </c>
      <c r="DH403" s="4">
        <v>9.9016470000000005</v>
      </c>
      <c r="DI403" s="4">
        <v>0.449901</v>
      </c>
      <c r="DJ403" s="4">
        <v>0.351103</v>
      </c>
      <c r="DK403" s="4">
        <v>0.124307</v>
      </c>
      <c r="DL403" s="4">
        <v>28.709999</v>
      </c>
      <c r="DM403" s="4">
        <v>35</v>
      </c>
      <c r="DN403" s="4">
        <v>41</v>
      </c>
      <c r="DO403" s="4">
        <v>54</v>
      </c>
      <c r="DP403" s="4">
        <v>64.75</v>
      </c>
      <c r="DQ403" s="4">
        <v>72</v>
      </c>
      <c r="DR403" s="4">
        <v>93</v>
      </c>
      <c r="DS403" s="4">
        <v>118.5</v>
      </c>
      <c r="DT403" s="4">
        <v>153</v>
      </c>
      <c r="DU403" s="4">
        <v>195</v>
      </c>
      <c r="DV403" s="4">
        <v>229</v>
      </c>
      <c r="DW403" s="4">
        <v>281.59997600000003</v>
      </c>
      <c r="DX403" s="4">
        <v>456.800049</v>
      </c>
      <c r="DY403" s="4">
        <v>523</v>
      </c>
      <c r="DZ403" s="4">
        <v>586.57995600000004</v>
      </c>
      <c r="EA403" s="4">
        <v>72.794117999999997</v>
      </c>
      <c r="EB403" s="4">
        <v>60.288066000000001</v>
      </c>
      <c r="EC403" s="4">
        <v>107.72058800000001</v>
      </c>
      <c r="ED403" s="4">
        <v>396</v>
      </c>
      <c r="EE403" s="4">
        <v>586</v>
      </c>
      <c r="EF403" s="4">
        <v>66.360293999999996</v>
      </c>
      <c r="EG403" s="4">
        <v>99.816175999999999</v>
      </c>
      <c r="EH403" s="4">
        <v>50.411523000000003</v>
      </c>
      <c r="EI403" s="4">
        <v>99.588476999999997</v>
      </c>
      <c r="EJ403" s="4">
        <v>90.073528999999994</v>
      </c>
      <c r="EK403" s="4">
        <v>177.94117600000001</v>
      </c>
      <c r="EL403" s="4">
        <v>361</v>
      </c>
      <c r="EM403" s="4">
        <v>543</v>
      </c>
      <c r="EN403" s="4">
        <v>490</v>
      </c>
      <c r="EO403" s="4">
        <v>968</v>
      </c>
      <c r="EP403" s="4">
        <v>544</v>
      </c>
      <c r="EQ403" s="4">
        <v>972</v>
      </c>
      <c r="ER403" s="4">
        <v>39.768340999999999</v>
      </c>
    </row>
    <row r="404" spans="1:148" x14ac:dyDescent="0.2">
      <c r="A404" s="1">
        <v>2025</v>
      </c>
      <c r="B404" s="1" t="str">
        <f t="shared" si="12"/>
        <v>NE</v>
      </c>
      <c r="C404" s="1" t="s">
        <v>1706</v>
      </c>
      <c r="D404" s="1" t="s">
        <v>1706</v>
      </c>
      <c r="E404" s="1">
        <v>27720</v>
      </c>
      <c r="F404" s="1" t="s">
        <v>2220</v>
      </c>
      <c r="G404" s="1" t="s">
        <v>2028</v>
      </c>
      <c r="H404" s="1" t="s">
        <v>1965</v>
      </c>
      <c r="I404" s="1">
        <v>33.53</v>
      </c>
      <c r="J404" s="1">
        <v>33.53</v>
      </c>
      <c r="K404" s="1" t="s">
        <v>286</v>
      </c>
      <c r="L404" s="1">
        <v>1</v>
      </c>
      <c r="M404" s="3">
        <v>2020</v>
      </c>
      <c r="O404" s="1">
        <v>2</v>
      </c>
      <c r="P404" s="1" t="str">
        <f t="shared" si="13"/>
        <v>Talhadia</v>
      </c>
      <c r="Q404" s="2">
        <v>44068</v>
      </c>
      <c r="R404" s="1" t="s">
        <v>169</v>
      </c>
      <c r="S404" s="1" t="s">
        <v>348</v>
      </c>
      <c r="T404" s="1" t="s">
        <v>2268</v>
      </c>
      <c r="U404" s="1" t="s">
        <v>170</v>
      </c>
      <c r="V404" s="1" t="s">
        <v>152</v>
      </c>
      <c r="W404" s="2">
        <v>45708</v>
      </c>
      <c r="X404" s="1" t="s">
        <v>2221</v>
      </c>
      <c r="Y404" s="1">
        <v>33.53</v>
      </c>
      <c r="Z404" s="1">
        <v>20</v>
      </c>
      <c r="AA404" s="1">
        <v>22</v>
      </c>
      <c r="AB404" s="1">
        <v>15.4</v>
      </c>
      <c r="AC404" s="1">
        <v>5</v>
      </c>
      <c r="AD404" s="3">
        <v>308</v>
      </c>
      <c r="AE404" s="3">
        <v>284.48593714331599</v>
      </c>
      <c r="AF404" s="2">
        <v>45708</v>
      </c>
      <c r="AG404" s="1">
        <v>54</v>
      </c>
      <c r="AH404" s="3">
        <v>4.4900752908966499</v>
      </c>
      <c r="AI404" s="4">
        <v>21.3745343692466</v>
      </c>
      <c r="AJ404" s="4">
        <v>16.0851851851852</v>
      </c>
      <c r="AK404" s="4">
        <v>20.663729037761598</v>
      </c>
      <c r="AL404" s="1">
        <v>27</v>
      </c>
      <c r="AM404" s="5">
        <v>949.08030502745498</v>
      </c>
      <c r="AN404" s="4">
        <v>208.03724833821599</v>
      </c>
      <c r="AO404" s="4">
        <v>0.219198783534127</v>
      </c>
      <c r="AP404" s="1" t="s">
        <v>348</v>
      </c>
      <c r="AQ404" s="1" t="s">
        <v>254</v>
      </c>
      <c r="AR404" s="1" t="s">
        <v>796</v>
      </c>
      <c r="AS404" s="1">
        <v>9</v>
      </c>
      <c r="AT404" s="4">
        <v>0.85417227452470945</v>
      </c>
      <c r="AU404" s="1" t="s">
        <v>1705</v>
      </c>
      <c r="AV404" s="1" t="s">
        <v>1706</v>
      </c>
      <c r="AW404" s="1">
        <v>1165</v>
      </c>
      <c r="AX404" s="1">
        <v>701</v>
      </c>
      <c r="AY404" s="1">
        <v>364</v>
      </c>
      <c r="AZ404" s="1">
        <v>90</v>
      </c>
      <c r="BA404" s="1">
        <v>9</v>
      </c>
      <c r="BB404" s="1">
        <v>1</v>
      </c>
      <c r="BC404" s="1">
        <v>0</v>
      </c>
      <c r="BD404" s="1">
        <v>0</v>
      </c>
      <c r="BE404" s="1">
        <v>0</v>
      </c>
      <c r="BF404" s="1">
        <v>0</v>
      </c>
      <c r="BG404" s="1">
        <v>0</v>
      </c>
      <c r="BH404" s="4">
        <v>0</v>
      </c>
      <c r="BI404" s="4">
        <v>29.634001000000001</v>
      </c>
      <c r="BJ404" s="4">
        <v>14.670883</v>
      </c>
      <c r="BK404" s="4">
        <v>0</v>
      </c>
      <c r="BL404" s="4">
        <v>11.637404</v>
      </c>
      <c r="BM404" s="4">
        <v>135.429181</v>
      </c>
      <c r="BN404" s="4">
        <v>0.79323100000000002</v>
      </c>
      <c r="BO404" s="4">
        <v>25.965001000000001</v>
      </c>
      <c r="BP404" s="4">
        <v>-0.208039</v>
      </c>
      <c r="BQ404" s="4">
        <v>1.303369</v>
      </c>
      <c r="BR404" s="4">
        <v>10.728377999999999</v>
      </c>
      <c r="BS404" s="4">
        <v>10.737999</v>
      </c>
      <c r="BT404" s="4">
        <v>16.325001</v>
      </c>
      <c r="BU404" s="4">
        <v>14.670883</v>
      </c>
      <c r="BV404" s="4">
        <v>6.4291840000000002</v>
      </c>
      <c r="BW404" s="4">
        <v>-0.397781</v>
      </c>
      <c r="BX404" s="4">
        <v>-1.0263979999999999</v>
      </c>
      <c r="BY404" s="4">
        <v>0.43822699999999998</v>
      </c>
      <c r="BZ404" s="4">
        <v>-6.1871000000000002E-2</v>
      </c>
      <c r="CA404" s="4">
        <v>-0.15964700000000001</v>
      </c>
      <c r="CB404" s="4">
        <v>2E-3</v>
      </c>
      <c r="CC404" s="4">
        <v>8.0000000000000002E-3</v>
      </c>
      <c r="CD404" s="4">
        <v>1.6E-2</v>
      </c>
      <c r="CE404" s="4">
        <v>4.2000000000000003E-2</v>
      </c>
      <c r="CF404" s="4">
        <v>6.8000000000000005E-2</v>
      </c>
      <c r="CG404" s="4">
        <v>0.80820000000000003</v>
      </c>
      <c r="CH404" s="4">
        <v>12.597201</v>
      </c>
      <c r="CI404" s="4">
        <v>16.325001</v>
      </c>
      <c r="CJ404" s="4">
        <v>23.856401000000002</v>
      </c>
      <c r="CK404" s="4">
        <v>25.633600000000001</v>
      </c>
      <c r="CL404" s="4">
        <v>26.033000999999999</v>
      </c>
      <c r="CM404" s="4">
        <v>26.540400999999999</v>
      </c>
      <c r="CN404" s="4">
        <v>27.4422</v>
      </c>
      <c r="CO404" s="4">
        <v>28.254601999999998</v>
      </c>
      <c r="CP404" s="4">
        <v>29.050557999999999</v>
      </c>
      <c r="CQ404" s="4">
        <v>0.49506899999999998</v>
      </c>
      <c r="CR404" s="4">
        <v>18.722919999999998</v>
      </c>
      <c r="CS404" s="4">
        <v>20.634304</v>
      </c>
      <c r="CT404" s="1">
        <v>21</v>
      </c>
      <c r="CU404" s="1">
        <v>539</v>
      </c>
      <c r="CV404" s="4">
        <v>167.93733900000001</v>
      </c>
      <c r="CW404" s="4">
        <v>29.222221999999999</v>
      </c>
      <c r="CX404" s="4">
        <v>123.360702</v>
      </c>
      <c r="CY404" s="4">
        <v>15217.86291</v>
      </c>
      <c r="CZ404" s="4">
        <v>0.73456399999999999</v>
      </c>
      <c r="DA404" s="4">
        <v>154</v>
      </c>
      <c r="DB404" s="4">
        <v>1.0572900000000001</v>
      </c>
      <c r="DC404" s="4">
        <v>3.264106</v>
      </c>
      <c r="DD404" s="4">
        <v>97.479203999999996</v>
      </c>
      <c r="DE404" s="4">
        <v>167.93733900000001</v>
      </c>
      <c r="DF404" s="4">
        <v>66.646097999999995</v>
      </c>
      <c r="DG404" s="4">
        <v>17.096018999999998</v>
      </c>
      <c r="DH404" s="4">
        <v>6.9617959999999997</v>
      </c>
      <c r="DI404" s="4">
        <v>0.39685100000000001</v>
      </c>
      <c r="DJ404" s="4">
        <v>0.256519</v>
      </c>
      <c r="DK404" s="4">
        <v>0.104459</v>
      </c>
      <c r="DL404" s="4">
        <v>25</v>
      </c>
      <c r="DM404" s="4">
        <v>33</v>
      </c>
      <c r="DN404" s="4">
        <v>41</v>
      </c>
      <c r="DO404" s="4">
        <v>59</v>
      </c>
      <c r="DP404" s="4">
        <v>69</v>
      </c>
      <c r="DQ404" s="4">
        <v>82</v>
      </c>
      <c r="DR404" s="4">
        <v>109</v>
      </c>
      <c r="DS404" s="4">
        <v>136</v>
      </c>
      <c r="DT404" s="4">
        <v>165.400024</v>
      </c>
      <c r="DU404" s="4">
        <v>199.79998800000001</v>
      </c>
      <c r="DV404" s="4">
        <v>223</v>
      </c>
      <c r="DW404" s="4">
        <v>252</v>
      </c>
      <c r="DX404" s="4">
        <v>384.79992700000003</v>
      </c>
      <c r="DY404" s="4">
        <v>440</v>
      </c>
      <c r="DZ404" s="4">
        <v>488</v>
      </c>
      <c r="EA404" s="4">
        <v>82.168330999999995</v>
      </c>
      <c r="EB404" s="4">
        <v>65.922747000000001</v>
      </c>
      <c r="EC404" s="4">
        <v>109.55777500000001</v>
      </c>
      <c r="ED404" s="4">
        <v>576</v>
      </c>
      <c r="EE404" s="4">
        <v>768</v>
      </c>
      <c r="EF404" s="4">
        <v>73.323823000000004</v>
      </c>
      <c r="EG404" s="4">
        <v>99.714692999999997</v>
      </c>
      <c r="EH404" s="4">
        <v>55.193133000000003</v>
      </c>
      <c r="EI404" s="4">
        <v>99.742489000000006</v>
      </c>
      <c r="EJ404" s="4">
        <v>91.726106000000001</v>
      </c>
      <c r="EK404" s="4">
        <v>165.763195</v>
      </c>
      <c r="EL404" s="4">
        <v>514</v>
      </c>
      <c r="EM404" s="4">
        <v>699</v>
      </c>
      <c r="EN404" s="4">
        <v>643</v>
      </c>
      <c r="EO404" s="4">
        <v>1162</v>
      </c>
      <c r="EP404" s="4">
        <v>701</v>
      </c>
      <c r="EQ404" s="4">
        <v>1165</v>
      </c>
      <c r="ER404" s="4">
        <v>49.466192999999997</v>
      </c>
    </row>
    <row r="405" spans="1:148" x14ac:dyDescent="0.2">
      <c r="A405" s="1">
        <v>2025</v>
      </c>
      <c r="B405" s="1" t="str">
        <f t="shared" si="12"/>
        <v>NE</v>
      </c>
      <c r="C405" s="1" t="s">
        <v>1708</v>
      </c>
      <c r="D405" s="1" t="s">
        <v>1708</v>
      </c>
      <c r="E405" s="1">
        <v>27721</v>
      </c>
      <c r="F405" s="1" t="s">
        <v>2220</v>
      </c>
      <c r="G405" s="1" t="s">
        <v>2028</v>
      </c>
      <c r="H405" s="1" t="s">
        <v>1965</v>
      </c>
      <c r="I405" s="1">
        <v>33.53</v>
      </c>
      <c r="J405" s="1">
        <v>33.53</v>
      </c>
      <c r="K405" s="1" t="s">
        <v>286</v>
      </c>
      <c r="L405" s="1">
        <v>1</v>
      </c>
      <c r="M405" s="3">
        <v>2020</v>
      </c>
      <c r="O405" s="1">
        <v>2</v>
      </c>
      <c r="P405" s="1" t="str">
        <f t="shared" si="13"/>
        <v>Talhadia</v>
      </c>
      <c r="Q405" s="2">
        <v>44068</v>
      </c>
      <c r="R405" s="1" t="s">
        <v>169</v>
      </c>
      <c r="S405" s="1" t="s">
        <v>348</v>
      </c>
      <c r="T405" s="1" t="s">
        <v>2268</v>
      </c>
      <c r="U405" s="1" t="s">
        <v>170</v>
      </c>
      <c r="V405" s="1" t="s">
        <v>152</v>
      </c>
      <c r="W405" s="2">
        <v>44791</v>
      </c>
      <c r="X405" s="1" t="s">
        <v>2221</v>
      </c>
      <c r="Y405" s="1">
        <v>33.53</v>
      </c>
      <c r="Z405" s="1">
        <v>20.7</v>
      </c>
      <c r="AA405" s="1">
        <v>10</v>
      </c>
      <c r="AB405" s="1">
        <v>15.3</v>
      </c>
      <c r="AC405" s="1">
        <v>0</v>
      </c>
      <c r="AD405" s="3">
        <v>316.70999999999998</v>
      </c>
      <c r="AE405" s="3">
        <v>311.89846345649602</v>
      </c>
      <c r="AF405" s="2">
        <v>45708</v>
      </c>
      <c r="AG405" s="1">
        <v>54</v>
      </c>
      <c r="AH405" s="3">
        <v>4.4900752908966499</v>
      </c>
      <c r="AI405" s="4">
        <v>25.924671116769002</v>
      </c>
      <c r="AJ405" s="4">
        <v>21.06</v>
      </c>
      <c r="AK405" s="4">
        <v>11.568098153623801</v>
      </c>
      <c r="AL405" s="1">
        <v>10</v>
      </c>
      <c r="AM405" s="5">
        <v>320.61716140498999</v>
      </c>
      <c r="AN405" s="4">
        <v>131.95991300342101</v>
      </c>
      <c r="AO405" s="4">
        <v>0.41158094103619902</v>
      </c>
      <c r="AP405" s="1" t="s">
        <v>348</v>
      </c>
      <c r="AQ405" s="1" t="s">
        <v>254</v>
      </c>
      <c r="AR405" s="1" t="s">
        <v>796</v>
      </c>
      <c r="AS405" s="1">
        <v>9</v>
      </c>
      <c r="AT405" s="4">
        <v>0.28855544526449101</v>
      </c>
      <c r="AU405" s="1" t="s">
        <v>1707</v>
      </c>
      <c r="AV405" s="1" t="s">
        <v>1708</v>
      </c>
      <c r="AW405" s="1">
        <v>971</v>
      </c>
      <c r="AX405" s="1">
        <v>679</v>
      </c>
      <c r="AY405" s="1">
        <v>220</v>
      </c>
      <c r="AZ405" s="1">
        <v>64</v>
      </c>
      <c r="BA405" s="1">
        <v>8</v>
      </c>
      <c r="BB405" s="1">
        <v>0</v>
      </c>
      <c r="BC405" s="1">
        <v>0</v>
      </c>
      <c r="BD405" s="1">
        <v>0</v>
      </c>
      <c r="BE405" s="1">
        <v>0</v>
      </c>
      <c r="BF405" s="1">
        <v>0</v>
      </c>
      <c r="BG405" s="1">
        <v>0</v>
      </c>
      <c r="BH405" s="4">
        <v>0</v>
      </c>
      <c r="BI405" s="4">
        <v>26.49</v>
      </c>
      <c r="BJ405" s="4">
        <v>8.8234589999999997</v>
      </c>
      <c r="BK405" s="4">
        <v>0</v>
      </c>
      <c r="BL405" s="4">
        <v>9.7425200000000007</v>
      </c>
      <c r="BM405" s="4">
        <v>94.916686999999996</v>
      </c>
      <c r="BN405" s="4">
        <v>1.1041609999999999</v>
      </c>
      <c r="BO405" s="4">
        <v>19.504000999999999</v>
      </c>
      <c r="BP405" s="4">
        <v>0.39917599999999998</v>
      </c>
      <c r="BQ405" s="4">
        <v>1.3786130000000001</v>
      </c>
      <c r="BR405" s="4">
        <v>9.2405220000000003</v>
      </c>
      <c r="BS405" s="4">
        <v>1.2450000000000001</v>
      </c>
      <c r="BT405" s="4">
        <v>1.248</v>
      </c>
      <c r="BU405" s="4">
        <v>8.8234589999999997</v>
      </c>
      <c r="BV405" s="4">
        <v>5.2040090000000001</v>
      </c>
      <c r="BW405" s="4">
        <v>1.1140669999999999</v>
      </c>
      <c r="BX405" s="4">
        <v>-0.70411800000000002</v>
      </c>
      <c r="BY405" s="4">
        <v>0.58979199999999998</v>
      </c>
      <c r="BZ405" s="4">
        <v>0.21407899999999999</v>
      </c>
      <c r="CA405" s="4">
        <v>-0.13530300000000001</v>
      </c>
      <c r="CB405" s="4">
        <v>1E-3</v>
      </c>
      <c r="CC405" s="4">
        <v>5.4999999999999997E-3</v>
      </c>
      <c r="CD405" s="4">
        <v>1.2E-2</v>
      </c>
      <c r="CE405" s="4">
        <v>2.8000000000000001E-2</v>
      </c>
      <c r="CF405" s="4">
        <v>3.6499999999999998E-2</v>
      </c>
      <c r="CG405" s="4">
        <v>4.5999999999999999E-2</v>
      </c>
      <c r="CH405" s="4">
        <v>0.14699999999999999</v>
      </c>
      <c r="CI405" s="4">
        <v>1.248</v>
      </c>
      <c r="CJ405" s="4">
        <v>12.869</v>
      </c>
      <c r="CK405" s="4">
        <v>17.832999999999998</v>
      </c>
      <c r="CL405" s="4">
        <v>19.540500999999999</v>
      </c>
      <c r="CM405" s="4">
        <v>20.476998999999999</v>
      </c>
      <c r="CN405" s="4">
        <v>22.413</v>
      </c>
      <c r="CO405" s="4">
        <v>23.558001000000001</v>
      </c>
      <c r="CP405" s="4">
        <v>25.526599999999998</v>
      </c>
      <c r="CQ405" s="4">
        <v>0.33308599999999999</v>
      </c>
      <c r="CR405" s="4">
        <v>13.140485999999999</v>
      </c>
      <c r="CS405" s="4">
        <v>15.277181000000001</v>
      </c>
      <c r="CT405" s="1">
        <v>22</v>
      </c>
      <c r="CU405" s="1">
        <v>595</v>
      </c>
      <c r="CV405" s="4">
        <v>205.77960899999999</v>
      </c>
      <c r="CW405" s="4">
        <v>49.285713999999999</v>
      </c>
      <c r="CX405" s="4">
        <v>145.52197799999999</v>
      </c>
      <c r="CY405" s="4">
        <v>21176.646219999999</v>
      </c>
      <c r="CZ405" s="4">
        <v>0.70717399999999997</v>
      </c>
      <c r="DA405" s="4">
        <v>256</v>
      </c>
      <c r="DB405" s="4">
        <v>0.54184299999999996</v>
      </c>
      <c r="DC405" s="4">
        <v>1.9667349999999999</v>
      </c>
      <c r="DD405" s="4">
        <v>127.294918</v>
      </c>
      <c r="DE405" s="4">
        <v>205.77960899999999</v>
      </c>
      <c r="DF405" s="4">
        <v>81.954941000000005</v>
      </c>
      <c r="DG405" s="4">
        <v>14.159096999999999</v>
      </c>
      <c r="DH405" s="4">
        <v>-1.0559620000000001</v>
      </c>
      <c r="DI405" s="4">
        <v>0.39826600000000001</v>
      </c>
      <c r="DJ405" s="4">
        <v>0.172767</v>
      </c>
      <c r="DK405" s="4">
        <v>-1.2885000000000001E-2</v>
      </c>
      <c r="DL405" s="4">
        <v>29</v>
      </c>
      <c r="DM405" s="4">
        <v>35</v>
      </c>
      <c r="DN405" s="4">
        <v>45</v>
      </c>
      <c r="DO405" s="4">
        <v>64</v>
      </c>
      <c r="DP405" s="4">
        <v>76.5</v>
      </c>
      <c r="DQ405" s="4">
        <v>88</v>
      </c>
      <c r="DR405" s="4">
        <v>119</v>
      </c>
      <c r="DS405" s="4">
        <v>160</v>
      </c>
      <c r="DT405" s="4">
        <v>223</v>
      </c>
      <c r="DU405" s="4">
        <v>295</v>
      </c>
      <c r="DV405" s="4">
        <v>332.5</v>
      </c>
      <c r="DW405" s="4">
        <v>367</v>
      </c>
      <c r="DX405" s="4">
        <v>427</v>
      </c>
      <c r="DY405" s="4">
        <v>465.5</v>
      </c>
      <c r="DZ405" s="4">
        <v>512</v>
      </c>
      <c r="EA405" s="4">
        <v>50.515464000000001</v>
      </c>
      <c r="EB405" s="4">
        <v>46.549948999999998</v>
      </c>
      <c r="EC405" s="4">
        <v>66.568483000000001</v>
      </c>
      <c r="ED405" s="4">
        <v>343</v>
      </c>
      <c r="EE405" s="4">
        <v>452</v>
      </c>
      <c r="EF405" s="4">
        <v>48.895434000000002</v>
      </c>
      <c r="EG405" s="4">
        <v>99.558173999999994</v>
      </c>
      <c r="EH405" s="4">
        <v>44.799176000000003</v>
      </c>
      <c r="EI405" s="4">
        <v>99.485067000000001</v>
      </c>
      <c r="EJ405" s="4">
        <v>64.064801000000003</v>
      </c>
      <c r="EK405" s="4">
        <v>142.26804100000001</v>
      </c>
      <c r="EL405" s="4">
        <v>332</v>
      </c>
      <c r="EM405" s="4">
        <v>676</v>
      </c>
      <c r="EN405" s="4">
        <v>435</v>
      </c>
      <c r="EO405" s="4">
        <v>966</v>
      </c>
      <c r="EP405" s="4">
        <v>679</v>
      </c>
      <c r="EQ405" s="4">
        <v>971</v>
      </c>
      <c r="ER405" s="4">
        <v>33.534705000000002</v>
      </c>
    </row>
    <row r="406" spans="1:148" x14ac:dyDescent="0.2">
      <c r="A406" s="1">
        <v>2025</v>
      </c>
      <c r="B406" s="1" t="str">
        <f t="shared" si="12"/>
        <v>NE</v>
      </c>
      <c r="C406" s="1" t="s">
        <v>1710</v>
      </c>
      <c r="D406" s="1" t="s">
        <v>1710</v>
      </c>
      <c r="E406" s="1">
        <v>25097</v>
      </c>
      <c r="F406" s="1" t="s">
        <v>2222</v>
      </c>
      <c r="G406" s="1" t="s">
        <v>2029</v>
      </c>
      <c r="H406" s="1" t="s">
        <v>1966</v>
      </c>
      <c r="I406" s="1">
        <v>48.01</v>
      </c>
      <c r="J406" s="1">
        <v>48.01</v>
      </c>
      <c r="K406" s="1" t="s">
        <v>286</v>
      </c>
      <c r="L406" s="1">
        <v>1</v>
      </c>
      <c r="M406" s="3">
        <v>2016</v>
      </c>
      <c r="O406" s="1">
        <v>1</v>
      </c>
      <c r="P406" s="1" t="str">
        <f t="shared" si="13"/>
        <v>Alto fuste</v>
      </c>
      <c r="Q406" s="2">
        <v>42566</v>
      </c>
      <c r="R406" s="1" t="s">
        <v>169</v>
      </c>
      <c r="S406" s="1" t="s">
        <v>299</v>
      </c>
      <c r="T406" s="1" t="s">
        <v>2268</v>
      </c>
      <c r="U406" s="1" t="s">
        <v>170</v>
      </c>
      <c r="V406" s="1" t="s">
        <v>152</v>
      </c>
      <c r="W406" s="2">
        <v>45763</v>
      </c>
      <c r="X406" s="1" t="s">
        <v>2223</v>
      </c>
      <c r="Y406" s="1">
        <v>133.95000000000002</v>
      </c>
      <c r="Z406" s="1">
        <v>19.399999999999999</v>
      </c>
      <c r="AA406" s="1">
        <v>18</v>
      </c>
      <c r="AB406" s="1">
        <v>14.7</v>
      </c>
      <c r="AC406" s="1">
        <v>7</v>
      </c>
      <c r="AD406" s="3">
        <v>285.18</v>
      </c>
      <c r="AE406" s="3">
        <v>269.200647441358</v>
      </c>
      <c r="AF406" s="2">
        <v>45763</v>
      </c>
      <c r="AG406" s="1">
        <v>105</v>
      </c>
      <c r="AH406" s="3">
        <v>8.7529089664613302</v>
      </c>
      <c r="AI406" s="4">
        <v>31.2299157985662</v>
      </c>
      <c r="AJ406" s="4">
        <v>16.629032258064498</v>
      </c>
      <c r="AK406" s="4">
        <v>25.544663728270599</v>
      </c>
      <c r="AL406" s="1">
        <v>31</v>
      </c>
      <c r="AM406" s="5">
        <v>1151.5574087448299</v>
      </c>
      <c r="AN406" s="4">
        <v>360.98637422615798</v>
      </c>
      <c r="AO406" s="4">
        <v>0.31347666341674302</v>
      </c>
      <c r="AP406" s="1" t="s">
        <v>299</v>
      </c>
      <c r="AQ406" s="1" t="s">
        <v>156</v>
      </c>
      <c r="AR406" s="1" t="s">
        <v>796</v>
      </c>
      <c r="AS406" s="1">
        <v>9</v>
      </c>
      <c r="AT406" s="4">
        <v>1.0364016678703469</v>
      </c>
      <c r="AU406" s="1" t="s">
        <v>1709</v>
      </c>
      <c r="AV406" s="1" t="s">
        <v>1710</v>
      </c>
      <c r="AW406" s="1">
        <v>1133</v>
      </c>
      <c r="AX406" s="1">
        <v>619</v>
      </c>
      <c r="AY406" s="1">
        <v>359</v>
      </c>
      <c r="AZ406" s="1">
        <v>125</v>
      </c>
      <c r="BA406" s="1">
        <v>26</v>
      </c>
      <c r="BB406" s="1">
        <v>4</v>
      </c>
      <c r="BC406" s="1">
        <v>0</v>
      </c>
      <c r="BD406" s="1">
        <v>0</v>
      </c>
      <c r="BE406" s="1">
        <v>0</v>
      </c>
      <c r="BF406" s="1">
        <v>0</v>
      </c>
      <c r="BG406" s="1">
        <v>0</v>
      </c>
      <c r="BH406" s="4">
        <v>0</v>
      </c>
      <c r="BI406" s="4">
        <v>34.631000999999998</v>
      </c>
      <c r="BJ406" s="4">
        <v>23.633213999999999</v>
      </c>
      <c r="BK406" s="4">
        <v>0</v>
      </c>
      <c r="BL406" s="4">
        <v>10.484080000000001</v>
      </c>
      <c r="BM406" s="4">
        <v>109.91593</v>
      </c>
      <c r="BN406" s="4">
        <v>0.44361600000000001</v>
      </c>
      <c r="BO406" s="4">
        <v>10.756000999999999</v>
      </c>
      <c r="BP406" s="4">
        <v>-1.299034</v>
      </c>
      <c r="BQ406" s="4">
        <v>3.4770620000000001</v>
      </c>
      <c r="BR406" s="4">
        <v>8.0543669999999992</v>
      </c>
      <c r="BS406" s="4">
        <v>4.9220009999999998</v>
      </c>
      <c r="BT406" s="4">
        <v>26.971001000000001</v>
      </c>
      <c r="BU406" s="4">
        <v>23.633213999999999</v>
      </c>
      <c r="BV406" s="4">
        <v>5.3814140000000004</v>
      </c>
      <c r="BW406" s="4">
        <v>-1.8449469999999999</v>
      </c>
      <c r="BX406" s="4">
        <v>0.59567400000000004</v>
      </c>
      <c r="BY406" s="4">
        <v>0.22770599999999999</v>
      </c>
      <c r="BZ406" s="4">
        <v>-0.342837</v>
      </c>
      <c r="CA406" s="4">
        <v>0.110691</v>
      </c>
      <c r="CB406" s="4">
        <v>4.0000000000000001E-3</v>
      </c>
      <c r="CC406" s="4">
        <v>0.02</v>
      </c>
      <c r="CD406" s="4">
        <v>5.62E-2</v>
      </c>
      <c r="CE406" s="4">
        <v>18.2624</v>
      </c>
      <c r="CF406" s="4">
        <v>20.993998999999999</v>
      </c>
      <c r="CG406" s="4">
        <v>22.645800000000001</v>
      </c>
      <c r="CH406" s="4">
        <v>24.965199999999999</v>
      </c>
      <c r="CI406" s="4">
        <v>26.971001000000001</v>
      </c>
      <c r="CJ406" s="4">
        <v>28.925799999999999</v>
      </c>
      <c r="CK406" s="4">
        <v>31.406600999999998</v>
      </c>
      <c r="CL406" s="4">
        <v>31.75</v>
      </c>
      <c r="CM406" s="4">
        <v>32.020598999999997</v>
      </c>
      <c r="CN406" s="4">
        <v>32.660400000000003</v>
      </c>
      <c r="CO406" s="4">
        <v>33.073600999999996</v>
      </c>
      <c r="CP406" s="4">
        <v>34.010159000000002</v>
      </c>
      <c r="CQ406" s="4">
        <v>0.68242899999999995</v>
      </c>
      <c r="CR406" s="4">
        <v>25.852422000000001</v>
      </c>
      <c r="CS406" s="4">
        <v>26.911594999999998</v>
      </c>
      <c r="CT406" s="1">
        <v>22</v>
      </c>
      <c r="CU406" s="1">
        <v>492</v>
      </c>
      <c r="CV406" s="4">
        <v>112.63371600000001</v>
      </c>
      <c r="CW406" s="4">
        <v>36.920634999999997</v>
      </c>
      <c r="CX406" s="4">
        <v>72.104600000000005</v>
      </c>
      <c r="CY406" s="4">
        <v>5199.0733149999996</v>
      </c>
      <c r="CZ406" s="4">
        <v>0.64016899999999999</v>
      </c>
      <c r="DA406" s="4">
        <v>105</v>
      </c>
      <c r="DB406" s="4">
        <v>1.175934</v>
      </c>
      <c r="DC406" s="4">
        <v>4.6284340000000004</v>
      </c>
      <c r="DD406" s="4">
        <v>58.089055999999999</v>
      </c>
      <c r="DE406" s="4">
        <v>112.63371600000001</v>
      </c>
      <c r="DF406" s="4">
        <v>38.949869999999997</v>
      </c>
      <c r="DG406" s="4">
        <v>9.0409059999999997</v>
      </c>
      <c r="DH406" s="4">
        <v>3.1340620000000001</v>
      </c>
      <c r="DI406" s="4">
        <v>0.34581000000000001</v>
      </c>
      <c r="DJ406" s="4">
        <v>0.23211599999999999</v>
      </c>
      <c r="DK406" s="4">
        <v>8.0463999999999994E-2</v>
      </c>
      <c r="DL406" s="4">
        <v>28</v>
      </c>
      <c r="DM406" s="4">
        <v>34</v>
      </c>
      <c r="DN406" s="4">
        <v>38</v>
      </c>
      <c r="DO406" s="4">
        <v>48</v>
      </c>
      <c r="DP406" s="4">
        <v>53</v>
      </c>
      <c r="DQ406" s="4">
        <v>59</v>
      </c>
      <c r="DR406" s="4">
        <v>75</v>
      </c>
      <c r="DS406" s="4">
        <v>95</v>
      </c>
      <c r="DT406" s="4">
        <v>118</v>
      </c>
      <c r="DU406" s="4">
        <v>143</v>
      </c>
      <c r="DV406" s="4">
        <v>158</v>
      </c>
      <c r="DW406" s="4">
        <v>172.599976</v>
      </c>
      <c r="DX406" s="4">
        <v>209</v>
      </c>
      <c r="DY406" s="4">
        <v>244.400024</v>
      </c>
      <c r="DZ406" s="4">
        <v>339.08032200000002</v>
      </c>
      <c r="EA406" s="4">
        <v>98.222939999999994</v>
      </c>
      <c r="EB406" s="4">
        <v>87.819946999999999</v>
      </c>
      <c r="EC406" s="4">
        <v>160.743134</v>
      </c>
      <c r="ED406" s="4">
        <v>608</v>
      </c>
      <c r="EE406" s="4">
        <v>995</v>
      </c>
      <c r="EF406" s="4">
        <v>84.814216000000002</v>
      </c>
      <c r="EG406" s="4">
        <v>99.838448999999997</v>
      </c>
      <c r="EH406" s="4">
        <v>65.931156000000001</v>
      </c>
      <c r="EI406" s="4">
        <v>99.558694000000003</v>
      </c>
      <c r="EJ406" s="4">
        <v>120.67851400000001</v>
      </c>
      <c r="EK406" s="4">
        <v>182.22940199999999</v>
      </c>
      <c r="EL406" s="4">
        <v>525</v>
      </c>
      <c r="EM406" s="4">
        <v>618</v>
      </c>
      <c r="EN406" s="4">
        <v>747</v>
      </c>
      <c r="EO406" s="4">
        <v>1128</v>
      </c>
      <c r="EP406" s="4">
        <v>619</v>
      </c>
      <c r="EQ406" s="4">
        <v>1133</v>
      </c>
      <c r="ER406" s="4">
        <v>68.505989999999997</v>
      </c>
    </row>
    <row r="407" spans="1:148" x14ac:dyDescent="0.2">
      <c r="A407" s="1">
        <v>2025</v>
      </c>
      <c r="B407" s="1" t="str">
        <f t="shared" si="12"/>
        <v>NE</v>
      </c>
      <c r="C407" s="1" t="s">
        <v>1712</v>
      </c>
      <c r="D407" s="1" t="s">
        <v>1712</v>
      </c>
      <c r="E407" s="1">
        <v>25098</v>
      </c>
      <c r="F407" s="1" t="s">
        <v>2222</v>
      </c>
      <c r="G407" s="1" t="s">
        <v>2029</v>
      </c>
      <c r="H407" s="1" t="s">
        <v>1966</v>
      </c>
      <c r="I407" s="1">
        <v>48.01</v>
      </c>
      <c r="J407" s="1">
        <v>48.01</v>
      </c>
      <c r="K407" s="1" t="s">
        <v>286</v>
      </c>
      <c r="L407" s="1">
        <v>1</v>
      </c>
      <c r="M407" s="3">
        <v>2016</v>
      </c>
      <c r="O407" s="1">
        <v>1</v>
      </c>
      <c r="P407" s="1" t="str">
        <f t="shared" si="13"/>
        <v>Alto fuste</v>
      </c>
      <c r="Q407" s="2">
        <v>42566</v>
      </c>
      <c r="R407" s="1" t="s">
        <v>169</v>
      </c>
      <c r="S407" s="1" t="s">
        <v>299</v>
      </c>
      <c r="T407" s="1" t="s">
        <v>2268</v>
      </c>
      <c r="U407" s="1" t="s">
        <v>170</v>
      </c>
      <c r="V407" s="1" t="s">
        <v>152</v>
      </c>
      <c r="W407" s="2">
        <v>44792</v>
      </c>
      <c r="X407" s="1" t="s">
        <v>2223</v>
      </c>
      <c r="Y407" s="1">
        <v>133.95000000000002</v>
      </c>
      <c r="Z407" s="1">
        <v>20</v>
      </c>
      <c r="AA407" s="1">
        <v>24</v>
      </c>
      <c r="AB407" s="1">
        <v>15</v>
      </c>
      <c r="AC407" s="1">
        <v>4</v>
      </c>
      <c r="AD407" s="3">
        <v>300</v>
      </c>
      <c r="AE407" s="3">
        <v>273.396032046725</v>
      </c>
      <c r="AF407" s="2">
        <v>45763</v>
      </c>
      <c r="AG407" s="1">
        <v>105</v>
      </c>
      <c r="AH407" s="3">
        <v>8.7529089664613302</v>
      </c>
      <c r="AI407" s="4">
        <v>28.970000134967801</v>
      </c>
      <c r="AJ407" s="4">
        <v>16.746874999999999</v>
      </c>
      <c r="AK407" s="4">
        <v>26.666378293989499</v>
      </c>
      <c r="AL407" s="1">
        <v>32</v>
      </c>
      <c r="AM407" s="5">
        <v>1170.4632199830501</v>
      </c>
      <c r="AN407" s="4">
        <v>354.518126536289</v>
      </c>
      <c r="AO407" s="4">
        <v>0.30288702838643899</v>
      </c>
      <c r="AP407" s="1" t="s">
        <v>299</v>
      </c>
      <c r="AQ407" s="1" t="s">
        <v>156</v>
      </c>
      <c r="AR407" s="1" t="s">
        <v>796</v>
      </c>
      <c r="AS407" s="1">
        <v>9</v>
      </c>
      <c r="AT407" s="4">
        <v>1.0534168979847451</v>
      </c>
      <c r="AU407" s="1" t="s">
        <v>1711</v>
      </c>
      <c r="AV407" s="1" t="s">
        <v>1712</v>
      </c>
      <c r="AW407" s="1">
        <v>1132</v>
      </c>
      <c r="AX407" s="1">
        <v>592</v>
      </c>
      <c r="AY407" s="1">
        <v>366</v>
      </c>
      <c r="AZ407" s="1">
        <v>144</v>
      </c>
      <c r="BA407" s="1">
        <v>25</v>
      </c>
      <c r="BB407" s="1">
        <v>5</v>
      </c>
      <c r="BC407" s="1">
        <v>0</v>
      </c>
      <c r="BD407" s="1">
        <v>0</v>
      </c>
      <c r="BE407" s="1">
        <v>0</v>
      </c>
      <c r="BF407" s="1">
        <v>0</v>
      </c>
      <c r="BG407" s="1">
        <v>0</v>
      </c>
      <c r="BH407" s="4">
        <v>1E-3</v>
      </c>
      <c r="BI407" s="4">
        <v>33.705002</v>
      </c>
      <c r="BJ407" s="4">
        <v>20.317171999999999</v>
      </c>
      <c r="BK407" s="4">
        <v>1E-3</v>
      </c>
      <c r="BL407" s="4">
        <v>11.733485999999999</v>
      </c>
      <c r="BM407" s="4">
        <v>137.674701</v>
      </c>
      <c r="BN407" s="4">
        <v>0.57751600000000003</v>
      </c>
      <c r="BO407" s="4">
        <v>17.643999000000001</v>
      </c>
      <c r="BP407" s="4">
        <v>-0.82048699999999997</v>
      </c>
      <c r="BQ407" s="4">
        <v>2.0755499999999998</v>
      </c>
      <c r="BR407" s="4">
        <v>10.018318000000001</v>
      </c>
      <c r="BS407" s="4">
        <v>5.4565000000000001</v>
      </c>
      <c r="BT407" s="4">
        <v>25.238001000000001</v>
      </c>
      <c r="BU407" s="4">
        <v>20.317171999999999</v>
      </c>
      <c r="BV407" s="4">
        <v>6.276224</v>
      </c>
      <c r="BW407" s="4">
        <v>-1.61286</v>
      </c>
      <c r="BX407" s="4">
        <v>-6.1530000000000001E-2</v>
      </c>
      <c r="BY407" s="4">
        <v>0.30891200000000002</v>
      </c>
      <c r="BZ407" s="4">
        <v>-0.25697900000000001</v>
      </c>
      <c r="CA407" s="4">
        <v>-9.8040000000000002E-3</v>
      </c>
      <c r="CB407" s="4">
        <v>2.6620000000000001E-2</v>
      </c>
      <c r="CC407" s="4">
        <v>0.1331</v>
      </c>
      <c r="CD407" s="4">
        <v>0.37030000000000002</v>
      </c>
      <c r="CE407" s="4">
        <v>0.94579999999999997</v>
      </c>
      <c r="CF407" s="4">
        <v>12.079499999999999</v>
      </c>
      <c r="CG407" s="4">
        <v>17.611999999999998</v>
      </c>
      <c r="CH407" s="4">
        <v>22.657999</v>
      </c>
      <c r="CI407" s="4">
        <v>25.239000000000001</v>
      </c>
      <c r="CJ407" s="4">
        <v>27.139199999999999</v>
      </c>
      <c r="CK407" s="4">
        <v>29.049800999999999</v>
      </c>
      <c r="CL407" s="4">
        <v>29.723499</v>
      </c>
      <c r="CM407" s="4">
        <v>30.2178</v>
      </c>
      <c r="CN407" s="4">
        <v>31.373899000000002</v>
      </c>
      <c r="CO407" s="4">
        <v>32.095149999999997</v>
      </c>
      <c r="CP407" s="4">
        <v>33.098381000000003</v>
      </c>
      <c r="CQ407" s="4">
        <v>0.60278200000000004</v>
      </c>
      <c r="CR407" s="4">
        <v>23.459339</v>
      </c>
      <c r="CS407" s="4">
        <v>24.904425</v>
      </c>
      <c r="CT407" s="1">
        <v>23</v>
      </c>
      <c r="CU407" s="1">
        <v>422</v>
      </c>
      <c r="CV407" s="4">
        <v>118.52650199999999</v>
      </c>
      <c r="CW407" s="4">
        <v>35.666666999999997</v>
      </c>
      <c r="CX407" s="4">
        <v>73.818487000000005</v>
      </c>
      <c r="CY407" s="4">
        <v>5449.1690580000004</v>
      </c>
      <c r="CZ407" s="4">
        <v>0.62280199999999997</v>
      </c>
      <c r="DA407" s="4">
        <v>110</v>
      </c>
      <c r="DB407" s="4">
        <v>0.875058</v>
      </c>
      <c r="DC407" s="4">
        <v>3.1774040000000001</v>
      </c>
      <c r="DD407" s="4">
        <v>60.994168999999999</v>
      </c>
      <c r="DE407" s="4">
        <v>118.52650199999999</v>
      </c>
      <c r="DF407" s="4">
        <v>40.791629999999998</v>
      </c>
      <c r="DG407" s="4">
        <v>8.4080139999999997</v>
      </c>
      <c r="DH407" s="4">
        <v>2.4783819999999999</v>
      </c>
      <c r="DI407" s="4">
        <v>0.34415600000000002</v>
      </c>
      <c r="DJ407" s="4">
        <v>0.206121</v>
      </c>
      <c r="DK407" s="4">
        <v>6.0756999999999999E-2</v>
      </c>
      <c r="DL407" s="4">
        <v>27.310001</v>
      </c>
      <c r="DM407" s="4">
        <v>33</v>
      </c>
      <c r="DN407" s="4">
        <v>39</v>
      </c>
      <c r="DO407" s="4">
        <v>50</v>
      </c>
      <c r="DP407" s="4">
        <v>57</v>
      </c>
      <c r="DQ407" s="4">
        <v>62</v>
      </c>
      <c r="DR407" s="4">
        <v>80.399994000000007</v>
      </c>
      <c r="DS407" s="4">
        <v>101</v>
      </c>
      <c r="DT407" s="4">
        <v>125</v>
      </c>
      <c r="DU407" s="4">
        <v>152</v>
      </c>
      <c r="DV407" s="4">
        <v>167</v>
      </c>
      <c r="DW407" s="4">
        <v>184</v>
      </c>
      <c r="DX407" s="4">
        <v>226</v>
      </c>
      <c r="DY407" s="4">
        <v>257</v>
      </c>
      <c r="DZ407" s="4">
        <v>321.06982399999998</v>
      </c>
      <c r="EA407" s="4">
        <v>92.905405000000002</v>
      </c>
      <c r="EB407" s="4">
        <v>78.445229999999995</v>
      </c>
      <c r="EC407" s="4">
        <v>150</v>
      </c>
      <c r="ED407" s="4">
        <v>550</v>
      </c>
      <c r="EE407" s="4">
        <v>888</v>
      </c>
      <c r="EF407" s="4">
        <v>86.148649000000006</v>
      </c>
      <c r="EG407" s="4">
        <v>100</v>
      </c>
      <c r="EH407" s="4">
        <v>65.547702999999998</v>
      </c>
      <c r="EI407" s="4">
        <v>99.911660999999995</v>
      </c>
      <c r="EJ407" s="4">
        <v>125.337838</v>
      </c>
      <c r="EK407" s="4">
        <v>191.04729699999999</v>
      </c>
      <c r="EL407" s="4">
        <v>510</v>
      </c>
      <c r="EM407" s="4">
        <v>592</v>
      </c>
      <c r="EN407" s="4">
        <v>742</v>
      </c>
      <c r="EO407" s="4">
        <v>1131</v>
      </c>
      <c r="EP407" s="4">
        <v>592</v>
      </c>
      <c r="EQ407" s="4">
        <v>1132</v>
      </c>
      <c r="ER407" s="4">
        <v>60.402248</v>
      </c>
    </row>
    <row r="408" spans="1:148" x14ac:dyDescent="0.2">
      <c r="A408" s="1">
        <v>2025</v>
      </c>
      <c r="B408" s="1" t="str">
        <f t="shared" si="12"/>
        <v>NE</v>
      </c>
      <c r="C408" s="1" t="s">
        <v>1714</v>
      </c>
      <c r="D408" s="1" t="s">
        <v>1714</v>
      </c>
      <c r="E408" s="1">
        <v>25099</v>
      </c>
      <c r="F408" s="1" t="s">
        <v>2222</v>
      </c>
      <c r="G408" s="1" t="s">
        <v>2029</v>
      </c>
      <c r="H408" s="1" t="s">
        <v>1966</v>
      </c>
      <c r="I408" s="1">
        <v>48.01</v>
      </c>
      <c r="J408" s="1">
        <v>48.01</v>
      </c>
      <c r="K408" s="1" t="s">
        <v>286</v>
      </c>
      <c r="L408" s="1">
        <v>1</v>
      </c>
      <c r="M408" s="3">
        <v>2016</v>
      </c>
      <c r="O408" s="1">
        <v>1</v>
      </c>
      <c r="P408" s="1" t="str">
        <f t="shared" si="13"/>
        <v>Alto fuste</v>
      </c>
      <c r="Q408" s="2">
        <v>42566</v>
      </c>
      <c r="R408" s="1" t="s">
        <v>169</v>
      </c>
      <c r="S408" s="1" t="s">
        <v>299</v>
      </c>
      <c r="T408" s="1" t="s">
        <v>2268</v>
      </c>
      <c r="U408" s="1" t="s">
        <v>170</v>
      </c>
      <c r="V408" s="1" t="s">
        <v>152</v>
      </c>
      <c r="W408" s="2">
        <v>45763</v>
      </c>
      <c r="X408" s="1" t="s">
        <v>2223</v>
      </c>
      <c r="Y408" s="1">
        <v>133.95000000000002</v>
      </c>
      <c r="Z408" s="1">
        <v>19</v>
      </c>
      <c r="AA408" s="1">
        <v>8</v>
      </c>
      <c r="AB408" s="1">
        <v>14.7</v>
      </c>
      <c r="AC408" s="1">
        <v>1</v>
      </c>
      <c r="AD408" s="3">
        <v>279.3</v>
      </c>
      <c r="AE408" s="3">
        <v>276.53974684082198</v>
      </c>
      <c r="AF408" s="2">
        <v>45762</v>
      </c>
      <c r="AG408" s="1">
        <v>105</v>
      </c>
      <c r="AH408" s="3">
        <v>8.7501711156742008</v>
      </c>
      <c r="AI408" s="4">
        <v>29.4965125776693</v>
      </c>
      <c r="AJ408" s="4">
        <v>17.592307692307699</v>
      </c>
      <c r="AK408" s="4">
        <v>23.240127314646799</v>
      </c>
      <c r="AL408" s="1">
        <v>26</v>
      </c>
      <c r="AM408" s="5">
        <v>940.19034504163994</v>
      </c>
      <c r="AN408" s="4">
        <v>306.75015505623901</v>
      </c>
      <c r="AO408" s="4">
        <v>0.32626388547167401</v>
      </c>
      <c r="AP408" s="1" t="s">
        <v>299</v>
      </c>
      <c r="AQ408" s="1" t="s">
        <v>156</v>
      </c>
      <c r="AR408" s="1" t="s">
        <v>796</v>
      </c>
      <c r="AS408" s="1">
        <v>9</v>
      </c>
      <c r="AT408" s="4">
        <v>0.84617131053747596</v>
      </c>
      <c r="AU408" s="1" t="s">
        <v>1713</v>
      </c>
      <c r="AV408" s="1" t="s">
        <v>1714</v>
      </c>
      <c r="AW408" s="1">
        <v>1014</v>
      </c>
      <c r="AX408" s="1">
        <v>606</v>
      </c>
      <c r="AY408" s="1">
        <v>295</v>
      </c>
      <c r="AZ408" s="1">
        <v>97</v>
      </c>
      <c r="BA408" s="1">
        <v>11</v>
      </c>
      <c r="BB408" s="1">
        <v>5</v>
      </c>
      <c r="BC408" s="1">
        <v>0</v>
      </c>
      <c r="BD408" s="1">
        <v>0</v>
      </c>
      <c r="BE408" s="1">
        <v>0</v>
      </c>
      <c r="BF408" s="1">
        <v>0</v>
      </c>
      <c r="BG408" s="1">
        <v>0</v>
      </c>
      <c r="BH408" s="4">
        <v>0</v>
      </c>
      <c r="BI408" s="4">
        <v>32.027999999999999</v>
      </c>
      <c r="BJ408" s="4">
        <v>19.044125000000001</v>
      </c>
      <c r="BK408" s="4">
        <v>0</v>
      </c>
      <c r="BL408" s="4">
        <v>12.232805000000001</v>
      </c>
      <c r="BM408" s="4">
        <v>149.641526</v>
      </c>
      <c r="BN408" s="4">
        <v>0.64234000000000002</v>
      </c>
      <c r="BO408" s="4">
        <v>28.803249999999998</v>
      </c>
      <c r="BP408" s="4">
        <v>-0.74044900000000002</v>
      </c>
      <c r="BQ408" s="4">
        <v>1.7921819999999999</v>
      </c>
      <c r="BR408" s="4">
        <v>10.848107000000001</v>
      </c>
      <c r="BS408" s="4">
        <v>4.3895</v>
      </c>
      <c r="BT408" s="4">
        <v>25.325001</v>
      </c>
      <c r="BU408" s="4">
        <v>19.044125000000001</v>
      </c>
      <c r="BV408" s="4">
        <v>6.4276869999999997</v>
      </c>
      <c r="BW408" s="4">
        <v>-1.656604</v>
      </c>
      <c r="BX408" s="4">
        <v>-0.46934900000000002</v>
      </c>
      <c r="BY408" s="4">
        <v>0.33751500000000001</v>
      </c>
      <c r="BZ408" s="4">
        <v>-0.25772899999999999</v>
      </c>
      <c r="CA408" s="4">
        <v>-7.3020000000000002E-2</v>
      </c>
      <c r="CB408" s="4">
        <v>1E-3</v>
      </c>
      <c r="CC408" s="4">
        <v>6.0000000000000001E-3</v>
      </c>
      <c r="CD408" s="4">
        <v>1.2999999999999999E-2</v>
      </c>
      <c r="CE408" s="4">
        <v>3.2000000000000001E-2</v>
      </c>
      <c r="CF408" s="4">
        <v>5.475E-2</v>
      </c>
      <c r="CG408" s="4">
        <v>14.8576</v>
      </c>
      <c r="CH408" s="4">
        <v>21.831402000000001</v>
      </c>
      <c r="CI408" s="4">
        <v>25.325001</v>
      </c>
      <c r="CJ408" s="4">
        <v>27.744800999999999</v>
      </c>
      <c r="CK408" s="4">
        <v>28.5473</v>
      </c>
      <c r="CL408" s="4">
        <v>28.858000000000001</v>
      </c>
      <c r="CM408" s="4">
        <v>29.176399</v>
      </c>
      <c r="CN408" s="4">
        <v>29.898001000000001</v>
      </c>
      <c r="CO408" s="4">
        <v>30.251249000000001</v>
      </c>
      <c r="CP408" s="4">
        <v>31.448318</v>
      </c>
      <c r="CQ408" s="4">
        <v>0.59460900000000005</v>
      </c>
      <c r="CR408" s="4">
        <v>22.631232000000001</v>
      </c>
      <c r="CS408" s="4">
        <v>24.155100000000001</v>
      </c>
      <c r="CT408" s="1">
        <v>21</v>
      </c>
      <c r="CU408" s="1">
        <v>716</v>
      </c>
      <c r="CV408" s="4">
        <v>174.59073000000001</v>
      </c>
      <c r="CW408" s="4">
        <v>43.063491999999997</v>
      </c>
      <c r="CX408" s="4">
        <v>132.253343</v>
      </c>
      <c r="CY408" s="4">
        <v>17490.946840000001</v>
      </c>
      <c r="CZ408" s="4">
        <v>0.75750499999999998</v>
      </c>
      <c r="DA408" s="4">
        <v>162.75</v>
      </c>
      <c r="DB408" s="4">
        <v>1.529183</v>
      </c>
      <c r="DC408" s="4">
        <v>5.720453</v>
      </c>
      <c r="DD408" s="4">
        <v>98.645574999999994</v>
      </c>
      <c r="DE408" s="4">
        <v>174.59073000000001</v>
      </c>
      <c r="DF408" s="4">
        <v>68.710594</v>
      </c>
      <c r="DG408" s="4">
        <v>17.770705</v>
      </c>
      <c r="DH408" s="4">
        <v>9.9365769999999998</v>
      </c>
      <c r="DI408" s="4">
        <v>0.39355200000000001</v>
      </c>
      <c r="DJ408" s="4">
        <v>0.258631</v>
      </c>
      <c r="DK408" s="4">
        <v>0.14461499999999999</v>
      </c>
      <c r="DL408" s="4">
        <v>27.130001</v>
      </c>
      <c r="DM408" s="4">
        <v>35</v>
      </c>
      <c r="DN408" s="4">
        <v>43</v>
      </c>
      <c r="DO408" s="4">
        <v>58</v>
      </c>
      <c r="DP408" s="4">
        <v>68.25</v>
      </c>
      <c r="DQ408" s="4">
        <v>81</v>
      </c>
      <c r="DR408" s="4">
        <v>117.200012</v>
      </c>
      <c r="DS408" s="4">
        <v>152</v>
      </c>
      <c r="DT408" s="4">
        <v>185</v>
      </c>
      <c r="DU408" s="4">
        <v>214</v>
      </c>
      <c r="DV408" s="4">
        <v>231</v>
      </c>
      <c r="DW408" s="4">
        <v>252</v>
      </c>
      <c r="DX408" s="4">
        <v>319.40002399999997</v>
      </c>
      <c r="DY408" s="4">
        <v>458.24963400000001</v>
      </c>
      <c r="DZ408" s="4">
        <v>632.86999500000002</v>
      </c>
      <c r="EA408" s="4">
        <v>92.574257000000003</v>
      </c>
      <c r="EB408" s="4">
        <v>73.372781000000003</v>
      </c>
      <c r="EC408" s="4">
        <v>122.772277</v>
      </c>
      <c r="ED408" s="4">
        <v>561</v>
      </c>
      <c r="EE408" s="4">
        <v>744</v>
      </c>
      <c r="EF408" s="4">
        <v>88.283828</v>
      </c>
      <c r="EG408" s="4">
        <v>99.834982999999994</v>
      </c>
      <c r="EH408" s="4">
        <v>65.088757000000001</v>
      </c>
      <c r="EI408" s="4">
        <v>99.506902999999994</v>
      </c>
      <c r="EJ408" s="4">
        <v>108.91089100000001</v>
      </c>
      <c r="EK408" s="4">
        <v>166.50165000000001</v>
      </c>
      <c r="EL408" s="4">
        <v>535</v>
      </c>
      <c r="EM408" s="4">
        <v>605</v>
      </c>
      <c r="EN408" s="4">
        <v>660</v>
      </c>
      <c r="EO408" s="4">
        <v>1009</v>
      </c>
      <c r="EP408" s="4">
        <v>606</v>
      </c>
      <c r="EQ408" s="4">
        <v>1014</v>
      </c>
      <c r="ER408" s="4">
        <v>59.608505999999998</v>
      </c>
    </row>
    <row r="409" spans="1:148" x14ac:dyDescent="0.2">
      <c r="A409" s="1">
        <v>2025</v>
      </c>
      <c r="B409" s="1" t="str">
        <f t="shared" si="12"/>
        <v>NE</v>
      </c>
      <c r="C409" s="1" t="s">
        <v>1716</v>
      </c>
      <c r="D409" s="1" t="s">
        <v>1716</v>
      </c>
      <c r="E409" s="1">
        <v>31025</v>
      </c>
      <c r="F409" s="1" t="s">
        <v>2222</v>
      </c>
      <c r="G409" s="1" t="s">
        <v>2029</v>
      </c>
      <c r="H409" s="1" t="s">
        <v>1966</v>
      </c>
      <c r="I409" s="1">
        <v>48.01</v>
      </c>
      <c r="J409" s="1">
        <v>48.01</v>
      </c>
      <c r="K409" s="1" t="s">
        <v>286</v>
      </c>
      <c r="L409" s="1">
        <v>1</v>
      </c>
      <c r="M409" s="3">
        <v>2016</v>
      </c>
      <c r="O409" s="1">
        <v>1</v>
      </c>
      <c r="P409" s="1" t="str">
        <f t="shared" si="13"/>
        <v>Alto fuste</v>
      </c>
      <c r="Q409" s="2">
        <v>42566</v>
      </c>
      <c r="R409" s="1" t="s">
        <v>169</v>
      </c>
      <c r="S409" s="1" t="s">
        <v>299</v>
      </c>
      <c r="T409" s="1" t="s">
        <v>2268</v>
      </c>
      <c r="U409" s="1" t="s">
        <v>170</v>
      </c>
      <c r="V409" s="1" t="s">
        <v>152</v>
      </c>
      <c r="W409" s="2">
        <v>44793</v>
      </c>
      <c r="X409" s="1" t="s">
        <v>2223</v>
      </c>
      <c r="Y409" s="1">
        <v>133.95000000000002</v>
      </c>
      <c r="Z409" s="1">
        <v>22</v>
      </c>
      <c r="AA409" s="1">
        <v>11</v>
      </c>
      <c r="AB409" s="1">
        <v>15.7</v>
      </c>
      <c r="AC409" s="1">
        <v>3</v>
      </c>
      <c r="AD409" s="3">
        <v>345.4</v>
      </c>
      <c r="AE409" s="3">
        <v>338.58936739953401</v>
      </c>
      <c r="AF409" s="2">
        <v>45762</v>
      </c>
      <c r="AG409" s="1">
        <v>105</v>
      </c>
      <c r="AH409" s="3">
        <v>8.7501711156742008</v>
      </c>
      <c r="AI409" s="4">
        <v>29.612340322591301</v>
      </c>
      <c r="AJ409" s="4">
        <v>17.903030303030299</v>
      </c>
      <c r="AK409" s="4">
        <v>25.221815146903399</v>
      </c>
      <c r="AL409" s="1">
        <v>33</v>
      </c>
      <c r="AM409" s="5">
        <v>974.63190452345702</v>
      </c>
      <c r="AN409" s="4">
        <v>336.99183823833499</v>
      </c>
      <c r="AO409" s="4">
        <v>0.34576319190280003</v>
      </c>
      <c r="AP409" s="1" t="s">
        <v>299</v>
      </c>
      <c r="AQ409" s="1" t="s">
        <v>156</v>
      </c>
      <c r="AR409" s="1" t="s">
        <v>796</v>
      </c>
      <c r="AS409" s="1">
        <v>9</v>
      </c>
      <c r="AT409" s="4">
        <v>0.8771687140711113</v>
      </c>
      <c r="AU409" s="1" t="s">
        <v>1715</v>
      </c>
      <c r="AV409" s="1" t="s">
        <v>1716</v>
      </c>
      <c r="AW409" s="1">
        <v>1184</v>
      </c>
      <c r="AX409" s="1">
        <v>676</v>
      </c>
      <c r="AY409" s="1">
        <v>343</v>
      </c>
      <c r="AZ409" s="1">
        <v>128</v>
      </c>
      <c r="BA409" s="1">
        <v>35</v>
      </c>
      <c r="BB409" s="1">
        <v>2</v>
      </c>
      <c r="BC409" s="1">
        <v>0</v>
      </c>
      <c r="BD409" s="1">
        <v>0</v>
      </c>
      <c r="BE409" s="1">
        <v>0</v>
      </c>
      <c r="BF409" s="1">
        <v>0</v>
      </c>
      <c r="BG409" s="1">
        <v>0</v>
      </c>
      <c r="BH409" s="4">
        <v>0</v>
      </c>
      <c r="BI409" s="4">
        <v>32.123001000000002</v>
      </c>
      <c r="BJ409" s="4">
        <v>20.387647999999999</v>
      </c>
      <c r="BK409" s="4">
        <v>0</v>
      </c>
      <c r="BL409" s="4">
        <v>11.926138999999999</v>
      </c>
      <c r="BM409" s="4">
        <v>142.23279299999999</v>
      </c>
      <c r="BN409" s="4">
        <v>0.58496899999999996</v>
      </c>
      <c r="BO409" s="4">
        <v>15.535501</v>
      </c>
      <c r="BP409" s="4">
        <v>-0.90464699999999998</v>
      </c>
      <c r="BQ409" s="4">
        <v>2.141912</v>
      </c>
      <c r="BR409" s="4">
        <v>10.176856000000001</v>
      </c>
      <c r="BS409" s="4">
        <v>4.6939989999999998</v>
      </c>
      <c r="BT409" s="4">
        <v>25.451000000000001</v>
      </c>
      <c r="BU409" s="4">
        <v>20.387647999999999</v>
      </c>
      <c r="BV409" s="4">
        <v>6.2080780000000004</v>
      </c>
      <c r="BW409" s="4">
        <v>-1.875108</v>
      </c>
      <c r="BX409" s="4">
        <v>-0.13830000000000001</v>
      </c>
      <c r="BY409" s="4">
        <v>0.30450199999999999</v>
      </c>
      <c r="BZ409" s="4">
        <v>-0.30204300000000001</v>
      </c>
      <c r="CA409" s="4">
        <v>-2.2277000000000002E-2</v>
      </c>
      <c r="CB409" s="4">
        <v>1E-3</v>
      </c>
      <c r="CC409" s="4">
        <v>6.0000000000000001E-3</v>
      </c>
      <c r="CD409" s="4">
        <v>1.6E-2</v>
      </c>
      <c r="CE409" s="4">
        <v>6.2E-2</v>
      </c>
      <c r="CF409" s="4">
        <v>14.17925</v>
      </c>
      <c r="CG409" s="4">
        <v>18.1752</v>
      </c>
      <c r="CH409" s="4">
        <v>22.945399999999999</v>
      </c>
      <c r="CI409" s="4">
        <v>25.451000000000001</v>
      </c>
      <c r="CJ409" s="4">
        <v>28.701799000000001</v>
      </c>
      <c r="CK409" s="4">
        <v>29.443498999999999</v>
      </c>
      <c r="CL409" s="4">
        <v>29.714749999999999</v>
      </c>
      <c r="CM409" s="4">
        <v>29.973199999999999</v>
      </c>
      <c r="CN409" s="4">
        <v>30.585799999999999</v>
      </c>
      <c r="CO409" s="4">
        <v>31.059549000000001</v>
      </c>
      <c r="CP409" s="4">
        <v>31.730183</v>
      </c>
      <c r="CQ409" s="4">
        <v>0.63467399999999996</v>
      </c>
      <c r="CR409" s="4">
        <v>23.61713</v>
      </c>
      <c r="CS409" s="4">
        <v>25.004276999999998</v>
      </c>
      <c r="CT409" s="1">
        <v>22</v>
      </c>
      <c r="CU409" s="1">
        <v>692</v>
      </c>
      <c r="CV409" s="4">
        <v>154.22635099999999</v>
      </c>
      <c r="CW409" s="4">
        <v>32.634920999999999</v>
      </c>
      <c r="CX409" s="4">
        <v>113.839885</v>
      </c>
      <c r="CY409" s="4">
        <v>12959.51931</v>
      </c>
      <c r="CZ409" s="4">
        <v>0.73813499999999999</v>
      </c>
      <c r="DA409" s="4">
        <v>162.25</v>
      </c>
      <c r="DB409" s="4">
        <v>1.325161</v>
      </c>
      <c r="DC409" s="4">
        <v>5.1954359999999999</v>
      </c>
      <c r="DD409" s="4">
        <v>90.784794000000005</v>
      </c>
      <c r="DE409" s="4">
        <v>154.22635099999999</v>
      </c>
      <c r="DF409" s="4">
        <v>60.575806</v>
      </c>
      <c r="DG409" s="4">
        <v>14.929532</v>
      </c>
      <c r="DH409" s="4">
        <v>5.2009270000000001</v>
      </c>
      <c r="DI409" s="4">
        <v>0.39277200000000001</v>
      </c>
      <c r="DJ409" s="4">
        <v>0.24646000000000001</v>
      </c>
      <c r="DK409" s="4">
        <v>8.5858000000000004E-2</v>
      </c>
      <c r="DL409" s="4">
        <v>26</v>
      </c>
      <c r="DM409" s="4">
        <v>35</v>
      </c>
      <c r="DN409" s="4">
        <v>41</v>
      </c>
      <c r="DO409" s="4">
        <v>53</v>
      </c>
      <c r="DP409" s="4">
        <v>60.75</v>
      </c>
      <c r="DQ409" s="4">
        <v>68</v>
      </c>
      <c r="DR409" s="4">
        <v>93</v>
      </c>
      <c r="DS409" s="4">
        <v>126</v>
      </c>
      <c r="DT409" s="4">
        <v>165</v>
      </c>
      <c r="DU409" s="4">
        <v>204</v>
      </c>
      <c r="DV409" s="4">
        <v>223</v>
      </c>
      <c r="DW409" s="4">
        <v>247</v>
      </c>
      <c r="DX409" s="4">
        <v>294</v>
      </c>
      <c r="DY409" s="4">
        <v>347.84997600000003</v>
      </c>
      <c r="DZ409" s="4">
        <v>567.510132</v>
      </c>
      <c r="EA409" s="4">
        <v>97.041420000000002</v>
      </c>
      <c r="EB409" s="4">
        <v>77.280405000000002</v>
      </c>
      <c r="EC409" s="4">
        <v>135.35503</v>
      </c>
      <c r="ED409" s="4">
        <v>656</v>
      </c>
      <c r="EE409" s="4">
        <v>915</v>
      </c>
      <c r="EF409" s="4">
        <v>93.047336999999999</v>
      </c>
      <c r="EG409" s="4">
        <v>100</v>
      </c>
      <c r="EH409" s="4">
        <v>67.145269999999996</v>
      </c>
      <c r="EI409" s="4">
        <v>99.493243000000007</v>
      </c>
      <c r="EJ409" s="4">
        <v>117.60355</v>
      </c>
      <c r="EK409" s="4">
        <v>174.260355</v>
      </c>
      <c r="EL409" s="4">
        <v>629</v>
      </c>
      <c r="EM409" s="4">
        <v>676</v>
      </c>
      <c r="EN409" s="4">
        <v>795</v>
      </c>
      <c r="EO409" s="4">
        <v>1178</v>
      </c>
      <c r="EP409" s="4">
        <v>676</v>
      </c>
      <c r="EQ409" s="4">
        <v>1184</v>
      </c>
      <c r="ER409" s="4">
        <v>63.276072999999997</v>
      </c>
    </row>
    <row r="410" spans="1:148" x14ac:dyDescent="0.2">
      <c r="A410" s="1">
        <v>2025</v>
      </c>
      <c r="B410" s="1" t="str">
        <f t="shared" si="12"/>
        <v>NE</v>
      </c>
      <c r="C410" s="1" t="s">
        <v>1718</v>
      </c>
      <c r="D410" s="1" t="s">
        <v>1718</v>
      </c>
      <c r="E410" s="1">
        <v>25093</v>
      </c>
      <c r="F410" s="1" t="s">
        <v>2222</v>
      </c>
      <c r="G410" s="1" t="s">
        <v>2029</v>
      </c>
      <c r="H410" s="1" t="s">
        <v>1967</v>
      </c>
      <c r="I410" s="1">
        <v>13.19</v>
      </c>
      <c r="J410" s="1">
        <v>13.19</v>
      </c>
      <c r="K410" s="1" t="s">
        <v>286</v>
      </c>
      <c r="L410" s="1">
        <v>1</v>
      </c>
      <c r="M410" s="3">
        <v>2016</v>
      </c>
      <c r="O410" s="1">
        <v>1</v>
      </c>
      <c r="P410" s="1" t="str">
        <f t="shared" si="13"/>
        <v>Alto fuste</v>
      </c>
      <c r="Q410" s="2">
        <v>42689</v>
      </c>
      <c r="R410" s="1" t="s">
        <v>169</v>
      </c>
      <c r="S410" s="1" t="s">
        <v>442</v>
      </c>
      <c r="T410" s="1" t="s">
        <v>2268</v>
      </c>
      <c r="U410" s="1" t="s">
        <v>170</v>
      </c>
      <c r="V410" s="1" t="s">
        <v>152</v>
      </c>
      <c r="W410" s="2">
        <v>45763</v>
      </c>
      <c r="X410" s="1" t="s">
        <v>2223</v>
      </c>
      <c r="Y410" s="1">
        <v>133.95000000000002</v>
      </c>
      <c r="Z410" s="1">
        <v>19.399999999999999</v>
      </c>
      <c r="AA410" s="1">
        <v>30</v>
      </c>
      <c r="AB410" s="1">
        <v>16</v>
      </c>
      <c r="AC410" s="1">
        <v>6</v>
      </c>
      <c r="AD410" s="3">
        <v>310.39999999999998</v>
      </c>
      <c r="AE410" s="3">
        <v>267.34169255312298</v>
      </c>
      <c r="AF410" s="2">
        <v>45763</v>
      </c>
      <c r="AG410" s="1">
        <v>101</v>
      </c>
      <c r="AH410" s="3">
        <v>8.4161533196440796</v>
      </c>
      <c r="AI410" s="4">
        <v>34.704388698017702</v>
      </c>
      <c r="AJ410" s="4">
        <v>18.848148148148098</v>
      </c>
      <c r="AK410" s="4">
        <v>28.608917931101502</v>
      </c>
      <c r="AL410" s="1">
        <v>27</v>
      </c>
      <c r="AM410" s="5">
        <v>1009.9434825204</v>
      </c>
      <c r="AN410" s="4">
        <v>440.39278534341202</v>
      </c>
      <c r="AO410" s="4">
        <v>0.43605686156256301</v>
      </c>
      <c r="AP410" s="1" t="s">
        <v>442</v>
      </c>
      <c r="AQ410" s="1" t="s">
        <v>156</v>
      </c>
      <c r="AR410" s="1" t="s">
        <v>796</v>
      </c>
      <c r="AS410" s="1">
        <v>9</v>
      </c>
      <c r="AT410" s="4">
        <v>0.9089491342683601</v>
      </c>
      <c r="AU410" s="1" t="s">
        <v>1717</v>
      </c>
      <c r="AV410" s="1" t="s">
        <v>1718</v>
      </c>
      <c r="AW410" s="1">
        <v>904</v>
      </c>
      <c r="AX410" s="1">
        <v>556</v>
      </c>
      <c r="AY410" s="1">
        <v>255</v>
      </c>
      <c r="AZ410" s="1">
        <v>80</v>
      </c>
      <c r="BA410" s="1">
        <v>12</v>
      </c>
      <c r="BB410" s="1">
        <v>1</v>
      </c>
      <c r="BC410" s="1">
        <v>0</v>
      </c>
      <c r="BD410" s="1">
        <v>0</v>
      </c>
      <c r="BE410" s="1">
        <v>0</v>
      </c>
      <c r="BF410" s="1">
        <v>0</v>
      </c>
      <c r="BG410" s="1">
        <v>0</v>
      </c>
      <c r="BH410" s="4">
        <v>0</v>
      </c>
      <c r="BI410" s="4">
        <v>38.506999999999998</v>
      </c>
      <c r="BJ410" s="4">
        <v>13.067669</v>
      </c>
      <c r="BK410" s="4">
        <v>0</v>
      </c>
      <c r="BL410" s="4">
        <v>14.904623000000001</v>
      </c>
      <c r="BM410" s="4">
        <v>222.14779200000001</v>
      </c>
      <c r="BN410" s="4">
        <v>1.1405719999999999</v>
      </c>
      <c r="BO410" s="4">
        <v>29.134250999999999</v>
      </c>
      <c r="BP410" s="4">
        <v>0.47913</v>
      </c>
      <c r="BQ410" s="4">
        <v>1.462677</v>
      </c>
      <c r="BR410" s="4">
        <v>13.966893000000001</v>
      </c>
      <c r="BS410" s="4">
        <v>0.97499999999999998</v>
      </c>
      <c r="BT410" s="4">
        <v>0.97799999999999998</v>
      </c>
      <c r="BU410" s="4">
        <v>13.067669</v>
      </c>
      <c r="BV410" s="4">
        <v>7.919664</v>
      </c>
      <c r="BW410" s="4">
        <v>1.931964</v>
      </c>
      <c r="BX410" s="4">
        <v>-0.98943999999999999</v>
      </c>
      <c r="BY410" s="4">
        <v>0.60604999999999998</v>
      </c>
      <c r="BZ410" s="4">
        <v>0.243945</v>
      </c>
      <c r="CA410" s="4">
        <v>-0.124935</v>
      </c>
      <c r="CB410" s="4">
        <v>2E-3</v>
      </c>
      <c r="CC410" s="4">
        <v>7.0000000000000001E-3</v>
      </c>
      <c r="CD410" s="4">
        <v>1.7000000000000001E-2</v>
      </c>
      <c r="CE410" s="4">
        <v>4.2599999999999999E-2</v>
      </c>
      <c r="CF410" s="4">
        <v>6.1749999999999999E-2</v>
      </c>
      <c r="CG410" s="4">
        <v>8.8999999999999996E-2</v>
      </c>
      <c r="CH410" s="4">
        <v>0.21859999999999999</v>
      </c>
      <c r="CI410" s="4">
        <v>0.97799999999999998</v>
      </c>
      <c r="CJ410" s="4">
        <v>17.225000000000001</v>
      </c>
      <c r="CK410" s="4">
        <v>25.498199</v>
      </c>
      <c r="CL410" s="4">
        <v>29.196000999999999</v>
      </c>
      <c r="CM410" s="4">
        <v>32.457400999999997</v>
      </c>
      <c r="CN410" s="4">
        <v>35.157496999999999</v>
      </c>
      <c r="CO410" s="4">
        <v>36.235798000000003</v>
      </c>
      <c r="CP410" s="4">
        <v>37.676098000000003</v>
      </c>
      <c r="CQ410" s="4">
        <v>0.33935799999999999</v>
      </c>
      <c r="CR410" s="4">
        <v>19.815802999999999</v>
      </c>
      <c r="CS410" s="4">
        <v>23.217447</v>
      </c>
      <c r="CT410" s="1">
        <v>23</v>
      </c>
      <c r="CU410" s="1">
        <v>780</v>
      </c>
      <c r="CV410" s="4">
        <v>204.73008799999999</v>
      </c>
      <c r="CW410" s="4">
        <v>35.015872999999999</v>
      </c>
      <c r="CX410" s="4">
        <v>157.972207</v>
      </c>
      <c r="CY410" s="4">
        <v>24955.21832</v>
      </c>
      <c r="CZ410" s="4">
        <v>0.77161199999999996</v>
      </c>
      <c r="DA410" s="4">
        <v>243.5</v>
      </c>
      <c r="DB410" s="4">
        <v>0.82399800000000001</v>
      </c>
      <c r="DC410" s="4">
        <v>2.4984510000000002</v>
      </c>
      <c r="DD410" s="4">
        <v>133.62714399999999</v>
      </c>
      <c r="DE410" s="4">
        <v>204.73008799999999</v>
      </c>
      <c r="DF410" s="4">
        <v>86.772424999999998</v>
      </c>
      <c r="DG410" s="4">
        <v>21.020734000000001</v>
      </c>
      <c r="DH410" s="4">
        <v>2.903807</v>
      </c>
      <c r="DI410" s="4">
        <v>0.42383799999999999</v>
      </c>
      <c r="DJ410" s="4">
        <v>0.24225099999999999</v>
      </c>
      <c r="DK410" s="4">
        <v>3.3465000000000002E-2</v>
      </c>
      <c r="DL410" s="4">
        <v>27</v>
      </c>
      <c r="DM410" s="4">
        <v>35</v>
      </c>
      <c r="DN410" s="4">
        <v>43</v>
      </c>
      <c r="DO410" s="4">
        <v>62</v>
      </c>
      <c r="DP410" s="4">
        <v>73.75</v>
      </c>
      <c r="DQ410" s="4">
        <v>85</v>
      </c>
      <c r="DR410" s="4">
        <v>118</v>
      </c>
      <c r="DS410" s="4">
        <v>145.5</v>
      </c>
      <c r="DT410" s="4">
        <v>196.79998800000001</v>
      </c>
      <c r="DU410" s="4">
        <v>266</v>
      </c>
      <c r="DV410" s="4">
        <v>317.25</v>
      </c>
      <c r="DW410" s="4">
        <v>377</v>
      </c>
      <c r="DX410" s="4">
        <v>460</v>
      </c>
      <c r="DY410" s="4">
        <v>503.84997600000003</v>
      </c>
      <c r="DZ410" s="4">
        <v>569.96997099999999</v>
      </c>
      <c r="EA410" s="4">
        <v>58.992806000000002</v>
      </c>
      <c r="EB410" s="4">
        <v>47.123894</v>
      </c>
      <c r="EC410" s="4">
        <v>76.618705000000006</v>
      </c>
      <c r="ED410" s="4">
        <v>328</v>
      </c>
      <c r="EE410" s="4">
        <v>426</v>
      </c>
      <c r="EF410" s="4">
        <v>55.575539999999997</v>
      </c>
      <c r="EG410" s="4">
        <v>100</v>
      </c>
      <c r="EH410" s="4">
        <v>43.362831999999997</v>
      </c>
      <c r="EI410" s="4">
        <v>99.889381</v>
      </c>
      <c r="EJ410" s="4">
        <v>70.503596999999999</v>
      </c>
      <c r="EK410" s="4">
        <v>162.41007200000001</v>
      </c>
      <c r="EL410" s="4">
        <v>309</v>
      </c>
      <c r="EM410" s="4">
        <v>556</v>
      </c>
      <c r="EN410" s="4">
        <v>392</v>
      </c>
      <c r="EO410" s="4">
        <v>903</v>
      </c>
      <c r="EP410" s="4">
        <v>556</v>
      </c>
      <c r="EQ410" s="4">
        <v>904</v>
      </c>
      <c r="ER410" s="4">
        <v>33.670025000000003</v>
      </c>
    </row>
    <row r="411" spans="1:148" x14ac:dyDescent="0.2">
      <c r="A411" s="1">
        <v>2025</v>
      </c>
      <c r="B411" s="1" t="str">
        <f t="shared" si="12"/>
        <v>NE</v>
      </c>
      <c r="C411" s="1" t="s">
        <v>1720</v>
      </c>
      <c r="D411" s="1" t="s">
        <v>1720</v>
      </c>
      <c r="E411" s="1">
        <v>29140</v>
      </c>
      <c r="F411" s="1" t="s">
        <v>2224</v>
      </c>
      <c r="G411" s="1" t="s">
        <v>2029</v>
      </c>
      <c r="H411" s="1" t="s">
        <v>1968</v>
      </c>
      <c r="I411" s="1">
        <v>70.36</v>
      </c>
      <c r="J411" s="1">
        <v>70.36</v>
      </c>
      <c r="K411" s="1" t="s">
        <v>286</v>
      </c>
      <c r="L411" s="1">
        <v>1</v>
      </c>
      <c r="M411" s="3">
        <v>2022</v>
      </c>
      <c r="O411" s="1">
        <v>1</v>
      </c>
      <c r="P411" s="1" t="str">
        <f t="shared" si="13"/>
        <v>Alto fuste</v>
      </c>
      <c r="Q411" s="2">
        <v>44636</v>
      </c>
      <c r="R411" s="1" t="s">
        <v>169</v>
      </c>
      <c r="S411" s="1" t="s">
        <v>403</v>
      </c>
      <c r="T411" s="1" t="s">
        <v>2268</v>
      </c>
      <c r="U411" s="1" t="s">
        <v>170</v>
      </c>
      <c r="V411" s="1" t="s">
        <v>152</v>
      </c>
      <c r="W411" s="2">
        <v>44794</v>
      </c>
      <c r="X411" s="1" t="s">
        <v>2223</v>
      </c>
      <c r="Y411" s="1">
        <v>148.36000000000001</v>
      </c>
      <c r="Z411" s="1">
        <v>19.5</v>
      </c>
      <c r="AA411" s="1">
        <v>6</v>
      </c>
      <c r="AB411" s="1">
        <v>14.3</v>
      </c>
      <c r="AC411" s="1">
        <v>0</v>
      </c>
      <c r="AD411" s="3">
        <v>278.85000000000002</v>
      </c>
      <c r="AE411" s="3">
        <v>277.32243052344302</v>
      </c>
      <c r="AF411" s="2">
        <v>45762</v>
      </c>
      <c r="AG411" s="1">
        <v>37</v>
      </c>
      <c r="AH411" s="3">
        <v>3.0828199863107502</v>
      </c>
      <c r="AI411" s="4">
        <v>18.111769075788999</v>
      </c>
      <c r="AJ411" s="4">
        <v>13.2379310344828</v>
      </c>
      <c r="AK411" s="4">
        <v>14.4969715635466</v>
      </c>
      <c r="AL411" s="1">
        <v>29</v>
      </c>
      <c r="AM411" s="5">
        <v>1045.7141871020999</v>
      </c>
      <c r="AN411" s="4">
        <v>120.30603338656201</v>
      </c>
      <c r="AO411" s="4">
        <v>0.115046764087572</v>
      </c>
      <c r="AP411" s="1" t="s">
        <v>403</v>
      </c>
      <c r="AQ411" s="1" t="s">
        <v>156</v>
      </c>
      <c r="AR411" s="1" t="s">
        <v>796</v>
      </c>
      <c r="AS411" s="1">
        <v>9</v>
      </c>
      <c r="AT411" s="4">
        <v>0.94114276839188993</v>
      </c>
      <c r="AU411" s="1" t="s">
        <v>1719</v>
      </c>
      <c r="AV411" s="1" t="s">
        <v>1720</v>
      </c>
      <c r="AW411" s="1">
        <v>1166</v>
      </c>
      <c r="AX411" s="1">
        <v>696</v>
      </c>
      <c r="AY411" s="1">
        <v>371</v>
      </c>
      <c r="AZ411" s="1">
        <v>94</v>
      </c>
      <c r="BA411" s="1">
        <v>5</v>
      </c>
      <c r="BB411" s="1">
        <v>0</v>
      </c>
      <c r="BC411" s="1">
        <v>0</v>
      </c>
      <c r="BD411" s="1">
        <v>0</v>
      </c>
      <c r="BE411" s="1">
        <v>0</v>
      </c>
      <c r="BF411" s="1">
        <v>0</v>
      </c>
      <c r="BG411" s="1">
        <v>0</v>
      </c>
      <c r="BH411" s="4">
        <v>0</v>
      </c>
      <c r="BI411" s="4">
        <v>18.507999000000002</v>
      </c>
      <c r="BJ411" s="4">
        <v>11.886331</v>
      </c>
      <c r="BK411" s="4">
        <v>0</v>
      </c>
      <c r="BL411" s="4">
        <v>6.5562839999999998</v>
      </c>
      <c r="BM411" s="4">
        <v>42.984862</v>
      </c>
      <c r="BN411" s="4">
        <v>0.55158200000000002</v>
      </c>
      <c r="BO411" s="4">
        <v>3.4739990000000001</v>
      </c>
      <c r="BP411" s="4">
        <v>-1.1629240000000001</v>
      </c>
      <c r="BQ411" s="4">
        <v>2.513477</v>
      </c>
      <c r="BR411" s="4">
        <v>5.4856949999999998</v>
      </c>
      <c r="BS411" s="4">
        <v>1.3234999999999999</v>
      </c>
      <c r="BT411" s="4">
        <v>15.041</v>
      </c>
      <c r="BU411" s="4">
        <v>11.886331</v>
      </c>
      <c r="BV411" s="4">
        <v>3.1681219999999999</v>
      </c>
      <c r="BW411" s="4">
        <v>-1.204099</v>
      </c>
      <c r="BX411" s="4">
        <v>0.223496</v>
      </c>
      <c r="BY411" s="4">
        <v>0.26653500000000002</v>
      </c>
      <c r="BZ411" s="4">
        <v>-0.38006699999999999</v>
      </c>
      <c r="CA411" s="4">
        <v>7.0544999999999997E-2</v>
      </c>
      <c r="CB411" s="4">
        <v>2E-3</v>
      </c>
      <c r="CC411" s="4">
        <v>9.2499999999999995E-3</v>
      </c>
      <c r="CD411" s="4">
        <v>0.02</v>
      </c>
      <c r="CE411" s="4">
        <v>6.6000000000000003E-2</v>
      </c>
      <c r="CF411" s="4">
        <v>12.628</v>
      </c>
      <c r="CG411" s="4">
        <v>13.648999999999999</v>
      </c>
      <c r="CH411" s="4">
        <v>14.534000000000001</v>
      </c>
      <c r="CI411" s="4">
        <v>15.041</v>
      </c>
      <c r="CJ411" s="4">
        <v>15.428000000000001</v>
      </c>
      <c r="CK411" s="4">
        <v>15.9145</v>
      </c>
      <c r="CL411" s="4">
        <v>16.101998999999999</v>
      </c>
      <c r="CM411" s="4">
        <v>16.347000000000001</v>
      </c>
      <c r="CN411" s="4">
        <v>16.861999999999998</v>
      </c>
      <c r="CO411" s="4">
        <v>17.242000999999998</v>
      </c>
      <c r="CP411" s="4">
        <v>17.859400000000001</v>
      </c>
      <c r="CQ411" s="4">
        <v>0.64222699999999999</v>
      </c>
      <c r="CR411" s="4">
        <v>13.573240999999999</v>
      </c>
      <c r="CS411" s="4">
        <v>14.233143</v>
      </c>
      <c r="CT411" s="1">
        <v>22</v>
      </c>
      <c r="CU411" s="1">
        <v>433</v>
      </c>
      <c r="CV411" s="4">
        <v>111.32504299999999</v>
      </c>
      <c r="CW411" s="4">
        <v>54.619047999999999</v>
      </c>
      <c r="CX411" s="4">
        <v>64.143240000000006</v>
      </c>
      <c r="CY411" s="4">
        <v>4114.3552010000003</v>
      </c>
      <c r="CZ411" s="4">
        <v>0.57618000000000003</v>
      </c>
      <c r="DA411" s="4">
        <v>83</v>
      </c>
      <c r="DB411" s="4">
        <v>1.325798</v>
      </c>
      <c r="DC411" s="4">
        <v>5.4480009999999996</v>
      </c>
      <c r="DD411" s="4">
        <v>49.217931</v>
      </c>
      <c r="DE411" s="4">
        <v>111.32504299999999</v>
      </c>
      <c r="DF411" s="4">
        <v>34.251088000000003</v>
      </c>
      <c r="DG411" s="4">
        <v>7.4135730000000004</v>
      </c>
      <c r="DH411" s="4">
        <v>4.5853700000000002</v>
      </c>
      <c r="DI411" s="4">
        <v>0.30766700000000002</v>
      </c>
      <c r="DJ411" s="4">
        <v>0.216448</v>
      </c>
      <c r="DK411" s="4">
        <v>0.13387499999999999</v>
      </c>
      <c r="DL411" s="4">
        <v>29</v>
      </c>
      <c r="DM411" s="4">
        <v>35</v>
      </c>
      <c r="DN411" s="4">
        <v>42.5</v>
      </c>
      <c r="DO411" s="4">
        <v>56</v>
      </c>
      <c r="DP411" s="4">
        <v>62</v>
      </c>
      <c r="DQ411" s="4">
        <v>70</v>
      </c>
      <c r="DR411" s="4">
        <v>84</v>
      </c>
      <c r="DS411" s="4">
        <v>99</v>
      </c>
      <c r="DT411" s="4">
        <v>115</v>
      </c>
      <c r="DU411" s="4">
        <v>132.5</v>
      </c>
      <c r="DV411" s="4">
        <v>145</v>
      </c>
      <c r="DW411" s="4">
        <v>158</v>
      </c>
      <c r="DX411" s="4">
        <v>193</v>
      </c>
      <c r="DY411" s="4">
        <v>231.5</v>
      </c>
      <c r="DZ411" s="4">
        <v>326.699951</v>
      </c>
      <c r="EA411" s="4">
        <v>97.413792999999998</v>
      </c>
      <c r="EB411" s="4">
        <v>77.444254000000001</v>
      </c>
      <c r="EC411" s="4">
        <v>129.74137899999999</v>
      </c>
      <c r="ED411" s="4">
        <v>678</v>
      </c>
      <c r="EE411" s="4">
        <v>903</v>
      </c>
      <c r="EF411" s="4">
        <v>95.833332999999996</v>
      </c>
      <c r="EG411" s="4">
        <v>100</v>
      </c>
      <c r="EH411" s="4">
        <v>75.385935000000003</v>
      </c>
      <c r="EI411" s="4">
        <v>99.656947000000002</v>
      </c>
      <c r="EJ411" s="4">
        <v>126.293103</v>
      </c>
      <c r="EK411" s="4">
        <v>166.95402300000001</v>
      </c>
      <c r="EL411" s="4">
        <v>667</v>
      </c>
      <c r="EM411" s="4">
        <v>696</v>
      </c>
      <c r="EN411" s="4">
        <v>879</v>
      </c>
      <c r="EO411" s="4">
        <v>1162</v>
      </c>
      <c r="EP411" s="4">
        <v>696</v>
      </c>
      <c r="EQ411" s="4">
        <v>1166</v>
      </c>
      <c r="ER411" s="4">
        <v>65.580972000000003</v>
      </c>
    </row>
    <row r="412" spans="1:148" x14ac:dyDescent="0.2">
      <c r="A412" s="1">
        <v>2025</v>
      </c>
      <c r="B412" s="1" t="str">
        <f t="shared" si="12"/>
        <v>NE</v>
      </c>
      <c r="C412" s="1" t="s">
        <v>1722</v>
      </c>
      <c r="D412" s="1" t="s">
        <v>1722</v>
      </c>
      <c r="E412" s="1">
        <v>29141</v>
      </c>
      <c r="F412" s="1" t="s">
        <v>2224</v>
      </c>
      <c r="G412" s="1" t="s">
        <v>2029</v>
      </c>
      <c r="H412" s="1" t="s">
        <v>1968</v>
      </c>
      <c r="I412" s="1">
        <v>70.36</v>
      </c>
      <c r="J412" s="1">
        <v>70.36</v>
      </c>
      <c r="K412" s="1" t="s">
        <v>286</v>
      </c>
      <c r="L412" s="1">
        <v>1</v>
      </c>
      <c r="M412" s="3">
        <v>2022</v>
      </c>
      <c r="O412" s="1">
        <v>1</v>
      </c>
      <c r="P412" s="1" t="str">
        <f t="shared" si="13"/>
        <v>Alto fuste</v>
      </c>
      <c r="Q412" s="2">
        <v>44636</v>
      </c>
      <c r="R412" s="1" t="s">
        <v>169</v>
      </c>
      <c r="S412" s="1" t="s">
        <v>403</v>
      </c>
      <c r="T412" s="1" t="s">
        <v>2268</v>
      </c>
      <c r="U412" s="1" t="s">
        <v>170</v>
      </c>
      <c r="V412" s="1" t="s">
        <v>152</v>
      </c>
      <c r="W412" s="2">
        <v>45762</v>
      </c>
      <c r="X412" s="1" t="s">
        <v>2223</v>
      </c>
      <c r="Y412" s="1">
        <v>148.36000000000001</v>
      </c>
      <c r="Z412" s="1">
        <v>21.1</v>
      </c>
      <c r="AA412" s="1">
        <v>4</v>
      </c>
      <c r="AB412" s="1">
        <v>14.6</v>
      </c>
      <c r="AC412" s="1">
        <v>2</v>
      </c>
      <c r="AD412" s="3">
        <v>308.06</v>
      </c>
      <c r="AE412" s="3">
        <v>307.12237662932603</v>
      </c>
      <c r="AF412" s="2">
        <v>45762</v>
      </c>
      <c r="AG412" s="1">
        <v>37</v>
      </c>
      <c r="AH412" s="3">
        <v>3.0828199863107502</v>
      </c>
      <c r="AI412" s="4">
        <v>15.422397508266901</v>
      </c>
      <c r="AJ412" s="4">
        <v>12.257142857142901</v>
      </c>
      <c r="AK412" s="4">
        <v>13.5466836938747</v>
      </c>
      <c r="AL412" s="1">
        <v>35</v>
      </c>
      <c r="AM412" s="5">
        <v>1139.61087381928</v>
      </c>
      <c r="AN412" s="4">
        <v>96.702433604908606</v>
      </c>
      <c r="AO412" s="4">
        <v>8.4855660670226304E-2</v>
      </c>
      <c r="AP412" s="1" t="s">
        <v>403</v>
      </c>
      <c r="AQ412" s="1" t="s">
        <v>156</v>
      </c>
      <c r="AR412" s="1" t="s">
        <v>796</v>
      </c>
      <c r="AS412" s="1">
        <v>9</v>
      </c>
      <c r="AT412" s="4">
        <v>1.0256497864373519</v>
      </c>
      <c r="AU412" s="1" t="s">
        <v>1721</v>
      </c>
      <c r="AV412" s="1" t="s">
        <v>1722</v>
      </c>
      <c r="AW412" s="1">
        <v>2422</v>
      </c>
      <c r="AX412" s="1">
        <v>1461</v>
      </c>
      <c r="AY412" s="1">
        <v>771</v>
      </c>
      <c r="AZ412" s="1">
        <v>178</v>
      </c>
      <c r="BA412" s="1">
        <v>12</v>
      </c>
      <c r="BB412" s="1">
        <v>0</v>
      </c>
      <c r="BC412" s="1">
        <v>0</v>
      </c>
      <c r="BD412" s="1">
        <v>0</v>
      </c>
      <c r="BE412" s="1">
        <v>0</v>
      </c>
      <c r="BF412" s="1">
        <v>0</v>
      </c>
      <c r="BG412" s="1">
        <v>0</v>
      </c>
      <c r="BH412" s="4">
        <v>0</v>
      </c>
      <c r="BI412" s="4">
        <v>17.347000000000001</v>
      </c>
      <c r="BJ412" s="4">
        <v>10.669476</v>
      </c>
      <c r="BK412" s="4">
        <v>0</v>
      </c>
      <c r="BL412" s="4">
        <v>6.01112</v>
      </c>
      <c r="BM412" s="4">
        <v>36.133560000000003</v>
      </c>
      <c r="BN412" s="4">
        <v>0.56339399999999995</v>
      </c>
      <c r="BO412" s="4">
        <v>4.1307510000000001</v>
      </c>
      <c r="BP412" s="4">
        <v>-1.1068610000000001</v>
      </c>
      <c r="BQ412" s="4">
        <v>2.4103319999999999</v>
      </c>
      <c r="BR412" s="4">
        <v>5.0547279999999999</v>
      </c>
      <c r="BS412" s="4">
        <v>1.3354999999999999</v>
      </c>
      <c r="BT412" s="4">
        <v>13.502000000000001</v>
      </c>
      <c r="BU412" s="4">
        <v>10.669476</v>
      </c>
      <c r="BV412" s="4">
        <v>2.9479880000000001</v>
      </c>
      <c r="BW412" s="4">
        <v>-1.0415920000000001</v>
      </c>
      <c r="BX412" s="4">
        <v>0.17144599999999999</v>
      </c>
      <c r="BY412" s="4">
        <v>0.27630100000000002</v>
      </c>
      <c r="BZ412" s="4">
        <v>-0.353323</v>
      </c>
      <c r="CA412" s="4">
        <v>5.8157E-2</v>
      </c>
      <c r="CB412" s="4">
        <v>2E-3</v>
      </c>
      <c r="CC412" s="4">
        <v>8.9999999999999993E-3</v>
      </c>
      <c r="CD412" s="4">
        <v>2.1999999999999999E-2</v>
      </c>
      <c r="CE412" s="4">
        <v>6.9199999999999998E-2</v>
      </c>
      <c r="CF412" s="4">
        <v>10.455999</v>
      </c>
      <c r="CG412" s="4">
        <v>12.151899</v>
      </c>
      <c r="CH412" s="4">
        <v>12.9992</v>
      </c>
      <c r="CI412" s="4">
        <v>13.502000000000001</v>
      </c>
      <c r="CJ412" s="4">
        <v>13.9658</v>
      </c>
      <c r="CK412" s="4">
        <v>14.3477</v>
      </c>
      <c r="CL412" s="4">
        <v>14.58675</v>
      </c>
      <c r="CM412" s="4">
        <v>14.824199999999999</v>
      </c>
      <c r="CN412" s="4">
        <v>15.411699</v>
      </c>
      <c r="CO412" s="4">
        <v>15.882999999999999</v>
      </c>
      <c r="CP412" s="4">
        <v>16.611529999999998</v>
      </c>
      <c r="CQ412" s="4">
        <v>0.615062</v>
      </c>
      <c r="CR412" s="4">
        <v>12.245666999999999</v>
      </c>
      <c r="CS412" s="4">
        <v>12.867236</v>
      </c>
      <c r="CT412" s="1">
        <v>24</v>
      </c>
      <c r="CU412" s="1">
        <v>534</v>
      </c>
      <c r="CV412" s="4">
        <v>126.92692</v>
      </c>
      <c r="CW412" s="4">
        <v>104.952381</v>
      </c>
      <c r="CX412" s="4">
        <v>83.227457000000001</v>
      </c>
      <c r="CY412" s="4">
        <v>6926.8096100000002</v>
      </c>
      <c r="CZ412" s="4">
        <v>0.65571199999999996</v>
      </c>
      <c r="DA412" s="4">
        <v>95</v>
      </c>
      <c r="DB412" s="4">
        <v>1.787876</v>
      </c>
      <c r="DC412" s="4">
        <v>7.2113329999999998</v>
      </c>
      <c r="DD412" s="4">
        <v>60.348542000000002</v>
      </c>
      <c r="DE412" s="4">
        <v>126.92692</v>
      </c>
      <c r="DF412" s="4">
        <v>42.379303999999998</v>
      </c>
      <c r="DG412" s="4">
        <v>11.628788999999999</v>
      </c>
      <c r="DH412" s="4">
        <v>7.755585</v>
      </c>
      <c r="DI412" s="4">
        <v>0.33388699999999999</v>
      </c>
      <c r="DJ412" s="4">
        <v>0.27439799999999998</v>
      </c>
      <c r="DK412" s="4">
        <v>0.183004</v>
      </c>
      <c r="DL412" s="4">
        <v>28.209999</v>
      </c>
      <c r="DM412" s="4">
        <v>36</v>
      </c>
      <c r="DN412" s="4">
        <v>46.100006</v>
      </c>
      <c r="DO412" s="4">
        <v>61</v>
      </c>
      <c r="DP412" s="4">
        <v>68</v>
      </c>
      <c r="DQ412" s="4">
        <v>77</v>
      </c>
      <c r="DR412" s="4">
        <v>93</v>
      </c>
      <c r="DS412" s="4">
        <v>108</v>
      </c>
      <c r="DT412" s="4">
        <v>126</v>
      </c>
      <c r="DU412" s="4">
        <v>146</v>
      </c>
      <c r="DV412" s="4">
        <v>163</v>
      </c>
      <c r="DW412" s="4">
        <v>177</v>
      </c>
      <c r="DX412" s="4">
        <v>222.899902</v>
      </c>
      <c r="DY412" s="4">
        <v>285.84985399999999</v>
      </c>
      <c r="DZ412" s="4">
        <v>457</v>
      </c>
      <c r="EA412" s="4">
        <v>94.250512999999998</v>
      </c>
      <c r="EB412" s="4">
        <v>76.713459999999998</v>
      </c>
      <c r="EC412" s="4">
        <v>127.173169</v>
      </c>
      <c r="ED412" s="4">
        <v>1377</v>
      </c>
      <c r="EE412" s="4">
        <v>1858</v>
      </c>
      <c r="EF412" s="4">
        <v>92.402463999999995</v>
      </c>
      <c r="EG412" s="4">
        <v>100</v>
      </c>
      <c r="EH412" s="4">
        <v>74.855491000000001</v>
      </c>
      <c r="EI412" s="4">
        <v>99.669694000000007</v>
      </c>
      <c r="EJ412" s="4">
        <v>124.093087</v>
      </c>
      <c r="EK412" s="4">
        <v>165.22929500000001</v>
      </c>
      <c r="EL412" s="4">
        <v>1350</v>
      </c>
      <c r="EM412" s="4">
        <v>1461</v>
      </c>
      <c r="EN412" s="4">
        <v>1813</v>
      </c>
      <c r="EO412" s="4">
        <v>2414</v>
      </c>
      <c r="EP412" s="4">
        <v>1461</v>
      </c>
      <c r="EQ412" s="4">
        <v>2422</v>
      </c>
      <c r="ER412" s="4">
        <v>63.167462</v>
      </c>
    </row>
    <row r="413" spans="1:148" x14ac:dyDescent="0.2">
      <c r="A413" s="1">
        <v>2025</v>
      </c>
      <c r="B413" s="1" t="str">
        <f t="shared" si="12"/>
        <v>NE</v>
      </c>
      <c r="C413" s="1" t="s">
        <v>1724</v>
      </c>
      <c r="D413" s="1" t="s">
        <v>1724</v>
      </c>
      <c r="E413" s="1">
        <v>29142</v>
      </c>
      <c r="F413" s="1" t="s">
        <v>2224</v>
      </c>
      <c r="G413" s="1" t="s">
        <v>2029</v>
      </c>
      <c r="H413" s="1" t="s">
        <v>1968</v>
      </c>
      <c r="I413" s="1">
        <v>70.36</v>
      </c>
      <c r="J413" s="1">
        <v>70.36</v>
      </c>
      <c r="K413" s="1" t="s">
        <v>286</v>
      </c>
      <c r="L413" s="1">
        <v>1</v>
      </c>
      <c r="M413" s="3">
        <v>2022</v>
      </c>
      <c r="O413" s="1">
        <v>1</v>
      </c>
      <c r="P413" s="1" t="str">
        <f t="shared" si="13"/>
        <v>Alto fuste</v>
      </c>
      <c r="Q413" s="2">
        <v>44636</v>
      </c>
      <c r="R413" s="1" t="s">
        <v>169</v>
      </c>
      <c r="S413" s="1" t="s">
        <v>403</v>
      </c>
      <c r="T413" s="1" t="s">
        <v>2268</v>
      </c>
      <c r="U413" s="1" t="s">
        <v>170</v>
      </c>
      <c r="V413" s="1" t="s">
        <v>152</v>
      </c>
      <c r="W413" s="2">
        <v>44795</v>
      </c>
      <c r="X413" s="1" t="s">
        <v>2223</v>
      </c>
      <c r="Y413" s="1">
        <v>148.36000000000001</v>
      </c>
      <c r="Z413" s="1">
        <v>21.5</v>
      </c>
      <c r="AA413" s="1">
        <v>3</v>
      </c>
      <c r="AB413" s="1">
        <v>14.5</v>
      </c>
      <c r="AC413" s="1">
        <v>1</v>
      </c>
      <c r="AD413" s="3">
        <v>311.75</v>
      </c>
      <c r="AE413" s="3">
        <v>311.27534149585199</v>
      </c>
      <c r="AF413" s="2">
        <v>45762</v>
      </c>
      <c r="AG413" s="1">
        <v>37</v>
      </c>
      <c r="AH413" s="3">
        <v>3.0828199863107502</v>
      </c>
      <c r="AI413" s="4">
        <v>15.360473683807101</v>
      </c>
      <c r="AJ413" s="4">
        <v>12.9941176470588</v>
      </c>
      <c r="AK413" s="4">
        <v>14.5972500534775</v>
      </c>
      <c r="AL413" s="1">
        <v>34</v>
      </c>
      <c r="AM413" s="5">
        <v>1092.28054611107</v>
      </c>
      <c r="AN413" s="4">
        <v>103.11312902480999</v>
      </c>
      <c r="AO413" s="4">
        <v>9.4401689558539698E-2</v>
      </c>
      <c r="AP413" s="1" t="s">
        <v>403</v>
      </c>
      <c r="AQ413" s="1" t="s">
        <v>156</v>
      </c>
      <c r="AR413" s="1" t="s">
        <v>796</v>
      </c>
      <c r="AS413" s="1">
        <v>9</v>
      </c>
      <c r="AT413" s="4">
        <v>0.98305249149996299</v>
      </c>
      <c r="AU413" s="1" t="s">
        <v>1723</v>
      </c>
      <c r="AV413" s="1" t="s">
        <v>1724</v>
      </c>
      <c r="AW413" s="1">
        <v>1348</v>
      </c>
      <c r="AX413" s="1">
        <v>823</v>
      </c>
      <c r="AY413" s="1">
        <v>406</v>
      </c>
      <c r="AZ413" s="1">
        <v>107</v>
      </c>
      <c r="BA413" s="1">
        <v>11</v>
      </c>
      <c r="BB413" s="1">
        <v>1</v>
      </c>
      <c r="BC413" s="1">
        <v>0</v>
      </c>
      <c r="BD413" s="1">
        <v>0</v>
      </c>
      <c r="BE413" s="1">
        <v>0</v>
      </c>
      <c r="BF413" s="1">
        <v>0</v>
      </c>
      <c r="BG413" s="1">
        <v>0</v>
      </c>
      <c r="BH413" s="4">
        <v>0</v>
      </c>
      <c r="BI413" s="4">
        <v>18.169001000000002</v>
      </c>
      <c r="BJ413" s="4">
        <v>10.391496</v>
      </c>
      <c r="BK413" s="4">
        <v>0</v>
      </c>
      <c r="BL413" s="4">
        <v>5.7789039999999998</v>
      </c>
      <c r="BM413" s="4">
        <v>33.395727000000001</v>
      </c>
      <c r="BN413" s="4">
        <v>0.55611900000000003</v>
      </c>
      <c r="BO413" s="4">
        <v>5.7062499999999998</v>
      </c>
      <c r="BP413" s="4">
        <v>-1.0047170000000001</v>
      </c>
      <c r="BQ413" s="4">
        <v>2.4128919999999998</v>
      </c>
      <c r="BR413" s="4">
        <v>4.7547829999999998</v>
      </c>
      <c r="BS413" s="4">
        <v>1.9975000000000001</v>
      </c>
      <c r="BT413" s="4">
        <v>12.787001</v>
      </c>
      <c r="BU413" s="4">
        <v>10.391496</v>
      </c>
      <c r="BV413" s="4">
        <v>2.9882330000000001</v>
      </c>
      <c r="BW413" s="4">
        <v>-0.866143</v>
      </c>
      <c r="BX413" s="4">
        <v>0.167133</v>
      </c>
      <c r="BY413" s="4">
        <v>0.28756500000000002</v>
      </c>
      <c r="BZ413" s="4">
        <v>-0.28985100000000003</v>
      </c>
      <c r="CA413" s="4">
        <v>5.5930000000000001E-2</v>
      </c>
      <c r="CB413" s="4">
        <v>2E-3</v>
      </c>
      <c r="CC413" s="4">
        <v>9.3500000000000007E-3</v>
      </c>
      <c r="CD413" s="4">
        <v>2.4E-2</v>
      </c>
      <c r="CE413" s="4">
        <v>0.18559999999999999</v>
      </c>
      <c r="CF413" s="4">
        <v>8.6527499999999993</v>
      </c>
      <c r="CG413" s="4">
        <v>10.589700000000001</v>
      </c>
      <c r="CH413" s="4">
        <v>11.935600000000001</v>
      </c>
      <c r="CI413" s="4">
        <v>12.787001</v>
      </c>
      <c r="CJ413" s="4">
        <v>13.511399000000001</v>
      </c>
      <c r="CK413" s="4">
        <v>14.0707</v>
      </c>
      <c r="CL413" s="4">
        <v>14.359</v>
      </c>
      <c r="CM413" s="4">
        <v>14.68</v>
      </c>
      <c r="CN413" s="4">
        <v>15.5</v>
      </c>
      <c r="CO413" s="4">
        <v>16.230249000000001</v>
      </c>
      <c r="CP413" s="4">
        <v>17.177741999999999</v>
      </c>
      <c r="CQ413" s="4">
        <v>0.57193499999999997</v>
      </c>
      <c r="CR413" s="4">
        <v>11.889245000000001</v>
      </c>
      <c r="CS413" s="4">
        <v>12.533075999999999</v>
      </c>
      <c r="CT413" s="1">
        <v>23</v>
      </c>
      <c r="CU413" s="1">
        <v>656</v>
      </c>
      <c r="CV413" s="4">
        <v>140.302671</v>
      </c>
      <c r="CW413" s="4">
        <v>43.095238000000002</v>
      </c>
      <c r="CX413" s="4">
        <v>98.825022000000004</v>
      </c>
      <c r="CY413" s="4">
        <v>9766.3849370000007</v>
      </c>
      <c r="CZ413" s="4">
        <v>0.70437000000000005</v>
      </c>
      <c r="DA413" s="4">
        <v>134</v>
      </c>
      <c r="DB413" s="4">
        <v>1.1108150000000001</v>
      </c>
      <c r="DC413" s="4">
        <v>3.8240910000000001</v>
      </c>
      <c r="DD413" s="4">
        <v>79.223242999999997</v>
      </c>
      <c r="DE413" s="4">
        <v>140.302671</v>
      </c>
      <c r="DF413" s="4">
        <v>53.383899999999997</v>
      </c>
      <c r="DG413" s="4">
        <v>13.769678000000001</v>
      </c>
      <c r="DH413" s="4">
        <v>4.7206539999999997</v>
      </c>
      <c r="DI413" s="4">
        <v>0.38049100000000002</v>
      </c>
      <c r="DJ413" s="4">
        <v>0.25793700000000003</v>
      </c>
      <c r="DK413" s="4">
        <v>8.8428000000000007E-2</v>
      </c>
      <c r="DL413" s="4">
        <v>28.470001</v>
      </c>
      <c r="DM413" s="4">
        <v>35</v>
      </c>
      <c r="DN413" s="4">
        <v>40</v>
      </c>
      <c r="DO413" s="4">
        <v>52</v>
      </c>
      <c r="DP413" s="4">
        <v>59</v>
      </c>
      <c r="DQ413" s="4">
        <v>69</v>
      </c>
      <c r="DR413" s="4">
        <v>90</v>
      </c>
      <c r="DS413" s="4">
        <v>112</v>
      </c>
      <c r="DT413" s="4">
        <v>140</v>
      </c>
      <c r="DU413" s="4">
        <v>172</v>
      </c>
      <c r="DV413" s="4">
        <v>193</v>
      </c>
      <c r="DW413" s="4">
        <v>223</v>
      </c>
      <c r="DX413" s="4">
        <v>293</v>
      </c>
      <c r="DY413" s="4">
        <v>339.65002399999997</v>
      </c>
      <c r="DZ413" s="4">
        <v>415.12011699999999</v>
      </c>
      <c r="EA413" s="4">
        <v>95.868773000000004</v>
      </c>
      <c r="EB413" s="4">
        <v>78.041543000000004</v>
      </c>
      <c r="EC413" s="4">
        <v>127.82503</v>
      </c>
      <c r="ED413" s="4">
        <v>789</v>
      </c>
      <c r="EE413" s="4">
        <v>1052</v>
      </c>
      <c r="EF413" s="4">
        <v>89.793439000000006</v>
      </c>
      <c r="EG413" s="4">
        <v>100</v>
      </c>
      <c r="EH413" s="4">
        <v>70.994065000000006</v>
      </c>
      <c r="EI413" s="4">
        <v>99.925815999999998</v>
      </c>
      <c r="EJ413" s="4">
        <v>116.281896</v>
      </c>
      <c r="EK413" s="4">
        <v>163.66950199999999</v>
      </c>
      <c r="EL413" s="4">
        <v>739</v>
      </c>
      <c r="EM413" s="4">
        <v>823</v>
      </c>
      <c r="EN413" s="4">
        <v>957</v>
      </c>
      <c r="EO413" s="4">
        <v>1347</v>
      </c>
      <c r="EP413" s="4">
        <v>823</v>
      </c>
      <c r="EQ413" s="4">
        <v>1348</v>
      </c>
      <c r="ER413" s="4">
        <v>59.453335000000003</v>
      </c>
    </row>
    <row r="414" spans="1:148" x14ac:dyDescent="0.2">
      <c r="A414" s="1">
        <v>2025</v>
      </c>
      <c r="B414" s="1" t="str">
        <f t="shared" si="12"/>
        <v>NE</v>
      </c>
      <c r="C414" s="1" t="s">
        <v>1726</v>
      </c>
      <c r="D414" s="1" t="s">
        <v>1726</v>
      </c>
      <c r="E414" s="1">
        <v>29143</v>
      </c>
      <c r="F414" s="1" t="s">
        <v>2224</v>
      </c>
      <c r="G414" s="1" t="s">
        <v>2029</v>
      </c>
      <c r="H414" s="1" t="s">
        <v>1968</v>
      </c>
      <c r="I414" s="1">
        <v>70.36</v>
      </c>
      <c r="J414" s="1">
        <v>70.36</v>
      </c>
      <c r="K414" s="1" t="s">
        <v>286</v>
      </c>
      <c r="L414" s="1">
        <v>1</v>
      </c>
      <c r="M414" s="3">
        <v>2022</v>
      </c>
      <c r="O414" s="1">
        <v>1</v>
      </c>
      <c r="P414" s="1" t="str">
        <f t="shared" si="13"/>
        <v>Alto fuste</v>
      </c>
      <c r="Q414" s="2">
        <v>44636</v>
      </c>
      <c r="R414" s="1" t="s">
        <v>169</v>
      </c>
      <c r="S414" s="1" t="s">
        <v>403</v>
      </c>
      <c r="T414" s="1" t="s">
        <v>2268</v>
      </c>
      <c r="U414" s="1" t="s">
        <v>170</v>
      </c>
      <c r="V414" s="1" t="s">
        <v>152</v>
      </c>
      <c r="W414" s="2">
        <v>45762</v>
      </c>
      <c r="X414" s="1" t="s">
        <v>2223</v>
      </c>
      <c r="Y414" s="1">
        <v>148.36000000000001</v>
      </c>
      <c r="Z414" s="1">
        <v>20.6</v>
      </c>
      <c r="AA414" s="1">
        <v>15</v>
      </c>
      <c r="AB414" s="1">
        <v>14.1</v>
      </c>
      <c r="AC414" s="1">
        <v>1</v>
      </c>
      <c r="AD414" s="3">
        <v>290.45999999999998</v>
      </c>
      <c r="AE414" s="3">
        <v>280.52008442818499</v>
      </c>
      <c r="AF414" s="2">
        <v>45762</v>
      </c>
      <c r="AG414" s="1">
        <v>37</v>
      </c>
      <c r="AH414" s="3">
        <v>3.0828199863107502</v>
      </c>
      <c r="AI414" s="4">
        <v>16.2158670162727</v>
      </c>
      <c r="AJ414" s="4">
        <v>12.0666666666667</v>
      </c>
      <c r="AK414" s="4">
        <v>13.624856568413</v>
      </c>
      <c r="AL414" s="1">
        <v>33</v>
      </c>
      <c r="AM414" s="5">
        <v>1176.3863563376401</v>
      </c>
      <c r="AN414" s="4">
        <v>102.85359208248001</v>
      </c>
      <c r="AO414" s="4">
        <v>8.7431813135513001E-2</v>
      </c>
      <c r="AP414" s="1" t="s">
        <v>403</v>
      </c>
      <c r="AQ414" s="1" t="s">
        <v>156</v>
      </c>
      <c r="AR414" s="1" t="s">
        <v>796</v>
      </c>
      <c r="AS414" s="1">
        <v>9</v>
      </c>
      <c r="AT414" s="4">
        <v>1.058747720703876</v>
      </c>
      <c r="AU414" s="1" t="s">
        <v>1725</v>
      </c>
      <c r="AV414" s="1" t="s">
        <v>1726</v>
      </c>
      <c r="AW414" s="1">
        <v>1156</v>
      </c>
      <c r="AX414" s="1">
        <v>688</v>
      </c>
      <c r="AY414" s="1">
        <v>364</v>
      </c>
      <c r="AZ414" s="1">
        <v>95</v>
      </c>
      <c r="BA414" s="1">
        <v>8</v>
      </c>
      <c r="BB414" s="1">
        <v>1</v>
      </c>
      <c r="BC414" s="1">
        <v>0</v>
      </c>
      <c r="BD414" s="1">
        <v>0</v>
      </c>
      <c r="BE414" s="1">
        <v>0</v>
      </c>
      <c r="BF414" s="1">
        <v>0</v>
      </c>
      <c r="BG414" s="1">
        <v>0</v>
      </c>
      <c r="BH414" s="4">
        <v>0</v>
      </c>
      <c r="BI414" s="4">
        <v>20.775998999999999</v>
      </c>
      <c r="BJ414" s="4">
        <v>11.279439</v>
      </c>
      <c r="BK414" s="4">
        <v>0</v>
      </c>
      <c r="BL414" s="4">
        <v>6.8814289999999998</v>
      </c>
      <c r="BM414" s="4">
        <v>47.35407</v>
      </c>
      <c r="BN414" s="4">
        <v>0.61008600000000002</v>
      </c>
      <c r="BO414" s="4">
        <v>14.122</v>
      </c>
      <c r="BP414" s="4">
        <v>-0.74697000000000002</v>
      </c>
      <c r="BQ414" s="4">
        <v>1.7555670000000001</v>
      </c>
      <c r="BR414" s="4">
        <v>6.2063680000000003</v>
      </c>
      <c r="BS414" s="4">
        <v>1.986</v>
      </c>
      <c r="BT414" s="4">
        <v>15.003</v>
      </c>
      <c r="BU414" s="4">
        <v>11.279439</v>
      </c>
      <c r="BV414" s="4">
        <v>3.5988690000000001</v>
      </c>
      <c r="BW414" s="4">
        <v>-0.96778200000000003</v>
      </c>
      <c r="BX414" s="4">
        <v>-0.13450699999999999</v>
      </c>
      <c r="BY414" s="4">
        <v>0.31906499999999999</v>
      </c>
      <c r="BZ414" s="4">
        <v>-0.26891300000000001</v>
      </c>
      <c r="CA414" s="4">
        <v>-3.7374999999999999E-2</v>
      </c>
      <c r="CB414" s="4">
        <v>7.5500000000000003E-3</v>
      </c>
      <c r="CC414" s="4">
        <v>4.5749999999999999E-2</v>
      </c>
      <c r="CD414" s="4">
        <v>0.13450000000000001</v>
      </c>
      <c r="CE414" s="4">
        <v>1.395</v>
      </c>
      <c r="CF414" s="4">
        <v>2.3540000000000001</v>
      </c>
      <c r="CG414" s="4">
        <v>5.3220000000000001</v>
      </c>
      <c r="CH414" s="4">
        <v>13.989000000000001</v>
      </c>
      <c r="CI414" s="4">
        <v>15.003</v>
      </c>
      <c r="CJ414" s="4">
        <v>15.702</v>
      </c>
      <c r="CK414" s="4">
        <v>16.247501</v>
      </c>
      <c r="CL414" s="4">
        <v>16.475999999999999</v>
      </c>
      <c r="CM414" s="4">
        <v>16.742999999999999</v>
      </c>
      <c r="CN414" s="4">
        <v>17.262001000000001</v>
      </c>
      <c r="CO414" s="4">
        <v>17.780999999999999</v>
      </c>
      <c r="CP414" s="4">
        <v>18.687548</v>
      </c>
      <c r="CQ414" s="4">
        <v>0.54290700000000003</v>
      </c>
      <c r="CR414" s="4">
        <v>13.211316</v>
      </c>
      <c r="CS414" s="4">
        <v>14.082554999999999</v>
      </c>
      <c r="CT414" s="1">
        <v>23</v>
      </c>
      <c r="CU414" s="1">
        <v>475</v>
      </c>
      <c r="CV414" s="4">
        <v>95.121106999999995</v>
      </c>
      <c r="CW414" s="4">
        <v>44.523809999999997</v>
      </c>
      <c r="CX414" s="4">
        <v>57.203615999999997</v>
      </c>
      <c r="CY414" s="4">
        <v>3272.2537189999998</v>
      </c>
      <c r="CZ414" s="4">
        <v>0.60137700000000005</v>
      </c>
      <c r="DA414" s="4">
        <v>66</v>
      </c>
      <c r="DB414" s="4">
        <v>2.0092560000000002</v>
      </c>
      <c r="DC414" s="4">
        <v>9.5844799999999992</v>
      </c>
      <c r="DD414" s="4">
        <v>41.592516000000003</v>
      </c>
      <c r="DE414" s="4">
        <v>95.121106999999995</v>
      </c>
      <c r="DF414" s="4">
        <v>28.949659</v>
      </c>
      <c r="DG414" s="4">
        <v>7.559552</v>
      </c>
      <c r="DH414" s="4">
        <v>4.7587609999999998</v>
      </c>
      <c r="DI414" s="4">
        <v>0.30434499999999998</v>
      </c>
      <c r="DJ414" s="4">
        <v>0.261127</v>
      </c>
      <c r="DK414" s="4">
        <v>0.164381</v>
      </c>
      <c r="DL414" s="4">
        <v>28.549999</v>
      </c>
      <c r="DM414" s="4">
        <v>34</v>
      </c>
      <c r="DN414" s="4">
        <v>39</v>
      </c>
      <c r="DO414" s="4">
        <v>49</v>
      </c>
      <c r="DP414" s="4">
        <v>53</v>
      </c>
      <c r="DQ414" s="4">
        <v>58</v>
      </c>
      <c r="DR414" s="4">
        <v>71</v>
      </c>
      <c r="DS414" s="4">
        <v>83</v>
      </c>
      <c r="DT414" s="4">
        <v>97</v>
      </c>
      <c r="DU414" s="4">
        <v>113</v>
      </c>
      <c r="DV414" s="4">
        <v>119</v>
      </c>
      <c r="DW414" s="4">
        <v>131</v>
      </c>
      <c r="DX414" s="4">
        <v>162</v>
      </c>
      <c r="DY414" s="4">
        <v>193</v>
      </c>
      <c r="DZ414" s="4">
        <v>315.69970699999999</v>
      </c>
      <c r="EA414" s="4">
        <v>93.459301999999994</v>
      </c>
      <c r="EB414" s="4">
        <v>73.096885999999998</v>
      </c>
      <c r="EC414" s="4">
        <v>122.819767</v>
      </c>
      <c r="ED414" s="4">
        <v>643</v>
      </c>
      <c r="EE414" s="4">
        <v>845</v>
      </c>
      <c r="EF414" s="4">
        <v>91.860465000000005</v>
      </c>
      <c r="EG414" s="4">
        <v>100</v>
      </c>
      <c r="EH414" s="4">
        <v>68.512111000000004</v>
      </c>
      <c r="EI414" s="4">
        <v>99.740483999999995</v>
      </c>
      <c r="EJ414" s="4">
        <v>115.11627900000001</v>
      </c>
      <c r="EK414" s="4">
        <v>167.587209</v>
      </c>
      <c r="EL414" s="4">
        <v>632</v>
      </c>
      <c r="EM414" s="4">
        <v>688</v>
      </c>
      <c r="EN414" s="4">
        <v>792</v>
      </c>
      <c r="EO414" s="4">
        <v>1153</v>
      </c>
      <c r="EP414" s="4">
        <v>688</v>
      </c>
      <c r="EQ414" s="4">
        <v>1156</v>
      </c>
      <c r="ER414" s="4">
        <v>59.308883000000002</v>
      </c>
    </row>
    <row r="415" spans="1:148" x14ac:dyDescent="0.2">
      <c r="A415" s="1">
        <v>2025</v>
      </c>
      <c r="B415" s="1" t="str">
        <f t="shared" si="12"/>
        <v>NE</v>
      </c>
      <c r="C415" s="1" t="s">
        <v>1728</v>
      </c>
      <c r="D415" s="1" t="s">
        <v>1728</v>
      </c>
      <c r="E415" s="1">
        <v>25101</v>
      </c>
      <c r="F415" s="1" t="s">
        <v>2225</v>
      </c>
      <c r="G415" s="1" t="s">
        <v>2029</v>
      </c>
      <c r="H415" s="1" t="s">
        <v>1969</v>
      </c>
      <c r="I415" s="1">
        <v>41.76</v>
      </c>
      <c r="J415" s="1">
        <v>41.76</v>
      </c>
      <c r="K415" s="1" t="s">
        <v>286</v>
      </c>
      <c r="L415" s="1">
        <v>1</v>
      </c>
      <c r="M415" s="3">
        <v>2016</v>
      </c>
      <c r="O415" s="1">
        <v>2</v>
      </c>
      <c r="P415" s="1" t="str">
        <f t="shared" si="13"/>
        <v>Talhadia</v>
      </c>
      <c r="Q415" s="2">
        <v>42566</v>
      </c>
      <c r="R415" s="1" t="s">
        <v>306</v>
      </c>
      <c r="S415" s="1" t="s">
        <v>160</v>
      </c>
      <c r="T415" s="1" t="s">
        <v>2268</v>
      </c>
      <c r="U415" s="1" t="s">
        <v>170</v>
      </c>
      <c r="V415" s="1" t="s">
        <v>152</v>
      </c>
      <c r="W415" s="2">
        <v>44796</v>
      </c>
      <c r="X415" s="1" t="s">
        <v>2223</v>
      </c>
      <c r="Y415" s="1">
        <v>67.61</v>
      </c>
      <c r="Z415" s="1">
        <v>21.3</v>
      </c>
      <c r="AA415" s="1">
        <v>19</v>
      </c>
      <c r="AB415" s="1">
        <v>15.4</v>
      </c>
      <c r="AC415" s="1">
        <v>5</v>
      </c>
      <c r="AD415" s="3">
        <v>328.02</v>
      </c>
      <c r="AE415" s="3">
        <v>308.96879257448899</v>
      </c>
      <c r="AF415" s="2">
        <v>45762</v>
      </c>
      <c r="AG415" s="1">
        <v>105</v>
      </c>
      <c r="AH415" s="3">
        <v>8.7501711156742008</v>
      </c>
      <c r="AI415" s="4">
        <v>26.525630274131</v>
      </c>
      <c r="AJ415" s="4">
        <v>16.2777777777778</v>
      </c>
      <c r="AK415" s="4">
        <v>18.8923097390044</v>
      </c>
      <c r="AL415" s="1">
        <v>27</v>
      </c>
      <c r="AM415" s="5">
        <v>873.87466465534999</v>
      </c>
      <c r="AN415" s="4">
        <v>234.84349944228299</v>
      </c>
      <c r="AO415" s="4">
        <v>0.26873819432092599</v>
      </c>
      <c r="AP415" s="1" t="s">
        <v>160</v>
      </c>
      <c r="AQ415" s="1" t="s">
        <v>254</v>
      </c>
      <c r="AR415" s="1" t="s">
        <v>796</v>
      </c>
      <c r="AS415" s="1">
        <v>9.99</v>
      </c>
      <c r="AT415" s="4">
        <v>0.87300078999069464</v>
      </c>
      <c r="AU415" s="1" t="s">
        <v>1727</v>
      </c>
      <c r="AV415" s="1" t="s">
        <v>1728</v>
      </c>
      <c r="AW415" s="1">
        <v>1027</v>
      </c>
      <c r="AX415" s="1">
        <v>631</v>
      </c>
      <c r="AY415" s="1">
        <v>320</v>
      </c>
      <c r="AZ415" s="1">
        <v>72</v>
      </c>
      <c r="BA415" s="1">
        <v>4</v>
      </c>
      <c r="BB415" s="1">
        <v>0</v>
      </c>
      <c r="BC415" s="1">
        <v>0</v>
      </c>
      <c r="BD415" s="1">
        <v>0</v>
      </c>
      <c r="BE415" s="1">
        <v>0</v>
      </c>
      <c r="BF415" s="1">
        <v>0</v>
      </c>
      <c r="BG415" s="1">
        <v>0</v>
      </c>
      <c r="BH415" s="4">
        <v>0</v>
      </c>
      <c r="BI415" s="4">
        <v>30.437000000000001</v>
      </c>
      <c r="BJ415" s="4">
        <v>16.789688999999999</v>
      </c>
      <c r="BK415" s="4">
        <v>0</v>
      </c>
      <c r="BL415" s="4">
        <v>11.848991</v>
      </c>
      <c r="BM415" s="4">
        <v>140.398594</v>
      </c>
      <c r="BN415" s="4">
        <v>0.70572999999999997</v>
      </c>
      <c r="BO415" s="4">
        <v>26.932500000000001</v>
      </c>
      <c r="BP415" s="4">
        <v>-0.53822899999999996</v>
      </c>
      <c r="BQ415" s="4">
        <v>1.5226660000000001</v>
      </c>
      <c r="BR415" s="4">
        <v>10.777621999999999</v>
      </c>
      <c r="BS415" s="4">
        <v>5.673</v>
      </c>
      <c r="BT415" s="4">
        <v>22.268999000000001</v>
      </c>
      <c r="BU415" s="4">
        <v>16.789688999999999</v>
      </c>
      <c r="BV415" s="4">
        <v>6.3691709999999997</v>
      </c>
      <c r="BW415" s="4">
        <v>-1.124968</v>
      </c>
      <c r="BX415" s="4">
        <v>-0.72665199999999996</v>
      </c>
      <c r="BY415" s="4">
        <v>0.37935000000000002</v>
      </c>
      <c r="BZ415" s="4">
        <v>-0.17662700000000001</v>
      </c>
      <c r="CA415" s="4">
        <v>-0.114089</v>
      </c>
      <c r="CB415" s="4">
        <v>2E-3</v>
      </c>
      <c r="CC415" s="4">
        <v>6.0000000000000001E-3</v>
      </c>
      <c r="CD415" s="4">
        <v>1.4E-2</v>
      </c>
      <c r="CE415" s="4">
        <v>0.03</v>
      </c>
      <c r="CF415" s="4">
        <v>4.65E-2</v>
      </c>
      <c r="CG415" s="4">
        <v>1.3822000000000001</v>
      </c>
      <c r="CH415" s="4">
        <v>18.5564</v>
      </c>
      <c r="CI415" s="4">
        <v>22.268999000000001</v>
      </c>
      <c r="CJ415" s="4">
        <v>25.096601</v>
      </c>
      <c r="CK415" s="4">
        <v>26.573399999999999</v>
      </c>
      <c r="CL415" s="4">
        <v>26.978999999999999</v>
      </c>
      <c r="CM415" s="4">
        <v>27.357800000000001</v>
      </c>
      <c r="CN415" s="4">
        <v>28.263801999999998</v>
      </c>
      <c r="CO415" s="4">
        <v>29.146001999999999</v>
      </c>
      <c r="CP415" s="4">
        <v>29.87162</v>
      </c>
      <c r="CQ415" s="4">
        <v>0.55162100000000003</v>
      </c>
      <c r="CR415" s="4">
        <v>20.546423999999998</v>
      </c>
      <c r="CS415" s="4">
        <v>22.174399999999999</v>
      </c>
      <c r="CT415" s="1">
        <v>22</v>
      </c>
      <c r="CU415" s="1">
        <v>496</v>
      </c>
      <c r="CV415" s="4">
        <v>141.14605599999999</v>
      </c>
      <c r="CW415" s="4">
        <v>29.523810000000001</v>
      </c>
      <c r="CX415" s="4">
        <v>101.529301</v>
      </c>
      <c r="CY415" s="4">
        <v>10308.198920000001</v>
      </c>
      <c r="CZ415" s="4">
        <v>0.71932099999999999</v>
      </c>
      <c r="DA415" s="4">
        <v>129</v>
      </c>
      <c r="DB415" s="4">
        <v>1.250467</v>
      </c>
      <c r="DC415" s="4">
        <v>4.2457779999999996</v>
      </c>
      <c r="DD415" s="4">
        <v>78.538351000000006</v>
      </c>
      <c r="DE415" s="4">
        <v>141.14605599999999</v>
      </c>
      <c r="DF415" s="4">
        <v>54.032677</v>
      </c>
      <c r="DG415" s="4">
        <v>13.929828000000001</v>
      </c>
      <c r="DH415" s="4">
        <v>6.4446430000000001</v>
      </c>
      <c r="DI415" s="4">
        <v>0.38281399999999999</v>
      </c>
      <c r="DJ415" s="4">
        <v>0.25780399999999998</v>
      </c>
      <c r="DK415" s="4">
        <v>0.119273</v>
      </c>
      <c r="DL415" s="4">
        <v>26.26</v>
      </c>
      <c r="DM415" s="4">
        <v>33</v>
      </c>
      <c r="DN415" s="4">
        <v>38</v>
      </c>
      <c r="DO415" s="4">
        <v>52</v>
      </c>
      <c r="DP415" s="4">
        <v>59</v>
      </c>
      <c r="DQ415" s="4">
        <v>67.799987999999999</v>
      </c>
      <c r="DR415" s="4">
        <v>90</v>
      </c>
      <c r="DS415" s="4">
        <v>123</v>
      </c>
      <c r="DT415" s="4">
        <v>148</v>
      </c>
      <c r="DU415" s="4">
        <v>175</v>
      </c>
      <c r="DV415" s="4">
        <v>188</v>
      </c>
      <c r="DW415" s="4">
        <v>204</v>
      </c>
      <c r="DX415" s="4">
        <v>276.40002399999997</v>
      </c>
      <c r="DY415" s="4">
        <v>383.800049</v>
      </c>
      <c r="DZ415" s="4">
        <v>447.47998000000001</v>
      </c>
      <c r="EA415" s="4">
        <v>88.58954</v>
      </c>
      <c r="EB415" s="4">
        <v>69.522881999999996</v>
      </c>
      <c r="EC415" s="4">
        <v>113.153724</v>
      </c>
      <c r="ED415" s="4">
        <v>559</v>
      </c>
      <c r="EE415" s="4">
        <v>714</v>
      </c>
      <c r="EF415" s="4">
        <v>82.884310999999997</v>
      </c>
      <c r="EG415" s="4">
        <v>99.683042999999998</v>
      </c>
      <c r="EH415" s="4">
        <v>62.609541999999998</v>
      </c>
      <c r="EI415" s="4">
        <v>99.707886999999999</v>
      </c>
      <c r="EJ415" s="4">
        <v>101.901743</v>
      </c>
      <c r="EK415" s="4">
        <v>162.28209200000001</v>
      </c>
      <c r="EL415" s="4">
        <v>523</v>
      </c>
      <c r="EM415" s="4">
        <v>629</v>
      </c>
      <c r="EN415" s="4">
        <v>643</v>
      </c>
      <c r="EO415" s="4">
        <v>1024</v>
      </c>
      <c r="EP415" s="4">
        <v>631</v>
      </c>
      <c r="EQ415" s="4">
        <v>1027</v>
      </c>
      <c r="ER415" s="4">
        <v>55.233763000000003</v>
      </c>
    </row>
    <row r="416" spans="1:148" x14ac:dyDescent="0.2">
      <c r="A416" s="1">
        <v>2025</v>
      </c>
      <c r="B416" s="1" t="str">
        <f t="shared" si="12"/>
        <v>NE</v>
      </c>
      <c r="C416" s="1" t="s">
        <v>1730</v>
      </c>
      <c r="D416" s="1" t="s">
        <v>1730</v>
      </c>
      <c r="E416" s="1">
        <v>25102</v>
      </c>
      <c r="F416" s="1" t="s">
        <v>2225</v>
      </c>
      <c r="G416" s="1" t="s">
        <v>2029</v>
      </c>
      <c r="H416" s="1" t="s">
        <v>1969</v>
      </c>
      <c r="I416" s="1">
        <v>41.76</v>
      </c>
      <c r="J416" s="1">
        <v>41.76</v>
      </c>
      <c r="K416" s="1" t="s">
        <v>286</v>
      </c>
      <c r="L416" s="1">
        <v>1</v>
      </c>
      <c r="M416" s="3">
        <v>2016</v>
      </c>
      <c r="O416" s="1">
        <v>2</v>
      </c>
      <c r="P416" s="1" t="str">
        <f t="shared" si="13"/>
        <v>Talhadia</v>
      </c>
      <c r="Q416" s="2">
        <v>42566</v>
      </c>
      <c r="R416" s="1" t="s">
        <v>306</v>
      </c>
      <c r="S416" s="1" t="s">
        <v>160</v>
      </c>
      <c r="T416" s="1" t="s">
        <v>2268</v>
      </c>
      <c r="U416" s="1" t="s">
        <v>170</v>
      </c>
      <c r="V416" s="1" t="s">
        <v>152</v>
      </c>
      <c r="W416" s="2">
        <v>45762</v>
      </c>
      <c r="X416" s="1" t="s">
        <v>2223</v>
      </c>
      <c r="Y416" s="1">
        <v>67.61</v>
      </c>
      <c r="Z416" s="1">
        <v>19.600000000000001</v>
      </c>
      <c r="AA416" s="1">
        <v>14</v>
      </c>
      <c r="AB416" s="1">
        <v>15</v>
      </c>
      <c r="AC416" s="1">
        <v>2</v>
      </c>
      <c r="AD416" s="3">
        <v>294</v>
      </c>
      <c r="AE416" s="3">
        <v>285.09316661080197</v>
      </c>
      <c r="AF416" s="2">
        <v>45762</v>
      </c>
      <c r="AG416" s="1">
        <v>105</v>
      </c>
      <c r="AH416" s="3">
        <v>8.7501711156742008</v>
      </c>
      <c r="AI416" s="4">
        <v>25.242106298556401</v>
      </c>
      <c r="AJ416" s="4">
        <v>16.6111111111111</v>
      </c>
      <c r="AK416" s="4">
        <v>14.175523174228401</v>
      </c>
      <c r="AL416" s="1">
        <v>18</v>
      </c>
      <c r="AM416" s="5">
        <v>631.37255143589198</v>
      </c>
      <c r="AN416" s="4">
        <v>165.98917759589</v>
      </c>
      <c r="AO416" s="4">
        <v>0.26290211257741702</v>
      </c>
      <c r="AP416" s="1" t="s">
        <v>160</v>
      </c>
      <c r="AQ416" s="1" t="s">
        <v>254</v>
      </c>
      <c r="AR416" s="1" t="s">
        <v>796</v>
      </c>
      <c r="AS416" s="1">
        <v>9.99</v>
      </c>
      <c r="AT416" s="4">
        <v>0.63074117888445613</v>
      </c>
      <c r="AU416" s="1" t="s">
        <v>1729</v>
      </c>
      <c r="AV416" s="1" t="s">
        <v>1730</v>
      </c>
      <c r="AW416" s="1">
        <v>840</v>
      </c>
      <c r="AX416" s="1">
        <v>537</v>
      </c>
      <c r="AY416" s="1">
        <v>221</v>
      </c>
      <c r="AZ416" s="1">
        <v>69</v>
      </c>
      <c r="BA416" s="1">
        <v>13</v>
      </c>
      <c r="BB416" s="1">
        <v>0</v>
      </c>
      <c r="BC416" s="1">
        <v>0</v>
      </c>
      <c r="BD416" s="1">
        <v>0</v>
      </c>
      <c r="BE416" s="1">
        <v>0</v>
      </c>
      <c r="BF416" s="1">
        <v>0</v>
      </c>
      <c r="BG416" s="1">
        <v>0</v>
      </c>
      <c r="BH416" s="4">
        <v>0</v>
      </c>
      <c r="BI416" s="4">
        <v>31.341999000000001</v>
      </c>
      <c r="BJ416" s="4">
        <v>16.026769000000002</v>
      </c>
      <c r="BK416" s="4">
        <v>0</v>
      </c>
      <c r="BL416" s="4">
        <v>11.952424000000001</v>
      </c>
      <c r="BM416" s="4">
        <v>142.86044200000001</v>
      </c>
      <c r="BN416" s="4">
        <v>0.74577899999999997</v>
      </c>
      <c r="BO416" s="4">
        <v>26.377998999999999</v>
      </c>
      <c r="BP416" s="4">
        <v>-0.41183399999999998</v>
      </c>
      <c r="BQ416" s="4">
        <v>1.3519110000000001</v>
      </c>
      <c r="BR416" s="4">
        <v>11.140563</v>
      </c>
      <c r="BS416" s="4">
        <v>5.0469999999999997</v>
      </c>
      <c r="BT416" s="4">
        <v>23.378499999999999</v>
      </c>
      <c r="BU416" s="4">
        <v>16.026769000000002</v>
      </c>
      <c r="BV416" s="4">
        <v>6.4416830000000003</v>
      </c>
      <c r="BW416" s="4">
        <v>-0.92649000000000004</v>
      </c>
      <c r="BX416" s="4">
        <v>-0.93633999999999995</v>
      </c>
      <c r="BY416" s="4">
        <v>0.40193299999999998</v>
      </c>
      <c r="BZ416" s="4">
        <v>-0.14382700000000001</v>
      </c>
      <c r="CA416" s="4">
        <v>-0.14535600000000001</v>
      </c>
      <c r="CB416" s="4">
        <v>2E-3</v>
      </c>
      <c r="CC416" s="4">
        <v>9.9500000000000005E-3</v>
      </c>
      <c r="CD416" s="4">
        <v>2.1999999999999999E-2</v>
      </c>
      <c r="CE416" s="4">
        <v>5.8799999999999998E-2</v>
      </c>
      <c r="CF416" s="4">
        <v>0.13700000000000001</v>
      </c>
      <c r="CG416" s="4">
        <v>1.1097999999999999</v>
      </c>
      <c r="CH416" s="4">
        <v>16.232800999999998</v>
      </c>
      <c r="CI416" s="4">
        <v>23.378499999999999</v>
      </c>
      <c r="CJ416" s="4">
        <v>24.920798999999999</v>
      </c>
      <c r="CK416" s="4">
        <v>26.160800999999999</v>
      </c>
      <c r="CL416" s="4">
        <v>26.514999</v>
      </c>
      <c r="CM416" s="4">
        <v>26.825399000000001</v>
      </c>
      <c r="CN416" s="4">
        <v>27.930600999999999</v>
      </c>
      <c r="CO416" s="4">
        <v>28.526350000000001</v>
      </c>
      <c r="CP416" s="4">
        <v>29.300491000000001</v>
      </c>
      <c r="CQ416" s="4">
        <v>0.511351</v>
      </c>
      <c r="CR416" s="4">
        <v>19.988689000000001</v>
      </c>
      <c r="CS416" s="4">
        <v>21.739912</v>
      </c>
      <c r="CT416" s="1">
        <v>21</v>
      </c>
      <c r="CU416" s="1">
        <v>526</v>
      </c>
      <c r="CV416" s="4">
        <v>168.292857</v>
      </c>
      <c r="CW416" s="4">
        <v>37.031745999999998</v>
      </c>
      <c r="CX416" s="4">
        <v>115.115219</v>
      </c>
      <c r="CY416" s="4">
        <v>13251.513660000001</v>
      </c>
      <c r="CZ416" s="4">
        <v>0.68401699999999999</v>
      </c>
      <c r="DA416" s="4">
        <v>188.25</v>
      </c>
      <c r="DB416" s="4">
        <v>0.69243299999999997</v>
      </c>
      <c r="DC416" s="4">
        <v>2.662388</v>
      </c>
      <c r="DD416" s="4">
        <v>97.365696999999997</v>
      </c>
      <c r="DE416" s="4">
        <v>168.292857</v>
      </c>
      <c r="DF416" s="4">
        <v>64.423741000000007</v>
      </c>
      <c r="DG416" s="4">
        <v>11.298189000000001</v>
      </c>
      <c r="DH416" s="4">
        <v>2.0032890000000001</v>
      </c>
      <c r="DI416" s="4">
        <v>0.38280700000000001</v>
      </c>
      <c r="DJ416" s="4">
        <v>0.175373</v>
      </c>
      <c r="DK416" s="4">
        <v>3.1095999999999999E-2</v>
      </c>
      <c r="DL416" s="4">
        <v>25.389999</v>
      </c>
      <c r="DM416" s="4">
        <v>34</v>
      </c>
      <c r="DN416" s="4">
        <v>39</v>
      </c>
      <c r="DO416" s="4">
        <v>53.800002999999997</v>
      </c>
      <c r="DP416" s="4">
        <v>64.75</v>
      </c>
      <c r="DQ416" s="4">
        <v>75</v>
      </c>
      <c r="DR416" s="4">
        <v>109</v>
      </c>
      <c r="DS416" s="4">
        <v>143.5</v>
      </c>
      <c r="DT416" s="4">
        <v>188</v>
      </c>
      <c r="DU416" s="4">
        <v>234</v>
      </c>
      <c r="DV416" s="4">
        <v>253</v>
      </c>
      <c r="DW416" s="4">
        <v>271.20001200000002</v>
      </c>
      <c r="DX416" s="4">
        <v>326.29992700000003</v>
      </c>
      <c r="DY416" s="4">
        <v>387.04998799999998</v>
      </c>
      <c r="DZ416" s="4">
        <v>472.70983899999999</v>
      </c>
      <c r="EA416" s="4">
        <v>83.426443000000006</v>
      </c>
      <c r="EB416" s="4">
        <v>67.5</v>
      </c>
      <c r="EC416" s="4">
        <v>105.586592</v>
      </c>
      <c r="ED416" s="4">
        <v>448</v>
      </c>
      <c r="EE416" s="4">
        <v>567</v>
      </c>
      <c r="EF416" s="4">
        <v>79.143388999999999</v>
      </c>
      <c r="EG416" s="4">
        <v>99.627561</v>
      </c>
      <c r="EH416" s="4">
        <v>60.476190000000003</v>
      </c>
      <c r="EI416" s="4">
        <v>99.761904999999999</v>
      </c>
      <c r="EJ416" s="4">
        <v>94.599627999999996</v>
      </c>
      <c r="EK416" s="4">
        <v>156.052142</v>
      </c>
      <c r="EL416" s="4">
        <v>425</v>
      </c>
      <c r="EM416" s="4">
        <v>535</v>
      </c>
      <c r="EN416" s="4">
        <v>508</v>
      </c>
      <c r="EO416" s="4">
        <v>838</v>
      </c>
      <c r="EP416" s="4">
        <v>537</v>
      </c>
      <c r="EQ416" s="4">
        <v>840</v>
      </c>
      <c r="ER416" s="4">
        <v>53.651994999999999</v>
      </c>
    </row>
    <row r="417" spans="1:148" x14ac:dyDescent="0.2">
      <c r="A417" s="1">
        <v>2025</v>
      </c>
      <c r="B417" s="1" t="str">
        <f t="shared" si="12"/>
        <v>NE</v>
      </c>
      <c r="C417" s="1" t="s">
        <v>1732</v>
      </c>
      <c r="D417" s="1" t="s">
        <v>1732</v>
      </c>
      <c r="E417" s="1">
        <v>25103</v>
      </c>
      <c r="F417" s="1" t="s">
        <v>2225</v>
      </c>
      <c r="G417" s="1" t="s">
        <v>2029</v>
      </c>
      <c r="H417" s="1" t="s">
        <v>1969</v>
      </c>
      <c r="I417" s="1">
        <v>41.76</v>
      </c>
      <c r="J417" s="1">
        <v>41.76</v>
      </c>
      <c r="K417" s="1" t="s">
        <v>286</v>
      </c>
      <c r="L417" s="1">
        <v>1</v>
      </c>
      <c r="M417" s="3">
        <v>2016</v>
      </c>
      <c r="O417" s="1">
        <v>2</v>
      </c>
      <c r="P417" s="1" t="str">
        <f t="shared" si="13"/>
        <v>Talhadia</v>
      </c>
      <c r="Q417" s="2">
        <v>42566</v>
      </c>
      <c r="R417" s="1" t="s">
        <v>306</v>
      </c>
      <c r="S417" s="1" t="s">
        <v>160</v>
      </c>
      <c r="T417" s="1" t="s">
        <v>2268</v>
      </c>
      <c r="U417" s="1" t="s">
        <v>170</v>
      </c>
      <c r="V417" s="1" t="s">
        <v>152</v>
      </c>
      <c r="W417" s="2">
        <v>44797</v>
      </c>
      <c r="X417" s="1" t="s">
        <v>2223</v>
      </c>
      <c r="Y417" s="1">
        <v>67.61</v>
      </c>
      <c r="Z417" s="1">
        <v>19</v>
      </c>
      <c r="AA417" s="1">
        <v>22</v>
      </c>
      <c r="AB417" s="1">
        <v>15</v>
      </c>
      <c r="AC417" s="1">
        <v>5</v>
      </c>
      <c r="AD417" s="3">
        <v>285</v>
      </c>
      <c r="AE417" s="3">
        <v>263.24185742157499</v>
      </c>
      <c r="AF417" s="2">
        <v>45762</v>
      </c>
      <c r="AG417" s="1">
        <v>105</v>
      </c>
      <c r="AH417" s="3">
        <v>8.7501711156742008</v>
      </c>
      <c r="AI417" s="4">
        <v>26.949787043057199</v>
      </c>
      <c r="AJ417" s="4">
        <v>18.5461538461538</v>
      </c>
      <c r="AK417" s="4">
        <v>27.882810510910801</v>
      </c>
      <c r="AL417" s="1">
        <v>26</v>
      </c>
      <c r="AM417" s="5">
        <v>987.68487104091798</v>
      </c>
      <c r="AN417" s="4">
        <v>350.75187464845499</v>
      </c>
      <c r="AO417" s="4">
        <v>0.35512528837138002</v>
      </c>
      <c r="AP417" s="1" t="s">
        <v>160</v>
      </c>
      <c r="AQ417" s="1" t="s">
        <v>254</v>
      </c>
      <c r="AR417" s="1" t="s">
        <v>796</v>
      </c>
      <c r="AS417" s="1">
        <v>9.99</v>
      </c>
      <c r="AT417" s="4">
        <v>0.98669718616987712</v>
      </c>
      <c r="AU417" s="1" t="s">
        <v>1731</v>
      </c>
      <c r="AV417" s="1" t="s">
        <v>1732</v>
      </c>
      <c r="AW417" s="1">
        <v>1111</v>
      </c>
      <c r="AX417" s="1">
        <v>619</v>
      </c>
      <c r="AY417" s="1">
        <v>329</v>
      </c>
      <c r="AZ417" s="1">
        <v>135</v>
      </c>
      <c r="BA417" s="1">
        <v>25</v>
      </c>
      <c r="BB417" s="1">
        <v>3</v>
      </c>
      <c r="BC417" s="1">
        <v>0</v>
      </c>
      <c r="BD417" s="1">
        <v>0</v>
      </c>
      <c r="BE417" s="1">
        <v>0</v>
      </c>
      <c r="BF417" s="1">
        <v>0</v>
      </c>
      <c r="BG417" s="1">
        <v>0</v>
      </c>
      <c r="BH417" s="4">
        <v>0</v>
      </c>
      <c r="BI417" s="4">
        <v>33.259998000000003</v>
      </c>
      <c r="BJ417" s="4">
        <v>18.237113000000001</v>
      </c>
      <c r="BK417" s="4">
        <v>0</v>
      </c>
      <c r="BL417" s="4">
        <v>11.37651</v>
      </c>
      <c r="BM417" s="4">
        <v>129.42497599999999</v>
      </c>
      <c r="BN417" s="4">
        <v>0.623811</v>
      </c>
      <c r="BO417" s="4">
        <v>19.651499999999999</v>
      </c>
      <c r="BP417" s="4">
        <v>-0.67383800000000005</v>
      </c>
      <c r="BQ417" s="4">
        <v>1.8637889999999999</v>
      </c>
      <c r="BR417" s="4">
        <v>9.8765800000000006</v>
      </c>
      <c r="BS417" s="4">
        <v>5.6909999999999998</v>
      </c>
      <c r="BT417" s="4">
        <v>22.924999</v>
      </c>
      <c r="BU417" s="4">
        <v>18.237113000000001</v>
      </c>
      <c r="BV417" s="4">
        <v>6.1790459999999996</v>
      </c>
      <c r="BW417" s="4">
        <v>-1.3036129999999999</v>
      </c>
      <c r="BX417" s="4">
        <v>-0.26192799999999999</v>
      </c>
      <c r="BY417" s="4">
        <v>0.33881699999999998</v>
      </c>
      <c r="BZ417" s="4">
        <v>-0.21097299999999999</v>
      </c>
      <c r="CA417" s="4">
        <v>-4.2389999999999997E-2</v>
      </c>
      <c r="CB417" s="4">
        <v>2E-3</v>
      </c>
      <c r="CC417" s="4">
        <v>6.0000000000000001E-3</v>
      </c>
      <c r="CD417" s="4">
        <v>1.4E-2</v>
      </c>
      <c r="CE417" s="4">
        <v>4.3999999999999997E-2</v>
      </c>
      <c r="CF417" s="4">
        <v>7.7995000000000001</v>
      </c>
      <c r="CG417" s="4">
        <v>14.311999999999999</v>
      </c>
      <c r="CH417" s="4">
        <v>19.190999999999999</v>
      </c>
      <c r="CI417" s="4">
        <v>22.924999</v>
      </c>
      <c r="CJ417" s="4">
        <v>25.745000999999998</v>
      </c>
      <c r="CK417" s="4">
        <v>27.120000999999998</v>
      </c>
      <c r="CL417" s="4">
        <v>27.451000000000001</v>
      </c>
      <c r="CM417" s="4">
        <v>27.891000999999999</v>
      </c>
      <c r="CN417" s="4">
        <v>29.228000999999999</v>
      </c>
      <c r="CO417" s="4">
        <v>30.386500999999999</v>
      </c>
      <c r="CP417" s="4">
        <v>32.170699999999997</v>
      </c>
      <c r="CQ417" s="4">
        <v>0.54832000000000003</v>
      </c>
      <c r="CR417" s="4">
        <v>21.491876000000001</v>
      </c>
      <c r="CS417" s="4">
        <v>22.988578</v>
      </c>
      <c r="CT417" s="1">
        <v>21</v>
      </c>
      <c r="CU417" s="1">
        <v>703</v>
      </c>
      <c r="CV417" s="4">
        <v>155.82538299999999</v>
      </c>
      <c r="CW417" s="4">
        <v>42.650793999999998</v>
      </c>
      <c r="CX417" s="4">
        <v>124.982889</v>
      </c>
      <c r="CY417" s="4">
        <v>15620.72263</v>
      </c>
      <c r="CZ417" s="4">
        <v>0.80206999999999995</v>
      </c>
      <c r="DA417" s="4">
        <v>151.5</v>
      </c>
      <c r="DB417" s="4">
        <v>1.548365</v>
      </c>
      <c r="DC417" s="4">
        <v>5.7190859999999999</v>
      </c>
      <c r="DD417" s="4">
        <v>95.864941000000002</v>
      </c>
      <c r="DE417" s="4">
        <v>155.82538299999999</v>
      </c>
      <c r="DF417" s="4">
        <v>64.817380999999997</v>
      </c>
      <c r="DG417" s="4">
        <v>19.153879</v>
      </c>
      <c r="DH417" s="4">
        <v>8.0944269999999996</v>
      </c>
      <c r="DI417" s="4">
        <v>0.415962</v>
      </c>
      <c r="DJ417" s="4">
        <v>0.29550500000000002</v>
      </c>
      <c r="DK417" s="4">
        <v>0.12488100000000001</v>
      </c>
      <c r="DL417" s="4">
        <v>26</v>
      </c>
      <c r="DM417" s="4">
        <v>32</v>
      </c>
      <c r="DN417" s="4">
        <v>39</v>
      </c>
      <c r="DO417" s="4">
        <v>52</v>
      </c>
      <c r="DP417" s="4">
        <v>58</v>
      </c>
      <c r="DQ417" s="4">
        <v>66</v>
      </c>
      <c r="DR417" s="4">
        <v>90</v>
      </c>
      <c r="DS417" s="4">
        <v>122</v>
      </c>
      <c r="DT417" s="4">
        <v>160</v>
      </c>
      <c r="DU417" s="4">
        <v>194</v>
      </c>
      <c r="DV417" s="4">
        <v>209.5</v>
      </c>
      <c r="DW417" s="4">
        <v>245</v>
      </c>
      <c r="DX417" s="4">
        <v>312</v>
      </c>
      <c r="DY417" s="4">
        <v>390</v>
      </c>
      <c r="DZ417" s="4">
        <v>608.00024399999995</v>
      </c>
      <c r="EA417" s="4">
        <v>94.345719000000003</v>
      </c>
      <c r="EB417" s="4">
        <v>76.417642000000001</v>
      </c>
      <c r="EC417" s="4">
        <v>137.15670399999999</v>
      </c>
      <c r="ED417" s="4">
        <v>584</v>
      </c>
      <c r="EE417" s="4">
        <v>849</v>
      </c>
      <c r="EF417" s="4">
        <v>85.621971000000002</v>
      </c>
      <c r="EG417" s="4">
        <v>100</v>
      </c>
      <c r="EH417" s="4">
        <v>62.196219999999997</v>
      </c>
      <c r="EI417" s="4">
        <v>99.819981999999996</v>
      </c>
      <c r="EJ417" s="4">
        <v>111.631664</v>
      </c>
      <c r="EK417" s="4">
        <v>179.15993499999999</v>
      </c>
      <c r="EL417" s="4">
        <v>530</v>
      </c>
      <c r="EM417" s="4">
        <v>619</v>
      </c>
      <c r="EN417" s="4">
        <v>691</v>
      </c>
      <c r="EO417" s="4">
        <v>1109</v>
      </c>
      <c r="EP417" s="4">
        <v>619</v>
      </c>
      <c r="EQ417" s="4">
        <v>1111</v>
      </c>
      <c r="ER417" s="4">
        <v>55.670639999999999</v>
      </c>
    </row>
    <row r="418" spans="1:148" x14ac:dyDescent="0.2">
      <c r="A418" s="1">
        <v>2025</v>
      </c>
      <c r="B418" s="1" t="str">
        <f t="shared" si="12"/>
        <v>NE</v>
      </c>
      <c r="C418" s="1" t="s">
        <v>1734</v>
      </c>
      <c r="D418" s="1" t="s">
        <v>1734</v>
      </c>
      <c r="E418" s="1">
        <v>25104</v>
      </c>
      <c r="F418" s="1" t="s">
        <v>2225</v>
      </c>
      <c r="G418" s="1" t="s">
        <v>2029</v>
      </c>
      <c r="H418" s="1" t="s">
        <v>1969</v>
      </c>
      <c r="I418" s="1">
        <v>41.76</v>
      </c>
      <c r="J418" s="1">
        <v>41.76</v>
      </c>
      <c r="K418" s="1" t="s">
        <v>286</v>
      </c>
      <c r="L418" s="1">
        <v>1</v>
      </c>
      <c r="M418" s="3">
        <v>2016</v>
      </c>
      <c r="O418" s="1">
        <v>2</v>
      </c>
      <c r="P418" s="1" t="str">
        <f t="shared" si="13"/>
        <v>Talhadia</v>
      </c>
      <c r="Q418" s="2">
        <v>42566</v>
      </c>
      <c r="R418" s="1" t="s">
        <v>306</v>
      </c>
      <c r="S418" s="1" t="s">
        <v>160</v>
      </c>
      <c r="T418" s="1" t="s">
        <v>2268</v>
      </c>
      <c r="U418" s="1" t="s">
        <v>170</v>
      </c>
      <c r="V418" s="1" t="s">
        <v>152</v>
      </c>
      <c r="W418" s="2">
        <v>45762</v>
      </c>
      <c r="X418" s="1" t="s">
        <v>2223</v>
      </c>
      <c r="Y418" s="1">
        <v>67.61</v>
      </c>
      <c r="Z418" s="1">
        <v>21.4</v>
      </c>
      <c r="AA418" s="1">
        <v>20</v>
      </c>
      <c r="AB418" s="1">
        <v>16</v>
      </c>
      <c r="AC418" s="1">
        <v>1</v>
      </c>
      <c r="AD418" s="3">
        <v>342.4</v>
      </c>
      <c r="AE418" s="3">
        <v>321.70174915892397</v>
      </c>
      <c r="AF418" s="2">
        <v>45762</v>
      </c>
      <c r="AG418" s="1">
        <v>105</v>
      </c>
      <c r="AH418" s="3">
        <v>8.7501711156742008</v>
      </c>
      <c r="AI418" s="4">
        <v>22.099375074843898</v>
      </c>
      <c r="AJ418" s="4">
        <v>16</v>
      </c>
      <c r="AK418" s="4">
        <v>21.272919714060802</v>
      </c>
      <c r="AL418" s="1">
        <v>32</v>
      </c>
      <c r="AM418" s="5">
        <v>994.71016504146098</v>
      </c>
      <c r="AN418" s="4">
        <v>222.75292429965901</v>
      </c>
      <c r="AO418" s="4">
        <v>0.22393751680458099</v>
      </c>
      <c r="AP418" s="1" t="s">
        <v>160</v>
      </c>
      <c r="AQ418" s="1" t="s">
        <v>254</v>
      </c>
      <c r="AR418" s="1" t="s">
        <v>796</v>
      </c>
      <c r="AS418" s="1">
        <v>9.99</v>
      </c>
      <c r="AT418" s="4">
        <v>0.99371545487641955</v>
      </c>
      <c r="AU418" s="1" t="s">
        <v>1733</v>
      </c>
      <c r="AV418" s="1" t="s">
        <v>1734</v>
      </c>
      <c r="AW418" s="1">
        <v>1285</v>
      </c>
      <c r="AX418" s="1">
        <v>728</v>
      </c>
      <c r="AY418" s="1">
        <v>407</v>
      </c>
      <c r="AZ418" s="1">
        <v>123</v>
      </c>
      <c r="BA418" s="1">
        <v>23</v>
      </c>
      <c r="BB418" s="1">
        <v>4</v>
      </c>
      <c r="BC418" s="1">
        <v>0</v>
      </c>
      <c r="BD418" s="1">
        <v>0</v>
      </c>
      <c r="BE418" s="1">
        <v>0</v>
      </c>
      <c r="BF418" s="1">
        <v>0</v>
      </c>
      <c r="BG418" s="1">
        <v>0</v>
      </c>
      <c r="BH418" s="4">
        <v>0</v>
      </c>
      <c r="BI418" s="4">
        <v>29.601998999999999</v>
      </c>
      <c r="BJ418" s="4">
        <v>14.340425</v>
      </c>
      <c r="BK418" s="4">
        <v>0</v>
      </c>
      <c r="BL418" s="4">
        <v>11.634143999999999</v>
      </c>
      <c r="BM418" s="4">
        <v>135.35331500000001</v>
      </c>
      <c r="BN418" s="4">
        <v>0.81128299999999998</v>
      </c>
      <c r="BO418" s="4">
        <v>24.803000000000001</v>
      </c>
      <c r="BP418" s="4">
        <v>-0.28866399999999998</v>
      </c>
      <c r="BQ418" s="4">
        <v>1.233997</v>
      </c>
      <c r="BR418" s="4">
        <v>11.065215999999999</v>
      </c>
      <c r="BS418" s="4">
        <v>5.806</v>
      </c>
      <c r="BT418" s="4">
        <v>20.847000000000001</v>
      </c>
      <c r="BU418" s="4">
        <v>14.340425</v>
      </c>
      <c r="BV418" s="4">
        <v>6.2523299999999997</v>
      </c>
      <c r="BW418" s="4">
        <v>-0.53803900000000004</v>
      </c>
      <c r="BX418" s="4">
        <v>-1.0631600000000001</v>
      </c>
      <c r="BY418" s="4">
        <v>0.43599300000000002</v>
      </c>
      <c r="BZ418" s="4">
        <v>-8.6054000000000005E-2</v>
      </c>
      <c r="CA418" s="4">
        <v>-0.170042</v>
      </c>
      <c r="CB418" s="4">
        <v>1E-3</v>
      </c>
      <c r="CC418" s="4">
        <v>7.0000000000000001E-3</v>
      </c>
      <c r="CD418" s="4">
        <v>1.0999999999999999E-2</v>
      </c>
      <c r="CE418" s="4">
        <v>2.8000000000000001E-2</v>
      </c>
      <c r="CF418" s="4">
        <v>4.4999999999999998E-2</v>
      </c>
      <c r="CG418" s="4">
        <v>6.4000000000000001E-2</v>
      </c>
      <c r="CH418" s="4">
        <v>10.993999000000001</v>
      </c>
      <c r="CI418" s="4">
        <v>20.847000000000001</v>
      </c>
      <c r="CJ418" s="4">
        <v>23.265799999999999</v>
      </c>
      <c r="CK418" s="4">
        <v>24.479799</v>
      </c>
      <c r="CL418" s="4">
        <v>24.847999999999999</v>
      </c>
      <c r="CM418" s="4">
        <v>25.204401000000001</v>
      </c>
      <c r="CN418" s="4">
        <v>26.160800999999999</v>
      </c>
      <c r="CO418" s="4">
        <v>27.244199999999999</v>
      </c>
      <c r="CP418" s="4">
        <v>28.781480999999999</v>
      </c>
      <c r="CQ418" s="4">
        <v>0.48444100000000001</v>
      </c>
      <c r="CR418" s="4">
        <v>18.463363000000001</v>
      </c>
      <c r="CS418" s="4">
        <v>20.257828</v>
      </c>
      <c r="CT418" s="1">
        <v>20</v>
      </c>
      <c r="CU418" s="1">
        <v>693</v>
      </c>
      <c r="CV418" s="4">
        <v>178.74552499999999</v>
      </c>
      <c r="CW418" s="4">
        <v>41.365079000000001</v>
      </c>
      <c r="CX418" s="4">
        <v>139.78214</v>
      </c>
      <c r="CY418" s="4">
        <v>19539.046559999999</v>
      </c>
      <c r="CZ418" s="4">
        <v>0.78201799999999999</v>
      </c>
      <c r="DA418" s="4">
        <v>171</v>
      </c>
      <c r="DB418" s="4">
        <v>1.3314379999999999</v>
      </c>
      <c r="DC418" s="4">
        <v>4.3423879999999997</v>
      </c>
      <c r="DD418" s="4">
        <v>108.214051</v>
      </c>
      <c r="DE418" s="4">
        <v>178.74552499999999</v>
      </c>
      <c r="DF418" s="4">
        <v>73.638942</v>
      </c>
      <c r="DG418" s="4">
        <v>21.384886000000002</v>
      </c>
      <c r="DH418" s="4">
        <v>9.4055529999999994</v>
      </c>
      <c r="DI418" s="4">
        <v>0.41197600000000001</v>
      </c>
      <c r="DJ418" s="4">
        <v>0.29040199999999999</v>
      </c>
      <c r="DK418" s="4">
        <v>0.12772500000000001</v>
      </c>
      <c r="DL418" s="4">
        <v>28.68</v>
      </c>
      <c r="DM418" s="4">
        <v>36</v>
      </c>
      <c r="DN418" s="4">
        <v>44</v>
      </c>
      <c r="DO418" s="4">
        <v>60</v>
      </c>
      <c r="DP418" s="4">
        <v>71</v>
      </c>
      <c r="DQ418" s="4">
        <v>83</v>
      </c>
      <c r="DR418" s="4">
        <v>109</v>
      </c>
      <c r="DS418" s="4">
        <v>138</v>
      </c>
      <c r="DT418" s="4">
        <v>176.400024</v>
      </c>
      <c r="DU418" s="4">
        <v>217.79998800000001</v>
      </c>
      <c r="DV418" s="4">
        <v>242</v>
      </c>
      <c r="DW418" s="4">
        <v>270.199951</v>
      </c>
      <c r="DX418" s="4">
        <v>365.79992700000003</v>
      </c>
      <c r="DY418" s="4">
        <v>517</v>
      </c>
      <c r="DZ418" s="4">
        <v>607.160034</v>
      </c>
      <c r="EA418" s="4">
        <v>86.126373999999998</v>
      </c>
      <c r="EB418" s="4">
        <v>62.023345999999997</v>
      </c>
      <c r="EC418" s="4">
        <v>109.478022</v>
      </c>
      <c r="ED418" s="4">
        <v>627</v>
      </c>
      <c r="EE418" s="4">
        <v>797</v>
      </c>
      <c r="EF418" s="4">
        <v>83.791208999999995</v>
      </c>
      <c r="EG418" s="4">
        <v>100</v>
      </c>
      <c r="EH418" s="4">
        <v>57.976654000000003</v>
      </c>
      <c r="EI418" s="4">
        <v>99.533073999999999</v>
      </c>
      <c r="EJ418" s="4">
        <v>102.335165</v>
      </c>
      <c r="EK418" s="4">
        <v>175.686813</v>
      </c>
      <c r="EL418" s="4">
        <v>610</v>
      </c>
      <c r="EM418" s="4">
        <v>728</v>
      </c>
      <c r="EN418" s="4">
        <v>745</v>
      </c>
      <c r="EO418" s="4">
        <v>1279</v>
      </c>
      <c r="EP418" s="4">
        <v>728</v>
      </c>
      <c r="EQ418" s="4">
        <v>1285</v>
      </c>
      <c r="ER418" s="4">
        <v>48.822938999999998</v>
      </c>
    </row>
    <row r="419" spans="1:148" x14ac:dyDescent="0.2">
      <c r="A419" s="1">
        <v>2025</v>
      </c>
      <c r="B419" s="1" t="str">
        <f t="shared" si="12"/>
        <v>NE</v>
      </c>
      <c r="C419" s="1" t="s">
        <v>1736</v>
      </c>
      <c r="D419" s="1" t="s">
        <v>1736</v>
      </c>
      <c r="E419" s="1">
        <v>31024</v>
      </c>
      <c r="F419" s="1" t="s">
        <v>2225</v>
      </c>
      <c r="G419" s="1" t="s">
        <v>2029</v>
      </c>
      <c r="H419" s="1" t="s">
        <v>1969</v>
      </c>
      <c r="I419" s="1">
        <v>41.76</v>
      </c>
      <c r="J419" s="1">
        <v>41.76</v>
      </c>
      <c r="K419" s="1" t="s">
        <v>286</v>
      </c>
      <c r="L419" s="1">
        <v>1</v>
      </c>
      <c r="M419" s="3">
        <v>2016</v>
      </c>
      <c r="O419" s="1">
        <v>2</v>
      </c>
      <c r="P419" s="1" t="str">
        <f t="shared" si="13"/>
        <v>Talhadia</v>
      </c>
      <c r="Q419" s="2">
        <v>42566</v>
      </c>
      <c r="R419" s="1" t="s">
        <v>306</v>
      </c>
      <c r="S419" s="1" t="s">
        <v>160</v>
      </c>
      <c r="T419" s="1" t="s">
        <v>2268</v>
      </c>
      <c r="U419" s="1" t="s">
        <v>170</v>
      </c>
      <c r="V419" s="1" t="s">
        <v>152</v>
      </c>
      <c r="W419" s="2">
        <v>44798</v>
      </c>
      <c r="X419" s="1" t="s">
        <v>2223</v>
      </c>
      <c r="Y419" s="1">
        <v>67.61</v>
      </c>
      <c r="Z419" s="1">
        <v>20.2</v>
      </c>
      <c r="AA419" s="1">
        <v>21</v>
      </c>
      <c r="AB419" s="1">
        <v>15.6</v>
      </c>
      <c r="AC419" s="1">
        <v>13</v>
      </c>
      <c r="AD419" s="3">
        <v>315.12</v>
      </c>
      <c r="AE419" s="3">
        <v>286.649796842694</v>
      </c>
      <c r="AF419" s="2">
        <v>45762</v>
      </c>
      <c r="AG419" s="1">
        <v>105</v>
      </c>
      <c r="AH419" s="3">
        <v>8.7501711156742008</v>
      </c>
      <c r="AI419" s="4">
        <v>23.263979489223502</v>
      </c>
      <c r="AJ419" s="4">
        <v>12.5175</v>
      </c>
      <c r="AK419" s="4">
        <v>17.852319772805501</v>
      </c>
      <c r="AL419" s="1">
        <v>40</v>
      </c>
      <c r="AM419" s="5">
        <v>1395.4309558416001</v>
      </c>
      <c r="AN419" s="4">
        <v>197.07051216905001</v>
      </c>
      <c r="AO419" s="4">
        <v>0.14122555569236001</v>
      </c>
      <c r="AP419" s="1" t="s">
        <v>160</v>
      </c>
      <c r="AQ419" s="1" t="s">
        <v>254</v>
      </c>
      <c r="AR419" s="1" t="s">
        <v>796</v>
      </c>
      <c r="AS419" s="1">
        <v>9.99</v>
      </c>
      <c r="AT419" s="4">
        <v>1.3940355248857585</v>
      </c>
      <c r="AU419" s="1" t="s">
        <v>1735</v>
      </c>
      <c r="AV419" s="1" t="s">
        <v>1736</v>
      </c>
      <c r="AW419" s="1">
        <v>2149</v>
      </c>
      <c r="AX419" s="1">
        <v>1197</v>
      </c>
      <c r="AY419" s="1">
        <v>748</v>
      </c>
      <c r="AZ419" s="1">
        <v>179</v>
      </c>
      <c r="BA419" s="1">
        <v>25</v>
      </c>
      <c r="BB419" s="1">
        <v>0</v>
      </c>
      <c r="BC419" s="1">
        <v>0</v>
      </c>
      <c r="BD419" s="1">
        <v>0</v>
      </c>
      <c r="BE419" s="1">
        <v>0</v>
      </c>
      <c r="BF419" s="1">
        <v>0</v>
      </c>
      <c r="BG419" s="1">
        <v>0</v>
      </c>
      <c r="BH419" s="4">
        <v>0</v>
      </c>
      <c r="BI419" s="4">
        <v>27.815999999999999</v>
      </c>
      <c r="BJ419" s="4">
        <v>10.510007999999999</v>
      </c>
      <c r="BK419" s="4">
        <v>0</v>
      </c>
      <c r="BL419" s="4">
        <v>9.7560830000000003</v>
      </c>
      <c r="BM419" s="4">
        <v>95.181151</v>
      </c>
      <c r="BN419" s="4">
        <v>0.92826600000000004</v>
      </c>
      <c r="BO419" s="4">
        <v>19.539000000000001</v>
      </c>
      <c r="BP419" s="4">
        <v>0.16036600000000001</v>
      </c>
      <c r="BQ419" s="4">
        <v>1.2902009999999999</v>
      </c>
      <c r="BR419" s="4">
        <v>9.2816600000000005</v>
      </c>
      <c r="BS419" s="4">
        <v>9.5939999999999994</v>
      </c>
      <c r="BT419" s="4">
        <v>10.069000000000001</v>
      </c>
      <c r="BU419" s="4">
        <v>10.510007999999999</v>
      </c>
      <c r="BV419" s="4">
        <v>5.3852460000000004</v>
      </c>
      <c r="BW419" s="4">
        <v>0.53111900000000001</v>
      </c>
      <c r="BX419" s="4">
        <v>-0.76402800000000004</v>
      </c>
      <c r="BY419" s="4">
        <v>0.51239199999999996</v>
      </c>
      <c r="BZ419" s="4">
        <v>9.8625000000000004E-2</v>
      </c>
      <c r="CA419" s="4">
        <v>-0.141874</v>
      </c>
      <c r="CB419" s="4">
        <v>3.0000000000000001E-3</v>
      </c>
      <c r="CC419" s="4">
        <v>1.4E-2</v>
      </c>
      <c r="CD419" s="4">
        <v>3.5000000000000003E-2</v>
      </c>
      <c r="CE419" s="4">
        <v>0.25459999999999999</v>
      </c>
      <c r="CF419" s="4">
        <v>0.68400000000000005</v>
      </c>
      <c r="CG419" s="4">
        <v>0.97</v>
      </c>
      <c r="CH419" s="4">
        <v>1.6317999999999999</v>
      </c>
      <c r="CI419" s="4">
        <v>10.069000000000001</v>
      </c>
      <c r="CJ419" s="4">
        <v>16.410399999999999</v>
      </c>
      <c r="CK419" s="4">
        <v>18.9862</v>
      </c>
      <c r="CL419" s="4">
        <v>20.222999999999999</v>
      </c>
      <c r="CM419" s="4">
        <v>21.5198</v>
      </c>
      <c r="CN419" s="4">
        <v>22.940199</v>
      </c>
      <c r="CO419" s="4">
        <v>24.613997999999999</v>
      </c>
      <c r="CP419" s="4">
        <v>25.898001000000001</v>
      </c>
      <c r="CQ419" s="4">
        <v>0.37784000000000001</v>
      </c>
      <c r="CR419" s="4">
        <v>14.338659</v>
      </c>
      <c r="CS419" s="4">
        <v>16.273235</v>
      </c>
      <c r="CT419" s="1">
        <v>22</v>
      </c>
      <c r="CU419" s="1">
        <v>546</v>
      </c>
      <c r="CV419" s="4">
        <v>145.08515600000001</v>
      </c>
      <c r="CW419" s="4">
        <v>30.317460000000001</v>
      </c>
      <c r="CX419" s="4">
        <v>106.045705</v>
      </c>
      <c r="CY419" s="4">
        <v>11245.69154</v>
      </c>
      <c r="CZ419" s="4">
        <v>0.73092000000000001</v>
      </c>
      <c r="DA419" s="4">
        <v>137</v>
      </c>
      <c r="DB419" s="4">
        <v>1.1768289999999999</v>
      </c>
      <c r="DC419" s="4">
        <v>3.7867150000000001</v>
      </c>
      <c r="DD419" s="4">
        <v>84.580954000000006</v>
      </c>
      <c r="DE419" s="4">
        <v>145.08515600000001</v>
      </c>
      <c r="DF419" s="4">
        <v>56.748302000000002</v>
      </c>
      <c r="DG419" s="4">
        <v>15.637924</v>
      </c>
      <c r="DH419" s="4">
        <v>6.0173579999999998</v>
      </c>
      <c r="DI419" s="4">
        <v>0.39113799999999999</v>
      </c>
      <c r="DJ419" s="4">
        <v>0.27556599999999998</v>
      </c>
      <c r="DK419" s="4">
        <v>0.10603600000000001</v>
      </c>
      <c r="DL419" s="4">
        <v>27</v>
      </c>
      <c r="DM419" s="4">
        <v>34</v>
      </c>
      <c r="DN419" s="4">
        <v>39.800002999999997</v>
      </c>
      <c r="DO419" s="4">
        <v>54</v>
      </c>
      <c r="DP419" s="4">
        <v>61</v>
      </c>
      <c r="DQ419" s="4">
        <v>71</v>
      </c>
      <c r="DR419" s="4">
        <v>90</v>
      </c>
      <c r="DS419" s="4">
        <v>113</v>
      </c>
      <c r="DT419" s="4">
        <v>140</v>
      </c>
      <c r="DU419" s="4">
        <v>182</v>
      </c>
      <c r="DV419" s="4">
        <v>198</v>
      </c>
      <c r="DW419" s="4">
        <v>219</v>
      </c>
      <c r="DX419" s="4">
        <v>305</v>
      </c>
      <c r="DY419" s="4">
        <v>374.59997600000003</v>
      </c>
      <c r="DZ419" s="4">
        <v>454</v>
      </c>
      <c r="EA419" s="4">
        <v>69.423558999999997</v>
      </c>
      <c r="EB419" s="4">
        <v>54.443927000000002</v>
      </c>
      <c r="EC419" s="4">
        <v>97.744360999999998</v>
      </c>
      <c r="ED419" s="4">
        <v>831</v>
      </c>
      <c r="EE419" s="4">
        <v>1170</v>
      </c>
      <c r="EF419" s="4">
        <v>65.162907000000004</v>
      </c>
      <c r="EG419" s="4">
        <v>100</v>
      </c>
      <c r="EH419" s="4">
        <v>49.371800999999998</v>
      </c>
      <c r="EI419" s="4">
        <v>99.953467000000003</v>
      </c>
      <c r="EJ419" s="4">
        <v>88.638261999999997</v>
      </c>
      <c r="EK419" s="4">
        <v>179.448622</v>
      </c>
      <c r="EL419" s="4">
        <v>780</v>
      </c>
      <c r="EM419" s="4">
        <v>1197</v>
      </c>
      <c r="EN419" s="4">
        <v>1061</v>
      </c>
      <c r="EO419" s="4">
        <v>2148</v>
      </c>
      <c r="EP419" s="4">
        <v>1197</v>
      </c>
      <c r="EQ419" s="4">
        <v>2149</v>
      </c>
      <c r="ER419" s="4">
        <v>39.556762999999997</v>
      </c>
    </row>
    <row r="420" spans="1:148" x14ac:dyDescent="0.2">
      <c r="A420" s="1">
        <v>2025</v>
      </c>
      <c r="B420" s="1" t="str">
        <f t="shared" si="12"/>
        <v>NE</v>
      </c>
      <c r="C420" s="1" t="s">
        <v>1738</v>
      </c>
      <c r="D420" s="1" t="s">
        <v>1738</v>
      </c>
      <c r="E420" s="1">
        <v>28315</v>
      </c>
      <c r="F420" s="1" t="s">
        <v>2226</v>
      </c>
      <c r="G420" s="1" t="s">
        <v>2029</v>
      </c>
      <c r="H420" s="1" t="s">
        <v>1970</v>
      </c>
      <c r="I420" s="1">
        <v>48.82</v>
      </c>
      <c r="J420" s="1">
        <v>48.82</v>
      </c>
      <c r="K420" s="1" t="s">
        <v>286</v>
      </c>
      <c r="L420" s="1">
        <v>1</v>
      </c>
      <c r="M420" s="3">
        <v>2021</v>
      </c>
      <c r="O420" s="1">
        <v>2</v>
      </c>
      <c r="P420" s="1" t="str">
        <f t="shared" si="13"/>
        <v>Talhadia</v>
      </c>
      <c r="Q420" s="2">
        <v>44532</v>
      </c>
      <c r="R420" s="1" t="s">
        <v>169</v>
      </c>
      <c r="S420" s="1" t="s">
        <v>163</v>
      </c>
      <c r="T420" s="1" t="s">
        <v>2268</v>
      </c>
      <c r="U420" s="1" t="s">
        <v>170</v>
      </c>
      <c r="V420" s="1" t="s">
        <v>152</v>
      </c>
      <c r="W420" s="2">
        <v>45762</v>
      </c>
      <c r="X420" s="1" t="s">
        <v>2223</v>
      </c>
      <c r="Y420" s="1">
        <v>75.69</v>
      </c>
      <c r="Z420" s="1">
        <v>19.100000000000001</v>
      </c>
      <c r="AA420" s="1">
        <v>9</v>
      </c>
      <c r="AB420" s="1">
        <v>15.4</v>
      </c>
      <c r="AC420" s="1">
        <v>5</v>
      </c>
      <c r="AD420" s="3">
        <v>294.14</v>
      </c>
      <c r="AE420" s="3">
        <v>289.413137335123</v>
      </c>
      <c r="AF420" s="2">
        <v>45762</v>
      </c>
      <c r="AG420" s="1">
        <v>40</v>
      </c>
      <c r="AH420" s="3">
        <v>3.3675564681724799</v>
      </c>
      <c r="AI420" s="4">
        <v>18.7130622108292</v>
      </c>
      <c r="AJ420" s="4">
        <v>14.2758620689655</v>
      </c>
      <c r="AK420" s="4">
        <v>16.6732407002999</v>
      </c>
      <c r="AL420" s="1">
        <v>29</v>
      </c>
      <c r="AM420" s="5">
        <v>1002.02776788324</v>
      </c>
      <c r="AN420" s="4">
        <v>138.88578313802299</v>
      </c>
      <c r="AO420" s="4">
        <v>0.138604724928347</v>
      </c>
      <c r="AP420" s="1" t="s">
        <v>163</v>
      </c>
      <c r="AQ420" s="1" t="s">
        <v>254</v>
      </c>
      <c r="AR420" s="1" t="s">
        <v>796</v>
      </c>
      <c r="AS420" s="1">
        <v>9</v>
      </c>
      <c r="AT420" s="4">
        <v>0.90182499109491598</v>
      </c>
      <c r="AU420" s="1" t="s">
        <v>1737</v>
      </c>
      <c r="AV420" s="1" t="s">
        <v>1738</v>
      </c>
      <c r="AW420" s="1">
        <v>1073</v>
      </c>
      <c r="AX420" s="1">
        <v>618</v>
      </c>
      <c r="AY420" s="1">
        <v>374</v>
      </c>
      <c r="AZ420" s="1">
        <v>72</v>
      </c>
      <c r="BA420" s="1">
        <v>9</v>
      </c>
      <c r="BB420" s="1">
        <v>0</v>
      </c>
      <c r="BC420" s="1">
        <v>0</v>
      </c>
      <c r="BD420" s="1">
        <v>0</v>
      </c>
      <c r="BE420" s="1">
        <v>0</v>
      </c>
      <c r="BF420" s="1">
        <v>0</v>
      </c>
      <c r="BG420" s="1">
        <v>0</v>
      </c>
      <c r="BH420" s="4">
        <v>0</v>
      </c>
      <c r="BI420" s="4">
        <v>22.066998999999999</v>
      </c>
      <c r="BJ420" s="4">
        <v>12.947668999999999</v>
      </c>
      <c r="BK420" s="4">
        <v>0</v>
      </c>
      <c r="BL420" s="4">
        <v>8.0568609999999996</v>
      </c>
      <c r="BM420" s="4">
        <v>64.913003000000003</v>
      </c>
      <c r="BN420" s="4">
        <v>0.62226300000000001</v>
      </c>
      <c r="BO420" s="4">
        <v>18.643000000000001</v>
      </c>
      <c r="BP420" s="4">
        <v>-0.85166600000000003</v>
      </c>
      <c r="BQ420" s="4">
        <v>1.93032</v>
      </c>
      <c r="BR420" s="4">
        <v>7.0985769999999997</v>
      </c>
      <c r="BS420" s="4">
        <v>2.2320000000000002</v>
      </c>
      <c r="BT420" s="4">
        <v>17.184999000000001</v>
      </c>
      <c r="BU420" s="4">
        <v>12.947668999999999</v>
      </c>
      <c r="BV420" s="4">
        <v>4.1398679999999999</v>
      </c>
      <c r="BW420" s="4">
        <v>-1.159395</v>
      </c>
      <c r="BX420" s="4">
        <v>-8.5934999999999997E-2</v>
      </c>
      <c r="BY420" s="4">
        <v>0.31973800000000002</v>
      </c>
      <c r="BZ420" s="4">
        <v>-0.28005600000000003</v>
      </c>
      <c r="CA420" s="4">
        <v>-2.0757999999999999E-2</v>
      </c>
      <c r="CB420" s="4">
        <v>1E-3</v>
      </c>
      <c r="CC420" s="4">
        <v>7.0000000000000001E-3</v>
      </c>
      <c r="CD420" s="4">
        <v>1.32E-2</v>
      </c>
      <c r="CE420" s="4">
        <v>3.7400000000000003E-2</v>
      </c>
      <c r="CF420" s="4">
        <v>7.2999999999999995E-2</v>
      </c>
      <c r="CG420" s="4">
        <v>11.884601</v>
      </c>
      <c r="CH420" s="4">
        <v>16.143999000000001</v>
      </c>
      <c r="CI420" s="4">
        <v>17.184999000000001</v>
      </c>
      <c r="CJ420" s="4">
        <v>17.758199999999999</v>
      </c>
      <c r="CK420" s="4">
        <v>18.365801000000001</v>
      </c>
      <c r="CL420" s="4">
        <v>18.716000000000001</v>
      </c>
      <c r="CM420" s="4">
        <v>19.017799</v>
      </c>
      <c r="CN420" s="4">
        <v>20.031399</v>
      </c>
      <c r="CO420" s="4">
        <v>20.626601999999998</v>
      </c>
      <c r="CP420" s="4">
        <v>21.263641</v>
      </c>
      <c r="CQ420" s="4">
        <v>0.58674400000000004</v>
      </c>
      <c r="CR420" s="4">
        <v>15.247775000000001</v>
      </c>
      <c r="CS420" s="4">
        <v>16.191241000000002</v>
      </c>
      <c r="CT420" s="1">
        <v>23</v>
      </c>
      <c r="CU420" s="1">
        <v>635</v>
      </c>
      <c r="CV420" s="4">
        <v>137.20037300000001</v>
      </c>
      <c r="CW420" s="4">
        <v>32.714286000000001</v>
      </c>
      <c r="CX420" s="4">
        <v>110.55874</v>
      </c>
      <c r="CY420" s="4">
        <v>12223.235000000001</v>
      </c>
      <c r="CZ420" s="4">
        <v>0.80581999999999998</v>
      </c>
      <c r="DA420" s="4">
        <v>106</v>
      </c>
      <c r="DB420" s="4">
        <v>2.0963880000000001</v>
      </c>
      <c r="DC420" s="4">
        <v>7.948035</v>
      </c>
      <c r="DD420" s="4">
        <v>76.663663</v>
      </c>
      <c r="DE420" s="4">
        <v>137.20037300000001</v>
      </c>
      <c r="DF420" s="4">
        <v>53.617513000000002</v>
      </c>
      <c r="DG420" s="4">
        <v>18.715595</v>
      </c>
      <c r="DH420" s="4">
        <v>11.703569999999999</v>
      </c>
      <c r="DI420" s="4">
        <v>0.39079700000000001</v>
      </c>
      <c r="DJ420" s="4">
        <v>0.34905799999999998</v>
      </c>
      <c r="DK420" s="4">
        <v>0.218279</v>
      </c>
      <c r="DL420" s="4">
        <v>26.720001</v>
      </c>
      <c r="DM420" s="4">
        <v>34.599997999999999</v>
      </c>
      <c r="DN420" s="4">
        <v>41</v>
      </c>
      <c r="DO420" s="4">
        <v>55</v>
      </c>
      <c r="DP420" s="4">
        <v>63</v>
      </c>
      <c r="DQ420" s="4">
        <v>70</v>
      </c>
      <c r="DR420" s="4">
        <v>89</v>
      </c>
      <c r="DS420" s="4">
        <v>108</v>
      </c>
      <c r="DT420" s="4">
        <v>130</v>
      </c>
      <c r="DU420" s="4">
        <v>155</v>
      </c>
      <c r="DV420" s="4">
        <v>169</v>
      </c>
      <c r="DW420" s="4">
        <v>186</v>
      </c>
      <c r="DX420" s="4">
        <v>253.79998800000001</v>
      </c>
      <c r="DY420" s="4">
        <v>396.800049</v>
      </c>
      <c r="DZ420" s="4">
        <v>569.84008800000004</v>
      </c>
      <c r="EA420" s="4">
        <v>91.747573000000003</v>
      </c>
      <c r="EB420" s="4">
        <v>73.811743000000007</v>
      </c>
      <c r="EC420" s="4">
        <v>128.15534</v>
      </c>
      <c r="ED420" s="4">
        <v>567</v>
      </c>
      <c r="EE420" s="4">
        <v>792</v>
      </c>
      <c r="EF420" s="4">
        <v>87.540452999999999</v>
      </c>
      <c r="EG420" s="4">
        <v>99.514562999999995</v>
      </c>
      <c r="EH420" s="4">
        <v>69.151910999999998</v>
      </c>
      <c r="EI420" s="4">
        <v>99.534017000000006</v>
      </c>
      <c r="EJ420" s="4">
        <v>120.064725</v>
      </c>
      <c r="EK420" s="4">
        <v>172.81553400000001</v>
      </c>
      <c r="EL420" s="4">
        <v>541</v>
      </c>
      <c r="EM420" s="4">
        <v>615</v>
      </c>
      <c r="EN420" s="4">
        <v>742</v>
      </c>
      <c r="EO420" s="4">
        <v>1068</v>
      </c>
      <c r="EP420" s="4">
        <v>618</v>
      </c>
      <c r="EQ420" s="4">
        <v>1073</v>
      </c>
      <c r="ER420" s="4">
        <v>59.872796999999998</v>
      </c>
    </row>
    <row r="421" spans="1:148" x14ac:dyDescent="0.2">
      <c r="A421" s="1">
        <v>2025</v>
      </c>
      <c r="B421" s="1" t="str">
        <f t="shared" si="12"/>
        <v>NE</v>
      </c>
      <c r="C421" s="1" t="s">
        <v>1740</v>
      </c>
      <c r="D421" s="1" t="s">
        <v>1740</v>
      </c>
      <c r="E421" s="1">
        <v>28316</v>
      </c>
      <c r="F421" s="1" t="s">
        <v>2226</v>
      </c>
      <c r="G421" s="1" t="s">
        <v>2029</v>
      </c>
      <c r="H421" s="1" t="s">
        <v>1970</v>
      </c>
      <c r="I421" s="1">
        <v>48.82</v>
      </c>
      <c r="J421" s="1">
        <v>48.82</v>
      </c>
      <c r="K421" s="1" t="s">
        <v>286</v>
      </c>
      <c r="L421" s="1">
        <v>1</v>
      </c>
      <c r="M421" s="3">
        <v>2021</v>
      </c>
      <c r="O421" s="1">
        <v>2</v>
      </c>
      <c r="P421" s="1" t="str">
        <f t="shared" si="13"/>
        <v>Talhadia</v>
      </c>
      <c r="Q421" s="2">
        <v>44532</v>
      </c>
      <c r="R421" s="1" t="s">
        <v>169</v>
      </c>
      <c r="S421" s="1" t="s">
        <v>163</v>
      </c>
      <c r="T421" s="1" t="s">
        <v>2268</v>
      </c>
      <c r="U421" s="1" t="s">
        <v>170</v>
      </c>
      <c r="V421" s="1" t="s">
        <v>152</v>
      </c>
      <c r="W421" s="2">
        <v>44799</v>
      </c>
      <c r="X421" s="1" t="s">
        <v>2223</v>
      </c>
      <c r="Y421" s="1">
        <v>75.69</v>
      </c>
      <c r="Z421" s="1">
        <v>20</v>
      </c>
      <c r="AA421" s="1">
        <v>18</v>
      </c>
      <c r="AB421" s="1">
        <v>15.9</v>
      </c>
      <c r="AC421" s="1">
        <v>1</v>
      </c>
      <c r="AD421" s="3">
        <v>318</v>
      </c>
      <c r="AE421" s="3">
        <v>302.389909718414</v>
      </c>
      <c r="AF421" s="2">
        <v>45762</v>
      </c>
      <c r="AG421" s="1">
        <v>40</v>
      </c>
      <c r="AH421" s="3">
        <v>3.3675564681724799</v>
      </c>
      <c r="AI421" s="4">
        <v>20.600129950527801</v>
      </c>
      <c r="AJ421" s="4">
        <v>14.733333333333301</v>
      </c>
      <c r="AK421" s="4">
        <v>16.442589087743201</v>
      </c>
      <c r="AL421" s="1">
        <v>27</v>
      </c>
      <c r="AM421" s="5">
        <v>892.88693611312794</v>
      </c>
      <c r="AN421" s="4">
        <v>159.419996832663</v>
      </c>
      <c r="AO421" s="4">
        <v>0.17854443870199499</v>
      </c>
      <c r="AP421" s="1" t="s">
        <v>163</v>
      </c>
      <c r="AQ421" s="1" t="s">
        <v>254</v>
      </c>
      <c r="AR421" s="1" t="s">
        <v>796</v>
      </c>
      <c r="AS421" s="1">
        <v>9</v>
      </c>
      <c r="AT421" s="4">
        <v>0.80359824250181522</v>
      </c>
      <c r="AU421" s="1" t="s">
        <v>1739</v>
      </c>
      <c r="AV421" s="1" t="s">
        <v>1740</v>
      </c>
      <c r="AW421" s="1">
        <v>1180</v>
      </c>
      <c r="AX421" s="1">
        <v>736</v>
      </c>
      <c r="AY421" s="1">
        <v>359</v>
      </c>
      <c r="AZ421" s="1">
        <v>71</v>
      </c>
      <c r="BA421" s="1">
        <v>13</v>
      </c>
      <c r="BB421" s="1">
        <v>1</v>
      </c>
      <c r="BC421" s="1">
        <v>0</v>
      </c>
      <c r="BD421" s="1">
        <v>0</v>
      </c>
      <c r="BE421" s="1">
        <v>0</v>
      </c>
      <c r="BF421" s="1">
        <v>0</v>
      </c>
      <c r="BG421" s="1">
        <v>0</v>
      </c>
      <c r="BH421" s="4">
        <v>0</v>
      </c>
      <c r="BI421" s="4">
        <v>23.650998999999999</v>
      </c>
      <c r="BJ421" s="4">
        <v>14.166914</v>
      </c>
      <c r="BK421" s="4">
        <v>0</v>
      </c>
      <c r="BL421" s="4">
        <v>8.5241260000000008</v>
      </c>
      <c r="BM421" s="4">
        <v>72.660724999999999</v>
      </c>
      <c r="BN421" s="4">
        <v>0.60169300000000003</v>
      </c>
      <c r="BO421" s="4">
        <v>14.447749999999999</v>
      </c>
      <c r="BP421" s="4">
        <v>-0.86640899999999998</v>
      </c>
      <c r="BQ421" s="4">
        <v>2.0116390000000002</v>
      </c>
      <c r="BR421" s="4">
        <v>7.4219229999999996</v>
      </c>
      <c r="BS421" s="4">
        <v>2.78</v>
      </c>
      <c r="BT421" s="4">
        <v>18.419001000000002</v>
      </c>
      <c r="BU421" s="4">
        <v>14.166914</v>
      </c>
      <c r="BV421" s="4">
        <v>4.4295289999999996</v>
      </c>
      <c r="BW421" s="4">
        <v>-1.2539640000000001</v>
      </c>
      <c r="BX421" s="4">
        <v>-4.8825E-2</v>
      </c>
      <c r="BY421" s="4">
        <v>0.31266699999999997</v>
      </c>
      <c r="BZ421" s="4">
        <v>-0.28309200000000001</v>
      </c>
      <c r="CA421" s="4">
        <v>-1.1023E-2</v>
      </c>
      <c r="CB421" s="4">
        <v>2E-3</v>
      </c>
      <c r="CC421" s="4">
        <v>8.0000000000000002E-3</v>
      </c>
      <c r="CD421" s="4">
        <v>1.9E-2</v>
      </c>
      <c r="CE421" s="4">
        <v>7.8E-2</v>
      </c>
      <c r="CF421" s="4">
        <v>5.9450000000000003</v>
      </c>
      <c r="CG421" s="4">
        <v>13.554500000000001</v>
      </c>
      <c r="CH421" s="4">
        <v>17.041599000000001</v>
      </c>
      <c r="CI421" s="4">
        <v>18.419001000000002</v>
      </c>
      <c r="CJ421" s="4">
        <v>19.305401</v>
      </c>
      <c r="CK421" s="4">
        <v>20.016300000000001</v>
      </c>
      <c r="CL421" s="4">
        <v>20.392749999999999</v>
      </c>
      <c r="CM421" s="4">
        <v>20.832799999999999</v>
      </c>
      <c r="CN421" s="4">
        <v>21.774601000000001</v>
      </c>
      <c r="CO421" s="4">
        <v>22.281652000000001</v>
      </c>
      <c r="CP421" s="4">
        <v>23.152939</v>
      </c>
      <c r="CQ421" s="4">
        <v>0.59899899999999995</v>
      </c>
      <c r="CR421" s="4">
        <v>16.531804999999999</v>
      </c>
      <c r="CS421" s="4">
        <v>17.536155000000001</v>
      </c>
      <c r="CT421" s="1">
        <v>22</v>
      </c>
      <c r="CU421" s="1">
        <v>594</v>
      </c>
      <c r="CV421" s="4">
        <v>134.798305</v>
      </c>
      <c r="CW421" s="4">
        <v>31.079364999999999</v>
      </c>
      <c r="CX421" s="4">
        <v>116.67199599999999</v>
      </c>
      <c r="CY421" s="4">
        <v>13612.35454</v>
      </c>
      <c r="CZ421" s="4">
        <v>0.86553000000000002</v>
      </c>
      <c r="DA421" s="4">
        <v>102</v>
      </c>
      <c r="DB421" s="4">
        <v>1.9817899999999999</v>
      </c>
      <c r="DC421" s="4">
        <v>6.6546050000000001</v>
      </c>
      <c r="DD421" s="4">
        <v>80.952337999999997</v>
      </c>
      <c r="DE421" s="4">
        <v>134.798305</v>
      </c>
      <c r="DF421" s="4">
        <v>56.060341000000001</v>
      </c>
      <c r="DG421" s="4">
        <v>21.857192000000001</v>
      </c>
      <c r="DH421" s="4">
        <v>12.753716000000001</v>
      </c>
      <c r="DI421" s="4">
        <v>0.415883</v>
      </c>
      <c r="DJ421" s="4">
        <v>0.38988699999999998</v>
      </c>
      <c r="DK421" s="4">
        <v>0.22750000000000001</v>
      </c>
      <c r="DL421" s="4">
        <v>28</v>
      </c>
      <c r="DM421" s="4">
        <v>33</v>
      </c>
      <c r="DN421" s="4">
        <v>38</v>
      </c>
      <c r="DO421" s="4">
        <v>50</v>
      </c>
      <c r="DP421" s="4">
        <v>57</v>
      </c>
      <c r="DQ421" s="4">
        <v>64</v>
      </c>
      <c r="DR421" s="4">
        <v>81</v>
      </c>
      <c r="DS421" s="4">
        <v>101</v>
      </c>
      <c r="DT421" s="4">
        <v>121</v>
      </c>
      <c r="DU421" s="4">
        <v>145</v>
      </c>
      <c r="DV421" s="4">
        <v>159</v>
      </c>
      <c r="DW421" s="4">
        <v>176</v>
      </c>
      <c r="DX421" s="4">
        <v>295.09997600000003</v>
      </c>
      <c r="DY421" s="4">
        <v>428.25024400000001</v>
      </c>
      <c r="DZ421" s="4">
        <v>544.20996100000002</v>
      </c>
      <c r="EA421" s="4">
        <v>88.179348000000005</v>
      </c>
      <c r="EB421" s="4">
        <v>75.847458000000003</v>
      </c>
      <c r="EC421" s="4">
        <v>121.603261</v>
      </c>
      <c r="ED421" s="4">
        <v>649</v>
      </c>
      <c r="EE421" s="4">
        <v>895</v>
      </c>
      <c r="EF421" s="4">
        <v>82.201087000000001</v>
      </c>
      <c r="EG421" s="4">
        <v>99.592391000000006</v>
      </c>
      <c r="EH421" s="4">
        <v>69.237288000000007</v>
      </c>
      <c r="EI421" s="4">
        <v>99.576271000000006</v>
      </c>
      <c r="EJ421" s="4">
        <v>111.00543500000001</v>
      </c>
      <c r="EK421" s="4">
        <v>159.646739</v>
      </c>
      <c r="EL421" s="4">
        <v>605</v>
      </c>
      <c r="EM421" s="4">
        <v>733</v>
      </c>
      <c r="EN421" s="4">
        <v>817</v>
      </c>
      <c r="EO421" s="4">
        <v>1175</v>
      </c>
      <c r="EP421" s="4">
        <v>736</v>
      </c>
      <c r="EQ421" s="4">
        <v>1180</v>
      </c>
      <c r="ER421" s="4">
        <v>60.150278</v>
      </c>
    </row>
    <row r="422" spans="1:148" x14ac:dyDescent="0.2">
      <c r="A422" s="1">
        <v>2025</v>
      </c>
      <c r="B422" s="1" t="str">
        <f t="shared" si="12"/>
        <v>NE</v>
      </c>
      <c r="C422" s="1" t="s">
        <v>1742</v>
      </c>
      <c r="D422" s="1" t="s">
        <v>1742</v>
      </c>
      <c r="E422" s="1">
        <v>28317</v>
      </c>
      <c r="F422" s="1" t="s">
        <v>2226</v>
      </c>
      <c r="G422" s="1" t="s">
        <v>2029</v>
      </c>
      <c r="H422" s="1" t="s">
        <v>1970</v>
      </c>
      <c r="I422" s="1">
        <v>48.82</v>
      </c>
      <c r="J422" s="1">
        <v>48.82</v>
      </c>
      <c r="K422" s="1" t="s">
        <v>286</v>
      </c>
      <c r="L422" s="1">
        <v>1</v>
      </c>
      <c r="M422" s="3">
        <v>2021</v>
      </c>
      <c r="O422" s="1">
        <v>2</v>
      </c>
      <c r="P422" s="1" t="str">
        <f t="shared" si="13"/>
        <v>Talhadia</v>
      </c>
      <c r="Q422" s="2">
        <v>44532</v>
      </c>
      <c r="R422" s="1" t="s">
        <v>169</v>
      </c>
      <c r="S422" s="1" t="s">
        <v>163</v>
      </c>
      <c r="T422" s="1" t="s">
        <v>2268</v>
      </c>
      <c r="U422" s="1" t="s">
        <v>170</v>
      </c>
      <c r="V422" s="1" t="s">
        <v>152</v>
      </c>
      <c r="W422" s="2">
        <v>45762</v>
      </c>
      <c r="X422" s="1" t="s">
        <v>2223</v>
      </c>
      <c r="Y422" s="1">
        <v>75.69</v>
      </c>
      <c r="Z422" s="1">
        <v>20.5</v>
      </c>
      <c r="AA422" s="1">
        <v>13</v>
      </c>
      <c r="AB422" s="1">
        <v>15.3</v>
      </c>
      <c r="AC422" s="1">
        <v>2</v>
      </c>
      <c r="AD422" s="3">
        <v>313.64999999999998</v>
      </c>
      <c r="AE422" s="3">
        <v>305.42500075196301</v>
      </c>
      <c r="AF422" s="2">
        <v>45762</v>
      </c>
      <c r="AG422" s="1">
        <v>40</v>
      </c>
      <c r="AH422" s="3">
        <v>3.3675564681724799</v>
      </c>
      <c r="AI422" s="4">
        <v>20.125984102857601</v>
      </c>
      <c r="AJ422" s="4">
        <v>14.422222222222199</v>
      </c>
      <c r="AK422" s="4">
        <v>15.067198677347401</v>
      </c>
      <c r="AL422" s="1">
        <v>27</v>
      </c>
      <c r="AM422" s="5">
        <v>884.01407656627305</v>
      </c>
      <c r="AN422" s="4">
        <v>136.752047405724</v>
      </c>
      <c r="AO422" s="4">
        <v>0.15469442289527999</v>
      </c>
      <c r="AP422" s="1" t="s">
        <v>163</v>
      </c>
      <c r="AQ422" s="1" t="s">
        <v>254</v>
      </c>
      <c r="AR422" s="1" t="s">
        <v>796</v>
      </c>
      <c r="AS422" s="1">
        <v>9</v>
      </c>
      <c r="AT422" s="4">
        <v>0.79561266890964577</v>
      </c>
      <c r="AU422" s="1" t="s">
        <v>1741</v>
      </c>
      <c r="AV422" s="1" t="s">
        <v>1742</v>
      </c>
      <c r="AW422" s="1">
        <v>997</v>
      </c>
      <c r="AX422" s="1">
        <v>663</v>
      </c>
      <c r="AY422" s="1">
        <v>264</v>
      </c>
      <c r="AZ422" s="1">
        <v>64</v>
      </c>
      <c r="BA422" s="1">
        <v>6</v>
      </c>
      <c r="BB422" s="1">
        <v>0</v>
      </c>
      <c r="BC422" s="1">
        <v>0</v>
      </c>
      <c r="BD422" s="1">
        <v>0</v>
      </c>
      <c r="BE422" s="1">
        <v>0</v>
      </c>
      <c r="BF422" s="1">
        <v>0</v>
      </c>
      <c r="BG422" s="1">
        <v>0</v>
      </c>
      <c r="BH422" s="4">
        <v>0</v>
      </c>
      <c r="BI422" s="4">
        <v>23.693999999999999</v>
      </c>
      <c r="BJ422" s="4">
        <v>13.365857</v>
      </c>
      <c r="BK422" s="4">
        <v>0</v>
      </c>
      <c r="BL422" s="4">
        <v>8.8428989999999992</v>
      </c>
      <c r="BM422" s="4">
        <v>78.196859000000003</v>
      </c>
      <c r="BN422" s="4">
        <v>0.66160399999999997</v>
      </c>
      <c r="BO422" s="4">
        <v>20.170999999999999</v>
      </c>
      <c r="BP422" s="4">
        <v>-0.67705700000000002</v>
      </c>
      <c r="BQ422" s="4">
        <v>1.691934</v>
      </c>
      <c r="BR422" s="4">
        <v>7.9852550000000004</v>
      </c>
      <c r="BS422" s="4">
        <v>3.2370000000000001</v>
      </c>
      <c r="BT422" s="4">
        <v>17.995999999999999</v>
      </c>
      <c r="BU422" s="4">
        <v>13.365857</v>
      </c>
      <c r="BV422" s="4">
        <v>4.6832200000000004</v>
      </c>
      <c r="BW422" s="4">
        <v>-1.0370360000000001</v>
      </c>
      <c r="BX422" s="4">
        <v>-0.30534899999999998</v>
      </c>
      <c r="BY422" s="4">
        <v>0.350387</v>
      </c>
      <c r="BZ422" s="4">
        <v>-0.22143599999999999</v>
      </c>
      <c r="CA422" s="4">
        <v>-6.5200999999999995E-2</v>
      </c>
      <c r="CB422" s="4">
        <v>1E-3</v>
      </c>
      <c r="CC422" s="4">
        <v>4.0000000000000001E-3</v>
      </c>
      <c r="CD422" s="4">
        <v>1.0999999999999999E-2</v>
      </c>
      <c r="CE422" s="4">
        <v>2.5999999999999999E-2</v>
      </c>
      <c r="CF422" s="4">
        <v>4.3999999999999997E-2</v>
      </c>
      <c r="CG422" s="4">
        <v>7.5099989999999996</v>
      </c>
      <c r="CH422" s="4">
        <v>16.243998999999999</v>
      </c>
      <c r="CI422" s="4">
        <v>17.995999999999999</v>
      </c>
      <c r="CJ422" s="4">
        <v>18.997599000000001</v>
      </c>
      <c r="CK422" s="4">
        <v>19.7302</v>
      </c>
      <c r="CL422" s="4">
        <v>20.215</v>
      </c>
      <c r="CM422" s="4">
        <v>20.695399999999999</v>
      </c>
      <c r="CN422" s="4">
        <v>21.702400000000001</v>
      </c>
      <c r="CO422" s="4">
        <v>22.456199999999999</v>
      </c>
      <c r="CP422" s="4">
        <v>23.077359999999999</v>
      </c>
      <c r="CQ422" s="4">
        <v>0.56410300000000002</v>
      </c>
      <c r="CR422" s="4">
        <v>16.023873999999999</v>
      </c>
      <c r="CS422" s="4">
        <v>17.159295</v>
      </c>
      <c r="CT422" s="1">
        <v>19</v>
      </c>
      <c r="CU422" s="1">
        <v>600</v>
      </c>
      <c r="CV422" s="4">
        <v>133.54664</v>
      </c>
      <c r="CW422" s="4">
        <v>28.222221999999999</v>
      </c>
      <c r="CX422" s="4">
        <v>110.228674</v>
      </c>
      <c r="CY422" s="4">
        <v>12150.36052</v>
      </c>
      <c r="CZ422" s="4">
        <v>0.82539499999999999</v>
      </c>
      <c r="DA422" s="4">
        <v>113</v>
      </c>
      <c r="DB422" s="4">
        <v>1.5973820000000001</v>
      </c>
      <c r="DC422" s="4">
        <v>5.0843369999999997</v>
      </c>
      <c r="DD422" s="4">
        <v>82.270537000000004</v>
      </c>
      <c r="DE422" s="4">
        <v>133.54664</v>
      </c>
      <c r="DF422" s="4">
        <v>55.811543</v>
      </c>
      <c r="DG422" s="4">
        <v>19.870764000000001</v>
      </c>
      <c r="DH422" s="4">
        <v>9.4988810000000008</v>
      </c>
      <c r="DI422" s="4">
        <v>0.41791800000000001</v>
      </c>
      <c r="DJ422" s="4">
        <v>0.35603299999999999</v>
      </c>
      <c r="DK422" s="4">
        <v>0.17019599999999999</v>
      </c>
      <c r="DL422" s="4">
        <v>26</v>
      </c>
      <c r="DM422" s="4">
        <v>32</v>
      </c>
      <c r="DN422" s="4">
        <v>37</v>
      </c>
      <c r="DO422" s="4">
        <v>47</v>
      </c>
      <c r="DP422" s="4">
        <v>53</v>
      </c>
      <c r="DQ422" s="4">
        <v>62</v>
      </c>
      <c r="DR422" s="4">
        <v>79</v>
      </c>
      <c r="DS422" s="4">
        <v>99</v>
      </c>
      <c r="DT422" s="4">
        <v>119.599976</v>
      </c>
      <c r="DU422" s="4">
        <v>147.20001199999999</v>
      </c>
      <c r="DV422" s="4">
        <v>166</v>
      </c>
      <c r="DW422" s="4">
        <v>192</v>
      </c>
      <c r="DX422" s="4">
        <v>308.600098</v>
      </c>
      <c r="DY422" s="4">
        <v>387.20001200000002</v>
      </c>
      <c r="DZ422" s="4">
        <v>486</v>
      </c>
      <c r="EA422" s="4">
        <v>89.140270999999998</v>
      </c>
      <c r="EB422" s="4">
        <v>72.417252000000005</v>
      </c>
      <c r="EC422" s="4">
        <v>108.898944</v>
      </c>
      <c r="ED422" s="4">
        <v>591</v>
      </c>
      <c r="EE422" s="4">
        <v>722</v>
      </c>
      <c r="EF422" s="4">
        <v>81.749623</v>
      </c>
      <c r="EG422" s="4">
        <v>100</v>
      </c>
      <c r="EH422" s="4">
        <v>66.298896999999997</v>
      </c>
      <c r="EI422" s="4">
        <v>99.498495000000005</v>
      </c>
      <c r="EJ422" s="4">
        <v>99.698340999999999</v>
      </c>
      <c r="EK422" s="4">
        <v>149.62292600000001</v>
      </c>
      <c r="EL422" s="4">
        <v>542</v>
      </c>
      <c r="EM422" s="4">
        <v>663</v>
      </c>
      <c r="EN422" s="4">
        <v>661</v>
      </c>
      <c r="EO422" s="4">
        <v>992</v>
      </c>
      <c r="EP422" s="4">
        <v>663</v>
      </c>
      <c r="EQ422" s="4">
        <v>997</v>
      </c>
      <c r="ER422" s="4">
        <v>56.926371000000003</v>
      </c>
    </row>
    <row r="423" spans="1:148" x14ac:dyDescent="0.2">
      <c r="A423" s="1">
        <v>2025</v>
      </c>
      <c r="B423" s="1" t="str">
        <f t="shared" si="12"/>
        <v>NE</v>
      </c>
      <c r="C423" s="1" t="s">
        <v>1744</v>
      </c>
      <c r="D423" s="1" t="s">
        <v>1744</v>
      </c>
      <c r="E423" s="1">
        <v>30351</v>
      </c>
      <c r="F423" s="1" t="s">
        <v>2226</v>
      </c>
      <c r="G423" s="1" t="s">
        <v>2029</v>
      </c>
      <c r="H423" s="1" t="s">
        <v>1970</v>
      </c>
      <c r="I423" s="1">
        <v>48.82</v>
      </c>
      <c r="J423" s="1">
        <v>48.82</v>
      </c>
      <c r="K423" s="1" t="s">
        <v>286</v>
      </c>
      <c r="L423" s="1">
        <v>1</v>
      </c>
      <c r="M423" s="3">
        <v>2021</v>
      </c>
      <c r="O423" s="1">
        <v>2</v>
      </c>
      <c r="P423" s="1" t="str">
        <f t="shared" si="13"/>
        <v>Talhadia</v>
      </c>
      <c r="Q423" s="2">
        <v>44532</v>
      </c>
      <c r="R423" s="1" t="s">
        <v>169</v>
      </c>
      <c r="S423" s="1" t="s">
        <v>163</v>
      </c>
      <c r="T423" s="1" t="s">
        <v>2268</v>
      </c>
      <c r="U423" s="1" t="s">
        <v>170</v>
      </c>
      <c r="V423" s="1" t="s">
        <v>152</v>
      </c>
      <c r="W423" s="2">
        <v>44800</v>
      </c>
      <c r="X423" s="1" t="s">
        <v>2223</v>
      </c>
      <c r="Y423" s="1">
        <v>75.69</v>
      </c>
      <c r="Z423" s="1">
        <v>20.8</v>
      </c>
      <c r="AA423" s="1">
        <v>16</v>
      </c>
      <c r="AB423" s="1">
        <v>15.6</v>
      </c>
      <c r="AC423" s="1">
        <v>2</v>
      </c>
      <c r="AD423" s="3">
        <v>324.48</v>
      </c>
      <c r="AE423" s="3">
        <v>311.720187834743</v>
      </c>
      <c r="AF423" s="2">
        <v>45762</v>
      </c>
      <c r="AG423" s="1">
        <v>40</v>
      </c>
      <c r="AH423" s="3">
        <v>3.3675564681724799</v>
      </c>
      <c r="AI423" s="4">
        <v>20.7442197162033</v>
      </c>
      <c r="AJ423" s="4">
        <v>15.795</v>
      </c>
      <c r="AK423" s="4">
        <v>13.2683380549768</v>
      </c>
      <c r="AL423" s="1">
        <v>20</v>
      </c>
      <c r="AM423" s="5">
        <v>641.60105057433395</v>
      </c>
      <c r="AN423" s="4">
        <v>125.99276268314399</v>
      </c>
      <c r="AO423" s="4">
        <v>0.19637243824703901</v>
      </c>
      <c r="AP423" s="1" t="s">
        <v>163</v>
      </c>
      <c r="AQ423" s="1" t="s">
        <v>254</v>
      </c>
      <c r="AR423" s="1" t="s">
        <v>796</v>
      </c>
      <c r="AS423" s="1">
        <v>9</v>
      </c>
      <c r="AT423" s="4">
        <v>0.57744094551690062</v>
      </c>
      <c r="AU423" s="1" t="s">
        <v>1743</v>
      </c>
      <c r="AV423" s="1" t="s">
        <v>1744</v>
      </c>
      <c r="AW423" s="1">
        <v>1000</v>
      </c>
      <c r="AX423" s="1">
        <v>639</v>
      </c>
      <c r="AY423" s="1">
        <v>310</v>
      </c>
      <c r="AZ423" s="1">
        <v>46</v>
      </c>
      <c r="BA423" s="1">
        <v>5</v>
      </c>
      <c r="BB423" s="1">
        <v>0</v>
      </c>
      <c r="BC423" s="1">
        <v>0</v>
      </c>
      <c r="BD423" s="1">
        <v>0</v>
      </c>
      <c r="BE423" s="1">
        <v>0</v>
      </c>
      <c r="BF423" s="1">
        <v>0</v>
      </c>
      <c r="BG423" s="1">
        <v>0</v>
      </c>
      <c r="BH423" s="4">
        <v>0</v>
      </c>
      <c r="BI423" s="4">
        <v>24.667998999999998</v>
      </c>
      <c r="BJ423" s="4">
        <v>11.861575</v>
      </c>
      <c r="BK423" s="4">
        <v>0</v>
      </c>
      <c r="BL423" s="4">
        <v>9.3793100000000003</v>
      </c>
      <c r="BM423" s="4">
        <v>87.971457000000001</v>
      </c>
      <c r="BN423" s="4">
        <v>0.79073099999999996</v>
      </c>
      <c r="BO423" s="4">
        <v>19.94125</v>
      </c>
      <c r="BP423" s="4">
        <v>-0.29409099999999999</v>
      </c>
      <c r="BQ423" s="4">
        <v>1.2852189999999999</v>
      </c>
      <c r="BR423" s="4">
        <v>8.9005379999999992</v>
      </c>
      <c r="BS423" s="4">
        <v>5.5125010000000003</v>
      </c>
      <c r="BT423" s="4">
        <v>16.876999000000001</v>
      </c>
      <c r="BU423" s="4">
        <v>11.861575</v>
      </c>
      <c r="BV423" s="4">
        <v>5.1022670000000003</v>
      </c>
      <c r="BW423" s="4">
        <v>-0.407887</v>
      </c>
      <c r="BX423" s="4">
        <v>-0.73548000000000002</v>
      </c>
      <c r="BY423" s="4">
        <v>0.43015100000000001</v>
      </c>
      <c r="BZ423" s="4">
        <v>-7.9941999999999999E-2</v>
      </c>
      <c r="CA423" s="4">
        <v>-0.144148</v>
      </c>
      <c r="CB423" s="4">
        <v>2E-3</v>
      </c>
      <c r="CC423" s="4">
        <v>1.095E-2</v>
      </c>
      <c r="CD423" s="4">
        <v>0.02</v>
      </c>
      <c r="CE423" s="4">
        <v>4.9599999999999998E-2</v>
      </c>
      <c r="CF423" s="4">
        <v>9.6750000000000003E-2</v>
      </c>
      <c r="CG423" s="4">
        <v>0.44819999999999999</v>
      </c>
      <c r="CH423" s="4">
        <v>9.1202009999999998</v>
      </c>
      <c r="CI423" s="4">
        <v>16.876999000000001</v>
      </c>
      <c r="CJ423" s="4">
        <v>18.363800000000001</v>
      </c>
      <c r="CK423" s="4">
        <v>19.511399999999998</v>
      </c>
      <c r="CL423" s="4">
        <v>20.038</v>
      </c>
      <c r="CM423" s="4">
        <v>20.441199999999998</v>
      </c>
      <c r="CN423" s="4">
        <v>22.083497999999999</v>
      </c>
      <c r="CO423" s="4">
        <v>22.992201000000001</v>
      </c>
      <c r="CP423" s="4">
        <v>23.683561000000001</v>
      </c>
      <c r="CQ423" s="4">
        <v>0.48084900000000003</v>
      </c>
      <c r="CR423" s="4">
        <v>15.118876999999999</v>
      </c>
      <c r="CS423" s="4">
        <v>16.575143000000001</v>
      </c>
      <c r="CT423" s="1">
        <v>21</v>
      </c>
      <c r="CU423" s="1">
        <v>492</v>
      </c>
      <c r="CV423" s="4">
        <v>133.006</v>
      </c>
      <c r="CW423" s="4">
        <v>35.952381000000003</v>
      </c>
      <c r="CX423" s="4">
        <v>98.716498000000001</v>
      </c>
      <c r="CY423" s="4">
        <v>9744.9469109999991</v>
      </c>
      <c r="CZ423" s="4">
        <v>0.74219599999999997</v>
      </c>
      <c r="DA423" s="4">
        <v>102.25</v>
      </c>
      <c r="DB423" s="4">
        <v>1.481417</v>
      </c>
      <c r="DC423" s="4">
        <v>4.7664619999999998</v>
      </c>
      <c r="DD423" s="4">
        <v>73.663511999999997</v>
      </c>
      <c r="DE423" s="4">
        <v>133.006</v>
      </c>
      <c r="DF423" s="4">
        <v>50.951047000000003</v>
      </c>
      <c r="DG423" s="4">
        <v>15.961658</v>
      </c>
      <c r="DH423" s="4">
        <v>8.4838039999999992</v>
      </c>
      <c r="DI423" s="4">
        <v>0.383073</v>
      </c>
      <c r="DJ423" s="4">
        <v>0.313274</v>
      </c>
      <c r="DK423" s="4">
        <v>0.16650899999999999</v>
      </c>
      <c r="DL423" s="4">
        <v>26.99</v>
      </c>
      <c r="DM423" s="4">
        <v>33</v>
      </c>
      <c r="DN423" s="4">
        <v>40</v>
      </c>
      <c r="DO423" s="4">
        <v>52</v>
      </c>
      <c r="DP423" s="4">
        <v>60.75</v>
      </c>
      <c r="DQ423" s="4">
        <v>71</v>
      </c>
      <c r="DR423" s="4">
        <v>87</v>
      </c>
      <c r="DS423" s="4">
        <v>106.5</v>
      </c>
      <c r="DT423" s="4">
        <v>127</v>
      </c>
      <c r="DU423" s="4">
        <v>150</v>
      </c>
      <c r="DV423" s="4">
        <v>163</v>
      </c>
      <c r="DW423" s="4">
        <v>183.20001199999999</v>
      </c>
      <c r="DX423" s="4">
        <v>276.09997600000003</v>
      </c>
      <c r="DY423" s="4">
        <v>373.199951</v>
      </c>
      <c r="DZ423" s="4">
        <v>444.01001000000002</v>
      </c>
      <c r="EA423" s="4">
        <v>80.438185000000004</v>
      </c>
      <c r="EB423" s="4">
        <v>64</v>
      </c>
      <c r="EC423" s="4">
        <v>100.15649500000001</v>
      </c>
      <c r="ED423" s="4">
        <v>514</v>
      </c>
      <c r="EE423" s="4">
        <v>640</v>
      </c>
      <c r="EF423" s="4">
        <v>75.899844000000002</v>
      </c>
      <c r="EG423" s="4">
        <v>99.843504999999993</v>
      </c>
      <c r="EH423" s="4">
        <v>57.9</v>
      </c>
      <c r="EI423" s="4">
        <v>99.5</v>
      </c>
      <c r="EJ423" s="4">
        <v>90.610328999999993</v>
      </c>
      <c r="EK423" s="4">
        <v>155.71205</v>
      </c>
      <c r="EL423" s="4">
        <v>485</v>
      </c>
      <c r="EM423" s="4">
        <v>638</v>
      </c>
      <c r="EN423" s="4">
        <v>579</v>
      </c>
      <c r="EO423" s="4">
        <v>995</v>
      </c>
      <c r="EP423" s="4">
        <v>639</v>
      </c>
      <c r="EQ423" s="4">
        <v>1000</v>
      </c>
      <c r="ER423" s="4">
        <v>49.073003</v>
      </c>
    </row>
    <row r="424" spans="1:148" x14ac:dyDescent="0.2">
      <c r="A424" s="1">
        <v>2025</v>
      </c>
      <c r="B424" s="1" t="str">
        <f t="shared" si="12"/>
        <v>NE</v>
      </c>
      <c r="C424" s="1" t="s">
        <v>1746</v>
      </c>
      <c r="D424" s="1" t="s">
        <v>1746</v>
      </c>
      <c r="E424" s="1">
        <v>30353</v>
      </c>
      <c r="F424" s="1" t="s">
        <v>2226</v>
      </c>
      <c r="G424" s="1" t="s">
        <v>2029</v>
      </c>
      <c r="H424" s="1" t="s">
        <v>1970</v>
      </c>
      <c r="I424" s="1">
        <v>48.82</v>
      </c>
      <c r="J424" s="1">
        <v>48.82</v>
      </c>
      <c r="K424" s="1" t="s">
        <v>286</v>
      </c>
      <c r="L424" s="1">
        <v>1</v>
      </c>
      <c r="M424" s="3">
        <v>2021</v>
      </c>
      <c r="O424" s="1">
        <v>2</v>
      </c>
      <c r="P424" s="1" t="str">
        <f t="shared" si="13"/>
        <v>Talhadia</v>
      </c>
      <c r="Q424" s="2">
        <v>44532</v>
      </c>
      <c r="R424" s="1" t="s">
        <v>169</v>
      </c>
      <c r="S424" s="1" t="s">
        <v>163</v>
      </c>
      <c r="T424" s="1" t="s">
        <v>2268</v>
      </c>
      <c r="U424" s="1" t="s">
        <v>170</v>
      </c>
      <c r="V424" s="1" t="s">
        <v>152</v>
      </c>
      <c r="W424" s="2">
        <v>45762</v>
      </c>
      <c r="X424" s="1" t="s">
        <v>2223</v>
      </c>
      <c r="Y424" s="1">
        <v>75.69</v>
      </c>
      <c r="Z424" s="1">
        <v>21.2</v>
      </c>
      <c r="AA424" s="1">
        <v>21</v>
      </c>
      <c r="AB424" s="1">
        <v>15.4</v>
      </c>
      <c r="AC424" s="1">
        <v>2</v>
      </c>
      <c r="AD424" s="3">
        <v>326.48</v>
      </c>
      <c r="AE424" s="3">
        <v>304.60966455840901</v>
      </c>
      <c r="AF424" s="2">
        <v>45762</v>
      </c>
      <c r="AG424" s="1">
        <v>40</v>
      </c>
      <c r="AH424" s="3">
        <v>3.3675564681724799</v>
      </c>
      <c r="AI424" s="4">
        <v>19.583913727652298</v>
      </c>
      <c r="AJ424" s="4">
        <v>14.651724137931</v>
      </c>
      <c r="AK424" s="4">
        <v>16.271433014214001</v>
      </c>
      <c r="AL424" s="1">
        <v>29</v>
      </c>
      <c r="AM424" s="5">
        <v>952.03807935776297</v>
      </c>
      <c r="AN424" s="4">
        <v>139.02134474822401</v>
      </c>
      <c r="AO424" s="4">
        <v>0.14602498341453601</v>
      </c>
      <c r="AP424" s="1" t="s">
        <v>163</v>
      </c>
      <c r="AQ424" s="1" t="s">
        <v>254</v>
      </c>
      <c r="AR424" s="1" t="s">
        <v>796</v>
      </c>
      <c r="AS424" s="1">
        <v>9</v>
      </c>
      <c r="AT424" s="4">
        <v>0.85683427142198665</v>
      </c>
      <c r="AU424" s="1" t="s">
        <v>1745</v>
      </c>
      <c r="AV424" s="1" t="s">
        <v>1746</v>
      </c>
      <c r="AW424" s="1">
        <v>2122</v>
      </c>
      <c r="AX424" s="1">
        <v>1332</v>
      </c>
      <c r="AY424" s="1">
        <v>611</v>
      </c>
      <c r="AZ424" s="1">
        <v>163</v>
      </c>
      <c r="BA424" s="1">
        <v>16</v>
      </c>
      <c r="BB424" s="1">
        <v>0</v>
      </c>
      <c r="BC424" s="1">
        <v>0</v>
      </c>
      <c r="BD424" s="1">
        <v>0</v>
      </c>
      <c r="BE424" s="1">
        <v>0</v>
      </c>
      <c r="BF424" s="1">
        <v>0</v>
      </c>
      <c r="BG424" s="1">
        <v>0</v>
      </c>
      <c r="BH424" s="4">
        <v>0</v>
      </c>
      <c r="BI424" s="4">
        <v>26.988001000000001</v>
      </c>
      <c r="BJ424" s="4">
        <v>13.668912000000001</v>
      </c>
      <c r="BK424" s="4">
        <v>0</v>
      </c>
      <c r="BL424" s="4">
        <v>7.2253080000000001</v>
      </c>
      <c r="BM424" s="4">
        <v>52.205072000000001</v>
      </c>
      <c r="BN424" s="4">
        <v>0.52859400000000001</v>
      </c>
      <c r="BO424" s="4">
        <v>5.4337499999999999</v>
      </c>
      <c r="BP424" s="4">
        <v>-1.1644289999999999</v>
      </c>
      <c r="BQ424" s="4">
        <v>2.6649729999999998</v>
      </c>
      <c r="BR424" s="4">
        <v>5.9200809999999997</v>
      </c>
      <c r="BS424" s="4">
        <v>1.8809990000000001</v>
      </c>
      <c r="BT424" s="4">
        <v>17.039501000000001</v>
      </c>
      <c r="BU424" s="4">
        <v>13.668912000000001</v>
      </c>
      <c r="BV424" s="4">
        <v>3.5960049999999999</v>
      </c>
      <c r="BW424" s="4">
        <v>-1.294168</v>
      </c>
      <c r="BX424" s="4">
        <v>0.295234</v>
      </c>
      <c r="BY424" s="4">
        <v>0.26307900000000001</v>
      </c>
      <c r="BZ424" s="4">
        <v>-0.35988999999999999</v>
      </c>
      <c r="CA424" s="4">
        <v>8.2100000000000006E-2</v>
      </c>
      <c r="CB424" s="4">
        <v>2E-3</v>
      </c>
      <c r="CC424" s="4">
        <v>1.2E-2</v>
      </c>
      <c r="CD424" s="4">
        <v>2.3E-2</v>
      </c>
      <c r="CE424" s="4">
        <v>4.4544009999999998</v>
      </c>
      <c r="CF424" s="4">
        <v>13.004</v>
      </c>
      <c r="CG424" s="4">
        <v>14.6593</v>
      </c>
      <c r="CH424" s="4">
        <v>16.258800999999998</v>
      </c>
      <c r="CI424" s="4">
        <v>17.039501000000001</v>
      </c>
      <c r="CJ424" s="4">
        <v>17.528998999999999</v>
      </c>
      <c r="CK424" s="4">
        <v>18.125999</v>
      </c>
      <c r="CL424" s="4">
        <v>18.437750000000001</v>
      </c>
      <c r="CM424" s="4">
        <v>18.758600000000001</v>
      </c>
      <c r="CN424" s="4">
        <v>19.516399</v>
      </c>
      <c r="CO424" s="4">
        <v>20.093899</v>
      </c>
      <c r="CP424" s="4">
        <v>20.585812000000001</v>
      </c>
      <c r="CQ424" s="4">
        <v>0.50648099999999996</v>
      </c>
      <c r="CR424" s="4">
        <v>15.460259000000001</v>
      </c>
      <c r="CS424" s="4">
        <v>16.203928999999999</v>
      </c>
      <c r="CT424" s="1">
        <v>20</v>
      </c>
      <c r="CU424" s="1">
        <v>689</v>
      </c>
      <c r="CV424" s="4">
        <v>142.205467</v>
      </c>
      <c r="CW424" s="4">
        <v>41.238095000000001</v>
      </c>
      <c r="CX424" s="4">
        <v>108.511897</v>
      </c>
      <c r="CY424" s="4">
        <v>11774.83188</v>
      </c>
      <c r="CZ424" s="4">
        <v>0.76306399999999996</v>
      </c>
      <c r="DA424" s="4">
        <v>120</v>
      </c>
      <c r="DB424" s="4">
        <v>1.981447</v>
      </c>
      <c r="DC424" s="4">
        <v>8.1940880000000007</v>
      </c>
      <c r="DD424" s="4">
        <v>77.209467000000004</v>
      </c>
      <c r="DE424" s="4">
        <v>142.205467</v>
      </c>
      <c r="DF424" s="4">
        <v>54.178330000000003</v>
      </c>
      <c r="DG424" s="4">
        <v>15.648987</v>
      </c>
      <c r="DH424" s="4">
        <v>9.6956749999999996</v>
      </c>
      <c r="DI424" s="4">
        <v>0.38098599999999999</v>
      </c>
      <c r="DJ424" s="4">
        <v>0.28884199999999999</v>
      </c>
      <c r="DK424" s="4">
        <v>0.17895900000000001</v>
      </c>
      <c r="DL424" s="4">
        <v>26</v>
      </c>
      <c r="DM424" s="4">
        <v>33</v>
      </c>
      <c r="DN424" s="4">
        <v>41</v>
      </c>
      <c r="DO424" s="4">
        <v>53</v>
      </c>
      <c r="DP424" s="4">
        <v>62</v>
      </c>
      <c r="DQ424" s="4">
        <v>71</v>
      </c>
      <c r="DR424" s="4">
        <v>98</v>
      </c>
      <c r="DS424" s="4">
        <v>121</v>
      </c>
      <c r="DT424" s="4">
        <v>145</v>
      </c>
      <c r="DU424" s="4">
        <v>170</v>
      </c>
      <c r="DV424" s="4">
        <v>182</v>
      </c>
      <c r="DW424" s="4">
        <v>200</v>
      </c>
      <c r="DX424" s="4">
        <v>256</v>
      </c>
      <c r="DY424" s="4">
        <v>333.949951</v>
      </c>
      <c r="DZ424" s="4">
        <v>570.79003899999998</v>
      </c>
      <c r="EA424" s="4">
        <v>95.12012</v>
      </c>
      <c r="EB424" s="4">
        <v>80.301602000000003</v>
      </c>
      <c r="EC424" s="4">
        <v>127.92792799999999</v>
      </c>
      <c r="ED424" s="4">
        <v>1267</v>
      </c>
      <c r="EE424" s="4">
        <v>1704</v>
      </c>
      <c r="EF424" s="4">
        <v>88.513514000000001</v>
      </c>
      <c r="EG424" s="4">
        <v>99.924925000000002</v>
      </c>
      <c r="EH424" s="4">
        <v>73.845428999999996</v>
      </c>
      <c r="EI424" s="4">
        <v>99.764373000000006</v>
      </c>
      <c r="EJ424" s="4">
        <v>117.64264300000001</v>
      </c>
      <c r="EK424" s="4">
        <v>158.93393399999999</v>
      </c>
      <c r="EL424" s="4">
        <v>1179</v>
      </c>
      <c r="EM424" s="4">
        <v>1331</v>
      </c>
      <c r="EN424" s="4">
        <v>1567</v>
      </c>
      <c r="EO424" s="4">
        <v>2117</v>
      </c>
      <c r="EP424" s="4">
        <v>1332</v>
      </c>
      <c r="EQ424" s="4">
        <v>2122</v>
      </c>
      <c r="ER424" s="4">
        <v>65.361800000000002</v>
      </c>
    </row>
    <row r="425" spans="1:148" x14ac:dyDescent="0.2">
      <c r="A425" s="1">
        <v>2025</v>
      </c>
      <c r="B425" s="1" t="str">
        <f t="shared" si="12"/>
        <v>NE</v>
      </c>
      <c r="C425" s="1" t="s">
        <v>1748</v>
      </c>
      <c r="D425" s="1" t="s">
        <v>1748</v>
      </c>
      <c r="E425" s="1">
        <v>28175</v>
      </c>
      <c r="F425" s="1" t="s">
        <v>2227</v>
      </c>
      <c r="G425" s="1" t="s">
        <v>2030</v>
      </c>
      <c r="H425" s="1" t="s">
        <v>1971</v>
      </c>
      <c r="I425" s="1">
        <v>53.16</v>
      </c>
      <c r="J425" s="1">
        <v>53.16</v>
      </c>
      <c r="K425" s="1" t="s">
        <v>286</v>
      </c>
      <c r="L425" s="1">
        <v>1</v>
      </c>
      <c r="M425" s="3">
        <v>2020</v>
      </c>
      <c r="O425" s="1">
        <v>1</v>
      </c>
      <c r="P425" s="1" t="str">
        <f t="shared" si="13"/>
        <v>Alto fuste</v>
      </c>
      <c r="Q425" s="2">
        <v>43979</v>
      </c>
      <c r="R425" s="1" t="s">
        <v>169</v>
      </c>
      <c r="S425" s="1" t="s">
        <v>299</v>
      </c>
      <c r="T425" s="1" t="s">
        <v>2268</v>
      </c>
      <c r="U425" s="1" t="s">
        <v>170</v>
      </c>
      <c r="V425" s="1" t="s">
        <v>152</v>
      </c>
      <c r="W425" s="2">
        <v>44801</v>
      </c>
      <c r="X425" s="1" t="s">
        <v>2228</v>
      </c>
      <c r="Y425" s="1">
        <v>292.99</v>
      </c>
      <c r="Z425" s="1">
        <v>20.6</v>
      </c>
      <c r="AA425" s="1">
        <v>26</v>
      </c>
      <c r="AB425" s="1">
        <v>14.6</v>
      </c>
      <c r="AC425" s="1">
        <v>7</v>
      </c>
      <c r="AD425" s="3">
        <v>300.76</v>
      </c>
      <c r="AE425" s="3">
        <v>268.30636340625801</v>
      </c>
      <c r="AF425" s="2">
        <v>45761</v>
      </c>
      <c r="AG425" s="1">
        <v>59</v>
      </c>
      <c r="AH425" s="3">
        <v>4.8788501026694</v>
      </c>
      <c r="AI425" s="4">
        <v>23.371983551124298</v>
      </c>
      <c r="AJ425" s="4">
        <v>14.155555555555599</v>
      </c>
      <c r="AK425" s="4">
        <v>21.5657668367177</v>
      </c>
      <c r="AL425" s="1">
        <v>36</v>
      </c>
      <c r="AM425" s="5">
        <v>1341.74976481979</v>
      </c>
      <c r="AN425" s="4">
        <v>231.90373482188599</v>
      </c>
      <c r="AO425" s="4">
        <v>0.17283679930663801</v>
      </c>
      <c r="AP425" s="1" t="s">
        <v>299</v>
      </c>
      <c r="AQ425" s="1" t="s">
        <v>156</v>
      </c>
      <c r="AR425" s="1" t="s">
        <v>796</v>
      </c>
      <c r="AS425" s="1">
        <v>9</v>
      </c>
      <c r="AT425" s="4">
        <v>1.207574788337811</v>
      </c>
      <c r="AU425" s="1" t="s">
        <v>1747</v>
      </c>
      <c r="AV425" s="1" t="s">
        <v>1748</v>
      </c>
      <c r="AW425" s="1">
        <v>1142</v>
      </c>
      <c r="AX425" s="1">
        <v>699</v>
      </c>
      <c r="AY425" s="1">
        <v>338</v>
      </c>
      <c r="AZ425" s="1">
        <v>94</v>
      </c>
      <c r="BA425" s="1">
        <v>9</v>
      </c>
      <c r="BB425" s="1">
        <v>2</v>
      </c>
      <c r="BC425" s="1">
        <v>0</v>
      </c>
      <c r="BD425" s="1">
        <v>0</v>
      </c>
      <c r="BE425" s="1">
        <v>0</v>
      </c>
      <c r="BF425" s="1">
        <v>0</v>
      </c>
      <c r="BG425" s="1">
        <v>0</v>
      </c>
      <c r="BH425" s="4">
        <v>0</v>
      </c>
      <c r="BI425" s="4">
        <v>26.127001</v>
      </c>
      <c r="BJ425" s="4">
        <v>17.7881</v>
      </c>
      <c r="BK425" s="4">
        <v>0</v>
      </c>
      <c r="BL425" s="4">
        <v>9.5548909999999996</v>
      </c>
      <c r="BM425" s="4">
        <v>91.295944000000006</v>
      </c>
      <c r="BN425" s="4">
        <v>0.53715100000000005</v>
      </c>
      <c r="BO425" s="4">
        <v>9.9247490000000003</v>
      </c>
      <c r="BP425" s="4">
        <v>-1.1774739999999999</v>
      </c>
      <c r="BQ425" s="4">
        <v>2.5942419999999999</v>
      </c>
      <c r="BR425" s="4">
        <v>8.0537740000000007</v>
      </c>
      <c r="BS425" s="4">
        <v>1.4925010000000001</v>
      </c>
      <c r="BT425" s="4">
        <v>22.821999000000002</v>
      </c>
      <c r="BU425" s="4">
        <v>17.7881</v>
      </c>
      <c r="BV425" s="4">
        <v>4.620406</v>
      </c>
      <c r="BW425" s="4">
        <v>-1.894245</v>
      </c>
      <c r="BX425" s="4">
        <v>0.30072599999999999</v>
      </c>
      <c r="BY425" s="4">
        <v>0.25974700000000001</v>
      </c>
      <c r="BZ425" s="4">
        <v>-0.40997400000000001</v>
      </c>
      <c r="CA425" s="4">
        <v>6.5087000000000006E-2</v>
      </c>
      <c r="CB425" s="4">
        <v>2E-3</v>
      </c>
      <c r="CC425" s="4">
        <v>0.01</v>
      </c>
      <c r="CD425" s="4">
        <v>2.5000000000000001E-2</v>
      </c>
      <c r="CE425" s="4">
        <v>0.11840000000000001</v>
      </c>
      <c r="CF425" s="4">
        <v>14.127250999999999</v>
      </c>
      <c r="CG425" s="4">
        <v>20.363899</v>
      </c>
      <c r="CH425" s="4">
        <v>22.217400000000001</v>
      </c>
      <c r="CI425" s="4">
        <v>22.821999000000002</v>
      </c>
      <c r="CJ425" s="4">
        <v>23.341200000000001</v>
      </c>
      <c r="CK425" s="4">
        <v>23.790299999999998</v>
      </c>
      <c r="CL425" s="4">
        <v>24.052</v>
      </c>
      <c r="CM425" s="4">
        <v>24.239799000000001</v>
      </c>
      <c r="CN425" s="4">
        <v>24.770900999999999</v>
      </c>
      <c r="CO425" s="4">
        <v>25.111447999999999</v>
      </c>
      <c r="CP425" s="4">
        <v>25.765259</v>
      </c>
      <c r="CQ425" s="4">
        <v>0.68083199999999999</v>
      </c>
      <c r="CR425" s="4">
        <v>20.189910999999999</v>
      </c>
      <c r="CS425" s="4">
        <v>21.156711000000001</v>
      </c>
      <c r="CT425" s="1">
        <v>23</v>
      </c>
      <c r="CU425" s="1">
        <v>526</v>
      </c>
      <c r="CV425" s="4">
        <v>156.73292499999999</v>
      </c>
      <c r="CW425" s="4">
        <v>30.984127000000001</v>
      </c>
      <c r="CX425" s="4">
        <v>88.045411000000001</v>
      </c>
      <c r="CY425" s="4">
        <v>7751.9943400000002</v>
      </c>
      <c r="CZ425" s="4">
        <v>0.56175399999999998</v>
      </c>
      <c r="DA425" s="4">
        <v>146</v>
      </c>
      <c r="DB425" s="4">
        <v>0.37826700000000002</v>
      </c>
      <c r="DC425" s="4">
        <v>2.4501919999999999</v>
      </c>
      <c r="DD425" s="4">
        <v>74.846401</v>
      </c>
      <c r="DE425" s="4">
        <v>156.73292499999999</v>
      </c>
      <c r="DF425" s="4">
        <v>50.165376000000002</v>
      </c>
      <c r="DG425" s="4">
        <v>3.9009130000000001</v>
      </c>
      <c r="DH425" s="4">
        <v>1.3393630000000001</v>
      </c>
      <c r="DI425" s="4">
        <v>0.32006899999999999</v>
      </c>
      <c r="DJ425" s="4">
        <v>7.7760999999999997E-2</v>
      </c>
      <c r="DK425" s="4">
        <v>2.6699000000000001E-2</v>
      </c>
      <c r="DL425" s="4">
        <v>29</v>
      </c>
      <c r="DM425" s="4">
        <v>35</v>
      </c>
      <c r="DN425" s="4">
        <v>45</v>
      </c>
      <c r="DO425" s="4">
        <v>64</v>
      </c>
      <c r="DP425" s="4">
        <v>76</v>
      </c>
      <c r="DQ425" s="4">
        <v>90</v>
      </c>
      <c r="DR425" s="4">
        <v>122.39999400000001</v>
      </c>
      <c r="DS425" s="4">
        <v>152</v>
      </c>
      <c r="DT425" s="4">
        <v>184</v>
      </c>
      <c r="DU425" s="4">
        <v>208.70001199999999</v>
      </c>
      <c r="DV425" s="4">
        <v>222</v>
      </c>
      <c r="DW425" s="4">
        <v>237.79998800000001</v>
      </c>
      <c r="DX425" s="4">
        <v>272.90002399999997</v>
      </c>
      <c r="DY425" s="4">
        <v>305</v>
      </c>
      <c r="DZ425" s="4">
        <v>364.76989700000001</v>
      </c>
      <c r="EA425" s="4">
        <v>98.712446</v>
      </c>
      <c r="EB425" s="4">
        <v>79.246934999999993</v>
      </c>
      <c r="EC425" s="4">
        <v>129.47067200000001</v>
      </c>
      <c r="ED425" s="4">
        <v>690</v>
      </c>
      <c r="EE425" s="4">
        <v>905</v>
      </c>
      <c r="EF425" s="4">
        <v>96.709585000000004</v>
      </c>
      <c r="EG425" s="4">
        <v>100</v>
      </c>
      <c r="EH425" s="4">
        <v>71.278458999999998</v>
      </c>
      <c r="EI425" s="4">
        <v>99.562172000000004</v>
      </c>
      <c r="EJ425" s="4">
        <v>116.452074</v>
      </c>
      <c r="EK425" s="4">
        <v>162.660944</v>
      </c>
      <c r="EL425" s="4">
        <v>676</v>
      </c>
      <c r="EM425" s="4">
        <v>699</v>
      </c>
      <c r="EN425" s="4">
        <v>814</v>
      </c>
      <c r="EO425" s="4">
        <v>1137</v>
      </c>
      <c r="EP425" s="4">
        <v>699</v>
      </c>
      <c r="EQ425" s="4">
        <v>1142</v>
      </c>
      <c r="ER425" s="4">
        <v>68.092082000000005</v>
      </c>
    </row>
    <row r="426" spans="1:148" x14ac:dyDescent="0.2">
      <c r="A426" s="1">
        <v>2025</v>
      </c>
      <c r="B426" s="1" t="str">
        <f t="shared" si="12"/>
        <v>NE</v>
      </c>
      <c r="C426" s="1" t="s">
        <v>1750</v>
      </c>
      <c r="D426" s="1" t="s">
        <v>1750</v>
      </c>
      <c r="E426" s="1">
        <v>28177</v>
      </c>
      <c r="F426" s="1" t="s">
        <v>2227</v>
      </c>
      <c r="G426" s="1" t="s">
        <v>2030</v>
      </c>
      <c r="H426" s="1" t="s">
        <v>1971</v>
      </c>
      <c r="I426" s="1">
        <v>53.16</v>
      </c>
      <c r="J426" s="1">
        <v>53.16</v>
      </c>
      <c r="K426" s="1" t="s">
        <v>286</v>
      </c>
      <c r="L426" s="1">
        <v>1</v>
      </c>
      <c r="M426" s="3">
        <v>2020</v>
      </c>
      <c r="O426" s="1">
        <v>1</v>
      </c>
      <c r="P426" s="1" t="str">
        <f t="shared" si="13"/>
        <v>Alto fuste</v>
      </c>
      <c r="Q426" s="2">
        <v>43979</v>
      </c>
      <c r="R426" s="1" t="s">
        <v>169</v>
      </c>
      <c r="S426" s="1" t="s">
        <v>299</v>
      </c>
      <c r="T426" s="1" t="s">
        <v>2268</v>
      </c>
      <c r="U426" s="1" t="s">
        <v>170</v>
      </c>
      <c r="V426" s="1" t="s">
        <v>152</v>
      </c>
      <c r="W426" s="2">
        <v>45761</v>
      </c>
      <c r="X426" s="1" t="s">
        <v>2228</v>
      </c>
      <c r="Y426" s="1">
        <v>292.99</v>
      </c>
      <c r="Z426" s="1">
        <v>20.8</v>
      </c>
      <c r="AA426" s="1">
        <v>16</v>
      </c>
      <c r="AB426" s="1">
        <v>15.3</v>
      </c>
      <c r="AC426" s="1">
        <v>2</v>
      </c>
      <c r="AD426" s="3">
        <v>318.24</v>
      </c>
      <c r="AE426" s="3">
        <v>305.725568837921</v>
      </c>
      <c r="AF426" s="2">
        <v>45761</v>
      </c>
      <c r="AG426" s="1">
        <v>59</v>
      </c>
      <c r="AH426" s="3">
        <v>4.8788501026694</v>
      </c>
      <c r="AI426" s="4">
        <v>23.164025198967799</v>
      </c>
      <c r="AJ426" s="4">
        <v>15.9441176470588</v>
      </c>
      <c r="AK426" s="4">
        <v>22.433920088926602</v>
      </c>
      <c r="AL426" s="1">
        <v>34</v>
      </c>
      <c r="AM426" s="5">
        <v>1112.1084876621801</v>
      </c>
      <c r="AN426" s="4">
        <v>233.19043564350801</v>
      </c>
      <c r="AO426" s="4">
        <v>0.20968317230786501</v>
      </c>
      <c r="AP426" s="1" t="s">
        <v>299</v>
      </c>
      <c r="AQ426" s="1" t="s">
        <v>156</v>
      </c>
      <c r="AR426" s="1" t="s">
        <v>796</v>
      </c>
      <c r="AS426" s="1">
        <v>9</v>
      </c>
      <c r="AT426" s="4">
        <v>1.0008976388959621</v>
      </c>
      <c r="AU426" s="1" t="s">
        <v>1749</v>
      </c>
      <c r="AV426" s="1" t="s">
        <v>1750</v>
      </c>
      <c r="AW426" s="1">
        <v>1154</v>
      </c>
      <c r="AX426" s="1">
        <v>767</v>
      </c>
      <c r="AY426" s="1">
        <v>337</v>
      </c>
      <c r="AZ426" s="1">
        <v>47</v>
      </c>
      <c r="BA426" s="1">
        <v>3</v>
      </c>
      <c r="BB426" s="1">
        <v>0</v>
      </c>
      <c r="BC426" s="1">
        <v>0</v>
      </c>
      <c r="BD426" s="1">
        <v>0</v>
      </c>
      <c r="BE426" s="1">
        <v>0</v>
      </c>
      <c r="BF426" s="1">
        <v>0</v>
      </c>
      <c r="BG426" s="1">
        <v>0</v>
      </c>
      <c r="BH426" s="4">
        <v>0</v>
      </c>
      <c r="BI426" s="4">
        <v>25.023001000000001</v>
      </c>
      <c r="BJ426" s="4">
        <v>16.195830999999998</v>
      </c>
      <c r="BK426" s="4">
        <v>0</v>
      </c>
      <c r="BL426" s="4">
        <v>10.144190999999999</v>
      </c>
      <c r="BM426" s="4">
        <v>102.90460899999999</v>
      </c>
      <c r="BN426" s="4">
        <v>0.62634599999999996</v>
      </c>
      <c r="BO426" s="4">
        <v>23.128501</v>
      </c>
      <c r="BP426" s="4">
        <v>-0.90922499999999995</v>
      </c>
      <c r="BQ426" s="4">
        <v>1.9019889999999999</v>
      </c>
      <c r="BR426" s="4">
        <v>9.1030060000000006</v>
      </c>
      <c r="BS426" s="4">
        <v>1.276999</v>
      </c>
      <c r="BT426" s="4">
        <v>22.232500000000002</v>
      </c>
      <c r="BU426" s="4">
        <v>16.195830999999998</v>
      </c>
      <c r="BV426" s="4">
        <v>4.9458409999999997</v>
      </c>
      <c r="BW426" s="4">
        <v>-1.7357320000000001</v>
      </c>
      <c r="BX426" s="4">
        <v>-0.151999</v>
      </c>
      <c r="BY426" s="4">
        <v>0.30537700000000001</v>
      </c>
      <c r="BZ426" s="4">
        <v>-0.35094799999999998</v>
      </c>
      <c r="CA426" s="4">
        <v>-3.0733E-2</v>
      </c>
      <c r="CB426" s="4">
        <v>0</v>
      </c>
      <c r="CC426" s="4">
        <v>6.0000000000000001E-3</v>
      </c>
      <c r="CD426" s="4">
        <v>1.2E-2</v>
      </c>
      <c r="CE426" s="4">
        <v>3.4000000000000002E-2</v>
      </c>
      <c r="CF426" s="4">
        <v>5.9749999999999998E-2</v>
      </c>
      <c r="CG426" s="4">
        <v>15.1988</v>
      </c>
      <c r="CH426" s="4">
        <v>21.545798999999999</v>
      </c>
      <c r="CI426" s="4">
        <v>22.232500000000002</v>
      </c>
      <c r="CJ426" s="4">
        <v>22.694599</v>
      </c>
      <c r="CK426" s="4">
        <v>23.0471</v>
      </c>
      <c r="CL426" s="4">
        <v>23.188251000000001</v>
      </c>
      <c r="CM426" s="4">
        <v>23.369999</v>
      </c>
      <c r="CN426" s="4">
        <v>23.805401</v>
      </c>
      <c r="CO426" s="4">
        <v>24.193850000000001</v>
      </c>
      <c r="CP426" s="4">
        <v>24.69969</v>
      </c>
      <c r="CQ426" s="4">
        <v>0.64723799999999998</v>
      </c>
      <c r="CR426" s="4">
        <v>19.108122999999999</v>
      </c>
      <c r="CS426" s="4">
        <v>20.243262999999999</v>
      </c>
      <c r="CT426" s="1">
        <v>23</v>
      </c>
      <c r="CU426" s="1">
        <v>675</v>
      </c>
      <c r="CV426" s="4">
        <v>205.05719199999999</v>
      </c>
      <c r="CW426" s="4">
        <v>33.349206000000002</v>
      </c>
      <c r="CX426" s="4">
        <v>119.350069</v>
      </c>
      <c r="CY426" s="4">
        <v>14244.439050000001</v>
      </c>
      <c r="CZ426" s="4">
        <v>0.58203300000000002</v>
      </c>
      <c r="DA426" s="4">
        <v>184.75</v>
      </c>
      <c r="DB426" s="4">
        <v>0.47283599999999998</v>
      </c>
      <c r="DC426" s="4">
        <v>2.8817460000000001</v>
      </c>
      <c r="DD426" s="4">
        <v>98.457736999999995</v>
      </c>
      <c r="DE426" s="4">
        <v>205.05719199999999</v>
      </c>
      <c r="DF426" s="4">
        <v>67.462128000000007</v>
      </c>
      <c r="DG426" s="4">
        <v>5.2290979999999996</v>
      </c>
      <c r="DH426" s="4">
        <v>4.3639419999999998</v>
      </c>
      <c r="DI426" s="4">
        <v>0.32899200000000001</v>
      </c>
      <c r="DJ426" s="4">
        <v>7.7511999999999998E-2</v>
      </c>
      <c r="DK426" s="4">
        <v>6.4686999999999995E-2</v>
      </c>
      <c r="DL426" s="4">
        <v>26</v>
      </c>
      <c r="DM426" s="4">
        <v>37</v>
      </c>
      <c r="DN426" s="4">
        <v>49</v>
      </c>
      <c r="DO426" s="4">
        <v>83.600005999999993</v>
      </c>
      <c r="DP426" s="4">
        <v>102</v>
      </c>
      <c r="DQ426" s="4">
        <v>121</v>
      </c>
      <c r="DR426" s="4">
        <v>165</v>
      </c>
      <c r="DS426" s="4">
        <v>205</v>
      </c>
      <c r="DT426" s="4">
        <v>237.79998800000001</v>
      </c>
      <c r="DU426" s="4">
        <v>266.09997600000003</v>
      </c>
      <c r="DV426" s="4">
        <v>286.75</v>
      </c>
      <c r="DW426" s="4">
        <v>306</v>
      </c>
      <c r="DX426" s="4">
        <v>356</v>
      </c>
      <c r="DY426" s="4">
        <v>408</v>
      </c>
      <c r="DZ426" s="4">
        <v>522.40991199999996</v>
      </c>
      <c r="EA426" s="4">
        <v>95.697523000000004</v>
      </c>
      <c r="EB426" s="4">
        <v>72.790295</v>
      </c>
      <c r="EC426" s="4">
        <v>109.517601</v>
      </c>
      <c r="ED426" s="4">
        <v>734</v>
      </c>
      <c r="EE426" s="4">
        <v>840</v>
      </c>
      <c r="EF426" s="4">
        <v>94.393742000000003</v>
      </c>
      <c r="EG426" s="4">
        <v>99.869622000000007</v>
      </c>
      <c r="EH426" s="4">
        <v>69.497399999999999</v>
      </c>
      <c r="EI426" s="4">
        <v>98.700173000000007</v>
      </c>
      <c r="EJ426" s="4">
        <v>104.563233</v>
      </c>
      <c r="EK426" s="4">
        <v>148.500652</v>
      </c>
      <c r="EL426" s="4">
        <v>724</v>
      </c>
      <c r="EM426" s="4">
        <v>766</v>
      </c>
      <c r="EN426" s="4">
        <v>802</v>
      </c>
      <c r="EO426" s="4">
        <v>1139</v>
      </c>
      <c r="EP426" s="4">
        <v>767</v>
      </c>
      <c r="EQ426" s="4">
        <v>1154</v>
      </c>
      <c r="ER426" s="4">
        <v>64.572393000000005</v>
      </c>
    </row>
    <row r="427" spans="1:148" x14ac:dyDescent="0.2">
      <c r="A427" s="1">
        <v>2025</v>
      </c>
      <c r="B427" s="1" t="str">
        <f t="shared" si="12"/>
        <v>NE</v>
      </c>
      <c r="C427" s="1" t="s">
        <v>1752</v>
      </c>
      <c r="D427" s="1" t="s">
        <v>1752</v>
      </c>
      <c r="E427" s="1">
        <v>28164</v>
      </c>
      <c r="F427" s="1" t="s">
        <v>2229</v>
      </c>
      <c r="G427" s="1" t="s">
        <v>2030</v>
      </c>
      <c r="H427" s="1" t="s">
        <v>1972</v>
      </c>
      <c r="I427" s="1">
        <v>48.33</v>
      </c>
      <c r="J427" s="1">
        <v>48.33</v>
      </c>
      <c r="K427" s="1" t="s">
        <v>286</v>
      </c>
      <c r="L427" s="1">
        <v>1</v>
      </c>
      <c r="M427" s="3">
        <v>2020</v>
      </c>
      <c r="O427" s="1">
        <v>2</v>
      </c>
      <c r="P427" s="1" t="str">
        <f t="shared" si="13"/>
        <v>Talhadia</v>
      </c>
      <c r="Q427" s="2">
        <v>43836</v>
      </c>
      <c r="R427" s="1" t="s">
        <v>169</v>
      </c>
      <c r="S427" s="1" t="s">
        <v>265</v>
      </c>
      <c r="T427" s="1" t="s">
        <v>2268</v>
      </c>
      <c r="U427" s="1" t="s">
        <v>170</v>
      </c>
      <c r="V427" s="1" t="s">
        <v>152</v>
      </c>
      <c r="W427" s="2">
        <v>44802</v>
      </c>
      <c r="X427" s="1" t="s">
        <v>2228</v>
      </c>
      <c r="Y427" s="1">
        <v>145.32999999999998</v>
      </c>
      <c r="Z427" s="1">
        <v>20</v>
      </c>
      <c r="AA427" s="1">
        <v>14</v>
      </c>
      <c r="AB427" s="1">
        <v>15.5</v>
      </c>
      <c r="AC427" s="1">
        <v>7</v>
      </c>
      <c r="AD427" s="3">
        <v>310</v>
      </c>
      <c r="AE427" s="3">
        <v>298.54961961147097</v>
      </c>
      <c r="AF427" s="2">
        <v>45758</v>
      </c>
      <c r="AG427" s="1">
        <v>63</v>
      </c>
      <c r="AH427" s="3">
        <v>5.2621492128679002</v>
      </c>
      <c r="AI427" s="4">
        <v>26.776558213715902</v>
      </c>
      <c r="AJ427" s="4">
        <v>16.182857142857099</v>
      </c>
      <c r="AK427" s="4">
        <v>25.662019959418998</v>
      </c>
      <c r="AL427" s="1">
        <v>35</v>
      </c>
      <c r="AM427" s="5">
        <v>1172.3344362504499</v>
      </c>
      <c r="AN427" s="4">
        <v>334.87825537158699</v>
      </c>
      <c r="AO427" s="4">
        <v>0.28565078787811599</v>
      </c>
      <c r="AP427" s="1" t="s">
        <v>265</v>
      </c>
      <c r="AQ427" s="1" t="s">
        <v>254</v>
      </c>
      <c r="AR427" s="1" t="s">
        <v>796</v>
      </c>
      <c r="AS427" s="1">
        <v>9</v>
      </c>
      <c r="AT427" s="4">
        <v>1.0551009926254049</v>
      </c>
      <c r="AU427" s="1" t="s">
        <v>1751</v>
      </c>
      <c r="AV427" s="1" t="s">
        <v>1752</v>
      </c>
      <c r="AW427" s="1">
        <v>1078</v>
      </c>
      <c r="AX427" s="1">
        <v>649</v>
      </c>
      <c r="AY427" s="1">
        <v>336</v>
      </c>
      <c r="AZ427" s="1">
        <v>88</v>
      </c>
      <c r="BA427" s="1">
        <v>5</v>
      </c>
      <c r="BB427" s="1">
        <v>0</v>
      </c>
      <c r="BC427" s="1">
        <v>0</v>
      </c>
      <c r="BD427" s="1">
        <v>0</v>
      </c>
      <c r="BE427" s="1">
        <v>0</v>
      </c>
      <c r="BF427" s="1">
        <v>0</v>
      </c>
      <c r="BG427" s="1">
        <v>0</v>
      </c>
      <c r="BH427" s="4">
        <v>0</v>
      </c>
      <c r="BI427" s="4">
        <v>32.272998999999999</v>
      </c>
      <c r="BJ427" s="4">
        <v>18.697144999999999</v>
      </c>
      <c r="BK427" s="4">
        <v>0</v>
      </c>
      <c r="BL427" s="4">
        <v>12.805444</v>
      </c>
      <c r="BM427" s="4">
        <v>163.97938600000001</v>
      </c>
      <c r="BN427" s="4">
        <v>0.68488800000000005</v>
      </c>
      <c r="BO427" s="4">
        <v>28.821750999999999</v>
      </c>
      <c r="BP427" s="4">
        <v>-0.64141499999999996</v>
      </c>
      <c r="BQ427" s="4">
        <v>1.562843</v>
      </c>
      <c r="BR427" s="4">
        <v>11.7639</v>
      </c>
      <c r="BS427" s="4">
        <v>3.3675009999999999</v>
      </c>
      <c r="BT427" s="4">
        <v>26.643000000000001</v>
      </c>
      <c r="BU427" s="4">
        <v>18.697144999999999</v>
      </c>
      <c r="BV427" s="4">
        <v>6.681438</v>
      </c>
      <c r="BW427" s="4">
        <v>-1.576627</v>
      </c>
      <c r="BX427" s="4">
        <v>-0.68148799999999998</v>
      </c>
      <c r="BY427" s="4">
        <v>0.35735099999999997</v>
      </c>
      <c r="BZ427" s="4">
        <v>-0.23597099999999999</v>
      </c>
      <c r="CA427" s="4">
        <v>-0.101997</v>
      </c>
      <c r="CB427" s="4">
        <v>1E-3</v>
      </c>
      <c r="CC427" s="4">
        <v>6.0000000000000001E-3</v>
      </c>
      <c r="CD427" s="4">
        <v>1.2E-2</v>
      </c>
      <c r="CE427" s="4">
        <v>3.44E-2</v>
      </c>
      <c r="CF427" s="4">
        <v>5.2249999999999998E-2</v>
      </c>
      <c r="CG427" s="4">
        <v>6.5532000000000004</v>
      </c>
      <c r="CH427" s="4">
        <v>23.657599999999999</v>
      </c>
      <c r="CI427" s="4">
        <v>26.643000000000001</v>
      </c>
      <c r="CJ427" s="4">
        <v>27.739401000000001</v>
      </c>
      <c r="CK427" s="4">
        <v>28.411899999999999</v>
      </c>
      <c r="CL427" s="4">
        <v>28.874001</v>
      </c>
      <c r="CM427" s="4">
        <v>29.235800000000001</v>
      </c>
      <c r="CN427" s="4">
        <v>30.097300000000001</v>
      </c>
      <c r="CO427" s="4">
        <v>30.703748999999998</v>
      </c>
      <c r="CP427" s="4">
        <v>31.455099000000001</v>
      </c>
      <c r="CQ427" s="4">
        <v>0.57934300000000005</v>
      </c>
      <c r="CR427" s="4">
        <v>22.658563000000001</v>
      </c>
      <c r="CS427" s="4">
        <v>24.317475999999999</v>
      </c>
      <c r="CT427" s="1">
        <v>22</v>
      </c>
      <c r="CU427" s="1">
        <v>577</v>
      </c>
      <c r="CV427" s="4">
        <v>133.89610400000001</v>
      </c>
      <c r="CW427" s="4">
        <v>39.619047999999999</v>
      </c>
      <c r="CX427" s="4">
        <v>108.94798</v>
      </c>
      <c r="CY427" s="4">
        <v>11869.66236</v>
      </c>
      <c r="CZ427" s="4">
        <v>0.81367599999999995</v>
      </c>
      <c r="DA427" s="4">
        <v>104</v>
      </c>
      <c r="DB427" s="4">
        <v>1.8527940000000001</v>
      </c>
      <c r="DC427" s="4">
        <v>6.3588420000000001</v>
      </c>
      <c r="DD427" s="4">
        <v>77.152085</v>
      </c>
      <c r="DE427" s="4">
        <v>133.89610400000001</v>
      </c>
      <c r="DF427" s="4">
        <v>53.829067000000002</v>
      </c>
      <c r="DG427" s="4">
        <v>18.717257</v>
      </c>
      <c r="DH427" s="4">
        <v>11.033374</v>
      </c>
      <c r="DI427" s="4">
        <v>0.40202100000000002</v>
      </c>
      <c r="DJ427" s="4">
        <v>0.347717</v>
      </c>
      <c r="DK427" s="4">
        <v>0.20497099999999999</v>
      </c>
      <c r="DL427" s="4">
        <v>25</v>
      </c>
      <c r="DM427" s="4">
        <v>31</v>
      </c>
      <c r="DN427" s="4">
        <v>37.699997000000003</v>
      </c>
      <c r="DO427" s="4">
        <v>51</v>
      </c>
      <c r="DP427" s="4">
        <v>59</v>
      </c>
      <c r="DQ427" s="4">
        <v>67</v>
      </c>
      <c r="DR427" s="4">
        <v>84</v>
      </c>
      <c r="DS427" s="4">
        <v>105</v>
      </c>
      <c r="DT427" s="4">
        <v>129</v>
      </c>
      <c r="DU427" s="4">
        <v>149</v>
      </c>
      <c r="DV427" s="4">
        <v>163</v>
      </c>
      <c r="DW427" s="4">
        <v>180</v>
      </c>
      <c r="DX427" s="4">
        <v>266.89996300000001</v>
      </c>
      <c r="DY427" s="4">
        <v>406.20019500000001</v>
      </c>
      <c r="DZ427" s="4">
        <v>502.37988300000001</v>
      </c>
      <c r="EA427" s="4">
        <v>91.217257000000004</v>
      </c>
      <c r="EB427" s="4">
        <v>70.964749999999995</v>
      </c>
      <c r="EC427" s="4">
        <v>117.87365200000001</v>
      </c>
      <c r="ED427" s="4">
        <v>592</v>
      </c>
      <c r="EE427" s="4">
        <v>765</v>
      </c>
      <c r="EF427" s="4">
        <v>84.899845999999997</v>
      </c>
      <c r="EG427" s="4">
        <v>99.691834</v>
      </c>
      <c r="EH427" s="4">
        <v>64.100185999999994</v>
      </c>
      <c r="EI427" s="4">
        <v>99.443414000000004</v>
      </c>
      <c r="EJ427" s="4">
        <v>106.471495</v>
      </c>
      <c r="EK427" s="4">
        <v>165.17719600000001</v>
      </c>
      <c r="EL427" s="4">
        <v>551</v>
      </c>
      <c r="EM427" s="4">
        <v>647</v>
      </c>
      <c r="EN427" s="4">
        <v>691</v>
      </c>
      <c r="EO427" s="4">
        <v>1072</v>
      </c>
      <c r="EP427" s="4">
        <v>649</v>
      </c>
      <c r="EQ427" s="4">
        <v>1078</v>
      </c>
      <c r="ER427" s="4">
        <v>58.442214</v>
      </c>
    </row>
    <row r="428" spans="1:148" x14ac:dyDescent="0.2">
      <c r="A428" s="1">
        <v>2025</v>
      </c>
      <c r="B428" s="1" t="str">
        <f t="shared" si="12"/>
        <v>NE</v>
      </c>
      <c r="C428" s="1" t="s">
        <v>1754</v>
      </c>
      <c r="D428" s="1" t="s">
        <v>1754</v>
      </c>
      <c r="E428" s="1">
        <v>28165</v>
      </c>
      <c r="F428" s="1" t="s">
        <v>2229</v>
      </c>
      <c r="G428" s="1" t="s">
        <v>2030</v>
      </c>
      <c r="H428" s="1" t="s">
        <v>1972</v>
      </c>
      <c r="I428" s="1">
        <v>48.33</v>
      </c>
      <c r="J428" s="1">
        <v>48.33</v>
      </c>
      <c r="K428" s="1" t="s">
        <v>286</v>
      </c>
      <c r="L428" s="1">
        <v>1</v>
      </c>
      <c r="M428" s="3">
        <v>2020</v>
      </c>
      <c r="O428" s="1">
        <v>2</v>
      </c>
      <c r="P428" s="1" t="str">
        <f t="shared" si="13"/>
        <v>Talhadia</v>
      </c>
      <c r="Q428" s="2">
        <v>43836</v>
      </c>
      <c r="R428" s="1" t="s">
        <v>169</v>
      </c>
      <c r="S428" s="1" t="s">
        <v>265</v>
      </c>
      <c r="T428" s="1" t="s">
        <v>2268</v>
      </c>
      <c r="U428" s="1" t="s">
        <v>170</v>
      </c>
      <c r="V428" s="1" t="s">
        <v>152</v>
      </c>
      <c r="W428" s="2">
        <v>45758</v>
      </c>
      <c r="X428" s="1" t="s">
        <v>2228</v>
      </c>
      <c r="Y428" s="1">
        <v>145.32999999999998</v>
      </c>
      <c r="Z428" s="1">
        <v>21.3</v>
      </c>
      <c r="AA428" s="1">
        <v>27</v>
      </c>
      <c r="AB428" s="1">
        <v>15.4</v>
      </c>
      <c r="AC428" s="1">
        <v>1</v>
      </c>
      <c r="AD428" s="3">
        <v>328.02</v>
      </c>
      <c r="AE428" s="3">
        <v>292.22344623831901</v>
      </c>
      <c r="AF428" s="2">
        <v>45758</v>
      </c>
      <c r="AG428" s="1">
        <v>63</v>
      </c>
      <c r="AH428" s="3">
        <v>5.2621492128679002</v>
      </c>
      <c r="AI428" s="4">
        <v>27.258177589028602</v>
      </c>
      <c r="AJ428" s="4">
        <v>14.828947368421</v>
      </c>
      <c r="AK428" s="4">
        <v>23.3709235873762</v>
      </c>
      <c r="AL428" s="1">
        <v>38</v>
      </c>
      <c r="AM428" s="5">
        <v>1300.3747813243399</v>
      </c>
      <c r="AN428" s="4">
        <v>304.42442628947902</v>
      </c>
      <c r="AO428" s="4">
        <v>0.234105144656407</v>
      </c>
      <c r="AP428" s="1" t="s">
        <v>265</v>
      </c>
      <c r="AQ428" s="1" t="s">
        <v>254</v>
      </c>
      <c r="AR428" s="1" t="s">
        <v>796</v>
      </c>
      <c r="AS428" s="1">
        <v>9</v>
      </c>
      <c r="AT428" s="4">
        <v>1.170337303191906</v>
      </c>
      <c r="AU428" s="1" t="s">
        <v>1753</v>
      </c>
      <c r="AV428" s="1" t="s">
        <v>1754</v>
      </c>
      <c r="AW428" s="1">
        <v>1106</v>
      </c>
      <c r="AX428" s="1">
        <v>613</v>
      </c>
      <c r="AY428" s="1">
        <v>399</v>
      </c>
      <c r="AZ428" s="1">
        <v>82</v>
      </c>
      <c r="BA428" s="1">
        <v>11</v>
      </c>
      <c r="BB428" s="1">
        <v>1</v>
      </c>
      <c r="BC428" s="1">
        <v>0</v>
      </c>
      <c r="BD428" s="1">
        <v>0</v>
      </c>
      <c r="BE428" s="1">
        <v>0</v>
      </c>
      <c r="BF428" s="1">
        <v>0</v>
      </c>
      <c r="BG428" s="1">
        <v>0</v>
      </c>
      <c r="BH428" s="4">
        <v>0</v>
      </c>
      <c r="BI428" s="4">
        <v>33.290000999999997</v>
      </c>
      <c r="BJ428" s="4">
        <v>16.784578</v>
      </c>
      <c r="BK428" s="4">
        <v>0</v>
      </c>
      <c r="BL428" s="4">
        <v>13.664535000000001</v>
      </c>
      <c r="BM428" s="4">
        <v>186.71950699999999</v>
      </c>
      <c r="BN428" s="4">
        <v>0.81411299999999998</v>
      </c>
      <c r="BO428" s="4">
        <v>29.258500000000002</v>
      </c>
      <c r="BP428" s="4">
        <v>-0.23453299999999999</v>
      </c>
      <c r="BQ428" s="4">
        <v>1.1852389999999999</v>
      </c>
      <c r="BR428" s="4">
        <v>13.140172</v>
      </c>
      <c r="BS428" s="4">
        <v>8.02</v>
      </c>
      <c r="BT428" s="4">
        <v>23.322001</v>
      </c>
      <c r="BU428" s="4">
        <v>16.784578</v>
      </c>
      <c r="BV428" s="4">
        <v>7.3686970000000001</v>
      </c>
      <c r="BW428" s="4">
        <v>-0.57442300000000002</v>
      </c>
      <c r="BX428" s="4">
        <v>-1.321942</v>
      </c>
      <c r="BY428" s="4">
        <v>0.43901600000000002</v>
      </c>
      <c r="BZ428" s="4">
        <v>-7.7953999999999996E-2</v>
      </c>
      <c r="CA428" s="4">
        <v>-0.1794</v>
      </c>
      <c r="CB428" s="4">
        <v>2E-3</v>
      </c>
      <c r="CC428" s="4">
        <v>1.4250000000000001E-2</v>
      </c>
      <c r="CD428" s="4">
        <v>3.5000000000000003E-2</v>
      </c>
      <c r="CE428" s="4">
        <v>0.124</v>
      </c>
      <c r="CF428" s="4">
        <v>0.3</v>
      </c>
      <c r="CG428" s="4">
        <v>1.2404999999999999</v>
      </c>
      <c r="CH428" s="4">
        <v>5.3550000000000004</v>
      </c>
      <c r="CI428" s="4">
        <v>23.322001</v>
      </c>
      <c r="CJ428" s="4">
        <v>27.704999999999998</v>
      </c>
      <c r="CK428" s="4">
        <v>28.827998999999998</v>
      </c>
      <c r="CL428" s="4">
        <v>29.558499999999999</v>
      </c>
      <c r="CM428" s="4">
        <v>30.124001</v>
      </c>
      <c r="CN428" s="4">
        <v>31.063499</v>
      </c>
      <c r="CO428" s="4">
        <v>31.733499999999999</v>
      </c>
      <c r="CP428" s="4">
        <v>32.667946000000001</v>
      </c>
      <c r="CQ428" s="4">
        <v>0.504193</v>
      </c>
      <c r="CR428" s="4">
        <v>21.639610000000001</v>
      </c>
      <c r="CS428" s="4">
        <v>23.825258999999999</v>
      </c>
      <c r="CT428" s="1">
        <v>24</v>
      </c>
      <c r="CU428" s="1">
        <v>517</v>
      </c>
      <c r="CV428" s="4">
        <v>127.35171800000001</v>
      </c>
      <c r="CW428" s="4">
        <v>39.650793999999998</v>
      </c>
      <c r="CX428" s="4">
        <v>87.565732999999994</v>
      </c>
      <c r="CY428" s="4">
        <v>7667.7576310000004</v>
      </c>
      <c r="CZ428" s="4">
        <v>0.68759000000000003</v>
      </c>
      <c r="DA428" s="4">
        <v>110.75</v>
      </c>
      <c r="DB428" s="4">
        <v>1.392244</v>
      </c>
      <c r="DC428" s="4">
        <v>5.1537980000000001</v>
      </c>
      <c r="DD428" s="4">
        <v>67.124179999999996</v>
      </c>
      <c r="DE428" s="4">
        <v>127.35171800000001</v>
      </c>
      <c r="DF428" s="4">
        <v>46.255372999999999</v>
      </c>
      <c r="DG428" s="4">
        <v>12.000235999999999</v>
      </c>
      <c r="DH428" s="4">
        <v>6.1465100000000001</v>
      </c>
      <c r="DI428" s="4">
        <v>0.36320999999999998</v>
      </c>
      <c r="DJ428" s="4">
        <v>0.259434</v>
      </c>
      <c r="DK428" s="4">
        <v>0.132882</v>
      </c>
      <c r="DL428" s="4">
        <v>26</v>
      </c>
      <c r="DM428" s="4">
        <v>32</v>
      </c>
      <c r="DN428" s="4">
        <v>39</v>
      </c>
      <c r="DO428" s="4">
        <v>51</v>
      </c>
      <c r="DP428" s="4">
        <v>59</v>
      </c>
      <c r="DQ428" s="4">
        <v>66.5</v>
      </c>
      <c r="DR428" s="4">
        <v>87</v>
      </c>
      <c r="DS428" s="4">
        <v>106</v>
      </c>
      <c r="DT428" s="4">
        <v>129</v>
      </c>
      <c r="DU428" s="4">
        <v>154</v>
      </c>
      <c r="DV428" s="4">
        <v>169.75</v>
      </c>
      <c r="DW428" s="4">
        <v>186</v>
      </c>
      <c r="DX428" s="4">
        <v>241</v>
      </c>
      <c r="DY428" s="4">
        <v>301.75</v>
      </c>
      <c r="DZ428" s="4">
        <v>420.49951199999998</v>
      </c>
      <c r="EA428" s="4">
        <v>89.722674999999995</v>
      </c>
      <c r="EB428" s="4">
        <v>64.104882000000003</v>
      </c>
      <c r="EC428" s="4">
        <v>115.660685</v>
      </c>
      <c r="ED428" s="4">
        <v>550</v>
      </c>
      <c r="EE428" s="4">
        <v>709</v>
      </c>
      <c r="EF428" s="4">
        <v>84.339314999999999</v>
      </c>
      <c r="EG428" s="4">
        <v>100</v>
      </c>
      <c r="EH428" s="4">
        <v>57.142856999999999</v>
      </c>
      <c r="EI428" s="4">
        <v>99.728752</v>
      </c>
      <c r="EJ428" s="4">
        <v>103.09951100000001</v>
      </c>
      <c r="EK428" s="4">
        <v>179.93474699999999</v>
      </c>
      <c r="EL428" s="4">
        <v>517</v>
      </c>
      <c r="EM428" s="4">
        <v>613</v>
      </c>
      <c r="EN428" s="4">
        <v>632</v>
      </c>
      <c r="EO428" s="4">
        <v>1103</v>
      </c>
      <c r="EP428" s="4">
        <v>613</v>
      </c>
      <c r="EQ428" s="4">
        <v>1106</v>
      </c>
      <c r="ER428" s="4">
        <v>50.349328</v>
      </c>
    </row>
    <row r="429" spans="1:148" x14ac:dyDescent="0.2">
      <c r="A429" s="1">
        <v>2025</v>
      </c>
      <c r="B429" s="1" t="str">
        <f t="shared" si="12"/>
        <v>NE</v>
      </c>
      <c r="C429" s="1" t="s">
        <v>1756</v>
      </c>
      <c r="D429" s="1" t="s">
        <v>1756</v>
      </c>
      <c r="E429" s="1">
        <v>28247</v>
      </c>
      <c r="F429" s="1" t="s">
        <v>2229</v>
      </c>
      <c r="G429" s="1" t="s">
        <v>2030</v>
      </c>
      <c r="H429" s="1" t="s">
        <v>1972</v>
      </c>
      <c r="I429" s="1">
        <v>48.33</v>
      </c>
      <c r="J429" s="1">
        <v>48.33</v>
      </c>
      <c r="K429" s="1" t="s">
        <v>286</v>
      </c>
      <c r="L429" s="1">
        <v>1</v>
      </c>
      <c r="M429" s="3">
        <v>2020</v>
      </c>
      <c r="O429" s="1">
        <v>2</v>
      </c>
      <c r="P429" s="1" t="str">
        <f t="shared" si="13"/>
        <v>Talhadia</v>
      </c>
      <c r="Q429" s="2">
        <v>43836</v>
      </c>
      <c r="R429" s="1" t="s">
        <v>169</v>
      </c>
      <c r="S429" s="1" t="s">
        <v>265</v>
      </c>
      <c r="T429" s="1" t="s">
        <v>2268</v>
      </c>
      <c r="U429" s="1" t="s">
        <v>170</v>
      </c>
      <c r="V429" s="1" t="s">
        <v>152</v>
      </c>
      <c r="W429" s="2">
        <v>44803</v>
      </c>
      <c r="X429" s="1" t="s">
        <v>2228</v>
      </c>
      <c r="Y429" s="1">
        <v>145.32999999999998</v>
      </c>
      <c r="Z429" s="1">
        <v>20.7</v>
      </c>
      <c r="AA429" s="1">
        <v>15</v>
      </c>
      <c r="AB429" s="1">
        <v>16</v>
      </c>
      <c r="AC429" s="1">
        <v>1</v>
      </c>
      <c r="AD429" s="3">
        <v>331.2</v>
      </c>
      <c r="AE429" s="3">
        <v>319.86590911869098</v>
      </c>
      <c r="AF429" s="2">
        <v>45758</v>
      </c>
      <c r="AG429" s="1">
        <v>63</v>
      </c>
      <c r="AH429" s="3">
        <v>5.2621492128679002</v>
      </c>
      <c r="AI429" s="4">
        <v>27.841019336333101</v>
      </c>
      <c r="AJ429" s="4">
        <v>16.702702702702702</v>
      </c>
      <c r="AK429" s="4">
        <v>26.864265687809201</v>
      </c>
      <c r="AL429" s="1">
        <v>37</v>
      </c>
      <c r="AM429" s="5">
        <v>1156.7347111777001</v>
      </c>
      <c r="AN429" s="4">
        <v>359.14087025441199</v>
      </c>
      <c r="AO429" s="4">
        <v>0.31047816477190598</v>
      </c>
      <c r="AP429" s="1" t="s">
        <v>265</v>
      </c>
      <c r="AQ429" s="1" t="s">
        <v>254</v>
      </c>
      <c r="AR429" s="1" t="s">
        <v>796</v>
      </c>
      <c r="AS429" s="1">
        <v>9</v>
      </c>
      <c r="AT429" s="4">
        <v>1.0410612400599302</v>
      </c>
      <c r="AU429" s="1" t="s">
        <v>1755</v>
      </c>
      <c r="AV429" s="1" t="s">
        <v>1756</v>
      </c>
      <c r="AW429" s="1">
        <v>1222</v>
      </c>
      <c r="AX429" s="1">
        <v>598</v>
      </c>
      <c r="AY429" s="1">
        <v>437</v>
      </c>
      <c r="AZ429" s="1">
        <v>158</v>
      </c>
      <c r="BA429" s="1">
        <v>27</v>
      </c>
      <c r="BB429" s="1">
        <v>2</v>
      </c>
      <c r="BC429" s="1">
        <v>0</v>
      </c>
      <c r="BD429" s="1">
        <v>0</v>
      </c>
      <c r="BE429" s="1">
        <v>0</v>
      </c>
      <c r="BF429" s="1">
        <v>0</v>
      </c>
      <c r="BG429" s="1">
        <v>0</v>
      </c>
      <c r="BH429" s="4">
        <v>0</v>
      </c>
      <c r="BI429" s="4">
        <v>31.316998999999999</v>
      </c>
      <c r="BJ429" s="4">
        <v>16.768132999999999</v>
      </c>
      <c r="BK429" s="4">
        <v>0</v>
      </c>
      <c r="BL429" s="4">
        <v>12.971493000000001</v>
      </c>
      <c r="BM429" s="4">
        <v>168.259624</v>
      </c>
      <c r="BN429" s="4">
        <v>0.77358000000000005</v>
      </c>
      <c r="BO429" s="4">
        <v>27.642999</v>
      </c>
      <c r="BP429" s="4">
        <v>-0.42270400000000002</v>
      </c>
      <c r="BQ429" s="4">
        <v>1.274027</v>
      </c>
      <c r="BR429" s="4">
        <v>12.414033999999999</v>
      </c>
      <c r="BS429" s="4">
        <v>4.0285010000000003</v>
      </c>
      <c r="BT429" s="4">
        <v>25.320999</v>
      </c>
      <c r="BU429" s="4">
        <v>16.768132999999999</v>
      </c>
      <c r="BV429" s="4">
        <v>6.8091540000000004</v>
      </c>
      <c r="BW429" s="4">
        <v>-1.041596</v>
      </c>
      <c r="BX429" s="4">
        <v>-1.0955239999999999</v>
      </c>
      <c r="BY429" s="4">
        <v>0.40607700000000002</v>
      </c>
      <c r="BZ429" s="4">
        <v>-0.15296999999999999</v>
      </c>
      <c r="CA429" s="4">
        <v>-0.16089000000000001</v>
      </c>
      <c r="CB429" s="4">
        <v>1E-3</v>
      </c>
      <c r="CC429" s="4">
        <v>5.0000000000000001E-3</v>
      </c>
      <c r="CD429" s="4">
        <v>1.0999999999999999E-2</v>
      </c>
      <c r="CE429" s="4">
        <v>0.03</v>
      </c>
      <c r="CF429" s="4">
        <v>4.2000000000000003E-2</v>
      </c>
      <c r="CG429" s="4">
        <v>6.5299999999999997E-2</v>
      </c>
      <c r="CH429" s="4">
        <v>17.526796000000001</v>
      </c>
      <c r="CI429" s="4">
        <v>25.320999</v>
      </c>
      <c r="CJ429" s="4">
        <v>26.579599000000002</v>
      </c>
      <c r="CK429" s="4">
        <v>27.319099000000001</v>
      </c>
      <c r="CL429" s="4">
        <v>27.684999000000001</v>
      </c>
      <c r="CM429" s="4">
        <v>28.159800000000001</v>
      </c>
      <c r="CN429" s="4">
        <v>29.178801</v>
      </c>
      <c r="CO429" s="4">
        <v>29.692301</v>
      </c>
      <c r="CP429" s="4">
        <v>30.429001</v>
      </c>
      <c r="CQ429" s="4">
        <v>0.53543200000000002</v>
      </c>
      <c r="CR429" s="4">
        <v>21.196515000000002</v>
      </c>
      <c r="CS429" s="4">
        <v>23.052264999999998</v>
      </c>
      <c r="CT429" s="1">
        <v>23</v>
      </c>
      <c r="CU429" s="1">
        <v>731</v>
      </c>
      <c r="CV429" s="4">
        <v>162.797054</v>
      </c>
      <c r="CW429" s="4">
        <v>45.476190000000003</v>
      </c>
      <c r="CX429" s="4">
        <v>132.77024900000001</v>
      </c>
      <c r="CY429" s="4">
        <v>17627.939119999999</v>
      </c>
      <c r="CZ429" s="4">
        <v>0.81555699999999998</v>
      </c>
      <c r="DA429" s="4">
        <v>147</v>
      </c>
      <c r="DB429" s="4">
        <v>1.730958</v>
      </c>
      <c r="DC429" s="4">
        <v>6.245546</v>
      </c>
      <c r="DD429" s="4">
        <v>98.151891000000006</v>
      </c>
      <c r="DE429" s="4">
        <v>162.797054</v>
      </c>
      <c r="DF429" s="4">
        <v>67.269345000000001</v>
      </c>
      <c r="DG429" s="4">
        <v>21.516128999999999</v>
      </c>
      <c r="DH429" s="4">
        <v>11.126231000000001</v>
      </c>
      <c r="DI429" s="4">
        <v>0.41321000000000002</v>
      </c>
      <c r="DJ429" s="4">
        <v>0.31985000000000002</v>
      </c>
      <c r="DK429" s="4">
        <v>0.16539799999999999</v>
      </c>
      <c r="DL429" s="4">
        <v>26</v>
      </c>
      <c r="DM429" s="4">
        <v>33</v>
      </c>
      <c r="DN429" s="4">
        <v>41</v>
      </c>
      <c r="DO429" s="4">
        <v>56</v>
      </c>
      <c r="DP429" s="4">
        <v>67</v>
      </c>
      <c r="DQ429" s="4">
        <v>74</v>
      </c>
      <c r="DR429" s="4">
        <v>97</v>
      </c>
      <c r="DS429" s="4">
        <v>125</v>
      </c>
      <c r="DT429" s="4">
        <v>160</v>
      </c>
      <c r="DU429" s="4">
        <v>196</v>
      </c>
      <c r="DV429" s="4">
        <v>214</v>
      </c>
      <c r="DW429" s="4">
        <v>237</v>
      </c>
      <c r="DX429" s="4">
        <v>316</v>
      </c>
      <c r="DY429" s="4">
        <v>462.74975599999999</v>
      </c>
      <c r="DZ429" s="4">
        <v>643</v>
      </c>
      <c r="EA429" s="4">
        <v>93.645484999999994</v>
      </c>
      <c r="EB429" s="4">
        <v>65.220949000000005</v>
      </c>
      <c r="EC429" s="4">
        <v>133.277592</v>
      </c>
      <c r="ED429" s="4">
        <v>560</v>
      </c>
      <c r="EE429" s="4">
        <v>797</v>
      </c>
      <c r="EF429" s="4">
        <v>90.635452000000001</v>
      </c>
      <c r="EG429" s="4">
        <v>100</v>
      </c>
      <c r="EH429" s="4">
        <v>60.310966000000001</v>
      </c>
      <c r="EI429" s="4">
        <v>99.590834999999998</v>
      </c>
      <c r="EJ429" s="4">
        <v>123.244147</v>
      </c>
      <c r="EK429" s="4">
        <v>203.511706</v>
      </c>
      <c r="EL429" s="4">
        <v>542</v>
      </c>
      <c r="EM429" s="4">
        <v>598</v>
      </c>
      <c r="EN429" s="4">
        <v>737</v>
      </c>
      <c r="EO429" s="4">
        <v>1217</v>
      </c>
      <c r="EP429" s="4">
        <v>598</v>
      </c>
      <c r="EQ429" s="4">
        <v>1222</v>
      </c>
      <c r="ER429" s="4">
        <v>54.101405</v>
      </c>
    </row>
    <row r="430" spans="1:148" x14ac:dyDescent="0.2">
      <c r="A430" s="1">
        <v>2025</v>
      </c>
      <c r="B430" s="1" t="str">
        <f t="shared" si="12"/>
        <v>NE</v>
      </c>
      <c r="C430" s="1" t="s">
        <v>1758</v>
      </c>
      <c r="D430" s="1" t="s">
        <v>1758</v>
      </c>
      <c r="E430" s="1">
        <v>30366</v>
      </c>
      <c r="F430" s="1" t="s">
        <v>2229</v>
      </c>
      <c r="G430" s="1" t="s">
        <v>2030</v>
      </c>
      <c r="H430" s="1" t="s">
        <v>1972</v>
      </c>
      <c r="I430" s="1">
        <v>48.33</v>
      </c>
      <c r="J430" s="1">
        <v>48.33</v>
      </c>
      <c r="K430" s="1" t="s">
        <v>286</v>
      </c>
      <c r="L430" s="1">
        <v>1</v>
      </c>
      <c r="M430" s="3">
        <v>2020</v>
      </c>
      <c r="O430" s="1">
        <v>2</v>
      </c>
      <c r="P430" s="1" t="str">
        <f t="shared" si="13"/>
        <v>Talhadia</v>
      </c>
      <c r="Q430" s="2">
        <v>43836</v>
      </c>
      <c r="R430" s="1" t="s">
        <v>169</v>
      </c>
      <c r="S430" s="1" t="s">
        <v>265</v>
      </c>
      <c r="T430" s="1" t="s">
        <v>2268</v>
      </c>
      <c r="U430" s="1" t="s">
        <v>170</v>
      </c>
      <c r="V430" s="1" t="s">
        <v>152</v>
      </c>
      <c r="W430" s="2">
        <v>45758</v>
      </c>
      <c r="X430" s="1" t="s">
        <v>2228</v>
      </c>
      <c r="Y430" s="1">
        <v>145.32999999999998</v>
      </c>
      <c r="Z430" s="1">
        <v>19.2</v>
      </c>
      <c r="AA430" s="1">
        <v>10</v>
      </c>
      <c r="AB430" s="1">
        <v>15.2</v>
      </c>
      <c r="AC430" s="1">
        <v>3</v>
      </c>
      <c r="AD430" s="3">
        <v>291.83999999999997</v>
      </c>
      <c r="AE430" s="3">
        <v>287.01241430096297</v>
      </c>
      <c r="AF430" s="2">
        <v>45758</v>
      </c>
      <c r="AG430" s="1">
        <v>63</v>
      </c>
      <c r="AH430" s="3">
        <v>5.2621492128679002</v>
      </c>
      <c r="AI430" s="4">
        <v>26.3419783094729</v>
      </c>
      <c r="AJ430" s="4">
        <v>16.8379310344828</v>
      </c>
      <c r="AK430" s="4">
        <v>23.474590435700101</v>
      </c>
      <c r="AL430" s="1">
        <v>29</v>
      </c>
      <c r="AM430" s="5">
        <v>1010.4092560118499</v>
      </c>
      <c r="AN430" s="4">
        <v>287.78878635698698</v>
      </c>
      <c r="AO430" s="4">
        <v>0.28482398062435399</v>
      </c>
      <c r="AP430" s="1" t="s">
        <v>265</v>
      </c>
      <c r="AQ430" s="1" t="s">
        <v>254</v>
      </c>
      <c r="AR430" s="1" t="s">
        <v>796</v>
      </c>
      <c r="AS430" s="1">
        <v>9</v>
      </c>
      <c r="AT430" s="4">
        <v>0.909368330410665</v>
      </c>
      <c r="AU430" s="1" t="s">
        <v>1757</v>
      </c>
      <c r="AV430" s="1" t="s">
        <v>1758</v>
      </c>
      <c r="AW430" s="1">
        <v>1066</v>
      </c>
      <c r="AX430" s="1">
        <v>603</v>
      </c>
      <c r="AY430" s="1">
        <v>348</v>
      </c>
      <c r="AZ430" s="1">
        <v>99</v>
      </c>
      <c r="BA430" s="1">
        <v>16</v>
      </c>
      <c r="BB430" s="1">
        <v>0</v>
      </c>
      <c r="BC430" s="1">
        <v>0</v>
      </c>
      <c r="BD430" s="1">
        <v>0</v>
      </c>
      <c r="BE430" s="1">
        <v>0</v>
      </c>
      <c r="BF430" s="1">
        <v>0</v>
      </c>
      <c r="BG430" s="1">
        <v>0</v>
      </c>
      <c r="BH430" s="4">
        <v>0</v>
      </c>
      <c r="BI430" s="4">
        <v>27.325001</v>
      </c>
      <c r="BJ430" s="4">
        <v>17.658587000000001</v>
      </c>
      <c r="BK430" s="4">
        <v>0</v>
      </c>
      <c r="BL430" s="4">
        <v>10.773222000000001</v>
      </c>
      <c r="BM430" s="4">
        <v>116.06231</v>
      </c>
      <c r="BN430" s="4">
        <v>0.61008399999999996</v>
      </c>
      <c r="BO430" s="4">
        <v>24.91675</v>
      </c>
      <c r="BP430" s="4">
        <v>-0.963507</v>
      </c>
      <c r="BQ430" s="4">
        <v>2.022856</v>
      </c>
      <c r="BR430" s="4">
        <v>9.5101180000000003</v>
      </c>
      <c r="BS430" s="4">
        <v>1.8919999999999999</v>
      </c>
      <c r="BT430" s="4">
        <v>23.506499999999999</v>
      </c>
      <c r="BU430" s="4">
        <v>17.658587000000001</v>
      </c>
      <c r="BV430" s="4">
        <v>5.2775509999999999</v>
      </c>
      <c r="BW430" s="4">
        <v>-1.8274729999999999</v>
      </c>
      <c r="BX430" s="4">
        <v>-3.1713999999999999E-2</v>
      </c>
      <c r="BY430" s="4">
        <v>0.29886600000000002</v>
      </c>
      <c r="BZ430" s="4">
        <v>-0.346273</v>
      </c>
      <c r="CA430" s="4">
        <v>-6.0089999999999996E-3</v>
      </c>
      <c r="CB430" s="4">
        <v>2E-3</v>
      </c>
      <c r="CC430" s="4">
        <v>8.9999999999999993E-3</v>
      </c>
      <c r="CD430" s="4">
        <v>1.7000000000000001E-2</v>
      </c>
      <c r="CE430" s="4">
        <v>4.3999999999999997E-2</v>
      </c>
      <c r="CF430" s="4">
        <v>0.11475</v>
      </c>
      <c r="CG430" s="4">
        <v>21.020499999999998</v>
      </c>
      <c r="CH430" s="4">
        <v>22.763000000000002</v>
      </c>
      <c r="CI430" s="4">
        <v>23.506499999999999</v>
      </c>
      <c r="CJ430" s="4">
        <v>24.164000000000001</v>
      </c>
      <c r="CK430" s="4">
        <v>24.717499</v>
      </c>
      <c r="CL430" s="4">
        <v>25.031500000000001</v>
      </c>
      <c r="CM430" s="4">
        <v>25.259001000000001</v>
      </c>
      <c r="CN430" s="4">
        <v>26.038</v>
      </c>
      <c r="CO430" s="4">
        <v>26.512249000000001</v>
      </c>
      <c r="CP430" s="4">
        <v>27.030899000000002</v>
      </c>
      <c r="CQ430" s="4">
        <v>0.64624300000000001</v>
      </c>
      <c r="CR430" s="4">
        <v>20.682822000000002</v>
      </c>
      <c r="CS430" s="4">
        <v>21.859649000000001</v>
      </c>
      <c r="CT430" s="1">
        <v>25</v>
      </c>
      <c r="CU430" s="1">
        <v>740</v>
      </c>
      <c r="CV430" s="4">
        <v>148.29174499999999</v>
      </c>
      <c r="CW430" s="4">
        <v>36.349206000000002</v>
      </c>
      <c r="CX430" s="4">
        <v>115.67980799999999</v>
      </c>
      <c r="CY430" s="4">
        <v>13381.818090000001</v>
      </c>
      <c r="CZ430" s="4">
        <v>0.78008299999999997</v>
      </c>
      <c r="DA430" s="4">
        <v>123</v>
      </c>
      <c r="DB430" s="4">
        <v>2.0707110000000002</v>
      </c>
      <c r="DC430" s="4">
        <v>8.6123729999999998</v>
      </c>
      <c r="DD430" s="4">
        <v>81.927706000000001</v>
      </c>
      <c r="DE430" s="4">
        <v>148.29174499999999</v>
      </c>
      <c r="DF430" s="4">
        <v>57.185960000000001</v>
      </c>
      <c r="DG430" s="4">
        <v>18.027239000000002</v>
      </c>
      <c r="DH430" s="4">
        <v>10.939560999999999</v>
      </c>
      <c r="DI430" s="4">
        <v>0.385631</v>
      </c>
      <c r="DJ430" s="4">
        <v>0.31523899999999999</v>
      </c>
      <c r="DK430" s="4">
        <v>0.191298</v>
      </c>
      <c r="DL430" s="4">
        <v>28</v>
      </c>
      <c r="DM430" s="4">
        <v>36</v>
      </c>
      <c r="DN430" s="4">
        <v>42</v>
      </c>
      <c r="DO430" s="4">
        <v>57</v>
      </c>
      <c r="DP430" s="4">
        <v>66</v>
      </c>
      <c r="DQ430" s="4">
        <v>77</v>
      </c>
      <c r="DR430" s="4">
        <v>98</v>
      </c>
      <c r="DS430" s="4">
        <v>120.5</v>
      </c>
      <c r="DT430" s="4">
        <v>148</v>
      </c>
      <c r="DU430" s="4">
        <v>171</v>
      </c>
      <c r="DV430" s="4">
        <v>189</v>
      </c>
      <c r="DW430" s="4">
        <v>208</v>
      </c>
      <c r="DX430" s="4">
        <v>273</v>
      </c>
      <c r="DY430" s="4">
        <v>371.25</v>
      </c>
      <c r="DZ430" s="4">
        <v>621.74987799999997</v>
      </c>
      <c r="EA430" s="4">
        <v>95.854062999999996</v>
      </c>
      <c r="EB430" s="4">
        <v>73.733582999999996</v>
      </c>
      <c r="EC430" s="4">
        <v>130.34825900000001</v>
      </c>
      <c r="ED430" s="4">
        <v>578</v>
      </c>
      <c r="EE430" s="4">
        <v>786</v>
      </c>
      <c r="EF430" s="4">
        <v>95.024876000000006</v>
      </c>
      <c r="EG430" s="4">
        <v>100</v>
      </c>
      <c r="EH430" s="4">
        <v>71.575985000000003</v>
      </c>
      <c r="EI430" s="4">
        <v>99.812382999999997</v>
      </c>
      <c r="EJ430" s="4">
        <v>126.533997</v>
      </c>
      <c r="EK430" s="4">
        <v>176.451078</v>
      </c>
      <c r="EL430" s="4">
        <v>573</v>
      </c>
      <c r="EM430" s="4">
        <v>603</v>
      </c>
      <c r="EN430" s="4">
        <v>763</v>
      </c>
      <c r="EO430" s="4">
        <v>1064</v>
      </c>
      <c r="EP430" s="4">
        <v>603</v>
      </c>
      <c r="EQ430" s="4">
        <v>1066</v>
      </c>
      <c r="ER430" s="4">
        <v>64.379223999999994</v>
      </c>
    </row>
    <row r="431" spans="1:148" x14ac:dyDescent="0.2">
      <c r="A431" s="1">
        <v>2025</v>
      </c>
      <c r="B431" s="1" t="str">
        <f t="shared" si="12"/>
        <v>NE</v>
      </c>
      <c r="C431" s="1" t="s">
        <v>1760</v>
      </c>
      <c r="D431" s="1" t="s">
        <v>1760</v>
      </c>
      <c r="E431" s="1">
        <v>31027</v>
      </c>
      <c r="F431" s="1" t="s">
        <v>2229</v>
      </c>
      <c r="G431" s="1" t="s">
        <v>2030</v>
      </c>
      <c r="H431" s="1" t="s">
        <v>1972</v>
      </c>
      <c r="I431" s="1">
        <v>48.33</v>
      </c>
      <c r="J431" s="1">
        <v>48.33</v>
      </c>
      <c r="K431" s="1" t="s">
        <v>286</v>
      </c>
      <c r="L431" s="1">
        <v>1</v>
      </c>
      <c r="M431" s="3">
        <v>2020</v>
      </c>
      <c r="O431" s="1">
        <v>2</v>
      </c>
      <c r="P431" s="1" t="str">
        <f t="shared" si="13"/>
        <v>Talhadia</v>
      </c>
      <c r="Q431" s="2">
        <v>43836</v>
      </c>
      <c r="R431" s="1" t="s">
        <v>169</v>
      </c>
      <c r="S431" s="1" t="s">
        <v>265</v>
      </c>
      <c r="T431" s="1" t="s">
        <v>2268</v>
      </c>
      <c r="U431" s="1" t="s">
        <v>170</v>
      </c>
      <c r="V431" s="1" t="s">
        <v>152</v>
      </c>
      <c r="W431" s="2">
        <v>44804</v>
      </c>
      <c r="X431" s="1" t="s">
        <v>2228</v>
      </c>
      <c r="Y431" s="1">
        <v>145.32999999999998</v>
      </c>
      <c r="Z431" s="1">
        <v>19</v>
      </c>
      <c r="AA431" s="1">
        <v>9</v>
      </c>
      <c r="AB431" s="1">
        <v>16.3</v>
      </c>
      <c r="AC431" s="1">
        <v>2</v>
      </c>
      <c r="AD431" s="3">
        <v>309.7</v>
      </c>
      <c r="AE431" s="3">
        <v>305.70074093852998</v>
      </c>
      <c r="AF431" s="2">
        <v>45758</v>
      </c>
      <c r="AG431" s="1">
        <v>63</v>
      </c>
      <c r="AH431" s="3">
        <v>5.2621492128679002</v>
      </c>
      <c r="AI431" s="4">
        <v>28.383727116824598</v>
      </c>
      <c r="AJ431" s="4">
        <v>17.936666666666699</v>
      </c>
      <c r="AK431" s="4">
        <v>25.542643290950402</v>
      </c>
      <c r="AL431" s="1">
        <v>30</v>
      </c>
      <c r="AM431" s="5">
        <v>981.35189034534994</v>
      </c>
      <c r="AN431" s="4">
        <v>334.16291344232798</v>
      </c>
      <c r="AO431" s="4">
        <v>0.340512834111658</v>
      </c>
      <c r="AP431" s="1" t="s">
        <v>265</v>
      </c>
      <c r="AQ431" s="1" t="s">
        <v>254</v>
      </c>
      <c r="AR431" s="1" t="s">
        <v>796</v>
      </c>
      <c r="AS431" s="1">
        <v>9</v>
      </c>
      <c r="AT431" s="4">
        <v>0.88321670131081498</v>
      </c>
      <c r="AU431" s="1" t="s">
        <v>1759</v>
      </c>
      <c r="AV431" s="1" t="s">
        <v>1760</v>
      </c>
      <c r="AW431" s="1">
        <v>1226</v>
      </c>
      <c r="AX431" s="1">
        <v>680</v>
      </c>
      <c r="AY431" s="1">
        <v>402</v>
      </c>
      <c r="AZ431" s="1">
        <v>123</v>
      </c>
      <c r="BA431" s="1">
        <v>21</v>
      </c>
      <c r="BB431" s="1">
        <v>0</v>
      </c>
      <c r="BC431" s="1">
        <v>0</v>
      </c>
      <c r="BD431" s="1">
        <v>0</v>
      </c>
      <c r="BE431" s="1">
        <v>0</v>
      </c>
      <c r="BF431" s="1">
        <v>0</v>
      </c>
      <c r="BG431" s="1">
        <v>0</v>
      </c>
      <c r="BH431" s="4">
        <v>0</v>
      </c>
      <c r="BI431" s="4">
        <v>29.129999000000002</v>
      </c>
      <c r="BJ431" s="4">
        <v>18.278722999999999</v>
      </c>
      <c r="BK431" s="4">
        <v>0</v>
      </c>
      <c r="BL431" s="4">
        <v>11.737024</v>
      </c>
      <c r="BM431" s="4">
        <v>137.75773599999999</v>
      </c>
      <c r="BN431" s="4">
        <v>0.64211399999999996</v>
      </c>
      <c r="BO431" s="4">
        <v>26.613250000000001</v>
      </c>
      <c r="BP431" s="4">
        <v>-0.83773299999999995</v>
      </c>
      <c r="BQ431" s="4">
        <v>1.7975449999999999</v>
      </c>
      <c r="BR431" s="4">
        <v>10.642576999999999</v>
      </c>
      <c r="BS431" s="4">
        <v>2.0005000000000002</v>
      </c>
      <c r="BT431" s="4">
        <v>25.222000000000001</v>
      </c>
      <c r="BU431" s="4">
        <v>18.278722999999999</v>
      </c>
      <c r="BV431" s="4">
        <v>5.850975</v>
      </c>
      <c r="BW431" s="4">
        <v>-1.831216</v>
      </c>
      <c r="BX431" s="4">
        <v>-0.278449</v>
      </c>
      <c r="BY431" s="4">
        <v>0.32009799999999999</v>
      </c>
      <c r="BZ431" s="4">
        <v>-0.31297599999999998</v>
      </c>
      <c r="CA431" s="4">
        <v>-4.759E-2</v>
      </c>
      <c r="CB431" s="4">
        <v>1.25E-3</v>
      </c>
      <c r="CC431" s="4">
        <v>7.0000000000000001E-3</v>
      </c>
      <c r="CD431" s="4">
        <v>1.2E-2</v>
      </c>
      <c r="CE431" s="4">
        <v>3.5000000000000003E-2</v>
      </c>
      <c r="CF431" s="4">
        <v>6.0249999999999998E-2</v>
      </c>
      <c r="CG431" s="4">
        <v>13.497498999999999</v>
      </c>
      <c r="CH431" s="4">
        <v>24.249001</v>
      </c>
      <c r="CI431" s="4">
        <v>25.222000000000001</v>
      </c>
      <c r="CJ431" s="4">
        <v>25.789000000000001</v>
      </c>
      <c r="CK431" s="4">
        <v>26.300999000000001</v>
      </c>
      <c r="CL431" s="4">
        <v>26.673500000000001</v>
      </c>
      <c r="CM431" s="4">
        <v>26.948999000000001</v>
      </c>
      <c r="CN431" s="4">
        <v>27.645</v>
      </c>
      <c r="CO431" s="4">
        <v>28.249500000000001</v>
      </c>
      <c r="CP431" s="4">
        <v>28.774750000000001</v>
      </c>
      <c r="CQ431" s="4">
        <v>0.62748800000000005</v>
      </c>
      <c r="CR431" s="4">
        <v>21.71997</v>
      </c>
      <c r="CS431" s="4">
        <v>23.084548999999999</v>
      </c>
      <c r="CT431" s="1">
        <v>21</v>
      </c>
      <c r="CU431" s="1">
        <v>744</v>
      </c>
      <c r="CV431" s="4">
        <v>161.88907</v>
      </c>
      <c r="CW431" s="4">
        <v>55.428570999999998</v>
      </c>
      <c r="CX431" s="4">
        <v>129.369463</v>
      </c>
      <c r="CY431" s="4">
        <v>16736.457890000001</v>
      </c>
      <c r="CZ431" s="4">
        <v>0.79912399999999995</v>
      </c>
      <c r="DA431" s="4">
        <v>136</v>
      </c>
      <c r="DB431" s="4">
        <v>1.951751</v>
      </c>
      <c r="DC431" s="4">
        <v>7.3667629999999997</v>
      </c>
      <c r="DD431" s="4">
        <v>91.417658000000003</v>
      </c>
      <c r="DE431" s="4">
        <v>161.88907</v>
      </c>
      <c r="DF431" s="4">
        <v>64.034227000000001</v>
      </c>
      <c r="DG431" s="4">
        <v>20.337015000000001</v>
      </c>
      <c r="DH431" s="4">
        <v>12.722498</v>
      </c>
      <c r="DI431" s="4">
        <v>0.39554400000000001</v>
      </c>
      <c r="DJ431" s="4">
        <v>0.31759599999999999</v>
      </c>
      <c r="DK431" s="4">
        <v>0.198683</v>
      </c>
      <c r="DL431" s="4">
        <v>26</v>
      </c>
      <c r="DM431" s="4">
        <v>35.25</v>
      </c>
      <c r="DN431" s="4">
        <v>43.5</v>
      </c>
      <c r="DO431" s="4">
        <v>61</v>
      </c>
      <c r="DP431" s="4">
        <v>71</v>
      </c>
      <c r="DQ431" s="4">
        <v>82</v>
      </c>
      <c r="DR431" s="4">
        <v>106</v>
      </c>
      <c r="DS431" s="4">
        <v>132</v>
      </c>
      <c r="DT431" s="4">
        <v>156</v>
      </c>
      <c r="DU431" s="4">
        <v>190</v>
      </c>
      <c r="DV431" s="4">
        <v>207</v>
      </c>
      <c r="DW431" s="4">
        <v>226</v>
      </c>
      <c r="DX431" s="4">
        <v>292.5</v>
      </c>
      <c r="DY431" s="4">
        <v>450.5</v>
      </c>
      <c r="DZ431" s="4">
        <v>650</v>
      </c>
      <c r="EA431" s="4">
        <v>93.235293999999996</v>
      </c>
      <c r="EB431" s="4">
        <v>72.185970999999995</v>
      </c>
      <c r="EC431" s="4">
        <v>130.14705900000001</v>
      </c>
      <c r="ED431" s="4">
        <v>634</v>
      </c>
      <c r="EE431" s="4">
        <v>885</v>
      </c>
      <c r="EF431" s="4">
        <v>91.029411999999994</v>
      </c>
      <c r="EG431" s="4">
        <v>100</v>
      </c>
      <c r="EH431" s="4">
        <v>68.597064000000003</v>
      </c>
      <c r="EI431" s="4">
        <v>99.673736000000005</v>
      </c>
      <c r="EJ431" s="4">
        <v>123.67647100000001</v>
      </c>
      <c r="EK431" s="4">
        <v>179.705882</v>
      </c>
      <c r="EL431" s="4">
        <v>619</v>
      </c>
      <c r="EM431" s="4">
        <v>680</v>
      </c>
      <c r="EN431" s="4">
        <v>841</v>
      </c>
      <c r="EO431" s="4">
        <v>1222</v>
      </c>
      <c r="EP431" s="4">
        <v>680</v>
      </c>
      <c r="EQ431" s="4">
        <v>1226</v>
      </c>
      <c r="ER431" s="4">
        <v>62.540418000000003</v>
      </c>
    </row>
    <row r="432" spans="1:148" x14ac:dyDescent="0.2">
      <c r="A432" s="1">
        <v>2025</v>
      </c>
      <c r="B432" s="1" t="str">
        <f t="shared" si="12"/>
        <v>NE</v>
      </c>
      <c r="C432" s="1" t="s">
        <v>1762</v>
      </c>
      <c r="D432" s="1" t="s">
        <v>1762</v>
      </c>
      <c r="E432" s="1">
        <v>27716</v>
      </c>
      <c r="F432" s="1" t="s">
        <v>2230</v>
      </c>
      <c r="G432" s="1" t="s">
        <v>2031</v>
      </c>
      <c r="H432" s="1" t="s">
        <v>1973</v>
      </c>
      <c r="I432" s="1">
        <v>29.86</v>
      </c>
      <c r="J432" s="1">
        <v>29.86</v>
      </c>
      <c r="K432" s="1" t="s">
        <v>286</v>
      </c>
      <c r="L432" s="1">
        <v>1</v>
      </c>
      <c r="M432" s="3">
        <v>2020</v>
      </c>
      <c r="O432" s="1">
        <v>2</v>
      </c>
      <c r="P432" s="1" t="str">
        <f t="shared" si="13"/>
        <v>Talhadia</v>
      </c>
      <c r="Q432" s="2">
        <v>44068</v>
      </c>
      <c r="R432" s="1" t="s">
        <v>169</v>
      </c>
      <c r="S432" s="1" t="s">
        <v>287</v>
      </c>
      <c r="T432" s="1" t="s">
        <v>2268</v>
      </c>
      <c r="U432" s="1" t="s">
        <v>170</v>
      </c>
      <c r="V432" s="1" t="s">
        <v>152</v>
      </c>
      <c r="W432" s="2">
        <v>45709</v>
      </c>
      <c r="X432" s="1" t="s">
        <v>2231</v>
      </c>
      <c r="Y432" s="1">
        <v>43.78</v>
      </c>
      <c r="Z432" s="1">
        <v>19.5</v>
      </c>
      <c r="AA432" s="1">
        <v>9</v>
      </c>
      <c r="AB432" s="1">
        <v>15.5</v>
      </c>
      <c r="AC432" s="1">
        <v>6</v>
      </c>
      <c r="AD432" s="3">
        <v>302.25</v>
      </c>
      <c r="AE432" s="3">
        <v>296.89342893771999</v>
      </c>
      <c r="AF432" s="2">
        <v>45709</v>
      </c>
      <c r="AG432" s="1">
        <v>54</v>
      </c>
      <c r="AH432" s="3">
        <v>4.4928131416837802</v>
      </c>
      <c r="AI432" s="4">
        <v>22.6095350421806</v>
      </c>
      <c r="AJ432" s="4">
        <v>14.5045454545455</v>
      </c>
      <c r="AK432" s="4">
        <v>12.6430739887521</v>
      </c>
      <c r="AL432" s="1">
        <v>22</v>
      </c>
      <c r="AM432" s="5">
        <v>741.00663253867299</v>
      </c>
      <c r="AN432" s="4">
        <v>131.02010240482801</v>
      </c>
      <c r="AO432" s="4">
        <v>0.17681367028518499</v>
      </c>
      <c r="AP432" s="1" t="s">
        <v>287</v>
      </c>
      <c r="AQ432" s="1" t="s">
        <v>254</v>
      </c>
      <c r="AR432" s="1" t="s">
        <v>796</v>
      </c>
      <c r="AS432" s="1">
        <v>9</v>
      </c>
      <c r="AT432" s="4">
        <v>0.66690596928480572</v>
      </c>
      <c r="AU432" s="1" t="s">
        <v>1761</v>
      </c>
      <c r="AV432" s="1" t="s">
        <v>1762</v>
      </c>
      <c r="AW432" s="1">
        <v>1143</v>
      </c>
      <c r="AX432" s="1">
        <v>675</v>
      </c>
      <c r="AY432" s="1">
        <v>341</v>
      </c>
      <c r="AZ432" s="1">
        <v>111</v>
      </c>
      <c r="BA432" s="1">
        <v>14</v>
      </c>
      <c r="BB432" s="1">
        <v>2</v>
      </c>
      <c r="BC432" s="1">
        <v>0</v>
      </c>
      <c r="BD432" s="1">
        <v>0</v>
      </c>
      <c r="BE432" s="1">
        <v>0</v>
      </c>
      <c r="BF432" s="1">
        <v>0</v>
      </c>
      <c r="BG432" s="1">
        <v>0</v>
      </c>
      <c r="BH432" s="4">
        <v>1E-3</v>
      </c>
      <c r="BI432" s="4">
        <v>24.695999</v>
      </c>
      <c r="BJ432" s="4">
        <v>12.793965999999999</v>
      </c>
      <c r="BK432" s="4">
        <v>1E-3</v>
      </c>
      <c r="BL432" s="4">
        <v>8.1771609999999999</v>
      </c>
      <c r="BM432" s="4">
        <v>66.865960999999999</v>
      </c>
      <c r="BN432" s="4">
        <v>0.63914199999999999</v>
      </c>
      <c r="BO432" s="4">
        <v>14.469500999999999</v>
      </c>
      <c r="BP432" s="4">
        <v>-0.43062</v>
      </c>
      <c r="BQ432" s="4">
        <v>1.7825800000000001</v>
      </c>
      <c r="BR432" s="4">
        <v>6.9896820000000002</v>
      </c>
      <c r="BS432" s="4">
        <v>6.53</v>
      </c>
      <c r="BT432" s="4">
        <v>14.090999999999999</v>
      </c>
      <c r="BU432" s="4">
        <v>12.793965999999999</v>
      </c>
      <c r="BV432" s="4">
        <v>4.6046430000000003</v>
      </c>
      <c r="BW432" s="4">
        <v>-0.56319799999999998</v>
      </c>
      <c r="BX432" s="4">
        <v>-0.18467600000000001</v>
      </c>
      <c r="BY432" s="4">
        <v>0.35990699999999998</v>
      </c>
      <c r="BZ432" s="4">
        <v>-0.122311</v>
      </c>
      <c r="CA432" s="4">
        <v>-4.0106000000000003E-2</v>
      </c>
      <c r="CB432" s="4">
        <v>5.0000000000000001E-3</v>
      </c>
      <c r="CC432" s="4">
        <v>1.7999999999999999E-2</v>
      </c>
      <c r="CD432" s="4">
        <v>4.4999999999999998E-2</v>
      </c>
      <c r="CE432" s="4">
        <v>0.39340000000000003</v>
      </c>
      <c r="CF432" s="4">
        <v>5.87</v>
      </c>
      <c r="CG432" s="4">
        <v>9.0278010000000002</v>
      </c>
      <c r="CH432" s="4">
        <v>12.3192</v>
      </c>
      <c r="CI432" s="4">
        <v>14.092000000000001</v>
      </c>
      <c r="CJ432" s="4">
        <v>16.514999</v>
      </c>
      <c r="CK432" s="4">
        <v>19.768801</v>
      </c>
      <c r="CL432" s="4">
        <v>20.339500000000001</v>
      </c>
      <c r="CM432" s="4">
        <v>20.895199000000002</v>
      </c>
      <c r="CN432" s="4">
        <v>22.086601000000002</v>
      </c>
      <c r="CO432" s="4">
        <v>22.788499999999999</v>
      </c>
      <c r="CP432" s="4">
        <v>23.785774</v>
      </c>
      <c r="CQ432" s="4">
        <v>0.51803900000000003</v>
      </c>
      <c r="CR432" s="4">
        <v>15.181997000000001</v>
      </c>
      <c r="CS432" s="4">
        <v>16.415095000000001</v>
      </c>
      <c r="CT432" s="1">
        <v>23</v>
      </c>
      <c r="CU432" s="1">
        <v>442</v>
      </c>
      <c r="CV432" s="4">
        <v>106.841645</v>
      </c>
      <c r="CW432" s="4">
        <v>29.650794000000001</v>
      </c>
      <c r="CX432" s="4">
        <v>75.914681000000002</v>
      </c>
      <c r="CY432" s="4">
        <v>5763.0388249999996</v>
      </c>
      <c r="CZ432" s="4">
        <v>0.71053500000000003</v>
      </c>
      <c r="DA432" s="4">
        <v>86</v>
      </c>
      <c r="DB432" s="4">
        <v>1.757352</v>
      </c>
      <c r="DC432" s="4">
        <v>6.538424</v>
      </c>
      <c r="DD432" s="4">
        <v>56.216129000000002</v>
      </c>
      <c r="DE432" s="4">
        <v>106.841645</v>
      </c>
      <c r="DF432" s="4">
        <v>38.485835999999999</v>
      </c>
      <c r="DG432" s="4">
        <v>12.158217</v>
      </c>
      <c r="DH432" s="4">
        <v>6.4041459999999999</v>
      </c>
      <c r="DI432" s="4">
        <v>0.36021399999999998</v>
      </c>
      <c r="DJ432" s="4">
        <v>0.31591399999999997</v>
      </c>
      <c r="DK432" s="4">
        <v>0.166403</v>
      </c>
      <c r="DL432" s="4">
        <v>27</v>
      </c>
      <c r="DM432" s="4">
        <v>33</v>
      </c>
      <c r="DN432" s="4">
        <v>37</v>
      </c>
      <c r="DO432" s="4">
        <v>47</v>
      </c>
      <c r="DP432" s="4">
        <v>52</v>
      </c>
      <c r="DQ432" s="4">
        <v>56</v>
      </c>
      <c r="DR432" s="4">
        <v>70</v>
      </c>
      <c r="DS432" s="4">
        <v>85</v>
      </c>
      <c r="DT432" s="4">
        <v>102</v>
      </c>
      <c r="DU432" s="4">
        <v>126</v>
      </c>
      <c r="DV432" s="4">
        <v>138</v>
      </c>
      <c r="DW432" s="4">
        <v>151.599976</v>
      </c>
      <c r="DX432" s="4">
        <v>197</v>
      </c>
      <c r="DY432" s="4">
        <v>264.90002399999997</v>
      </c>
      <c r="DZ432" s="4">
        <v>386.739868</v>
      </c>
      <c r="EA432" s="4">
        <v>92.296295999999998</v>
      </c>
      <c r="EB432" s="4">
        <v>77.690289000000007</v>
      </c>
      <c r="EC432" s="4">
        <v>131.555556</v>
      </c>
      <c r="ED432" s="4">
        <v>623</v>
      </c>
      <c r="EE432" s="4">
        <v>888</v>
      </c>
      <c r="EF432" s="4">
        <v>78.222222000000002</v>
      </c>
      <c r="EG432" s="4">
        <v>99.851851999999994</v>
      </c>
      <c r="EH432" s="4">
        <v>56.605423999999999</v>
      </c>
      <c r="EI432" s="4">
        <v>99.737532999999999</v>
      </c>
      <c r="EJ432" s="4">
        <v>95.851851999999994</v>
      </c>
      <c r="EK432" s="4">
        <v>168.88888900000001</v>
      </c>
      <c r="EL432" s="4">
        <v>528</v>
      </c>
      <c r="EM432" s="4">
        <v>674</v>
      </c>
      <c r="EN432" s="4">
        <v>647</v>
      </c>
      <c r="EO432" s="4">
        <v>1140</v>
      </c>
      <c r="EP432" s="4">
        <v>675</v>
      </c>
      <c r="EQ432" s="4">
        <v>1143</v>
      </c>
      <c r="ER432" s="4">
        <v>52.782099000000002</v>
      </c>
    </row>
    <row r="433" spans="1:148" x14ac:dyDescent="0.2">
      <c r="A433" s="1">
        <v>2025</v>
      </c>
      <c r="B433" s="1" t="str">
        <f t="shared" si="12"/>
        <v>NE</v>
      </c>
      <c r="C433" s="1" t="s">
        <v>1764</v>
      </c>
      <c r="D433" s="1" t="s">
        <v>1764</v>
      </c>
      <c r="E433" s="1">
        <v>27717</v>
      </c>
      <c r="F433" s="1" t="s">
        <v>2230</v>
      </c>
      <c r="G433" s="1" t="s">
        <v>2031</v>
      </c>
      <c r="H433" s="1" t="s">
        <v>1973</v>
      </c>
      <c r="I433" s="1">
        <v>29.86</v>
      </c>
      <c r="J433" s="1">
        <v>29.86</v>
      </c>
      <c r="K433" s="1" t="s">
        <v>286</v>
      </c>
      <c r="L433" s="1">
        <v>1</v>
      </c>
      <c r="M433" s="3">
        <v>2020</v>
      </c>
      <c r="O433" s="1">
        <v>2</v>
      </c>
      <c r="P433" s="1" t="str">
        <f t="shared" si="13"/>
        <v>Talhadia</v>
      </c>
      <c r="Q433" s="2">
        <v>44068</v>
      </c>
      <c r="R433" s="1" t="s">
        <v>169</v>
      </c>
      <c r="S433" s="1" t="s">
        <v>287</v>
      </c>
      <c r="T433" s="1" t="s">
        <v>2268</v>
      </c>
      <c r="U433" s="1" t="s">
        <v>170</v>
      </c>
      <c r="V433" s="1" t="s">
        <v>152</v>
      </c>
      <c r="W433" s="2">
        <v>44805</v>
      </c>
      <c r="X433" s="1" t="s">
        <v>2231</v>
      </c>
      <c r="Y433" s="1">
        <v>43.78</v>
      </c>
      <c r="Z433" s="1">
        <v>19.7</v>
      </c>
      <c r="AA433" s="1">
        <v>17</v>
      </c>
      <c r="AB433" s="1">
        <v>15</v>
      </c>
      <c r="AC433" s="1">
        <v>2</v>
      </c>
      <c r="AD433" s="3">
        <v>295.5</v>
      </c>
      <c r="AE433" s="3">
        <v>282.41591037900901</v>
      </c>
      <c r="AF433" s="2">
        <v>45709</v>
      </c>
      <c r="AG433" s="1">
        <v>54</v>
      </c>
      <c r="AH433" s="3">
        <v>4.4928131416837802</v>
      </c>
      <c r="AI433" s="4">
        <v>24.483175236741701</v>
      </c>
      <c r="AJ433" s="4">
        <v>16.03</v>
      </c>
      <c r="AK433" s="4">
        <v>22.166586490658499</v>
      </c>
      <c r="AL433" s="1">
        <v>30</v>
      </c>
      <c r="AM433" s="5">
        <v>1062.26309841182</v>
      </c>
      <c r="AN433" s="4">
        <v>248.88037237583001</v>
      </c>
      <c r="AO433" s="4">
        <v>0.23429258979995601</v>
      </c>
      <c r="AP433" s="1" t="s">
        <v>287</v>
      </c>
      <c r="AQ433" s="1" t="s">
        <v>254</v>
      </c>
      <c r="AR433" s="1" t="s">
        <v>796</v>
      </c>
      <c r="AS433" s="1">
        <v>9</v>
      </c>
      <c r="AT433" s="4">
        <v>0.95603678857063801</v>
      </c>
      <c r="AU433" s="1" t="s">
        <v>1763</v>
      </c>
      <c r="AV433" s="1" t="s">
        <v>1764</v>
      </c>
      <c r="AW433" s="1">
        <v>1042</v>
      </c>
      <c r="AX433" s="1">
        <v>626</v>
      </c>
      <c r="AY433" s="1">
        <v>313</v>
      </c>
      <c r="AZ433" s="1">
        <v>93</v>
      </c>
      <c r="BA433" s="1">
        <v>10</v>
      </c>
      <c r="BB433" s="1">
        <v>0</v>
      </c>
      <c r="BC433" s="1">
        <v>0</v>
      </c>
      <c r="BD433" s="1">
        <v>0</v>
      </c>
      <c r="BE433" s="1">
        <v>0</v>
      </c>
      <c r="BF433" s="1">
        <v>0</v>
      </c>
      <c r="BG433" s="1">
        <v>0</v>
      </c>
      <c r="BH433" s="4">
        <v>0</v>
      </c>
      <c r="BI433" s="4">
        <v>26.445999</v>
      </c>
      <c r="BJ433" s="4">
        <v>13.154631</v>
      </c>
      <c r="BK433" s="4">
        <v>0</v>
      </c>
      <c r="BL433" s="4">
        <v>10.267633999999999</v>
      </c>
      <c r="BM433" s="4">
        <v>105.424306</v>
      </c>
      <c r="BN433" s="4">
        <v>0.78053399999999995</v>
      </c>
      <c r="BO433" s="4">
        <v>22.438248999999999</v>
      </c>
      <c r="BP433" s="4">
        <v>-0.328179</v>
      </c>
      <c r="BQ433" s="4">
        <v>1.3185929999999999</v>
      </c>
      <c r="BR433" s="4">
        <v>9.5996299999999994</v>
      </c>
      <c r="BS433" s="4">
        <v>5.5105000000000004</v>
      </c>
      <c r="BT433" s="4">
        <v>18.553000999999998</v>
      </c>
      <c r="BU433" s="4">
        <v>13.154631</v>
      </c>
      <c r="BV433" s="4">
        <v>5.5827169999999997</v>
      </c>
      <c r="BW433" s="4">
        <v>-0.54471199999999997</v>
      </c>
      <c r="BX433" s="4">
        <v>-0.85521100000000005</v>
      </c>
      <c r="BY433" s="4">
        <v>0.42439199999999999</v>
      </c>
      <c r="BZ433" s="4">
        <v>-9.7571000000000005E-2</v>
      </c>
      <c r="CA433" s="4">
        <v>-0.15318899999999999</v>
      </c>
      <c r="CB433" s="4">
        <v>1E-3</v>
      </c>
      <c r="CC433" s="4">
        <v>4.0000000000000001E-3</v>
      </c>
      <c r="CD433" s="4">
        <v>0.01</v>
      </c>
      <c r="CE433" s="4">
        <v>2.5000000000000001E-2</v>
      </c>
      <c r="CF433" s="4">
        <v>3.6249999999999998E-2</v>
      </c>
      <c r="CG433" s="4">
        <v>6.3299999999999995E-2</v>
      </c>
      <c r="CH433" s="4">
        <v>11.3644</v>
      </c>
      <c r="CI433" s="4">
        <v>18.553000999999998</v>
      </c>
      <c r="CJ433" s="4">
        <v>20.687798999999998</v>
      </c>
      <c r="CK433" s="4">
        <v>21.9373</v>
      </c>
      <c r="CL433" s="4">
        <v>22.474499000000002</v>
      </c>
      <c r="CM433" s="4">
        <v>22.954799999999999</v>
      </c>
      <c r="CN433" s="4">
        <v>23.965</v>
      </c>
      <c r="CO433" s="4">
        <v>24.569901000000002</v>
      </c>
      <c r="CP433" s="4">
        <v>25.697628000000002</v>
      </c>
      <c r="CQ433" s="4">
        <v>0.497415</v>
      </c>
      <c r="CR433" s="4">
        <v>16.684348</v>
      </c>
      <c r="CS433" s="4">
        <v>18.249500000000001</v>
      </c>
      <c r="CT433" s="1">
        <v>21</v>
      </c>
      <c r="CU433" s="1">
        <v>668</v>
      </c>
      <c r="CV433" s="4">
        <v>160.73032599999999</v>
      </c>
      <c r="CW433" s="4">
        <v>31.269841</v>
      </c>
      <c r="CX433" s="4">
        <v>144.47618900000001</v>
      </c>
      <c r="CY433" s="4">
        <v>20873.36909</v>
      </c>
      <c r="CZ433" s="4">
        <v>0.89887300000000003</v>
      </c>
      <c r="DA433" s="4">
        <v>141.75</v>
      </c>
      <c r="DB433" s="4">
        <v>1.5405679999999999</v>
      </c>
      <c r="DC433" s="4">
        <v>4.52881</v>
      </c>
      <c r="DD433" s="4">
        <v>108.28657800000001</v>
      </c>
      <c r="DE433" s="4">
        <v>160.73032599999999</v>
      </c>
      <c r="DF433" s="4">
        <v>72.817311000000004</v>
      </c>
      <c r="DG433" s="4">
        <v>27.050332999999998</v>
      </c>
      <c r="DH433" s="4">
        <v>12.070549</v>
      </c>
      <c r="DI433" s="4">
        <v>0.45304</v>
      </c>
      <c r="DJ433" s="4">
        <v>0.37148199999999998</v>
      </c>
      <c r="DK433" s="4">
        <v>0.165765</v>
      </c>
      <c r="DL433" s="4">
        <v>25.41</v>
      </c>
      <c r="DM433" s="4">
        <v>30.049999</v>
      </c>
      <c r="DN433" s="4">
        <v>36.099997999999999</v>
      </c>
      <c r="DO433" s="4">
        <v>50</v>
      </c>
      <c r="DP433" s="4">
        <v>57</v>
      </c>
      <c r="DQ433" s="4">
        <v>65</v>
      </c>
      <c r="DR433" s="4">
        <v>86</v>
      </c>
      <c r="DS433" s="4">
        <v>110</v>
      </c>
      <c r="DT433" s="4">
        <v>140</v>
      </c>
      <c r="DU433" s="4">
        <v>180</v>
      </c>
      <c r="DV433" s="4">
        <v>198.75</v>
      </c>
      <c r="DW433" s="4">
        <v>230</v>
      </c>
      <c r="DX433" s="4">
        <v>436.50012199999998</v>
      </c>
      <c r="DY433" s="4">
        <v>508.70007299999997</v>
      </c>
      <c r="DZ433" s="4">
        <v>593</v>
      </c>
      <c r="EA433" s="4">
        <v>80.511182000000005</v>
      </c>
      <c r="EB433" s="4">
        <v>65.067178999999996</v>
      </c>
      <c r="EC433" s="4">
        <v>108.306709</v>
      </c>
      <c r="ED433" s="4">
        <v>504</v>
      </c>
      <c r="EE433" s="4">
        <v>678</v>
      </c>
      <c r="EF433" s="4">
        <v>72.843450000000004</v>
      </c>
      <c r="EG433" s="4">
        <v>99.520767000000006</v>
      </c>
      <c r="EH433" s="4">
        <v>58.157389999999999</v>
      </c>
      <c r="EI433" s="4">
        <v>99.328215</v>
      </c>
      <c r="EJ433" s="4">
        <v>96.805111999999994</v>
      </c>
      <c r="EK433" s="4">
        <v>165.335463</v>
      </c>
      <c r="EL433" s="4">
        <v>456</v>
      </c>
      <c r="EM433" s="4">
        <v>623</v>
      </c>
      <c r="EN433" s="4">
        <v>606</v>
      </c>
      <c r="EO433" s="4">
        <v>1035</v>
      </c>
      <c r="EP433" s="4">
        <v>626</v>
      </c>
      <c r="EQ433" s="4">
        <v>1042</v>
      </c>
      <c r="ER433" s="4">
        <v>50.160789999999999</v>
      </c>
    </row>
    <row r="434" spans="1:148" x14ac:dyDescent="0.2">
      <c r="A434" s="1">
        <v>2025</v>
      </c>
      <c r="B434" s="1" t="str">
        <f t="shared" si="12"/>
        <v>NE</v>
      </c>
      <c r="C434" s="1" t="s">
        <v>1766</v>
      </c>
      <c r="D434" s="1" t="s">
        <v>1766</v>
      </c>
      <c r="E434" s="1">
        <v>27555</v>
      </c>
      <c r="F434" s="1" t="s">
        <v>2232</v>
      </c>
      <c r="G434" s="1" t="s">
        <v>2032</v>
      </c>
      <c r="H434" s="1" t="s">
        <v>1974</v>
      </c>
      <c r="I434" s="1">
        <v>55.25</v>
      </c>
      <c r="J434" s="1">
        <v>55.25</v>
      </c>
      <c r="K434" s="1" t="s">
        <v>286</v>
      </c>
      <c r="L434" s="1">
        <v>1</v>
      </c>
      <c r="M434" s="3">
        <v>2020</v>
      </c>
      <c r="O434" s="1">
        <v>1</v>
      </c>
      <c r="P434" s="1" t="str">
        <f t="shared" si="13"/>
        <v>Alto fuste</v>
      </c>
      <c r="Q434" s="2">
        <v>44007</v>
      </c>
      <c r="R434" s="1" t="s">
        <v>169</v>
      </c>
      <c r="S434" s="1" t="s">
        <v>403</v>
      </c>
      <c r="T434" s="1" t="s">
        <v>2268</v>
      </c>
      <c r="U434" s="1" t="s">
        <v>170</v>
      </c>
      <c r="V434" s="1" t="s">
        <v>152</v>
      </c>
      <c r="W434" s="2">
        <v>45708</v>
      </c>
      <c r="X434" s="1" t="s">
        <v>2233</v>
      </c>
      <c r="Y434" s="1">
        <v>145.72999999999999</v>
      </c>
      <c r="Z434" s="1">
        <v>21.5</v>
      </c>
      <c r="AA434" s="1">
        <v>9</v>
      </c>
      <c r="AB434" s="1">
        <v>16</v>
      </c>
      <c r="AC434" s="1">
        <v>0</v>
      </c>
      <c r="AD434" s="3">
        <v>344</v>
      </c>
      <c r="AE434" s="3">
        <v>339.76478916472701</v>
      </c>
      <c r="AF434" s="2">
        <v>45708</v>
      </c>
      <c r="AG434" s="1">
        <v>56</v>
      </c>
      <c r="AH434" s="3">
        <v>4.6570841889116998</v>
      </c>
      <c r="AI434" s="4">
        <v>22.442753232546401</v>
      </c>
      <c r="AJ434" s="4">
        <v>16.228571428571399</v>
      </c>
      <c r="AK434" s="4">
        <v>21.6549177971891</v>
      </c>
      <c r="AL434" s="1">
        <v>35</v>
      </c>
      <c r="AM434" s="5">
        <v>1030.1244012377899</v>
      </c>
      <c r="AN434" s="4">
        <v>218.929931399232</v>
      </c>
      <c r="AO434" s="4">
        <v>0.21252766281059601</v>
      </c>
      <c r="AP434" s="1" t="s">
        <v>403</v>
      </c>
      <c r="AQ434" s="1" t="s">
        <v>156</v>
      </c>
      <c r="AR434" s="1" t="s">
        <v>282</v>
      </c>
      <c r="AS434" s="1">
        <v>9</v>
      </c>
      <c r="AT434" s="4">
        <v>0.92711196111401095</v>
      </c>
      <c r="AU434" s="1" t="s">
        <v>1765</v>
      </c>
      <c r="AV434" s="1" t="s">
        <v>1766</v>
      </c>
      <c r="AW434" s="1">
        <v>1320</v>
      </c>
      <c r="AX434" s="1">
        <v>809</v>
      </c>
      <c r="AY434" s="1">
        <v>418</v>
      </c>
      <c r="AZ434" s="1">
        <v>89</v>
      </c>
      <c r="BA434" s="1">
        <v>4</v>
      </c>
      <c r="BB434" s="1">
        <v>0</v>
      </c>
      <c r="BC434" s="1">
        <v>0</v>
      </c>
      <c r="BD434" s="1">
        <v>0</v>
      </c>
      <c r="BE434" s="1">
        <v>0</v>
      </c>
      <c r="BF434" s="1">
        <v>0</v>
      </c>
      <c r="BG434" s="1">
        <v>0</v>
      </c>
      <c r="BH434" s="4">
        <v>0</v>
      </c>
      <c r="BI434" s="4">
        <v>25.895</v>
      </c>
      <c r="BJ434" s="4">
        <v>17.225788999999999</v>
      </c>
      <c r="BK434" s="4">
        <v>0</v>
      </c>
      <c r="BL434" s="4">
        <v>9.5673829999999995</v>
      </c>
      <c r="BM434" s="4">
        <v>91.534808999999996</v>
      </c>
      <c r="BN434" s="4">
        <v>0.55540999999999996</v>
      </c>
      <c r="BO434" s="4">
        <v>11.27375</v>
      </c>
      <c r="BP434" s="4">
        <v>-1.128806</v>
      </c>
      <c r="BQ434" s="4">
        <v>2.4084919999999999</v>
      </c>
      <c r="BR434" s="4">
        <v>8.1848240000000008</v>
      </c>
      <c r="BS434" s="4">
        <v>1.420499</v>
      </c>
      <c r="BT434" s="4">
        <v>22.192501</v>
      </c>
      <c r="BU434" s="4">
        <v>17.225788999999999</v>
      </c>
      <c r="BV434" s="4">
        <v>4.591742</v>
      </c>
      <c r="BW434" s="4">
        <v>-1.841208</v>
      </c>
      <c r="BX434" s="4">
        <v>0.26506299999999999</v>
      </c>
      <c r="BY434" s="4">
        <v>0.26656200000000002</v>
      </c>
      <c r="BZ434" s="4">
        <v>-0.40098200000000001</v>
      </c>
      <c r="CA434" s="4">
        <v>5.7726E-2</v>
      </c>
      <c r="CB434" s="4">
        <v>2E-3</v>
      </c>
      <c r="CC434" s="4">
        <v>1.0999999999999999E-2</v>
      </c>
      <c r="CD434" s="4">
        <v>2.4899999999999999E-2</v>
      </c>
      <c r="CE434" s="4">
        <v>0.1116</v>
      </c>
      <c r="CF434" s="4">
        <v>12.075251</v>
      </c>
      <c r="CG434" s="4">
        <v>20.817399999999999</v>
      </c>
      <c r="CH434" s="4">
        <v>21.652799999999999</v>
      </c>
      <c r="CI434" s="4">
        <v>22.192501</v>
      </c>
      <c r="CJ434" s="4">
        <v>22.701401000000001</v>
      </c>
      <c r="CK434" s="4">
        <v>23.148499999999999</v>
      </c>
      <c r="CL434" s="4">
        <v>23.349001000000001</v>
      </c>
      <c r="CM434" s="4">
        <v>23.627800000000001</v>
      </c>
      <c r="CN434" s="4">
        <v>24.238201</v>
      </c>
      <c r="CO434" s="4">
        <v>24.6891</v>
      </c>
      <c r="CP434" s="4">
        <v>25.222882999999999</v>
      </c>
      <c r="CQ434" s="4">
        <v>0.66521699999999995</v>
      </c>
      <c r="CR434" s="4">
        <v>19.702621000000001</v>
      </c>
      <c r="CS434" s="4">
        <v>20.684829000000001</v>
      </c>
      <c r="CT434" s="1">
        <v>22</v>
      </c>
      <c r="CU434" s="1">
        <v>614</v>
      </c>
      <c r="CV434" s="4">
        <v>120.67197</v>
      </c>
      <c r="CW434" s="4">
        <v>40.793650999999997</v>
      </c>
      <c r="CX434" s="4">
        <v>78.762908999999993</v>
      </c>
      <c r="CY434" s="4">
        <v>6203.5958780000001</v>
      </c>
      <c r="CZ434" s="4">
        <v>0.65270300000000003</v>
      </c>
      <c r="DA434" s="4">
        <v>95</v>
      </c>
      <c r="DB434" s="4">
        <v>1.6718299999999999</v>
      </c>
      <c r="DC434" s="4">
        <v>7.3970739999999999</v>
      </c>
      <c r="DD434" s="4">
        <v>58.582825999999997</v>
      </c>
      <c r="DE434" s="4">
        <v>120.67197</v>
      </c>
      <c r="DF434" s="4">
        <v>40.898198000000001</v>
      </c>
      <c r="DG434" s="4">
        <v>9.8171309999999998</v>
      </c>
      <c r="DH434" s="4">
        <v>6.1854940000000003</v>
      </c>
      <c r="DI434" s="4">
        <v>0.33892</v>
      </c>
      <c r="DJ434" s="4">
        <v>0.240038</v>
      </c>
      <c r="DK434" s="4">
        <v>0.15124099999999999</v>
      </c>
      <c r="DL434" s="4">
        <v>26</v>
      </c>
      <c r="DM434" s="4">
        <v>34</v>
      </c>
      <c r="DN434" s="4">
        <v>40</v>
      </c>
      <c r="DO434" s="4">
        <v>53</v>
      </c>
      <c r="DP434" s="4">
        <v>61</v>
      </c>
      <c r="DQ434" s="4">
        <v>70</v>
      </c>
      <c r="DR434" s="4">
        <v>88</v>
      </c>
      <c r="DS434" s="4">
        <v>106</v>
      </c>
      <c r="DT434" s="4">
        <v>127</v>
      </c>
      <c r="DU434" s="4">
        <v>144</v>
      </c>
      <c r="DV434" s="4">
        <v>156</v>
      </c>
      <c r="DW434" s="4">
        <v>169.199951</v>
      </c>
      <c r="DX434" s="4">
        <v>210</v>
      </c>
      <c r="DY434" s="4">
        <v>275.050049</v>
      </c>
      <c r="DZ434" s="4">
        <v>405.43017600000002</v>
      </c>
      <c r="EA434" s="4">
        <v>96.662546000000006</v>
      </c>
      <c r="EB434" s="4">
        <v>78.181818000000007</v>
      </c>
      <c r="EC434" s="4">
        <v>127.56489500000001</v>
      </c>
      <c r="ED434" s="4">
        <v>782</v>
      </c>
      <c r="EE434" s="4">
        <v>1032</v>
      </c>
      <c r="EF434" s="4">
        <v>93.448701999999997</v>
      </c>
      <c r="EG434" s="4">
        <v>100</v>
      </c>
      <c r="EH434" s="4">
        <v>73.409091000000004</v>
      </c>
      <c r="EI434" s="4">
        <v>99.772727000000003</v>
      </c>
      <c r="EJ434" s="4">
        <v>119.777503</v>
      </c>
      <c r="EK434" s="4">
        <v>162.79357200000001</v>
      </c>
      <c r="EL434" s="4">
        <v>756</v>
      </c>
      <c r="EM434" s="4">
        <v>809</v>
      </c>
      <c r="EN434" s="4">
        <v>969</v>
      </c>
      <c r="EO434" s="4">
        <v>1317</v>
      </c>
      <c r="EP434" s="4">
        <v>809</v>
      </c>
      <c r="EQ434" s="4">
        <v>1320</v>
      </c>
      <c r="ER434" s="4">
        <v>67.301101000000003</v>
      </c>
    </row>
    <row r="435" spans="1:148" x14ac:dyDescent="0.2">
      <c r="A435" s="1">
        <v>2025</v>
      </c>
      <c r="B435" s="1" t="str">
        <f t="shared" si="12"/>
        <v>NE</v>
      </c>
      <c r="C435" s="1" t="s">
        <v>1768</v>
      </c>
      <c r="D435" s="1" t="s">
        <v>1768</v>
      </c>
      <c r="E435" s="1">
        <v>27556</v>
      </c>
      <c r="F435" s="1" t="s">
        <v>2232</v>
      </c>
      <c r="G435" s="1" t="s">
        <v>2032</v>
      </c>
      <c r="H435" s="1" t="s">
        <v>1974</v>
      </c>
      <c r="I435" s="1">
        <v>55.25</v>
      </c>
      <c r="J435" s="1">
        <v>55.25</v>
      </c>
      <c r="K435" s="1" t="s">
        <v>286</v>
      </c>
      <c r="L435" s="1">
        <v>1</v>
      </c>
      <c r="M435" s="3">
        <v>2020</v>
      </c>
      <c r="O435" s="1">
        <v>1</v>
      </c>
      <c r="P435" s="1" t="str">
        <f t="shared" si="13"/>
        <v>Alto fuste</v>
      </c>
      <c r="Q435" s="2">
        <v>44007</v>
      </c>
      <c r="R435" s="1" t="s">
        <v>169</v>
      </c>
      <c r="S435" s="1" t="s">
        <v>403</v>
      </c>
      <c r="T435" s="1" t="s">
        <v>2268</v>
      </c>
      <c r="U435" s="1" t="s">
        <v>170</v>
      </c>
      <c r="V435" s="1" t="s">
        <v>152</v>
      </c>
      <c r="W435" s="2">
        <v>44806</v>
      </c>
      <c r="X435" s="1" t="s">
        <v>2233</v>
      </c>
      <c r="Y435" s="1">
        <v>145.72999999999999</v>
      </c>
      <c r="Z435" s="1">
        <v>19.5</v>
      </c>
      <c r="AA435" s="1">
        <v>14</v>
      </c>
      <c r="AB435" s="1">
        <v>14.7</v>
      </c>
      <c r="AC435" s="1">
        <v>3</v>
      </c>
      <c r="AD435" s="3">
        <v>286.64999999999998</v>
      </c>
      <c r="AE435" s="3">
        <v>277.75409521603899</v>
      </c>
      <c r="AF435" s="2">
        <v>45708</v>
      </c>
      <c r="AG435" s="1">
        <v>56</v>
      </c>
      <c r="AH435" s="3">
        <v>4.6570841889116998</v>
      </c>
      <c r="AI435" s="4">
        <v>22.5572100888789</v>
      </c>
      <c r="AJ435" s="4">
        <v>15.6666666666667</v>
      </c>
      <c r="AK435" s="4">
        <v>23.695063741767299</v>
      </c>
      <c r="AL435" s="1">
        <v>33</v>
      </c>
      <c r="AM435" s="5">
        <v>1188.1012942161101</v>
      </c>
      <c r="AN435" s="4">
        <v>244.97355014491799</v>
      </c>
      <c r="AO435" s="4">
        <v>0.20618911143140201</v>
      </c>
      <c r="AP435" s="1" t="s">
        <v>403</v>
      </c>
      <c r="AQ435" s="1" t="s">
        <v>156</v>
      </c>
      <c r="AR435" s="1" t="s">
        <v>282</v>
      </c>
      <c r="AS435" s="1">
        <v>9</v>
      </c>
      <c r="AT435" s="4">
        <v>1.0692911647944991</v>
      </c>
      <c r="AU435" s="1" t="s">
        <v>1767</v>
      </c>
      <c r="AV435" s="1" t="s">
        <v>1768</v>
      </c>
      <c r="AW435" s="1">
        <v>1129</v>
      </c>
      <c r="AX435" s="1">
        <v>688</v>
      </c>
      <c r="AY435" s="1">
        <v>367</v>
      </c>
      <c r="AZ435" s="1">
        <v>71</v>
      </c>
      <c r="BA435" s="1">
        <v>3</v>
      </c>
      <c r="BB435" s="1">
        <v>0</v>
      </c>
      <c r="BC435" s="1">
        <v>0</v>
      </c>
      <c r="BD435" s="1">
        <v>0</v>
      </c>
      <c r="BE435" s="1">
        <v>0</v>
      </c>
      <c r="BF435" s="1">
        <v>0</v>
      </c>
      <c r="BG435" s="1">
        <v>0</v>
      </c>
      <c r="BH435" s="4">
        <v>0</v>
      </c>
      <c r="BI435" s="4">
        <v>25.624001</v>
      </c>
      <c r="BJ435" s="4">
        <v>15.839168000000001</v>
      </c>
      <c r="BK435" s="4">
        <v>0</v>
      </c>
      <c r="BL435" s="4">
        <v>10.018306000000001</v>
      </c>
      <c r="BM435" s="4">
        <v>100.366461</v>
      </c>
      <c r="BN435" s="4">
        <v>0.63250200000000001</v>
      </c>
      <c r="BO435" s="4">
        <v>22.77</v>
      </c>
      <c r="BP435" s="4">
        <v>-0.85039600000000004</v>
      </c>
      <c r="BQ435" s="4">
        <v>1.841</v>
      </c>
      <c r="BR435" s="4">
        <v>9.002243</v>
      </c>
      <c r="BS435" s="4">
        <v>2.0830000000000002</v>
      </c>
      <c r="BT435" s="4">
        <v>21.475000000000001</v>
      </c>
      <c r="BU435" s="4">
        <v>15.839168000000001</v>
      </c>
      <c r="BV435" s="4">
        <v>5.0367430000000004</v>
      </c>
      <c r="BW435" s="4">
        <v>-1.5502609999999999</v>
      </c>
      <c r="BX435" s="4">
        <v>-0.194352</v>
      </c>
      <c r="BY435" s="4">
        <v>0.31799300000000003</v>
      </c>
      <c r="BZ435" s="4">
        <v>-0.30779000000000001</v>
      </c>
      <c r="CA435" s="4">
        <v>-3.8587000000000003E-2</v>
      </c>
      <c r="CB435" s="4">
        <v>2E-3</v>
      </c>
      <c r="CC435" s="4">
        <v>8.9999999999999993E-3</v>
      </c>
      <c r="CD435" s="4">
        <v>0.02</v>
      </c>
      <c r="CE435" s="4">
        <v>5.96E-2</v>
      </c>
      <c r="CF435" s="4">
        <v>0.24099999999999999</v>
      </c>
      <c r="CG435" s="4">
        <v>13.797196</v>
      </c>
      <c r="CH435" s="4">
        <v>20.503</v>
      </c>
      <c r="CI435" s="4">
        <v>21.475000000000001</v>
      </c>
      <c r="CJ435" s="4">
        <v>22.143598999999998</v>
      </c>
      <c r="CK435" s="4">
        <v>22.738600000000002</v>
      </c>
      <c r="CL435" s="4">
        <v>23.010999999999999</v>
      </c>
      <c r="CM435" s="4">
        <v>23.367000999999998</v>
      </c>
      <c r="CN435" s="4">
        <v>24.052600999999999</v>
      </c>
      <c r="CO435" s="4">
        <v>24.505600000000001</v>
      </c>
      <c r="CP435" s="4">
        <v>25.223718999999999</v>
      </c>
      <c r="CQ435" s="4">
        <v>0.61813799999999997</v>
      </c>
      <c r="CR435" s="4">
        <v>18.739179</v>
      </c>
      <c r="CS435" s="4">
        <v>19.903143</v>
      </c>
      <c r="CT435" s="1">
        <v>22</v>
      </c>
      <c r="CU435" s="1">
        <v>402</v>
      </c>
      <c r="CV435" s="4">
        <v>98.429584000000006</v>
      </c>
      <c r="CW435" s="4">
        <v>34.063491999999997</v>
      </c>
      <c r="CX435" s="4">
        <v>56.279102999999999</v>
      </c>
      <c r="CY435" s="4">
        <v>3167.3374570000001</v>
      </c>
      <c r="CZ435" s="4">
        <v>0.57177</v>
      </c>
      <c r="DA435" s="4">
        <v>73</v>
      </c>
      <c r="DB435" s="4">
        <v>1.311021</v>
      </c>
      <c r="DC435" s="4">
        <v>5.6378680000000001</v>
      </c>
      <c r="DD435" s="4">
        <v>43.709597000000002</v>
      </c>
      <c r="DE435" s="4">
        <v>98.429584000000006</v>
      </c>
      <c r="DF435" s="4">
        <v>30.158166999999999</v>
      </c>
      <c r="DG435" s="4">
        <v>6.2767039999999996</v>
      </c>
      <c r="DH435" s="4">
        <v>3.5711080000000002</v>
      </c>
      <c r="DI435" s="4">
        <v>0.30639300000000003</v>
      </c>
      <c r="DJ435" s="4">
        <v>0.20812600000000001</v>
      </c>
      <c r="DK435" s="4">
        <v>0.118413</v>
      </c>
      <c r="DL435" s="4">
        <v>27</v>
      </c>
      <c r="DM435" s="4">
        <v>32</v>
      </c>
      <c r="DN435" s="4">
        <v>37</v>
      </c>
      <c r="DO435" s="4">
        <v>49</v>
      </c>
      <c r="DP435" s="4">
        <v>55</v>
      </c>
      <c r="DQ435" s="4">
        <v>60</v>
      </c>
      <c r="DR435" s="4">
        <v>73</v>
      </c>
      <c r="DS435" s="4">
        <v>90</v>
      </c>
      <c r="DT435" s="4">
        <v>104</v>
      </c>
      <c r="DU435" s="4">
        <v>120</v>
      </c>
      <c r="DV435" s="4">
        <v>128</v>
      </c>
      <c r="DW435" s="4">
        <v>138.400024</v>
      </c>
      <c r="DX435" s="4">
        <v>168.20001199999999</v>
      </c>
      <c r="DY435" s="4">
        <v>201</v>
      </c>
      <c r="DZ435" s="4">
        <v>286.07959</v>
      </c>
      <c r="EA435" s="4">
        <v>96.220929999999996</v>
      </c>
      <c r="EB435" s="4">
        <v>72.542073000000002</v>
      </c>
      <c r="EC435" s="4">
        <v>119.04069800000001</v>
      </c>
      <c r="ED435" s="4">
        <v>662</v>
      </c>
      <c r="EE435" s="4">
        <v>819</v>
      </c>
      <c r="EF435" s="4">
        <v>94.767442000000003</v>
      </c>
      <c r="EG435" s="4">
        <v>100</v>
      </c>
      <c r="EH435" s="4">
        <v>69.264836000000003</v>
      </c>
      <c r="EI435" s="4">
        <v>99.645703999999995</v>
      </c>
      <c r="EJ435" s="4">
        <v>113.662791</v>
      </c>
      <c r="EK435" s="4">
        <v>163.51744199999999</v>
      </c>
      <c r="EL435" s="4">
        <v>652</v>
      </c>
      <c r="EM435" s="4">
        <v>688</v>
      </c>
      <c r="EN435" s="4">
        <v>782</v>
      </c>
      <c r="EO435" s="4">
        <v>1125</v>
      </c>
      <c r="EP435" s="4">
        <v>688</v>
      </c>
      <c r="EQ435" s="4">
        <v>1129</v>
      </c>
      <c r="ER435" s="4">
        <v>61.815235000000001</v>
      </c>
    </row>
    <row r="436" spans="1:148" x14ac:dyDescent="0.2">
      <c r="A436" s="1">
        <v>2025</v>
      </c>
      <c r="B436" s="1" t="str">
        <f t="shared" si="12"/>
        <v>NE</v>
      </c>
      <c r="C436" s="1" t="s">
        <v>1770</v>
      </c>
      <c r="D436" s="1" t="s">
        <v>1770</v>
      </c>
      <c r="E436" s="1">
        <v>27557</v>
      </c>
      <c r="F436" s="1" t="s">
        <v>2232</v>
      </c>
      <c r="G436" s="1" t="s">
        <v>2032</v>
      </c>
      <c r="H436" s="1" t="s">
        <v>1974</v>
      </c>
      <c r="I436" s="1">
        <v>55.25</v>
      </c>
      <c r="J436" s="1">
        <v>55.25</v>
      </c>
      <c r="K436" s="1" t="s">
        <v>286</v>
      </c>
      <c r="L436" s="1">
        <v>1</v>
      </c>
      <c r="M436" s="3">
        <v>2020</v>
      </c>
      <c r="O436" s="1">
        <v>1</v>
      </c>
      <c r="P436" s="1" t="str">
        <f t="shared" si="13"/>
        <v>Alto fuste</v>
      </c>
      <c r="Q436" s="2">
        <v>44007</v>
      </c>
      <c r="R436" s="1" t="s">
        <v>169</v>
      </c>
      <c r="S436" s="1" t="s">
        <v>403</v>
      </c>
      <c r="T436" s="1" t="s">
        <v>2268</v>
      </c>
      <c r="U436" s="1" t="s">
        <v>170</v>
      </c>
      <c r="V436" s="1" t="s">
        <v>152</v>
      </c>
      <c r="W436" s="2">
        <v>45708</v>
      </c>
      <c r="X436" s="1" t="s">
        <v>2233</v>
      </c>
      <c r="Y436" s="1">
        <v>145.72999999999999</v>
      </c>
      <c r="Z436" s="1">
        <v>21.6</v>
      </c>
      <c r="AA436" s="1">
        <v>16</v>
      </c>
      <c r="AB436" s="1">
        <v>15.6</v>
      </c>
      <c r="AC436" s="1">
        <v>0</v>
      </c>
      <c r="AD436" s="3">
        <v>336.96</v>
      </c>
      <c r="AE436" s="3">
        <v>323.90674106337599</v>
      </c>
      <c r="AF436" s="2">
        <v>45708</v>
      </c>
      <c r="AG436" s="1">
        <v>56</v>
      </c>
      <c r="AH436" s="3">
        <v>4.6570841889116998</v>
      </c>
      <c r="AI436" s="4">
        <v>23.155902373513499</v>
      </c>
      <c r="AJ436" s="4">
        <v>15.588888888888899</v>
      </c>
      <c r="AK436" s="4">
        <v>21.534398373765299</v>
      </c>
      <c r="AL436" s="1">
        <v>36</v>
      </c>
      <c r="AM436" s="5">
        <v>1111.4310212196599</v>
      </c>
      <c r="AN436" s="4">
        <v>225.666916636081</v>
      </c>
      <c r="AO436" s="4">
        <v>0.20304176537059301</v>
      </c>
      <c r="AP436" s="1" t="s">
        <v>403</v>
      </c>
      <c r="AQ436" s="1" t="s">
        <v>156</v>
      </c>
      <c r="AR436" s="1" t="s">
        <v>282</v>
      </c>
      <c r="AS436" s="1">
        <v>9</v>
      </c>
      <c r="AT436" s="4">
        <v>1.0002879190976939</v>
      </c>
      <c r="AU436" s="1" t="s">
        <v>1769</v>
      </c>
      <c r="AV436" s="1" t="s">
        <v>1770</v>
      </c>
      <c r="AW436" s="1">
        <v>1204</v>
      </c>
      <c r="AX436" s="1">
        <v>695</v>
      </c>
      <c r="AY436" s="1">
        <v>406</v>
      </c>
      <c r="AZ436" s="1">
        <v>88</v>
      </c>
      <c r="BA436" s="1">
        <v>15</v>
      </c>
      <c r="BB436" s="1">
        <v>0</v>
      </c>
      <c r="BC436" s="1">
        <v>0</v>
      </c>
      <c r="BD436" s="1">
        <v>0</v>
      </c>
      <c r="BE436" s="1">
        <v>0</v>
      </c>
      <c r="BF436" s="1">
        <v>0</v>
      </c>
      <c r="BG436" s="1">
        <v>0</v>
      </c>
      <c r="BH436" s="4">
        <v>0</v>
      </c>
      <c r="BI436" s="4">
        <v>27.129999000000002</v>
      </c>
      <c r="BJ436" s="4">
        <v>16.662815999999999</v>
      </c>
      <c r="BK436" s="4">
        <v>0</v>
      </c>
      <c r="BL436" s="4">
        <v>10.406167999999999</v>
      </c>
      <c r="BM436" s="4">
        <v>108.288335</v>
      </c>
      <c r="BN436" s="4">
        <v>0.62451400000000001</v>
      </c>
      <c r="BO436" s="4">
        <v>23.074750000000002</v>
      </c>
      <c r="BP436" s="4">
        <v>-0.84993300000000005</v>
      </c>
      <c r="BQ436" s="4">
        <v>1.8633040000000001</v>
      </c>
      <c r="BR436" s="4">
        <v>9.3314640000000004</v>
      </c>
      <c r="BS436" s="4">
        <v>1.917</v>
      </c>
      <c r="BT436" s="4">
        <v>22.805499999999999</v>
      </c>
      <c r="BU436" s="4">
        <v>16.662815999999999</v>
      </c>
      <c r="BV436" s="4">
        <v>5.2479370000000003</v>
      </c>
      <c r="BW436" s="4">
        <v>-1.6660520000000001</v>
      </c>
      <c r="BX436" s="4">
        <v>-0.20802599999999999</v>
      </c>
      <c r="BY436" s="4">
        <v>0.31494899999999998</v>
      </c>
      <c r="BZ436" s="4">
        <v>-0.31746799999999997</v>
      </c>
      <c r="CA436" s="4">
        <v>-3.9639000000000001E-2</v>
      </c>
      <c r="CB436" s="4">
        <v>1E-3</v>
      </c>
      <c r="CC436" s="4">
        <v>8.9999999999999993E-3</v>
      </c>
      <c r="CD436" s="4">
        <v>1.9300000000000001E-2</v>
      </c>
      <c r="CE436" s="4">
        <v>6.5000000000000002E-2</v>
      </c>
      <c r="CF436" s="4">
        <v>1.0980000000000001</v>
      </c>
      <c r="CG436" s="4">
        <v>12.855599</v>
      </c>
      <c r="CH436" s="4">
        <v>21.995401000000001</v>
      </c>
      <c r="CI436" s="4">
        <v>22.805499999999999</v>
      </c>
      <c r="CJ436" s="4">
        <v>23.350598999999999</v>
      </c>
      <c r="CK436" s="4">
        <v>23.9193</v>
      </c>
      <c r="CL436" s="4">
        <v>24.172750000000001</v>
      </c>
      <c r="CM436" s="4">
        <v>24.431999000000001</v>
      </c>
      <c r="CN436" s="4">
        <v>25.016701000000001</v>
      </c>
      <c r="CO436" s="4">
        <v>25.524000000000001</v>
      </c>
      <c r="CP436" s="4">
        <v>26.194579999999998</v>
      </c>
      <c r="CQ436" s="4">
        <v>0.61418399999999995</v>
      </c>
      <c r="CR436" s="4">
        <v>19.643008999999999</v>
      </c>
      <c r="CS436" s="4">
        <v>20.860845999999999</v>
      </c>
      <c r="CT436" s="1">
        <v>22</v>
      </c>
      <c r="CU436" s="1">
        <v>445</v>
      </c>
      <c r="CV436" s="4">
        <v>112.346346</v>
      </c>
      <c r="CW436" s="4">
        <v>48.857143000000001</v>
      </c>
      <c r="CX436" s="4">
        <v>68.318472</v>
      </c>
      <c r="CY436" s="4">
        <v>4667.4136109999999</v>
      </c>
      <c r="CZ436" s="4">
        <v>0.60810600000000004</v>
      </c>
      <c r="DA436" s="4">
        <v>93</v>
      </c>
      <c r="DB436" s="4">
        <v>1.1835690000000001</v>
      </c>
      <c r="DC436" s="4">
        <v>4.5555479999999999</v>
      </c>
      <c r="DD436" s="4">
        <v>53.962398</v>
      </c>
      <c r="DE436" s="4">
        <v>112.346346</v>
      </c>
      <c r="DF436" s="4">
        <v>36.878650999999998</v>
      </c>
      <c r="DG436" s="4">
        <v>8.3219960000000004</v>
      </c>
      <c r="DH436" s="4">
        <v>3.924725</v>
      </c>
      <c r="DI436" s="4">
        <v>0.32825900000000002</v>
      </c>
      <c r="DJ436" s="4">
        <v>0.225659</v>
      </c>
      <c r="DK436" s="4">
        <v>0.106423</v>
      </c>
      <c r="DL436" s="4">
        <v>28</v>
      </c>
      <c r="DM436" s="4">
        <v>34</v>
      </c>
      <c r="DN436" s="4">
        <v>41</v>
      </c>
      <c r="DO436" s="4">
        <v>52</v>
      </c>
      <c r="DP436" s="4">
        <v>58</v>
      </c>
      <c r="DQ436" s="4">
        <v>63</v>
      </c>
      <c r="DR436" s="4">
        <v>80</v>
      </c>
      <c r="DS436" s="4">
        <v>97.5</v>
      </c>
      <c r="DT436" s="4">
        <v>117</v>
      </c>
      <c r="DU436" s="4">
        <v>138</v>
      </c>
      <c r="DV436" s="4">
        <v>151</v>
      </c>
      <c r="DW436" s="4">
        <v>164</v>
      </c>
      <c r="DX436" s="4">
        <v>205</v>
      </c>
      <c r="DY436" s="4">
        <v>246</v>
      </c>
      <c r="DZ436" s="4">
        <v>334.93994099999998</v>
      </c>
      <c r="EA436" s="4">
        <v>97.841727000000006</v>
      </c>
      <c r="EB436" s="4">
        <v>73.837209000000001</v>
      </c>
      <c r="EC436" s="4">
        <v>127.913669</v>
      </c>
      <c r="ED436" s="4">
        <v>680</v>
      </c>
      <c r="EE436" s="4">
        <v>889</v>
      </c>
      <c r="EF436" s="4">
        <v>94.820143999999999</v>
      </c>
      <c r="EG436" s="4">
        <v>100</v>
      </c>
      <c r="EH436" s="4">
        <v>67.358804000000006</v>
      </c>
      <c r="EI436" s="4">
        <v>99.418604999999999</v>
      </c>
      <c r="EJ436" s="4">
        <v>116.690647</v>
      </c>
      <c r="EK436" s="4">
        <v>172.23021600000001</v>
      </c>
      <c r="EL436" s="4">
        <v>659</v>
      </c>
      <c r="EM436" s="4">
        <v>695</v>
      </c>
      <c r="EN436" s="4">
        <v>811</v>
      </c>
      <c r="EO436" s="4">
        <v>1197</v>
      </c>
      <c r="EP436" s="4">
        <v>695</v>
      </c>
      <c r="EQ436" s="4">
        <v>1204</v>
      </c>
      <c r="ER436" s="4">
        <v>62.601967000000002</v>
      </c>
    </row>
    <row r="437" spans="1:148" x14ac:dyDescent="0.2">
      <c r="A437" s="1">
        <v>2025</v>
      </c>
      <c r="B437" s="1" t="str">
        <f t="shared" si="12"/>
        <v>NE</v>
      </c>
      <c r="C437" s="1" t="s">
        <v>1772</v>
      </c>
      <c r="D437" s="1" t="s">
        <v>1772</v>
      </c>
      <c r="E437" s="1">
        <v>25436</v>
      </c>
      <c r="F437" s="1" t="s">
        <v>2234</v>
      </c>
      <c r="G437" s="1" t="s">
        <v>2033</v>
      </c>
      <c r="H437" s="1" t="s">
        <v>1975</v>
      </c>
      <c r="I437" s="1">
        <v>45.7</v>
      </c>
      <c r="J437" s="1">
        <v>45.7</v>
      </c>
      <c r="K437" s="1" t="s">
        <v>286</v>
      </c>
      <c r="L437" s="1">
        <v>1</v>
      </c>
      <c r="M437" s="3">
        <v>2017</v>
      </c>
      <c r="O437" s="1">
        <v>1</v>
      </c>
      <c r="P437" s="1" t="str">
        <f t="shared" si="13"/>
        <v>Alto fuste</v>
      </c>
      <c r="Q437" s="2">
        <v>42871</v>
      </c>
      <c r="R437" s="1" t="s">
        <v>169</v>
      </c>
      <c r="S437" s="1" t="s">
        <v>403</v>
      </c>
      <c r="T437" s="1" t="s">
        <v>2268</v>
      </c>
      <c r="U437" s="1" t="s">
        <v>170</v>
      </c>
      <c r="V437" s="1" t="s">
        <v>152</v>
      </c>
      <c r="W437" s="2">
        <v>44807</v>
      </c>
      <c r="X437" s="1" t="s">
        <v>2235</v>
      </c>
      <c r="Y437" s="1">
        <v>45.7</v>
      </c>
      <c r="Z437" s="1">
        <v>19</v>
      </c>
      <c r="AA437" s="1">
        <v>18</v>
      </c>
      <c r="AB437" s="1">
        <v>15.6</v>
      </c>
      <c r="AC437" s="1">
        <v>5</v>
      </c>
      <c r="AD437" s="3">
        <v>296.39999999999998</v>
      </c>
      <c r="AE437" s="3">
        <v>280.82046288282299</v>
      </c>
      <c r="AF437" s="2">
        <v>45768</v>
      </c>
      <c r="AG437" s="1">
        <v>95</v>
      </c>
      <c r="AH437" s="3">
        <v>7.9315537303217001</v>
      </c>
      <c r="AI437" s="4">
        <v>31.959209998816199</v>
      </c>
      <c r="AJ437" s="4">
        <v>18.2870967741935</v>
      </c>
      <c r="AK437" s="4">
        <v>29.509437267293599</v>
      </c>
      <c r="AL437" s="1">
        <v>31</v>
      </c>
      <c r="AM437" s="5">
        <v>1103.90815832161</v>
      </c>
      <c r="AN437" s="4">
        <v>420.86199558159598</v>
      </c>
      <c r="AO437" s="4">
        <v>0.38124729164197602</v>
      </c>
      <c r="AP437" s="1" t="s">
        <v>403</v>
      </c>
      <c r="AQ437" s="1" t="s">
        <v>156</v>
      </c>
      <c r="AR437" s="1" t="s">
        <v>282</v>
      </c>
      <c r="AS437" s="1">
        <v>9</v>
      </c>
      <c r="AT437" s="4">
        <v>0.99351734248944901</v>
      </c>
      <c r="AU437" s="1" t="s">
        <v>1771</v>
      </c>
      <c r="AV437" s="1" t="s">
        <v>1772</v>
      </c>
      <c r="AW437" s="1">
        <v>1153</v>
      </c>
      <c r="AX437" s="1">
        <v>613</v>
      </c>
      <c r="AY437" s="1">
        <v>367</v>
      </c>
      <c r="AZ437" s="1">
        <v>136</v>
      </c>
      <c r="BA437" s="1">
        <v>35</v>
      </c>
      <c r="BB437" s="1">
        <v>2</v>
      </c>
      <c r="BC437" s="1">
        <v>0</v>
      </c>
      <c r="BD437" s="1">
        <v>0</v>
      </c>
      <c r="BE437" s="1">
        <v>0</v>
      </c>
      <c r="BF437" s="1">
        <v>0</v>
      </c>
      <c r="BG437" s="1">
        <v>0</v>
      </c>
      <c r="BH437" s="4">
        <v>0</v>
      </c>
      <c r="BI437" s="4">
        <v>33.550998999999997</v>
      </c>
      <c r="BJ437" s="4">
        <v>20.949755</v>
      </c>
      <c r="BK437" s="4">
        <v>0</v>
      </c>
      <c r="BL437" s="4">
        <v>11.572597999999999</v>
      </c>
      <c r="BM437" s="4">
        <v>133.92502400000001</v>
      </c>
      <c r="BN437" s="4">
        <v>0.55239799999999994</v>
      </c>
      <c r="BO437" s="4">
        <v>14.837001000000001</v>
      </c>
      <c r="BP437" s="4">
        <v>-0.855711</v>
      </c>
      <c r="BQ437" s="4">
        <v>2.2625920000000002</v>
      </c>
      <c r="BR437" s="4">
        <v>9.8293689999999998</v>
      </c>
      <c r="BS437" s="4">
        <v>4.3120000000000003</v>
      </c>
      <c r="BT437" s="4">
        <v>27.527000000000001</v>
      </c>
      <c r="BU437" s="4">
        <v>20.949755</v>
      </c>
      <c r="BV437" s="4">
        <v>6.1603279999999998</v>
      </c>
      <c r="BW437" s="4">
        <v>-1.7256419999999999</v>
      </c>
      <c r="BX437" s="4">
        <v>-8.5113999999999995E-2</v>
      </c>
      <c r="BY437" s="4">
        <v>0.29405300000000001</v>
      </c>
      <c r="BZ437" s="4">
        <v>-0.28012199999999998</v>
      </c>
      <c r="CA437" s="4">
        <v>-1.3816E-2</v>
      </c>
      <c r="CB437" s="4">
        <v>2.5200000000000001E-3</v>
      </c>
      <c r="CC437" s="4">
        <v>8.9999999999999993E-3</v>
      </c>
      <c r="CD437" s="4">
        <v>2.5000000000000001E-2</v>
      </c>
      <c r="CE437" s="4">
        <v>12.457599999999999</v>
      </c>
      <c r="CF437" s="4">
        <v>15.523</v>
      </c>
      <c r="CG437" s="4">
        <v>16.785601</v>
      </c>
      <c r="CH437" s="4">
        <v>20.173399</v>
      </c>
      <c r="CI437" s="4">
        <v>27.527000000000001</v>
      </c>
      <c r="CJ437" s="4">
        <v>29.346599999999999</v>
      </c>
      <c r="CK437" s="4">
        <v>30.047401000000001</v>
      </c>
      <c r="CL437" s="4">
        <v>30.360001</v>
      </c>
      <c r="CM437" s="4">
        <v>30.676399</v>
      </c>
      <c r="CN437" s="4">
        <v>31.254598999999999</v>
      </c>
      <c r="CO437" s="4">
        <v>31.695399999999999</v>
      </c>
      <c r="CP437" s="4">
        <v>32.865963000000001</v>
      </c>
      <c r="CQ437" s="4">
        <v>0.62441500000000005</v>
      </c>
      <c r="CR437" s="4">
        <v>23.931173999999999</v>
      </c>
      <c r="CS437" s="4">
        <v>25.344238000000001</v>
      </c>
      <c r="CT437" s="1">
        <v>21</v>
      </c>
      <c r="CU437" s="1">
        <v>601</v>
      </c>
      <c r="CV437" s="4">
        <v>126.685169</v>
      </c>
      <c r="CW437" s="4">
        <v>39.412697999999999</v>
      </c>
      <c r="CX437" s="4">
        <v>93.269121999999996</v>
      </c>
      <c r="CY437" s="4">
        <v>8699.1290939999999</v>
      </c>
      <c r="CZ437" s="4">
        <v>0.73622799999999999</v>
      </c>
      <c r="DA437" s="4">
        <v>129</v>
      </c>
      <c r="DB437" s="4">
        <v>1.4203600000000001</v>
      </c>
      <c r="DC437" s="4">
        <v>5.5640890000000001</v>
      </c>
      <c r="DD437" s="4">
        <v>73.95093</v>
      </c>
      <c r="DE437" s="4">
        <v>126.685169</v>
      </c>
      <c r="DF437" s="4">
        <v>49.187184000000002</v>
      </c>
      <c r="DG437" s="4">
        <v>13.579665</v>
      </c>
      <c r="DH437" s="4">
        <v>4.7532959999999997</v>
      </c>
      <c r="DI437" s="4">
        <v>0.38826300000000002</v>
      </c>
      <c r="DJ437" s="4">
        <v>0.27608100000000002</v>
      </c>
      <c r="DK437" s="4">
        <v>9.6637000000000001E-2</v>
      </c>
      <c r="DL437" s="4">
        <v>26</v>
      </c>
      <c r="DM437" s="4">
        <v>31</v>
      </c>
      <c r="DN437" s="4">
        <v>37</v>
      </c>
      <c r="DO437" s="4">
        <v>47</v>
      </c>
      <c r="DP437" s="4">
        <v>52</v>
      </c>
      <c r="DQ437" s="4">
        <v>59</v>
      </c>
      <c r="DR437" s="4">
        <v>76</v>
      </c>
      <c r="DS437" s="4">
        <v>99</v>
      </c>
      <c r="DT437" s="4">
        <v>127</v>
      </c>
      <c r="DU437" s="4">
        <v>160.400024</v>
      </c>
      <c r="DV437" s="4">
        <v>181</v>
      </c>
      <c r="DW437" s="4">
        <v>200</v>
      </c>
      <c r="DX437" s="4">
        <v>251</v>
      </c>
      <c r="DY437" s="4">
        <v>292.800049</v>
      </c>
      <c r="DZ437" s="4">
        <v>437.11962899999997</v>
      </c>
      <c r="EA437" s="4">
        <v>97.716149999999999</v>
      </c>
      <c r="EB437" s="4">
        <v>81.266261999999998</v>
      </c>
      <c r="EC437" s="4">
        <v>152.85481200000001</v>
      </c>
      <c r="ED437" s="4">
        <v>599</v>
      </c>
      <c r="EE437" s="4">
        <v>937</v>
      </c>
      <c r="EF437" s="4">
        <v>87.601957999999996</v>
      </c>
      <c r="EG437" s="4">
        <v>100</v>
      </c>
      <c r="EH437" s="4">
        <v>57.588898999999998</v>
      </c>
      <c r="EI437" s="4">
        <v>99.566349000000002</v>
      </c>
      <c r="EJ437" s="4">
        <v>108.319739</v>
      </c>
      <c r="EK437" s="4">
        <v>187.27569299999999</v>
      </c>
      <c r="EL437" s="4">
        <v>537</v>
      </c>
      <c r="EM437" s="4">
        <v>613</v>
      </c>
      <c r="EN437" s="4">
        <v>664</v>
      </c>
      <c r="EO437" s="4">
        <v>1148</v>
      </c>
      <c r="EP437" s="4">
        <v>613</v>
      </c>
      <c r="EQ437" s="4">
        <v>1153</v>
      </c>
      <c r="ER437" s="4">
        <v>62.744208999999998</v>
      </c>
    </row>
    <row r="438" spans="1:148" x14ac:dyDescent="0.2">
      <c r="A438" s="1">
        <v>2025</v>
      </c>
      <c r="B438" s="1" t="str">
        <f t="shared" si="12"/>
        <v>NE</v>
      </c>
      <c r="C438" s="1" t="s">
        <v>1774</v>
      </c>
      <c r="D438" s="1" t="s">
        <v>1774</v>
      </c>
      <c r="E438" s="1">
        <v>25438</v>
      </c>
      <c r="F438" s="1" t="s">
        <v>2234</v>
      </c>
      <c r="G438" s="1" t="s">
        <v>2033</v>
      </c>
      <c r="H438" s="1" t="s">
        <v>1975</v>
      </c>
      <c r="I438" s="1">
        <v>45.7</v>
      </c>
      <c r="J438" s="1">
        <v>45.7</v>
      </c>
      <c r="K438" s="1" t="s">
        <v>286</v>
      </c>
      <c r="L438" s="1">
        <v>1</v>
      </c>
      <c r="M438" s="3">
        <v>2017</v>
      </c>
      <c r="O438" s="1">
        <v>1</v>
      </c>
      <c r="P438" s="1" t="str">
        <f t="shared" si="13"/>
        <v>Alto fuste</v>
      </c>
      <c r="Q438" s="2">
        <v>42871</v>
      </c>
      <c r="R438" s="1" t="s">
        <v>169</v>
      </c>
      <c r="S438" s="1" t="s">
        <v>403</v>
      </c>
      <c r="T438" s="1" t="s">
        <v>2268</v>
      </c>
      <c r="U438" s="1" t="s">
        <v>170</v>
      </c>
      <c r="V438" s="1" t="s">
        <v>152</v>
      </c>
      <c r="W438" s="2">
        <v>45768</v>
      </c>
      <c r="X438" s="1" t="s">
        <v>2235</v>
      </c>
      <c r="Y438" s="1">
        <v>45.7</v>
      </c>
      <c r="Z438" s="1">
        <v>19.399999999999999</v>
      </c>
      <c r="AA438" s="1">
        <v>20</v>
      </c>
      <c r="AB438" s="1">
        <v>14.5</v>
      </c>
      <c r="AC438" s="1">
        <v>3</v>
      </c>
      <c r="AD438" s="3">
        <v>281.3</v>
      </c>
      <c r="AE438" s="3">
        <v>263.97327156428702</v>
      </c>
      <c r="AF438" s="2">
        <v>45768</v>
      </c>
      <c r="AG438" s="1">
        <v>95</v>
      </c>
      <c r="AH438" s="3">
        <v>7.9315537303217001</v>
      </c>
      <c r="AI438" s="4">
        <v>30.074300619818899</v>
      </c>
      <c r="AJ438" s="4">
        <v>19.235483870967698</v>
      </c>
      <c r="AK438" s="4">
        <v>34.680357345666003</v>
      </c>
      <c r="AL438" s="1">
        <v>31</v>
      </c>
      <c r="AM438" s="5">
        <v>1174.3613213677399</v>
      </c>
      <c r="AN438" s="4">
        <v>461.31098918791099</v>
      </c>
      <c r="AO438" s="4">
        <v>0.39281861620803299</v>
      </c>
      <c r="AP438" s="1" t="s">
        <v>403</v>
      </c>
      <c r="AQ438" s="1" t="s">
        <v>156</v>
      </c>
      <c r="AR438" s="1" t="s">
        <v>282</v>
      </c>
      <c r="AS438" s="1">
        <v>9</v>
      </c>
      <c r="AT438" s="4">
        <v>1.0569251892309659</v>
      </c>
      <c r="AU438" s="1" t="s">
        <v>1773</v>
      </c>
      <c r="AV438" s="1" t="s">
        <v>1774</v>
      </c>
      <c r="AW438" s="1">
        <v>994</v>
      </c>
      <c r="AX438" s="1">
        <v>554</v>
      </c>
      <c r="AY438" s="1">
        <v>324</v>
      </c>
      <c r="AZ438" s="1">
        <v>92</v>
      </c>
      <c r="BA438" s="1">
        <v>22</v>
      </c>
      <c r="BB438" s="1">
        <v>2</v>
      </c>
      <c r="BC438" s="1">
        <v>0</v>
      </c>
      <c r="BD438" s="1">
        <v>0</v>
      </c>
      <c r="BE438" s="1">
        <v>0</v>
      </c>
      <c r="BF438" s="1">
        <v>0</v>
      </c>
      <c r="BG438" s="1">
        <v>0</v>
      </c>
      <c r="BH438" s="4">
        <v>0</v>
      </c>
      <c r="BI438" s="4">
        <v>32.737000000000002</v>
      </c>
      <c r="BJ438" s="4">
        <v>21.178764999999999</v>
      </c>
      <c r="BK438" s="4">
        <v>0</v>
      </c>
      <c r="BL438" s="4">
        <v>12.53989</v>
      </c>
      <c r="BM438" s="4">
        <v>157.24884599999999</v>
      </c>
      <c r="BN438" s="4">
        <v>0.59209699999999998</v>
      </c>
      <c r="BO438" s="4">
        <v>17.529751000000001</v>
      </c>
      <c r="BP438" s="4">
        <v>-0.89252900000000002</v>
      </c>
      <c r="BQ438" s="4">
        <v>2.026599</v>
      </c>
      <c r="BR438" s="4">
        <v>10.99381</v>
      </c>
      <c r="BS438" s="4">
        <v>2.324001</v>
      </c>
      <c r="BT438" s="4">
        <v>28.911999000000002</v>
      </c>
      <c r="BU438" s="4">
        <v>21.178764999999999</v>
      </c>
      <c r="BV438" s="4">
        <v>6.3971099999999996</v>
      </c>
      <c r="BW438" s="4">
        <v>-2.1311019999999998</v>
      </c>
      <c r="BX438" s="4">
        <v>-0.17641899999999999</v>
      </c>
      <c r="BY438" s="4">
        <v>0.30205300000000002</v>
      </c>
      <c r="BZ438" s="4">
        <v>-0.33313500000000001</v>
      </c>
      <c r="CA438" s="4">
        <v>-2.7577999999999998E-2</v>
      </c>
      <c r="CB438" s="4">
        <v>2E-3</v>
      </c>
      <c r="CC438" s="4">
        <v>8.9999999999999993E-3</v>
      </c>
      <c r="CD438" s="4">
        <v>2.63E-2</v>
      </c>
      <c r="CE438" s="4">
        <v>0.64539999999999997</v>
      </c>
      <c r="CF438" s="4">
        <v>12.86525</v>
      </c>
      <c r="CG438" s="4">
        <v>18.088698999999998</v>
      </c>
      <c r="CH438" s="4">
        <v>27.293199999999999</v>
      </c>
      <c r="CI438" s="4">
        <v>28.911999000000002</v>
      </c>
      <c r="CJ438" s="4">
        <v>29.637599999999999</v>
      </c>
      <c r="CK438" s="4">
        <v>30.138598999999999</v>
      </c>
      <c r="CL438" s="4">
        <v>30.395</v>
      </c>
      <c r="CM438" s="4">
        <v>30.680600999999999</v>
      </c>
      <c r="CN438" s="4">
        <v>31.290600000000001</v>
      </c>
      <c r="CO438" s="4">
        <v>31.721050000000002</v>
      </c>
      <c r="CP438" s="4">
        <v>32.363331000000002</v>
      </c>
      <c r="CQ438" s="4">
        <v>0.64693699999999998</v>
      </c>
      <c r="CR438" s="4">
        <v>24.609566000000001</v>
      </c>
      <c r="CS438" s="4">
        <v>26.071928</v>
      </c>
      <c r="CT438" s="1">
        <v>24</v>
      </c>
      <c r="CU438" s="1">
        <v>603</v>
      </c>
      <c r="CV438" s="4">
        <v>129.82092599999999</v>
      </c>
      <c r="CW438" s="4">
        <v>33.190475999999997</v>
      </c>
      <c r="CX438" s="4">
        <v>90.365779000000003</v>
      </c>
      <c r="CY438" s="4">
        <v>8165.9739419999996</v>
      </c>
      <c r="CZ438" s="4">
        <v>0.69608000000000003</v>
      </c>
      <c r="DA438" s="4">
        <v>119.75</v>
      </c>
      <c r="DB438" s="4">
        <v>1.593477</v>
      </c>
      <c r="DC438" s="4">
        <v>6.9392440000000004</v>
      </c>
      <c r="DD438" s="4">
        <v>69.605187999999998</v>
      </c>
      <c r="DE438" s="4">
        <v>129.82092599999999</v>
      </c>
      <c r="DF438" s="4">
        <v>47.307138000000002</v>
      </c>
      <c r="DG438" s="4">
        <v>11.769828</v>
      </c>
      <c r="DH438" s="4">
        <v>5.4412909999999997</v>
      </c>
      <c r="DI438" s="4">
        <v>0.36440299999999998</v>
      </c>
      <c r="DJ438" s="4">
        <v>0.24879599999999999</v>
      </c>
      <c r="DK438" s="4">
        <v>0.115021</v>
      </c>
      <c r="DL438" s="4">
        <v>26</v>
      </c>
      <c r="DM438" s="4">
        <v>33</v>
      </c>
      <c r="DN438" s="4">
        <v>40</v>
      </c>
      <c r="DO438" s="4">
        <v>51</v>
      </c>
      <c r="DP438" s="4">
        <v>60.25</v>
      </c>
      <c r="DQ438" s="4">
        <v>68</v>
      </c>
      <c r="DR438" s="4">
        <v>86</v>
      </c>
      <c r="DS438" s="4">
        <v>108</v>
      </c>
      <c r="DT438" s="4">
        <v>132</v>
      </c>
      <c r="DU438" s="4">
        <v>163</v>
      </c>
      <c r="DV438" s="4">
        <v>180</v>
      </c>
      <c r="DW438" s="4">
        <v>198.400024</v>
      </c>
      <c r="DX438" s="4">
        <v>241</v>
      </c>
      <c r="DY438" s="4">
        <v>281</v>
      </c>
      <c r="DZ438" s="4">
        <v>493.28002900000001</v>
      </c>
      <c r="EA438" s="4">
        <v>97.472924000000006</v>
      </c>
      <c r="EB438" s="4">
        <v>76.659959999999998</v>
      </c>
      <c r="EC438" s="4">
        <v>137.54512600000001</v>
      </c>
      <c r="ED438" s="4">
        <v>540</v>
      </c>
      <c r="EE438" s="4">
        <v>762</v>
      </c>
      <c r="EF438" s="4">
        <v>93.862815999999995</v>
      </c>
      <c r="EG438" s="4">
        <v>100</v>
      </c>
      <c r="EH438" s="4">
        <v>64.788731999999996</v>
      </c>
      <c r="EI438" s="4">
        <v>99.597586000000007</v>
      </c>
      <c r="EJ438" s="4">
        <v>116.245487</v>
      </c>
      <c r="EK438" s="4">
        <v>178.70036099999999</v>
      </c>
      <c r="EL438" s="4">
        <v>520</v>
      </c>
      <c r="EM438" s="4">
        <v>554</v>
      </c>
      <c r="EN438" s="4">
        <v>644</v>
      </c>
      <c r="EO438" s="4">
        <v>990</v>
      </c>
      <c r="EP438" s="4">
        <v>554</v>
      </c>
      <c r="EQ438" s="4">
        <v>994</v>
      </c>
      <c r="ER438" s="4">
        <v>64.48997</v>
      </c>
    </row>
    <row r="439" spans="1:148" x14ac:dyDescent="0.2">
      <c r="A439" s="1">
        <v>2025</v>
      </c>
      <c r="B439" s="1" t="str">
        <f t="shared" si="12"/>
        <v>NE</v>
      </c>
      <c r="C439" s="1" t="s">
        <v>1776</v>
      </c>
      <c r="D439" s="1" t="s">
        <v>1776</v>
      </c>
      <c r="E439" s="1">
        <v>25440</v>
      </c>
      <c r="F439" s="1" t="s">
        <v>2234</v>
      </c>
      <c r="G439" s="1" t="s">
        <v>2033</v>
      </c>
      <c r="H439" s="1" t="s">
        <v>1975</v>
      </c>
      <c r="I439" s="1">
        <v>45.7</v>
      </c>
      <c r="J439" s="1">
        <v>45.7</v>
      </c>
      <c r="K439" s="1" t="s">
        <v>286</v>
      </c>
      <c r="L439" s="1">
        <v>1</v>
      </c>
      <c r="M439" s="3">
        <v>2017</v>
      </c>
      <c r="O439" s="1">
        <v>1</v>
      </c>
      <c r="P439" s="1" t="str">
        <f t="shared" si="13"/>
        <v>Alto fuste</v>
      </c>
      <c r="Q439" s="2">
        <v>42871</v>
      </c>
      <c r="R439" s="1" t="s">
        <v>169</v>
      </c>
      <c r="S439" s="1" t="s">
        <v>403</v>
      </c>
      <c r="T439" s="1" t="s">
        <v>2268</v>
      </c>
      <c r="U439" s="1" t="s">
        <v>170</v>
      </c>
      <c r="V439" s="1" t="s">
        <v>152</v>
      </c>
      <c r="W439" s="2">
        <v>44808</v>
      </c>
      <c r="X439" s="1" t="s">
        <v>2235</v>
      </c>
      <c r="Y439" s="1">
        <v>45.7</v>
      </c>
      <c r="Z439" s="1">
        <v>19.399999999999999</v>
      </c>
      <c r="AA439" s="1">
        <v>20</v>
      </c>
      <c r="AB439" s="1">
        <v>14.5</v>
      </c>
      <c r="AC439" s="1">
        <v>3</v>
      </c>
      <c r="AD439" s="3">
        <v>281.3</v>
      </c>
      <c r="AE439" s="3">
        <v>263.97327156428702</v>
      </c>
      <c r="AF439" s="2">
        <v>45768</v>
      </c>
      <c r="AG439" s="1">
        <v>95</v>
      </c>
      <c r="AH439" s="3">
        <v>7.9315537303217001</v>
      </c>
      <c r="AI439" s="4">
        <v>26.590161472059599</v>
      </c>
      <c r="AJ439" s="4">
        <v>16.2939393939394</v>
      </c>
      <c r="AK439" s="4">
        <v>26.845871968000498</v>
      </c>
      <c r="AL439" s="1">
        <v>33</v>
      </c>
      <c r="AM439" s="5">
        <v>1250.12656790759</v>
      </c>
      <c r="AN439" s="4">
        <v>328.50652155971102</v>
      </c>
      <c r="AO439" s="4">
        <v>0.26277860977672901</v>
      </c>
      <c r="AP439" s="1" t="s">
        <v>403</v>
      </c>
      <c r="AQ439" s="1" t="s">
        <v>156</v>
      </c>
      <c r="AR439" s="1" t="s">
        <v>282</v>
      </c>
      <c r="AS439" s="1">
        <v>9</v>
      </c>
      <c r="AT439" s="4">
        <v>1.1251139111168311</v>
      </c>
      <c r="AU439" s="1" t="s">
        <v>1775</v>
      </c>
      <c r="AV439" s="1" t="s">
        <v>1776</v>
      </c>
      <c r="AW439" s="1">
        <v>1040</v>
      </c>
      <c r="AX439" s="1">
        <v>548</v>
      </c>
      <c r="AY439" s="1">
        <v>325</v>
      </c>
      <c r="AZ439" s="1">
        <v>127</v>
      </c>
      <c r="BA439" s="1">
        <v>35</v>
      </c>
      <c r="BB439" s="1">
        <v>5</v>
      </c>
      <c r="BC439" s="1">
        <v>0</v>
      </c>
      <c r="BD439" s="1">
        <v>0</v>
      </c>
      <c r="BE439" s="1">
        <v>0</v>
      </c>
      <c r="BF439" s="1">
        <v>0</v>
      </c>
      <c r="BG439" s="1">
        <v>0</v>
      </c>
      <c r="BH439" s="4">
        <v>0</v>
      </c>
      <c r="BI439" s="4">
        <v>32.201000000000001</v>
      </c>
      <c r="BJ439" s="4">
        <v>20.161031999999999</v>
      </c>
      <c r="BK439" s="4">
        <v>0</v>
      </c>
      <c r="BL439" s="4">
        <v>10.823053</v>
      </c>
      <c r="BM439" s="4">
        <v>117.13847699999999</v>
      </c>
      <c r="BN439" s="4">
        <v>0.53683000000000003</v>
      </c>
      <c r="BO439" s="4">
        <v>11.794499999999999</v>
      </c>
      <c r="BP439" s="4">
        <v>-1.032438</v>
      </c>
      <c r="BQ439" s="4">
        <v>2.5011109999999999</v>
      </c>
      <c r="BR439" s="4">
        <v>8.8671760000000006</v>
      </c>
      <c r="BS439" s="4">
        <v>4.434501</v>
      </c>
      <c r="BT439" s="4">
        <v>24.538</v>
      </c>
      <c r="BU439" s="4">
        <v>20.161031999999999</v>
      </c>
      <c r="BV439" s="4">
        <v>5.6226830000000003</v>
      </c>
      <c r="BW439" s="4">
        <v>-1.7874620000000001</v>
      </c>
      <c r="BX439" s="4">
        <v>0.16874900000000001</v>
      </c>
      <c r="BY439" s="4">
        <v>0.278889</v>
      </c>
      <c r="BZ439" s="4">
        <v>-0.31790200000000002</v>
      </c>
      <c r="CA439" s="4">
        <v>3.0012E-2</v>
      </c>
      <c r="CB439" s="4">
        <v>2E-3</v>
      </c>
      <c r="CC439" s="4">
        <v>0.01</v>
      </c>
      <c r="CD439" s="4">
        <v>2.5899999999999999E-2</v>
      </c>
      <c r="CE439" s="4">
        <v>6.9488009999999996</v>
      </c>
      <c r="CF439" s="4">
        <v>16.680499999999999</v>
      </c>
      <c r="CG439" s="4">
        <v>19.281400999999999</v>
      </c>
      <c r="CH439" s="4">
        <v>22.114000000000001</v>
      </c>
      <c r="CI439" s="4">
        <v>24.538</v>
      </c>
      <c r="CJ439" s="4">
        <v>26.965799000000001</v>
      </c>
      <c r="CK439" s="4">
        <v>28.157101000000001</v>
      </c>
      <c r="CL439" s="4">
        <v>28.475000000000001</v>
      </c>
      <c r="CM439" s="4">
        <v>28.8522</v>
      </c>
      <c r="CN439" s="4">
        <v>29.428099</v>
      </c>
      <c r="CO439" s="4">
        <v>29.874151000000001</v>
      </c>
      <c r="CP439" s="4">
        <v>30.921908999999999</v>
      </c>
      <c r="CQ439" s="4">
        <v>0.62609999999999999</v>
      </c>
      <c r="CR439" s="4">
        <v>22.87997</v>
      </c>
      <c r="CS439" s="4">
        <v>24.081441000000002</v>
      </c>
      <c r="CT439" s="1">
        <v>23</v>
      </c>
      <c r="CU439" s="1">
        <v>531</v>
      </c>
      <c r="CV439" s="4">
        <v>106.23557700000001</v>
      </c>
      <c r="CW439" s="4">
        <v>39.126984</v>
      </c>
      <c r="CX439" s="4">
        <v>74.815224999999998</v>
      </c>
      <c r="CY439" s="4">
        <v>5597.3178859999998</v>
      </c>
      <c r="CZ439" s="4">
        <v>0.70423899999999995</v>
      </c>
      <c r="DA439" s="4">
        <v>95</v>
      </c>
      <c r="DB439" s="4">
        <v>1.61598</v>
      </c>
      <c r="DC439" s="4">
        <v>6.5365970000000004</v>
      </c>
      <c r="DD439" s="4">
        <v>57.726137000000001</v>
      </c>
      <c r="DE439" s="4">
        <v>106.23557700000001</v>
      </c>
      <c r="DF439" s="4">
        <v>38.778205</v>
      </c>
      <c r="DG439" s="4">
        <v>11.525859000000001</v>
      </c>
      <c r="DH439" s="4">
        <v>4.8596089999999998</v>
      </c>
      <c r="DI439" s="4">
        <v>0.36502099999999998</v>
      </c>
      <c r="DJ439" s="4">
        <v>0.29722500000000002</v>
      </c>
      <c r="DK439" s="4">
        <v>0.12531800000000001</v>
      </c>
      <c r="DL439" s="4">
        <v>25.389999</v>
      </c>
      <c r="DM439" s="4">
        <v>32</v>
      </c>
      <c r="DN439" s="4">
        <v>36</v>
      </c>
      <c r="DO439" s="4">
        <v>45</v>
      </c>
      <c r="DP439" s="4">
        <v>49</v>
      </c>
      <c r="DQ439" s="4">
        <v>54</v>
      </c>
      <c r="DR439" s="4">
        <v>67</v>
      </c>
      <c r="DS439" s="4">
        <v>83</v>
      </c>
      <c r="DT439" s="4">
        <v>104</v>
      </c>
      <c r="DU439" s="4">
        <v>131</v>
      </c>
      <c r="DV439" s="4">
        <v>144</v>
      </c>
      <c r="DW439" s="4">
        <v>159</v>
      </c>
      <c r="DX439" s="4">
        <v>205.199951</v>
      </c>
      <c r="DY439" s="4">
        <v>253.099976</v>
      </c>
      <c r="DZ439" s="4">
        <v>358.02966300000003</v>
      </c>
      <c r="EA439" s="4">
        <v>98.722628</v>
      </c>
      <c r="EB439" s="4">
        <v>81.25</v>
      </c>
      <c r="EC439" s="4">
        <v>154.19708</v>
      </c>
      <c r="ED439" s="4">
        <v>541</v>
      </c>
      <c r="EE439" s="4">
        <v>845</v>
      </c>
      <c r="EF439" s="4">
        <v>93.430656999999997</v>
      </c>
      <c r="EG439" s="4">
        <v>100</v>
      </c>
      <c r="EH439" s="4">
        <v>67.596153999999999</v>
      </c>
      <c r="EI439" s="4">
        <v>99.903846000000001</v>
      </c>
      <c r="EJ439" s="4">
        <v>128.284672</v>
      </c>
      <c r="EK439" s="4">
        <v>189.59854000000001</v>
      </c>
      <c r="EL439" s="4">
        <v>512</v>
      </c>
      <c r="EM439" s="4">
        <v>548</v>
      </c>
      <c r="EN439" s="4">
        <v>703</v>
      </c>
      <c r="EO439" s="4">
        <v>1039</v>
      </c>
      <c r="EP439" s="4">
        <v>548</v>
      </c>
      <c r="EQ439" s="4">
        <v>1040</v>
      </c>
      <c r="ER439" s="4">
        <v>64.227489000000006</v>
      </c>
    </row>
    <row r="440" spans="1:148" x14ac:dyDescent="0.2">
      <c r="A440" s="1">
        <v>2025</v>
      </c>
      <c r="B440" s="1" t="str">
        <f t="shared" si="12"/>
        <v>NE</v>
      </c>
      <c r="C440" s="1" t="s">
        <v>1778</v>
      </c>
      <c r="D440" s="1" t="s">
        <v>1778</v>
      </c>
      <c r="E440" s="1">
        <v>30899</v>
      </c>
      <c r="F440" s="1" t="s">
        <v>2234</v>
      </c>
      <c r="G440" s="1" t="s">
        <v>2033</v>
      </c>
      <c r="H440" s="1" t="s">
        <v>1975</v>
      </c>
      <c r="I440" s="1">
        <v>45.7</v>
      </c>
      <c r="J440" s="1">
        <v>45.7</v>
      </c>
      <c r="K440" s="1" t="s">
        <v>286</v>
      </c>
      <c r="L440" s="1">
        <v>1</v>
      </c>
      <c r="M440" s="3">
        <v>2017</v>
      </c>
      <c r="O440" s="1">
        <v>1</v>
      </c>
      <c r="P440" s="1" t="str">
        <f t="shared" si="13"/>
        <v>Alto fuste</v>
      </c>
      <c r="Q440" s="2">
        <v>42871</v>
      </c>
      <c r="R440" s="1" t="s">
        <v>169</v>
      </c>
      <c r="S440" s="1" t="s">
        <v>403</v>
      </c>
      <c r="T440" s="1" t="s">
        <v>2268</v>
      </c>
      <c r="U440" s="1" t="s">
        <v>170</v>
      </c>
      <c r="V440" s="1" t="s">
        <v>152</v>
      </c>
      <c r="W440" s="2">
        <v>45768</v>
      </c>
      <c r="X440" s="1" t="s">
        <v>2235</v>
      </c>
      <c r="Y440" s="1">
        <v>45.7</v>
      </c>
      <c r="Z440" s="1">
        <v>19.8</v>
      </c>
      <c r="AA440" s="1">
        <v>39</v>
      </c>
      <c r="AB440" s="1">
        <v>15.7</v>
      </c>
      <c r="AC440" s="1">
        <v>4</v>
      </c>
      <c r="AD440" s="3">
        <v>310.86</v>
      </c>
      <c r="AE440" s="3">
        <v>240.99510808650601</v>
      </c>
      <c r="AF440" s="2">
        <v>45768</v>
      </c>
      <c r="AG440" s="1">
        <v>95</v>
      </c>
      <c r="AH440" s="3">
        <v>7.9315537303217001</v>
      </c>
      <c r="AI440" s="4">
        <v>28.324403504702701</v>
      </c>
      <c r="AJ440" s="4">
        <v>17.4821428571429</v>
      </c>
      <c r="AK440" s="4">
        <v>28.996413335638799</v>
      </c>
      <c r="AL440" s="1">
        <v>28</v>
      </c>
      <c r="AM440" s="5">
        <v>1161.84930981874</v>
      </c>
      <c r="AN440" s="4">
        <v>376.823967339153</v>
      </c>
      <c r="AO440" s="4">
        <v>0.32433118835173202</v>
      </c>
      <c r="AP440" s="1" t="s">
        <v>403</v>
      </c>
      <c r="AQ440" s="1" t="s">
        <v>156</v>
      </c>
      <c r="AR440" s="1" t="s">
        <v>282</v>
      </c>
      <c r="AS440" s="1">
        <v>9</v>
      </c>
      <c r="AT440" s="4">
        <v>1.045664378836866</v>
      </c>
      <c r="AU440" s="1" t="s">
        <v>1777</v>
      </c>
      <c r="AV440" s="1" t="s">
        <v>1778</v>
      </c>
      <c r="AW440" s="1">
        <v>922</v>
      </c>
      <c r="AX440" s="1">
        <v>502</v>
      </c>
      <c r="AY440" s="1">
        <v>295</v>
      </c>
      <c r="AZ440" s="1">
        <v>99</v>
      </c>
      <c r="BA440" s="1">
        <v>24</v>
      </c>
      <c r="BB440" s="1">
        <v>2</v>
      </c>
      <c r="BC440" s="1">
        <v>0</v>
      </c>
      <c r="BD440" s="1">
        <v>0</v>
      </c>
      <c r="BE440" s="1">
        <v>0</v>
      </c>
      <c r="BF440" s="1">
        <v>0</v>
      </c>
      <c r="BG440" s="1">
        <v>0</v>
      </c>
      <c r="BH440" s="4">
        <v>0</v>
      </c>
      <c r="BI440" s="4">
        <v>36.240001999999997</v>
      </c>
      <c r="BJ440" s="4">
        <v>19.715558999999999</v>
      </c>
      <c r="BK440" s="4">
        <v>0</v>
      </c>
      <c r="BL440" s="4">
        <v>12.564064999999999</v>
      </c>
      <c r="BM440" s="4">
        <v>157.855739</v>
      </c>
      <c r="BN440" s="4">
        <v>0.63726700000000003</v>
      </c>
      <c r="BO440" s="4">
        <v>25.263002</v>
      </c>
      <c r="BP440" s="4">
        <v>-0.61961500000000003</v>
      </c>
      <c r="BQ440" s="4">
        <v>1.789588</v>
      </c>
      <c r="BR440" s="4">
        <v>10.950042</v>
      </c>
      <c r="BS440" s="4">
        <v>7.0225</v>
      </c>
      <c r="BT440" s="4">
        <v>24.4575</v>
      </c>
      <c r="BU440" s="4">
        <v>19.715558999999999</v>
      </c>
      <c r="BV440" s="4">
        <v>6.8598420000000004</v>
      </c>
      <c r="BW440" s="4">
        <v>-1.344217</v>
      </c>
      <c r="BX440" s="4">
        <v>-0.416958</v>
      </c>
      <c r="BY440" s="4">
        <v>0.347941</v>
      </c>
      <c r="BZ440" s="4">
        <v>-0.19595499999999999</v>
      </c>
      <c r="CA440" s="4">
        <v>-6.0782000000000003E-2</v>
      </c>
      <c r="CB440" s="4">
        <v>3.0000000000000001E-3</v>
      </c>
      <c r="CC440" s="4">
        <v>2.1999999999999999E-2</v>
      </c>
      <c r="CD440" s="4">
        <v>0.04</v>
      </c>
      <c r="CE440" s="4">
        <v>0.14499999999999999</v>
      </c>
      <c r="CF440" s="4">
        <v>5.0949999999999998</v>
      </c>
      <c r="CG440" s="4">
        <v>15.806599</v>
      </c>
      <c r="CH440" s="4">
        <v>19.3232</v>
      </c>
      <c r="CI440" s="4">
        <v>24.4575</v>
      </c>
      <c r="CJ440" s="4">
        <v>28.507401000000002</v>
      </c>
      <c r="CK440" s="4">
        <v>29.762701</v>
      </c>
      <c r="CL440" s="4">
        <v>30.358001999999999</v>
      </c>
      <c r="CM440" s="4">
        <v>30.959</v>
      </c>
      <c r="CN440" s="4">
        <v>32.169502000000001</v>
      </c>
      <c r="CO440" s="4">
        <v>33.079002000000003</v>
      </c>
      <c r="CP440" s="4">
        <v>34.543765999999998</v>
      </c>
      <c r="CQ440" s="4">
        <v>0.54402799999999996</v>
      </c>
      <c r="CR440" s="4">
        <v>23.374939000000001</v>
      </c>
      <c r="CS440" s="4">
        <v>25.073090000000001</v>
      </c>
      <c r="CT440" s="1">
        <v>23</v>
      </c>
      <c r="CU440" s="1">
        <v>535</v>
      </c>
      <c r="CV440" s="4">
        <v>129.38828599999999</v>
      </c>
      <c r="CW440" s="4">
        <v>31.126984</v>
      </c>
      <c r="CX440" s="4">
        <v>93.679826000000006</v>
      </c>
      <c r="CY440" s="4">
        <v>8775.9098730000005</v>
      </c>
      <c r="CZ440" s="4">
        <v>0.72402100000000003</v>
      </c>
      <c r="DA440" s="4">
        <v>129</v>
      </c>
      <c r="DB440" s="4">
        <v>1.250472</v>
      </c>
      <c r="DC440" s="4">
        <v>4.4795749999999996</v>
      </c>
      <c r="DD440" s="4">
        <v>75.104845999999995</v>
      </c>
      <c r="DE440" s="4">
        <v>129.38828599999999</v>
      </c>
      <c r="DF440" s="4">
        <v>50.011527000000001</v>
      </c>
      <c r="DG440" s="4">
        <v>13.482127</v>
      </c>
      <c r="DH440" s="4">
        <v>4.6158469999999996</v>
      </c>
      <c r="DI440" s="4">
        <v>0.38652300000000001</v>
      </c>
      <c r="DJ440" s="4">
        <v>0.26957999999999999</v>
      </c>
      <c r="DK440" s="4">
        <v>9.2296000000000003E-2</v>
      </c>
      <c r="DL440" s="4">
        <v>25</v>
      </c>
      <c r="DM440" s="4">
        <v>32</v>
      </c>
      <c r="DN440" s="4">
        <v>37.099997999999999</v>
      </c>
      <c r="DO440" s="4">
        <v>49</v>
      </c>
      <c r="DP440" s="4">
        <v>55</v>
      </c>
      <c r="DQ440" s="4">
        <v>62</v>
      </c>
      <c r="DR440" s="4">
        <v>78</v>
      </c>
      <c r="DS440" s="4">
        <v>98</v>
      </c>
      <c r="DT440" s="4">
        <v>130</v>
      </c>
      <c r="DU440" s="4">
        <v>165.70001199999999</v>
      </c>
      <c r="DV440" s="4">
        <v>184</v>
      </c>
      <c r="DW440" s="4">
        <v>205</v>
      </c>
      <c r="DX440" s="4">
        <v>256</v>
      </c>
      <c r="DY440" s="4">
        <v>303</v>
      </c>
      <c r="DZ440" s="4">
        <v>431.15991200000002</v>
      </c>
      <c r="EA440" s="4">
        <v>96.414343000000002</v>
      </c>
      <c r="EB440" s="4">
        <v>75.704988999999998</v>
      </c>
      <c r="EC440" s="4">
        <v>139.043825</v>
      </c>
      <c r="ED440" s="4">
        <v>484</v>
      </c>
      <c r="EE440" s="4">
        <v>698</v>
      </c>
      <c r="EF440" s="4">
        <v>84.462151000000006</v>
      </c>
      <c r="EG440" s="4">
        <v>99.800797000000003</v>
      </c>
      <c r="EH440" s="4">
        <v>59.110629000000003</v>
      </c>
      <c r="EI440" s="4">
        <v>99.891540000000006</v>
      </c>
      <c r="EJ440" s="4">
        <v>108.565737</v>
      </c>
      <c r="EK440" s="4">
        <v>183.46613500000001</v>
      </c>
      <c r="EL440" s="4">
        <v>424</v>
      </c>
      <c r="EM440" s="4">
        <v>501</v>
      </c>
      <c r="EN440" s="4">
        <v>545</v>
      </c>
      <c r="EO440" s="4">
        <v>921</v>
      </c>
      <c r="EP440" s="4">
        <v>502</v>
      </c>
      <c r="EQ440" s="4">
        <v>922</v>
      </c>
      <c r="ER440" s="4">
        <v>56.052303999999999</v>
      </c>
    </row>
    <row r="441" spans="1:148" x14ac:dyDescent="0.2">
      <c r="A441" s="1">
        <v>2025</v>
      </c>
      <c r="B441" s="1" t="str">
        <f t="shared" si="12"/>
        <v>NE</v>
      </c>
      <c r="C441" s="1" t="s">
        <v>1780</v>
      </c>
      <c r="D441" s="1" t="s">
        <v>1780</v>
      </c>
      <c r="E441" s="1">
        <v>27260</v>
      </c>
      <c r="F441" s="1" t="s">
        <v>2236</v>
      </c>
      <c r="G441" s="1" t="s">
        <v>2034</v>
      </c>
      <c r="H441" s="1" t="s">
        <v>1976</v>
      </c>
      <c r="I441" s="1">
        <v>47.81</v>
      </c>
      <c r="J441" s="1">
        <v>47.81</v>
      </c>
      <c r="K441" s="1" t="s">
        <v>184</v>
      </c>
      <c r="L441" s="1">
        <v>1</v>
      </c>
      <c r="M441" s="3">
        <v>2019</v>
      </c>
      <c r="O441" s="1">
        <v>1</v>
      </c>
      <c r="P441" s="1" t="str">
        <f t="shared" si="13"/>
        <v>Alto fuste</v>
      </c>
      <c r="Q441" s="2">
        <v>43524</v>
      </c>
      <c r="R441" s="1" t="s">
        <v>169</v>
      </c>
      <c r="S441" s="1" t="s">
        <v>442</v>
      </c>
      <c r="T441" s="1" t="s">
        <v>2268</v>
      </c>
      <c r="U441" s="1" t="s">
        <v>170</v>
      </c>
      <c r="V441" s="1" t="s">
        <v>152</v>
      </c>
      <c r="W441" s="2">
        <v>44809</v>
      </c>
      <c r="X441" s="1" t="s">
        <v>2237</v>
      </c>
      <c r="Y441" s="1">
        <v>130.76999999999998</v>
      </c>
      <c r="Z441" s="1">
        <v>19.600000000000001</v>
      </c>
      <c r="AA441" s="1">
        <v>16</v>
      </c>
      <c r="AB441" s="1">
        <v>15.5</v>
      </c>
      <c r="AC441" s="1">
        <v>2</v>
      </c>
      <c r="AD441" s="3">
        <v>303.8</v>
      </c>
      <c r="AE441" s="3">
        <v>291.85340564655797</v>
      </c>
      <c r="AF441" s="2">
        <v>45740</v>
      </c>
      <c r="AG441" s="1">
        <v>73</v>
      </c>
      <c r="AH441" s="3">
        <v>6.0670773442847397</v>
      </c>
      <c r="AI441" s="4">
        <v>32.264467237476602</v>
      </c>
      <c r="AJ441" s="4">
        <v>18.9703703703704</v>
      </c>
      <c r="AK441" s="4">
        <v>26.323946442942901</v>
      </c>
      <c r="AL441" s="1">
        <v>27</v>
      </c>
      <c r="AM441" s="5">
        <v>925.12197828171702</v>
      </c>
      <c r="AN441" s="4">
        <v>372.87963555884801</v>
      </c>
      <c r="AO441" s="4">
        <v>0.40305996864480398</v>
      </c>
      <c r="AP441" s="1" t="s">
        <v>442</v>
      </c>
      <c r="AQ441" s="1" t="s">
        <v>156</v>
      </c>
      <c r="AR441" s="1" t="s">
        <v>282</v>
      </c>
      <c r="AS441" s="1">
        <v>9</v>
      </c>
      <c r="AT441" s="4">
        <v>0.83260978045354539</v>
      </c>
      <c r="AU441" s="1" t="s">
        <v>1779</v>
      </c>
      <c r="AV441" s="1" t="s">
        <v>1780</v>
      </c>
      <c r="AW441" s="1">
        <v>1063</v>
      </c>
      <c r="AX441" s="1">
        <v>651</v>
      </c>
      <c r="AY441" s="1">
        <v>319</v>
      </c>
      <c r="AZ441" s="1">
        <v>81</v>
      </c>
      <c r="BA441" s="1">
        <v>11</v>
      </c>
      <c r="BB441" s="1">
        <v>1</v>
      </c>
      <c r="BC441" s="1">
        <v>0</v>
      </c>
      <c r="BD441" s="1">
        <v>0</v>
      </c>
      <c r="BE441" s="1">
        <v>0</v>
      </c>
      <c r="BF441" s="1">
        <v>0</v>
      </c>
      <c r="BG441" s="1">
        <v>0</v>
      </c>
      <c r="BH441" s="4">
        <v>0</v>
      </c>
      <c r="BI441" s="4">
        <v>35.868000000000002</v>
      </c>
      <c r="BJ441" s="4">
        <v>21.647265999999998</v>
      </c>
      <c r="BK441" s="4">
        <v>0</v>
      </c>
      <c r="BL441" s="4">
        <v>14.503151000000001</v>
      </c>
      <c r="BM441" s="4">
        <v>210.341385</v>
      </c>
      <c r="BN441" s="4">
        <v>0.66997600000000002</v>
      </c>
      <c r="BO441" s="4">
        <v>33.015002000000003</v>
      </c>
      <c r="BP441" s="4">
        <v>-0.67505499999999996</v>
      </c>
      <c r="BQ441" s="4">
        <v>1.6174470000000001</v>
      </c>
      <c r="BR441" s="4">
        <v>13.226915</v>
      </c>
      <c r="BS441" s="4">
        <v>3.115999</v>
      </c>
      <c r="BT441" s="4">
        <v>30.995999999999999</v>
      </c>
      <c r="BU441" s="4">
        <v>21.647265999999998</v>
      </c>
      <c r="BV441" s="4">
        <v>7.5161020000000001</v>
      </c>
      <c r="BW441" s="4">
        <v>-1.966556</v>
      </c>
      <c r="BX441" s="4">
        <v>-0.74698600000000004</v>
      </c>
      <c r="BY441" s="4">
        <v>0.34720800000000002</v>
      </c>
      <c r="BZ441" s="4">
        <v>-0.26164599999999999</v>
      </c>
      <c r="CA441" s="4">
        <v>-9.9385000000000001E-2</v>
      </c>
      <c r="CB441" s="4">
        <v>1.6199999999999999E-3</v>
      </c>
      <c r="CC441" s="4">
        <v>7.0000000000000001E-3</v>
      </c>
      <c r="CD441" s="4">
        <v>1.6E-2</v>
      </c>
      <c r="CE441" s="4">
        <v>3.5999999999999997E-2</v>
      </c>
      <c r="CF441" s="4">
        <v>6.5000000000000002E-2</v>
      </c>
      <c r="CG441" s="4">
        <v>11.334405</v>
      </c>
      <c r="CH441" s="4">
        <v>24.108000000000001</v>
      </c>
      <c r="CI441" s="4">
        <v>30.995999999999999</v>
      </c>
      <c r="CJ441" s="4">
        <v>32.090198999999998</v>
      </c>
      <c r="CK441" s="4">
        <v>32.742801999999998</v>
      </c>
      <c r="CL441" s="4">
        <v>33.080002</v>
      </c>
      <c r="CM441" s="4">
        <v>33.411799999999999</v>
      </c>
      <c r="CN441" s="4">
        <v>34.045600999999998</v>
      </c>
      <c r="CO441" s="4">
        <v>34.604599</v>
      </c>
      <c r="CP441" s="4">
        <v>35.213279999999997</v>
      </c>
      <c r="CQ441" s="4">
        <v>0.60352600000000001</v>
      </c>
      <c r="CR441" s="4">
        <v>26.052786000000001</v>
      </c>
      <c r="CS441" s="4">
        <v>27.906866999999998</v>
      </c>
      <c r="CT441" s="1">
        <v>23</v>
      </c>
      <c r="CU441" s="1">
        <v>665</v>
      </c>
      <c r="CV441" s="4">
        <v>169.399812</v>
      </c>
      <c r="CW441" s="4">
        <v>33.190475999999997</v>
      </c>
      <c r="CX441" s="4">
        <v>133.01339100000001</v>
      </c>
      <c r="CY441" s="4">
        <v>17692.56222</v>
      </c>
      <c r="CZ441" s="4">
        <v>0.78520400000000001</v>
      </c>
      <c r="DA441" s="4">
        <v>163</v>
      </c>
      <c r="DB441" s="4">
        <v>1.408474</v>
      </c>
      <c r="DC441" s="4">
        <v>4.8229829999999998</v>
      </c>
      <c r="DD441" s="4">
        <v>101.216334</v>
      </c>
      <c r="DE441" s="4">
        <v>169.399812</v>
      </c>
      <c r="DF441" s="4">
        <v>69.699845999999994</v>
      </c>
      <c r="DG441" s="4">
        <v>19.454751999999999</v>
      </c>
      <c r="DH441" s="4">
        <v>9.6225539999999992</v>
      </c>
      <c r="DI441" s="4">
        <v>0.41145199999999998</v>
      </c>
      <c r="DJ441" s="4">
        <v>0.27912199999999998</v>
      </c>
      <c r="DK441" s="4">
        <v>0.13805700000000001</v>
      </c>
      <c r="DL441" s="4">
        <v>26.619999</v>
      </c>
      <c r="DM441" s="4">
        <v>31</v>
      </c>
      <c r="DN441" s="4">
        <v>37</v>
      </c>
      <c r="DO441" s="4">
        <v>55.399994</v>
      </c>
      <c r="DP441" s="4">
        <v>66</v>
      </c>
      <c r="DQ441" s="4">
        <v>77</v>
      </c>
      <c r="DR441" s="4">
        <v>104</v>
      </c>
      <c r="DS441" s="4">
        <v>138</v>
      </c>
      <c r="DT441" s="4">
        <v>172</v>
      </c>
      <c r="DU441" s="4">
        <v>207</v>
      </c>
      <c r="DV441" s="4">
        <v>229</v>
      </c>
      <c r="DW441" s="4">
        <v>251</v>
      </c>
      <c r="DX441" s="4">
        <v>337</v>
      </c>
      <c r="DY441" s="4">
        <v>485.50012199999998</v>
      </c>
      <c r="DZ441" s="4">
        <v>589.38000499999998</v>
      </c>
      <c r="EA441" s="4">
        <v>90.168970999999999</v>
      </c>
      <c r="EB441" s="4">
        <v>72.060207000000005</v>
      </c>
      <c r="EC441" s="4">
        <v>117.665131</v>
      </c>
      <c r="ED441" s="4">
        <v>587</v>
      </c>
      <c r="EE441" s="4">
        <v>766</v>
      </c>
      <c r="EF441" s="4">
        <v>82.334868999999998</v>
      </c>
      <c r="EG441" s="4">
        <v>99.539170999999996</v>
      </c>
      <c r="EH441" s="4">
        <v>63.217309999999998</v>
      </c>
      <c r="EI441" s="4">
        <v>99.529633000000004</v>
      </c>
      <c r="EJ441" s="4">
        <v>103.22580600000001</v>
      </c>
      <c r="EK441" s="4">
        <v>162.51920100000001</v>
      </c>
      <c r="EL441" s="4">
        <v>536</v>
      </c>
      <c r="EM441" s="4">
        <v>648</v>
      </c>
      <c r="EN441" s="4">
        <v>672</v>
      </c>
      <c r="EO441" s="4">
        <v>1058</v>
      </c>
      <c r="EP441" s="4">
        <v>651</v>
      </c>
      <c r="EQ441" s="4">
        <v>1063</v>
      </c>
      <c r="ER441" s="4">
        <v>60.484352000000001</v>
      </c>
    </row>
    <row r="442" spans="1:148" x14ac:dyDescent="0.2">
      <c r="A442" s="1">
        <v>2025</v>
      </c>
      <c r="B442" s="1" t="str">
        <f t="shared" si="12"/>
        <v>NE</v>
      </c>
      <c r="C442" s="1" t="s">
        <v>1782</v>
      </c>
      <c r="D442" s="1" t="s">
        <v>1782</v>
      </c>
      <c r="E442" s="1">
        <v>30914</v>
      </c>
      <c r="F442" s="1" t="s">
        <v>2236</v>
      </c>
      <c r="G442" s="1" t="s">
        <v>2034</v>
      </c>
      <c r="H442" s="1" t="s">
        <v>1976</v>
      </c>
      <c r="I442" s="1">
        <v>47.81</v>
      </c>
      <c r="J442" s="1">
        <v>47.81</v>
      </c>
      <c r="K442" s="1" t="s">
        <v>184</v>
      </c>
      <c r="L442" s="1">
        <v>1</v>
      </c>
      <c r="M442" s="3">
        <v>2019</v>
      </c>
      <c r="O442" s="1">
        <v>1</v>
      </c>
      <c r="P442" s="1" t="str">
        <f t="shared" si="13"/>
        <v>Alto fuste</v>
      </c>
      <c r="Q442" s="2">
        <v>43524</v>
      </c>
      <c r="R442" s="1" t="s">
        <v>169</v>
      </c>
      <c r="S442" s="1" t="s">
        <v>442</v>
      </c>
      <c r="T442" s="1" t="s">
        <v>2268</v>
      </c>
      <c r="U442" s="1" t="s">
        <v>170</v>
      </c>
      <c r="V442" s="1" t="s">
        <v>152</v>
      </c>
      <c r="W442" s="2">
        <v>45740</v>
      </c>
      <c r="X442" s="1" t="s">
        <v>2237</v>
      </c>
      <c r="Y442" s="1">
        <v>130.76999999999998</v>
      </c>
      <c r="Z442" s="1">
        <v>21.5</v>
      </c>
      <c r="AA442" s="1">
        <v>5</v>
      </c>
      <c r="AB442" s="1">
        <v>15.5</v>
      </c>
      <c r="AC442" s="1">
        <v>7</v>
      </c>
      <c r="AD442" s="3">
        <v>333.25</v>
      </c>
      <c r="AE442" s="3">
        <v>329.50734052432699</v>
      </c>
      <c r="AF442" s="2">
        <v>45740</v>
      </c>
      <c r="AG442" s="1">
        <v>73</v>
      </c>
      <c r="AH442" s="3">
        <v>6.0670773442847397</v>
      </c>
      <c r="AI442" s="4">
        <v>28.88409340822</v>
      </c>
      <c r="AJ442" s="4">
        <v>18.583870967741898</v>
      </c>
      <c r="AK442" s="4">
        <v>25.888792527078799</v>
      </c>
      <c r="AL442" s="1">
        <v>31</v>
      </c>
      <c r="AM442" s="5">
        <v>940.79846447946704</v>
      </c>
      <c r="AN442" s="4">
        <v>328.16465376553703</v>
      </c>
      <c r="AO442" s="4">
        <v>0.34881503973022199</v>
      </c>
      <c r="AP442" s="1" t="s">
        <v>442</v>
      </c>
      <c r="AQ442" s="1" t="s">
        <v>156</v>
      </c>
      <c r="AR442" s="1" t="s">
        <v>282</v>
      </c>
      <c r="AS442" s="1">
        <v>9</v>
      </c>
      <c r="AT442" s="4">
        <v>0.84671861803152038</v>
      </c>
      <c r="AU442" s="1" t="s">
        <v>1781</v>
      </c>
      <c r="AV442" s="1" t="s">
        <v>1782</v>
      </c>
      <c r="AW442" s="1">
        <v>1260</v>
      </c>
      <c r="AX442" s="1">
        <v>683</v>
      </c>
      <c r="AY442" s="1">
        <v>428</v>
      </c>
      <c r="AZ442" s="1">
        <v>122</v>
      </c>
      <c r="BA442" s="1">
        <v>23</v>
      </c>
      <c r="BB442" s="1">
        <v>4</v>
      </c>
      <c r="BC442" s="1">
        <v>0</v>
      </c>
      <c r="BD442" s="1">
        <v>0</v>
      </c>
      <c r="BE442" s="1">
        <v>0</v>
      </c>
      <c r="BF442" s="1">
        <v>0</v>
      </c>
      <c r="BG442" s="1">
        <v>0</v>
      </c>
      <c r="BH442" s="4">
        <v>0</v>
      </c>
      <c r="BI442" s="4">
        <v>34.805999999999997</v>
      </c>
      <c r="BJ442" s="4">
        <v>19.505973000000001</v>
      </c>
      <c r="BK442" s="4">
        <v>0</v>
      </c>
      <c r="BL442" s="4">
        <v>13.176148</v>
      </c>
      <c r="BM442" s="4">
        <v>173.61087000000001</v>
      </c>
      <c r="BN442" s="4">
        <v>0.67549300000000001</v>
      </c>
      <c r="BO442" s="4">
        <v>30.749998999999999</v>
      </c>
      <c r="BP442" s="4">
        <v>-0.57279199999999997</v>
      </c>
      <c r="BQ442" s="4">
        <v>1.621799</v>
      </c>
      <c r="BR442" s="4">
        <v>11.750112</v>
      </c>
      <c r="BS442" s="4">
        <v>7.4620009999999999</v>
      </c>
      <c r="BT442" s="4">
        <v>24.230999000000001</v>
      </c>
      <c r="BU442" s="4">
        <v>19.505973000000001</v>
      </c>
      <c r="BV442" s="4">
        <v>7.1284210000000003</v>
      </c>
      <c r="BW442" s="4">
        <v>-1.36043</v>
      </c>
      <c r="BX442" s="4">
        <v>-0.68803400000000003</v>
      </c>
      <c r="BY442" s="4">
        <v>0.365448</v>
      </c>
      <c r="BZ442" s="4">
        <v>-0.19084599999999999</v>
      </c>
      <c r="CA442" s="4">
        <v>-9.6519999999999995E-2</v>
      </c>
      <c r="CB442" s="4">
        <v>1E-3</v>
      </c>
      <c r="CC442" s="4">
        <v>6.0000000000000001E-3</v>
      </c>
      <c r="CD442" s="4">
        <v>1.2E-2</v>
      </c>
      <c r="CE442" s="4">
        <v>3.4000000000000002E-2</v>
      </c>
      <c r="CF442" s="4">
        <v>0.17499999999999999</v>
      </c>
      <c r="CG442" s="4">
        <v>10.149699999999999</v>
      </c>
      <c r="CH442" s="4">
        <v>20.990601000000002</v>
      </c>
      <c r="CI442" s="4">
        <v>24.230999000000001</v>
      </c>
      <c r="CJ442" s="4">
        <v>29.2714</v>
      </c>
      <c r="CK442" s="4">
        <v>30.348700000000001</v>
      </c>
      <c r="CL442" s="4">
        <v>30.924999</v>
      </c>
      <c r="CM442" s="4">
        <v>31.386399999999998</v>
      </c>
      <c r="CN442" s="4">
        <v>32.366501</v>
      </c>
      <c r="CO442" s="4">
        <v>32.856147999999997</v>
      </c>
      <c r="CP442" s="4">
        <v>34.133460999999997</v>
      </c>
      <c r="CQ442" s="4">
        <v>0.56042000000000003</v>
      </c>
      <c r="CR442" s="4">
        <v>23.536270999999999</v>
      </c>
      <c r="CS442" s="4">
        <v>25.336113999999998</v>
      </c>
      <c r="CT442" s="1">
        <v>22</v>
      </c>
      <c r="CU442" s="1">
        <v>649</v>
      </c>
      <c r="CV442" s="4">
        <v>153.31269800000001</v>
      </c>
      <c r="CW442" s="4">
        <v>31.952380999999999</v>
      </c>
      <c r="CX442" s="4">
        <v>122.21711000000001</v>
      </c>
      <c r="CY442" s="4">
        <v>14937.022080000001</v>
      </c>
      <c r="CZ442" s="4">
        <v>0.79717499999999997</v>
      </c>
      <c r="DA442" s="4">
        <v>148</v>
      </c>
      <c r="DB442" s="4">
        <v>1.481357</v>
      </c>
      <c r="DC442" s="4">
        <v>5.0265570000000004</v>
      </c>
      <c r="DD442" s="4">
        <v>93.717799999999997</v>
      </c>
      <c r="DE442" s="4">
        <v>153.31269800000001</v>
      </c>
      <c r="DF442" s="4">
        <v>63.424007000000003</v>
      </c>
      <c r="DG442" s="4">
        <v>19.511431000000002</v>
      </c>
      <c r="DH442" s="4">
        <v>8.6172740000000001</v>
      </c>
      <c r="DI442" s="4">
        <v>0.41369099999999998</v>
      </c>
      <c r="DJ442" s="4">
        <v>0.30763499999999999</v>
      </c>
      <c r="DK442" s="4">
        <v>0.13586799999999999</v>
      </c>
      <c r="DL442" s="4">
        <v>25</v>
      </c>
      <c r="DM442" s="4">
        <v>33</v>
      </c>
      <c r="DN442" s="4">
        <v>39</v>
      </c>
      <c r="DO442" s="4">
        <v>52</v>
      </c>
      <c r="DP442" s="4">
        <v>60</v>
      </c>
      <c r="DQ442" s="4">
        <v>69</v>
      </c>
      <c r="DR442" s="4">
        <v>87</v>
      </c>
      <c r="DS442" s="4">
        <v>117</v>
      </c>
      <c r="DT442" s="4">
        <v>151</v>
      </c>
      <c r="DU442" s="4">
        <v>188</v>
      </c>
      <c r="DV442" s="4">
        <v>208</v>
      </c>
      <c r="DW442" s="4">
        <v>231</v>
      </c>
      <c r="DX442" s="4">
        <v>307</v>
      </c>
      <c r="DY442" s="4">
        <v>440.050049</v>
      </c>
      <c r="DZ442" s="4">
        <v>551.410034</v>
      </c>
      <c r="EA442" s="4">
        <v>88.286968999999999</v>
      </c>
      <c r="EB442" s="4">
        <v>72.539682999999997</v>
      </c>
      <c r="EC442" s="4">
        <v>133.82137599999999</v>
      </c>
      <c r="ED442" s="4">
        <v>603</v>
      </c>
      <c r="EE442" s="4">
        <v>914</v>
      </c>
      <c r="EF442" s="4">
        <v>83.162518000000006</v>
      </c>
      <c r="EG442" s="4">
        <v>100</v>
      </c>
      <c r="EH442" s="4">
        <v>63.968254000000002</v>
      </c>
      <c r="EI442" s="4">
        <v>99.444444000000004</v>
      </c>
      <c r="EJ442" s="4">
        <v>118.008785</v>
      </c>
      <c r="EK442" s="4">
        <v>183.455344</v>
      </c>
      <c r="EL442" s="4">
        <v>568</v>
      </c>
      <c r="EM442" s="4">
        <v>683</v>
      </c>
      <c r="EN442" s="4">
        <v>806</v>
      </c>
      <c r="EO442" s="4">
        <v>1253</v>
      </c>
      <c r="EP442" s="4">
        <v>683</v>
      </c>
      <c r="EQ442" s="4">
        <v>1260</v>
      </c>
      <c r="ER442" s="4">
        <v>56.142004</v>
      </c>
    </row>
    <row r="443" spans="1:148" x14ac:dyDescent="0.2">
      <c r="A443" s="1">
        <v>2025</v>
      </c>
      <c r="B443" s="1" t="str">
        <f t="shared" si="12"/>
        <v>NE</v>
      </c>
      <c r="C443" s="1" t="s">
        <v>1784</v>
      </c>
      <c r="D443" s="1" t="s">
        <v>1784</v>
      </c>
      <c r="E443" s="1">
        <v>28605</v>
      </c>
      <c r="F443" s="1" t="s">
        <v>2238</v>
      </c>
      <c r="G443" s="1" t="s">
        <v>2035</v>
      </c>
      <c r="H443" s="1" t="s">
        <v>1977</v>
      </c>
      <c r="I443" s="1">
        <v>43.89</v>
      </c>
      <c r="J443" s="1">
        <v>43.89</v>
      </c>
      <c r="K443" s="1" t="s">
        <v>184</v>
      </c>
      <c r="L443" s="1">
        <v>1</v>
      </c>
      <c r="M443" s="3">
        <v>2021</v>
      </c>
      <c r="O443" s="1">
        <v>1</v>
      </c>
      <c r="P443" s="1" t="str">
        <f t="shared" si="13"/>
        <v>Alto fuste</v>
      </c>
      <c r="Q443" s="2">
        <v>44364</v>
      </c>
      <c r="R443" s="1" t="s">
        <v>169</v>
      </c>
      <c r="S443" s="1" t="s">
        <v>2239</v>
      </c>
      <c r="T443" s="1" t="s">
        <v>2268</v>
      </c>
      <c r="U443" s="1" t="s">
        <v>170</v>
      </c>
      <c r="V443" s="1" t="s">
        <v>152</v>
      </c>
      <c r="W443" s="2">
        <v>44810</v>
      </c>
      <c r="X443" s="1" t="s">
        <v>2240</v>
      </c>
      <c r="Y443" s="1">
        <v>185.62</v>
      </c>
      <c r="Z443" s="1">
        <v>20.6</v>
      </c>
      <c r="AA443" s="1">
        <v>16</v>
      </c>
      <c r="AB443" s="1">
        <v>15.7</v>
      </c>
      <c r="AC443" s="1">
        <v>0</v>
      </c>
      <c r="AD443" s="3">
        <v>323.42</v>
      </c>
      <c r="AE443" s="3">
        <v>310.891257700371</v>
      </c>
      <c r="AF443" s="2">
        <v>45741</v>
      </c>
      <c r="AG443" s="1">
        <v>45</v>
      </c>
      <c r="AH443" s="3">
        <v>3.7700205338809001</v>
      </c>
      <c r="AI443" s="4">
        <v>24.320396378553099</v>
      </c>
      <c r="AJ443" s="4">
        <v>14.613513513513499</v>
      </c>
      <c r="AK443" s="4">
        <v>20.387554323591701</v>
      </c>
      <c r="AL443" s="1">
        <v>37</v>
      </c>
      <c r="AM443" s="5">
        <v>1190.1267431475901</v>
      </c>
      <c r="AN443" s="4">
        <v>219.89584288957599</v>
      </c>
      <c r="AO443" s="4">
        <v>0.184766743673036</v>
      </c>
      <c r="AP443" s="1" t="s">
        <v>2239</v>
      </c>
      <c r="AQ443" s="1" t="s">
        <v>156</v>
      </c>
      <c r="AR443" s="1" t="s">
        <v>282</v>
      </c>
      <c r="AS443" s="1">
        <v>9</v>
      </c>
      <c r="AT443" s="4">
        <v>1.0711140688328311</v>
      </c>
      <c r="AU443" s="1" t="s">
        <v>1783</v>
      </c>
      <c r="AV443" s="1" t="s">
        <v>1784</v>
      </c>
      <c r="AW443" s="1">
        <v>1164</v>
      </c>
      <c r="AX443" s="1">
        <v>695</v>
      </c>
      <c r="AY443" s="1">
        <v>391</v>
      </c>
      <c r="AZ443" s="1">
        <v>70</v>
      </c>
      <c r="BA443" s="1">
        <v>7</v>
      </c>
      <c r="BB443" s="1">
        <v>1</v>
      </c>
      <c r="BC443" s="1">
        <v>0</v>
      </c>
      <c r="BD443" s="1">
        <v>0</v>
      </c>
      <c r="BE443" s="1">
        <v>0</v>
      </c>
      <c r="BF443" s="1">
        <v>0</v>
      </c>
      <c r="BG443" s="1">
        <v>0</v>
      </c>
      <c r="BH443" s="4">
        <v>0</v>
      </c>
      <c r="BI443" s="4">
        <v>26.761998999999999</v>
      </c>
      <c r="BJ443" s="4">
        <v>14.869046000000001</v>
      </c>
      <c r="BK443" s="4">
        <v>0</v>
      </c>
      <c r="BL443" s="4">
        <v>10.891614000000001</v>
      </c>
      <c r="BM443" s="4">
        <v>118.627253</v>
      </c>
      <c r="BN443" s="4">
        <v>0.73250300000000002</v>
      </c>
      <c r="BO443" s="4">
        <v>23.609749999999998</v>
      </c>
      <c r="BP443" s="4">
        <v>-0.53277600000000003</v>
      </c>
      <c r="BQ443" s="4">
        <v>1.389608</v>
      </c>
      <c r="BR443" s="4">
        <v>10.285786999999999</v>
      </c>
      <c r="BS443" s="4">
        <v>3.1000009999999998</v>
      </c>
      <c r="BT443" s="4">
        <v>21.668499000000001</v>
      </c>
      <c r="BU443" s="4">
        <v>14.869046000000001</v>
      </c>
      <c r="BV443" s="4">
        <v>5.6794710000000004</v>
      </c>
      <c r="BW443" s="4">
        <v>-1.0937870000000001</v>
      </c>
      <c r="BX443" s="4">
        <v>-0.73389700000000002</v>
      </c>
      <c r="BY443" s="4">
        <v>0.38196600000000003</v>
      </c>
      <c r="BZ443" s="4">
        <v>-0.19258600000000001</v>
      </c>
      <c r="CA443" s="4">
        <v>-0.129219</v>
      </c>
      <c r="CB443" s="4">
        <v>1.6299999999999999E-3</v>
      </c>
      <c r="CC443" s="4">
        <v>8.0000000000000002E-3</v>
      </c>
      <c r="CD443" s="4">
        <v>1.4999999999999999E-2</v>
      </c>
      <c r="CE443" s="4">
        <v>3.5000000000000003E-2</v>
      </c>
      <c r="CF443" s="4">
        <v>5.6750000000000002E-2</v>
      </c>
      <c r="CG443" s="4">
        <v>0.18440000000000001</v>
      </c>
      <c r="CH443" s="4">
        <v>20.16</v>
      </c>
      <c r="CI443" s="4">
        <v>21.668499000000001</v>
      </c>
      <c r="CJ443" s="4">
        <v>22.477001000000001</v>
      </c>
      <c r="CK443" s="4">
        <v>23.285</v>
      </c>
      <c r="CL443" s="4">
        <v>23.666499999999999</v>
      </c>
      <c r="CM443" s="4">
        <v>24.046999</v>
      </c>
      <c r="CN443" s="4">
        <v>24.9252</v>
      </c>
      <c r="CO443" s="4">
        <v>25.47785</v>
      </c>
      <c r="CP443" s="4">
        <v>26.189330999999999</v>
      </c>
      <c r="CQ443" s="4">
        <v>0.55560299999999996</v>
      </c>
      <c r="CR443" s="4">
        <v>18.428616000000002</v>
      </c>
      <c r="CS443" s="4">
        <v>19.905107000000001</v>
      </c>
      <c r="CT443" s="1">
        <v>24</v>
      </c>
      <c r="CU443" s="1">
        <v>517</v>
      </c>
      <c r="CV443" s="4">
        <v>115.005155</v>
      </c>
      <c r="CW443" s="4">
        <v>31.825396999999999</v>
      </c>
      <c r="CX443" s="4">
        <v>78.188563000000002</v>
      </c>
      <c r="CY443" s="4">
        <v>6113.4513919999999</v>
      </c>
      <c r="CZ443" s="4">
        <v>0.67986999999999997</v>
      </c>
      <c r="DA443" s="4">
        <v>91.25</v>
      </c>
      <c r="DB443" s="4">
        <v>1.6349800000000001</v>
      </c>
      <c r="DC443" s="4">
        <v>6.4540300000000004</v>
      </c>
      <c r="DD443" s="4">
        <v>58.043973999999999</v>
      </c>
      <c r="DE443" s="4">
        <v>115.005155</v>
      </c>
      <c r="DF443" s="4">
        <v>40.434699000000002</v>
      </c>
      <c r="DG443" s="4">
        <v>11.077969</v>
      </c>
      <c r="DH443" s="4">
        <v>6.4031570000000002</v>
      </c>
      <c r="DI443" s="4">
        <v>0.35159000000000001</v>
      </c>
      <c r="DJ443" s="4">
        <v>0.27397199999999999</v>
      </c>
      <c r="DK443" s="4">
        <v>0.158358</v>
      </c>
      <c r="DL443" s="4">
        <v>26.630001</v>
      </c>
      <c r="DM443" s="4">
        <v>32.150002000000001</v>
      </c>
      <c r="DN443" s="4">
        <v>38</v>
      </c>
      <c r="DO443" s="4">
        <v>50</v>
      </c>
      <c r="DP443" s="4">
        <v>56</v>
      </c>
      <c r="DQ443" s="4">
        <v>64</v>
      </c>
      <c r="DR443" s="4">
        <v>80</v>
      </c>
      <c r="DS443" s="4">
        <v>98.5</v>
      </c>
      <c r="DT443" s="4">
        <v>116</v>
      </c>
      <c r="DU443" s="4">
        <v>136</v>
      </c>
      <c r="DV443" s="4">
        <v>147.25</v>
      </c>
      <c r="DW443" s="4">
        <v>161</v>
      </c>
      <c r="DX443" s="4">
        <v>213</v>
      </c>
      <c r="DY443" s="4">
        <v>270.54992700000003</v>
      </c>
      <c r="DZ443" s="4">
        <v>401.73998999999998</v>
      </c>
      <c r="EA443" s="4">
        <v>90.791366999999994</v>
      </c>
      <c r="EB443" s="4">
        <v>66.323024000000004</v>
      </c>
      <c r="EC443" s="4">
        <v>111.079137</v>
      </c>
      <c r="ED443" s="4">
        <v>631</v>
      </c>
      <c r="EE443" s="4">
        <v>772</v>
      </c>
      <c r="EF443" s="4">
        <v>87.194244999999995</v>
      </c>
      <c r="EG443" s="4">
        <v>100</v>
      </c>
      <c r="EH443" s="4">
        <v>62.542954999999999</v>
      </c>
      <c r="EI443" s="4">
        <v>99.828179000000006</v>
      </c>
      <c r="EJ443" s="4">
        <v>104.74820099999999</v>
      </c>
      <c r="EK443" s="4">
        <v>167.194245</v>
      </c>
      <c r="EL443" s="4">
        <v>606</v>
      </c>
      <c r="EM443" s="4">
        <v>695</v>
      </c>
      <c r="EN443" s="4">
        <v>728</v>
      </c>
      <c r="EO443" s="4">
        <v>1162</v>
      </c>
      <c r="EP443" s="4">
        <v>695</v>
      </c>
      <c r="EQ443" s="4">
        <v>1164</v>
      </c>
      <c r="ER443" s="4">
        <v>55.791085000000002</v>
      </c>
    </row>
    <row r="444" spans="1:148" x14ac:dyDescent="0.2">
      <c r="A444" s="1">
        <v>2025</v>
      </c>
      <c r="B444" s="1" t="str">
        <f t="shared" si="12"/>
        <v>NE</v>
      </c>
      <c r="C444" s="1" t="s">
        <v>1786</v>
      </c>
      <c r="D444" s="1" t="s">
        <v>1786</v>
      </c>
      <c r="E444" s="1">
        <v>28609</v>
      </c>
      <c r="F444" s="1" t="s">
        <v>2238</v>
      </c>
      <c r="G444" s="1" t="s">
        <v>2035</v>
      </c>
      <c r="H444" s="1" t="s">
        <v>1978</v>
      </c>
      <c r="I444" s="1">
        <v>51.83</v>
      </c>
      <c r="J444" s="1">
        <v>51.83</v>
      </c>
      <c r="K444" s="1" t="s">
        <v>184</v>
      </c>
      <c r="L444" s="1">
        <v>1</v>
      </c>
      <c r="M444" s="3">
        <v>2021</v>
      </c>
      <c r="O444" s="1">
        <v>1</v>
      </c>
      <c r="P444" s="1" t="str">
        <f t="shared" si="13"/>
        <v>Alto fuste</v>
      </c>
      <c r="Q444" s="2">
        <v>44376</v>
      </c>
      <c r="R444" s="1" t="s">
        <v>169</v>
      </c>
      <c r="S444" s="1" t="s">
        <v>299</v>
      </c>
      <c r="T444" s="1" t="s">
        <v>2268</v>
      </c>
      <c r="U444" s="1" t="s">
        <v>170</v>
      </c>
      <c r="V444" s="1" t="s">
        <v>152</v>
      </c>
      <c r="W444" s="2">
        <v>45741</v>
      </c>
      <c r="X444" s="1" t="s">
        <v>2240</v>
      </c>
      <c r="Y444" s="1">
        <v>185.62</v>
      </c>
      <c r="Z444" s="1">
        <v>19.3</v>
      </c>
      <c r="AA444" s="1">
        <v>7</v>
      </c>
      <c r="AB444" s="1">
        <v>15.1</v>
      </c>
      <c r="AC444" s="1">
        <v>4</v>
      </c>
      <c r="AD444" s="3">
        <v>291.43</v>
      </c>
      <c r="AE444" s="3">
        <v>288.55310769283898</v>
      </c>
      <c r="AF444" s="2">
        <v>45741</v>
      </c>
      <c r="AG444" s="1">
        <v>45</v>
      </c>
      <c r="AH444" s="3">
        <v>3.7371663244353202</v>
      </c>
      <c r="AI444" s="4">
        <v>22.659639301596801</v>
      </c>
      <c r="AJ444" s="4">
        <v>14.548275862069</v>
      </c>
      <c r="AK444" s="4">
        <v>17.404785672597601</v>
      </c>
      <c r="AL444" s="1">
        <v>29</v>
      </c>
      <c r="AM444" s="5">
        <v>1005.01430159158</v>
      </c>
      <c r="AN444" s="4">
        <v>177.527642741763</v>
      </c>
      <c r="AO444" s="4">
        <v>0.17664190694661999</v>
      </c>
      <c r="AP444" s="1" t="s">
        <v>299</v>
      </c>
      <c r="AQ444" s="1" t="s">
        <v>156</v>
      </c>
      <c r="AR444" s="1" t="s">
        <v>282</v>
      </c>
      <c r="AS444" s="1">
        <v>9</v>
      </c>
      <c r="AT444" s="4">
        <v>0.90451287143242198</v>
      </c>
      <c r="AU444" s="1" t="s">
        <v>1785</v>
      </c>
      <c r="AV444" s="1" t="s">
        <v>1786</v>
      </c>
      <c r="AW444" s="1">
        <v>1097</v>
      </c>
      <c r="AX444" s="1">
        <v>697</v>
      </c>
      <c r="AY444" s="1">
        <v>320</v>
      </c>
      <c r="AZ444" s="1">
        <v>73</v>
      </c>
      <c r="BA444" s="1">
        <v>7</v>
      </c>
      <c r="BB444" s="1">
        <v>0</v>
      </c>
      <c r="BC444" s="1">
        <v>0</v>
      </c>
      <c r="BD444" s="1">
        <v>0</v>
      </c>
      <c r="BE444" s="1">
        <v>0</v>
      </c>
      <c r="BF444" s="1">
        <v>0</v>
      </c>
      <c r="BG444" s="1">
        <v>0</v>
      </c>
      <c r="BH444" s="4">
        <v>0</v>
      </c>
      <c r="BI444" s="4">
        <v>26.629000000000001</v>
      </c>
      <c r="BJ444" s="4">
        <v>16.709551999999999</v>
      </c>
      <c r="BK444" s="4">
        <v>0</v>
      </c>
      <c r="BL444" s="4">
        <v>9.5599190000000007</v>
      </c>
      <c r="BM444" s="4">
        <v>91.392055999999997</v>
      </c>
      <c r="BN444" s="4">
        <v>0.57212300000000005</v>
      </c>
      <c r="BO444" s="4">
        <v>12.492000000000001</v>
      </c>
      <c r="BP444" s="4">
        <v>-1.024799</v>
      </c>
      <c r="BQ444" s="4">
        <v>2.2506110000000001</v>
      </c>
      <c r="BR444" s="4">
        <v>8.2582260000000005</v>
      </c>
      <c r="BS444" s="4">
        <v>2.097</v>
      </c>
      <c r="BT444" s="4">
        <v>21.698999000000001</v>
      </c>
      <c r="BU444" s="4">
        <v>16.709551999999999</v>
      </c>
      <c r="BV444" s="4">
        <v>4.7703259999999998</v>
      </c>
      <c r="BW444" s="4">
        <v>-1.6947840000000001</v>
      </c>
      <c r="BX444" s="4">
        <v>9.1410000000000005E-2</v>
      </c>
      <c r="BY444" s="4">
        <v>0.28548499999999999</v>
      </c>
      <c r="BZ444" s="4">
        <v>-0.35527599999999998</v>
      </c>
      <c r="CA444" s="4">
        <v>1.9161999999999998E-2</v>
      </c>
      <c r="CB444" s="4">
        <v>1E-3</v>
      </c>
      <c r="CC444" s="4">
        <v>8.0000000000000002E-3</v>
      </c>
      <c r="CD444" s="4">
        <v>1.7000000000000001E-2</v>
      </c>
      <c r="CE444" s="4">
        <v>6.8400000000000002E-2</v>
      </c>
      <c r="CF444" s="4">
        <v>10.939</v>
      </c>
      <c r="CG444" s="4">
        <v>18.581799</v>
      </c>
      <c r="CH444" s="4">
        <v>20.680401</v>
      </c>
      <c r="CI444" s="4">
        <v>21.698999000000001</v>
      </c>
      <c r="CJ444" s="4">
        <v>22.440999999999999</v>
      </c>
      <c r="CK444" s="4">
        <v>23.132200000000001</v>
      </c>
      <c r="CL444" s="4">
        <v>23.431000000000001</v>
      </c>
      <c r="CM444" s="4">
        <v>23.662800000000001</v>
      </c>
      <c r="CN444" s="4">
        <v>24.179600000000001</v>
      </c>
      <c r="CO444" s="4">
        <v>24.653998999999999</v>
      </c>
      <c r="CP444" s="4">
        <v>25.363682000000001</v>
      </c>
      <c r="CQ444" s="4">
        <v>0.62749500000000002</v>
      </c>
      <c r="CR444" s="4">
        <v>19.248840999999999</v>
      </c>
      <c r="CS444" s="4">
        <v>20.285962999999999</v>
      </c>
      <c r="CT444" s="1">
        <v>21</v>
      </c>
      <c r="CU444" s="1">
        <v>463</v>
      </c>
      <c r="CV444" s="4">
        <v>98.513217999999995</v>
      </c>
      <c r="CW444" s="4">
        <v>49.063491999999997</v>
      </c>
      <c r="CX444" s="4">
        <v>60.032808000000003</v>
      </c>
      <c r="CY444" s="4">
        <v>3603.938009</v>
      </c>
      <c r="CZ444" s="4">
        <v>0.60938800000000004</v>
      </c>
      <c r="DA444" s="4">
        <v>70</v>
      </c>
      <c r="DB444" s="4">
        <v>1.922256</v>
      </c>
      <c r="DC444" s="4">
        <v>8.8281259999999993</v>
      </c>
      <c r="DD444" s="4">
        <v>43.548000999999999</v>
      </c>
      <c r="DE444" s="4">
        <v>98.513217999999995</v>
      </c>
      <c r="DF444" s="4">
        <v>30.513126</v>
      </c>
      <c r="DG444" s="4">
        <v>7.6430829999999998</v>
      </c>
      <c r="DH444" s="4">
        <v>5.2261550000000003</v>
      </c>
      <c r="DI444" s="4">
        <v>0.30973600000000001</v>
      </c>
      <c r="DJ444" s="4">
        <v>0.25048500000000001</v>
      </c>
      <c r="DK444" s="4">
        <v>0.17127600000000001</v>
      </c>
      <c r="DL444" s="4">
        <v>26.959999</v>
      </c>
      <c r="DM444" s="4">
        <v>32</v>
      </c>
      <c r="DN444" s="4">
        <v>38</v>
      </c>
      <c r="DO444" s="4">
        <v>50</v>
      </c>
      <c r="DP444" s="4">
        <v>55</v>
      </c>
      <c r="DQ444" s="4">
        <v>61</v>
      </c>
      <c r="DR444" s="4">
        <v>76</v>
      </c>
      <c r="DS444" s="4">
        <v>86</v>
      </c>
      <c r="DT444" s="4">
        <v>99</v>
      </c>
      <c r="DU444" s="4">
        <v>117</v>
      </c>
      <c r="DV444" s="4">
        <v>125</v>
      </c>
      <c r="DW444" s="4">
        <v>136</v>
      </c>
      <c r="DX444" s="4">
        <v>160.400024</v>
      </c>
      <c r="DY444" s="4">
        <v>201.199951</v>
      </c>
      <c r="DZ444" s="4">
        <v>329.320313</v>
      </c>
      <c r="EA444" s="4">
        <v>96.126255</v>
      </c>
      <c r="EB444" s="4">
        <v>77.484047000000004</v>
      </c>
      <c r="EC444" s="4">
        <v>121.95122000000001</v>
      </c>
      <c r="ED444" s="4">
        <v>670</v>
      </c>
      <c r="EE444" s="4">
        <v>850</v>
      </c>
      <c r="EF444" s="4">
        <v>91.678623000000002</v>
      </c>
      <c r="EG444" s="4">
        <v>100</v>
      </c>
      <c r="EH444" s="4">
        <v>71.103008000000003</v>
      </c>
      <c r="EI444" s="4">
        <v>99.453053999999995</v>
      </c>
      <c r="EJ444" s="4">
        <v>111.90817800000001</v>
      </c>
      <c r="EK444" s="4">
        <v>156.52797699999999</v>
      </c>
      <c r="EL444" s="4">
        <v>639</v>
      </c>
      <c r="EM444" s="4">
        <v>697</v>
      </c>
      <c r="EN444" s="4">
        <v>780</v>
      </c>
      <c r="EO444" s="4">
        <v>1091</v>
      </c>
      <c r="EP444" s="4">
        <v>697</v>
      </c>
      <c r="EQ444" s="4">
        <v>1097</v>
      </c>
      <c r="ER444" s="4">
        <v>64.876024999999998</v>
      </c>
    </row>
    <row r="445" spans="1:148" x14ac:dyDescent="0.2">
      <c r="A445" s="1">
        <v>2025</v>
      </c>
      <c r="B445" s="1" t="str">
        <f t="shared" si="12"/>
        <v>NE</v>
      </c>
      <c r="C445" s="1" t="s">
        <v>1788</v>
      </c>
      <c r="D445" s="1" t="s">
        <v>1788</v>
      </c>
      <c r="E445" s="1">
        <v>28610</v>
      </c>
      <c r="F445" s="1" t="s">
        <v>2238</v>
      </c>
      <c r="G445" s="1" t="s">
        <v>2035</v>
      </c>
      <c r="H445" s="1" t="s">
        <v>1978</v>
      </c>
      <c r="I445" s="1">
        <v>51.83</v>
      </c>
      <c r="J445" s="1">
        <v>51.83</v>
      </c>
      <c r="K445" s="1" t="s">
        <v>184</v>
      </c>
      <c r="L445" s="1">
        <v>1</v>
      </c>
      <c r="M445" s="3">
        <v>2021</v>
      </c>
      <c r="O445" s="1">
        <v>1</v>
      </c>
      <c r="P445" s="1" t="str">
        <f t="shared" si="13"/>
        <v>Alto fuste</v>
      </c>
      <c r="Q445" s="2">
        <v>44376</v>
      </c>
      <c r="R445" s="1" t="s">
        <v>169</v>
      </c>
      <c r="S445" s="1" t="s">
        <v>299</v>
      </c>
      <c r="T445" s="1" t="s">
        <v>2268</v>
      </c>
      <c r="U445" s="1" t="s">
        <v>170</v>
      </c>
      <c r="V445" s="1" t="s">
        <v>152</v>
      </c>
      <c r="W445" s="2">
        <v>44811</v>
      </c>
      <c r="X445" s="1" t="s">
        <v>2240</v>
      </c>
      <c r="Y445" s="1">
        <v>185.62</v>
      </c>
      <c r="Z445" s="1">
        <v>21</v>
      </c>
      <c r="AA445" s="1">
        <v>11</v>
      </c>
      <c r="AB445" s="1">
        <v>16.399999999999999</v>
      </c>
      <c r="AC445" s="1">
        <v>0</v>
      </c>
      <c r="AD445" s="3">
        <v>344.4</v>
      </c>
      <c r="AE445" s="3">
        <v>338.072401979375</v>
      </c>
      <c r="AF445" s="2">
        <v>45741</v>
      </c>
      <c r="AG445" s="1">
        <v>45</v>
      </c>
      <c r="AH445" s="3">
        <v>3.7371663244353202</v>
      </c>
      <c r="AI445" s="4">
        <v>23.626774128501701</v>
      </c>
      <c r="AJ445" s="4">
        <v>16.4884615384615</v>
      </c>
      <c r="AK445" s="4">
        <v>16.684208459012702</v>
      </c>
      <c r="AL445" s="1">
        <v>26</v>
      </c>
      <c r="AM445" s="5">
        <v>769.06602987327506</v>
      </c>
      <c r="AN445" s="4">
        <v>171.82149062232401</v>
      </c>
      <c r="AO445" s="4">
        <v>0.22341578479371399</v>
      </c>
      <c r="AP445" s="1" t="s">
        <v>299</v>
      </c>
      <c r="AQ445" s="1" t="s">
        <v>156</v>
      </c>
      <c r="AR445" s="1" t="s">
        <v>282</v>
      </c>
      <c r="AS445" s="1">
        <v>9</v>
      </c>
      <c r="AT445" s="4">
        <v>0.69215942688594756</v>
      </c>
      <c r="AU445" s="1" t="s">
        <v>1787</v>
      </c>
      <c r="AV445" s="1" t="s">
        <v>1788</v>
      </c>
      <c r="AW445" s="1">
        <v>1280</v>
      </c>
      <c r="AX445" s="1">
        <v>758</v>
      </c>
      <c r="AY445" s="1">
        <v>414</v>
      </c>
      <c r="AZ445" s="1">
        <v>101</v>
      </c>
      <c r="BA445" s="1">
        <v>7</v>
      </c>
      <c r="BB445" s="1">
        <v>0</v>
      </c>
      <c r="BC445" s="1">
        <v>0</v>
      </c>
      <c r="BD445" s="1">
        <v>0</v>
      </c>
      <c r="BE445" s="1">
        <v>0</v>
      </c>
      <c r="BF445" s="1">
        <v>0</v>
      </c>
      <c r="BG445" s="1">
        <v>0</v>
      </c>
      <c r="BH445" s="4">
        <v>0</v>
      </c>
      <c r="BI445" s="4">
        <v>25.597000000000001</v>
      </c>
      <c r="BJ445" s="4">
        <v>14.479176000000001</v>
      </c>
      <c r="BK445" s="4">
        <v>0</v>
      </c>
      <c r="BL445" s="4">
        <v>10.65076</v>
      </c>
      <c r="BM445" s="4">
        <v>113.438689</v>
      </c>
      <c r="BN445" s="4">
        <v>0.73559200000000002</v>
      </c>
      <c r="BO445" s="4">
        <v>22.999001</v>
      </c>
      <c r="BP445" s="4">
        <v>-0.57030499999999995</v>
      </c>
      <c r="BQ445" s="4">
        <v>1.402425</v>
      </c>
      <c r="BR445" s="4">
        <v>10.058517</v>
      </c>
      <c r="BS445" s="4">
        <v>2.8879999999999999</v>
      </c>
      <c r="BT445" s="4">
        <v>20.925999000000001</v>
      </c>
      <c r="BU445" s="4">
        <v>14.479176000000001</v>
      </c>
      <c r="BV445" s="4">
        <v>5.4807639999999997</v>
      </c>
      <c r="BW445" s="4">
        <v>-1.1097509999999999</v>
      </c>
      <c r="BX445" s="4">
        <v>-0.70664700000000003</v>
      </c>
      <c r="BY445" s="4">
        <v>0.378527</v>
      </c>
      <c r="BZ445" s="4">
        <v>-0.20248099999999999</v>
      </c>
      <c r="CA445" s="4">
        <v>-0.12893199999999999</v>
      </c>
      <c r="CB445" s="4">
        <v>1E-3</v>
      </c>
      <c r="CC445" s="4">
        <v>5.0000000000000001E-3</v>
      </c>
      <c r="CD445" s="4">
        <v>0.01</v>
      </c>
      <c r="CE445" s="4">
        <v>2.5000000000000001E-2</v>
      </c>
      <c r="CF445" s="4">
        <v>3.6999999999999998E-2</v>
      </c>
      <c r="CG445" s="4">
        <v>5.8999999999999997E-2</v>
      </c>
      <c r="CH445" s="4">
        <v>19.486601</v>
      </c>
      <c r="CI445" s="4">
        <v>20.925999000000001</v>
      </c>
      <c r="CJ445" s="4">
        <v>21.848998999999999</v>
      </c>
      <c r="CK445" s="4">
        <v>22.636399999999998</v>
      </c>
      <c r="CL445" s="4">
        <v>23.036000999999999</v>
      </c>
      <c r="CM445" s="4">
        <v>23.389399999999998</v>
      </c>
      <c r="CN445" s="4">
        <v>24.073399999999999</v>
      </c>
      <c r="CO445" s="4">
        <v>24.5732</v>
      </c>
      <c r="CP445" s="4">
        <v>25.123208999999999</v>
      </c>
      <c r="CQ445" s="4">
        <v>0.56565900000000002</v>
      </c>
      <c r="CR445" s="4">
        <v>17.972106</v>
      </c>
      <c r="CS445" s="4">
        <v>19.372731999999999</v>
      </c>
      <c r="CT445" s="1">
        <v>24</v>
      </c>
      <c r="CU445" s="1">
        <v>503</v>
      </c>
      <c r="CV445" s="4">
        <v>124.102344</v>
      </c>
      <c r="CW445" s="4">
        <v>46.809524000000003</v>
      </c>
      <c r="CX445" s="4">
        <v>89.720448000000005</v>
      </c>
      <c r="CY445" s="4">
        <v>8049.7588690000002</v>
      </c>
      <c r="CZ445" s="4">
        <v>0.72295500000000001</v>
      </c>
      <c r="DA445" s="4">
        <v>95</v>
      </c>
      <c r="DB445" s="4">
        <v>1.704842</v>
      </c>
      <c r="DC445" s="4">
        <v>6.0402490000000002</v>
      </c>
      <c r="DD445" s="4">
        <v>65.197922000000005</v>
      </c>
      <c r="DE445" s="4">
        <v>124.102344</v>
      </c>
      <c r="DF445" s="4">
        <v>45.482033999999999</v>
      </c>
      <c r="DG445" s="4">
        <v>14.323361999999999</v>
      </c>
      <c r="DH445" s="4">
        <v>8.4841289999999994</v>
      </c>
      <c r="DI445" s="4">
        <v>0.36648799999999998</v>
      </c>
      <c r="DJ445" s="4">
        <v>0.31492399999999998</v>
      </c>
      <c r="DK445" s="4">
        <v>0.18653800000000001</v>
      </c>
      <c r="DL445" s="4">
        <v>27</v>
      </c>
      <c r="DM445" s="4">
        <v>33</v>
      </c>
      <c r="DN445" s="4">
        <v>41</v>
      </c>
      <c r="DO445" s="4">
        <v>53</v>
      </c>
      <c r="DP445" s="4">
        <v>60</v>
      </c>
      <c r="DQ445" s="4">
        <v>69</v>
      </c>
      <c r="DR445" s="4">
        <v>84</v>
      </c>
      <c r="DS445" s="4">
        <v>100</v>
      </c>
      <c r="DT445" s="4">
        <v>120</v>
      </c>
      <c r="DU445" s="4">
        <v>140</v>
      </c>
      <c r="DV445" s="4">
        <v>155</v>
      </c>
      <c r="DW445" s="4">
        <v>171</v>
      </c>
      <c r="DX445" s="4">
        <v>245</v>
      </c>
      <c r="DY445" s="4">
        <v>326.20019500000001</v>
      </c>
      <c r="DZ445" s="4">
        <v>438.20996100000002</v>
      </c>
      <c r="EA445" s="4">
        <v>86.411608999999999</v>
      </c>
      <c r="EB445" s="4">
        <v>65.625</v>
      </c>
      <c r="EC445" s="4">
        <v>110.817942</v>
      </c>
      <c r="ED445" s="4">
        <v>655</v>
      </c>
      <c r="EE445" s="4">
        <v>840</v>
      </c>
      <c r="EF445" s="4">
        <v>85.224273999999994</v>
      </c>
      <c r="EG445" s="4">
        <v>99.472296</v>
      </c>
      <c r="EH445" s="4">
        <v>64.453125</v>
      </c>
      <c r="EI445" s="4">
        <v>99.375</v>
      </c>
      <c r="EJ445" s="4">
        <v>108.83905</v>
      </c>
      <c r="EK445" s="4">
        <v>167.81002599999999</v>
      </c>
      <c r="EL445" s="4">
        <v>646</v>
      </c>
      <c r="EM445" s="4">
        <v>754</v>
      </c>
      <c r="EN445" s="4">
        <v>825</v>
      </c>
      <c r="EO445" s="4">
        <v>1272</v>
      </c>
      <c r="EP445" s="4">
        <v>758</v>
      </c>
      <c r="EQ445" s="4">
        <v>1280</v>
      </c>
      <c r="ER445" s="4">
        <v>56.573390000000003</v>
      </c>
    </row>
    <row r="446" spans="1:148" x14ac:dyDescent="0.2">
      <c r="A446" s="1">
        <v>2025</v>
      </c>
      <c r="B446" s="1" t="str">
        <f t="shared" si="12"/>
        <v>NE</v>
      </c>
      <c r="C446" s="1" t="s">
        <v>1790</v>
      </c>
      <c r="D446" s="1" t="s">
        <v>1790</v>
      </c>
      <c r="E446" s="1">
        <v>28611</v>
      </c>
      <c r="F446" s="1" t="s">
        <v>2238</v>
      </c>
      <c r="G446" s="1" t="s">
        <v>2035</v>
      </c>
      <c r="H446" s="1" t="s">
        <v>1978</v>
      </c>
      <c r="I446" s="1">
        <v>51.83</v>
      </c>
      <c r="J446" s="1">
        <v>51.83</v>
      </c>
      <c r="K446" s="1" t="s">
        <v>184</v>
      </c>
      <c r="L446" s="1">
        <v>1</v>
      </c>
      <c r="M446" s="3">
        <v>2021</v>
      </c>
      <c r="O446" s="1">
        <v>1</v>
      </c>
      <c r="P446" s="1" t="str">
        <f t="shared" si="13"/>
        <v>Alto fuste</v>
      </c>
      <c r="Q446" s="2">
        <v>44376</v>
      </c>
      <c r="R446" s="1" t="s">
        <v>169</v>
      </c>
      <c r="S446" s="1" t="s">
        <v>299</v>
      </c>
      <c r="T446" s="1" t="s">
        <v>2268</v>
      </c>
      <c r="U446" s="1" t="s">
        <v>170</v>
      </c>
      <c r="V446" s="1" t="s">
        <v>152</v>
      </c>
      <c r="W446" s="2">
        <v>45741</v>
      </c>
      <c r="X446" s="1" t="s">
        <v>2240</v>
      </c>
      <c r="Y446" s="1">
        <v>185.62</v>
      </c>
      <c r="Z446" s="1">
        <v>21.1</v>
      </c>
      <c r="AA446" s="1">
        <v>15</v>
      </c>
      <c r="AB446" s="1">
        <v>15.7</v>
      </c>
      <c r="AC446" s="1">
        <v>1</v>
      </c>
      <c r="AD446" s="3">
        <v>331.27</v>
      </c>
      <c r="AE446" s="3">
        <v>319.93351362846801</v>
      </c>
      <c r="AF446" s="2">
        <v>45741</v>
      </c>
      <c r="AG446" s="1">
        <v>45</v>
      </c>
      <c r="AH446" s="3">
        <v>3.7371663244353202</v>
      </c>
      <c r="AI446" s="4">
        <v>21.472335739159799</v>
      </c>
      <c r="AJ446" s="4">
        <v>13.015384615384599</v>
      </c>
      <c r="AK446" s="4">
        <v>16.7182681813145</v>
      </c>
      <c r="AL446" s="1">
        <v>39</v>
      </c>
      <c r="AM446" s="5">
        <v>1219.00327220142</v>
      </c>
      <c r="AN446" s="4">
        <v>161.143108499433</v>
      </c>
      <c r="AO446" s="4">
        <v>0.13219251512624899</v>
      </c>
      <c r="AP446" s="1" t="s">
        <v>299</v>
      </c>
      <c r="AQ446" s="1" t="s">
        <v>156</v>
      </c>
      <c r="AR446" s="1" t="s">
        <v>282</v>
      </c>
      <c r="AS446" s="1">
        <v>9</v>
      </c>
      <c r="AT446" s="4">
        <v>1.0971029449812781</v>
      </c>
      <c r="AU446" s="1" t="s">
        <v>1789</v>
      </c>
      <c r="AV446" s="1" t="s">
        <v>1790</v>
      </c>
      <c r="AW446" s="1">
        <v>1164</v>
      </c>
      <c r="AX446" s="1">
        <v>734</v>
      </c>
      <c r="AY446" s="1">
        <v>377</v>
      </c>
      <c r="AZ446" s="1">
        <v>50</v>
      </c>
      <c r="BA446" s="1">
        <v>3</v>
      </c>
      <c r="BB446" s="1">
        <v>0</v>
      </c>
      <c r="BC446" s="1">
        <v>0</v>
      </c>
      <c r="BD446" s="1">
        <v>0</v>
      </c>
      <c r="BE446" s="1">
        <v>0</v>
      </c>
      <c r="BF446" s="1">
        <v>0</v>
      </c>
      <c r="BG446" s="1">
        <v>0</v>
      </c>
      <c r="BH446" s="4">
        <v>0</v>
      </c>
      <c r="BI446" s="4">
        <v>25.222999999999999</v>
      </c>
      <c r="BJ446" s="4">
        <v>13.664873999999999</v>
      </c>
      <c r="BK446" s="4">
        <v>0</v>
      </c>
      <c r="BL446" s="4">
        <v>10.274176000000001</v>
      </c>
      <c r="BM446" s="4">
        <v>105.558689</v>
      </c>
      <c r="BN446" s="4">
        <v>0.75186799999999998</v>
      </c>
      <c r="BO446" s="4">
        <v>22.569251000000001</v>
      </c>
      <c r="BP446" s="4">
        <v>-0.40550900000000001</v>
      </c>
      <c r="BQ446" s="4">
        <v>1.31182</v>
      </c>
      <c r="BR446" s="4">
        <v>9.7014639999999996</v>
      </c>
      <c r="BS446" s="4">
        <v>3.4790000000000001</v>
      </c>
      <c r="BT446" s="4">
        <v>20.464500000000001</v>
      </c>
      <c r="BU446" s="4">
        <v>13.664873999999999</v>
      </c>
      <c r="BV446" s="4">
        <v>5.4900419999999999</v>
      </c>
      <c r="BW446" s="4">
        <v>-0.83944600000000003</v>
      </c>
      <c r="BX446" s="4">
        <v>-0.86174899999999999</v>
      </c>
      <c r="BY446" s="4">
        <v>0.40176299999999998</v>
      </c>
      <c r="BZ446" s="4">
        <v>-0.15290300000000001</v>
      </c>
      <c r="CA446" s="4">
        <v>-0.15696599999999999</v>
      </c>
      <c r="CB446" s="4">
        <v>1E-3</v>
      </c>
      <c r="CC446" s="4">
        <v>8.9999999999999993E-3</v>
      </c>
      <c r="CD446" s="4">
        <v>1.9E-2</v>
      </c>
      <c r="CE446" s="4">
        <v>5.7599999999999998E-2</v>
      </c>
      <c r="CF446" s="4">
        <v>0.14799999999999999</v>
      </c>
      <c r="CG446" s="4">
        <v>1.1048</v>
      </c>
      <c r="CH446" s="4">
        <v>12.6632</v>
      </c>
      <c r="CI446" s="4">
        <v>20.464500000000001</v>
      </c>
      <c r="CJ446" s="4">
        <v>21.563600999999998</v>
      </c>
      <c r="CK446" s="4">
        <v>22.387899000000001</v>
      </c>
      <c r="CL446" s="4">
        <v>22.717251000000001</v>
      </c>
      <c r="CM446" s="4">
        <v>23.059799000000002</v>
      </c>
      <c r="CN446" s="4">
        <v>23.621700000000001</v>
      </c>
      <c r="CO446" s="4">
        <v>24.001949</v>
      </c>
      <c r="CP446" s="4">
        <v>24.636230000000001</v>
      </c>
      <c r="CQ446" s="4">
        <v>0.54176199999999997</v>
      </c>
      <c r="CR446" s="4">
        <v>17.093764</v>
      </c>
      <c r="CS446" s="4">
        <v>18.600940999999999</v>
      </c>
      <c r="CT446" s="1">
        <v>24</v>
      </c>
      <c r="CU446" s="1">
        <v>467</v>
      </c>
      <c r="CV446" s="4">
        <v>99.889174999999994</v>
      </c>
      <c r="CW446" s="4">
        <v>31.031745999999998</v>
      </c>
      <c r="CX446" s="4">
        <v>67.899822</v>
      </c>
      <c r="CY446" s="4">
        <v>4610.385816</v>
      </c>
      <c r="CZ446" s="4">
        <v>0.67975200000000002</v>
      </c>
      <c r="DA446" s="4">
        <v>77</v>
      </c>
      <c r="DB446" s="4">
        <v>1.749071</v>
      </c>
      <c r="DC446" s="4">
        <v>6.8409959999999996</v>
      </c>
      <c r="DD446" s="4">
        <v>50.349151999999997</v>
      </c>
      <c r="DE446" s="4">
        <v>99.889174999999994</v>
      </c>
      <c r="DF446" s="4">
        <v>34.626364000000002</v>
      </c>
      <c r="DG446" s="4">
        <v>10.574464000000001</v>
      </c>
      <c r="DH446" s="4">
        <v>5.6890609999999997</v>
      </c>
      <c r="DI446" s="4">
        <v>0.34664800000000001</v>
      </c>
      <c r="DJ446" s="4">
        <v>0.30538799999999999</v>
      </c>
      <c r="DK446" s="4">
        <v>0.164299</v>
      </c>
      <c r="DL446" s="4">
        <v>27</v>
      </c>
      <c r="DM446" s="4">
        <v>31.150002000000001</v>
      </c>
      <c r="DN446" s="4">
        <v>36</v>
      </c>
      <c r="DO446" s="4">
        <v>46</v>
      </c>
      <c r="DP446" s="4">
        <v>51</v>
      </c>
      <c r="DQ446" s="4">
        <v>56</v>
      </c>
      <c r="DR446" s="4">
        <v>67</v>
      </c>
      <c r="DS446" s="4">
        <v>82</v>
      </c>
      <c r="DT446" s="4">
        <v>97</v>
      </c>
      <c r="DU446" s="4">
        <v>115</v>
      </c>
      <c r="DV446" s="4">
        <v>128</v>
      </c>
      <c r="DW446" s="4">
        <v>144</v>
      </c>
      <c r="DX446" s="4">
        <v>185.699951</v>
      </c>
      <c r="DY446" s="4">
        <v>238.699951</v>
      </c>
      <c r="DZ446" s="4">
        <v>343.73998999999998</v>
      </c>
      <c r="EA446" s="4">
        <v>91.008173999999997</v>
      </c>
      <c r="EB446" s="4">
        <v>65.979381000000004</v>
      </c>
      <c r="EC446" s="4">
        <v>104.632153</v>
      </c>
      <c r="ED446" s="4">
        <v>668</v>
      </c>
      <c r="EE446" s="4">
        <v>768</v>
      </c>
      <c r="EF446" s="4">
        <v>85.831063</v>
      </c>
      <c r="EG446" s="4">
        <v>99.727519999999998</v>
      </c>
      <c r="EH446" s="4">
        <v>58.505155000000002</v>
      </c>
      <c r="EI446" s="4">
        <v>99.656357</v>
      </c>
      <c r="EJ446" s="4">
        <v>92.779291999999998</v>
      </c>
      <c r="EK446" s="4">
        <v>158.03814700000001</v>
      </c>
      <c r="EL446" s="4">
        <v>630</v>
      </c>
      <c r="EM446" s="4">
        <v>732</v>
      </c>
      <c r="EN446" s="4">
        <v>681</v>
      </c>
      <c r="EO446" s="4">
        <v>1160</v>
      </c>
      <c r="EP446" s="4">
        <v>734</v>
      </c>
      <c r="EQ446" s="4">
        <v>1164</v>
      </c>
      <c r="ER446" s="4">
        <v>54.460524999999997</v>
      </c>
    </row>
    <row r="447" spans="1:148" x14ac:dyDescent="0.2">
      <c r="A447" s="1">
        <v>2025</v>
      </c>
      <c r="B447" s="1" t="str">
        <f t="shared" si="12"/>
        <v>NE</v>
      </c>
      <c r="C447" s="1" t="s">
        <v>1792</v>
      </c>
      <c r="D447" s="1" t="s">
        <v>1792</v>
      </c>
      <c r="E447" s="1">
        <v>28602</v>
      </c>
      <c r="F447" s="1" t="s">
        <v>2238</v>
      </c>
      <c r="G447" s="1" t="s">
        <v>2035</v>
      </c>
      <c r="H447" s="1" t="s">
        <v>1979</v>
      </c>
      <c r="I447" s="1">
        <v>26.77</v>
      </c>
      <c r="J447" s="1">
        <v>26.77</v>
      </c>
      <c r="K447" s="1" t="s">
        <v>184</v>
      </c>
      <c r="L447" s="1">
        <v>1</v>
      </c>
      <c r="M447" s="3">
        <v>2021</v>
      </c>
      <c r="O447" s="1">
        <v>1</v>
      </c>
      <c r="P447" s="1" t="str">
        <f t="shared" si="13"/>
        <v>Alto fuste</v>
      </c>
      <c r="Q447" s="2">
        <v>44313</v>
      </c>
      <c r="R447" s="1" t="s">
        <v>169</v>
      </c>
      <c r="S447" s="1" t="s">
        <v>299</v>
      </c>
      <c r="T447" s="1" t="s">
        <v>2268</v>
      </c>
      <c r="U447" s="1" t="s">
        <v>170</v>
      </c>
      <c r="V447" s="1" t="s">
        <v>152</v>
      </c>
      <c r="W447" s="2">
        <v>44812</v>
      </c>
      <c r="X447" s="1" t="s">
        <v>2240</v>
      </c>
      <c r="Y447" s="1">
        <v>185.62</v>
      </c>
      <c r="Z447" s="1">
        <v>19</v>
      </c>
      <c r="AA447" s="1">
        <v>9</v>
      </c>
      <c r="AB447" s="1">
        <v>14.4</v>
      </c>
      <c r="AC447" s="1">
        <v>4</v>
      </c>
      <c r="AD447" s="3">
        <v>273.60000000000002</v>
      </c>
      <c r="AE447" s="3">
        <v>269.57325956157098</v>
      </c>
      <c r="AF447" s="2">
        <v>45741</v>
      </c>
      <c r="AG447" s="1">
        <v>47</v>
      </c>
      <c r="AH447" s="3">
        <v>3.90965092402464</v>
      </c>
      <c r="AI447" s="4">
        <v>24.763515929224202</v>
      </c>
      <c r="AJ447" s="4">
        <v>14.866666666666699</v>
      </c>
      <c r="AK447" s="4">
        <v>15.782358601142199</v>
      </c>
      <c r="AL447" s="1">
        <v>24</v>
      </c>
      <c r="AM447" s="5">
        <v>890.29601968063002</v>
      </c>
      <c r="AN447" s="4">
        <v>173.82865991873101</v>
      </c>
      <c r="AO447" s="4">
        <v>0.19524816024796701</v>
      </c>
      <c r="AP447" s="1" t="s">
        <v>299</v>
      </c>
      <c r="AQ447" s="1" t="s">
        <v>156</v>
      </c>
      <c r="AR447" s="1" t="s">
        <v>282</v>
      </c>
      <c r="AS447" s="1">
        <v>9</v>
      </c>
      <c r="AT447" s="4">
        <v>0.80126641771256701</v>
      </c>
      <c r="AU447" s="1" t="s">
        <v>1791</v>
      </c>
      <c r="AV447" s="1" t="s">
        <v>1792</v>
      </c>
      <c r="AW447" s="1">
        <v>1936</v>
      </c>
      <c r="AX447" s="1">
        <v>1040</v>
      </c>
      <c r="AY447" s="1">
        <v>644</v>
      </c>
      <c r="AZ447" s="1">
        <v>221</v>
      </c>
      <c r="BA447" s="1">
        <v>30</v>
      </c>
      <c r="BB447" s="1">
        <v>1</v>
      </c>
      <c r="BC447" s="1">
        <v>0</v>
      </c>
      <c r="BD447" s="1">
        <v>0</v>
      </c>
      <c r="BE447" s="1">
        <v>0</v>
      </c>
      <c r="BF447" s="1">
        <v>0</v>
      </c>
      <c r="BG447" s="1">
        <v>0</v>
      </c>
      <c r="BH447" s="4">
        <v>0</v>
      </c>
      <c r="BI447" s="4">
        <v>27.021000000000001</v>
      </c>
      <c r="BJ447" s="4">
        <v>16.689003</v>
      </c>
      <c r="BK447" s="4">
        <v>0</v>
      </c>
      <c r="BL447" s="4">
        <v>10.145493</v>
      </c>
      <c r="BM447" s="4">
        <v>102.931021</v>
      </c>
      <c r="BN447" s="4">
        <v>0.60791499999999998</v>
      </c>
      <c r="BO447" s="4">
        <v>22.695499999999999</v>
      </c>
      <c r="BP447" s="4">
        <v>-0.918211</v>
      </c>
      <c r="BQ447" s="4">
        <v>1.995136</v>
      </c>
      <c r="BR447" s="4">
        <v>8.9764079999999993</v>
      </c>
      <c r="BS447" s="4">
        <v>2.2660010000000002</v>
      </c>
      <c r="BT447" s="4">
        <v>22.077000000000002</v>
      </c>
      <c r="BU447" s="4">
        <v>16.689003</v>
      </c>
      <c r="BV447" s="4">
        <v>5.092956</v>
      </c>
      <c r="BW447" s="4">
        <v>-1.631988</v>
      </c>
      <c r="BX447" s="4">
        <v>-4.8514000000000002E-2</v>
      </c>
      <c r="BY447" s="4">
        <v>0.30516799999999999</v>
      </c>
      <c r="BZ447" s="4">
        <v>-0.32044</v>
      </c>
      <c r="CA447" s="4">
        <v>-9.5259999999999997E-3</v>
      </c>
      <c r="CB447" s="4">
        <v>2E-3</v>
      </c>
      <c r="CC447" s="4">
        <v>0.01</v>
      </c>
      <c r="CD447" s="4">
        <v>2.4500000000000001E-2</v>
      </c>
      <c r="CE447" s="4">
        <v>0.09</v>
      </c>
      <c r="CF447" s="4">
        <v>1.1725000000000001</v>
      </c>
      <c r="CG447" s="4">
        <v>17.267499999999998</v>
      </c>
      <c r="CH447" s="4">
        <v>21.257999000000002</v>
      </c>
      <c r="CI447" s="4">
        <v>22.077000000000002</v>
      </c>
      <c r="CJ447" s="4">
        <v>22.725999999999999</v>
      </c>
      <c r="CK447" s="4">
        <v>23.449000999999999</v>
      </c>
      <c r="CL447" s="4">
        <v>23.867999999999999</v>
      </c>
      <c r="CM447" s="4">
        <v>24.235001</v>
      </c>
      <c r="CN447" s="4">
        <v>24.978999999999999</v>
      </c>
      <c r="CO447" s="4">
        <v>25.512498999999998</v>
      </c>
      <c r="CP447" s="4">
        <v>26.345248999999999</v>
      </c>
      <c r="CQ447" s="4">
        <v>0.61763100000000004</v>
      </c>
      <c r="CR447" s="4">
        <v>19.529482000000002</v>
      </c>
      <c r="CS447" s="4">
        <v>20.677356</v>
      </c>
      <c r="CT447" s="1">
        <v>23</v>
      </c>
      <c r="CU447" s="1">
        <v>460</v>
      </c>
      <c r="CV447" s="4">
        <v>114.153409</v>
      </c>
      <c r="CW447" s="4">
        <v>36.873016</v>
      </c>
      <c r="CX447" s="4">
        <v>70.814921999999996</v>
      </c>
      <c r="CY447" s="4">
        <v>5014.7531980000003</v>
      </c>
      <c r="CZ447" s="4">
        <v>0.62034900000000004</v>
      </c>
      <c r="DA447" s="4">
        <v>101</v>
      </c>
      <c r="DB447" s="4">
        <v>1.084981</v>
      </c>
      <c r="DC447" s="4">
        <v>4.3206100000000003</v>
      </c>
      <c r="DD447" s="4">
        <v>57.163117</v>
      </c>
      <c r="DE447" s="4">
        <v>114.153409</v>
      </c>
      <c r="DF447" s="4">
        <v>38.582140000000003</v>
      </c>
      <c r="DG447" s="4">
        <v>8.1818500000000007</v>
      </c>
      <c r="DH447" s="4">
        <v>3.2181410000000001</v>
      </c>
      <c r="DI447" s="4">
        <v>0.33798499999999998</v>
      </c>
      <c r="DJ447" s="4">
        <v>0.212063</v>
      </c>
      <c r="DK447" s="4">
        <v>8.3409999999999998E-2</v>
      </c>
      <c r="DL447" s="4">
        <v>26</v>
      </c>
      <c r="DM447" s="4">
        <v>32</v>
      </c>
      <c r="DN447" s="4">
        <v>38</v>
      </c>
      <c r="DO447" s="4">
        <v>50</v>
      </c>
      <c r="DP447" s="4">
        <v>56</v>
      </c>
      <c r="DQ447" s="4">
        <v>63</v>
      </c>
      <c r="DR447" s="4">
        <v>78</v>
      </c>
      <c r="DS447" s="4">
        <v>99</v>
      </c>
      <c r="DT447" s="4">
        <v>121</v>
      </c>
      <c r="DU447" s="4">
        <v>144</v>
      </c>
      <c r="DV447" s="4">
        <v>157</v>
      </c>
      <c r="DW447" s="4">
        <v>172</v>
      </c>
      <c r="DX447" s="4">
        <v>213.5</v>
      </c>
      <c r="DY447" s="4">
        <v>243</v>
      </c>
      <c r="DZ447" s="4">
        <v>316.25012199999998</v>
      </c>
      <c r="EA447" s="4">
        <v>98.076922999999994</v>
      </c>
      <c r="EB447" s="4">
        <v>74.690083000000001</v>
      </c>
      <c r="EC447" s="4">
        <v>139.03846200000001</v>
      </c>
      <c r="ED447" s="4">
        <v>1020</v>
      </c>
      <c r="EE447" s="4">
        <v>1446</v>
      </c>
      <c r="EF447" s="4">
        <v>96.346153999999999</v>
      </c>
      <c r="EG447" s="4">
        <v>100</v>
      </c>
      <c r="EH447" s="4">
        <v>70.144627999999997</v>
      </c>
      <c r="EI447" s="4">
        <v>99.793387999999993</v>
      </c>
      <c r="EJ447" s="4">
        <v>130.57692299999999</v>
      </c>
      <c r="EK447" s="4">
        <v>185.76923099999999</v>
      </c>
      <c r="EL447" s="4">
        <v>1002</v>
      </c>
      <c r="EM447" s="4">
        <v>1040</v>
      </c>
      <c r="EN447" s="4">
        <v>1358</v>
      </c>
      <c r="EO447" s="4">
        <v>1932</v>
      </c>
      <c r="EP447" s="4">
        <v>1040</v>
      </c>
      <c r="EQ447" s="4">
        <v>1936</v>
      </c>
      <c r="ER447" s="4">
        <v>62.328665999999998</v>
      </c>
    </row>
    <row r="448" spans="1:148" x14ac:dyDescent="0.2">
      <c r="A448" s="1">
        <v>2025</v>
      </c>
      <c r="B448" s="1" t="str">
        <f t="shared" si="12"/>
        <v>NE</v>
      </c>
      <c r="C448" s="1" t="s">
        <v>1794</v>
      </c>
      <c r="D448" s="1" t="s">
        <v>1794</v>
      </c>
      <c r="E448" s="1">
        <v>26064</v>
      </c>
      <c r="F448" s="1" t="s">
        <v>2241</v>
      </c>
      <c r="G448" s="1" t="s">
        <v>2036</v>
      </c>
      <c r="H448" s="1" t="s">
        <v>1980</v>
      </c>
      <c r="I448" s="1">
        <v>65.42</v>
      </c>
      <c r="J448" s="1">
        <v>65.42</v>
      </c>
      <c r="K448" s="1" t="s">
        <v>184</v>
      </c>
      <c r="L448" s="1">
        <v>1</v>
      </c>
      <c r="M448" s="3">
        <v>2018</v>
      </c>
      <c r="O448" s="1">
        <v>1</v>
      </c>
      <c r="P448" s="1" t="str">
        <f t="shared" si="13"/>
        <v>Alto fuste</v>
      </c>
      <c r="Q448" s="2">
        <v>43321</v>
      </c>
      <c r="R448" s="1" t="s">
        <v>169</v>
      </c>
      <c r="S448" s="1" t="s">
        <v>651</v>
      </c>
      <c r="T448" s="1" t="s">
        <v>2268</v>
      </c>
      <c r="U448" s="1" t="s">
        <v>170</v>
      </c>
      <c r="V448" s="1" t="s">
        <v>152</v>
      </c>
      <c r="W448" s="2">
        <v>45768</v>
      </c>
      <c r="X448" s="1" t="s">
        <v>2242</v>
      </c>
      <c r="Y448" s="1">
        <v>251.83000000000004</v>
      </c>
      <c r="Z448" s="1">
        <v>20.2</v>
      </c>
      <c r="AA448" s="1">
        <v>27</v>
      </c>
      <c r="AB448" s="1">
        <v>15.4</v>
      </c>
      <c r="AC448" s="1">
        <v>1</v>
      </c>
      <c r="AD448" s="3">
        <v>311.08</v>
      </c>
      <c r="AE448" s="3">
        <v>277.13209455465</v>
      </c>
      <c r="AF448" s="2">
        <v>45768</v>
      </c>
      <c r="AG448" s="1">
        <v>80</v>
      </c>
      <c r="AH448" s="3">
        <v>6.69952087611225</v>
      </c>
      <c r="AI448" s="4">
        <v>27.6057488574018</v>
      </c>
      <c r="AJ448" s="4">
        <v>15.49</v>
      </c>
      <c r="AK448" s="4">
        <v>20.770284523367199</v>
      </c>
      <c r="AL448" s="1">
        <v>30</v>
      </c>
      <c r="AM448" s="5">
        <v>1082.51626532863</v>
      </c>
      <c r="AN448" s="4">
        <v>255.735313989014</v>
      </c>
      <c r="AO448" s="4">
        <v>0.236241544057889</v>
      </c>
      <c r="AP448" s="1" t="s">
        <v>651</v>
      </c>
      <c r="AQ448" s="1" t="s">
        <v>156</v>
      </c>
      <c r="AR448" s="1" t="s">
        <v>282</v>
      </c>
      <c r="AS448" s="1">
        <v>9</v>
      </c>
      <c r="AT448" s="4">
        <v>0.97426463879576697</v>
      </c>
      <c r="AU448" s="1" t="s">
        <v>1793</v>
      </c>
      <c r="AV448" s="1" t="s">
        <v>1794</v>
      </c>
      <c r="AW448" s="1">
        <v>891</v>
      </c>
      <c r="AX448" s="1">
        <v>482</v>
      </c>
      <c r="AY448" s="1">
        <v>294</v>
      </c>
      <c r="AZ448" s="1">
        <v>99</v>
      </c>
      <c r="BA448" s="1">
        <v>13</v>
      </c>
      <c r="BB448" s="1">
        <v>3</v>
      </c>
      <c r="BC448" s="1">
        <v>0</v>
      </c>
      <c r="BD448" s="1">
        <v>0</v>
      </c>
      <c r="BE448" s="1">
        <v>0</v>
      </c>
      <c r="BF448" s="1">
        <v>0</v>
      </c>
      <c r="BG448" s="1">
        <v>0</v>
      </c>
      <c r="BH448" s="4">
        <v>2E-3</v>
      </c>
      <c r="BI448" s="4">
        <v>31.739000000000001</v>
      </c>
      <c r="BJ448" s="4">
        <v>16.832512000000001</v>
      </c>
      <c r="BK448" s="4">
        <v>2E-3</v>
      </c>
      <c r="BL448" s="4">
        <v>12.321049</v>
      </c>
      <c r="BM448" s="4">
        <v>151.80825300000001</v>
      </c>
      <c r="BN448" s="4">
        <v>0.73197900000000005</v>
      </c>
      <c r="BO448" s="4">
        <v>24.469498999999999</v>
      </c>
      <c r="BP448" s="4">
        <v>-0.22801099999999999</v>
      </c>
      <c r="BQ448" s="4">
        <v>1.225743</v>
      </c>
      <c r="BR448" s="4">
        <v>11.78764</v>
      </c>
      <c r="BS448" s="4">
        <v>7.1240009999999998</v>
      </c>
      <c r="BT448" s="4">
        <v>23.095998999999999</v>
      </c>
      <c r="BU448" s="4">
        <v>16.832512000000001</v>
      </c>
      <c r="BV448" s="4">
        <v>6.7390629999999998</v>
      </c>
      <c r="BW448" s="4">
        <v>-0.64937900000000004</v>
      </c>
      <c r="BX448" s="4">
        <v>-1.0166869999999999</v>
      </c>
      <c r="BY448" s="4">
        <v>0.40035999999999999</v>
      </c>
      <c r="BZ448" s="4">
        <v>-9.6360000000000001E-2</v>
      </c>
      <c r="CA448" s="4">
        <v>-0.150865</v>
      </c>
      <c r="CB448" s="4">
        <v>7.0000000000000001E-3</v>
      </c>
      <c r="CC448" s="4">
        <v>4.1000000000000002E-2</v>
      </c>
      <c r="CD448" s="4">
        <v>0.109</v>
      </c>
      <c r="CE448" s="4">
        <v>3.0390000000000001</v>
      </c>
      <c r="CF448" s="4">
        <v>3.9215</v>
      </c>
      <c r="CG448" s="4">
        <v>4.5590000000000002</v>
      </c>
      <c r="CH448" s="4">
        <v>6.0540000000000003</v>
      </c>
      <c r="CI448" s="4">
        <v>23.097999999999999</v>
      </c>
      <c r="CJ448" s="4">
        <v>26.952000000000002</v>
      </c>
      <c r="CK448" s="4">
        <v>27.969000000000001</v>
      </c>
      <c r="CL448" s="4">
        <v>28.390999000000001</v>
      </c>
      <c r="CM448" s="4">
        <v>28.856000999999999</v>
      </c>
      <c r="CN448" s="4">
        <v>29.739000000000001</v>
      </c>
      <c r="CO448" s="4">
        <v>30.414000999999999</v>
      </c>
      <c r="CP448" s="4">
        <v>31.333597000000001</v>
      </c>
      <c r="CQ448" s="4">
        <v>0.53031200000000001</v>
      </c>
      <c r="CR448" s="4">
        <v>20.855965999999999</v>
      </c>
      <c r="CS448" s="4">
        <v>22.894628000000001</v>
      </c>
      <c r="CT448" s="1">
        <v>24</v>
      </c>
      <c r="CU448" s="1">
        <v>511</v>
      </c>
      <c r="CV448" s="4">
        <v>151.79348999999999</v>
      </c>
      <c r="CW448" s="4">
        <v>31.730159</v>
      </c>
      <c r="CX448" s="4">
        <v>103.82823999999999</v>
      </c>
      <c r="CY448" s="4">
        <v>10780.30337</v>
      </c>
      <c r="CZ448" s="4">
        <v>0.68401000000000001</v>
      </c>
      <c r="DA448" s="4">
        <v>158</v>
      </c>
      <c r="DB448" s="4">
        <v>0.80215099999999995</v>
      </c>
      <c r="DC448" s="4">
        <v>2.8488389999999999</v>
      </c>
      <c r="DD448" s="4">
        <v>86.952949000000004</v>
      </c>
      <c r="DE448" s="4">
        <v>151.79348999999999</v>
      </c>
      <c r="DF448" s="4">
        <v>57.618197000000002</v>
      </c>
      <c r="DG448" s="4">
        <v>11.792586999999999</v>
      </c>
      <c r="DH448" s="4">
        <v>2.511892</v>
      </c>
      <c r="DI448" s="4">
        <v>0.379583</v>
      </c>
      <c r="DJ448" s="4">
        <v>0.20466799999999999</v>
      </c>
      <c r="DK448" s="4">
        <v>4.3595000000000002E-2</v>
      </c>
      <c r="DL448" s="4">
        <v>27</v>
      </c>
      <c r="DM448" s="4">
        <v>32</v>
      </c>
      <c r="DN448" s="4">
        <v>39</v>
      </c>
      <c r="DO448" s="4">
        <v>55</v>
      </c>
      <c r="DP448" s="4">
        <v>63</v>
      </c>
      <c r="DQ448" s="4">
        <v>72</v>
      </c>
      <c r="DR448" s="4">
        <v>94</v>
      </c>
      <c r="DS448" s="4">
        <v>126</v>
      </c>
      <c r="DT448" s="4">
        <v>165</v>
      </c>
      <c r="DU448" s="4">
        <v>201</v>
      </c>
      <c r="DV448" s="4">
        <v>221</v>
      </c>
      <c r="DW448" s="4">
        <v>244</v>
      </c>
      <c r="DX448" s="4">
        <v>304</v>
      </c>
      <c r="DY448" s="4">
        <v>343</v>
      </c>
      <c r="DZ448" s="4">
        <v>430</v>
      </c>
      <c r="EA448" s="4">
        <v>93.775934000000007</v>
      </c>
      <c r="EB448" s="4">
        <v>80.246914000000004</v>
      </c>
      <c r="EC448" s="4">
        <v>148.340249</v>
      </c>
      <c r="ED448" s="4">
        <v>452</v>
      </c>
      <c r="EE448" s="4">
        <v>715</v>
      </c>
      <c r="EF448" s="4">
        <v>81.535269999999997</v>
      </c>
      <c r="EG448" s="4">
        <v>100</v>
      </c>
      <c r="EH448" s="4">
        <v>56.004489</v>
      </c>
      <c r="EI448" s="4">
        <v>99.663300000000007</v>
      </c>
      <c r="EJ448" s="4">
        <v>103.526971</v>
      </c>
      <c r="EK448" s="4">
        <v>184.23236499999999</v>
      </c>
      <c r="EL448" s="4">
        <v>393</v>
      </c>
      <c r="EM448" s="4">
        <v>482</v>
      </c>
      <c r="EN448" s="4">
        <v>499</v>
      </c>
      <c r="EO448" s="4">
        <v>888</v>
      </c>
      <c r="EP448" s="4">
        <v>482</v>
      </c>
      <c r="EQ448" s="4">
        <v>891</v>
      </c>
      <c r="ER448" s="4">
        <v>52.731268</v>
      </c>
    </row>
    <row r="449" spans="1:148" x14ac:dyDescent="0.2">
      <c r="A449" s="1">
        <v>2025</v>
      </c>
      <c r="B449" s="1" t="str">
        <f t="shared" si="12"/>
        <v>NE</v>
      </c>
      <c r="C449" s="1" t="s">
        <v>1796</v>
      </c>
      <c r="D449" s="1" t="s">
        <v>1796</v>
      </c>
      <c r="E449" s="1">
        <v>26065</v>
      </c>
      <c r="F449" s="1" t="s">
        <v>2241</v>
      </c>
      <c r="G449" s="1" t="s">
        <v>2036</v>
      </c>
      <c r="H449" s="1" t="s">
        <v>1980</v>
      </c>
      <c r="I449" s="1">
        <v>65.42</v>
      </c>
      <c r="J449" s="1">
        <v>65.42</v>
      </c>
      <c r="K449" s="1" t="s">
        <v>184</v>
      </c>
      <c r="L449" s="1">
        <v>1</v>
      </c>
      <c r="M449" s="3">
        <v>2018</v>
      </c>
      <c r="O449" s="1">
        <v>1</v>
      </c>
      <c r="P449" s="1" t="str">
        <f t="shared" si="13"/>
        <v>Alto fuste</v>
      </c>
      <c r="Q449" s="2">
        <v>43321</v>
      </c>
      <c r="R449" s="1" t="s">
        <v>169</v>
      </c>
      <c r="S449" s="1" t="s">
        <v>651</v>
      </c>
      <c r="T449" s="1" t="s">
        <v>2268</v>
      </c>
      <c r="U449" s="1" t="s">
        <v>170</v>
      </c>
      <c r="V449" s="1" t="s">
        <v>152</v>
      </c>
      <c r="W449" s="2">
        <v>44813</v>
      </c>
      <c r="X449" s="1" t="s">
        <v>2242</v>
      </c>
      <c r="Y449" s="1">
        <v>251.83000000000004</v>
      </c>
      <c r="Z449" s="1">
        <v>19</v>
      </c>
      <c r="AA449" s="1">
        <v>15</v>
      </c>
      <c r="AB449" s="1">
        <v>14.8</v>
      </c>
      <c r="AC449" s="1">
        <v>4</v>
      </c>
      <c r="AD449" s="3">
        <v>281.2</v>
      </c>
      <c r="AE449" s="3">
        <v>270.95669372200598</v>
      </c>
      <c r="AF449" s="2">
        <v>45768</v>
      </c>
      <c r="AG449" s="1">
        <v>80</v>
      </c>
      <c r="AH449" s="3">
        <v>6.69952087611225</v>
      </c>
      <c r="AI449" s="4">
        <v>29.5750427650581</v>
      </c>
      <c r="AJ449" s="4">
        <v>17.603225806451601</v>
      </c>
      <c r="AK449" s="4">
        <v>28.500335794257801</v>
      </c>
      <c r="AL449" s="1">
        <v>31</v>
      </c>
      <c r="AM449" s="5">
        <v>1144.09426739629</v>
      </c>
      <c r="AN449" s="4">
        <v>377.403555258751</v>
      </c>
      <c r="AO449" s="4">
        <v>0.32987103074787599</v>
      </c>
      <c r="AP449" s="1" t="s">
        <v>651</v>
      </c>
      <c r="AQ449" s="1" t="s">
        <v>156</v>
      </c>
      <c r="AR449" s="1" t="s">
        <v>282</v>
      </c>
      <c r="AS449" s="1">
        <v>9</v>
      </c>
      <c r="AT449" s="4">
        <v>1.029684840656661</v>
      </c>
      <c r="AU449" s="1" t="s">
        <v>1795</v>
      </c>
      <c r="AV449" s="1" t="s">
        <v>1796</v>
      </c>
      <c r="AW449" s="1">
        <v>1005</v>
      </c>
      <c r="AX449" s="1">
        <v>557</v>
      </c>
      <c r="AY449" s="1">
        <v>327</v>
      </c>
      <c r="AZ449" s="1">
        <v>106</v>
      </c>
      <c r="BA449" s="1">
        <v>15</v>
      </c>
      <c r="BB449" s="1">
        <v>0</v>
      </c>
      <c r="BC449" s="1">
        <v>0</v>
      </c>
      <c r="BD449" s="1">
        <v>0</v>
      </c>
      <c r="BE449" s="1">
        <v>0</v>
      </c>
      <c r="BF449" s="1">
        <v>0</v>
      </c>
      <c r="BG449" s="1">
        <v>0</v>
      </c>
      <c r="BH449" s="4">
        <v>0</v>
      </c>
      <c r="BI449" s="4">
        <v>33.908999999999999</v>
      </c>
      <c r="BJ449" s="4">
        <v>18.784412</v>
      </c>
      <c r="BK449" s="4">
        <v>0</v>
      </c>
      <c r="BL449" s="4">
        <v>13.330748</v>
      </c>
      <c r="BM449" s="4">
        <v>177.70883000000001</v>
      </c>
      <c r="BN449" s="4">
        <v>0.70967100000000005</v>
      </c>
      <c r="BO449" s="4">
        <v>29.724999</v>
      </c>
      <c r="BP449" s="4">
        <v>-0.51435200000000003</v>
      </c>
      <c r="BQ449" s="4">
        <v>1.4722869999999999</v>
      </c>
      <c r="BR449" s="4">
        <v>12.30425</v>
      </c>
      <c r="BS449" s="4">
        <v>4.9930019999999997</v>
      </c>
      <c r="BT449" s="4">
        <v>27.205998999999998</v>
      </c>
      <c r="BU449" s="4">
        <v>18.784412</v>
      </c>
      <c r="BV449" s="4">
        <v>7.1389449999999997</v>
      </c>
      <c r="BW449" s="4">
        <v>-1.292978</v>
      </c>
      <c r="BX449" s="4">
        <v>-0.85492400000000002</v>
      </c>
      <c r="BY449" s="4">
        <v>0.38004599999999999</v>
      </c>
      <c r="BZ449" s="4">
        <v>-0.181116</v>
      </c>
      <c r="CA449" s="4">
        <v>-0.119755</v>
      </c>
      <c r="CB449" s="4">
        <v>2E-3</v>
      </c>
      <c r="CC449" s="4">
        <v>0.01</v>
      </c>
      <c r="CD449" s="4">
        <v>0.02</v>
      </c>
      <c r="CE449" s="4">
        <v>5.6800000000000003E-2</v>
      </c>
      <c r="CF449" s="4">
        <v>0.16900000000000001</v>
      </c>
      <c r="CG449" s="4">
        <v>1.2540009999999999</v>
      </c>
      <c r="CH449" s="4">
        <v>18.408200999999998</v>
      </c>
      <c r="CI449" s="4">
        <v>27.205998999999998</v>
      </c>
      <c r="CJ449" s="4">
        <v>28.32</v>
      </c>
      <c r="CK449" s="4">
        <v>29.308800000000002</v>
      </c>
      <c r="CL449" s="4">
        <v>29.893999000000001</v>
      </c>
      <c r="CM449" s="4">
        <v>30.408200999999998</v>
      </c>
      <c r="CN449" s="4">
        <v>31.785599000000001</v>
      </c>
      <c r="CO449" s="4">
        <v>32.428600000000003</v>
      </c>
      <c r="CP449" s="4">
        <v>33.238602</v>
      </c>
      <c r="CQ449" s="4">
        <v>0.55396500000000004</v>
      </c>
      <c r="CR449" s="4">
        <v>23.030114000000001</v>
      </c>
      <c r="CS449" s="4">
        <v>24.887689999999999</v>
      </c>
      <c r="CT449" s="1">
        <v>22</v>
      </c>
      <c r="CU449" s="1">
        <v>613</v>
      </c>
      <c r="CV449" s="4">
        <v>179.07263699999999</v>
      </c>
      <c r="CW449" s="4">
        <v>40.761904999999999</v>
      </c>
      <c r="CX449" s="4">
        <v>122.00506900000001</v>
      </c>
      <c r="CY449" s="4">
        <v>14885.23675</v>
      </c>
      <c r="CZ449" s="4">
        <v>0.68131600000000003</v>
      </c>
      <c r="DA449" s="4">
        <v>183</v>
      </c>
      <c r="DB449" s="4">
        <v>0.80468300000000004</v>
      </c>
      <c r="DC449" s="4">
        <v>3.008035</v>
      </c>
      <c r="DD449" s="4">
        <v>101.16353599999999</v>
      </c>
      <c r="DE449" s="4">
        <v>179.07263699999999</v>
      </c>
      <c r="DF449" s="4">
        <v>67.786555000000007</v>
      </c>
      <c r="DG449" s="4">
        <v>12.782628000000001</v>
      </c>
      <c r="DH449" s="4">
        <v>3.8416779999999999</v>
      </c>
      <c r="DI449" s="4">
        <v>0.37854199999999999</v>
      </c>
      <c r="DJ449" s="4">
        <v>0.18857199999999999</v>
      </c>
      <c r="DK449" s="4">
        <v>5.6673000000000001E-2</v>
      </c>
      <c r="DL449" s="4">
        <v>26.040001</v>
      </c>
      <c r="DM449" s="4">
        <v>35</v>
      </c>
      <c r="DN449" s="4">
        <v>44</v>
      </c>
      <c r="DO449" s="4">
        <v>62</v>
      </c>
      <c r="DP449" s="4">
        <v>73</v>
      </c>
      <c r="DQ449" s="4">
        <v>85</v>
      </c>
      <c r="DR449" s="4">
        <v>117.60000599999999</v>
      </c>
      <c r="DS449" s="4">
        <v>155</v>
      </c>
      <c r="DT449" s="4">
        <v>201</v>
      </c>
      <c r="DU449" s="4">
        <v>238</v>
      </c>
      <c r="DV449" s="4">
        <v>256</v>
      </c>
      <c r="DW449" s="4">
        <v>284</v>
      </c>
      <c r="DX449" s="4">
        <v>347.199951</v>
      </c>
      <c r="DY449" s="4">
        <v>422.79998799999998</v>
      </c>
      <c r="DZ449" s="4">
        <v>519.760132</v>
      </c>
      <c r="EA449" s="4">
        <v>89.407539999999997</v>
      </c>
      <c r="EB449" s="4">
        <v>69.552239</v>
      </c>
      <c r="EC449" s="4">
        <v>125.49371600000001</v>
      </c>
      <c r="ED449" s="4">
        <v>498</v>
      </c>
      <c r="EE449" s="4">
        <v>699</v>
      </c>
      <c r="EF449" s="4">
        <v>81.867144999999994</v>
      </c>
      <c r="EG449" s="4">
        <v>100</v>
      </c>
      <c r="EH449" s="4">
        <v>59.701492999999999</v>
      </c>
      <c r="EI449" s="4">
        <v>99.701492999999999</v>
      </c>
      <c r="EJ449" s="4">
        <v>107.719928</v>
      </c>
      <c r="EK449" s="4">
        <v>179.89228</v>
      </c>
      <c r="EL449" s="4">
        <v>456</v>
      </c>
      <c r="EM449" s="4">
        <v>557</v>
      </c>
      <c r="EN449" s="4">
        <v>600</v>
      </c>
      <c r="EO449" s="4">
        <v>1002</v>
      </c>
      <c r="EP449" s="4">
        <v>557</v>
      </c>
      <c r="EQ449" s="4">
        <v>1005</v>
      </c>
      <c r="ER449" s="4">
        <v>55.524227000000003</v>
      </c>
    </row>
    <row r="450" spans="1:148" x14ac:dyDescent="0.2">
      <c r="A450" s="1">
        <v>2025</v>
      </c>
      <c r="B450" s="1" t="str">
        <f t="shared" si="12"/>
        <v>NE</v>
      </c>
      <c r="C450" s="1" t="s">
        <v>1798</v>
      </c>
      <c r="D450" s="1" t="s">
        <v>1798</v>
      </c>
      <c r="E450" s="1">
        <v>26066</v>
      </c>
      <c r="F450" s="1" t="s">
        <v>2241</v>
      </c>
      <c r="G450" s="1" t="s">
        <v>2036</v>
      </c>
      <c r="H450" s="1" t="s">
        <v>1980</v>
      </c>
      <c r="I450" s="1">
        <v>65.42</v>
      </c>
      <c r="J450" s="1">
        <v>65.42</v>
      </c>
      <c r="K450" s="1" t="s">
        <v>184</v>
      </c>
      <c r="L450" s="1">
        <v>1</v>
      </c>
      <c r="M450" s="3">
        <v>2018</v>
      </c>
      <c r="O450" s="1">
        <v>1</v>
      </c>
      <c r="P450" s="1" t="str">
        <f t="shared" si="13"/>
        <v>Alto fuste</v>
      </c>
      <c r="Q450" s="2">
        <v>43321</v>
      </c>
      <c r="R450" s="1" t="s">
        <v>169</v>
      </c>
      <c r="S450" s="1" t="s">
        <v>651</v>
      </c>
      <c r="T450" s="1" t="s">
        <v>2268</v>
      </c>
      <c r="U450" s="1" t="s">
        <v>170</v>
      </c>
      <c r="V450" s="1" t="s">
        <v>152</v>
      </c>
      <c r="W450" s="2">
        <v>45768</v>
      </c>
      <c r="X450" s="1" t="s">
        <v>2242</v>
      </c>
      <c r="Y450" s="1">
        <v>251.83000000000004</v>
      </c>
      <c r="Z450" s="1">
        <v>19.8</v>
      </c>
      <c r="AA450" s="1">
        <v>26</v>
      </c>
      <c r="AB450" s="1">
        <v>15.3</v>
      </c>
      <c r="AC450" s="1">
        <v>1</v>
      </c>
      <c r="AD450" s="3">
        <v>302.94</v>
      </c>
      <c r="AE450" s="3">
        <v>272.23919872125401</v>
      </c>
      <c r="AF450" s="2">
        <v>45768</v>
      </c>
      <c r="AG450" s="1">
        <v>80</v>
      </c>
      <c r="AH450" s="3">
        <v>6.69952087611225</v>
      </c>
      <c r="AI450" s="4">
        <v>32.806527801445803</v>
      </c>
      <c r="AJ450" s="4">
        <v>19.600000000000001</v>
      </c>
      <c r="AK450" s="4">
        <v>32.414502346050398</v>
      </c>
      <c r="AL450" s="1">
        <v>29</v>
      </c>
      <c r="AM450" s="5">
        <v>1065.23969127948</v>
      </c>
      <c r="AN450" s="4">
        <v>466.34462560885902</v>
      </c>
      <c r="AO450" s="4">
        <v>0.43778374897834099</v>
      </c>
      <c r="AP450" s="1" t="s">
        <v>651</v>
      </c>
      <c r="AQ450" s="1" t="s">
        <v>156</v>
      </c>
      <c r="AR450" s="1" t="s">
        <v>282</v>
      </c>
      <c r="AS450" s="1">
        <v>9</v>
      </c>
      <c r="AT450" s="4">
        <v>0.958715722151532</v>
      </c>
      <c r="AU450" s="1" t="s">
        <v>1797</v>
      </c>
      <c r="AV450" s="1" t="s">
        <v>1798</v>
      </c>
      <c r="AW450" s="1">
        <v>1009</v>
      </c>
      <c r="AX450" s="1">
        <v>604</v>
      </c>
      <c r="AY450" s="1">
        <v>293</v>
      </c>
      <c r="AZ450" s="1">
        <v>99</v>
      </c>
      <c r="BA450" s="1">
        <v>11</v>
      </c>
      <c r="BB450" s="1">
        <v>2</v>
      </c>
      <c r="BC450" s="1">
        <v>0</v>
      </c>
      <c r="BD450" s="1">
        <v>0</v>
      </c>
      <c r="BE450" s="1">
        <v>0</v>
      </c>
      <c r="BF450" s="1">
        <v>0</v>
      </c>
      <c r="BG450" s="1">
        <v>0</v>
      </c>
      <c r="BH450" s="4">
        <v>0</v>
      </c>
      <c r="BI450" s="4">
        <v>35.242001000000002</v>
      </c>
      <c r="BJ450" s="4">
        <v>21.014330999999999</v>
      </c>
      <c r="BK450" s="4">
        <v>0</v>
      </c>
      <c r="BL450" s="4">
        <v>13.909637999999999</v>
      </c>
      <c r="BM450" s="4">
        <v>193.47802100000001</v>
      </c>
      <c r="BN450" s="4">
        <v>0.66191199999999994</v>
      </c>
      <c r="BO450" s="4">
        <v>31.129000000000001</v>
      </c>
      <c r="BP450" s="4">
        <v>-0.75010399999999999</v>
      </c>
      <c r="BQ450" s="4">
        <v>1.671459</v>
      </c>
      <c r="BR450" s="4">
        <v>12.735109</v>
      </c>
      <c r="BS450" s="4">
        <v>3.0649989999999998</v>
      </c>
      <c r="BT450" s="4">
        <v>29.215</v>
      </c>
      <c r="BU450" s="4">
        <v>21.014330999999999</v>
      </c>
      <c r="BV450" s="4">
        <v>7.0692409999999999</v>
      </c>
      <c r="BW450" s="4">
        <v>-1.9614990000000001</v>
      </c>
      <c r="BX450" s="4">
        <v>-0.49156100000000003</v>
      </c>
      <c r="BY450" s="4">
        <v>0.33640100000000001</v>
      </c>
      <c r="BZ450" s="4">
        <v>-0.27746900000000002</v>
      </c>
      <c r="CA450" s="4">
        <v>-6.9535E-2</v>
      </c>
      <c r="CB450" s="4">
        <v>1E-3</v>
      </c>
      <c r="CC450" s="4">
        <v>7.4000000000000003E-3</v>
      </c>
      <c r="CD450" s="4">
        <v>1.78E-2</v>
      </c>
      <c r="CE450" s="4">
        <v>5.0999999999999997E-2</v>
      </c>
      <c r="CF450" s="4">
        <v>0.153</v>
      </c>
      <c r="CG450" s="4">
        <v>9.2515990000000006</v>
      </c>
      <c r="CH450" s="4">
        <v>28.382401000000002</v>
      </c>
      <c r="CI450" s="4">
        <v>29.215</v>
      </c>
      <c r="CJ450" s="4">
        <v>30.038799000000001</v>
      </c>
      <c r="CK450" s="4">
        <v>30.868400999999999</v>
      </c>
      <c r="CL450" s="4">
        <v>31.282</v>
      </c>
      <c r="CM450" s="4">
        <v>31.827400000000001</v>
      </c>
      <c r="CN450" s="4">
        <v>32.771197999999998</v>
      </c>
      <c r="CO450" s="4">
        <v>33.550800000000002</v>
      </c>
      <c r="CP450" s="4">
        <v>34.081161000000002</v>
      </c>
      <c r="CQ450" s="4">
        <v>0.59628700000000001</v>
      </c>
      <c r="CR450" s="4">
        <v>25.196991000000001</v>
      </c>
      <c r="CS450" s="4">
        <v>26.892399000000001</v>
      </c>
      <c r="CT450" s="1">
        <v>22</v>
      </c>
      <c r="CU450" s="1">
        <v>575</v>
      </c>
      <c r="CV450" s="4">
        <v>178.775025</v>
      </c>
      <c r="CW450" s="4">
        <v>30.777778000000001</v>
      </c>
      <c r="CX450" s="4">
        <v>122.694444</v>
      </c>
      <c r="CY450" s="4">
        <v>15053.926520000001</v>
      </c>
      <c r="CZ450" s="4">
        <v>0.68630599999999997</v>
      </c>
      <c r="DA450" s="4">
        <v>184</v>
      </c>
      <c r="DB450" s="4">
        <v>0.84655100000000005</v>
      </c>
      <c r="DC450" s="4">
        <v>3.1792630000000002</v>
      </c>
      <c r="DD450" s="4">
        <v>99.705378999999994</v>
      </c>
      <c r="DE450" s="4">
        <v>178.775025</v>
      </c>
      <c r="DF450" s="4">
        <v>67.941636000000003</v>
      </c>
      <c r="DG450" s="4">
        <v>12.640463</v>
      </c>
      <c r="DH450" s="4">
        <v>4.9667209999999997</v>
      </c>
      <c r="DI450" s="4">
        <v>0.38003999999999999</v>
      </c>
      <c r="DJ450" s="4">
        <v>0.18604899999999999</v>
      </c>
      <c r="DK450" s="4">
        <v>7.3103000000000001E-2</v>
      </c>
      <c r="DL450" s="4">
        <v>26</v>
      </c>
      <c r="DM450" s="4">
        <v>32</v>
      </c>
      <c r="DN450" s="4">
        <v>40.800002999999997</v>
      </c>
      <c r="DO450" s="4">
        <v>61</v>
      </c>
      <c r="DP450" s="4">
        <v>73</v>
      </c>
      <c r="DQ450" s="4">
        <v>84</v>
      </c>
      <c r="DR450" s="4">
        <v>123.200012</v>
      </c>
      <c r="DS450" s="4">
        <v>159</v>
      </c>
      <c r="DT450" s="4">
        <v>194.79998800000001</v>
      </c>
      <c r="DU450" s="4">
        <v>229.599976</v>
      </c>
      <c r="DV450" s="4">
        <v>257</v>
      </c>
      <c r="DW450" s="4">
        <v>280</v>
      </c>
      <c r="DX450" s="4">
        <v>339.20001200000002</v>
      </c>
      <c r="DY450" s="4">
        <v>437.59997600000003</v>
      </c>
      <c r="DZ450" s="4">
        <v>513.75994900000001</v>
      </c>
      <c r="EA450" s="4">
        <v>89.900661999999997</v>
      </c>
      <c r="EB450" s="4">
        <v>70.86224</v>
      </c>
      <c r="EC450" s="4">
        <v>118.377483</v>
      </c>
      <c r="ED450" s="4">
        <v>543</v>
      </c>
      <c r="EE450" s="4">
        <v>715</v>
      </c>
      <c r="EF450" s="4">
        <v>88.245033000000006</v>
      </c>
      <c r="EG450" s="4">
        <v>99.834436999999994</v>
      </c>
      <c r="EH450" s="4">
        <v>67.294351000000006</v>
      </c>
      <c r="EI450" s="4">
        <v>99.603567999999996</v>
      </c>
      <c r="EJ450" s="4">
        <v>112.417219</v>
      </c>
      <c r="EK450" s="4">
        <v>166.390728</v>
      </c>
      <c r="EL450" s="4">
        <v>533</v>
      </c>
      <c r="EM450" s="4">
        <v>603</v>
      </c>
      <c r="EN450" s="4">
        <v>679</v>
      </c>
      <c r="EO450" s="4">
        <v>1005</v>
      </c>
      <c r="EP450" s="4">
        <v>604</v>
      </c>
      <c r="EQ450" s="4">
        <v>1009</v>
      </c>
      <c r="ER450" s="4">
        <v>60.627920000000003</v>
      </c>
    </row>
    <row r="451" spans="1:148" x14ac:dyDescent="0.2">
      <c r="A451" s="1">
        <v>2025</v>
      </c>
      <c r="B451" s="1" t="str">
        <f t="shared" ref="B451:B513" si="14">LEFT(C451,2)</f>
        <v>NE</v>
      </c>
      <c r="C451" s="1" t="s">
        <v>1800</v>
      </c>
      <c r="D451" s="1" t="s">
        <v>1800</v>
      </c>
      <c r="E451" s="1">
        <v>26318</v>
      </c>
      <c r="F451" s="1" t="s">
        <v>2243</v>
      </c>
      <c r="G451" s="1" t="s">
        <v>2037</v>
      </c>
      <c r="H451" s="1" t="s">
        <v>1981</v>
      </c>
      <c r="I451" s="1">
        <v>42.01</v>
      </c>
      <c r="J451" s="1">
        <v>42.01</v>
      </c>
      <c r="K451" s="1" t="s">
        <v>1022</v>
      </c>
      <c r="L451" s="1">
        <v>1</v>
      </c>
      <c r="M451" s="3">
        <v>2018</v>
      </c>
      <c r="O451" s="1">
        <v>1</v>
      </c>
      <c r="P451" s="1" t="str">
        <f t="shared" ref="P451:P513" si="15">IF(MID(H451,12,1)="R","Talhadia","Alto fuste")</f>
        <v>Alto fuste</v>
      </c>
      <c r="Q451" s="2">
        <v>43157</v>
      </c>
      <c r="R451" s="1" t="s">
        <v>169</v>
      </c>
      <c r="S451" s="1" t="s">
        <v>403</v>
      </c>
      <c r="T451" s="1" t="s">
        <v>2268</v>
      </c>
      <c r="U451" s="1" t="s">
        <v>1022</v>
      </c>
      <c r="V451" s="1" t="s">
        <v>152</v>
      </c>
      <c r="W451" s="2">
        <v>44814</v>
      </c>
      <c r="X451" s="1" t="s">
        <v>2244</v>
      </c>
      <c r="Y451" s="1">
        <v>126.11999999999999</v>
      </c>
      <c r="Z451" s="1">
        <v>21</v>
      </c>
      <c r="AA451" s="1">
        <v>12</v>
      </c>
      <c r="AB451" s="1">
        <v>15.3</v>
      </c>
      <c r="AC451" s="1">
        <v>1</v>
      </c>
      <c r="AD451" s="3">
        <v>321.3</v>
      </c>
      <c r="AE451" s="3">
        <v>314.230957928615</v>
      </c>
      <c r="AF451" s="2">
        <v>45735</v>
      </c>
      <c r="AG451" s="1">
        <v>85</v>
      </c>
      <c r="AH451" s="3">
        <v>7.0581793292265598</v>
      </c>
      <c r="AI451" s="4">
        <v>27.649153131775002</v>
      </c>
      <c r="AJ451" s="4">
        <v>16.2222222222222</v>
      </c>
      <c r="AK451" s="4">
        <v>24.277559753892199</v>
      </c>
      <c r="AL451" s="1">
        <v>36</v>
      </c>
      <c r="AM451" s="5">
        <v>1145.65414678773</v>
      </c>
      <c r="AN451" s="4">
        <v>307.12276424135501</v>
      </c>
      <c r="AO451" s="4">
        <v>0.26807633447012602</v>
      </c>
      <c r="AP451" s="1" t="s">
        <v>403</v>
      </c>
      <c r="AQ451" s="1" t="s">
        <v>156</v>
      </c>
      <c r="AR451" s="1" t="s">
        <v>282</v>
      </c>
      <c r="AS451" s="1">
        <v>9</v>
      </c>
      <c r="AT451" s="4">
        <v>1.031088732108957</v>
      </c>
      <c r="AU451" s="1" t="s">
        <v>1799</v>
      </c>
      <c r="AV451" s="1" t="s">
        <v>1800</v>
      </c>
      <c r="AW451" s="1">
        <v>1312</v>
      </c>
      <c r="AX451" s="1">
        <v>775</v>
      </c>
      <c r="AY451" s="1">
        <v>414</v>
      </c>
      <c r="AZ451" s="1">
        <v>111</v>
      </c>
      <c r="BA451" s="1">
        <v>11</v>
      </c>
      <c r="BB451" s="1">
        <v>1</v>
      </c>
      <c r="BC451" s="1">
        <v>0</v>
      </c>
      <c r="BD451" s="1">
        <v>0</v>
      </c>
      <c r="BE451" s="1">
        <v>0</v>
      </c>
      <c r="BF451" s="1">
        <v>0</v>
      </c>
      <c r="BG451" s="1">
        <v>0</v>
      </c>
      <c r="BH451" s="4">
        <v>0</v>
      </c>
      <c r="BI451" s="4">
        <v>30.035999</v>
      </c>
      <c r="BJ451" s="4">
        <v>20.352062</v>
      </c>
      <c r="BK451" s="4">
        <v>0</v>
      </c>
      <c r="BL451" s="4">
        <v>9.916499</v>
      </c>
      <c r="BM451" s="4">
        <v>98.336946999999995</v>
      </c>
      <c r="BN451" s="4">
        <v>0.48724800000000001</v>
      </c>
      <c r="BO451" s="4">
        <v>9.9802510000000009</v>
      </c>
      <c r="BP451" s="4">
        <v>-1.205654</v>
      </c>
      <c r="BQ451" s="4">
        <v>3.0163129999999998</v>
      </c>
      <c r="BR451" s="4">
        <v>7.8846980000000002</v>
      </c>
      <c r="BS451" s="4">
        <v>2.8959999999999999</v>
      </c>
      <c r="BT451" s="4">
        <v>25.8125</v>
      </c>
      <c r="BU451" s="4">
        <v>20.352062</v>
      </c>
      <c r="BV451" s="4">
        <v>5.0454949999999998</v>
      </c>
      <c r="BW451" s="4">
        <v>-1.823674</v>
      </c>
      <c r="BX451" s="4">
        <v>0.33554099999999998</v>
      </c>
      <c r="BY451" s="4">
        <v>0.24791099999999999</v>
      </c>
      <c r="BZ451" s="4">
        <v>-0.36144599999999999</v>
      </c>
      <c r="CA451" s="4">
        <v>6.6503000000000007E-2</v>
      </c>
      <c r="CB451" s="4">
        <v>3.0000000000000001E-3</v>
      </c>
      <c r="CC451" s="4">
        <v>1.4999999999999999E-2</v>
      </c>
      <c r="CD451" s="4">
        <v>3.1199999999999999E-2</v>
      </c>
      <c r="CE451" s="4">
        <v>15.598599999999999</v>
      </c>
      <c r="CF451" s="4">
        <v>17.588749</v>
      </c>
      <c r="CG451" s="4">
        <v>18.747299000000002</v>
      </c>
      <c r="CH451" s="4">
        <v>21.125399000000002</v>
      </c>
      <c r="CI451" s="4">
        <v>25.8125</v>
      </c>
      <c r="CJ451" s="4">
        <v>26.773599999999998</v>
      </c>
      <c r="CK451" s="4">
        <v>27.366800000000001</v>
      </c>
      <c r="CL451" s="4">
        <v>27.568999999999999</v>
      </c>
      <c r="CM451" s="4">
        <v>27.854799</v>
      </c>
      <c r="CN451" s="4">
        <v>28.402000000000001</v>
      </c>
      <c r="CO451" s="4">
        <v>28.780698999999998</v>
      </c>
      <c r="CP451" s="4">
        <v>29.477041</v>
      </c>
      <c r="CQ451" s="4">
        <v>0.677589</v>
      </c>
      <c r="CR451" s="4">
        <v>22.637765000000002</v>
      </c>
      <c r="CS451" s="4">
        <v>23.665877999999999</v>
      </c>
      <c r="CT451" s="1">
        <v>21</v>
      </c>
      <c r="CU451" s="1">
        <v>433</v>
      </c>
      <c r="CV451" s="4">
        <v>83.538110000000003</v>
      </c>
      <c r="CW451" s="4">
        <v>40.619047999999999</v>
      </c>
      <c r="CX451" s="4">
        <v>48.974409999999999</v>
      </c>
      <c r="CY451" s="4">
        <v>2398.4928260000002</v>
      </c>
      <c r="CZ451" s="4">
        <v>0.586252</v>
      </c>
      <c r="DA451" s="4">
        <v>61</v>
      </c>
      <c r="DB451" s="4">
        <v>1.815858</v>
      </c>
      <c r="DC451" s="4">
        <v>8.8298930000000002</v>
      </c>
      <c r="DD451" s="4">
        <v>37.163032999999999</v>
      </c>
      <c r="DE451" s="4">
        <v>83.538110000000003</v>
      </c>
      <c r="DF451" s="4">
        <v>25.272124000000002</v>
      </c>
      <c r="DG451" s="4">
        <v>6.9204470000000002</v>
      </c>
      <c r="DH451" s="4">
        <v>3.3576779999999999</v>
      </c>
      <c r="DI451" s="4">
        <v>0.30252200000000001</v>
      </c>
      <c r="DJ451" s="4">
        <v>0.273837</v>
      </c>
      <c r="DK451" s="4">
        <v>0.13286100000000001</v>
      </c>
      <c r="DL451" s="4">
        <v>26.110001</v>
      </c>
      <c r="DM451" s="4">
        <v>33</v>
      </c>
      <c r="DN451" s="4">
        <v>37</v>
      </c>
      <c r="DO451" s="4">
        <v>43</v>
      </c>
      <c r="DP451" s="4">
        <v>47</v>
      </c>
      <c r="DQ451" s="4">
        <v>51</v>
      </c>
      <c r="DR451" s="4">
        <v>60</v>
      </c>
      <c r="DS451" s="4">
        <v>70</v>
      </c>
      <c r="DT451" s="4">
        <v>82</v>
      </c>
      <c r="DU451" s="4">
        <v>99</v>
      </c>
      <c r="DV451" s="4">
        <v>108</v>
      </c>
      <c r="DW451" s="4">
        <v>119</v>
      </c>
      <c r="DX451" s="4">
        <v>147.900024</v>
      </c>
      <c r="DY451" s="4">
        <v>170</v>
      </c>
      <c r="DZ451" s="4">
        <v>250.35022000000001</v>
      </c>
      <c r="EA451" s="4">
        <v>98.580645000000004</v>
      </c>
      <c r="EB451" s="4">
        <v>83.765243999999996</v>
      </c>
      <c r="EC451" s="4">
        <v>141.80645200000001</v>
      </c>
      <c r="ED451" s="4">
        <v>764</v>
      </c>
      <c r="EE451" s="4">
        <v>1099</v>
      </c>
      <c r="EF451" s="4">
        <v>89.419354999999996</v>
      </c>
      <c r="EG451" s="4">
        <v>100</v>
      </c>
      <c r="EH451" s="4">
        <v>63.109755999999997</v>
      </c>
      <c r="EI451" s="4">
        <v>99.847560999999999</v>
      </c>
      <c r="EJ451" s="4">
        <v>106.83871000000001</v>
      </c>
      <c r="EK451" s="4">
        <v>169.03225800000001</v>
      </c>
      <c r="EL451" s="4">
        <v>693</v>
      </c>
      <c r="EM451" s="4">
        <v>775</v>
      </c>
      <c r="EN451" s="4">
        <v>828</v>
      </c>
      <c r="EO451" s="4">
        <v>1310</v>
      </c>
      <c r="EP451" s="4">
        <v>775</v>
      </c>
      <c r="EQ451" s="4">
        <v>1312</v>
      </c>
      <c r="ER451" s="4">
        <v>68.042610999999994</v>
      </c>
    </row>
    <row r="452" spans="1:148" x14ac:dyDescent="0.2">
      <c r="A452" s="1">
        <v>2025</v>
      </c>
      <c r="B452" s="1" t="str">
        <f t="shared" si="14"/>
        <v>NE</v>
      </c>
      <c r="C452" s="1" t="s">
        <v>1802</v>
      </c>
      <c r="D452" s="1" t="s">
        <v>1802</v>
      </c>
      <c r="E452" s="1">
        <v>26320</v>
      </c>
      <c r="F452" s="1" t="s">
        <v>2243</v>
      </c>
      <c r="G452" s="1" t="s">
        <v>2037</v>
      </c>
      <c r="H452" s="1" t="s">
        <v>1981</v>
      </c>
      <c r="I452" s="1">
        <v>42.01</v>
      </c>
      <c r="J452" s="1">
        <v>42.01</v>
      </c>
      <c r="K452" s="1" t="s">
        <v>1022</v>
      </c>
      <c r="L452" s="1">
        <v>1</v>
      </c>
      <c r="M452" s="3">
        <v>2018</v>
      </c>
      <c r="O452" s="1">
        <v>1</v>
      </c>
      <c r="P452" s="1" t="str">
        <f t="shared" si="15"/>
        <v>Alto fuste</v>
      </c>
      <c r="Q452" s="2">
        <v>43157</v>
      </c>
      <c r="R452" s="1" t="s">
        <v>169</v>
      </c>
      <c r="S452" s="1" t="s">
        <v>403</v>
      </c>
      <c r="T452" s="1" t="s">
        <v>2268</v>
      </c>
      <c r="U452" s="1" t="s">
        <v>1022</v>
      </c>
      <c r="V452" s="1" t="s">
        <v>152</v>
      </c>
      <c r="W452" s="2">
        <v>45735</v>
      </c>
      <c r="X452" s="1" t="s">
        <v>2244</v>
      </c>
      <c r="Y452" s="1">
        <v>126.11999999999999</v>
      </c>
      <c r="Z452" s="1">
        <v>20.8</v>
      </c>
      <c r="AA452" s="1">
        <v>10</v>
      </c>
      <c r="AB452" s="1">
        <v>14.8</v>
      </c>
      <c r="AC452" s="1">
        <v>1</v>
      </c>
      <c r="AD452" s="3">
        <v>307.83999999999997</v>
      </c>
      <c r="AE452" s="3">
        <v>303.11704546066801</v>
      </c>
      <c r="AF452" s="2">
        <v>45735</v>
      </c>
      <c r="AG452" s="1">
        <v>85</v>
      </c>
      <c r="AH452" s="3">
        <v>7.0581793292265598</v>
      </c>
      <c r="AI452" s="4">
        <v>24.9563832755526</v>
      </c>
      <c r="AJ452" s="4">
        <v>16.054054054054099</v>
      </c>
      <c r="AK452" s="4">
        <v>25.778940516290799</v>
      </c>
      <c r="AL452" s="1">
        <v>37</v>
      </c>
      <c r="AM452" s="5">
        <v>1220.65058874431</v>
      </c>
      <c r="AN452" s="4">
        <v>296.70242320214902</v>
      </c>
      <c r="AO452" s="4">
        <v>0.24306908622177301</v>
      </c>
      <c r="AP452" s="1" t="s">
        <v>403</v>
      </c>
      <c r="AQ452" s="1" t="s">
        <v>156</v>
      </c>
      <c r="AR452" s="1" t="s">
        <v>282</v>
      </c>
      <c r="AS452" s="1">
        <v>9</v>
      </c>
      <c r="AT452" s="4">
        <v>1.098585529869879</v>
      </c>
      <c r="AU452" s="1" t="s">
        <v>1801</v>
      </c>
      <c r="AV452" s="1" t="s">
        <v>1802</v>
      </c>
      <c r="AW452" s="1">
        <v>1358</v>
      </c>
      <c r="AX452" s="1">
        <v>801</v>
      </c>
      <c r="AY452" s="1">
        <v>410</v>
      </c>
      <c r="AZ452" s="1">
        <v>133</v>
      </c>
      <c r="BA452" s="1">
        <v>13</v>
      </c>
      <c r="BB452" s="1">
        <v>1</v>
      </c>
      <c r="BC452" s="1">
        <v>0</v>
      </c>
      <c r="BD452" s="1">
        <v>0</v>
      </c>
      <c r="BE452" s="1">
        <v>0</v>
      </c>
      <c r="BF452" s="1">
        <v>0</v>
      </c>
      <c r="BG452" s="1">
        <v>0</v>
      </c>
      <c r="BH452" s="4">
        <v>0</v>
      </c>
      <c r="BI452" s="4">
        <v>30.385000000000002</v>
      </c>
      <c r="BJ452" s="4">
        <v>21.485880000000002</v>
      </c>
      <c r="BK452" s="4">
        <v>0</v>
      </c>
      <c r="BL452" s="4">
        <v>8.5910840000000004</v>
      </c>
      <c r="BM452" s="4">
        <v>73.806725999999998</v>
      </c>
      <c r="BN452" s="4">
        <v>0.39984799999999998</v>
      </c>
      <c r="BO452" s="4">
        <v>8.9137500000000003</v>
      </c>
      <c r="BP452" s="4">
        <v>-1.5223450000000001</v>
      </c>
      <c r="BQ452" s="4">
        <v>4.3336410000000001</v>
      </c>
      <c r="BR452" s="4">
        <v>6.4876870000000002</v>
      </c>
      <c r="BS452" s="4">
        <v>3.292999</v>
      </c>
      <c r="BT452" s="4">
        <v>25.137001000000001</v>
      </c>
      <c r="BU452" s="4">
        <v>21.485880000000002</v>
      </c>
      <c r="BV452" s="4">
        <v>4.298826</v>
      </c>
      <c r="BW452" s="4">
        <v>-1.5858179999999999</v>
      </c>
      <c r="BX452" s="4">
        <v>0.60571299999999995</v>
      </c>
      <c r="BY452" s="4">
        <v>0.200077</v>
      </c>
      <c r="BZ452" s="4">
        <v>-0.368896</v>
      </c>
      <c r="CA452" s="4">
        <v>0.140902</v>
      </c>
      <c r="CB452" s="4">
        <v>6.5700000000000003E-3</v>
      </c>
      <c r="CC452" s="4">
        <v>3.3000000000000002E-2</v>
      </c>
      <c r="CD452" s="4">
        <v>0.48980000000000001</v>
      </c>
      <c r="CE452" s="4">
        <v>17.637599999999999</v>
      </c>
      <c r="CF452" s="4">
        <v>18.649249999999999</v>
      </c>
      <c r="CG452" s="4">
        <v>19.731501000000002</v>
      </c>
      <c r="CH452" s="4">
        <v>22.149398999999999</v>
      </c>
      <c r="CI452" s="4">
        <v>25.137001000000001</v>
      </c>
      <c r="CJ452" s="4">
        <v>26.510601000000001</v>
      </c>
      <c r="CK452" s="4">
        <v>27.265501</v>
      </c>
      <c r="CL452" s="4">
        <v>27.562999999999999</v>
      </c>
      <c r="CM452" s="4">
        <v>27.849001000000001</v>
      </c>
      <c r="CN452" s="4">
        <v>28.488900999999998</v>
      </c>
      <c r="CO452" s="4">
        <v>29.033152000000001</v>
      </c>
      <c r="CP452" s="4">
        <v>29.784882</v>
      </c>
      <c r="CQ452" s="4">
        <v>0.707121</v>
      </c>
      <c r="CR452" s="4">
        <v>23.138612999999999</v>
      </c>
      <c r="CS452" s="4">
        <v>23.932752000000001</v>
      </c>
      <c r="CT452" s="1">
        <v>23</v>
      </c>
      <c r="CU452" s="1">
        <v>377</v>
      </c>
      <c r="CV452" s="4">
        <v>84.435935000000001</v>
      </c>
      <c r="CW452" s="4">
        <v>39.857143000000001</v>
      </c>
      <c r="CX452" s="4">
        <v>46.937123</v>
      </c>
      <c r="CY452" s="4">
        <v>2203.093535</v>
      </c>
      <c r="CZ452" s="4">
        <v>0.55589</v>
      </c>
      <c r="DA452" s="4">
        <v>59</v>
      </c>
      <c r="DB452" s="4">
        <v>1.4888980000000001</v>
      </c>
      <c r="DC452" s="4">
        <v>6.4851520000000002</v>
      </c>
      <c r="DD452" s="4">
        <v>36.369253</v>
      </c>
      <c r="DE452" s="4">
        <v>84.435935000000001</v>
      </c>
      <c r="DF452" s="4">
        <v>24.784835000000001</v>
      </c>
      <c r="DG452" s="4">
        <v>6.3272890000000004</v>
      </c>
      <c r="DH452" s="4">
        <v>3.0936849999999998</v>
      </c>
      <c r="DI452" s="4">
        <v>0.29353400000000002</v>
      </c>
      <c r="DJ452" s="4">
        <v>0.25528899999999999</v>
      </c>
      <c r="DK452" s="4">
        <v>0.124822</v>
      </c>
      <c r="DL452" s="4">
        <v>27.57</v>
      </c>
      <c r="DM452" s="4">
        <v>33</v>
      </c>
      <c r="DN452" s="4">
        <v>37</v>
      </c>
      <c r="DO452" s="4">
        <v>45</v>
      </c>
      <c r="DP452" s="4">
        <v>49</v>
      </c>
      <c r="DQ452" s="4">
        <v>53</v>
      </c>
      <c r="DR452" s="4">
        <v>62</v>
      </c>
      <c r="DS452" s="4">
        <v>72</v>
      </c>
      <c r="DT452" s="4">
        <v>84</v>
      </c>
      <c r="DU452" s="4">
        <v>100.900024</v>
      </c>
      <c r="DV452" s="4">
        <v>108</v>
      </c>
      <c r="DW452" s="4">
        <v>118</v>
      </c>
      <c r="DX452" s="4">
        <v>150</v>
      </c>
      <c r="DY452" s="4">
        <v>175.150024</v>
      </c>
      <c r="DZ452" s="4">
        <v>227.29016100000001</v>
      </c>
      <c r="EA452" s="4">
        <v>99.500624000000002</v>
      </c>
      <c r="EB452" s="4">
        <v>89.175257999999999</v>
      </c>
      <c r="EC452" s="4">
        <v>151.18601699999999</v>
      </c>
      <c r="ED452" s="4">
        <v>797</v>
      </c>
      <c r="EE452" s="4">
        <v>1211</v>
      </c>
      <c r="EF452" s="4">
        <v>89.013733000000002</v>
      </c>
      <c r="EG452" s="4">
        <v>100</v>
      </c>
      <c r="EH452" s="4">
        <v>62.739322999999999</v>
      </c>
      <c r="EI452" s="4">
        <v>99.852725000000007</v>
      </c>
      <c r="EJ452" s="4">
        <v>106.367041</v>
      </c>
      <c r="EK452" s="4">
        <v>169.28838999999999</v>
      </c>
      <c r="EL452" s="4">
        <v>713</v>
      </c>
      <c r="EM452" s="4">
        <v>801</v>
      </c>
      <c r="EN452" s="4">
        <v>852</v>
      </c>
      <c r="EO452" s="4">
        <v>1356</v>
      </c>
      <c r="EP452" s="4">
        <v>801</v>
      </c>
      <c r="EQ452" s="4">
        <v>1358</v>
      </c>
      <c r="ER452" s="4">
        <v>71.196351000000007</v>
      </c>
    </row>
    <row r="453" spans="1:148" x14ac:dyDescent="0.2">
      <c r="A453" s="1">
        <v>2025</v>
      </c>
      <c r="B453" s="1" t="str">
        <f t="shared" si="14"/>
        <v>NE</v>
      </c>
      <c r="C453" s="1" t="s">
        <v>1804</v>
      </c>
      <c r="D453" s="1" t="s">
        <v>1804</v>
      </c>
      <c r="E453" s="1">
        <v>25314</v>
      </c>
      <c r="F453" s="1" t="s">
        <v>2117</v>
      </c>
      <c r="G453" s="1" t="s">
        <v>1035</v>
      </c>
      <c r="H453" s="1" t="s">
        <v>1982</v>
      </c>
      <c r="I453" s="1">
        <v>37.61</v>
      </c>
      <c r="J453" s="1">
        <v>37.61</v>
      </c>
      <c r="K453" s="1" t="s">
        <v>1022</v>
      </c>
      <c r="L453" s="1">
        <v>1</v>
      </c>
      <c r="M453" s="3">
        <v>2017</v>
      </c>
      <c r="O453" s="1">
        <v>1</v>
      </c>
      <c r="P453" s="1" t="str">
        <f t="shared" si="15"/>
        <v>Alto fuste</v>
      </c>
      <c r="Q453" s="2">
        <v>42943</v>
      </c>
      <c r="R453" s="1" t="s">
        <v>169</v>
      </c>
      <c r="S453" s="1" t="s">
        <v>299</v>
      </c>
      <c r="T453" s="1" t="s">
        <v>2268</v>
      </c>
      <c r="U453" s="1" t="s">
        <v>1022</v>
      </c>
      <c r="V453" s="1" t="s">
        <v>152</v>
      </c>
      <c r="W453" s="2">
        <v>44815</v>
      </c>
      <c r="X453" s="1" t="s">
        <v>1037</v>
      </c>
      <c r="Y453" s="1">
        <v>56.72</v>
      </c>
      <c r="Z453" s="1">
        <v>21.2</v>
      </c>
      <c r="AA453" s="1">
        <v>14</v>
      </c>
      <c r="AB453" s="1">
        <v>15</v>
      </c>
      <c r="AC453" s="1">
        <v>2</v>
      </c>
      <c r="AD453" s="3">
        <v>318</v>
      </c>
      <c r="AE453" s="3">
        <v>308.36607817086798</v>
      </c>
      <c r="AF453" s="2">
        <v>45736</v>
      </c>
      <c r="AG453" s="1">
        <v>92</v>
      </c>
      <c r="AH453" s="3">
        <v>7.6468172484599597</v>
      </c>
      <c r="AI453" s="4">
        <v>28.0385033772653</v>
      </c>
      <c r="AJ453" s="4">
        <v>16.3322580645161</v>
      </c>
      <c r="AK453" s="4">
        <v>22.725489565091301</v>
      </c>
      <c r="AL453" s="1">
        <v>31</v>
      </c>
      <c r="AM453" s="5">
        <v>1005.2986432192</v>
      </c>
      <c r="AN453" s="4">
        <v>313.84340261442202</v>
      </c>
      <c r="AO453" s="4">
        <v>0.31218922330325799</v>
      </c>
      <c r="AP453" s="1" t="s">
        <v>299</v>
      </c>
      <c r="AQ453" s="1" t="s">
        <v>156</v>
      </c>
      <c r="AR453" s="1" t="s">
        <v>842</v>
      </c>
      <c r="AS453" s="1">
        <v>9</v>
      </c>
      <c r="AT453" s="4">
        <v>0.90476877889728002</v>
      </c>
      <c r="AU453" s="1" t="s">
        <v>1803</v>
      </c>
      <c r="AV453" s="1" t="s">
        <v>1804</v>
      </c>
      <c r="AW453" s="1">
        <v>1193</v>
      </c>
      <c r="AX453" s="1">
        <v>513</v>
      </c>
      <c r="AY453" s="1">
        <v>395</v>
      </c>
      <c r="AZ453" s="1">
        <v>214</v>
      </c>
      <c r="BA453" s="1">
        <v>60</v>
      </c>
      <c r="BB453" s="1">
        <v>11</v>
      </c>
      <c r="BC453" s="1">
        <v>0</v>
      </c>
      <c r="BD453" s="1">
        <v>0</v>
      </c>
      <c r="BE453" s="1">
        <v>0</v>
      </c>
      <c r="BF453" s="1">
        <v>0</v>
      </c>
      <c r="BG453" s="1">
        <v>0</v>
      </c>
      <c r="BH453" s="4">
        <v>0</v>
      </c>
      <c r="BI453" s="4">
        <v>35.603999999999999</v>
      </c>
      <c r="BJ453" s="4">
        <v>18.543759000000001</v>
      </c>
      <c r="BK453" s="4">
        <v>0</v>
      </c>
      <c r="BL453" s="4">
        <v>11.586868000000001</v>
      </c>
      <c r="BM453" s="4">
        <v>134.255516</v>
      </c>
      <c r="BN453" s="4">
        <v>0.62483900000000003</v>
      </c>
      <c r="BO453" s="4">
        <v>19.110999</v>
      </c>
      <c r="BP453" s="4">
        <v>-0.46090700000000001</v>
      </c>
      <c r="BQ453" s="4">
        <v>1.837491</v>
      </c>
      <c r="BR453" s="4">
        <v>9.9797589999999996</v>
      </c>
      <c r="BS453" s="4">
        <v>8.7300009999999997</v>
      </c>
      <c r="BT453" s="4">
        <v>21.077998999999998</v>
      </c>
      <c r="BU453" s="4">
        <v>18.543759000000001</v>
      </c>
      <c r="BV453" s="4">
        <v>6.5273149999999998</v>
      </c>
      <c r="BW453" s="4">
        <v>-0.85289999999999999</v>
      </c>
      <c r="BX453" s="4">
        <v>-0.21248</v>
      </c>
      <c r="BY453" s="4">
        <v>0.351995</v>
      </c>
      <c r="BZ453" s="4">
        <v>-0.130666</v>
      </c>
      <c r="CA453" s="4">
        <v>-3.2551999999999998E-2</v>
      </c>
      <c r="CB453" s="4">
        <v>2E-3</v>
      </c>
      <c r="CC453" s="4">
        <v>1.2999999999999999E-2</v>
      </c>
      <c r="CD453" s="4">
        <v>2.6200000000000001E-2</v>
      </c>
      <c r="CE453" s="4">
        <v>0.15060000000000001</v>
      </c>
      <c r="CF453" s="4">
        <v>10.250999999999999</v>
      </c>
      <c r="CG453" s="4">
        <v>12.569400999999999</v>
      </c>
      <c r="CH453" s="4">
        <v>16.866399999999999</v>
      </c>
      <c r="CI453" s="4">
        <v>21.077998999999998</v>
      </c>
      <c r="CJ453" s="4">
        <v>24.638399</v>
      </c>
      <c r="CK453" s="4">
        <v>28.024999999999999</v>
      </c>
      <c r="CL453" s="4">
        <v>29.361999999999998</v>
      </c>
      <c r="CM453" s="4">
        <v>29.861398999999999</v>
      </c>
      <c r="CN453" s="4">
        <v>31.811201000000001</v>
      </c>
      <c r="CO453" s="4">
        <v>32.572398999999997</v>
      </c>
      <c r="CP453" s="4">
        <v>34.474155000000003</v>
      </c>
      <c r="CQ453" s="4">
        <v>0.52083400000000002</v>
      </c>
      <c r="CR453" s="4">
        <v>21.863530000000001</v>
      </c>
      <c r="CS453" s="4">
        <v>23.587156</v>
      </c>
      <c r="CT453" s="1">
        <v>22</v>
      </c>
      <c r="CU453" s="1">
        <v>504</v>
      </c>
      <c r="CV453" s="4">
        <v>98.072086999999996</v>
      </c>
      <c r="CW453" s="4">
        <v>37.301586999999998</v>
      </c>
      <c r="CX453" s="4">
        <v>67.136878999999993</v>
      </c>
      <c r="CY453" s="4">
        <v>4507.3605710000002</v>
      </c>
      <c r="CZ453" s="4">
        <v>0.68456700000000004</v>
      </c>
      <c r="DA453" s="4">
        <v>87</v>
      </c>
      <c r="DB453" s="4">
        <v>1.689022</v>
      </c>
      <c r="DC453" s="4">
        <v>7.2747760000000001</v>
      </c>
      <c r="DD453" s="4">
        <v>51.589365000000001</v>
      </c>
      <c r="DE453" s="4">
        <v>98.072086999999996</v>
      </c>
      <c r="DF453" s="4">
        <v>34.696750000000002</v>
      </c>
      <c r="DG453" s="4">
        <v>10.252762000000001</v>
      </c>
      <c r="DH453" s="4">
        <v>4.239503</v>
      </c>
      <c r="DI453" s="4">
        <v>0.35378799999999999</v>
      </c>
      <c r="DJ453" s="4">
        <v>0.29549599999999998</v>
      </c>
      <c r="DK453" s="4">
        <v>0.122187</v>
      </c>
      <c r="DL453" s="4">
        <v>26.92</v>
      </c>
      <c r="DM453" s="4">
        <v>31</v>
      </c>
      <c r="DN453" s="4">
        <v>36</v>
      </c>
      <c r="DO453" s="4">
        <v>43</v>
      </c>
      <c r="DP453" s="4">
        <v>46</v>
      </c>
      <c r="DQ453" s="4">
        <v>51</v>
      </c>
      <c r="DR453" s="4">
        <v>63</v>
      </c>
      <c r="DS453" s="4">
        <v>77</v>
      </c>
      <c r="DT453" s="4">
        <v>95</v>
      </c>
      <c r="DU453" s="4">
        <v>118.400024</v>
      </c>
      <c r="DV453" s="4">
        <v>133</v>
      </c>
      <c r="DW453" s="4">
        <v>146</v>
      </c>
      <c r="DX453" s="4">
        <v>188.800049</v>
      </c>
      <c r="DY453" s="4">
        <v>225.400024</v>
      </c>
      <c r="DZ453" s="4">
        <v>337</v>
      </c>
      <c r="EA453" s="4">
        <v>98.050681999999995</v>
      </c>
      <c r="EB453" s="4">
        <v>79.547359999999998</v>
      </c>
      <c r="EC453" s="4">
        <v>184.990253</v>
      </c>
      <c r="ED453" s="4">
        <v>503</v>
      </c>
      <c r="EE453" s="4">
        <v>949</v>
      </c>
      <c r="EF453" s="4">
        <v>89.278751999999997</v>
      </c>
      <c r="EG453" s="4">
        <v>100</v>
      </c>
      <c r="EH453" s="4">
        <v>56.244760999999997</v>
      </c>
      <c r="EI453" s="4">
        <v>99.916178000000002</v>
      </c>
      <c r="EJ453" s="4">
        <v>130.79921999999999</v>
      </c>
      <c r="EK453" s="4">
        <v>232.35867400000001</v>
      </c>
      <c r="EL453" s="4">
        <v>458</v>
      </c>
      <c r="EM453" s="4">
        <v>513</v>
      </c>
      <c r="EN453" s="4">
        <v>671</v>
      </c>
      <c r="EO453" s="4">
        <v>1192</v>
      </c>
      <c r="EP453" s="4">
        <v>513</v>
      </c>
      <c r="EQ453" s="4">
        <v>1193</v>
      </c>
      <c r="ER453" s="4">
        <v>52.766975000000002</v>
      </c>
    </row>
    <row r="454" spans="1:148" x14ac:dyDescent="0.2">
      <c r="A454" s="1">
        <v>2025</v>
      </c>
      <c r="B454" s="1" t="str">
        <f t="shared" si="14"/>
        <v>NE</v>
      </c>
      <c r="C454" s="1" t="s">
        <v>1806</v>
      </c>
      <c r="D454" s="1" t="s">
        <v>1806</v>
      </c>
      <c r="E454" s="1">
        <v>31057</v>
      </c>
      <c r="F454" s="1" t="s">
        <v>2117</v>
      </c>
      <c r="G454" s="1" t="s">
        <v>1035</v>
      </c>
      <c r="H454" s="1" t="s">
        <v>1982</v>
      </c>
      <c r="I454" s="1">
        <v>37.61</v>
      </c>
      <c r="J454" s="1">
        <v>37.61</v>
      </c>
      <c r="K454" s="1" t="s">
        <v>1022</v>
      </c>
      <c r="L454" s="1">
        <v>1</v>
      </c>
      <c r="M454" s="3">
        <v>2017</v>
      </c>
      <c r="O454" s="1">
        <v>1</v>
      </c>
      <c r="P454" s="1" t="str">
        <f t="shared" si="15"/>
        <v>Alto fuste</v>
      </c>
      <c r="Q454" s="2">
        <v>42943</v>
      </c>
      <c r="R454" s="1" t="s">
        <v>169</v>
      </c>
      <c r="S454" s="1" t="s">
        <v>299</v>
      </c>
      <c r="T454" s="1" t="s">
        <v>2268</v>
      </c>
      <c r="U454" s="1" t="s">
        <v>1022</v>
      </c>
      <c r="V454" s="1" t="s">
        <v>152</v>
      </c>
      <c r="W454" s="2">
        <v>44816</v>
      </c>
      <c r="X454" s="1" t="s">
        <v>1037</v>
      </c>
      <c r="Y454" s="1">
        <v>56.72</v>
      </c>
      <c r="Z454" s="1">
        <v>21.3</v>
      </c>
      <c r="AA454" s="1">
        <v>10</v>
      </c>
      <c r="AB454" s="1">
        <v>14.9</v>
      </c>
      <c r="AC454" s="1">
        <v>3</v>
      </c>
      <c r="AD454" s="3">
        <v>317.37</v>
      </c>
      <c r="AE454" s="3">
        <v>312.12009980364797</v>
      </c>
      <c r="AF454" s="2">
        <v>45736</v>
      </c>
      <c r="AG454" s="1">
        <v>92</v>
      </c>
      <c r="AH454" s="3">
        <v>7.6468172484599597</v>
      </c>
      <c r="AI454" s="4">
        <v>26.778757603833299</v>
      </c>
      <c r="AJ454" s="4">
        <v>16.72</v>
      </c>
      <c r="AK454" s="4">
        <v>22.760535579433</v>
      </c>
      <c r="AL454" s="1">
        <v>30</v>
      </c>
      <c r="AM454" s="5">
        <v>961.16847389427005</v>
      </c>
      <c r="AN454" s="4">
        <v>295.283280077489</v>
      </c>
      <c r="AO454" s="4">
        <v>0.30721282282711498</v>
      </c>
      <c r="AP454" s="1" t="s">
        <v>299</v>
      </c>
      <c r="AQ454" s="1" t="s">
        <v>156</v>
      </c>
      <c r="AR454" s="1" t="s">
        <v>842</v>
      </c>
      <c r="AS454" s="1">
        <v>9</v>
      </c>
      <c r="AT454" s="4">
        <v>0.86505162650484302</v>
      </c>
      <c r="AU454" s="1" t="s">
        <v>1805</v>
      </c>
      <c r="AV454" s="1" t="s">
        <v>1806</v>
      </c>
      <c r="AW454" s="1">
        <v>1221</v>
      </c>
      <c r="AX454" s="1">
        <v>532</v>
      </c>
      <c r="AY454" s="1">
        <v>412</v>
      </c>
      <c r="AZ454" s="1">
        <v>208</v>
      </c>
      <c r="BA454" s="1">
        <v>62</v>
      </c>
      <c r="BB454" s="1">
        <v>7</v>
      </c>
      <c r="BC454" s="1">
        <v>0</v>
      </c>
      <c r="BD454" s="1">
        <v>0</v>
      </c>
      <c r="BE454" s="1">
        <v>0</v>
      </c>
      <c r="BF454" s="1">
        <v>0</v>
      </c>
      <c r="BG454" s="1">
        <v>0</v>
      </c>
      <c r="BH454" s="4">
        <v>0</v>
      </c>
      <c r="BI454" s="4">
        <v>35.094002000000003</v>
      </c>
      <c r="BJ454" s="4">
        <v>19.307382</v>
      </c>
      <c r="BK454" s="4">
        <v>0</v>
      </c>
      <c r="BL454" s="4">
        <v>11.291641</v>
      </c>
      <c r="BM454" s="4">
        <v>127.501155</v>
      </c>
      <c r="BN454" s="4">
        <v>0.58483499999999999</v>
      </c>
      <c r="BO454" s="4">
        <v>18.566998999999999</v>
      </c>
      <c r="BP454" s="4">
        <v>-0.51985599999999998</v>
      </c>
      <c r="BQ454" s="4">
        <v>1.9669099999999999</v>
      </c>
      <c r="BR454" s="4">
        <v>9.6541429999999995</v>
      </c>
      <c r="BS454" s="4">
        <v>8.6469989999999992</v>
      </c>
      <c r="BT454" s="4">
        <v>21.516000999999999</v>
      </c>
      <c r="BU454" s="4">
        <v>19.307382</v>
      </c>
      <c r="BV454" s="4">
        <v>6.3594499999999998</v>
      </c>
      <c r="BW454" s="4">
        <v>-0.94650500000000004</v>
      </c>
      <c r="BX454" s="4">
        <v>-7.8278E-2</v>
      </c>
      <c r="BY454" s="4">
        <v>0.32937899999999998</v>
      </c>
      <c r="BZ454" s="4">
        <v>-0.14883399999999999</v>
      </c>
      <c r="CA454" s="4">
        <v>-1.2309E-2</v>
      </c>
      <c r="CB454" s="4">
        <v>2E-3</v>
      </c>
      <c r="CC454" s="4">
        <v>1.2E-2</v>
      </c>
      <c r="CD454" s="4">
        <v>2.4E-2</v>
      </c>
      <c r="CE454" s="4">
        <v>8.4830000000000005</v>
      </c>
      <c r="CF454" s="4">
        <v>10.997</v>
      </c>
      <c r="CG454" s="4">
        <v>13.458</v>
      </c>
      <c r="CH454" s="4">
        <v>17.924999</v>
      </c>
      <c r="CI454" s="4">
        <v>21.516000999999999</v>
      </c>
      <c r="CJ454" s="4">
        <v>25.131001000000001</v>
      </c>
      <c r="CK454" s="4">
        <v>28.400998999999999</v>
      </c>
      <c r="CL454" s="4">
        <v>29.563998999999999</v>
      </c>
      <c r="CM454" s="4">
        <v>30.315999999999999</v>
      </c>
      <c r="CN454" s="4">
        <v>31.98</v>
      </c>
      <c r="CO454" s="4">
        <v>33.005001</v>
      </c>
      <c r="CP454" s="4">
        <v>34.248806000000002</v>
      </c>
      <c r="CQ454" s="4">
        <v>0.55016200000000004</v>
      </c>
      <c r="CR454" s="4">
        <v>22.364519999999999</v>
      </c>
      <c r="CS454" s="4">
        <v>24.002642000000002</v>
      </c>
      <c r="CT454" s="1">
        <v>23</v>
      </c>
      <c r="CU454" s="1">
        <v>603</v>
      </c>
      <c r="CV454" s="4">
        <v>106.65356300000001</v>
      </c>
      <c r="CW454" s="4">
        <v>50.619047999999999</v>
      </c>
      <c r="CX454" s="4">
        <v>93.593007999999998</v>
      </c>
      <c r="CY454" s="4">
        <v>8759.651194</v>
      </c>
      <c r="CZ454" s="4">
        <v>0.87754200000000004</v>
      </c>
      <c r="DA454" s="4">
        <v>83</v>
      </c>
      <c r="DB454" s="4">
        <v>2.555323</v>
      </c>
      <c r="DC454" s="4">
        <v>10.795971</v>
      </c>
      <c r="DD454" s="4">
        <v>63.603101000000002</v>
      </c>
      <c r="DE454" s="4">
        <v>106.65356300000001</v>
      </c>
      <c r="DF454" s="4">
        <v>42.935167</v>
      </c>
      <c r="DG454" s="4">
        <v>18.145959999999999</v>
      </c>
      <c r="DH454" s="4">
        <v>10.362994</v>
      </c>
      <c r="DI454" s="4">
        <v>0.40256700000000001</v>
      </c>
      <c r="DJ454" s="4">
        <v>0.42263600000000001</v>
      </c>
      <c r="DK454" s="4">
        <v>0.241364</v>
      </c>
      <c r="DL454" s="4">
        <v>27</v>
      </c>
      <c r="DM454" s="4">
        <v>32</v>
      </c>
      <c r="DN454" s="4">
        <v>36</v>
      </c>
      <c r="DO454" s="4">
        <v>44</v>
      </c>
      <c r="DP454" s="4">
        <v>49</v>
      </c>
      <c r="DQ454" s="4">
        <v>53</v>
      </c>
      <c r="DR454" s="4">
        <v>62</v>
      </c>
      <c r="DS454" s="4">
        <v>75</v>
      </c>
      <c r="DT454" s="4">
        <v>91</v>
      </c>
      <c r="DU454" s="4">
        <v>116</v>
      </c>
      <c r="DV454" s="4">
        <v>132</v>
      </c>
      <c r="DW454" s="4">
        <v>148</v>
      </c>
      <c r="DX454" s="4">
        <v>209</v>
      </c>
      <c r="DY454" s="4">
        <v>281</v>
      </c>
      <c r="DZ454" s="4">
        <v>503.800049</v>
      </c>
      <c r="EA454" s="4">
        <v>95.864661999999996</v>
      </c>
      <c r="EB454" s="4">
        <v>82.882883000000007</v>
      </c>
      <c r="EC454" s="4">
        <v>190.22556399999999</v>
      </c>
      <c r="ED454" s="4">
        <v>510</v>
      </c>
      <c r="EE454" s="4">
        <v>1012</v>
      </c>
      <c r="EF454" s="4">
        <v>81.578946999999999</v>
      </c>
      <c r="EG454" s="4">
        <v>99.812029999999993</v>
      </c>
      <c r="EH454" s="4">
        <v>56.429155999999999</v>
      </c>
      <c r="EI454" s="4">
        <v>99.754300000000001</v>
      </c>
      <c r="EJ454" s="4">
        <v>129.511278</v>
      </c>
      <c r="EK454" s="4">
        <v>228.94736800000001</v>
      </c>
      <c r="EL454" s="4">
        <v>434</v>
      </c>
      <c r="EM454" s="4">
        <v>531</v>
      </c>
      <c r="EN454" s="4">
        <v>689</v>
      </c>
      <c r="EO454" s="4">
        <v>1218</v>
      </c>
      <c r="EP454" s="4">
        <v>532</v>
      </c>
      <c r="EQ454" s="4">
        <v>1221</v>
      </c>
      <c r="ER454" s="4">
        <v>55.380692000000003</v>
      </c>
    </row>
    <row r="455" spans="1:148" x14ac:dyDescent="0.2">
      <c r="A455" s="1">
        <v>2025</v>
      </c>
      <c r="B455" s="1" t="str">
        <f t="shared" si="14"/>
        <v>NE</v>
      </c>
      <c r="C455" s="1" t="s">
        <v>1808</v>
      </c>
      <c r="D455" s="1" t="s">
        <v>1808</v>
      </c>
      <c r="E455" s="1">
        <v>26506</v>
      </c>
      <c r="F455" s="1" t="s">
        <v>2144</v>
      </c>
      <c r="G455" s="1" t="s">
        <v>1035</v>
      </c>
      <c r="H455" s="1" t="s">
        <v>1326</v>
      </c>
      <c r="I455" s="1">
        <v>54.03</v>
      </c>
      <c r="J455" s="1">
        <v>54.03</v>
      </c>
      <c r="K455" s="1" t="s">
        <v>1022</v>
      </c>
      <c r="L455" s="1">
        <v>1</v>
      </c>
      <c r="M455" s="3">
        <v>2018</v>
      </c>
      <c r="O455" s="1">
        <v>2</v>
      </c>
      <c r="P455" s="1" t="str">
        <f t="shared" si="15"/>
        <v>Talhadia</v>
      </c>
      <c r="Q455" s="2">
        <v>43143</v>
      </c>
      <c r="R455" s="1" t="s">
        <v>169</v>
      </c>
      <c r="S455" s="1" t="s">
        <v>265</v>
      </c>
      <c r="T455" s="1" t="s">
        <v>2268</v>
      </c>
      <c r="U455" s="1" t="s">
        <v>1022</v>
      </c>
      <c r="V455" s="1" t="s">
        <v>152</v>
      </c>
      <c r="W455" s="2">
        <v>45736</v>
      </c>
      <c r="X455" s="1" t="s">
        <v>1037</v>
      </c>
      <c r="Y455" s="1">
        <v>105.87</v>
      </c>
      <c r="Z455" s="1">
        <v>19.3</v>
      </c>
      <c r="AA455" s="1">
        <v>21</v>
      </c>
      <c r="AB455" s="1">
        <v>16.2</v>
      </c>
      <c r="AC455" s="1">
        <v>4</v>
      </c>
      <c r="AD455" s="3">
        <v>312.66000000000003</v>
      </c>
      <c r="AE455" s="3">
        <v>291.18221884714097</v>
      </c>
      <c r="AF455" s="2">
        <v>45736</v>
      </c>
      <c r="AG455" s="1">
        <v>85</v>
      </c>
      <c r="AH455" s="3">
        <v>7.0992470910335399</v>
      </c>
      <c r="AI455" s="4">
        <v>30.154005729308299</v>
      </c>
      <c r="AJ455" s="4">
        <v>17.837499999999999</v>
      </c>
      <c r="AK455" s="4">
        <v>29.951013539572301</v>
      </c>
      <c r="AL455" s="1">
        <v>32</v>
      </c>
      <c r="AM455" s="5">
        <v>1098.96820371435</v>
      </c>
      <c r="AN455" s="4">
        <v>450.31035890672098</v>
      </c>
      <c r="AO455" s="4">
        <v>0.40975740461347299</v>
      </c>
      <c r="AP455" s="1" t="s">
        <v>265</v>
      </c>
      <c r="AQ455" s="1" t="s">
        <v>254</v>
      </c>
      <c r="AR455" s="1" t="s">
        <v>842</v>
      </c>
      <c r="AS455" s="1">
        <v>9</v>
      </c>
      <c r="AT455" s="4">
        <v>0.989071383342915</v>
      </c>
      <c r="AU455" s="1" t="s">
        <v>1807</v>
      </c>
      <c r="AV455" s="1" t="s">
        <v>1808</v>
      </c>
      <c r="AW455" s="1">
        <v>1212</v>
      </c>
      <c r="AX455" s="1">
        <v>557</v>
      </c>
      <c r="AY455" s="1">
        <v>409</v>
      </c>
      <c r="AZ455" s="1">
        <v>188</v>
      </c>
      <c r="BA455" s="1">
        <v>53</v>
      </c>
      <c r="BB455" s="1">
        <v>5</v>
      </c>
      <c r="BC455" s="1">
        <v>0</v>
      </c>
      <c r="BD455" s="1">
        <v>0</v>
      </c>
      <c r="BE455" s="1">
        <v>0</v>
      </c>
      <c r="BF455" s="1">
        <v>0</v>
      </c>
      <c r="BG455" s="1">
        <v>0</v>
      </c>
      <c r="BH455" s="4">
        <v>0</v>
      </c>
      <c r="BI455" s="4">
        <v>38.252997999999998</v>
      </c>
      <c r="BJ455" s="4">
        <v>21.174894999999999</v>
      </c>
      <c r="BK455" s="4">
        <v>0</v>
      </c>
      <c r="BL455" s="4">
        <v>13.267580000000001</v>
      </c>
      <c r="BM455" s="4">
        <v>176.02867699999999</v>
      </c>
      <c r="BN455" s="4">
        <v>0.62657099999999999</v>
      </c>
      <c r="BO455" s="4">
        <v>24.171250000000001</v>
      </c>
      <c r="BP455" s="4">
        <v>-0.54357800000000001</v>
      </c>
      <c r="BQ455" s="4">
        <v>1.770189</v>
      </c>
      <c r="BR455" s="4">
        <v>11.613163</v>
      </c>
      <c r="BS455" s="4">
        <v>8.9524989999999995</v>
      </c>
      <c r="BT455" s="4">
        <v>25.470500999999999</v>
      </c>
      <c r="BU455" s="4">
        <v>21.174894999999999</v>
      </c>
      <c r="BV455" s="4">
        <v>7.3753320000000002</v>
      </c>
      <c r="BW455" s="4">
        <v>-1.2582519999999999</v>
      </c>
      <c r="BX455" s="4">
        <v>-0.38947199999999998</v>
      </c>
      <c r="BY455" s="4">
        <v>0.34830499999999998</v>
      </c>
      <c r="BZ455" s="4">
        <v>-0.170603</v>
      </c>
      <c r="CA455" s="4">
        <v>-5.2807E-2</v>
      </c>
      <c r="CB455" s="4">
        <v>6.0000000000000001E-3</v>
      </c>
      <c r="CC455" s="4">
        <v>3.3000000000000002E-2</v>
      </c>
      <c r="CD455" s="4">
        <v>7.4099999999999999E-2</v>
      </c>
      <c r="CE455" s="4">
        <v>0.68740000000000001</v>
      </c>
      <c r="CF455" s="4">
        <v>9.0265000000000004</v>
      </c>
      <c r="CG455" s="4">
        <v>13.714399999999999</v>
      </c>
      <c r="CH455" s="4">
        <v>21.664200000000001</v>
      </c>
      <c r="CI455" s="4">
        <v>25.470500999999999</v>
      </c>
      <c r="CJ455" s="4">
        <v>29.071999000000002</v>
      </c>
      <c r="CK455" s="4">
        <v>31.878601</v>
      </c>
      <c r="CL455" s="4">
        <v>33.197749999999999</v>
      </c>
      <c r="CM455" s="4">
        <v>34.178001000000002</v>
      </c>
      <c r="CN455" s="4">
        <v>35.196598000000002</v>
      </c>
      <c r="CO455" s="4">
        <v>35.988548000000002</v>
      </c>
      <c r="CP455" s="4">
        <v>37.032890000000002</v>
      </c>
      <c r="CQ455" s="4">
        <v>0.55354899999999996</v>
      </c>
      <c r="CR455" s="4">
        <v>24.985188000000001</v>
      </c>
      <c r="CS455" s="4">
        <v>26.869408</v>
      </c>
      <c r="CT455" s="1">
        <v>23</v>
      </c>
      <c r="CU455" s="1">
        <v>474</v>
      </c>
      <c r="CV455" s="4">
        <v>97.072607000000005</v>
      </c>
      <c r="CW455" s="4">
        <v>44.476190000000003</v>
      </c>
      <c r="CX455" s="4">
        <v>62.554825999999998</v>
      </c>
      <c r="CY455" s="4">
        <v>3913.1062019999999</v>
      </c>
      <c r="CZ455" s="4">
        <v>0.64441300000000001</v>
      </c>
      <c r="DA455" s="4">
        <v>83.25</v>
      </c>
      <c r="DB455" s="4">
        <v>1.409198</v>
      </c>
      <c r="DC455" s="4">
        <v>5.5423499999999999</v>
      </c>
      <c r="DD455" s="4">
        <v>49.192475999999999</v>
      </c>
      <c r="DE455" s="4">
        <v>97.072607000000005</v>
      </c>
      <c r="DF455" s="4">
        <v>33.068337999999997</v>
      </c>
      <c r="DG455" s="4">
        <v>8.9369789999999991</v>
      </c>
      <c r="DH455" s="4">
        <v>3.6280060000000001</v>
      </c>
      <c r="DI455" s="4">
        <v>0.34065600000000001</v>
      </c>
      <c r="DJ455" s="4">
        <v>0.270258</v>
      </c>
      <c r="DK455" s="4">
        <v>0.109712</v>
      </c>
      <c r="DL455" s="4">
        <v>27.110001</v>
      </c>
      <c r="DM455" s="4">
        <v>31</v>
      </c>
      <c r="DN455" s="4">
        <v>36</v>
      </c>
      <c r="DO455" s="4">
        <v>44.199997000000003</v>
      </c>
      <c r="DP455" s="4">
        <v>48</v>
      </c>
      <c r="DQ455" s="4">
        <v>53</v>
      </c>
      <c r="DR455" s="4">
        <v>63.399994</v>
      </c>
      <c r="DS455" s="4">
        <v>79</v>
      </c>
      <c r="DT455" s="4">
        <v>98</v>
      </c>
      <c r="DU455" s="4">
        <v>120</v>
      </c>
      <c r="DV455" s="4">
        <v>131.25</v>
      </c>
      <c r="DW455" s="4">
        <v>145</v>
      </c>
      <c r="DX455" s="4">
        <v>182</v>
      </c>
      <c r="DY455" s="4">
        <v>218.449951</v>
      </c>
      <c r="DZ455" s="4">
        <v>305.45007299999997</v>
      </c>
      <c r="EA455" s="4">
        <v>98.922801000000007</v>
      </c>
      <c r="EB455" s="4">
        <v>78.630363000000003</v>
      </c>
      <c r="EC455" s="4">
        <v>171.09515300000001</v>
      </c>
      <c r="ED455" s="4">
        <v>551</v>
      </c>
      <c r="EE455" s="4">
        <v>953</v>
      </c>
      <c r="EF455" s="4">
        <v>93.716337999999993</v>
      </c>
      <c r="EG455" s="4">
        <v>100</v>
      </c>
      <c r="EH455" s="4">
        <v>61.386139</v>
      </c>
      <c r="EI455" s="4">
        <v>99.917491999999996</v>
      </c>
      <c r="EJ455" s="4">
        <v>133.572711</v>
      </c>
      <c r="EK455" s="4">
        <v>217.41472200000001</v>
      </c>
      <c r="EL455" s="4">
        <v>522</v>
      </c>
      <c r="EM455" s="4">
        <v>557</v>
      </c>
      <c r="EN455" s="4">
        <v>744</v>
      </c>
      <c r="EO455" s="4">
        <v>1211</v>
      </c>
      <c r="EP455" s="4">
        <v>557</v>
      </c>
      <c r="EQ455" s="4">
        <v>1212</v>
      </c>
      <c r="ER455" s="4">
        <v>56.147095999999998</v>
      </c>
    </row>
    <row r="456" spans="1:148" x14ac:dyDescent="0.2">
      <c r="A456" s="1">
        <v>2025</v>
      </c>
      <c r="B456" s="1" t="str">
        <f t="shared" si="14"/>
        <v>NE</v>
      </c>
      <c r="C456" s="1" t="s">
        <v>1810</v>
      </c>
      <c r="D456" s="1" t="s">
        <v>1810</v>
      </c>
      <c r="E456" s="1">
        <v>26507</v>
      </c>
      <c r="F456" s="1" t="s">
        <v>2144</v>
      </c>
      <c r="G456" s="1" t="s">
        <v>1035</v>
      </c>
      <c r="H456" s="1" t="s">
        <v>1326</v>
      </c>
      <c r="I456" s="1">
        <v>54.03</v>
      </c>
      <c r="J456" s="1">
        <v>54.03</v>
      </c>
      <c r="K456" s="1" t="s">
        <v>1022</v>
      </c>
      <c r="L456" s="1">
        <v>1</v>
      </c>
      <c r="M456" s="3">
        <v>2018</v>
      </c>
      <c r="O456" s="1">
        <v>2</v>
      </c>
      <c r="P456" s="1" t="str">
        <f t="shared" si="15"/>
        <v>Talhadia</v>
      </c>
      <c r="Q456" s="2">
        <v>43143</v>
      </c>
      <c r="R456" s="1" t="s">
        <v>169</v>
      </c>
      <c r="S456" s="1" t="s">
        <v>265</v>
      </c>
      <c r="T456" s="1" t="s">
        <v>2268</v>
      </c>
      <c r="U456" s="1" t="s">
        <v>1022</v>
      </c>
      <c r="V456" s="1" t="s">
        <v>152</v>
      </c>
      <c r="W456" s="2">
        <v>44817</v>
      </c>
      <c r="X456" s="1" t="s">
        <v>1037</v>
      </c>
      <c r="Y456" s="1">
        <v>105.87</v>
      </c>
      <c r="Z456" s="1">
        <v>19.7</v>
      </c>
      <c r="AA456" s="1">
        <v>12</v>
      </c>
      <c r="AB456" s="1">
        <v>14.8</v>
      </c>
      <c r="AC456" s="1">
        <v>4</v>
      </c>
      <c r="AD456" s="3">
        <v>291.56</v>
      </c>
      <c r="AE456" s="3">
        <v>284.49400909503402</v>
      </c>
      <c r="AF456" s="2">
        <v>45736</v>
      </c>
      <c r="AG456" s="1">
        <v>85</v>
      </c>
      <c r="AH456" s="3">
        <v>7.0992470910335399</v>
      </c>
      <c r="AI456" s="4">
        <v>27.183520118252599</v>
      </c>
      <c r="AJ456" s="4">
        <v>19.191666666666698</v>
      </c>
      <c r="AK456" s="4">
        <v>27.333535920666399</v>
      </c>
      <c r="AL456" s="1">
        <v>24</v>
      </c>
      <c r="AM456" s="5">
        <v>843.60300156559299</v>
      </c>
      <c r="AN456" s="4">
        <v>380.23970790690402</v>
      </c>
      <c r="AO456" s="4">
        <v>0.45073299549816598</v>
      </c>
      <c r="AP456" s="1" t="s">
        <v>265</v>
      </c>
      <c r="AQ456" s="1" t="s">
        <v>254</v>
      </c>
      <c r="AR456" s="1" t="s">
        <v>842</v>
      </c>
      <c r="AS456" s="1">
        <v>9</v>
      </c>
      <c r="AT456" s="4">
        <v>0.75924270140903372</v>
      </c>
      <c r="AU456" s="1" t="s">
        <v>1809</v>
      </c>
      <c r="AV456" s="1" t="s">
        <v>1810</v>
      </c>
      <c r="AW456" s="1">
        <v>2398</v>
      </c>
      <c r="AX456" s="1">
        <v>902</v>
      </c>
      <c r="AY456" s="1">
        <v>831</v>
      </c>
      <c r="AZ456" s="1">
        <v>482</v>
      </c>
      <c r="BA456" s="1">
        <v>155</v>
      </c>
      <c r="BB456" s="1">
        <v>28</v>
      </c>
      <c r="BC456" s="1">
        <v>0</v>
      </c>
      <c r="BD456" s="1">
        <v>0</v>
      </c>
      <c r="BE456" s="1">
        <v>0</v>
      </c>
      <c r="BF456" s="1">
        <v>0</v>
      </c>
      <c r="BG456" s="1">
        <v>0</v>
      </c>
      <c r="BH456" s="4">
        <v>0</v>
      </c>
      <c r="BI456" s="4">
        <v>39.527000000000001</v>
      </c>
      <c r="BJ456" s="4">
        <v>17.604996</v>
      </c>
      <c r="BK456" s="4">
        <v>0</v>
      </c>
      <c r="BL456" s="4">
        <v>12.173470999999999</v>
      </c>
      <c r="BM456" s="4">
        <v>148.19339400000001</v>
      </c>
      <c r="BN456" s="4">
        <v>0.69147800000000004</v>
      </c>
      <c r="BO456" s="4">
        <v>19.943501000000001</v>
      </c>
      <c r="BP456" s="4">
        <v>-8.8938000000000003E-2</v>
      </c>
      <c r="BQ456" s="4">
        <v>1.8010269999999999</v>
      </c>
      <c r="BR456" s="4">
        <v>10.396420000000001</v>
      </c>
      <c r="BS456" s="4">
        <v>10.096000999999999</v>
      </c>
      <c r="BT456" s="4">
        <v>18.524000000000001</v>
      </c>
      <c r="BU456" s="4">
        <v>17.604996</v>
      </c>
      <c r="BV456" s="4">
        <v>6.9806949999999999</v>
      </c>
      <c r="BW456" s="4">
        <v>-9.2311000000000004E-2</v>
      </c>
      <c r="BX456" s="4">
        <v>-9.6273999999999998E-2</v>
      </c>
      <c r="BY456" s="4">
        <v>0.39651799999999998</v>
      </c>
      <c r="BZ456" s="4">
        <v>-1.3224E-2</v>
      </c>
      <c r="CA456" s="4">
        <v>-1.3790999999999999E-2</v>
      </c>
      <c r="CB456" s="4">
        <v>2E-3</v>
      </c>
      <c r="CC456" s="4">
        <v>1.0999999999999999E-2</v>
      </c>
      <c r="CD456" s="4">
        <v>2.1000000000000001E-2</v>
      </c>
      <c r="CE456" s="4">
        <v>8.7400000000000005E-2</v>
      </c>
      <c r="CF456" s="4">
        <v>7.8252499999999996</v>
      </c>
      <c r="CG456" s="4">
        <v>10.2723</v>
      </c>
      <c r="CH456" s="4">
        <v>14.811400000000001</v>
      </c>
      <c r="CI456" s="4">
        <v>18.524000000000001</v>
      </c>
      <c r="CJ456" s="4">
        <v>22.041</v>
      </c>
      <c r="CK456" s="4">
        <v>25.626902000000001</v>
      </c>
      <c r="CL456" s="4">
        <v>27.768751000000002</v>
      </c>
      <c r="CM456" s="4">
        <v>30.368601000000002</v>
      </c>
      <c r="CN456" s="4">
        <v>33.874901000000001</v>
      </c>
      <c r="CO456" s="4">
        <v>36.034199000000001</v>
      </c>
      <c r="CP456" s="4">
        <v>37.973419</v>
      </c>
      <c r="CQ456" s="4">
        <v>0.44539200000000001</v>
      </c>
      <c r="CR456" s="4">
        <v>21.402511000000001</v>
      </c>
      <c r="CS456" s="4">
        <v>23.585232000000001</v>
      </c>
      <c r="CT456" s="1">
        <v>22</v>
      </c>
      <c r="CU456" s="1">
        <v>523</v>
      </c>
      <c r="CV456" s="4">
        <v>92.120517000000007</v>
      </c>
      <c r="CW456" s="4">
        <v>29.952380999999999</v>
      </c>
      <c r="CX456" s="4">
        <v>67.310432000000006</v>
      </c>
      <c r="CY456" s="4">
        <v>4530.6942719999997</v>
      </c>
      <c r="CZ456" s="4">
        <v>0.73067800000000005</v>
      </c>
      <c r="DA456" s="4">
        <v>73</v>
      </c>
      <c r="DB456" s="4">
        <v>2.0495199999999998</v>
      </c>
      <c r="DC456" s="4">
        <v>8.8561320000000006</v>
      </c>
      <c r="DD456" s="4">
        <v>49.451044000000003</v>
      </c>
      <c r="DE456" s="4">
        <v>92.120517000000007</v>
      </c>
      <c r="DF456" s="4">
        <v>33.351765</v>
      </c>
      <c r="DG456" s="4">
        <v>11.587987999999999</v>
      </c>
      <c r="DH456" s="4">
        <v>5.69346</v>
      </c>
      <c r="DI456" s="4">
        <v>0.36204500000000001</v>
      </c>
      <c r="DJ456" s="4">
        <v>0.34744799999999998</v>
      </c>
      <c r="DK456" s="4">
        <v>0.170709</v>
      </c>
      <c r="DL456" s="4">
        <v>25</v>
      </c>
      <c r="DM456" s="4">
        <v>31</v>
      </c>
      <c r="DN456" s="4">
        <v>34</v>
      </c>
      <c r="DO456" s="4">
        <v>41</v>
      </c>
      <c r="DP456" s="4">
        <v>45</v>
      </c>
      <c r="DQ456" s="4">
        <v>49</v>
      </c>
      <c r="DR456" s="4">
        <v>59</v>
      </c>
      <c r="DS456" s="4">
        <v>70</v>
      </c>
      <c r="DT456" s="4">
        <v>85</v>
      </c>
      <c r="DU456" s="4">
        <v>106</v>
      </c>
      <c r="DV456" s="4">
        <v>118</v>
      </c>
      <c r="DW456" s="4">
        <v>135.599976</v>
      </c>
      <c r="DX456" s="4">
        <v>180</v>
      </c>
      <c r="DY456" s="4">
        <v>225</v>
      </c>
      <c r="DZ456" s="4">
        <v>350.06005900000002</v>
      </c>
      <c r="EA456" s="4">
        <v>97.782705000000007</v>
      </c>
      <c r="EB456" s="4">
        <v>78.482067999999998</v>
      </c>
      <c r="EC456" s="4">
        <v>208.64744999999999</v>
      </c>
      <c r="ED456" s="4">
        <v>882</v>
      </c>
      <c r="EE456" s="4">
        <v>1882</v>
      </c>
      <c r="EF456" s="4">
        <v>88.913525000000007</v>
      </c>
      <c r="EG456" s="4">
        <v>100</v>
      </c>
      <c r="EH456" s="4">
        <v>52.793995000000002</v>
      </c>
      <c r="EI456" s="4">
        <v>99.791493000000003</v>
      </c>
      <c r="EJ456" s="4">
        <v>140.35476700000001</v>
      </c>
      <c r="EK456" s="4">
        <v>265.29933499999999</v>
      </c>
      <c r="EL456" s="4">
        <v>802</v>
      </c>
      <c r="EM456" s="4">
        <v>902</v>
      </c>
      <c r="EN456" s="4">
        <v>1266</v>
      </c>
      <c r="EO456" s="4">
        <v>2393</v>
      </c>
      <c r="EP456" s="4">
        <v>902</v>
      </c>
      <c r="EQ456" s="4">
        <v>2398</v>
      </c>
      <c r="ER456" s="4">
        <v>45.33925</v>
      </c>
    </row>
    <row r="457" spans="1:148" x14ac:dyDescent="0.2">
      <c r="A457" s="1">
        <v>2025</v>
      </c>
      <c r="B457" s="1" t="str">
        <f t="shared" si="14"/>
        <v>NE</v>
      </c>
      <c r="C457" s="1" t="s">
        <v>1812</v>
      </c>
      <c r="D457" s="1" t="s">
        <v>1812</v>
      </c>
      <c r="E457" s="1">
        <v>26508</v>
      </c>
      <c r="F457" s="1" t="s">
        <v>2144</v>
      </c>
      <c r="G457" s="1" t="s">
        <v>1035</v>
      </c>
      <c r="H457" s="1" t="s">
        <v>1326</v>
      </c>
      <c r="I457" s="1">
        <v>54.03</v>
      </c>
      <c r="J457" s="1">
        <v>54.03</v>
      </c>
      <c r="K457" s="1" t="s">
        <v>1022</v>
      </c>
      <c r="L457" s="1">
        <v>1</v>
      </c>
      <c r="M457" s="3">
        <v>2018</v>
      </c>
      <c r="O457" s="1">
        <v>2</v>
      </c>
      <c r="P457" s="1" t="str">
        <f t="shared" si="15"/>
        <v>Talhadia</v>
      </c>
      <c r="Q457" s="2">
        <v>43143</v>
      </c>
      <c r="R457" s="1" t="s">
        <v>169</v>
      </c>
      <c r="S457" s="1" t="s">
        <v>265</v>
      </c>
      <c r="T457" s="1" t="s">
        <v>2268</v>
      </c>
      <c r="U457" s="1" t="s">
        <v>1022</v>
      </c>
      <c r="V457" s="1" t="s">
        <v>152</v>
      </c>
      <c r="W457" s="2">
        <v>45736</v>
      </c>
      <c r="X457" s="1" t="s">
        <v>1037</v>
      </c>
      <c r="Y457" s="1">
        <v>105.87</v>
      </c>
      <c r="Z457" s="1">
        <v>21.1</v>
      </c>
      <c r="AA457" s="1">
        <v>25</v>
      </c>
      <c r="AB457" s="1">
        <v>14.1</v>
      </c>
      <c r="AC457" s="1">
        <v>6</v>
      </c>
      <c r="AD457" s="3">
        <v>297.51</v>
      </c>
      <c r="AE457" s="3">
        <v>268.15853752921902</v>
      </c>
      <c r="AF457" s="2">
        <v>45736</v>
      </c>
      <c r="AG457" s="1">
        <v>85</v>
      </c>
      <c r="AH457" s="3">
        <v>7.0992470910335399</v>
      </c>
      <c r="AI457" s="4">
        <v>17.932006926430802</v>
      </c>
      <c r="AJ457" s="4">
        <v>15.029166666666701</v>
      </c>
      <c r="AK457" s="4">
        <v>16.9907421116196</v>
      </c>
      <c r="AL457" s="1">
        <v>24</v>
      </c>
      <c r="AM457" s="5">
        <v>894.99294787080601</v>
      </c>
      <c r="AN457" s="4">
        <v>146.98822673013601</v>
      </c>
      <c r="AO457" s="4">
        <v>0.16423394964152699</v>
      </c>
      <c r="AP457" s="1" t="s">
        <v>265</v>
      </c>
      <c r="AQ457" s="1" t="s">
        <v>254</v>
      </c>
      <c r="AR457" s="1" t="s">
        <v>842</v>
      </c>
      <c r="AS457" s="1">
        <v>9</v>
      </c>
      <c r="AT457" s="4">
        <v>0.80549365308372545</v>
      </c>
      <c r="AU457" s="1" t="s">
        <v>1811</v>
      </c>
      <c r="AV457" s="1" t="s">
        <v>1812</v>
      </c>
      <c r="AW457" s="1">
        <v>1007</v>
      </c>
      <c r="AX457" s="1">
        <v>534</v>
      </c>
      <c r="AY457" s="1">
        <v>338</v>
      </c>
      <c r="AZ457" s="1">
        <v>119</v>
      </c>
      <c r="BA457" s="1">
        <v>15</v>
      </c>
      <c r="BB457" s="1">
        <v>1</v>
      </c>
      <c r="BC457" s="1">
        <v>0</v>
      </c>
      <c r="BD457" s="1">
        <v>0</v>
      </c>
      <c r="BE457" s="1">
        <v>0</v>
      </c>
      <c r="BF457" s="1">
        <v>0</v>
      </c>
      <c r="BG457" s="1">
        <v>0</v>
      </c>
      <c r="BH457" s="4">
        <v>1E-3</v>
      </c>
      <c r="BI457" s="4">
        <v>22.533000999999999</v>
      </c>
      <c r="BJ457" s="4">
        <v>13.218297</v>
      </c>
      <c r="BK457" s="4">
        <v>1E-3</v>
      </c>
      <c r="BL457" s="4">
        <v>7.5904410000000002</v>
      </c>
      <c r="BM457" s="4">
        <v>57.614801</v>
      </c>
      <c r="BN457" s="4">
        <v>0.574237</v>
      </c>
      <c r="BO457" s="4">
        <v>11.764499000000001</v>
      </c>
      <c r="BP457" s="4">
        <v>-0.87851100000000004</v>
      </c>
      <c r="BQ457" s="4">
        <v>2.119173</v>
      </c>
      <c r="BR457" s="4">
        <v>6.5436690000000004</v>
      </c>
      <c r="BS457" s="4">
        <v>2.528</v>
      </c>
      <c r="BT457" s="4">
        <v>16.822001</v>
      </c>
      <c r="BU457" s="4">
        <v>13.218297</v>
      </c>
      <c r="BV457" s="4">
        <v>3.9877389999999999</v>
      </c>
      <c r="BW457" s="4">
        <v>-1.1240319999999999</v>
      </c>
      <c r="BX457" s="4">
        <v>5.8421000000000001E-2</v>
      </c>
      <c r="BY457" s="4">
        <v>0.30168299999999998</v>
      </c>
      <c r="BZ457" s="4">
        <v>-0.28187200000000001</v>
      </c>
      <c r="CA457" s="4">
        <v>1.465E-2</v>
      </c>
      <c r="CB457" s="4">
        <v>8.0599999999999995E-3</v>
      </c>
      <c r="CC457" s="4">
        <v>2.93E-2</v>
      </c>
      <c r="CD457" s="4">
        <v>6.5199999999999994E-2</v>
      </c>
      <c r="CE457" s="4">
        <v>1.1095999999999999</v>
      </c>
      <c r="CF457" s="4">
        <v>6.9320000000000004</v>
      </c>
      <c r="CG457" s="4">
        <v>11.681800000000001</v>
      </c>
      <c r="CH457" s="4">
        <v>15.8414</v>
      </c>
      <c r="CI457" s="4">
        <v>16.823</v>
      </c>
      <c r="CJ457" s="4">
        <v>17.7346</v>
      </c>
      <c r="CK457" s="4">
        <v>18.386399999999998</v>
      </c>
      <c r="CL457" s="4">
        <v>18.696498999999999</v>
      </c>
      <c r="CM457" s="4">
        <v>19.020800000000001</v>
      </c>
      <c r="CN457" s="4">
        <v>20.0748</v>
      </c>
      <c r="CO457" s="4">
        <v>20.8367</v>
      </c>
      <c r="CP457" s="4">
        <v>21.970220999999999</v>
      </c>
      <c r="CQ457" s="4">
        <v>0.58660100000000004</v>
      </c>
      <c r="CR457" s="4">
        <v>15.240766000000001</v>
      </c>
      <c r="CS457" s="4">
        <v>16.144742999999998</v>
      </c>
      <c r="CT457" s="1">
        <v>24</v>
      </c>
      <c r="CU457" s="1">
        <v>473</v>
      </c>
      <c r="CV457" s="4">
        <v>112.819265</v>
      </c>
      <c r="CW457" s="4">
        <v>38.253968</v>
      </c>
      <c r="CX457" s="4">
        <v>70.033867999999998</v>
      </c>
      <c r="CY457" s="4">
        <v>4904.7426500000001</v>
      </c>
      <c r="CZ457" s="4">
        <v>0.62076200000000004</v>
      </c>
      <c r="DA457" s="4">
        <v>102</v>
      </c>
      <c r="DB457" s="4">
        <v>1.157824</v>
      </c>
      <c r="DC457" s="4">
        <v>4.721533</v>
      </c>
      <c r="DD457" s="4">
        <v>56.187396999999997</v>
      </c>
      <c r="DE457" s="4">
        <v>112.819265</v>
      </c>
      <c r="DF457" s="4">
        <v>37.963926000000001</v>
      </c>
      <c r="DG457" s="4">
        <v>8.3891969999999993</v>
      </c>
      <c r="DH457" s="4">
        <v>3.116409</v>
      </c>
      <c r="DI457" s="4">
        <v>0.33650200000000002</v>
      </c>
      <c r="DJ457" s="4">
        <v>0.22097800000000001</v>
      </c>
      <c r="DK457" s="4">
        <v>8.2088999999999995E-2</v>
      </c>
      <c r="DL457" s="4">
        <v>29</v>
      </c>
      <c r="DM457" s="4">
        <v>34</v>
      </c>
      <c r="DN457" s="4">
        <v>40</v>
      </c>
      <c r="DO457" s="4">
        <v>48</v>
      </c>
      <c r="DP457" s="4">
        <v>55</v>
      </c>
      <c r="DQ457" s="4">
        <v>62.799987999999999</v>
      </c>
      <c r="DR457" s="4">
        <v>77</v>
      </c>
      <c r="DS457" s="4">
        <v>97</v>
      </c>
      <c r="DT457" s="4">
        <v>117</v>
      </c>
      <c r="DU457" s="4">
        <v>141</v>
      </c>
      <c r="DV457" s="4">
        <v>157</v>
      </c>
      <c r="DW457" s="4">
        <v>172</v>
      </c>
      <c r="DX457" s="4">
        <v>210.400024</v>
      </c>
      <c r="DY457" s="4">
        <v>238</v>
      </c>
      <c r="DZ457" s="4">
        <v>312.64001500000001</v>
      </c>
      <c r="EA457" s="4">
        <v>97.940074999999993</v>
      </c>
      <c r="EB457" s="4">
        <v>78.351539000000002</v>
      </c>
      <c r="EC457" s="4">
        <v>147.75280900000001</v>
      </c>
      <c r="ED457" s="4">
        <v>523</v>
      </c>
      <c r="EE457" s="4">
        <v>789</v>
      </c>
      <c r="EF457" s="4">
        <v>96.441947999999996</v>
      </c>
      <c r="EG457" s="4">
        <v>100</v>
      </c>
      <c r="EH457" s="4">
        <v>67.527309000000002</v>
      </c>
      <c r="EI457" s="4">
        <v>99.801389999999998</v>
      </c>
      <c r="EJ457" s="4">
        <v>127.340824</v>
      </c>
      <c r="EK457" s="4">
        <v>188.202247</v>
      </c>
      <c r="EL457" s="4">
        <v>515</v>
      </c>
      <c r="EM457" s="4">
        <v>534</v>
      </c>
      <c r="EN457" s="4">
        <v>680</v>
      </c>
      <c r="EO457" s="4">
        <v>1005</v>
      </c>
      <c r="EP457" s="4">
        <v>534</v>
      </c>
      <c r="EQ457" s="4">
        <v>1007</v>
      </c>
      <c r="ER457" s="4">
        <v>59.160904000000002</v>
      </c>
    </row>
    <row r="458" spans="1:148" x14ac:dyDescent="0.2">
      <c r="A458" s="1">
        <v>2025</v>
      </c>
      <c r="B458" s="1" t="str">
        <f t="shared" si="14"/>
        <v>NE</v>
      </c>
      <c r="C458" s="1" t="s">
        <v>1814</v>
      </c>
      <c r="D458" s="1" t="s">
        <v>1814</v>
      </c>
      <c r="E458" s="1">
        <v>31055</v>
      </c>
      <c r="F458" s="1" t="s">
        <v>2144</v>
      </c>
      <c r="G458" s="1" t="s">
        <v>1035</v>
      </c>
      <c r="H458" s="1" t="s">
        <v>1326</v>
      </c>
      <c r="I458" s="1">
        <v>54.03</v>
      </c>
      <c r="J458" s="1">
        <v>54.03</v>
      </c>
      <c r="K458" s="1" t="s">
        <v>1022</v>
      </c>
      <c r="L458" s="1">
        <v>1</v>
      </c>
      <c r="M458" s="3">
        <v>2018</v>
      </c>
      <c r="O458" s="1">
        <v>2</v>
      </c>
      <c r="P458" s="1" t="str">
        <f t="shared" si="15"/>
        <v>Talhadia</v>
      </c>
      <c r="Q458" s="2">
        <v>43143</v>
      </c>
      <c r="R458" s="1" t="s">
        <v>169</v>
      </c>
      <c r="S458" s="1" t="s">
        <v>265</v>
      </c>
      <c r="T458" s="1" t="s">
        <v>2268</v>
      </c>
      <c r="U458" s="1" t="s">
        <v>1022</v>
      </c>
      <c r="V458" s="1" t="s">
        <v>152</v>
      </c>
      <c r="W458" s="2">
        <v>44818</v>
      </c>
      <c r="X458" s="1" t="s">
        <v>1037</v>
      </c>
      <c r="Y458" s="1">
        <v>105.87</v>
      </c>
      <c r="Z458" s="1">
        <v>18.899999999999999</v>
      </c>
      <c r="AA458" s="1">
        <v>11</v>
      </c>
      <c r="AB458" s="1">
        <v>14.7</v>
      </c>
      <c r="AC458" s="1">
        <v>8</v>
      </c>
      <c r="AD458" s="3">
        <v>277.83</v>
      </c>
      <c r="AE458" s="3">
        <v>270.071334749811</v>
      </c>
      <c r="AF458" s="2">
        <v>45736</v>
      </c>
      <c r="AG458" s="1">
        <v>85</v>
      </c>
      <c r="AH458" s="3">
        <v>7.0992470910335399</v>
      </c>
      <c r="AI458" s="4">
        <v>31.563539548161899</v>
      </c>
      <c r="AJ458" s="4">
        <v>18.603846153846199</v>
      </c>
      <c r="AK458" s="4">
        <v>28.112299455487801</v>
      </c>
      <c r="AL458" s="1">
        <v>26</v>
      </c>
      <c r="AM458" s="5">
        <v>962.70861267397902</v>
      </c>
      <c r="AN458" s="4">
        <v>434.92924928147397</v>
      </c>
      <c r="AO458" s="4">
        <v>0.45177662644300298</v>
      </c>
      <c r="AP458" s="1" t="s">
        <v>265</v>
      </c>
      <c r="AQ458" s="1" t="s">
        <v>254</v>
      </c>
      <c r="AR458" s="1" t="s">
        <v>842</v>
      </c>
      <c r="AS458" s="1">
        <v>9</v>
      </c>
      <c r="AT458" s="4">
        <v>0.86643775140658119</v>
      </c>
      <c r="AU458" s="1" t="s">
        <v>1813</v>
      </c>
      <c r="AV458" s="1" t="s">
        <v>1814</v>
      </c>
      <c r="AW458" s="1">
        <v>1135</v>
      </c>
      <c r="AX458" s="1">
        <v>583</v>
      </c>
      <c r="AY458" s="1">
        <v>378</v>
      </c>
      <c r="AZ458" s="1">
        <v>143</v>
      </c>
      <c r="BA458" s="1">
        <v>30</v>
      </c>
      <c r="BB458" s="1">
        <v>1</v>
      </c>
      <c r="BC458" s="1">
        <v>0</v>
      </c>
      <c r="BD458" s="1">
        <v>0</v>
      </c>
      <c r="BE458" s="1">
        <v>0</v>
      </c>
      <c r="BF458" s="1">
        <v>0</v>
      </c>
      <c r="BG458" s="1">
        <v>0</v>
      </c>
      <c r="BH458" s="4">
        <v>0</v>
      </c>
      <c r="BI458" s="4">
        <v>39.938000000000002</v>
      </c>
      <c r="BJ458" s="4">
        <v>22.118950999999999</v>
      </c>
      <c r="BK458" s="4">
        <v>0</v>
      </c>
      <c r="BL458" s="4">
        <v>13.806384</v>
      </c>
      <c r="BM458" s="4">
        <v>190.616231</v>
      </c>
      <c r="BN458" s="4">
        <v>0.62418799999999997</v>
      </c>
      <c r="BO458" s="4">
        <v>24.16</v>
      </c>
      <c r="BP458" s="4">
        <v>-0.61756999999999995</v>
      </c>
      <c r="BQ458" s="4">
        <v>1.8175699999999999</v>
      </c>
      <c r="BR458" s="4">
        <v>12.004299</v>
      </c>
      <c r="BS458" s="4">
        <v>8.7190019999999997</v>
      </c>
      <c r="BT458" s="4">
        <v>26.327998999999998</v>
      </c>
      <c r="BU458" s="4">
        <v>22.118950999999999</v>
      </c>
      <c r="BV458" s="4">
        <v>7.5696640000000004</v>
      </c>
      <c r="BW458" s="4">
        <v>-1.5144420000000001</v>
      </c>
      <c r="BX458" s="4">
        <v>-0.45256200000000002</v>
      </c>
      <c r="BY458" s="4">
        <v>0.342225</v>
      </c>
      <c r="BZ458" s="4">
        <v>-0.20006699999999999</v>
      </c>
      <c r="CA458" s="4">
        <v>-5.9785999999999999E-2</v>
      </c>
      <c r="CB458" s="4">
        <v>4.0000000000000001E-3</v>
      </c>
      <c r="CC458" s="4">
        <v>2.07E-2</v>
      </c>
      <c r="CD458" s="4">
        <v>4.8000000000000001E-2</v>
      </c>
      <c r="CE458" s="4">
        <v>0.36099999999999999</v>
      </c>
      <c r="CF458" s="4">
        <v>10.125</v>
      </c>
      <c r="CG458" s="4">
        <v>16.284400999999999</v>
      </c>
      <c r="CH458" s="4">
        <v>22.216801</v>
      </c>
      <c r="CI458" s="4">
        <v>26.327998999999998</v>
      </c>
      <c r="CJ458" s="4">
        <v>31.883800999999998</v>
      </c>
      <c r="CK458" s="4">
        <v>33.912598000000003</v>
      </c>
      <c r="CL458" s="4">
        <v>34.284999999999997</v>
      </c>
      <c r="CM458" s="4">
        <v>34.855400000000003</v>
      </c>
      <c r="CN458" s="4">
        <v>35.806399999999996</v>
      </c>
      <c r="CO458" s="4">
        <v>36.365101000000003</v>
      </c>
      <c r="CP458" s="4">
        <v>37.900959</v>
      </c>
      <c r="CQ458" s="4">
        <v>0.55383199999999999</v>
      </c>
      <c r="CR458" s="4">
        <v>26.070985</v>
      </c>
      <c r="CS458" s="4">
        <v>27.950310999999999</v>
      </c>
      <c r="CT458" s="1">
        <v>23</v>
      </c>
      <c r="CU458" s="1">
        <v>601</v>
      </c>
      <c r="CV458" s="4">
        <v>115.35682799999999</v>
      </c>
      <c r="CW458" s="4">
        <v>32.174602999999998</v>
      </c>
      <c r="CX458" s="4">
        <v>90.656718999999995</v>
      </c>
      <c r="CY458" s="4">
        <v>8218.6406389999993</v>
      </c>
      <c r="CZ458" s="4">
        <v>0.78588100000000005</v>
      </c>
      <c r="DA458" s="4">
        <v>101</v>
      </c>
      <c r="DB458" s="4">
        <v>2.0894349999999999</v>
      </c>
      <c r="DC458" s="4">
        <v>8.8196750000000002</v>
      </c>
      <c r="DD458" s="4">
        <v>65.596468000000002</v>
      </c>
      <c r="DE458" s="4">
        <v>115.35682799999999</v>
      </c>
      <c r="DF458" s="4">
        <v>44.761730999999997</v>
      </c>
      <c r="DG458" s="4">
        <v>14.897703999999999</v>
      </c>
      <c r="DH458" s="4">
        <v>7.6434740000000003</v>
      </c>
      <c r="DI458" s="4">
        <v>0.38802799999999998</v>
      </c>
      <c r="DJ458" s="4">
        <v>0.33282200000000001</v>
      </c>
      <c r="DK458" s="4">
        <v>0.17075899999999999</v>
      </c>
      <c r="DL458" s="4">
        <v>26</v>
      </c>
      <c r="DM458" s="4">
        <v>32</v>
      </c>
      <c r="DN458" s="4">
        <v>36</v>
      </c>
      <c r="DO458" s="4">
        <v>44.800002999999997</v>
      </c>
      <c r="DP458" s="4">
        <v>50</v>
      </c>
      <c r="DQ458" s="4">
        <v>56</v>
      </c>
      <c r="DR458" s="4">
        <v>71</v>
      </c>
      <c r="DS458" s="4">
        <v>89</v>
      </c>
      <c r="DT458" s="4">
        <v>112</v>
      </c>
      <c r="DU458" s="4">
        <v>138.79998800000001</v>
      </c>
      <c r="DV458" s="4">
        <v>151</v>
      </c>
      <c r="DW458" s="4">
        <v>168</v>
      </c>
      <c r="DX458" s="4">
        <v>215.599976</v>
      </c>
      <c r="DY458" s="4">
        <v>291</v>
      </c>
      <c r="DZ458" s="4">
        <v>492.62023900000003</v>
      </c>
      <c r="EA458" s="4">
        <v>94.511149000000003</v>
      </c>
      <c r="EB458" s="4">
        <v>77.356827999999993</v>
      </c>
      <c r="EC458" s="4">
        <v>150.60034300000001</v>
      </c>
      <c r="ED458" s="4">
        <v>551</v>
      </c>
      <c r="EE458" s="4">
        <v>878</v>
      </c>
      <c r="EF458" s="4">
        <v>85.420240000000007</v>
      </c>
      <c r="EG458" s="4">
        <v>100</v>
      </c>
      <c r="EH458" s="4">
        <v>60.440528999999998</v>
      </c>
      <c r="EI458" s="4">
        <v>99.911894000000004</v>
      </c>
      <c r="EJ458" s="4">
        <v>117.667238</v>
      </c>
      <c r="EK458" s="4">
        <v>194.51114899999999</v>
      </c>
      <c r="EL458" s="4">
        <v>498</v>
      </c>
      <c r="EM458" s="4">
        <v>583</v>
      </c>
      <c r="EN458" s="4">
        <v>686</v>
      </c>
      <c r="EO458" s="4">
        <v>1134</v>
      </c>
      <c r="EP458" s="4">
        <v>583</v>
      </c>
      <c r="EQ458" s="4">
        <v>1135</v>
      </c>
      <c r="ER458" s="4">
        <v>57.336914999999998</v>
      </c>
    </row>
    <row r="459" spans="1:148" x14ac:dyDescent="0.2">
      <c r="A459" s="1">
        <v>2025</v>
      </c>
      <c r="B459" s="1" t="str">
        <f t="shared" si="14"/>
        <v>NE</v>
      </c>
      <c r="C459" s="1" t="s">
        <v>1816</v>
      </c>
      <c r="D459" s="1" t="s">
        <v>1816</v>
      </c>
      <c r="E459" s="1">
        <v>26617</v>
      </c>
      <c r="F459" s="1" t="s">
        <v>2144</v>
      </c>
      <c r="G459" s="1" t="s">
        <v>1035</v>
      </c>
      <c r="H459" s="1" t="s">
        <v>1983</v>
      </c>
      <c r="I459" s="1">
        <v>51.84</v>
      </c>
      <c r="J459" s="1">
        <v>51.84</v>
      </c>
      <c r="K459" s="1" t="s">
        <v>1022</v>
      </c>
      <c r="L459" s="1">
        <v>1</v>
      </c>
      <c r="M459" s="3">
        <v>2018</v>
      </c>
      <c r="O459" s="1">
        <v>2</v>
      </c>
      <c r="P459" s="1" t="str">
        <f t="shared" si="15"/>
        <v>Talhadia</v>
      </c>
      <c r="Q459" s="2">
        <v>43144</v>
      </c>
      <c r="R459" s="1" t="s">
        <v>169</v>
      </c>
      <c r="S459" s="1" t="s">
        <v>619</v>
      </c>
      <c r="T459" s="1" t="s">
        <v>2268</v>
      </c>
      <c r="U459" s="1" t="s">
        <v>1022</v>
      </c>
      <c r="V459" s="1" t="s">
        <v>152</v>
      </c>
      <c r="W459" s="2">
        <v>45736</v>
      </c>
      <c r="X459" s="1" t="s">
        <v>1037</v>
      </c>
      <c r="Y459" s="1">
        <v>105.87</v>
      </c>
      <c r="Z459" s="1">
        <v>19.600000000000001</v>
      </c>
      <c r="AA459" s="1">
        <v>8</v>
      </c>
      <c r="AB459" s="1">
        <v>15.7</v>
      </c>
      <c r="AC459" s="1">
        <v>2</v>
      </c>
      <c r="AD459" s="3">
        <v>307.72000000000003</v>
      </c>
      <c r="AE459" s="3">
        <v>304.53965969982102</v>
      </c>
      <c r="AF459" s="2">
        <v>45736</v>
      </c>
      <c r="AG459" s="1">
        <v>85</v>
      </c>
      <c r="AH459" s="3">
        <v>7.0965092402464096</v>
      </c>
      <c r="AI459" s="4">
        <v>28.1574103818179</v>
      </c>
      <c r="AJ459" s="4">
        <v>17.390625</v>
      </c>
      <c r="AK459" s="4">
        <v>25.825041807604698</v>
      </c>
      <c r="AL459" s="1">
        <v>32</v>
      </c>
      <c r="AM459" s="5">
        <v>1050.76626248095</v>
      </c>
      <c r="AN459" s="4">
        <v>341.107686922374</v>
      </c>
      <c r="AO459" s="4">
        <v>0.32462755905104002</v>
      </c>
      <c r="AP459" s="1" t="s">
        <v>619</v>
      </c>
      <c r="AQ459" s="1" t="s">
        <v>254</v>
      </c>
      <c r="AR459" s="1" t="s">
        <v>842</v>
      </c>
      <c r="AS459" s="1">
        <v>9</v>
      </c>
      <c r="AT459" s="4">
        <v>0.94568963623285496</v>
      </c>
      <c r="AU459" s="1" t="s">
        <v>1815</v>
      </c>
      <c r="AV459" s="1" t="s">
        <v>1816</v>
      </c>
      <c r="AW459" s="1">
        <v>1156</v>
      </c>
      <c r="AX459" s="1">
        <v>589</v>
      </c>
      <c r="AY459" s="1">
        <v>392</v>
      </c>
      <c r="AZ459" s="1">
        <v>137</v>
      </c>
      <c r="BA459" s="1">
        <v>32</v>
      </c>
      <c r="BB459" s="1">
        <v>6</v>
      </c>
      <c r="BC459" s="1">
        <v>0</v>
      </c>
      <c r="BD459" s="1">
        <v>0</v>
      </c>
      <c r="BE459" s="1">
        <v>0</v>
      </c>
      <c r="BF459" s="1">
        <v>0</v>
      </c>
      <c r="BG459" s="1">
        <v>0</v>
      </c>
      <c r="BH459" s="4">
        <v>0</v>
      </c>
      <c r="BI459" s="4">
        <v>32.902000000000001</v>
      </c>
      <c r="BJ459" s="4">
        <v>19.235607999999999</v>
      </c>
      <c r="BK459" s="4">
        <v>0</v>
      </c>
      <c r="BL459" s="4">
        <v>11.180763000000001</v>
      </c>
      <c r="BM459" s="4">
        <v>125.009471</v>
      </c>
      <c r="BN459" s="4">
        <v>0.58125300000000002</v>
      </c>
      <c r="BO459" s="4">
        <v>18.708749000000001</v>
      </c>
      <c r="BP459" s="4">
        <v>-0.66895700000000002</v>
      </c>
      <c r="BQ459" s="4">
        <v>1.971708</v>
      </c>
      <c r="BR459" s="4">
        <v>9.646706</v>
      </c>
      <c r="BS459" s="4">
        <v>7.027501</v>
      </c>
      <c r="BT459" s="4">
        <v>22.696999000000002</v>
      </c>
      <c r="BU459" s="4">
        <v>19.235607999999999</v>
      </c>
      <c r="BV459" s="4">
        <v>6.1607789999999998</v>
      </c>
      <c r="BW459" s="4">
        <v>-1.308155</v>
      </c>
      <c r="BX459" s="4">
        <v>-0.16136900000000001</v>
      </c>
      <c r="BY459" s="4">
        <v>0.32028000000000001</v>
      </c>
      <c r="BZ459" s="4">
        <v>-0.212336</v>
      </c>
      <c r="CA459" s="4">
        <v>-2.6193000000000001E-2</v>
      </c>
      <c r="CB459" s="4">
        <v>2E-3</v>
      </c>
      <c r="CC459" s="4">
        <v>1.0999999999999999E-2</v>
      </c>
      <c r="CD459" s="4">
        <v>2.4500000000000001E-2</v>
      </c>
      <c r="CE459" s="4">
        <v>6.2610000000000001</v>
      </c>
      <c r="CF459" s="4">
        <v>10.307</v>
      </c>
      <c r="CG459" s="4">
        <v>14.397500000000001</v>
      </c>
      <c r="CH459" s="4">
        <v>20.040001</v>
      </c>
      <c r="CI459" s="4">
        <v>22.696999000000002</v>
      </c>
      <c r="CJ459" s="4">
        <v>26.525998999999999</v>
      </c>
      <c r="CK459" s="4">
        <v>28.421500999999999</v>
      </c>
      <c r="CL459" s="4">
        <v>29.015749</v>
      </c>
      <c r="CM459" s="4">
        <v>29.541</v>
      </c>
      <c r="CN459" s="4">
        <v>30.48</v>
      </c>
      <c r="CO459" s="4">
        <v>31.149249999999999</v>
      </c>
      <c r="CP459" s="4">
        <v>32.127850000000002</v>
      </c>
      <c r="CQ459" s="4">
        <v>0.58463299999999996</v>
      </c>
      <c r="CR459" s="4">
        <v>22.246572</v>
      </c>
      <c r="CS459" s="4">
        <v>23.746637</v>
      </c>
      <c r="CT459" s="1">
        <v>23</v>
      </c>
      <c r="CU459" s="1">
        <v>710</v>
      </c>
      <c r="CV459" s="4">
        <v>128.950692</v>
      </c>
      <c r="CW459" s="4">
        <v>33.904761999999998</v>
      </c>
      <c r="CX459" s="4">
        <v>102.937934</v>
      </c>
      <c r="CY459" s="4">
        <v>10596.218349999999</v>
      </c>
      <c r="CZ459" s="4">
        <v>0.79827400000000004</v>
      </c>
      <c r="DA459" s="4">
        <v>117.25</v>
      </c>
      <c r="DB459" s="4">
        <v>1.936126</v>
      </c>
      <c r="DC459" s="4">
        <v>8.0147290000000009</v>
      </c>
      <c r="DD459" s="4">
        <v>75.906986000000003</v>
      </c>
      <c r="DE459" s="4">
        <v>128.950692</v>
      </c>
      <c r="DF459" s="4">
        <v>51.612546999999999</v>
      </c>
      <c r="DG459" s="4">
        <v>16.804445000000001</v>
      </c>
      <c r="DH459" s="4">
        <v>8.0392860000000006</v>
      </c>
      <c r="DI459" s="4">
        <v>0.40024999999999999</v>
      </c>
      <c r="DJ459" s="4">
        <v>0.32558799999999999</v>
      </c>
      <c r="DK459" s="4">
        <v>0.15576200000000001</v>
      </c>
      <c r="DL459" s="4">
        <v>28</v>
      </c>
      <c r="DM459" s="4">
        <v>32</v>
      </c>
      <c r="DN459" s="4">
        <v>37</v>
      </c>
      <c r="DO459" s="4">
        <v>48</v>
      </c>
      <c r="DP459" s="4">
        <v>54</v>
      </c>
      <c r="DQ459" s="4">
        <v>60.5</v>
      </c>
      <c r="DR459" s="4">
        <v>75</v>
      </c>
      <c r="DS459" s="4">
        <v>97.5</v>
      </c>
      <c r="DT459" s="4">
        <v>126</v>
      </c>
      <c r="DU459" s="4">
        <v>156</v>
      </c>
      <c r="DV459" s="4">
        <v>171.25</v>
      </c>
      <c r="DW459" s="4">
        <v>194</v>
      </c>
      <c r="DX459" s="4">
        <v>252</v>
      </c>
      <c r="DY459" s="4">
        <v>325.25</v>
      </c>
      <c r="DZ459" s="4">
        <v>531.44995100000006</v>
      </c>
      <c r="EA459" s="4">
        <v>95.755517999999995</v>
      </c>
      <c r="EB459" s="4">
        <v>82.352941000000001</v>
      </c>
      <c r="EC459" s="4">
        <v>161.62988100000001</v>
      </c>
      <c r="ED459" s="4">
        <v>564</v>
      </c>
      <c r="EE459" s="4">
        <v>952</v>
      </c>
      <c r="EF459" s="4">
        <v>89.134125999999995</v>
      </c>
      <c r="EG459" s="4">
        <v>100</v>
      </c>
      <c r="EH459" s="4">
        <v>61.851210999999999</v>
      </c>
      <c r="EI459" s="4">
        <v>99.826989999999995</v>
      </c>
      <c r="EJ459" s="4">
        <v>121.39219</v>
      </c>
      <c r="EK459" s="4">
        <v>195.925297</v>
      </c>
      <c r="EL459" s="4">
        <v>525</v>
      </c>
      <c r="EM459" s="4">
        <v>589</v>
      </c>
      <c r="EN459" s="4">
        <v>715</v>
      </c>
      <c r="EO459" s="4">
        <v>1154</v>
      </c>
      <c r="EP459" s="4">
        <v>589</v>
      </c>
      <c r="EQ459" s="4">
        <v>1156</v>
      </c>
      <c r="ER459" s="4">
        <v>58.865934000000003</v>
      </c>
    </row>
    <row r="460" spans="1:148" x14ac:dyDescent="0.2">
      <c r="A460" s="1">
        <v>2025</v>
      </c>
      <c r="B460" s="1" t="str">
        <f t="shared" si="14"/>
        <v>NE</v>
      </c>
      <c r="C460" s="1" t="s">
        <v>1818</v>
      </c>
      <c r="D460" s="1" t="s">
        <v>1818</v>
      </c>
      <c r="E460" s="1">
        <v>27977</v>
      </c>
      <c r="F460" s="1" t="s">
        <v>2245</v>
      </c>
      <c r="G460" s="1" t="s">
        <v>1392</v>
      </c>
      <c r="H460" s="1" t="s">
        <v>1984</v>
      </c>
      <c r="I460" s="1">
        <v>49</v>
      </c>
      <c r="J460" s="1">
        <v>49</v>
      </c>
      <c r="K460" s="1" t="s">
        <v>1022</v>
      </c>
      <c r="L460" s="1">
        <v>1</v>
      </c>
      <c r="M460" s="3">
        <v>2020</v>
      </c>
      <c r="O460" s="1">
        <v>2</v>
      </c>
      <c r="P460" s="1" t="str">
        <f t="shared" si="15"/>
        <v>Talhadia</v>
      </c>
      <c r="Q460" s="2">
        <v>43955</v>
      </c>
      <c r="R460" s="1" t="s">
        <v>169</v>
      </c>
      <c r="S460" s="1" t="s">
        <v>294</v>
      </c>
      <c r="T460" s="1" t="s">
        <v>2268</v>
      </c>
      <c r="U460" s="1" t="s">
        <v>1022</v>
      </c>
      <c r="V460" s="1" t="s">
        <v>152</v>
      </c>
      <c r="W460" s="2">
        <v>44819</v>
      </c>
      <c r="X460" s="1" t="s">
        <v>1394</v>
      </c>
      <c r="Y460" s="1">
        <v>105.00999999999999</v>
      </c>
      <c r="Z460" s="1">
        <v>20</v>
      </c>
      <c r="AA460" s="1">
        <v>6</v>
      </c>
      <c r="AB460" s="1">
        <v>15</v>
      </c>
      <c r="AC460" s="1">
        <v>1</v>
      </c>
      <c r="AD460" s="3">
        <v>300</v>
      </c>
      <c r="AE460" s="3">
        <v>298.31112745996001</v>
      </c>
      <c r="AF460" s="2">
        <v>45734</v>
      </c>
      <c r="AG460" s="1">
        <v>58</v>
      </c>
      <c r="AH460" s="3">
        <v>4.87063655030801</v>
      </c>
      <c r="AI460" s="4">
        <v>27.601235090903799</v>
      </c>
      <c r="AJ460" s="4">
        <v>19.1928571428571</v>
      </c>
      <c r="AK460" s="4">
        <v>15.0515166670549</v>
      </c>
      <c r="AL460" s="1">
        <v>14</v>
      </c>
      <c r="AM460" s="5">
        <v>469.308675114008</v>
      </c>
      <c r="AN460" s="4">
        <v>211.160687699752</v>
      </c>
      <c r="AO460" s="4">
        <v>0.44993987730666801</v>
      </c>
      <c r="AP460" s="1" t="s">
        <v>294</v>
      </c>
      <c r="AQ460" s="1" t="s">
        <v>254</v>
      </c>
      <c r="AR460" s="1" t="s">
        <v>842</v>
      </c>
      <c r="AS460" s="1">
        <v>9</v>
      </c>
      <c r="AT460" s="4">
        <v>0.42237780760260718</v>
      </c>
      <c r="AU460" s="1" t="s">
        <v>1817</v>
      </c>
      <c r="AV460" s="1" t="s">
        <v>1818</v>
      </c>
      <c r="AW460" s="1">
        <v>1367</v>
      </c>
      <c r="AX460" s="1">
        <v>784</v>
      </c>
      <c r="AY460" s="1">
        <v>393</v>
      </c>
      <c r="AZ460" s="1">
        <v>159</v>
      </c>
      <c r="BA460" s="1">
        <v>28</v>
      </c>
      <c r="BB460" s="1">
        <v>3</v>
      </c>
      <c r="BC460" s="1">
        <v>0</v>
      </c>
      <c r="BD460" s="1">
        <v>0</v>
      </c>
      <c r="BE460" s="1">
        <v>0</v>
      </c>
      <c r="BF460" s="1">
        <v>0</v>
      </c>
      <c r="BG460" s="1">
        <v>0</v>
      </c>
      <c r="BH460" s="4">
        <v>0</v>
      </c>
      <c r="BI460" s="4">
        <v>35.915000999999997</v>
      </c>
      <c r="BJ460" s="4">
        <v>17.424582000000001</v>
      </c>
      <c r="BK460" s="4">
        <v>0</v>
      </c>
      <c r="BL460" s="4">
        <v>11.787419999999999</v>
      </c>
      <c r="BM460" s="4">
        <v>138.94327200000001</v>
      </c>
      <c r="BN460" s="4">
        <v>0.67648200000000003</v>
      </c>
      <c r="BO460" s="4">
        <v>21.889001</v>
      </c>
      <c r="BP460" s="4">
        <v>-0.37318299999999999</v>
      </c>
      <c r="BQ460" s="4">
        <v>1.681913</v>
      </c>
      <c r="BR460" s="4">
        <v>10.392485000000001</v>
      </c>
      <c r="BS460" s="4">
        <v>8.6060009999999991</v>
      </c>
      <c r="BT460" s="4">
        <v>21.309999000000001</v>
      </c>
      <c r="BU460" s="4">
        <v>17.424582000000001</v>
      </c>
      <c r="BV460" s="4">
        <v>6.6382770000000004</v>
      </c>
      <c r="BW460" s="4">
        <v>-0.66604300000000005</v>
      </c>
      <c r="BX460" s="4">
        <v>-0.32993400000000001</v>
      </c>
      <c r="BY460" s="4">
        <v>0.38097199999999998</v>
      </c>
      <c r="BZ460" s="4">
        <v>-0.10033400000000001</v>
      </c>
      <c r="CA460" s="4">
        <v>-4.9702000000000003E-2</v>
      </c>
      <c r="CB460" s="4">
        <v>2E-3</v>
      </c>
      <c r="CC460" s="4">
        <v>1.03E-2</v>
      </c>
      <c r="CD460" s="4">
        <v>2.1999999999999999E-2</v>
      </c>
      <c r="CE460" s="4">
        <v>5.2999999999999999E-2</v>
      </c>
      <c r="CF460" s="4">
        <v>5.0819999999999999</v>
      </c>
      <c r="CG460" s="4">
        <v>10.5694</v>
      </c>
      <c r="CH460" s="4">
        <v>16.511399999999998</v>
      </c>
      <c r="CI460" s="4">
        <v>21.309999000000001</v>
      </c>
      <c r="CJ460" s="4">
        <v>23.745799999999999</v>
      </c>
      <c r="CK460" s="4">
        <v>25.778199999999998</v>
      </c>
      <c r="CL460" s="4">
        <v>26.971001000000001</v>
      </c>
      <c r="CM460" s="4">
        <v>28.673801000000001</v>
      </c>
      <c r="CN460" s="4">
        <v>31.2882</v>
      </c>
      <c r="CO460" s="4">
        <v>32.679298000000003</v>
      </c>
      <c r="CP460" s="4">
        <v>34.219481999999999</v>
      </c>
      <c r="CQ460" s="4">
        <v>0.48516199999999998</v>
      </c>
      <c r="CR460" s="4">
        <v>21.034678</v>
      </c>
      <c r="CS460" s="4">
        <v>22.854403000000001</v>
      </c>
      <c r="CT460" s="1">
        <v>19</v>
      </c>
      <c r="CU460" s="1">
        <v>606</v>
      </c>
      <c r="CV460" s="4">
        <v>143.89539099999999</v>
      </c>
      <c r="CW460" s="4">
        <v>37.634920999999999</v>
      </c>
      <c r="CX460" s="4">
        <v>111.225853</v>
      </c>
      <c r="CY460" s="4">
        <v>12371.19037</v>
      </c>
      <c r="CZ460" s="4">
        <v>0.77296299999999996</v>
      </c>
      <c r="DA460" s="4">
        <v>130</v>
      </c>
      <c r="DB460" s="4">
        <v>1.5426470000000001</v>
      </c>
      <c r="DC460" s="4">
        <v>5.2075709999999997</v>
      </c>
      <c r="DD460" s="4">
        <v>83.674930000000003</v>
      </c>
      <c r="DE460" s="4">
        <v>143.89539099999999</v>
      </c>
      <c r="DF460" s="4">
        <v>57.287968999999997</v>
      </c>
      <c r="DG460" s="4">
        <v>17.928742</v>
      </c>
      <c r="DH460" s="4">
        <v>8.7375430000000005</v>
      </c>
      <c r="DI460" s="4">
        <v>0.39812199999999998</v>
      </c>
      <c r="DJ460" s="4">
        <v>0.31295800000000001</v>
      </c>
      <c r="DK460" s="4">
        <v>0.15251999999999999</v>
      </c>
      <c r="DL460" s="4">
        <v>28</v>
      </c>
      <c r="DM460" s="4">
        <v>35</v>
      </c>
      <c r="DN460" s="4">
        <v>41</v>
      </c>
      <c r="DO460" s="4">
        <v>53</v>
      </c>
      <c r="DP460" s="4">
        <v>60</v>
      </c>
      <c r="DQ460" s="4">
        <v>68</v>
      </c>
      <c r="DR460" s="4">
        <v>89</v>
      </c>
      <c r="DS460" s="4">
        <v>114</v>
      </c>
      <c r="DT460" s="4">
        <v>139</v>
      </c>
      <c r="DU460" s="4">
        <v>171</v>
      </c>
      <c r="DV460" s="4">
        <v>190</v>
      </c>
      <c r="DW460" s="4">
        <v>213.800049</v>
      </c>
      <c r="DX460" s="4">
        <v>284.800049</v>
      </c>
      <c r="DY460" s="4">
        <v>421.09985399999999</v>
      </c>
      <c r="DZ460" s="4">
        <v>501.69982900000002</v>
      </c>
      <c r="EA460" s="4">
        <v>90.816327000000001</v>
      </c>
      <c r="EB460" s="4">
        <v>76.079004999999995</v>
      </c>
      <c r="EC460" s="4">
        <v>132.65306100000001</v>
      </c>
      <c r="ED460" s="4">
        <v>712</v>
      </c>
      <c r="EE460" s="4">
        <v>1040</v>
      </c>
      <c r="EF460" s="4">
        <v>77.295918</v>
      </c>
      <c r="EG460" s="4">
        <v>99.872449000000003</v>
      </c>
      <c r="EH460" s="4">
        <v>58.595464999999997</v>
      </c>
      <c r="EI460" s="4">
        <v>99.853694000000004</v>
      </c>
      <c r="EJ460" s="4">
        <v>102.168367</v>
      </c>
      <c r="EK460" s="4">
        <v>174.10714300000001</v>
      </c>
      <c r="EL460" s="4">
        <v>606</v>
      </c>
      <c r="EM460" s="4">
        <v>783</v>
      </c>
      <c r="EN460" s="4">
        <v>801</v>
      </c>
      <c r="EO460" s="4">
        <v>1365</v>
      </c>
      <c r="EP460" s="4">
        <v>784</v>
      </c>
      <c r="EQ460" s="4">
        <v>1367</v>
      </c>
      <c r="ER460" s="4">
        <v>49.911029999999997</v>
      </c>
    </row>
    <row r="461" spans="1:148" x14ac:dyDescent="0.2">
      <c r="A461" s="1">
        <v>2025</v>
      </c>
      <c r="B461" s="1" t="str">
        <f t="shared" si="14"/>
        <v>NE</v>
      </c>
      <c r="C461" s="1" t="s">
        <v>1820</v>
      </c>
      <c r="D461" s="1" t="s">
        <v>1820</v>
      </c>
      <c r="E461" s="1">
        <v>28823</v>
      </c>
      <c r="F461" s="1" t="s">
        <v>2246</v>
      </c>
      <c r="G461" s="1" t="s">
        <v>2038</v>
      </c>
      <c r="H461" s="1" t="s">
        <v>1985</v>
      </c>
      <c r="I461" s="1">
        <v>58.06</v>
      </c>
      <c r="J461" s="1">
        <v>58.06</v>
      </c>
      <c r="K461" s="1" t="s">
        <v>1022</v>
      </c>
      <c r="L461" s="1">
        <v>1</v>
      </c>
      <c r="M461" s="3">
        <v>2021</v>
      </c>
      <c r="O461" s="1">
        <v>2</v>
      </c>
      <c r="P461" s="1" t="str">
        <f t="shared" si="15"/>
        <v>Talhadia</v>
      </c>
      <c r="Q461" s="2">
        <v>44505</v>
      </c>
      <c r="R461" s="1" t="s">
        <v>169</v>
      </c>
      <c r="S461" s="1" t="s">
        <v>287</v>
      </c>
      <c r="T461" s="1" t="s">
        <v>2268</v>
      </c>
      <c r="U461" s="1" t="s">
        <v>1022</v>
      </c>
      <c r="V461" s="1" t="s">
        <v>152</v>
      </c>
      <c r="W461" s="2">
        <v>45740</v>
      </c>
      <c r="X461" s="1" t="s">
        <v>2247</v>
      </c>
      <c r="Y461" s="1">
        <v>190.22000000000003</v>
      </c>
      <c r="Z461" s="1">
        <v>21.3</v>
      </c>
      <c r="AA461" s="1">
        <v>20</v>
      </c>
      <c r="AB461" s="1">
        <v>15.7</v>
      </c>
      <c r="AC461" s="1">
        <v>5</v>
      </c>
      <c r="AD461" s="3">
        <v>334.41</v>
      </c>
      <c r="AE461" s="3">
        <v>313.04682131612702</v>
      </c>
      <c r="AF461" s="2">
        <v>45740</v>
      </c>
      <c r="AG461" s="1">
        <v>40</v>
      </c>
      <c r="AH461" s="3">
        <v>3.38124572210815</v>
      </c>
      <c r="AI461" s="4">
        <v>18.2151915834033</v>
      </c>
      <c r="AJ461" s="4">
        <v>12.535714285714301</v>
      </c>
      <c r="AK461" s="4">
        <v>11.8270799205887</v>
      </c>
      <c r="AL461" s="1">
        <v>28</v>
      </c>
      <c r="AM461" s="5">
        <v>894.43489259149896</v>
      </c>
      <c r="AN461" s="4">
        <v>105.854193085771</v>
      </c>
      <c r="AO461" s="4">
        <v>0.118347566673158</v>
      </c>
      <c r="AP461" s="1" t="s">
        <v>287</v>
      </c>
      <c r="AQ461" s="1" t="s">
        <v>254</v>
      </c>
      <c r="AR461" s="1" t="s">
        <v>842</v>
      </c>
      <c r="AS461" s="1">
        <v>9</v>
      </c>
      <c r="AT461" s="4">
        <v>0.80499140333234909</v>
      </c>
      <c r="AU461" s="1" t="s">
        <v>1819</v>
      </c>
      <c r="AV461" s="1" t="s">
        <v>1820</v>
      </c>
      <c r="AW461" s="1">
        <v>1152</v>
      </c>
      <c r="AX461" s="1">
        <v>700</v>
      </c>
      <c r="AY461" s="1">
        <v>372</v>
      </c>
      <c r="AZ461" s="1">
        <v>70</v>
      </c>
      <c r="BA461" s="1">
        <v>10</v>
      </c>
      <c r="BB461" s="1">
        <v>0</v>
      </c>
      <c r="BC461" s="1">
        <v>0</v>
      </c>
      <c r="BD461" s="1">
        <v>0</v>
      </c>
      <c r="BE461" s="1">
        <v>0</v>
      </c>
      <c r="BF461" s="1">
        <v>0</v>
      </c>
      <c r="BG461" s="1">
        <v>0</v>
      </c>
      <c r="BH461" s="4">
        <v>0</v>
      </c>
      <c r="BI461" s="4">
        <v>23.945</v>
      </c>
      <c r="BJ461" s="4">
        <v>7.6804889999999997</v>
      </c>
      <c r="BK461" s="4">
        <v>0</v>
      </c>
      <c r="BL461" s="4">
        <v>8.5407650000000004</v>
      </c>
      <c r="BM461" s="4">
        <v>72.944659000000001</v>
      </c>
      <c r="BN461" s="4">
        <v>1.1120080000000001</v>
      </c>
      <c r="BO461" s="4">
        <v>16.519500000000001</v>
      </c>
      <c r="BP461" s="4">
        <v>0.49626599999999998</v>
      </c>
      <c r="BQ461" s="4">
        <v>1.4952650000000001</v>
      </c>
      <c r="BR461" s="4">
        <v>8.0126069999999991</v>
      </c>
      <c r="BS461" s="4">
        <v>1.3129999999999999</v>
      </c>
      <c r="BT461" s="4">
        <v>1.329</v>
      </c>
      <c r="BU461" s="4">
        <v>7.6804889999999997</v>
      </c>
      <c r="BV461" s="4">
        <v>4.5633869999999996</v>
      </c>
      <c r="BW461" s="4">
        <v>1.1049640000000001</v>
      </c>
      <c r="BX461" s="4">
        <v>-0.50400299999999998</v>
      </c>
      <c r="BY461" s="4">
        <v>0.59415300000000004</v>
      </c>
      <c r="BZ461" s="4">
        <v>0.24213699999999999</v>
      </c>
      <c r="CA461" s="4">
        <v>-0.110445</v>
      </c>
      <c r="CB461" s="4">
        <v>4.0000000000000001E-3</v>
      </c>
      <c r="CC461" s="4">
        <v>2.155E-2</v>
      </c>
      <c r="CD461" s="4">
        <v>5.8099999999999999E-2</v>
      </c>
      <c r="CE461" s="4">
        <v>0.1452</v>
      </c>
      <c r="CF461" s="4">
        <v>0.21325</v>
      </c>
      <c r="CG461" s="4">
        <v>0.2903</v>
      </c>
      <c r="CH461" s="4">
        <v>0.50860000000000005</v>
      </c>
      <c r="CI461" s="4">
        <v>1.329</v>
      </c>
      <c r="CJ461" s="4">
        <v>9.8675979999999992</v>
      </c>
      <c r="CK461" s="4">
        <v>15.184801</v>
      </c>
      <c r="CL461" s="4">
        <v>16.732749999999999</v>
      </c>
      <c r="CM461" s="4">
        <v>18.1724</v>
      </c>
      <c r="CN461" s="4">
        <v>20.246700000000001</v>
      </c>
      <c r="CO461" s="4">
        <v>21.528095</v>
      </c>
      <c r="CP461" s="4">
        <v>22.732410000000002</v>
      </c>
      <c r="CQ461" s="4">
        <v>0.32075500000000001</v>
      </c>
      <c r="CR461" s="4">
        <v>11.483521</v>
      </c>
      <c r="CS461" s="4">
        <v>13.464964999999999</v>
      </c>
      <c r="CT461" s="1">
        <v>21</v>
      </c>
      <c r="CU461" s="1">
        <v>597</v>
      </c>
      <c r="CV461" s="4">
        <v>180.83420100000001</v>
      </c>
      <c r="CW461" s="4">
        <v>30.142856999999999</v>
      </c>
      <c r="CX461" s="4">
        <v>131.09228100000001</v>
      </c>
      <c r="CY461" s="4">
        <v>17185.18621</v>
      </c>
      <c r="CZ461" s="4">
        <v>0.72493099999999999</v>
      </c>
      <c r="DA461" s="4">
        <v>197.5</v>
      </c>
      <c r="DB461" s="4">
        <v>0.84432200000000002</v>
      </c>
      <c r="DC461" s="4">
        <v>2.773898</v>
      </c>
      <c r="DD461" s="4">
        <v>109.21977200000001</v>
      </c>
      <c r="DE461" s="4">
        <v>180.83420100000001</v>
      </c>
      <c r="DF461" s="4">
        <v>72.382481999999996</v>
      </c>
      <c r="DG461" s="4">
        <v>16.321352000000001</v>
      </c>
      <c r="DH461" s="4">
        <v>3.7279499999999999</v>
      </c>
      <c r="DI461" s="4">
        <v>0.40027000000000001</v>
      </c>
      <c r="DJ461" s="4">
        <v>0.22548799999999999</v>
      </c>
      <c r="DK461" s="4">
        <v>5.1503E-2</v>
      </c>
      <c r="DL461" s="4">
        <v>27</v>
      </c>
      <c r="DM461" s="4">
        <v>34.549999</v>
      </c>
      <c r="DN461" s="4">
        <v>41</v>
      </c>
      <c r="DO461" s="4">
        <v>60</v>
      </c>
      <c r="DP461" s="4">
        <v>71.75</v>
      </c>
      <c r="DQ461" s="4">
        <v>83</v>
      </c>
      <c r="DR461" s="4">
        <v>109</v>
      </c>
      <c r="DS461" s="4">
        <v>146</v>
      </c>
      <c r="DT461" s="4">
        <v>186.599976</v>
      </c>
      <c r="DU461" s="4">
        <v>239.70001199999999</v>
      </c>
      <c r="DV461" s="4">
        <v>269.25</v>
      </c>
      <c r="DW461" s="4">
        <v>298</v>
      </c>
      <c r="DX461" s="4">
        <v>383</v>
      </c>
      <c r="DY461" s="4">
        <v>432.899902</v>
      </c>
      <c r="DZ461" s="4">
        <v>522.40991199999996</v>
      </c>
      <c r="EA461" s="4">
        <v>62.571429000000002</v>
      </c>
      <c r="EB461" s="4">
        <v>45.746527999999998</v>
      </c>
      <c r="EC461" s="4">
        <v>75.285713999999999</v>
      </c>
      <c r="ED461" s="4">
        <v>438</v>
      </c>
      <c r="EE461" s="4">
        <v>527</v>
      </c>
      <c r="EF461" s="4">
        <v>58.714286000000001</v>
      </c>
      <c r="EG461" s="4">
        <v>99.714286000000001</v>
      </c>
      <c r="EH461" s="4">
        <v>42.1875</v>
      </c>
      <c r="EI461" s="4">
        <v>99.739582999999996</v>
      </c>
      <c r="EJ461" s="4">
        <v>69.428571000000005</v>
      </c>
      <c r="EK461" s="4">
        <v>164.14285699999999</v>
      </c>
      <c r="EL461" s="4">
        <v>411</v>
      </c>
      <c r="EM461" s="4">
        <v>698</v>
      </c>
      <c r="EN461" s="4">
        <v>486</v>
      </c>
      <c r="EO461" s="4">
        <v>1149</v>
      </c>
      <c r="EP461" s="4">
        <v>700</v>
      </c>
      <c r="EQ461" s="4">
        <v>1152</v>
      </c>
      <c r="ER461" s="4">
        <v>32.764375999999999</v>
      </c>
    </row>
    <row r="462" spans="1:148" x14ac:dyDescent="0.2">
      <c r="A462" s="1">
        <v>2025</v>
      </c>
      <c r="B462" s="1" t="str">
        <f t="shared" si="14"/>
        <v>NE</v>
      </c>
      <c r="C462" s="1" t="s">
        <v>1822</v>
      </c>
      <c r="D462" s="1" t="s">
        <v>1822</v>
      </c>
      <c r="E462" s="1">
        <v>28657</v>
      </c>
      <c r="F462" s="1" t="s">
        <v>2248</v>
      </c>
      <c r="G462" s="1" t="s">
        <v>2039</v>
      </c>
      <c r="H462" s="1" t="s">
        <v>1986</v>
      </c>
      <c r="I462" s="1">
        <v>78.69</v>
      </c>
      <c r="J462" s="1">
        <v>78.69</v>
      </c>
      <c r="K462" s="1" t="s">
        <v>1022</v>
      </c>
      <c r="L462" s="1">
        <v>1</v>
      </c>
      <c r="M462" s="3">
        <v>2021</v>
      </c>
      <c r="O462" s="1">
        <v>2</v>
      </c>
      <c r="P462" s="1" t="str">
        <f t="shared" si="15"/>
        <v>Talhadia</v>
      </c>
      <c r="Q462" s="2">
        <v>44476</v>
      </c>
      <c r="R462" s="1" t="s">
        <v>169</v>
      </c>
      <c r="S462" s="1" t="s">
        <v>287</v>
      </c>
      <c r="T462" s="1" t="s">
        <v>2268</v>
      </c>
      <c r="U462" s="1" t="s">
        <v>1022</v>
      </c>
      <c r="V462" s="1" t="s">
        <v>152</v>
      </c>
      <c r="W462" s="2">
        <v>45740</v>
      </c>
      <c r="X462" s="1" t="s">
        <v>2249</v>
      </c>
      <c r="Y462" s="1">
        <v>212.82</v>
      </c>
      <c r="Z462" s="1">
        <v>21.5</v>
      </c>
      <c r="AA462" s="1">
        <v>16</v>
      </c>
      <c r="AB462" s="1">
        <v>16.3</v>
      </c>
      <c r="AC462" s="1">
        <v>5</v>
      </c>
      <c r="AD462" s="3">
        <v>350.45</v>
      </c>
      <c r="AE462" s="3">
        <v>335.59225345258898</v>
      </c>
      <c r="AF462" s="2">
        <v>45740</v>
      </c>
      <c r="AG462" s="1">
        <v>41</v>
      </c>
      <c r="AH462" s="3">
        <v>3.46064339493498</v>
      </c>
      <c r="AI462" s="4">
        <v>21.404046797877001</v>
      </c>
      <c r="AJ462" s="4">
        <v>15.795</v>
      </c>
      <c r="AK462" s="4">
        <v>12.4183536843688</v>
      </c>
      <c r="AL462" s="1">
        <v>20</v>
      </c>
      <c r="AM462" s="5">
        <v>595.961312999303</v>
      </c>
      <c r="AN462" s="4">
        <v>128.74415565711701</v>
      </c>
      <c r="AO462" s="4">
        <v>0.21602770657911399</v>
      </c>
      <c r="AP462" s="1" t="s">
        <v>287</v>
      </c>
      <c r="AQ462" s="1" t="s">
        <v>254</v>
      </c>
      <c r="AR462" s="1" t="s">
        <v>842</v>
      </c>
      <c r="AS462" s="1">
        <v>9</v>
      </c>
      <c r="AT462" s="4">
        <v>0.53636518169937275</v>
      </c>
      <c r="AU462" s="1" t="s">
        <v>1821</v>
      </c>
      <c r="AV462" s="1" t="s">
        <v>1822</v>
      </c>
      <c r="AW462" s="1">
        <v>1265</v>
      </c>
      <c r="AX462" s="1">
        <v>717</v>
      </c>
      <c r="AY462" s="1">
        <v>413</v>
      </c>
      <c r="AZ462" s="1">
        <v>125</v>
      </c>
      <c r="BA462" s="1">
        <v>10</v>
      </c>
      <c r="BB462" s="1">
        <v>0</v>
      </c>
      <c r="BC462" s="1">
        <v>0</v>
      </c>
      <c r="BD462" s="1">
        <v>0</v>
      </c>
      <c r="BE462" s="1">
        <v>0</v>
      </c>
      <c r="BF462" s="1">
        <v>0</v>
      </c>
      <c r="BG462" s="1">
        <v>0</v>
      </c>
      <c r="BH462" s="4">
        <v>1E-3</v>
      </c>
      <c r="BI462" s="4">
        <v>26.525998999999999</v>
      </c>
      <c r="BJ462" s="4">
        <v>12.237174</v>
      </c>
      <c r="BK462" s="4">
        <v>1E-3</v>
      </c>
      <c r="BL462" s="4">
        <v>10.254875999999999</v>
      </c>
      <c r="BM462" s="4">
        <v>105.162481</v>
      </c>
      <c r="BN462" s="4">
        <v>0.83801000000000003</v>
      </c>
      <c r="BO462" s="4">
        <v>22.132000999999999</v>
      </c>
      <c r="BP462" s="4">
        <v>-0.13782700000000001</v>
      </c>
      <c r="BQ462" s="4">
        <v>1.2396119999999999</v>
      </c>
      <c r="BR462" s="4">
        <v>9.6397630000000003</v>
      </c>
      <c r="BS462" s="4">
        <v>9.2000010000000003</v>
      </c>
      <c r="BT462" s="4">
        <v>14.238999</v>
      </c>
      <c r="BU462" s="4">
        <v>12.237174</v>
      </c>
      <c r="BV462" s="4">
        <v>5.6353340000000003</v>
      </c>
      <c r="BW462" s="4">
        <v>-0.14526</v>
      </c>
      <c r="BX462" s="4">
        <v>-0.95130000000000003</v>
      </c>
      <c r="BY462" s="4">
        <v>0.460509</v>
      </c>
      <c r="BZ462" s="4">
        <v>-2.5777000000000001E-2</v>
      </c>
      <c r="CA462" s="4">
        <v>-0.16880999999999999</v>
      </c>
      <c r="CB462" s="4">
        <v>3.0000000000000001E-3</v>
      </c>
      <c r="CC462" s="4">
        <v>1.0999999999999999E-2</v>
      </c>
      <c r="CD462" s="4">
        <v>2.5000000000000001E-2</v>
      </c>
      <c r="CE462" s="4">
        <v>6.6799999999999998E-2</v>
      </c>
      <c r="CF462" s="4">
        <v>0.10299999999999999</v>
      </c>
      <c r="CG462" s="4">
        <v>0.21</v>
      </c>
      <c r="CH462" s="4">
        <v>6.9756030000000004</v>
      </c>
      <c r="CI462" s="4">
        <v>14.24</v>
      </c>
      <c r="CJ462" s="4">
        <v>20.149000000000001</v>
      </c>
      <c r="CK462" s="4">
        <v>21.712399999999999</v>
      </c>
      <c r="CL462" s="4">
        <v>22.235001</v>
      </c>
      <c r="CM462" s="4">
        <v>22.665001</v>
      </c>
      <c r="CN462" s="4">
        <v>23.584999</v>
      </c>
      <c r="CO462" s="4">
        <v>24.762001000000001</v>
      </c>
      <c r="CP462" s="4">
        <v>25.951719000000001</v>
      </c>
      <c r="CQ462" s="4">
        <v>0.46130700000000002</v>
      </c>
      <c r="CR462" s="4">
        <v>15.963326</v>
      </c>
      <c r="CS462" s="4">
        <v>17.69613</v>
      </c>
      <c r="CT462" s="1">
        <v>20</v>
      </c>
      <c r="CU462" s="1">
        <v>648</v>
      </c>
      <c r="CV462" s="4">
        <v>153.97707500000001</v>
      </c>
      <c r="CW462" s="4">
        <v>29.968254000000002</v>
      </c>
      <c r="CX462" s="4">
        <v>120.21356400000001</v>
      </c>
      <c r="CY462" s="4">
        <v>14451.3009</v>
      </c>
      <c r="CZ462" s="4">
        <v>0.78072399999999997</v>
      </c>
      <c r="DA462" s="4">
        <v>140</v>
      </c>
      <c r="DB462" s="4">
        <v>1.360978</v>
      </c>
      <c r="DC462" s="4">
        <v>4.3989500000000001</v>
      </c>
      <c r="DD462" s="4">
        <v>92.104281999999998</v>
      </c>
      <c r="DE462" s="4">
        <v>153.97707500000001</v>
      </c>
      <c r="DF462" s="4">
        <v>63.032809</v>
      </c>
      <c r="DG462" s="4">
        <v>18.971012000000002</v>
      </c>
      <c r="DH462" s="4">
        <v>8.5824879999999997</v>
      </c>
      <c r="DI462" s="4">
        <v>0.40936499999999998</v>
      </c>
      <c r="DJ462" s="4">
        <v>0.30097000000000002</v>
      </c>
      <c r="DK462" s="4">
        <v>0.136159</v>
      </c>
      <c r="DL462" s="4">
        <v>26</v>
      </c>
      <c r="DM462" s="4">
        <v>33</v>
      </c>
      <c r="DN462" s="4">
        <v>38</v>
      </c>
      <c r="DO462" s="4">
        <v>53</v>
      </c>
      <c r="DP462" s="4">
        <v>60</v>
      </c>
      <c r="DQ462" s="4">
        <v>70</v>
      </c>
      <c r="DR462" s="4">
        <v>94</v>
      </c>
      <c r="DS462" s="4">
        <v>122</v>
      </c>
      <c r="DT462" s="4">
        <v>146</v>
      </c>
      <c r="DU462" s="4">
        <v>180</v>
      </c>
      <c r="DV462" s="4">
        <v>200</v>
      </c>
      <c r="DW462" s="4">
        <v>237</v>
      </c>
      <c r="DX462" s="4">
        <v>332.59997600000003</v>
      </c>
      <c r="DY462" s="4">
        <v>421.800049</v>
      </c>
      <c r="DZ462" s="4">
        <v>522.35998500000005</v>
      </c>
      <c r="EA462" s="4">
        <v>82.845187999999993</v>
      </c>
      <c r="EB462" s="4">
        <v>62.687747000000002</v>
      </c>
      <c r="EC462" s="4">
        <v>110.599721</v>
      </c>
      <c r="ED462" s="4">
        <v>594</v>
      </c>
      <c r="EE462" s="4">
        <v>793</v>
      </c>
      <c r="EF462" s="4">
        <v>74.755927</v>
      </c>
      <c r="EG462" s="4">
        <v>100</v>
      </c>
      <c r="EH462" s="4">
        <v>52.806323999999996</v>
      </c>
      <c r="EI462" s="4">
        <v>99.683794000000006</v>
      </c>
      <c r="EJ462" s="4">
        <v>93.165969000000004</v>
      </c>
      <c r="EK462" s="4">
        <v>175.87168800000001</v>
      </c>
      <c r="EL462" s="4">
        <v>536</v>
      </c>
      <c r="EM462" s="4">
        <v>717</v>
      </c>
      <c r="EN462" s="4">
        <v>668</v>
      </c>
      <c r="EO462" s="4">
        <v>1261</v>
      </c>
      <c r="EP462" s="4">
        <v>717</v>
      </c>
      <c r="EQ462" s="4">
        <v>1265</v>
      </c>
      <c r="ER462" s="4">
        <v>46.151032000000001</v>
      </c>
    </row>
    <row r="463" spans="1:148" x14ac:dyDescent="0.2">
      <c r="A463" s="1">
        <v>2025</v>
      </c>
      <c r="B463" s="1" t="str">
        <f t="shared" si="14"/>
        <v>NE</v>
      </c>
      <c r="C463" s="1" t="s">
        <v>1824</v>
      </c>
      <c r="D463" s="1" t="s">
        <v>1824</v>
      </c>
      <c r="E463" s="1">
        <v>28659</v>
      </c>
      <c r="F463" s="1" t="s">
        <v>2248</v>
      </c>
      <c r="G463" s="1" t="s">
        <v>2039</v>
      </c>
      <c r="H463" s="1" t="s">
        <v>1986</v>
      </c>
      <c r="I463" s="1">
        <v>78.69</v>
      </c>
      <c r="J463" s="1">
        <v>78.69</v>
      </c>
      <c r="K463" s="1" t="s">
        <v>1022</v>
      </c>
      <c r="L463" s="1">
        <v>1</v>
      </c>
      <c r="M463" s="3">
        <v>2021</v>
      </c>
      <c r="O463" s="1">
        <v>2</v>
      </c>
      <c r="P463" s="1" t="str">
        <f t="shared" si="15"/>
        <v>Talhadia</v>
      </c>
      <c r="Q463" s="2">
        <v>44476</v>
      </c>
      <c r="R463" s="1" t="s">
        <v>169</v>
      </c>
      <c r="S463" s="1" t="s">
        <v>287</v>
      </c>
      <c r="T463" s="1" t="s">
        <v>2268</v>
      </c>
      <c r="U463" s="1" t="s">
        <v>1022</v>
      </c>
      <c r="V463" s="1" t="s">
        <v>152</v>
      </c>
      <c r="W463" s="2">
        <v>44821</v>
      </c>
      <c r="X463" s="1" t="s">
        <v>2249</v>
      </c>
      <c r="Y463" s="1">
        <v>212.82</v>
      </c>
      <c r="Z463" s="1">
        <v>21.6</v>
      </c>
      <c r="AA463" s="1">
        <v>7</v>
      </c>
      <c r="AB463" s="1">
        <v>15.3</v>
      </c>
      <c r="AC463" s="1">
        <v>1</v>
      </c>
      <c r="AD463" s="3">
        <v>330.48</v>
      </c>
      <c r="AE463" s="3">
        <v>327.96669366951102</v>
      </c>
      <c r="AF463" s="2">
        <v>45740</v>
      </c>
      <c r="AG463" s="1">
        <v>41</v>
      </c>
      <c r="AH463" s="3">
        <v>3.46064339493498</v>
      </c>
      <c r="AI463" s="4">
        <v>21.187312570901799</v>
      </c>
      <c r="AJ463" s="4">
        <v>14.1846153846154</v>
      </c>
      <c r="AK463" s="4">
        <v>13.409018164642101</v>
      </c>
      <c r="AL463" s="1">
        <v>26</v>
      </c>
      <c r="AM463" s="5">
        <v>792.76342695334802</v>
      </c>
      <c r="AN463" s="4">
        <v>138.76363752380999</v>
      </c>
      <c r="AO463" s="4">
        <v>0.17503789000091699</v>
      </c>
      <c r="AP463" s="1" t="s">
        <v>287</v>
      </c>
      <c r="AQ463" s="1" t="s">
        <v>254</v>
      </c>
      <c r="AR463" s="1" t="s">
        <v>842</v>
      </c>
      <c r="AS463" s="1">
        <v>9</v>
      </c>
      <c r="AT463" s="4">
        <v>0.71348708425801322</v>
      </c>
      <c r="AU463" s="1" t="s">
        <v>1823</v>
      </c>
      <c r="AV463" s="1" t="s">
        <v>1824</v>
      </c>
      <c r="AW463" s="1">
        <v>1233</v>
      </c>
      <c r="AX463" s="1">
        <v>674</v>
      </c>
      <c r="AY463" s="1">
        <v>413</v>
      </c>
      <c r="AZ463" s="1">
        <v>118</v>
      </c>
      <c r="BA463" s="1">
        <v>27</v>
      </c>
      <c r="BB463" s="1">
        <v>1</v>
      </c>
      <c r="BC463" s="1">
        <v>0</v>
      </c>
      <c r="BD463" s="1">
        <v>0</v>
      </c>
      <c r="BE463" s="1">
        <v>0</v>
      </c>
      <c r="BF463" s="1">
        <v>0</v>
      </c>
      <c r="BG463" s="1">
        <v>0</v>
      </c>
      <c r="BH463" s="4">
        <v>0</v>
      </c>
      <c r="BI463" s="4">
        <v>26.035999</v>
      </c>
      <c r="BJ463" s="4">
        <v>13.742041</v>
      </c>
      <c r="BK463" s="4">
        <v>0</v>
      </c>
      <c r="BL463" s="4">
        <v>9.6114890000000006</v>
      </c>
      <c r="BM463" s="4">
        <v>92.380726999999993</v>
      </c>
      <c r="BN463" s="4">
        <v>0.69942199999999999</v>
      </c>
      <c r="BO463" s="4">
        <v>21.416001000000001</v>
      </c>
      <c r="BP463" s="4">
        <v>-0.50912100000000005</v>
      </c>
      <c r="BQ463" s="4">
        <v>1.4651609999999999</v>
      </c>
      <c r="BR463" s="4">
        <v>8.9302089999999996</v>
      </c>
      <c r="BS463" s="4">
        <v>3.6419999999999999</v>
      </c>
      <c r="BT463" s="4">
        <v>19.492999999999999</v>
      </c>
      <c r="BU463" s="4">
        <v>13.742041</v>
      </c>
      <c r="BV463" s="4">
        <v>5.1617649999999999</v>
      </c>
      <c r="BW463" s="4">
        <v>-0.93838900000000003</v>
      </c>
      <c r="BX463" s="4">
        <v>-0.54839199999999999</v>
      </c>
      <c r="BY463" s="4">
        <v>0.37561899999999998</v>
      </c>
      <c r="BZ463" s="4">
        <v>-0.18179600000000001</v>
      </c>
      <c r="CA463" s="4">
        <v>-0.106241</v>
      </c>
      <c r="CB463" s="4">
        <v>1E-3</v>
      </c>
      <c r="CC463" s="4">
        <v>7.0000000000000001E-3</v>
      </c>
      <c r="CD463" s="4">
        <v>1.7000000000000001E-2</v>
      </c>
      <c r="CE463" s="4">
        <v>4.8399999999999999E-2</v>
      </c>
      <c r="CF463" s="4">
        <v>0.13500000000000001</v>
      </c>
      <c r="CG463" s="4">
        <v>4.2539999999999996</v>
      </c>
      <c r="CH463" s="4">
        <v>14.493199000000001</v>
      </c>
      <c r="CI463" s="4">
        <v>19.492999999999999</v>
      </c>
      <c r="CJ463" s="4">
        <v>20.499400999999999</v>
      </c>
      <c r="CK463" s="4">
        <v>21.240601000000002</v>
      </c>
      <c r="CL463" s="4">
        <v>21.551000999999999</v>
      </c>
      <c r="CM463" s="4">
        <v>21.9816</v>
      </c>
      <c r="CN463" s="4">
        <v>22.950001</v>
      </c>
      <c r="CO463" s="4">
        <v>23.808802</v>
      </c>
      <c r="CP463" s="4">
        <v>24.881924000000001</v>
      </c>
      <c r="CQ463" s="4">
        <v>0.52780899999999997</v>
      </c>
      <c r="CR463" s="4">
        <v>16.767513000000001</v>
      </c>
      <c r="CS463" s="4">
        <v>18.119384</v>
      </c>
      <c r="CT463" s="1">
        <v>23</v>
      </c>
      <c r="CU463" s="1">
        <v>674</v>
      </c>
      <c r="CV463" s="4">
        <v>118.927007</v>
      </c>
      <c r="CW463" s="4">
        <v>54</v>
      </c>
      <c r="CX463" s="4">
        <v>104.116005</v>
      </c>
      <c r="CY463" s="4">
        <v>10840.142400000001</v>
      </c>
      <c r="CZ463" s="4">
        <v>0.87546100000000004</v>
      </c>
      <c r="DA463" s="4">
        <v>74</v>
      </c>
      <c r="DB463" s="4">
        <v>2.3876680000000001</v>
      </c>
      <c r="DC463" s="4">
        <v>8.9238680000000006</v>
      </c>
      <c r="DD463" s="4">
        <v>68.718146000000004</v>
      </c>
      <c r="DE463" s="4">
        <v>118.927007</v>
      </c>
      <c r="DF463" s="4">
        <v>47.464838999999998</v>
      </c>
      <c r="DG463" s="4">
        <v>20.431128000000001</v>
      </c>
      <c r="DH463" s="4">
        <v>13.29787</v>
      </c>
      <c r="DI463" s="4">
        <v>0.39910899999999999</v>
      </c>
      <c r="DJ463" s="4">
        <v>0.430448</v>
      </c>
      <c r="DK463" s="4">
        <v>0.280163</v>
      </c>
      <c r="DL463" s="4">
        <v>27</v>
      </c>
      <c r="DM463" s="4">
        <v>34</v>
      </c>
      <c r="DN463" s="4">
        <v>39</v>
      </c>
      <c r="DO463" s="4">
        <v>51</v>
      </c>
      <c r="DP463" s="4">
        <v>58</v>
      </c>
      <c r="DQ463" s="4">
        <v>62.600006</v>
      </c>
      <c r="DR463" s="4">
        <v>74</v>
      </c>
      <c r="DS463" s="4">
        <v>87</v>
      </c>
      <c r="DT463" s="4">
        <v>101</v>
      </c>
      <c r="DU463" s="4">
        <v>120</v>
      </c>
      <c r="DV463" s="4">
        <v>132</v>
      </c>
      <c r="DW463" s="4">
        <v>148</v>
      </c>
      <c r="DX463" s="4">
        <v>233.600098</v>
      </c>
      <c r="DY463" s="4">
        <v>375.800049</v>
      </c>
      <c r="DZ463" s="4">
        <v>535.36010699999997</v>
      </c>
      <c r="EA463" s="4">
        <v>93.175073999999995</v>
      </c>
      <c r="EB463" s="4">
        <v>72.424980000000005</v>
      </c>
      <c r="EC463" s="4">
        <v>132.492582</v>
      </c>
      <c r="ED463" s="4">
        <v>628</v>
      </c>
      <c r="EE463" s="4">
        <v>893</v>
      </c>
      <c r="EF463" s="4">
        <v>88.278931999999998</v>
      </c>
      <c r="EG463" s="4">
        <v>100</v>
      </c>
      <c r="EH463" s="4">
        <v>61.07056</v>
      </c>
      <c r="EI463" s="4">
        <v>99.756691000000004</v>
      </c>
      <c r="EJ463" s="4">
        <v>111.721068</v>
      </c>
      <c r="EK463" s="4">
        <v>182.492582</v>
      </c>
      <c r="EL463" s="4">
        <v>595</v>
      </c>
      <c r="EM463" s="4">
        <v>674</v>
      </c>
      <c r="EN463" s="4">
        <v>753</v>
      </c>
      <c r="EO463" s="4">
        <v>1230</v>
      </c>
      <c r="EP463" s="4">
        <v>674</v>
      </c>
      <c r="EQ463" s="4">
        <v>1233</v>
      </c>
      <c r="ER463" s="4">
        <v>54.238594999999997</v>
      </c>
    </row>
    <row r="464" spans="1:148" x14ac:dyDescent="0.2">
      <c r="A464" s="1">
        <v>2025</v>
      </c>
      <c r="B464" s="1" t="str">
        <f t="shared" si="14"/>
        <v>NE</v>
      </c>
      <c r="C464" s="1" t="s">
        <v>1826</v>
      </c>
      <c r="D464" s="1" t="s">
        <v>1826</v>
      </c>
      <c r="E464" s="1">
        <v>28660</v>
      </c>
      <c r="F464" s="1" t="s">
        <v>2248</v>
      </c>
      <c r="G464" s="1" t="s">
        <v>2039</v>
      </c>
      <c r="H464" s="1" t="s">
        <v>1986</v>
      </c>
      <c r="I464" s="1">
        <v>78.69</v>
      </c>
      <c r="J464" s="1">
        <v>78.69</v>
      </c>
      <c r="K464" s="1" t="s">
        <v>1022</v>
      </c>
      <c r="L464" s="1">
        <v>1</v>
      </c>
      <c r="M464" s="3">
        <v>2021</v>
      </c>
      <c r="O464" s="1">
        <v>2</v>
      </c>
      <c r="P464" s="1" t="str">
        <f t="shared" si="15"/>
        <v>Talhadia</v>
      </c>
      <c r="Q464" s="2">
        <v>44476</v>
      </c>
      <c r="R464" s="1" t="s">
        <v>169</v>
      </c>
      <c r="S464" s="1" t="s">
        <v>287</v>
      </c>
      <c r="T464" s="1" t="s">
        <v>2268</v>
      </c>
      <c r="U464" s="1" t="s">
        <v>1022</v>
      </c>
      <c r="V464" s="1" t="s">
        <v>152</v>
      </c>
      <c r="W464" s="2">
        <v>45740</v>
      </c>
      <c r="X464" s="1" t="s">
        <v>2249</v>
      </c>
      <c r="Y464" s="1">
        <v>212.82</v>
      </c>
      <c r="Z464" s="1">
        <v>20.8</v>
      </c>
      <c r="AA464" s="1">
        <v>14</v>
      </c>
      <c r="AB464" s="1">
        <v>14.4</v>
      </c>
      <c r="AC464" s="1">
        <v>2</v>
      </c>
      <c r="AD464" s="3">
        <v>299.52</v>
      </c>
      <c r="AE464" s="3">
        <v>290.44593626961699</v>
      </c>
      <c r="AF464" s="2">
        <v>45740</v>
      </c>
      <c r="AG464" s="1">
        <v>41</v>
      </c>
      <c r="AH464" s="3">
        <v>3.46064339493498</v>
      </c>
      <c r="AI464" s="4">
        <v>19.4749055102433</v>
      </c>
      <c r="AJ464" s="4">
        <v>16.071428571428601</v>
      </c>
      <c r="AK464" s="4">
        <v>15.2726318245293</v>
      </c>
      <c r="AL464" s="1">
        <v>21</v>
      </c>
      <c r="AM464" s="5">
        <v>723.02612560934404</v>
      </c>
      <c r="AN464" s="4">
        <v>138.84256718277399</v>
      </c>
      <c r="AO464" s="4">
        <v>0.19202980675942</v>
      </c>
      <c r="AP464" s="1" t="s">
        <v>287</v>
      </c>
      <c r="AQ464" s="1" t="s">
        <v>254</v>
      </c>
      <c r="AR464" s="1" t="s">
        <v>842</v>
      </c>
      <c r="AS464" s="1">
        <v>9</v>
      </c>
      <c r="AT464" s="4">
        <v>0.6507235130484097</v>
      </c>
      <c r="AU464" s="1" t="s">
        <v>1825</v>
      </c>
      <c r="AV464" s="1" t="s">
        <v>1826</v>
      </c>
      <c r="AW464" s="1">
        <v>1190</v>
      </c>
      <c r="AX464" s="1">
        <v>704</v>
      </c>
      <c r="AY464" s="1">
        <v>376</v>
      </c>
      <c r="AZ464" s="1">
        <v>95</v>
      </c>
      <c r="BA464" s="1">
        <v>15</v>
      </c>
      <c r="BB464" s="1">
        <v>0</v>
      </c>
      <c r="BC464" s="1">
        <v>0</v>
      </c>
      <c r="BD464" s="1">
        <v>0</v>
      </c>
      <c r="BE464" s="1">
        <v>0</v>
      </c>
      <c r="BF464" s="1">
        <v>0</v>
      </c>
      <c r="BG464" s="1">
        <v>0</v>
      </c>
      <c r="BH464" s="4">
        <v>0</v>
      </c>
      <c r="BI464" s="4">
        <v>26.631001000000001</v>
      </c>
      <c r="BJ464" s="4">
        <v>13.102371</v>
      </c>
      <c r="BK464" s="4">
        <v>0</v>
      </c>
      <c r="BL464" s="4">
        <v>9.1049159999999993</v>
      </c>
      <c r="BM464" s="4">
        <v>82.899502999999996</v>
      </c>
      <c r="BN464" s="4">
        <v>0.69490600000000002</v>
      </c>
      <c r="BO464" s="4">
        <v>19.603249999999999</v>
      </c>
      <c r="BP464" s="4">
        <v>-0.45965600000000001</v>
      </c>
      <c r="BQ464" s="4">
        <v>1.502623</v>
      </c>
      <c r="BR464" s="4">
        <v>8.3494200000000003</v>
      </c>
      <c r="BS464" s="4">
        <v>4.5605000000000002</v>
      </c>
      <c r="BT464" s="4">
        <v>17.722000000000001</v>
      </c>
      <c r="BU464" s="4">
        <v>13.102371</v>
      </c>
      <c r="BV464" s="4">
        <v>4.9819430000000002</v>
      </c>
      <c r="BW464" s="4">
        <v>-0.75933200000000001</v>
      </c>
      <c r="BX464" s="4">
        <v>-0.466447</v>
      </c>
      <c r="BY464" s="4">
        <v>0.38023200000000001</v>
      </c>
      <c r="BZ464" s="4">
        <v>-0.152417</v>
      </c>
      <c r="CA464" s="4">
        <v>-9.3628000000000003E-2</v>
      </c>
      <c r="CB464" s="4">
        <v>3.0000000000000001E-3</v>
      </c>
      <c r="CC464" s="4">
        <v>1.4E-2</v>
      </c>
      <c r="CD464" s="4">
        <v>3.5000000000000003E-2</v>
      </c>
      <c r="CE464" s="4">
        <v>0.2462</v>
      </c>
      <c r="CF464" s="4">
        <v>1.1127499999999999</v>
      </c>
      <c r="CG464" s="4">
        <v>4.5467009999999997</v>
      </c>
      <c r="CH464" s="4">
        <v>13.242000000000001</v>
      </c>
      <c r="CI464" s="4">
        <v>17.722000000000001</v>
      </c>
      <c r="CJ464" s="4">
        <v>19.4648</v>
      </c>
      <c r="CK464" s="4">
        <v>20.350200999999998</v>
      </c>
      <c r="CL464" s="4">
        <v>20.716000000000001</v>
      </c>
      <c r="CM464" s="4">
        <v>21.034200999999999</v>
      </c>
      <c r="CN464" s="4">
        <v>22.342699</v>
      </c>
      <c r="CO464" s="4">
        <v>23.216851999999999</v>
      </c>
      <c r="CP464" s="4">
        <v>25.063027999999999</v>
      </c>
      <c r="CQ464" s="4">
        <v>0.49199700000000002</v>
      </c>
      <c r="CR464" s="4">
        <v>15.953118</v>
      </c>
      <c r="CS464" s="4">
        <v>17.278521999999999</v>
      </c>
      <c r="CT464" s="1">
        <v>24</v>
      </c>
      <c r="CU464" s="1">
        <v>620</v>
      </c>
      <c r="CV464" s="4">
        <v>134.18823499999999</v>
      </c>
      <c r="CW464" s="4">
        <v>33.460317000000003</v>
      </c>
      <c r="CX464" s="4">
        <v>86.627543000000003</v>
      </c>
      <c r="CY464" s="4">
        <v>7504.3312320000005</v>
      </c>
      <c r="CZ464" s="4">
        <v>0.645567</v>
      </c>
      <c r="DA464" s="4">
        <v>117</v>
      </c>
      <c r="DB464" s="4">
        <v>1.324214</v>
      </c>
      <c r="DC464" s="4">
        <v>5.9176529999999996</v>
      </c>
      <c r="DD464" s="4">
        <v>67.391142000000002</v>
      </c>
      <c r="DE464" s="4">
        <v>134.18823499999999</v>
      </c>
      <c r="DF464" s="4">
        <v>46.401420999999999</v>
      </c>
      <c r="DG464" s="4">
        <v>9.1654879999999999</v>
      </c>
      <c r="DH464" s="4">
        <v>4.9750220000000001</v>
      </c>
      <c r="DI464" s="4">
        <v>0.34579399999999999</v>
      </c>
      <c r="DJ464" s="4">
        <v>0.19752600000000001</v>
      </c>
      <c r="DK464" s="4">
        <v>0.10721700000000001</v>
      </c>
      <c r="DL464" s="4">
        <v>28</v>
      </c>
      <c r="DM464" s="4">
        <v>33</v>
      </c>
      <c r="DN464" s="4">
        <v>39</v>
      </c>
      <c r="DO464" s="4">
        <v>54.800002999999997</v>
      </c>
      <c r="DP464" s="4">
        <v>64</v>
      </c>
      <c r="DQ464" s="4">
        <v>73</v>
      </c>
      <c r="DR464" s="4">
        <v>97</v>
      </c>
      <c r="DS464" s="4">
        <v>122</v>
      </c>
      <c r="DT464" s="4">
        <v>145</v>
      </c>
      <c r="DU464" s="4">
        <v>168</v>
      </c>
      <c r="DV464" s="4">
        <v>181</v>
      </c>
      <c r="DW464" s="4">
        <v>198</v>
      </c>
      <c r="DX464" s="4">
        <v>239</v>
      </c>
      <c r="DY464" s="4">
        <v>282</v>
      </c>
      <c r="DZ464" s="4">
        <v>406.32995599999998</v>
      </c>
      <c r="EA464" s="4">
        <v>91.335227000000003</v>
      </c>
      <c r="EB464" s="4">
        <v>71.008403000000001</v>
      </c>
      <c r="EC464" s="4">
        <v>120.028409</v>
      </c>
      <c r="ED464" s="4">
        <v>643</v>
      </c>
      <c r="EE464" s="4">
        <v>845</v>
      </c>
      <c r="EF464" s="4">
        <v>85.653408999999996</v>
      </c>
      <c r="EG464" s="4">
        <v>100</v>
      </c>
      <c r="EH464" s="4">
        <v>60.420167999999997</v>
      </c>
      <c r="EI464" s="4">
        <v>99.747899000000004</v>
      </c>
      <c r="EJ464" s="4">
        <v>102.13068199999999</v>
      </c>
      <c r="EK464" s="4">
        <v>168.607955</v>
      </c>
      <c r="EL464" s="4">
        <v>603</v>
      </c>
      <c r="EM464" s="4">
        <v>704</v>
      </c>
      <c r="EN464" s="4">
        <v>719</v>
      </c>
      <c r="EO464" s="4">
        <v>1187</v>
      </c>
      <c r="EP464" s="4">
        <v>704</v>
      </c>
      <c r="EQ464" s="4">
        <v>1190</v>
      </c>
      <c r="ER464" s="4">
        <v>51.266564000000002</v>
      </c>
    </row>
    <row r="465" spans="1:148" x14ac:dyDescent="0.2">
      <c r="A465" s="1">
        <v>2025</v>
      </c>
      <c r="B465" s="1" t="str">
        <f t="shared" si="14"/>
        <v>RD</v>
      </c>
      <c r="C465" s="1" t="s">
        <v>1828</v>
      </c>
      <c r="D465" s="1" t="s">
        <v>1828</v>
      </c>
      <c r="E465" s="1">
        <v>24555</v>
      </c>
      <c r="F465" s="1" t="s">
        <v>2250</v>
      </c>
      <c r="G465" s="1" t="s">
        <v>2040</v>
      </c>
      <c r="H465" s="1" t="s">
        <v>1987</v>
      </c>
      <c r="I465" s="1">
        <v>50.21</v>
      </c>
      <c r="J465" s="1">
        <v>50.21</v>
      </c>
      <c r="K465" s="1" t="s">
        <v>226</v>
      </c>
      <c r="L465" s="1">
        <v>1</v>
      </c>
      <c r="M465" s="3">
        <v>2016</v>
      </c>
      <c r="O465" s="1">
        <v>1</v>
      </c>
      <c r="P465" s="1" t="str">
        <f t="shared" si="15"/>
        <v>Alto fuste</v>
      </c>
      <c r="Q465" s="2">
        <v>42605</v>
      </c>
      <c r="R465" s="1" t="s">
        <v>227</v>
      </c>
      <c r="S465" s="1" t="s">
        <v>767</v>
      </c>
      <c r="T465" s="1" t="s">
        <v>2268</v>
      </c>
      <c r="U465" s="1" t="s">
        <v>228</v>
      </c>
      <c r="V465" s="1" t="s">
        <v>152</v>
      </c>
      <c r="W465" s="2">
        <v>44822</v>
      </c>
      <c r="X465" s="1" t="s">
        <v>2251</v>
      </c>
      <c r="Y465" s="1">
        <v>158.88</v>
      </c>
      <c r="Z465" s="1">
        <v>20.7</v>
      </c>
      <c r="AA465" s="1">
        <v>6</v>
      </c>
      <c r="AB465" s="1">
        <v>16.100000000000001</v>
      </c>
      <c r="AC465" s="1">
        <v>2</v>
      </c>
      <c r="AD465" s="3">
        <v>333.27</v>
      </c>
      <c r="AE465" s="3">
        <v>331.24240514979698</v>
      </c>
      <c r="AF465" s="2">
        <v>45751</v>
      </c>
      <c r="AG465" s="1">
        <v>104</v>
      </c>
      <c r="AH465" s="3">
        <v>8.6132785763175903</v>
      </c>
      <c r="AI465" s="4">
        <v>23.736226085544399</v>
      </c>
      <c r="AJ465" s="4">
        <v>15.115384615384601</v>
      </c>
      <c r="AK465" s="4">
        <v>15.049877931326799</v>
      </c>
      <c r="AL465" s="1">
        <v>26</v>
      </c>
      <c r="AM465" s="5">
        <v>784.92365698896697</v>
      </c>
      <c r="AN465" s="4">
        <v>175.195459781062</v>
      </c>
      <c r="AO465" s="4">
        <v>0.223200636420014</v>
      </c>
      <c r="AP465" s="1" t="s">
        <v>767</v>
      </c>
      <c r="AQ465" s="1" t="s">
        <v>156</v>
      </c>
      <c r="AR465" s="1" t="s">
        <v>842</v>
      </c>
      <c r="AS465" s="1">
        <v>7.5</v>
      </c>
      <c r="AT465" s="4">
        <v>0.58869274274172523</v>
      </c>
      <c r="AU465" s="1" t="s">
        <v>1827</v>
      </c>
      <c r="AV465" s="1" t="s">
        <v>1828</v>
      </c>
      <c r="AW465" s="1">
        <v>740</v>
      </c>
      <c r="AX465" s="1">
        <v>426</v>
      </c>
      <c r="AY465" s="1">
        <v>245</v>
      </c>
      <c r="AZ465" s="1">
        <v>59</v>
      </c>
      <c r="BA465" s="1">
        <v>10</v>
      </c>
      <c r="BB465" s="1">
        <v>0</v>
      </c>
      <c r="BC465" s="1">
        <v>0</v>
      </c>
      <c r="BD465" s="1">
        <v>0</v>
      </c>
      <c r="BE465" s="1">
        <v>0</v>
      </c>
      <c r="BF465" s="1">
        <v>0</v>
      </c>
      <c r="BG465" s="1">
        <v>0</v>
      </c>
      <c r="BH465" s="4">
        <v>0</v>
      </c>
      <c r="BI465" s="4">
        <v>25.403998999999999</v>
      </c>
      <c r="BJ465" s="4">
        <v>8.6004640000000006</v>
      </c>
      <c r="BK465" s="4">
        <v>0</v>
      </c>
      <c r="BL465" s="4">
        <v>9.4153789999999997</v>
      </c>
      <c r="BM465" s="4">
        <v>88.649364000000006</v>
      </c>
      <c r="BN465" s="4">
        <v>1.0947530000000001</v>
      </c>
      <c r="BO465" s="4">
        <v>18.898499000000001</v>
      </c>
      <c r="BP465" s="4">
        <v>0.40232800000000002</v>
      </c>
      <c r="BQ465" s="4">
        <v>1.398201</v>
      </c>
      <c r="BR465" s="4">
        <v>8.8958150000000007</v>
      </c>
      <c r="BS465" s="4">
        <v>1.6165</v>
      </c>
      <c r="BT465" s="4">
        <v>1.6214999999999999</v>
      </c>
      <c r="BU465" s="4">
        <v>8.6004640000000006</v>
      </c>
      <c r="BV465" s="4">
        <v>5.0531560000000004</v>
      </c>
      <c r="BW465" s="4">
        <v>1.070524</v>
      </c>
      <c r="BX465" s="4">
        <v>-0.67941399999999996</v>
      </c>
      <c r="BY465" s="4">
        <v>0.58754499999999998</v>
      </c>
      <c r="BZ465" s="4">
        <v>0.21185300000000001</v>
      </c>
      <c r="CA465" s="4">
        <v>-0.13445299999999999</v>
      </c>
      <c r="CB465" s="4">
        <v>2E-3</v>
      </c>
      <c r="CC465" s="4">
        <v>8.9499999999999996E-3</v>
      </c>
      <c r="CD465" s="4">
        <v>1.4999999999999999E-2</v>
      </c>
      <c r="CE465" s="4">
        <v>0.03</v>
      </c>
      <c r="CF465" s="4">
        <v>0.04</v>
      </c>
      <c r="CG465" s="4">
        <v>5.8700000000000002E-2</v>
      </c>
      <c r="CH465" s="4">
        <v>0.13880000000000001</v>
      </c>
      <c r="CI465" s="4">
        <v>1.6214999999999999</v>
      </c>
      <c r="CJ465" s="4">
        <v>12.4876</v>
      </c>
      <c r="CK465" s="4">
        <v>16.711399</v>
      </c>
      <c r="CL465" s="4">
        <v>18.938499</v>
      </c>
      <c r="CM465" s="4">
        <v>20.1968</v>
      </c>
      <c r="CN465" s="4">
        <v>21.825600000000001</v>
      </c>
      <c r="CO465" s="4">
        <v>22.768647999999999</v>
      </c>
      <c r="CP465" s="4">
        <v>24.846219999999999</v>
      </c>
      <c r="CQ465" s="4">
        <v>0.33854800000000002</v>
      </c>
      <c r="CR465" s="4">
        <v>12.747451999999999</v>
      </c>
      <c r="CS465" s="4">
        <v>14.821132</v>
      </c>
      <c r="CT465" s="1">
        <v>21</v>
      </c>
      <c r="CU465" s="1">
        <v>572</v>
      </c>
      <c r="CV465" s="4">
        <v>171.67567600000001</v>
      </c>
      <c r="CW465" s="4">
        <v>29.746032</v>
      </c>
      <c r="CX465" s="4">
        <v>140.25443799999999</v>
      </c>
      <c r="CY465" s="4">
        <v>19671.307390000002</v>
      </c>
      <c r="CZ465" s="4">
        <v>0.81697299999999995</v>
      </c>
      <c r="DA465" s="4">
        <v>206.75</v>
      </c>
      <c r="DB465" s="4">
        <v>0.93324300000000004</v>
      </c>
      <c r="DC465" s="4">
        <v>2.6215489999999999</v>
      </c>
      <c r="DD465" s="4">
        <v>117.39700499999999</v>
      </c>
      <c r="DE465" s="4">
        <v>171.67567600000001</v>
      </c>
      <c r="DF465" s="4">
        <v>75.852020999999993</v>
      </c>
      <c r="DG465" s="4">
        <v>21.623073000000002</v>
      </c>
      <c r="DH465" s="4">
        <v>3.2605230000000001</v>
      </c>
      <c r="DI465" s="4">
        <v>0.44183299999999998</v>
      </c>
      <c r="DJ465" s="4">
        <v>0.28506900000000002</v>
      </c>
      <c r="DK465" s="4">
        <v>4.2985000000000002E-2</v>
      </c>
      <c r="DL465" s="4">
        <v>26</v>
      </c>
      <c r="DM465" s="4">
        <v>33</v>
      </c>
      <c r="DN465" s="4">
        <v>38</v>
      </c>
      <c r="DO465" s="4">
        <v>49</v>
      </c>
      <c r="DP465" s="4">
        <v>57</v>
      </c>
      <c r="DQ465" s="4">
        <v>64</v>
      </c>
      <c r="DR465" s="4">
        <v>85.600005999999993</v>
      </c>
      <c r="DS465" s="4">
        <v>119</v>
      </c>
      <c r="DT465" s="4">
        <v>159.39999399999999</v>
      </c>
      <c r="DU465" s="4">
        <v>222.29998800000001</v>
      </c>
      <c r="DV465" s="4">
        <v>263.75</v>
      </c>
      <c r="DW465" s="4">
        <v>311</v>
      </c>
      <c r="DX465" s="4">
        <v>409.09997600000003</v>
      </c>
      <c r="DY465" s="4">
        <v>449.199951</v>
      </c>
      <c r="DZ465" s="4">
        <v>513</v>
      </c>
      <c r="EA465" s="4">
        <v>61.032863999999996</v>
      </c>
      <c r="EB465" s="4">
        <v>47.432431999999999</v>
      </c>
      <c r="EC465" s="4">
        <v>82.394366000000005</v>
      </c>
      <c r="ED465" s="4">
        <v>260</v>
      </c>
      <c r="EE465" s="4">
        <v>351</v>
      </c>
      <c r="EF465" s="4">
        <v>57.746479000000001</v>
      </c>
      <c r="EG465" s="4">
        <v>100</v>
      </c>
      <c r="EH465" s="4">
        <v>44.459459000000003</v>
      </c>
      <c r="EI465" s="4">
        <v>99.729730000000004</v>
      </c>
      <c r="EJ465" s="4">
        <v>77.230046999999999</v>
      </c>
      <c r="EK465" s="4">
        <v>173.23943700000001</v>
      </c>
      <c r="EL465" s="4">
        <v>246</v>
      </c>
      <c r="EM465" s="4">
        <v>426</v>
      </c>
      <c r="EN465" s="4">
        <v>329</v>
      </c>
      <c r="EO465" s="4">
        <v>738</v>
      </c>
      <c r="EP465" s="4">
        <v>426</v>
      </c>
      <c r="EQ465" s="4">
        <v>740</v>
      </c>
      <c r="ER465" s="4">
        <v>33.585014000000001</v>
      </c>
    </row>
    <row r="466" spans="1:148" x14ac:dyDescent="0.2">
      <c r="A466" s="1">
        <v>2025</v>
      </c>
      <c r="B466" s="1" t="str">
        <f t="shared" si="14"/>
        <v>RD</v>
      </c>
      <c r="C466" s="1" t="s">
        <v>1830</v>
      </c>
      <c r="D466" s="1" t="s">
        <v>1830</v>
      </c>
      <c r="E466" s="1">
        <v>24556</v>
      </c>
      <c r="F466" s="1" t="s">
        <v>2250</v>
      </c>
      <c r="G466" s="1" t="s">
        <v>2040</v>
      </c>
      <c r="H466" s="1" t="s">
        <v>1987</v>
      </c>
      <c r="I466" s="1">
        <v>50.21</v>
      </c>
      <c r="J466" s="1">
        <v>50.21</v>
      </c>
      <c r="K466" s="1" t="s">
        <v>226</v>
      </c>
      <c r="L466" s="1">
        <v>1</v>
      </c>
      <c r="M466" s="3">
        <v>2016</v>
      </c>
      <c r="O466" s="1">
        <v>1</v>
      </c>
      <c r="P466" s="1" t="str">
        <f t="shared" si="15"/>
        <v>Alto fuste</v>
      </c>
      <c r="Q466" s="2">
        <v>42605</v>
      </c>
      <c r="R466" s="1" t="s">
        <v>227</v>
      </c>
      <c r="S466" s="1" t="s">
        <v>767</v>
      </c>
      <c r="T466" s="1" t="s">
        <v>2268</v>
      </c>
      <c r="U466" s="1" t="s">
        <v>228</v>
      </c>
      <c r="V466" s="1" t="s">
        <v>152</v>
      </c>
      <c r="W466" s="2">
        <v>45751</v>
      </c>
      <c r="X466" s="1" t="s">
        <v>2251</v>
      </c>
      <c r="Y466" s="1">
        <v>158.88</v>
      </c>
      <c r="Z466" s="1">
        <v>20.9</v>
      </c>
      <c r="AA466" s="1">
        <v>20</v>
      </c>
      <c r="AB466" s="1">
        <v>14.9</v>
      </c>
      <c r="AC466" s="1">
        <v>3</v>
      </c>
      <c r="AD466" s="3">
        <v>311.41000000000003</v>
      </c>
      <c r="AE466" s="3">
        <v>292.22864023403702</v>
      </c>
      <c r="AF466" s="2">
        <v>45751</v>
      </c>
      <c r="AG466" s="1">
        <v>104</v>
      </c>
      <c r="AH466" s="3">
        <v>8.6132785763175903</v>
      </c>
      <c r="AI466" s="4">
        <v>22.979875778378599</v>
      </c>
      <c r="AJ466" s="4">
        <v>15.5</v>
      </c>
      <c r="AK466" s="4">
        <v>24.486621078902498</v>
      </c>
      <c r="AL466" s="1">
        <v>37</v>
      </c>
      <c r="AM466" s="5">
        <v>1266.13188804382</v>
      </c>
      <c r="AN466" s="4">
        <v>260.595168095161</v>
      </c>
      <c r="AO466" s="4">
        <v>0.20581992330813301</v>
      </c>
      <c r="AP466" s="1" t="s">
        <v>767</v>
      </c>
      <c r="AQ466" s="1" t="s">
        <v>156</v>
      </c>
      <c r="AR466" s="1" t="s">
        <v>842</v>
      </c>
      <c r="AS466" s="1">
        <v>7.5</v>
      </c>
      <c r="AT466" s="4">
        <v>0.94959891603286506</v>
      </c>
      <c r="AU466" s="1" t="s">
        <v>1829</v>
      </c>
      <c r="AV466" s="1" t="s">
        <v>1830</v>
      </c>
      <c r="AW466" s="1">
        <v>1243</v>
      </c>
      <c r="AX466" s="1">
        <v>609</v>
      </c>
      <c r="AY466" s="1">
        <v>440</v>
      </c>
      <c r="AZ466" s="1">
        <v>165</v>
      </c>
      <c r="BA466" s="1">
        <v>26</v>
      </c>
      <c r="BB466" s="1">
        <v>3</v>
      </c>
      <c r="BC466" s="1">
        <v>0</v>
      </c>
      <c r="BD466" s="1">
        <v>0</v>
      </c>
      <c r="BE466" s="1">
        <v>0</v>
      </c>
      <c r="BF466" s="1">
        <v>0</v>
      </c>
      <c r="BG466" s="1">
        <v>0</v>
      </c>
      <c r="BH466" s="4">
        <v>0</v>
      </c>
      <c r="BI466" s="4">
        <v>24.672999999999998</v>
      </c>
      <c r="BJ466" s="4">
        <v>13.269572</v>
      </c>
      <c r="BK466" s="4">
        <v>0</v>
      </c>
      <c r="BL466" s="4">
        <v>9.0272710000000007</v>
      </c>
      <c r="BM466" s="4">
        <v>81.491625999999997</v>
      </c>
      <c r="BN466" s="4">
        <v>0.68029899999999999</v>
      </c>
      <c r="BO466" s="4">
        <v>19.203500999999999</v>
      </c>
      <c r="BP466" s="4">
        <v>-0.38767299999999999</v>
      </c>
      <c r="BQ466" s="4">
        <v>1.531741</v>
      </c>
      <c r="BR466" s="4">
        <v>8.1236560000000004</v>
      </c>
      <c r="BS466" s="4">
        <v>6.5830000000000002</v>
      </c>
      <c r="BT466" s="4">
        <v>16.306000000000001</v>
      </c>
      <c r="BU466" s="4">
        <v>13.269572</v>
      </c>
      <c r="BV466" s="4">
        <v>5.0463100000000001</v>
      </c>
      <c r="BW466" s="4">
        <v>-0.62307699999999999</v>
      </c>
      <c r="BX466" s="4">
        <v>-0.45685500000000001</v>
      </c>
      <c r="BY466" s="4">
        <v>0.38029200000000002</v>
      </c>
      <c r="BZ466" s="4">
        <v>-0.123472</v>
      </c>
      <c r="CA466" s="4">
        <v>-9.0533000000000002E-2</v>
      </c>
      <c r="CB466" s="4">
        <v>5.0000000000000001E-3</v>
      </c>
      <c r="CC466" s="4">
        <v>2.1000000000000001E-2</v>
      </c>
      <c r="CD466" s="4">
        <v>6.0199999999999997E-2</v>
      </c>
      <c r="CE466" s="4">
        <v>0.87760000000000005</v>
      </c>
      <c r="CF466" s="4">
        <v>2.5924999999999998</v>
      </c>
      <c r="CG466" s="4">
        <v>4.4623999999999997</v>
      </c>
      <c r="CH466" s="4">
        <v>12.844199</v>
      </c>
      <c r="CI466" s="4">
        <v>16.306000000000001</v>
      </c>
      <c r="CJ466" s="4">
        <v>18.564001000000001</v>
      </c>
      <c r="CK466" s="4">
        <v>20.703001</v>
      </c>
      <c r="CL466" s="4">
        <v>21.796001</v>
      </c>
      <c r="CM466" s="4">
        <v>22.479599</v>
      </c>
      <c r="CN466" s="4">
        <v>23.293801999999999</v>
      </c>
      <c r="CO466" s="4">
        <v>23.745701</v>
      </c>
      <c r="CP466" s="4">
        <v>24.255699</v>
      </c>
      <c r="CQ466" s="4">
        <v>0.53781800000000002</v>
      </c>
      <c r="CR466" s="4">
        <v>16.047044</v>
      </c>
      <c r="CS466" s="4">
        <v>17.427485999999998</v>
      </c>
      <c r="CT466" s="1">
        <v>22</v>
      </c>
      <c r="CU466" s="1">
        <v>557</v>
      </c>
      <c r="CV466" s="4">
        <v>111.117458</v>
      </c>
      <c r="CW466" s="4">
        <v>38.984127000000001</v>
      </c>
      <c r="CX466" s="4">
        <v>87.187079999999995</v>
      </c>
      <c r="CY466" s="4">
        <v>7601.5868369999998</v>
      </c>
      <c r="CZ466" s="4">
        <v>0.78463899999999998</v>
      </c>
      <c r="DA466" s="4">
        <v>91.5</v>
      </c>
      <c r="DB466" s="4">
        <v>2.0238269999999998</v>
      </c>
      <c r="DC466" s="4">
        <v>7.893675</v>
      </c>
      <c r="DD466" s="4">
        <v>63.137894000000003</v>
      </c>
      <c r="DE466" s="4">
        <v>111.117458</v>
      </c>
      <c r="DF466" s="4">
        <v>42.801895999999999</v>
      </c>
      <c r="DG466" s="4">
        <v>15.551167</v>
      </c>
      <c r="DH466" s="4">
        <v>8.1160680000000003</v>
      </c>
      <c r="DI466" s="4">
        <v>0.38519500000000001</v>
      </c>
      <c r="DJ466" s="4">
        <v>0.36332900000000001</v>
      </c>
      <c r="DK466" s="4">
        <v>0.18961900000000001</v>
      </c>
      <c r="DL466" s="4">
        <v>26.42</v>
      </c>
      <c r="DM466" s="4">
        <v>32</v>
      </c>
      <c r="DN466" s="4">
        <v>38</v>
      </c>
      <c r="DO466" s="4">
        <v>47</v>
      </c>
      <c r="DP466" s="4">
        <v>52</v>
      </c>
      <c r="DQ466" s="4">
        <v>57</v>
      </c>
      <c r="DR466" s="4">
        <v>67</v>
      </c>
      <c r="DS466" s="4">
        <v>81</v>
      </c>
      <c r="DT466" s="4">
        <v>103</v>
      </c>
      <c r="DU466" s="4">
        <v>125</v>
      </c>
      <c r="DV466" s="4">
        <v>143.5</v>
      </c>
      <c r="DW466" s="4">
        <v>158.599976</v>
      </c>
      <c r="DX466" s="4">
        <v>218.600098</v>
      </c>
      <c r="DY466" s="4">
        <v>293.800049</v>
      </c>
      <c r="DZ466" s="4">
        <v>464.15991200000002</v>
      </c>
      <c r="EA466" s="4">
        <v>91.625615999999994</v>
      </c>
      <c r="EB466" s="4">
        <v>73.531778000000003</v>
      </c>
      <c r="EC466" s="4">
        <v>150.08210199999999</v>
      </c>
      <c r="ED466" s="4">
        <v>558</v>
      </c>
      <c r="EE466" s="4">
        <v>914</v>
      </c>
      <c r="EF466" s="4">
        <v>85.057471000000007</v>
      </c>
      <c r="EG466" s="4">
        <v>100</v>
      </c>
      <c r="EH466" s="4">
        <v>59.452936000000001</v>
      </c>
      <c r="EI466" s="4">
        <v>99.919549000000004</v>
      </c>
      <c r="EJ466" s="4">
        <v>121.34647</v>
      </c>
      <c r="EK466" s="4">
        <v>203.940887</v>
      </c>
      <c r="EL466" s="4">
        <v>518</v>
      </c>
      <c r="EM466" s="4">
        <v>609</v>
      </c>
      <c r="EN466" s="4">
        <v>739</v>
      </c>
      <c r="EO466" s="4">
        <v>1242</v>
      </c>
      <c r="EP466" s="4">
        <v>609</v>
      </c>
      <c r="EQ466" s="4">
        <v>1243</v>
      </c>
      <c r="ER466" s="4">
        <v>53.69997</v>
      </c>
    </row>
    <row r="467" spans="1:148" x14ac:dyDescent="0.2">
      <c r="A467" s="1">
        <v>2025</v>
      </c>
      <c r="B467" s="1" t="str">
        <f t="shared" si="14"/>
        <v>RD</v>
      </c>
      <c r="C467" s="1" t="s">
        <v>1832</v>
      </c>
      <c r="D467" s="1" t="s">
        <v>1832</v>
      </c>
      <c r="E467" s="1">
        <v>24557</v>
      </c>
      <c r="F467" s="1" t="s">
        <v>2250</v>
      </c>
      <c r="G467" s="1" t="s">
        <v>2040</v>
      </c>
      <c r="H467" s="1" t="s">
        <v>1987</v>
      </c>
      <c r="I467" s="1">
        <v>50.21</v>
      </c>
      <c r="J467" s="1">
        <v>50.21</v>
      </c>
      <c r="K467" s="1" t="s">
        <v>226</v>
      </c>
      <c r="L467" s="1">
        <v>1</v>
      </c>
      <c r="M467" s="3">
        <v>2016</v>
      </c>
      <c r="O467" s="1">
        <v>1</v>
      </c>
      <c r="P467" s="1" t="str">
        <f t="shared" si="15"/>
        <v>Alto fuste</v>
      </c>
      <c r="Q467" s="2">
        <v>42605</v>
      </c>
      <c r="R467" s="1" t="s">
        <v>227</v>
      </c>
      <c r="S467" s="1" t="s">
        <v>767</v>
      </c>
      <c r="T467" s="1" t="s">
        <v>2268</v>
      </c>
      <c r="U467" s="1" t="s">
        <v>228</v>
      </c>
      <c r="V467" s="1" t="s">
        <v>152</v>
      </c>
      <c r="W467" s="2">
        <v>44823</v>
      </c>
      <c r="X467" s="1" t="s">
        <v>2251</v>
      </c>
      <c r="Y467" s="1">
        <v>158.88</v>
      </c>
      <c r="Z467" s="1">
        <v>20.3</v>
      </c>
      <c r="AA467" s="1">
        <v>3</v>
      </c>
      <c r="AB467" s="1">
        <v>15.1</v>
      </c>
      <c r="AC467" s="1">
        <v>5</v>
      </c>
      <c r="AD467" s="3">
        <v>306.52999999999997</v>
      </c>
      <c r="AE467" s="3">
        <v>304.94507065875803</v>
      </c>
      <c r="AF467" s="2">
        <v>45751</v>
      </c>
      <c r="AG467" s="1">
        <v>104</v>
      </c>
      <c r="AH467" s="3">
        <v>8.6132785763175903</v>
      </c>
      <c r="AI467" s="4">
        <v>23.631508297480501</v>
      </c>
      <c r="AJ467" s="4">
        <v>20.507142857142899</v>
      </c>
      <c r="AK467" s="4">
        <v>15.3314929790851</v>
      </c>
      <c r="AL467" s="1">
        <v>14</v>
      </c>
      <c r="AM467" s="5">
        <v>459.09907544189701</v>
      </c>
      <c r="AN467" s="4">
        <v>156.19075658227601</v>
      </c>
      <c r="AO467" s="4">
        <v>0.34021143787305003</v>
      </c>
      <c r="AP467" s="1" t="s">
        <v>767</v>
      </c>
      <c r="AQ467" s="1" t="s">
        <v>156</v>
      </c>
      <c r="AR467" s="1" t="s">
        <v>842</v>
      </c>
      <c r="AS467" s="1">
        <v>7.5</v>
      </c>
      <c r="AT467" s="4">
        <v>0.34432430658142277</v>
      </c>
      <c r="AU467" s="1" t="s">
        <v>1831</v>
      </c>
      <c r="AV467" s="1" t="s">
        <v>1832</v>
      </c>
      <c r="AW467" s="1">
        <v>1301</v>
      </c>
      <c r="AX467" s="1">
        <v>610</v>
      </c>
      <c r="AY467" s="1">
        <v>469</v>
      </c>
      <c r="AZ467" s="1">
        <v>179</v>
      </c>
      <c r="BA467" s="1">
        <v>38</v>
      </c>
      <c r="BB467" s="1">
        <v>5</v>
      </c>
      <c r="BC467" s="1">
        <v>0</v>
      </c>
      <c r="BD467" s="1">
        <v>0</v>
      </c>
      <c r="BE467" s="1">
        <v>0</v>
      </c>
      <c r="BF467" s="1">
        <v>0</v>
      </c>
      <c r="BG467" s="1">
        <v>0</v>
      </c>
      <c r="BH467" s="4">
        <v>0</v>
      </c>
      <c r="BI467" s="4">
        <v>26.731000999999999</v>
      </c>
      <c r="BJ467" s="4">
        <v>10.416888999999999</v>
      </c>
      <c r="BK467" s="4">
        <v>0</v>
      </c>
      <c r="BL467" s="4">
        <v>8.0294539999999994</v>
      </c>
      <c r="BM467" s="4">
        <v>64.472132000000002</v>
      </c>
      <c r="BN467" s="4">
        <v>0.77081100000000002</v>
      </c>
      <c r="BO467" s="4">
        <v>16.103999000000002</v>
      </c>
      <c r="BP467" s="4">
        <v>-2.0396000000000001E-2</v>
      </c>
      <c r="BQ467" s="4">
        <v>1.5529189999999999</v>
      </c>
      <c r="BR467" s="4">
        <v>7.2320229999999999</v>
      </c>
      <c r="BS467" s="4">
        <v>7.0560010000000002</v>
      </c>
      <c r="BT467" s="4">
        <v>12.026</v>
      </c>
      <c r="BU467" s="4">
        <v>10.416888999999999</v>
      </c>
      <c r="BV467" s="4">
        <v>4.5519780000000001</v>
      </c>
      <c r="BW467" s="4">
        <v>5.7196999999999998E-2</v>
      </c>
      <c r="BX467" s="4">
        <v>-0.34017999999999998</v>
      </c>
      <c r="BY467" s="4">
        <v>0.43698100000000001</v>
      </c>
      <c r="BZ467" s="4">
        <v>1.2565E-2</v>
      </c>
      <c r="CA467" s="4">
        <v>-7.4732000000000007E-2</v>
      </c>
      <c r="CB467" s="4">
        <v>7.0000000000000001E-3</v>
      </c>
      <c r="CC467" s="4">
        <v>2.8000000000000001E-2</v>
      </c>
      <c r="CD467" s="4">
        <v>7.6999999999999999E-2</v>
      </c>
      <c r="CE467" s="4">
        <v>1.0309999999999999</v>
      </c>
      <c r="CF467" s="4">
        <v>1.3169999999999999</v>
      </c>
      <c r="CG467" s="4">
        <v>1.59</v>
      </c>
      <c r="CH467" s="4">
        <v>8.2799999999999994</v>
      </c>
      <c r="CI467" s="4">
        <v>12.026</v>
      </c>
      <c r="CJ467" s="4">
        <v>14.473000000000001</v>
      </c>
      <c r="CK467" s="4">
        <v>16.679001</v>
      </c>
      <c r="CL467" s="4">
        <v>17.420999999999999</v>
      </c>
      <c r="CM467" s="4">
        <v>18.299999</v>
      </c>
      <c r="CN467" s="4">
        <v>20.278998999999999</v>
      </c>
      <c r="CO467" s="4">
        <v>22.132999000000002</v>
      </c>
      <c r="CP467" s="4">
        <v>25.858000000000001</v>
      </c>
      <c r="CQ467" s="4">
        <v>0.38969300000000001</v>
      </c>
      <c r="CR467" s="4">
        <v>13.150442999999999</v>
      </c>
      <c r="CS467" s="4">
        <v>14.632629</v>
      </c>
      <c r="CT467" s="1">
        <v>24</v>
      </c>
      <c r="CU467" s="1">
        <v>504</v>
      </c>
      <c r="CV467" s="4">
        <v>111.936972</v>
      </c>
      <c r="CW467" s="4">
        <v>39.238095000000001</v>
      </c>
      <c r="CX467" s="4">
        <v>77.419550000000001</v>
      </c>
      <c r="CY467" s="4">
        <v>5993.7867939999996</v>
      </c>
      <c r="CZ467" s="4">
        <v>0.691635</v>
      </c>
      <c r="DA467" s="4">
        <v>95</v>
      </c>
      <c r="DB467" s="4">
        <v>1.492963</v>
      </c>
      <c r="DC467" s="4">
        <v>5.5218720000000001</v>
      </c>
      <c r="DD467" s="4">
        <v>59.991760999999997</v>
      </c>
      <c r="DE467" s="4">
        <v>111.936972</v>
      </c>
      <c r="DF467" s="4">
        <v>40.398727999999998</v>
      </c>
      <c r="DG467" s="4">
        <v>12.013476000000001</v>
      </c>
      <c r="DH467" s="4">
        <v>5.1499920000000001</v>
      </c>
      <c r="DI467" s="4">
        <v>0.360906</v>
      </c>
      <c r="DJ467" s="4">
        <v>0.297373</v>
      </c>
      <c r="DK467" s="4">
        <v>0.12747900000000001</v>
      </c>
      <c r="DL467" s="4">
        <v>28</v>
      </c>
      <c r="DM467" s="4">
        <v>34</v>
      </c>
      <c r="DN467" s="4">
        <v>39</v>
      </c>
      <c r="DO467" s="4">
        <v>48</v>
      </c>
      <c r="DP467" s="4">
        <v>54</v>
      </c>
      <c r="DQ467" s="4">
        <v>58</v>
      </c>
      <c r="DR467" s="4">
        <v>71</v>
      </c>
      <c r="DS467" s="4">
        <v>88</v>
      </c>
      <c r="DT467" s="4">
        <v>109</v>
      </c>
      <c r="DU467" s="4">
        <v>135</v>
      </c>
      <c r="DV467" s="4">
        <v>149</v>
      </c>
      <c r="DW467" s="4">
        <v>167</v>
      </c>
      <c r="DX467" s="4">
        <v>221</v>
      </c>
      <c r="DY467" s="4">
        <v>271</v>
      </c>
      <c r="DZ467" s="4">
        <v>384</v>
      </c>
      <c r="EA467" s="4">
        <v>83.606556999999995</v>
      </c>
      <c r="EB467" s="4">
        <v>65.103765999999993</v>
      </c>
      <c r="EC467" s="4">
        <v>138.85245900000001</v>
      </c>
      <c r="ED467" s="4">
        <v>510</v>
      </c>
      <c r="EE467" s="4">
        <v>847</v>
      </c>
      <c r="EF467" s="4">
        <v>74.262294999999995</v>
      </c>
      <c r="EG467" s="4">
        <v>100</v>
      </c>
      <c r="EH467" s="4">
        <v>53.574173999999999</v>
      </c>
      <c r="EI467" s="4">
        <v>99.769407999999999</v>
      </c>
      <c r="EJ467" s="4">
        <v>114.26229499999999</v>
      </c>
      <c r="EK467" s="4">
        <v>212.78688500000001</v>
      </c>
      <c r="EL467" s="4">
        <v>453</v>
      </c>
      <c r="EM467" s="4">
        <v>610</v>
      </c>
      <c r="EN467" s="4">
        <v>697</v>
      </c>
      <c r="EO467" s="4">
        <v>1298</v>
      </c>
      <c r="EP467" s="4">
        <v>610</v>
      </c>
      <c r="EQ467" s="4">
        <v>1301</v>
      </c>
      <c r="ER467" s="4">
        <v>39.305128000000003</v>
      </c>
    </row>
    <row r="468" spans="1:148" x14ac:dyDescent="0.2">
      <c r="A468" s="1">
        <v>2025</v>
      </c>
      <c r="B468" s="1" t="str">
        <f t="shared" si="14"/>
        <v>RD</v>
      </c>
      <c r="C468" s="1" t="s">
        <v>1834</v>
      </c>
      <c r="D468" s="1" t="s">
        <v>1834</v>
      </c>
      <c r="E468" s="1">
        <v>24558</v>
      </c>
      <c r="F468" s="1" t="s">
        <v>2250</v>
      </c>
      <c r="G468" s="1" t="s">
        <v>2040</v>
      </c>
      <c r="H468" s="1" t="s">
        <v>1988</v>
      </c>
      <c r="I468" s="1">
        <v>48.44</v>
      </c>
      <c r="J468" s="1">
        <v>48.44</v>
      </c>
      <c r="K468" s="1" t="s">
        <v>226</v>
      </c>
      <c r="L468" s="1">
        <v>1</v>
      </c>
      <c r="M468" s="3">
        <v>2016</v>
      </c>
      <c r="O468" s="1">
        <v>1</v>
      </c>
      <c r="P468" s="1" t="str">
        <f t="shared" si="15"/>
        <v>Alto fuste</v>
      </c>
      <c r="Q468" s="2">
        <v>42599</v>
      </c>
      <c r="R468" s="1" t="s">
        <v>227</v>
      </c>
      <c r="S468" s="1" t="s">
        <v>163</v>
      </c>
      <c r="T468" s="1" t="s">
        <v>2268</v>
      </c>
      <c r="U468" s="1" t="s">
        <v>228</v>
      </c>
      <c r="V468" s="1" t="s">
        <v>152</v>
      </c>
      <c r="W468" s="2">
        <v>45758</v>
      </c>
      <c r="X468" s="1" t="s">
        <v>2251</v>
      </c>
      <c r="Y468" s="1">
        <v>158.88</v>
      </c>
      <c r="Z468" s="1">
        <v>20</v>
      </c>
      <c r="AA468" s="1">
        <v>13</v>
      </c>
      <c r="AB468" s="1">
        <v>15.4</v>
      </c>
      <c r="AC468" s="1">
        <v>2</v>
      </c>
      <c r="AD468" s="3">
        <v>308</v>
      </c>
      <c r="AE468" s="3">
        <v>299.92316349945702</v>
      </c>
      <c r="AF468" s="2">
        <v>45758</v>
      </c>
      <c r="AG468" s="1">
        <v>104</v>
      </c>
      <c r="AH468" s="3">
        <v>8.6488706365503099</v>
      </c>
      <c r="AI468" s="4">
        <v>23.533266830214799</v>
      </c>
      <c r="AJ468" s="4">
        <v>16.1806451612903</v>
      </c>
      <c r="AK468" s="4">
        <v>21.6580843544773</v>
      </c>
      <c r="AL468" s="1">
        <v>31</v>
      </c>
      <c r="AM468" s="5">
        <v>1033.5980601930501</v>
      </c>
      <c r="AN468" s="4">
        <v>233.78474731270799</v>
      </c>
      <c r="AO468" s="4">
        <v>0.226185358038544</v>
      </c>
      <c r="AP468" s="1" t="s">
        <v>163</v>
      </c>
      <c r="AQ468" s="1" t="s">
        <v>156</v>
      </c>
      <c r="AR468" s="1" t="s">
        <v>842</v>
      </c>
      <c r="AS468" s="1">
        <v>7.5</v>
      </c>
      <c r="AT468" s="4">
        <v>0.77519854514478759</v>
      </c>
      <c r="AU468" s="1" t="s">
        <v>1833</v>
      </c>
      <c r="AV468" s="1" t="s">
        <v>1834</v>
      </c>
      <c r="AW468" s="1">
        <v>1124</v>
      </c>
      <c r="AX468" s="1">
        <v>604</v>
      </c>
      <c r="AY468" s="1">
        <v>379</v>
      </c>
      <c r="AZ468" s="1">
        <v>128</v>
      </c>
      <c r="BA468" s="1">
        <v>13</v>
      </c>
      <c r="BB468" s="1">
        <v>0</v>
      </c>
      <c r="BC468" s="1">
        <v>0</v>
      </c>
      <c r="BD468" s="1">
        <v>0</v>
      </c>
      <c r="BE468" s="1">
        <v>0</v>
      </c>
      <c r="BF468" s="1">
        <v>0</v>
      </c>
      <c r="BG468" s="1">
        <v>0</v>
      </c>
      <c r="BH468" s="4">
        <v>1E-3</v>
      </c>
      <c r="BI468" s="4">
        <v>25.106999999999999</v>
      </c>
      <c r="BJ468" s="4">
        <v>13.048624999999999</v>
      </c>
      <c r="BK468" s="4">
        <v>1E-3</v>
      </c>
      <c r="BL468" s="4">
        <v>9.1801969999999997</v>
      </c>
      <c r="BM468" s="4">
        <v>84.276014000000004</v>
      </c>
      <c r="BN468" s="4">
        <v>0.70353699999999997</v>
      </c>
      <c r="BO468" s="4">
        <v>19.597501000000001</v>
      </c>
      <c r="BP468" s="4">
        <v>-0.47594599999999998</v>
      </c>
      <c r="BQ468" s="4">
        <v>1.4823710000000001</v>
      </c>
      <c r="BR468" s="4">
        <v>8.4170370000000005</v>
      </c>
      <c r="BS468" s="4">
        <v>4.7605000000000004</v>
      </c>
      <c r="BT468" s="4">
        <v>17.651501</v>
      </c>
      <c r="BU468" s="4">
        <v>13.048624999999999</v>
      </c>
      <c r="BV468" s="4">
        <v>4.9930459999999997</v>
      </c>
      <c r="BW468" s="4">
        <v>-0.74967300000000003</v>
      </c>
      <c r="BX468" s="4">
        <v>-0.48726399999999997</v>
      </c>
      <c r="BY468" s="4">
        <v>0.38264900000000002</v>
      </c>
      <c r="BZ468" s="4">
        <v>-0.150143</v>
      </c>
      <c r="CA468" s="4">
        <v>-9.7587999999999994E-2</v>
      </c>
      <c r="CB468" s="4">
        <v>5.0000000000000001E-3</v>
      </c>
      <c r="CC468" s="4">
        <v>2.1000000000000001E-2</v>
      </c>
      <c r="CD468" s="4">
        <v>4.7300000000000002E-2</v>
      </c>
      <c r="CE468" s="4">
        <v>0.52659999999999996</v>
      </c>
      <c r="CF468" s="4">
        <v>1.0055000000000001</v>
      </c>
      <c r="CG468" s="4">
        <v>1.5367</v>
      </c>
      <c r="CH468" s="4">
        <v>14.521400999999999</v>
      </c>
      <c r="CI468" s="4">
        <v>17.6525</v>
      </c>
      <c r="CJ468" s="4">
        <v>19.210999999999999</v>
      </c>
      <c r="CK468" s="4">
        <v>20.100100999999999</v>
      </c>
      <c r="CL468" s="4">
        <v>20.603000999999999</v>
      </c>
      <c r="CM468" s="4">
        <v>21.045200000000001</v>
      </c>
      <c r="CN468" s="4">
        <v>22.677499999999998</v>
      </c>
      <c r="CO468" s="4">
        <v>23.384948999999999</v>
      </c>
      <c r="CP468" s="4">
        <v>24.258769999999998</v>
      </c>
      <c r="CQ468" s="4">
        <v>0.51970099999999997</v>
      </c>
      <c r="CR468" s="4">
        <v>15.952043</v>
      </c>
      <c r="CS468" s="4">
        <v>17.269037999999998</v>
      </c>
      <c r="CT468" s="1">
        <v>25</v>
      </c>
      <c r="CU468" s="1">
        <v>514</v>
      </c>
      <c r="CV468" s="4">
        <v>125.709964</v>
      </c>
      <c r="CW468" s="4">
        <v>40.523809999999997</v>
      </c>
      <c r="CX468" s="4">
        <v>83.562494999999998</v>
      </c>
      <c r="CY468" s="4">
        <v>6982.6905150000002</v>
      </c>
      <c r="CZ468" s="4">
        <v>0.66472500000000001</v>
      </c>
      <c r="DA468" s="4">
        <v>112</v>
      </c>
      <c r="DB468" s="4">
        <v>1.4288190000000001</v>
      </c>
      <c r="DC468" s="4">
        <v>5.6591849999999999</v>
      </c>
      <c r="DD468" s="4">
        <v>64.906720000000007</v>
      </c>
      <c r="DE468" s="4">
        <v>125.709964</v>
      </c>
      <c r="DF468" s="4">
        <v>44.162849999999999</v>
      </c>
      <c r="DG468" s="4">
        <v>10.99709</v>
      </c>
      <c r="DH468" s="4">
        <v>5.1719520000000001</v>
      </c>
      <c r="DI468" s="4">
        <v>0.35130699999999998</v>
      </c>
      <c r="DJ468" s="4">
        <v>0.24901200000000001</v>
      </c>
      <c r="DK468" s="4">
        <v>0.11711100000000001</v>
      </c>
      <c r="DL468" s="4">
        <v>28.23</v>
      </c>
      <c r="DM468" s="4">
        <v>34.150002000000001</v>
      </c>
      <c r="DN468" s="4">
        <v>41</v>
      </c>
      <c r="DO468" s="4">
        <v>53</v>
      </c>
      <c r="DP468" s="4">
        <v>60</v>
      </c>
      <c r="DQ468" s="4">
        <v>68</v>
      </c>
      <c r="DR468" s="4">
        <v>85</v>
      </c>
      <c r="DS468" s="4">
        <v>104</v>
      </c>
      <c r="DT468" s="4">
        <v>129</v>
      </c>
      <c r="DU468" s="4">
        <v>157</v>
      </c>
      <c r="DV468" s="4">
        <v>172</v>
      </c>
      <c r="DW468" s="4">
        <v>188.400024</v>
      </c>
      <c r="DX468" s="4">
        <v>229</v>
      </c>
      <c r="DY468" s="4">
        <v>277</v>
      </c>
      <c r="DZ468" s="4">
        <v>437.31005900000002</v>
      </c>
      <c r="EA468" s="4">
        <v>88.410595999999998</v>
      </c>
      <c r="EB468" s="4">
        <v>68.327402000000006</v>
      </c>
      <c r="EC468" s="4">
        <v>127.15231799999999</v>
      </c>
      <c r="ED468" s="4">
        <v>534</v>
      </c>
      <c r="EE468" s="4">
        <v>768</v>
      </c>
      <c r="EF468" s="4">
        <v>85.099338000000003</v>
      </c>
      <c r="EG468" s="4">
        <v>100</v>
      </c>
      <c r="EH468" s="4">
        <v>61.298932000000001</v>
      </c>
      <c r="EI468" s="4">
        <v>99.822063999999997</v>
      </c>
      <c r="EJ468" s="4">
        <v>114.07284799999999</v>
      </c>
      <c r="EK468" s="4">
        <v>185.76158899999999</v>
      </c>
      <c r="EL468" s="4">
        <v>514</v>
      </c>
      <c r="EM468" s="4">
        <v>604</v>
      </c>
      <c r="EN468" s="4">
        <v>689</v>
      </c>
      <c r="EO468" s="4">
        <v>1122</v>
      </c>
      <c r="EP468" s="4">
        <v>604</v>
      </c>
      <c r="EQ468" s="4">
        <v>1124</v>
      </c>
      <c r="ER468" s="4">
        <v>52.758465999999999</v>
      </c>
    </row>
    <row r="469" spans="1:148" x14ac:dyDescent="0.2">
      <c r="A469" s="1">
        <v>2025</v>
      </c>
      <c r="B469" s="1" t="str">
        <f t="shared" si="14"/>
        <v>RD</v>
      </c>
      <c r="C469" s="1" t="s">
        <v>1836</v>
      </c>
      <c r="D469" s="1" t="s">
        <v>1836</v>
      </c>
      <c r="E469" s="1">
        <v>28059</v>
      </c>
      <c r="F469" s="1" t="s">
        <v>2252</v>
      </c>
      <c r="G469" s="1" t="s">
        <v>249</v>
      </c>
      <c r="H469" s="1" t="s">
        <v>1989</v>
      </c>
      <c r="I469" s="1">
        <v>87.44</v>
      </c>
      <c r="J469" s="1">
        <v>87.44</v>
      </c>
      <c r="K469" s="1" t="s">
        <v>249</v>
      </c>
      <c r="L469" s="1">
        <v>1</v>
      </c>
      <c r="M469" s="3">
        <v>2020</v>
      </c>
      <c r="O469" s="1">
        <v>1</v>
      </c>
      <c r="P469" s="1" t="str">
        <f t="shared" si="15"/>
        <v>Alto fuste</v>
      </c>
      <c r="Q469" s="2">
        <v>44159</v>
      </c>
      <c r="R469" s="1" t="s">
        <v>227</v>
      </c>
      <c r="S469" s="1" t="s">
        <v>307</v>
      </c>
      <c r="T469" s="1" t="s">
        <v>2268</v>
      </c>
      <c r="U469" s="1" t="s">
        <v>212</v>
      </c>
      <c r="V469" s="1" t="s">
        <v>152</v>
      </c>
      <c r="W469" s="2">
        <v>44824</v>
      </c>
      <c r="X469" s="1" t="s">
        <v>2253</v>
      </c>
      <c r="Y469" s="1">
        <v>479.05</v>
      </c>
      <c r="Z469" s="1">
        <v>20.2</v>
      </c>
      <c r="AA469" s="1">
        <v>0</v>
      </c>
      <c r="AB469" s="1">
        <v>15.4</v>
      </c>
      <c r="AC469" s="1">
        <v>0</v>
      </c>
      <c r="AD469" s="3">
        <v>311.08</v>
      </c>
      <c r="AE469" s="3">
        <v>311.08</v>
      </c>
      <c r="AF469" s="2">
        <v>45742</v>
      </c>
      <c r="AG469" s="1">
        <v>52</v>
      </c>
      <c r="AH469" s="3">
        <v>4.3340177960301203</v>
      </c>
      <c r="AI469" s="4">
        <v>19.290296406814701</v>
      </c>
      <c r="AJ469" s="4">
        <v>11.95</v>
      </c>
      <c r="AK469" s="4">
        <v>11.9950709617735</v>
      </c>
      <c r="AL469" s="1">
        <v>32</v>
      </c>
      <c r="AM469" s="5">
        <v>1028.6742960010299</v>
      </c>
      <c r="AN469" s="4">
        <v>113.582153879</v>
      </c>
      <c r="AO469" s="4">
        <v>0.110416051339622</v>
      </c>
      <c r="AP469" s="1" t="s">
        <v>307</v>
      </c>
      <c r="AQ469" s="1" t="s">
        <v>156</v>
      </c>
      <c r="AR469" s="1" t="s">
        <v>275</v>
      </c>
      <c r="AS469" s="1">
        <v>7.5</v>
      </c>
      <c r="AT469" s="4">
        <v>0.7715057220007725</v>
      </c>
      <c r="AU469" s="1" t="s">
        <v>1835</v>
      </c>
      <c r="AV469" s="1" t="s">
        <v>1836</v>
      </c>
      <c r="AW469" s="1">
        <v>1310</v>
      </c>
      <c r="AX469" s="1">
        <v>667</v>
      </c>
      <c r="AY469" s="1">
        <v>433</v>
      </c>
      <c r="AZ469" s="1">
        <v>176</v>
      </c>
      <c r="BA469" s="1">
        <v>32</v>
      </c>
      <c r="BB469" s="1">
        <v>2</v>
      </c>
      <c r="BC469" s="1">
        <v>0</v>
      </c>
      <c r="BD469" s="1">
        <v>0</v>
      </c>
      <c r="BE469" s="1">
        <v>0</v>
      </c>
      <c r="BF469" s="1">
        <v>0</v>
      </c>
      <c r="BG469" s="1">
        <v>0</v>
      </c>
      <c r="BH469" s="4">
        <v>0</v>
      </c>
      <c r="BI469" s="4">
        <v>22.632999000000002</v>
      </c>
      <c r="BJ469" s="4">
        <v>10.277901999999999</v>
      </c>
      <c r="BK469" s="4">
        <v>0</v>
      </c>
      <c r="BL469" s="4">
        <v>6.4689930000000002</v>
      </c>
      <c r="BM469" s="4">
        <v>41.847875999999999</v>
      </c>
      <c r="BN469" s="4">
        <v>0.62940799999999997</v>
      </c>
      <c r="BO469" s="4">
        <v>11.172750000000001</v>
      </c>
      <c r="BP469" s="4">
        <v>-0.51754900000000004</v>
      </c>
      <c r="BQ469" s="4">
        <v>1.936566</v>
      </c>
      <c r="BR469" s="4">
        <v>5.4451520000000002</v>
      </c>
      <c r="BS469" s="4">
        <v>4.24</v>
      </c>
      <c r="BT469" s="4">
        <v>11.8955</v>
      </c>
      <c r="BU469" s="4">
        <v>10.277901999999999</v>
      </c>
      <c r="BV469" s="4">
        <v>3.601826</v>
      </c>
      <c r="BW469" s="4">
        <v>-0.487402</v>
      </c>
      <c r="BX469" s="4">
        <v>-6.1069999999999996E-3</v>
      </c>
      <c r="BY469" s="4">
        <v>0.35044399999999998</v>
      </c>
      <c r="BZ469" s="4">
        <v>-0.135321</v>
      </c>
      <c r="CA469" s="4">
        <v>-1.696E-3</v>
      </c>
      <c r="CB469" s="4">
        <v>1E-3</v>
      </c>
      <c r="CC469" s="4">
        <v>6.0000000000000001E-3</v>
      </c>
      <c r="CD469" s="4">
        <v>1.5900000000000001E-2</v>
      </c>
      <c r="CE469" s="4">
        <v>5.28E-2</v>
      </c>
      <c r="CF469" s="4">
        <v>4.36625</v>
      </c>
      <c r="CG469" s="4">
        <v>8.3666</v>
      </c>
      <c r="CH469" s="4">
        <v>10.551000999999999</v>
      </c>
      <c r="CI469" s="4">
        <v>11.8955</v>
      </c>
      <c r="CJ469" s="4">
        <v>13.3294</v>
      </c>
      <c r="CK469" s="4">
        <v>14.7439</v>
      </c>
      <c r="CL469" s="4">
        <v>15.539001000000001</v>
      </c>
      <c r="CM469" s="4">
        <v>16.191600999999999</v>
      </c>
      <c r="CN469" s="4">
        <v>17.4499</v>
      </c>
      <c r="CO469" s="4">
        <v>18.303452</v>
      </c>
      <c r="CP469" s="4">
        <v>20.218551999999999</v>
      </c>
      <c r="CQ469" s="4">
        <v>0.45411099999999999</v>
      </c>
      <c r="CR469" s="4">
        <v>12.142949</v>
      </c>
      <c r="CS469" s="4">
        <v>13.074614</v>
      </c>
      <c r="CT469" s="1">
        <v>23</v>
      </c>
      <c r="CU469" s="1">
        <v>499</v>
      </c>
      <c r="CV469" s="4">
        <v>84</v>
      </c>
      <c r="CW469" s="4">
        <v>30.555555999999999</v>
      </c>
      <c r="CX469" s="4">
        <v>60.022914</v>
      </c>
      <c r="CY469" s="4">
        <v>3602.7501910000001</v>
      </c>
      <c r="CZ469" s="4">
        <v>0.71455800000000003</v>
      </c>
      <c r="DA469" s="4">
        <v>56</v>
      </c>
      <c r="DB469" s="4">
        <v>2.576111</v>
      </c>
      <c r="DC469" s="4">
        <v>12.126189999999999</v>
      </c>
      <c r="DD469" s="4">
        <v>40.909923999999997</v>
      </c>
      <c r="DE469" s="4">
        <v>84</v>
      </c>
      <c r="DF469" s="4">
        <v>28.169509999999999</v>
      </c>
      <c r="DG469" s="4">
        <v>10.53773</v>
      </c>
      <c r="DH469" s="4">
        <v>6.4100950000000001</v>
      </c>
      <c r="DI469" s="4">
        <v>0.33535100000000001</v>
      </c>
      <c r="DJ469" s="4">
        <v>0.374083</v>
      </c>
      <c r="DK469" s="4">
        <v>0.22755400000000001</v>
      </c>
      <c r="DL469" s="4">
        <v>27</v>
      </c>
      <c r="DM469" s="4">
        <v>32</v>
      </c>
      <c r="DN469" s="4">
        <v>35</v>
      </c>
      <c r="DO469" s="4">
        <v>42</v>
      </c>
      <c r="DP469" s="4">
        <v>45</v>
      </c>
      <c r="DQ469" s="4">
        <v>49</v>
      </c>
      <c r="DR469" s="4">
        <v>57</v>
      </c>
      <c r="DS469" s="4">
        <v>66.5</v>
      </c>
      <c r="DT469" s="4">
        <v>77</v>
      </c>
      <c r="DU469" s="4">
        <v>93</v>
      </c>
      <c r="DV469" s="4">
        <v>101</v>
      </c>
      <c r="DW469" s="4">
        <v>112</v>
      </c>
      <c r="DX469" s="4">
        <v>149</v>
      </c>
      <c r="DY469" s="4">
        <v>200.550049</v>
      </c>
      <c r="DZ469" s="4">
        <v>336.82006799999999</v>
      </c>
      <c r="EA469" s="4">
        <v>97.751124000000004</v>
      </c>
      <c r="EB469" s="4">
        <v>76.641221000000002</v>
      </c>
      <c r="EC469" s="4">
        <v>150.52473800000001</v>
      </c>
      <c r="ED469" s="4">
        <v>652</v>
      </c>
      <c r="EE469" s="4">
        <v>1004</v>
      </c>
      <c r="EF469" s="4">
        <v>89.505246999999997</v>
      </c>
      <c r="EG469" s="4">
        <v>100</v>
      </c>
      <c r="EH469" s="4">
        <v>61.374046</v>
      </c>
      <c r="EI469" s="4">
        <v>99.465648999999999</v>
      </c>
      <c r="EJ469" s="4">
        <v>120.53973000000001</v>
      </c>
      <c r="EK469" s="4">
        <v>195.35232400000001</v>
      </c>
      <c r="EL469" s="4">
        <v>597</v>
      </c>
      <c r="EM469" s="4">
        <v>667</v>
      </c>
      <c r="EN469" s="4">
        <v>804</v>
      </c>
      <c r="EO469" s="4">
        <v>1303</v>
      </c>
      <c r="EP469" s="4">
        <v>667</v>
      </c>
      <c r="EQ469" s="4">
        <v>1310</v>
      </c>
      <c r="ER469" s="4">
        <v>49.742361000000002</v>
      </c>
    </row>
    <row r="470" spans="1:148" x14ac:dyDescent="0.2">
      <c r="A470" s="1">
        <v>2025</v>
      </c>
      <c r="B470" s="1" t="str">
        <f t="shared" si="14"/>
        <v>RD</v>
      </c>
      <c r="C470" s="1" t="s">
        <v>1838</v>
      </c>
      <c r="D470" s="1" t="s">
        <v>1838</v>
      </c>
      <c r="E470" s="1">
        <v>28060</v>
      </c>
      <c r="F470" s="1" t="s">
        <v>2252</v>
      </c>
      <c r="G470" s="1" t="s">
        <v>249</v>
      </c>
      <c r="H470" s="1" t="s">
        <v>1989</v>
      </c>
      <c r="I470" s="1">
        <v>87.44</v>
      </c>
      <c r="J470" s="1">
        <v>87.44</v>
      </c>
      <c r="K470" s="1" t="s">
        <v>249</v>
      </c>
      <c r="L470" s="1">
        <v>1</v>
      </c>
      <c r="M470" s="3">
        <v>2020</v>
      </c>
      <c r="O470" s="1">
        <v>1</v>
      </c>
      <c r="P470" s="1" t="str">
        <f t="shared" si="15"/>
        <v>Alto fuste</v>
      </c>
      <c r="Q470" s="2">
        <v>44159</v>
      </c>
      <c r="R470" s="1" t="s">
        <v>227</v>
      </c>
      <c r="S470" s="1" t="s">
        <v>307</v>
      </c>
      <c r="T470" s="1" t="s">
        <v>2268</v>
      </c>
      <c r="U470" s="1" t="s">
        <v>212</v>
      </c>
      <c r="V470" s="1" t="s">
        <v>152</v>
      </c>
      <c r="W470" s="2">
        <v>45742</v>
      </c>
      <c r="X470" s="1" t="s">
        <v>2253</v>
      </c>
      <c r="Y470" s="1">
        <v>479.05</v>
      </c>
      <c r="Z470" s="1">
        <v>19</v>
      </c>
      <c r="AA470" s="1">
        <v>0</v>
      </c>
      <c r="AB470" s="1">
        <v>15</v>
      </c>
      <c r="AC470" s="1">
        <v>0</v>
      </c>
      <c r="AD470" s="3">
        <v>285</v>
      </c>
      <c r="AE470" s="3">
        <v>285</v>
      </c>
      <c r="AF470" s="2">
        <v>45742</v>
      </c>
      <c r="AG470" s="1">
        <v>52</v>
      </c>
      <c r="AH470" s="3">
        <v>4.3340177960301203</v>
      </c>
      <c r="AI470" s="4">
        <v>21.713280166591002</v>
      </c>
      <c r="AJ470" s="4">
        <v>13.605</v>
      </c>
      <c r="AK470" s="4">
        <v>20.965721712602299</v>
      </c>
      <c r="AL470" s="1">
        <v>40</v>
      </c>
      <c r="AM470" s="5">
        <v>1403.5087719298201</v>
      </c>
      <c r="AN470" s="4">
        <v>218.60860551859801</v>
      </c>
      <c r="AO470" s="4">
        <v>0.155758631432001</v>
      </c>
      <c r="AP470" s="1" t="s">
        <v>307</v>
      </c>
      <c r="AQ470" s="1" t="s">
        <v>156</v>
      </c>
      <c r="AR470" s="1" t="s">
        <v>275</v>
      </c>
      <c r="AS470" s="1">
        <v>7.5</v>
      </c>
      <c r="AT470" s="4">
        <v>1.0526315789473653</v>
      </c>
      <c r="AU470" s="1" t="s">
        <v>1837</v>
      </c>
      <c r="AV470" s="1" t="s">
        <v>1838</v>
      </c>
      <c r="AW470" s="1">
        <v>1181</v>
      </c>
      <c r="AX470" s="1">
        <v>613</v>
      </c>
      <c r="AY470" s="1">
        <v>393</v>
      </c>
      <c r="AZ470" s="1">
        <v>149</v>
      </c>
      <c r="BA470" s="1">
        <v>26</v>
      </c>
      <c r="BB470" s="1">
        <v>0</v>
      </c>
      <c r="BC470" s="1">
        <v>0</v>
      </c>
      <c r="BD470" s="1">
        <v>0</v>
      </c>
      <c r="BE470" s="1">
        <v>0</v>
      </c>
      <c r="BF470" s="1">
        <v>0</v>
      </c>
      <c r="BG470" s="1">
        <v>0</v>
      </c>
      <c r="BH470" s="4">
        <v>0</v>
      </c>
      <c r="BI470" s="4">
        <v>25.070999</v>
      </c>
      <c r="BJ470" s="4">
        <v>12.91188</v>
      </c>
      <c r="BK470" s="4">
        <v>0</v>
      </c>
      <c r="BL470" s="4">
        <v>8.1350789999999993</v>
      </c>
      <c r="BM470" s="4">
        <v>66.179503999999994</v>
      </c>
      <c r="BN470" s="4">
        <v>0.63004599999999999</v>
      </c>
      <c r="BO470" s="4">
        <v>13.483999000000001</v>
      </c>
      <c r="BP470" s="4">
        <v>-0.531219</v>
      </c>
      <c r="BQ470" s="4">
        <v>1.847064</v>
      </c>
      <c r="BR470" s="4">
        <v>6.973465</v>
      </c>
      <c r="BS470" s="4">
        <v>5.62</v>
      </c>
      <c r="BT470" s="4">
        <v>15.023</v>
      </c>
      <c r="BU470" s="4">
        <v>12.91188</v>
      </c>
      <c r="BV470" s="4">
        <v>4.5373270000000003</v>
      </c>
      <c r="BW470" s="4">
        <v>-0.68090499999999998</v>
      </c>
      <c r="BX470" s="4">
        <v>-0.14543200000000001</v>
      </c>
      <c r="BY470" s="4">
        <v>0.35140700000000002</v>
      </c>
      <c r="BZ470" s="4">
        <v>-0.15006700000000001</v>
      </c>
      <c r="CA470" s="4">
        <v>-3.2051999999999997E-2</v>
      </c>
      <c r="CB470" s="4">
        <v>1E-3</v>
      </c>
      <c r="CC470" s="4">
        <v>6.0000000000000001E-3</v>
      </c>
      <c r="CD470" s="4">
        <v>1.2999999999999999E-2</v>
      </c>
      <c r="CE470" s="4">
        <v>0.04</v>
      </c>
      <c r="CF470" s="4">
        <v>6.5069999999999997</v>
      </c>
      <c r="CG470" s="4">
        <v>9.298</v>
      </c>
      <c r="CH470" s="4">
        <v>12.686999999999999</v>
      </c>
      <c r="CI470" s="4">
        <v>15.023</v>
      </c>
      <c r="CJ470" s="4">
        <v>17.561001000000001</v>
      </c>
      <c r="CK470" s="4">
        <v>19.285</v>
      </c>
      <c r="CL470" s="4">
        <v>19.990998999999999</v>
      </c>
      <c r="CM470" s="4">
        <v>20.585999999999999</v>
      </c>
      <c r="CN470" s="4">
        <v>21.771999000000001</v>
      </c>
      <c r="CO470" s="4">
        <v>22.707001000000002</v>
      </c>
      <c r="CP470" s="4">
        <v>24.034196999999999</v>
      </c>
      <c r="CQ470" s="4">
        <v>0.51501300000000005</v>
      </c>
      <c r="CR470" s="4">
        <v>15.259099000000001</v>
      </c>
      <c r="CS470" s="4">
        <v>16.421361999999998</v>
      </c>
      <c r="CT470" s="1">
        <v>24</v>
      </c>
      <c r="CU470" s="1">
        <v>448</v>
      </c>
      <c r="CV470" s="4">
        <v>80.486875999999995</v>
      </c>
      <c r="CW470" s="4">
        <v>37.460317000000003</v>
      </c>
      <c r="CX470" s="4">
        <v>63.71114</v>
      </c>
      <c r="CY470" s="4">
        <v>4059.1093620000001</v>
      </c>
      <c r="CZ470" s="4">
        <v>0.79157200000000005</v>
      </c>
      <c r="DA470" s="4">
        <v>50</v>
      </c>
      <c r="DB470" s="4">
        <v>2.8889619999999998</v>
      </c>
      <c r="DC470" s="4">
        <v>12.985452</v>
      </c>
      <c r="DD470" s="4">
        <v>40.953629999999997</v>
      </c>
      <c r="DE470" s="4">
        <v>80.486875999999995</v>
      </c>
      <c r="DF470" s="4">
        <v>28.091716000000002</v>
      </c>
      <c r="DG470" s="4">
        <v>12.256693</v>
      </c>
      <c r="DH470" s="4">
        <v>7.7750069999999996</v>
      </c>
      <c r="DI470" s="4">
        <v>0.349022</v>
      </c>
      <c r="DJ470" s="4">
        <v>0.43630999999999998</v>
      </c>
      <c r="DK470" s="4">
        <v>0.27677200000000002</v>
      </c>
      <c r="DL470" s="4">
        <v>27</v>
      </c>
      <c r="DM470" s="4">
        <v>31</v>
      </c>
      <c r="DN470" s="4">
        <v>35</v>
      </c>
      <c r="DO470" s="4">
        <v>41</v>
      </c>
      <c r="DP470" s="4">
        <v>43</v>
      </c>
      <c r="DQ470" s="4">
        <v>45</v>
      </c>
      <c r="DR470" s="4">
        <v>52</v>
      </c>
      <c r="DS470" s="4">
        <v>61</v>
      </c>
      <c r="DT470" s="4">
        <v>71</v>
      </c>
      <c r="DU470" s="4">
        <v>84</v>
      </c>
      <c r="DV470" s="4">
        <v>93</v>
      </c>
      <c r="DW470" s="4">
        <v>103</v>
      </c>
      <c r="DX470" s="4">
        <v>136</v>
      </c>
      <c r="DY470" s="4">
        <v>197</v>
      </c>
      <c r="DZ470" s="4">
        <v>379.399902</v>
      </c>
      <c r="EA470" s="4">
        <v>95.758564000000007</v>
      </c>
      <c r="EB470" s="4">
        <v>77.138019</v>
      </c>
      <c r="EC470" s="4">
        <v>148.61337700000001</v>
      </c>
      <c r="ED470" s="4">
        <v>587</v>
      </c>
      <c r="EE470" s="4">
        <v>911</v>
      </c>
      <c r="EF470" s="4">
        <v>86.786297000000005</v>
      </c>
      <c r="EG470" s="4">
        <v>100</v>
      </c>
      <c r="EH470" s="4">
        <v>59.017781999999997</v>
      </c>
      <c r="EI470" s="4">
        <v>99.745977999999994</v>
      </c>
      <c r="EJ470" s="4">
        <v>113.70310000000001</v>
      </c>
      <c r="EK470" s="4">
        <v>192.169657</v>
      </c>
      <c r="EL470" s="4">
        <v>532</v>
      </c>
      <c r="EM470" s="4">
        <v>613</v>
      </c>
      <c r="EN470" s="4">
        <v>697</v>
      </c>
      <c r="EO470" s="4">
        <v>1178</v>
      </c>
      <c r="EP470" s="4">
        <v>613</v>
      </c>
      <c r="EQ470" s="4">
        <v>1181</v>
      </c>
      <c r="ER470" s="4">
        <v>52.748370000000001</v>
      </c>
    </row>
    <row r="471" spans="1:148" x14ac:dyDescent="0.2">
      <c r="A471" s="1">
        <v>2025</v>
      </c>
      <c r="B471" s="1" t="str">
        <f t="shared" si="14"/>
        <v>RD</v>
      </c>
      <c r="C471" s="1" t="s">
        <v>1840</v>
      </c>
      <c r="D471" s="1" t="s">
        <v>1840</v>
      </c>
      <c r="E471" s="1">
        <v>28061</v>
      </c>
      <c r="F471" s="1" t="s">
        <v>2252</v>
      </c>
      <c r="G471" s="1" t="s">
        <v>249</v>
      </c>
      <c r="H471" s="1" t="s">
        <v>1989</v>
      </c>
      <c r="I471" s="1">
        <v>87.44</v>
      </c>
      <c r="J471" s="1">
        <v>87.44</v>
      </c>
      <c r="K471" s="1" t="s">
        <v>249</v>
      </c>
      <c r="L471" s="1">
        <v>1</v>
      </c>
      <c r="M471" s="3">
        <v>2020</v>
      </c>
      <c r="O471" s="1">
        <v>1</v>
      </c>
      <c r="P471" s="1" t="str">
        <f t="shared" si="15"/>
        <v>Alto fuste</v>
      </c>
      <c r="Q471" s="2">
        <v>44159</v>
      </c>
      <c r="R471" s="1" t="s">
        <v>227</v>
      </c>
      <c r="S471" s="1" t="s">
        <v>307</v>
      </c>
      <c r="T471" s="1" t="s">
        <v>2268</v>
      </c>
      <c r="U471" s="1" t="s">
        <v>212</v>
      </c>
      <c r="V471" s="1" t="s">
        <v>152</v>
      </c>
      <c r="W471" s="2">
        <v>44825</v>
      </c>
      <c r="X471" s="1" t="s">
        <v>2253</v>
      </c>
      <c r="Y471" s="1">
        <v>479.05</v>
      </c>
      <c r="Z471" s="1">
        <v>20.5</v>
      </c>
      <c r="AA471" s="1">
        <v>0</v>
      </c>
      <c r="AB471" s="1">
        <v>15</v>
      </c>
      <c r="AC471" s="1">
        <v>0</v>
      </c>
      <c r="AD471" s="3">
        <v>307.5</v>
      </c>
      <c r="AE471" s="3">
        <v>307.5</v>
      </c>
      <c r="AF471" s="2">
        <v>45742</v>
      </c>
      <c r="AG471" s="1">
        <v>52</v>
      </c>
      <c r="AH471" s="3">
        <v>4.3340177960301203</v>
      </c>
      <c r="AI471" s="4">
        <v>23.0653166073756</v>
      </c>
      <c r="AJ471" s="4">
        <v>13.265000000000001</v>
      </c>
      <c r="AK471" s="4">
        <v>18.6980443173046</v>
      </c>
      <c r="AL471" s="1">
        <v>40</v>
      </c>
      <c r="AM471" s="5">
        <v>1300.8130081300801</v>
      </c>
      <c r="AN471" s="4">
        <v>215.070341226186</v>
      </c>
      <c r="AO471" s="4">
        <v>0.165335324817631</v>
      </c>
      <c r="AP471" s="1" t="s">
        <v>307</v>
      </c>
      <c r="AQ471" s="1" t="s">
        <v>156</v>
      </c>
      <c r="AR471" s="1" t="s">
        <v>275</v>
      </c>
      <c r="AS471" s="1">
        <v>7.5</v>
      </c>
      <c r="AT471" s="4">
        <v>0.97560975609756018</v>
      </c>
      <c r="AU471" s="1" t="s">
        <v>1839</v>
      </c>
      <c r="AV471" s="1" t="s">
        <v>1840</v>
      </c>
      <c r="AW471" s="1">
        <v>1261</v>
      </c>
      <c r="AX471" s="1">
        <v>621</v>
      </c>
      <c r="AY471" s="1">
        <v>454</v>
      </c>
      <c r="AZ471" s="1">
        <v>158</v>
      </c>
      <c r="BA471" s="1">
        <v>27</v>
      </c>
      <c r="BB471" s="1">
        <v>1</v>
      </c>
      <c r="BC471" s="1">
        <v>0</v>
      </c>
      <c r="BD471" s="1">
        <v>0</v>
      </c>
      <c r="BE471" s="1">
        <v>0</v>
      </c>
      <c r="BF471" s="1">
        <v>0</v>
      </c>
      <c r="BG471" s="1">
        <v>0</v>
      </c>
      <c r="BH471" s="4">
        <v>0</v>
      </c>
      <c r="BI471" s="4">
        <v>24.686001000000001</v>
      </c>
      <c r="BJ471" s="4">
        <v>12.133367</v>
      </c>
      <c r="BK471" s="4">
        <v>0</v>
      </c>
      <c r="BL471" s="4">
        <v>7.7039160000000004</v>
      </c>
      <c r="BM471" s="4">
        <v>59.350329000000002</v>
      </c>
      <c r="BN471" s="4">
        <v>0.63493599999999994</v>
      </c>
      <c r="BO471" s="4">
        <v>13.081</v>
      </c>
      <c r="BP471" s="4">
        <v>-0.35182799999999997</v>
      </c>
      <c r="BQ471" s="4">
        <v>1.832144</v>
      </c>
      <c r="BR471" s="4">
        <v>6.5639789999999998</v>
      </c>
      <c r="BS471" s="4">
        <v>6.1170010000000001</v>
      </c>
      <c r="BT471" s="4">
        <v>13.302</v>
      </c>
      <c r="BU471" s="4">
        <v>12.133367</v>
      </c>
      <c r="BV471" s="4">
        <v>4.379696</v>
      </c>
      <c r="BW471" s="4">
        <v>-0.40751199999999999</v>
      </c>
      <c r="BX471" s="4">
        <v>-7.0849999999999996E-2</v>
      </c>
      <c r="BY471" s="4">
        <v>0.36096299999999998</v>
      </c>
      <c r="BZ471" s="4">
        <v>-9.3046000000000004E-2</v>
      </c>
      <c r="CA471" s="4">
        <v>-1.6177E-2</v>
      </c>
      <c r="CB471" s="4">
        <v>2E-3</v>
      </c>
      <c r="CC471" s="4">
        <v>0.01</v>
      </c>
      <c r="CD471" s="4">
        <v>1.9E-2</v>
      </c>
      <c r="CE471" s="4">
        <v>2.597</v>
      </c>
      <c r="CF471" s="4">
        <v>5.798</v>
      </c>
      <c r="CG471" s="4">
        <v>8.6310000000000002</v>
      </c>
      <c r="CH471" s="4">
        <v>11.22</v>
      </c>
      <c r="CI471" s="4">
        <v>13.302</v>
      </c>
      <c r="CJ471" s="4">
        <v>15.515000000000001</v>
      </c>
      <c r="CK471" s="4">
        <v>17.691998999999999</v>
      </c>
      <c r="CL471" s="4">
        <v>18.879000000000001</v>
      </c>
      <c r="CM471" s="4">
        <v>20.023001000000001</v>
      </c>
      <c r="CN471" s="4">
        <v>21.427</v>
      </c>
      <c r="CO471" s="4">
        <v>22.292998999999998</v>
      </c>
      <c r="CP471" s="4">
        <v>23.737003000000001</v>
      </c>
      <c r="CQ471" s="4">
        <v>0.491508</v>
      </c>
      <c r="CR471" s="4">
        <v>14.370869000000001</v>
      </c>
      <c r="CS471" s="4">
        <v>15.583195</v>
      </c>
      <c r="CT471" s="1">
        <v>23</v>
      </c>
      <c r="CU471" s="1">
        <v>497</v>
      </c>
      <c r="CV471" s="4">
        <v>89.014274</v>
      </c>
      <c r="CW471" s="4">
        <v>30.523810000000001</v>
      </c>
      <c r="CX471" s="4">
        <v>69.538214999999994</v>
      </c>
      <c r="CY471" s="4">
        <v>4835.5632880000003</v>
      </c>
      <c r="CZ471" s="4">
        <v>0.78120299999999998</v>
      </c>
      <c r="DA471" s="4">
        <v>59</v>
      </c>
      <c r="DB471" s="4">
        <v>2.5478740000000002</v>
      </c>
      <c r="DC471" s="4">
        <v>10.821514000000001</v>
      </c>
      <c r="DD471" s="4">
        <v>46.193345999999998</v>
      </c>
      <c r="DE471" s="4">
        <v>89.014274</v>
      </c>
      <c r="DF471" s="4">
        <v>31.955397999999999</v>
      </c>
      <c r="DG471" s="4">
        <v>13.033337</v>
      </c>
      <c r="DH471" s="4">
        <v>8.0708380000000002</v>
      </c>
      <c r="DI471" s="4">
        <v>0.35899199999999998</v>
      </c>
      <c r="DJ471" s="4">
        <v>0.40786</v>
      </c>
      <c r="DK471" s="4">
        <v>0.25256600000000001</v>
      </c>
      <c r="DL471" s="4">
        <v>27</v>
      </c>
      <c r="DM471" s="4">
        <v>32</v>
      </c>
      <c r="DN471" s="4">
        <v>36</v>
      </c>
      <c r="DO471" s="4">
        <v>42</v>
      </c>
      <c r="DP471" s="4">
        <v>45</v>
      </c>
      <c r="DQ471" s="4">
        <v>49</v>
      </c>
      <c r="DR471" s="4">
        <v>58</v>
      </c>
      <c r="DS471" s="4">
        <v>69</v>
      </c>
      <c r="DT471" s="4">
        <v>81</v>
      </c>
      <c r="DU471" s="4">
        <v>95</v>
      </c>
      <c r="DV471" s="4">
        <v>104</v>
      </c>
      <c r="DW471" s="4">
        <v>114</v>
      </c>
      <c r="DX471" s="4">
        <v>163</v>
      </c>
      <c r="DY471" s="4">
        <v>234</v>
      </c>
      <c r="DZ471" s="4">
        <v>378.20007299999997</v>
      </c>
      <c r="EA471" s="4">
        <v>95.813204999999996</v>
      </c>
      <c r="EB471" s="4">
        <v>79.540047999999999</v>
      </c>
      <c r="EC471" s="4">
        <v>161.513688</v>
      </c>
      <c r="ED471" s="4">
        <v>595</v>
      </c>
      <c r="EE471" s="4">
        <v>1003</v>
      </c>
      <c r="EF471" s="4">
        <v>82.608695999999995</v>
      </c>
      <c r="EG471" s="4">
        <v>100</v>
      </c>
      <c r="EH471" s="4">
        <v>56.225217999999998</v>
      </c>
      <c r="EI471" s="4">
        <v>99.762094000000005</v>
      </c>
      <c r="EJ471" s="4">
        <v>114.170692</v>
      </c>
      <c r="EK471" s="4">
        <v>202.57649000000001</v>
      </c>
      <c r="EL471" s="4">
        <v>513</v>
      </c>
      <c r="EM471" s="4">
        <v>621</v>
      </c>
      <c r="EN471" s="4">
        <v>709</v>
      </c>
      <c r="EO471" s="4">
        <v>1258</v>
      </c>
      <c r="EP471" s="4">
        <v>621</v>
      </c>
      <c r="EQ471" s="4">
        <v>1261</v>
      </c>
      <c r="ER471" s="4">
        <v>50.100127999999998</v>
      </c>
    </row>
    <row r="472" spans="1:148" x14ac:dyDescent="0.2">
      <c r="A472" s="1">
        <v>2025</v>
      </c>
      <c r="B472" s="1" t="str">
        <f t="shared" si="14"/>
        <v>RD</v>
      </c>
      <c r="C472" s="1" t="s">
        <v>1842</v>
      </c>
      <c r="D472" s="1" t="s">
        <v>1842</v>
      </c>
      <c r="E472" s="1">
        <v>28062</v>
      </c>
      <c r="F472" s="1" t="s">
        <v>2252</v>
      </c>
      <c r="G472" s="1" t="s">
        <v>249</v>
      </c>
      <c r="H472" s="1" t="s">
        <v>1989</v>
      </c>
      <c r="I472" s="1">
        <v>87.44</v>
      </c>
      <c r="J472" s="1">
        <v>87.44</v>
      </c>
      <c r="K472" s="1" t="s">
        <v>249</v>
      </c>
      <c r="L472" s="1">
        <v>1</v>
      </c>
      <c r="M472" s="3">
        <v>2020</v>
      </c>
      <c r="O472" s="1">
        <v>1</v>
      </c>
      <c r="P472" s="1" t="str">
        <f t="shared" si="15"/>
        <v>Alto fuste</v>
      </c>
      <c r="Q472" s="2">
        <v>44159</v>
      </c>
      <c r="R472" s="1" t="s">
        <v>227</v>
      </c>
      <c r="S472" s="1" t="s">
        <v>307</v>
      </c>
      <c r="T472" s="1" t="s">
        <v>2268</v>
      </c>
      <c r="U472" s="1" t="s">
        <v>212</v>
      </c>
      <c r="V472" s="1" t="s">
        <v>152</v>
      </c>
      <c r="W472" s="2">
        <v>45742</v>
      </c>
      <c r="X472" s="1" t="s">
        <v>2253</v>
      </c>
      <c r="Y472" s="1">
        <v>479.05</v>
      </c>
      <c r="Z472" s="1">
        <v>20.2</v>
      </c>
      <c r="AA472" s="1">
        <v>0</v>
      </c>
      <c r="AB472" s="1">
        <v>14.6</v>
      </c>
      <c r="AC472" s="1">
        <v>0</v>
      </c>
      <c r="AD472" s="3">
        <v>294.92</v>
      </c>
      <c r="AE472" s="3">
        <v>294.92</v>
      </c>
      <c r="AF472" s="2">
        <v>45742</v>
      </c>
      <c r="AG472" s="1">
        <v>52</v>
      </c>
      <c r="AH472" s="3">
        <v>4.3340177960301203</v>
      </c>
      <c r="AI472" s="4">
        <v>23.537215997292801</v>
      </c>
      <c r="AJ472" s="4">
        <v>16.100000000000001</v>
      </c>
      <c r="AK472" s="4">
        <v>11.7101875508798</v>
      </c>
      <c r="AL472" s="1">
        <v>16</v>
      </c>
      <c r="AM472" s="5">
        <v>542.5200054252</v>
      </c>
      <c r="AN472" s="4">
        <v>133.19943567606501</v>
      </c>
      <c r="AO472" s="4">
        <v>0.24551985980990601</v>
      </c>
      <c r="AP472" s="1" t="s">
        <v>307</v>
      </c>
      <c r="AQ472" s="1" t="s">
        <v>156</v>
      </c>
      <c r="AR472" s="1" t="s">
        <v>275</v>
      </c>
      <c r="AS472" s="1">
        <v>7.5</v>
      </c>
      <c r="AT472" s="4">
        <v>0.40689000406890002</v>
      </c>
      <c r="AU472" s="1" t="s">
        <v>1841</v>
      </c>
      <c r="AV472" s="1" t="s">
        <v>1842</v>
      </c>
      <c r="AW472" s="1">
        <v>1009</v>
      </c>
      <c r="AX472" s="1">
        <v>547</v>
      </c>
      <c r="AY472" s="1">
        <v>333</v>
      </c>
      <c r="AZ472" s="1">
        <v>116</v>
      </c>
      <c r="BA472" s="1">
        <v>12</v>
      </c>
      <c r="BB472" s="1">
        <v>1</v>
      </c>
      <c r="BC472" s="1">
        <v>0</v>
      </c>
      <c r="BD472" s="1">
        <v>0</v>
      </c>
      <c r="BE472" s="1">
        <v>0</v>
      </c>
      <c r="BF472" s="1">
        <v>0</v>
      </c>
      <c r="BG472" s="1">
        <v>0</v>
      </c>
      <c r="BH472" s="4">
        <v>0</v>
      </c>
      <c r="BI472" s="4">
        <v>27.24</v>
      </c>
      <c r="BJ472" s="4">
        <v>11.360756</v>
      </c>
      <c r="BK472" s="4">
        <v>0</v>
      </c>
      <c r="BL472" s="4">
        <v>8.5546450000000007</v>
      </c>
      <c r="BM472" s="4">
        <v>73.181944999999999</v>
      </c>
      <c r="BN472" s="4">
        <v>0.753</v>
      </c>
      <c r="BO472" s="4">
        <v>19.084999</v>
      </c>
      <c r="BP472" s="4">
        <v>-0.128633</v>
      </c>
      <c r="BQ472" s="4">
        <v>1.582254</v>
      </c>
      <c r="BR472" s="4">
        <v>7.5861919999999996</v>
      </c>
      <c r="BS472" s="4">
        <v>7.5069999999999997</v>
      </c>
      <c r="BT472" s="4">
        <v>12.711</v>
      </c>
      <c r="BU472" s="4">
        <v>11.360756</v>
      </c>
      <c r="BV472" s="4">
        <v>4.8616440000000001</v>
      </c>
      <c r="BW472" s="4">
        <v>-8.5483000000000003E-2</v>
      </c>
      <c r="BX472" s="4">
        <v>-0.34496300000000002</v>
      </c>
      <c r="BY472" s="4">
        <v>0.42793300000000001</v>
      </c>
      <c r="BZ472" s="4">
        <v>-1.7583000000000001E-2</v>
      </c>
      <c r="CA472" s="4">
        <v>-7.0956000000000005E-2</v>
      </c>
      <c r="CB472" s="4">
        <v>2E-3</v>
      </c>
      <c r="CC472" s="4">
        <v>6.0000000000000001E-3</v>
      </c>
      <c r="CD472" s="4">
        <v>1.2E-2</v>
      </c>
      <c r="CE472" s="4">
        <v>0.03</v>
      </c>
      <c r="CF472" s="4">
        <v>5.5E-2</v>
      </c>
      <c r="CG472" s="4">
        <v>4.4843999999999999</v>
      </c>
      <c r="CH472" s="4">
        <v>9.5242000000000004</v>
      </c>
      <c r="CI472" s="4">
        <v>12.711</v>
      </c>
      <c r="CJ472" s="4">
        <v>15.476800000000001</v>
      </c>
      <c r="CK472" s="4">
        <v>17.850598999999999</v>
      </c>
      <c r="CL472" s="4">
        <v>19.139999</v>
      </c>
      <c r="CM472" s="4">
        <v>20.005199000000001</v>
      </c>
      <c r="CN472" s="4">
        <v>21.984401999999999</v>
      </c>
      <c r="CO472" s="4">
        <v>23.538799000000001</v>
      </c>
      <c r="CP472" s="4">
        <v>25.224119000000002</v>
      </c>
      <c r="CQ472" s="4">
        <v>0.41706199999999999</v>
      </c>
      <c r="CR472" s="4">
        <v>14.218868000000001</v>
      </c>
      <c r="CS472" s="4">
        <v>15.710385</v>
      </c>
      <c r="CT472" s="1">
        <v>23</v>
      </c>
      <c r="CU472" s="1">
        <v>471</v>
      </c>
      <c r="CV472" s="4">
        <v>89.847374000000002</v>
      </c>
      <c r="CW472" s="4">
        <v>30.111111000000001</v>
      </c>
      <c r="CX472" s="4">
        <v>81.729242999999997</v>
      </c>
      <c r="CY472" s="4">
        <v>6679.6691419999997</v>
      </c>
      <c r="CZ472" s="4">
        <v>0.90964500000000004</v>
      </c>
      <c r="DA472" s="4">
        <v>56</v>
      </c>
      <c r="DB472" s="4">
        <v>2.3141910000000001</v>
      </c>
      <c r="DC472" s="4">
        <v>8.0894490000000001</v>
      </c>
      <c r="DD472" s="4">
        <v>55.180207000000003</v>
      </c>
      <c r="DE472" s="4">
        <v>89.847374000000002</v>
      </c>
      <c r="DF472" s="4">
        <v>36.66037</v>
      </c>
      <c r="DG472" s="4">
        <v>17.811761000000001</v>
      </c>
      <c r="DH472" s="4">
        <v>10.226996</v>
      </c>
      <c r="DI472" s="4">
        <v>0.40802899999999998</v>
      </c>
      <c r="DJ472" s="4">
        <v>0.48585899999999999</v>
      </c>
      <c r="DK472" s="4">
        <v>0.27896599999999999</v>
      </c>
      <c r="DL472" s="4">
        <v>26</v>
      </c>
      <c r="DM472" s="4">
        <v>31</v>
      </c>
      <c r="DN472" s="4">
        <v>34</v>
      </c>
      <c r="DO472" s="4">
        <v>38.600006</v>
      </c>
      <c r="DP472" s="4">
        <v>41</v>
      </c>
      <c r="DQ472" s="4">
        <v>45</v>
      </c>
      <c r="DR472" s="4">
        <v>52</v>
      </c>
      <c r="DS472" s="4">
        <v>59</v>
      </c>
      <c r="DT472" s="4">
        <v>71</v>
      </c>
      <c r="DU472" s="4">
        <v>88</v>
      </c>
      <c r="DV472" s="4">
        <v>97</v>
      </c>
      <c r="DW472" s="4">
        <v>111.400024</v>
      </c>
      <c r="DX472" s="4">
        <v>188.800049</v>
      </c>
      <c r="DY472" s="4">
        <v>298.59997600000003</v>
      </c>
      <c r="DZ472" s="4">
        <v>400</v>
      </c>
      <c r="EA472" s="4">
        <v>87.385739999999998</v>
      </c>
      <c r="EB472" s="4">
        <v>71.655103999999994</v>
      </c>
      <c r="EC472" s="4">
        <v>132.17550299999999</v>
      </c>
      <c r="ED472" s="4">
        <v>478</v>
      </c>
      <c r="EE472" s="4">
        <v>723</v>
      </c>
      <c r="EF472" s="4">
        <v>75.685558</v>
      </c>
      <c r="EG472" s="4">
        <v>99.817184999999995</v>
      </c>
      <c r="EH472" s="4">
        <v>54.806739</v>
      </c>
      <c r="EI472" s="4">
        <v>99.702675999999997</v>
      </c>
      <c r="EJ472" s="4">
        <v>101.096892</v>
      </c>
      <c r="EK472" s="4">
        <v>183.912249</v>
      </c>
      <c r="EL472" s="4">
        <v>414</v>
      </c>
      <c r="EM472" s="4">
        <v>546</v>
      </c>
      <c r="EN472" s="4">
        <v>553</v>
      </c>
      <c r="EO472" s="4">
        <v>1006</v>
      </c>
      <c r="EP472" s="4">
        <v>547</v>
      </c>
      <c r="EQ472" s="4">
        <v>1009</v>
      </c>
      <c r="ER472" s="4">
        <v>44.016086999999999</v>
      </c>
    </row>
    <row r="473" spans="1:148" x14ac:dyDescent="0.2">
      <c r="A473" s="1">
        <v>2025</v>
      </c>
      <c r="B473" s="1" t="str">
        <f t="shared" si="14"/>
        <v>RD</v>
      </c>
      <c r="C473" s="1" t="s">
        <v>1844</v>
      </c>
      <c r="D473" s="1" t="s">
        <v>1844</v>
      </c>
      <c r="E473" s="1">
        <v>26620</v>
      </c>
      <c r="F473" s="1" t="s">
        <v>2254</v>
      </c>
      <c r="G473" s="1" t="s">
        <v>2041</v>
      </c>
      <c r="H473" s="1" t="s">
        <v>1990</v>
      </c>
      <c r="I473" s="1">
        <v>88.47</v>
      </c>
      <c r="J473" s="1">
        <v>88.47</v>
      </c>
      <c r="K473" s="1" t="s">
        <v>249</v>
      </c>
      <c r="L473" s="1">
        <v>1</v>
      </c>
      <c r="M473" s="3">
        <v>2018</v>
      </c>
      <c r="O473" s="1">
        <v>1</v>
      </c>
      <c r="P473" s="1" t="str">
        <f t="shared" si="15"/>
        <v>Alto fuste</v>
      </c>
      <c r="Q473" s="2">
        <v>43454</v>
      </c>
      <c r="R473" s="1" t="s">
        <v>227</v>
      </c>
      <c r="S473" s="1" t="s">
        <v>238</v>
      </c>
      <c r="T473" s="1" t="s">
        <v>2268</v>
      </c>
      <c r="U473" s="1" t="s">
        <v>212</v>
      </c>
      <c r="V473" s="1" t="s">
        <v>152</v>
      </c>
      <c r="W473" s="2">
        <v>44826</v>
      </c>
      <c r="X473" s="1" t="s">
        <v>2255</v>
      </c>
      <c r="Y473" s="1">
        <v>109.01</v>
      </c>
      <c r="Z473" s="1">
        <v>21.4</v>
      </c>
      <c r="AA473" s="1">
        <v>16</v>
      </c>
      <c r="AB473" s="1">
        <v>15.3</v>
      </c>
      <c r="AC473" s="1">
        <v>0</v>
      </c>
      <c r="AD473" s="3">
        <v>327.42</v>
      </c>
      <c r="AE473" s="3">
        <v>314.73630448412399</v>
      </c>
      <c r="AF473" s="2">
        <v>45735</v>
      </c>
      <c r="AG473" s="1">
        <v>75</v>
      </c>
      <c r="AH473" s="3">
        <v>6.2450376454483196</v>
      </c>
      <c r="AI473" s="4">
        <v>19.763304890038999</v>
      </c>
      <c r="AJ473" s="4">
        <v>12.5659090909091</v>
      </c>
      <c r="AK473" s="4">
        <v>18.571163997573802</v>
      </c>
      <c r="AL473" s="1">
        <v>44</v>
      </c>
      <c r="AM473" s="5">
        <v>1397.99569903825</v>
      </c>
      <c r="AN473" s="4">
        <v>183.07535292549801</v>
      </c>
      <c r="AO473" s="4">
        <v>0.130955590958859</v>
      </c>
      <c r="AP473" s="1" t="s">
        <v>238</v>
      </c>
      <c r="AQ473" s="1" t="s">
        <v>156</v>
      </c>
      <c r="AR473" s="1" t="s">
        <v>459</v>
      </c>
      <c r="AS473" s="1">
        <v>7.5</v>
      </c>
      <c r="AT473" s="4">
        <v>1.0484967742786875</v>
      </c>
      <c r="AU473" s="1" t="s">
        <v>1843</v>
      </c>
      <c r="AV473" s="1" t="s">
        <v>1844</v>
      </c>
      <c r="AW473" s="1">
        <v>1238</v>
      </c>
      <c r="AX473" s="1">
        <v>707</v>
      </c>
      <c r="AY473" s="1">
        <v>376</v>
      </c>
      <c r="AZ473" s="1">
        <v>134</v>
      </c>
      <c r="BA473" s="1">
        <v>19</v>
      </c>
      <c r="BB473" s="1">
        <v>2</v>
      </c>
      <c r="BC473" s="1">
        <v>0</v>
      </c>
      <c r="BD473" s="1">
        <v>0</v>
      </c>
      <c r="BE473" s="1">
        <v>0</v>
      </c>
      <c r="BF473" s="1">
        <v>0</v>
      </c>
      <c r="BG473" s="1">
        <v>0</v>
      </c>
      <c r="BH473" s="4">
        <v>0</v>
      </c>
      <c r="BI473" s="4">
        <v>23.632999000000002</v>
      </c>
      <c r="BJ473" s="4">
        <v>15.699014999999999</v>
      </c>
      <c r="BK473" s="4">
        <v>0</v>
      </c>
      <c r="BL473" s="4">
        <v>6.8108579999999996</v>
      </c>
      <c r="BM473" s="4">
        <v>46.387782000000001</v>
      </c>
      <c r="BN473" s="4">
        <v>0.43384</v>
      </c>
      <c r="BO473" s="4">
        <v>6.4240009999999996</v>
      </c>
      <c r="BP473" s="4">
        <v>-1.3768009999999999</v>
      </c>
      <c r="BQ473" s="4">
        <v>3.5812539999999999</v>
      </c>
      <c r="BR473" s="4">
        <v>5.3181029999999998</v>
      </c>
      <c r="BS473" s="4">
        <v>2.1894999999999998</v>
      </c>
      <c r="BT473" s="4">
        <v>18.652999999999999</v>
      </c>
      <c r="BU473" s="4">
        <v>15.699014999999999</v>
      </c>
      <c r="BV473" s="4">
        <v>3.422717</v>
      </c>
      <c r="BW473" s="4">
        <v>-1.296748</v>
      </c>
      <c r="BX473" s="4">
        <v>0.49707800000000002</v>
      </c>
      <c r="BY473" s="4">
        <v>0.21802099999999999</v>
      </c>
      <c r="BZ473" s="4">
        <v>-0.37886500000000001</v>
      </c>
      <c r="CA473" s="4">
        <v>0.145229</v>
      </c>
      <c r="CB473" s="4">
        <v>6.0000000000000001E-3</v>
      </c>
      <c r="CC473" s="4">
        <v>3.4000000000000002E-2</v>
      </c>
      <c r="CD473" s="4">
        <v>0.51659999999999995</v>
      </c>
      <c r="CE473" s="4">
        <v>11.818398999999999</v>
      </c>
      <c r="CF473" s="4">
        <v>13.758749999999999</v>
      </c>
      <c r="CG473" s="4">
        <v>15.280099999999999</v>
      </c>
      <c r="CH473" s="4">
        <v>17.580801000000001</v>
      </c>
      <c r="CI473" s="4">
        <v>18.652999999999999</v>
      </c>
      <c r="CJ473" s="4">
        <v>19.380800000000001</v>
      </c>
      <c r="CK473" s="4">
        <v>19.938400000000001</v>
      </c>
      <c r="CL473" s="4">
        <v>20.182751</v>
      </c>
      <c r="CM473" s="4">
        <v>20.5322</v>
      </c>
      <c r="CN473" s="4">
        <v>21.178303</v>
      </c>
      <c r="CO473" s="4">
        <v>21.84075</v>
      </c>
      <c r="CP473" s="4">
        <v>22.756119000000002</v>
      </c>
      <c r="CQ473" s="4">
        <v>0.66428399999999999</v>
      </c>
      <c r="CR473" s="4">
        <v>17.111674000000001</v>
      </c>
      <c r="CS473" s="4">
        <v>17.776544999999999</v>
      </c>
      <c r="CT473" s="1">
        <v>24</v>
      </c>
      <c r="CU473" s="1">
        <v>350</v>
      </c>
      <c r="CV473" s="4">
        <v>120.109047</v>
      </c>
      <c r="CW473" s="4">
        <v>49.873016</v>
      </c>
      <c r="CX473" s="4">
        <v>74.859837999999996</v>
      </c>
      <c r="CY473" s="4">
        <v>5603.9953750000004</v>
      </c>
      <c r="CZ473" s="4">
        <v>0.62326599999999999</v>
      </c>
      <c r="DA473" s="4">
        <v>123</v>
      </c>
      <c r="DB473" s="4">
        <v>0.68432099999999996</v>
      </c>
      <c r="DC473" s="4">
        <v>2.418806</v>
      </c>
      <c r="DD473" s="4">
        <v>63.950572999999999</v>
      </c>
      <c r="DE473" s="4">
        <v>120.109047</v>
      </c>
      <c r="DF473" s="4">
        <v>41.847827000000002</v>
      </c>
      <c r="DG473" s="4">
        <v>8.0956419999999998</v>
      </c>
      <c r="DH473" s="4">
        <v>0.86371799999999999</v>
      </c>
      <c r="DI473" s="4">
        <v>0.34841499999999997</v>
      </c>
      <c r="DJ473" s="4">
        <v>0.19345399999999999</v>
      </c>
      <c r="DK473" s="4">
        <v>2.0639000000000001E-2</v>
      </c>
      <c r="DL473" s="4">
        <v>29</v>
      </c>
      <c r="DM473" s="4">
        <v>35</v>
      </c>
      <c r="DN473" s="4">
        <v>39</v>
      </c>
      <c r="DO473" s="4">
        <v>48</v>
      </c>
      <c r="DP473" s="4">
        <v>53</v>
      </c>
      <c r="DQ473" s="4">
        <v>59</v>
      </c>
      <c r="DR473" s="4">
        <v>78</v>
      </c>
      <c r="DS473" s="4">
        <v>100</v>
      </c>
      <c r="DT473" s="4">
        <v>127.200012</v>
      </c>
      <c r="DU473" s="4">
        <v>163.900024</v>
      </c>
      <c r="DV473" s="4">
        <v>176</v>
      </c>
      <c r="DW473" s="4">
        <v>191</v>
      </c>
      <c r="DX473" s="4">
        <v>232</v>
      </c>
      <c r="DY473" s="4">
        <v>262</v>
      </c>
      <c r="DZ473" s="4">
        <v>302.26001000000002</v>
      </c>
      <c r="EA473" s="4">
        <v>99.434229000000002</v>
      </c>
      <c r="EB473" s="4">
        <v>87.641356999999999</v>
      </c>
      <c r="EC473" s="4">
        <v>153.46534700000001</v>
      </c>
      <c r="ED473" s="4">
        <v>703</v>
      </c>
      <c r="EE473" s="4">
        <v>1085</v>
      </c>
      <c r="EF473" s="4">
        <v>94.908062000000001</v>
      </c>
      <c r="EG473" s="4">
        <v>100</v>
      </c>
      <c r="EH473" s="4">
        <v>68.982229000000004</v>
      </c>
      <c r="EI473" s="4">
        <v>99.676897999999994</v>
      </c>
      <c r="EJ473" s="4">
        <v>120.792079</v>
      </c>
      <c r="EK473" s="4">
        <v>174.540311</v>
      </c>
      <c r="EL473" s="4">
        <v>671</v>
      </c>
      <c r="EM473" s="4">
        <v>707</v>
      </c>
      <c r="EN473" s="4">
        <v>854</v>
      </c>
      <c r="EO473" s="4">
        <v>1234</v>
      </c>
      <c r="EP473" s="4">
        <v>707</v>
      </c>
      <c r="EQ473" s="4">
        <v>1238</v>
      </c>
      <c r="ER473" s="4">
        <v>67.985051999999996</v>
      </c>
    </row>
    <row r="474" spans="1:148" x14ac:dyDescent="0.2">
      <c r="A474" s="1">
        <v>2025</v>
      </c>
      <c r="B474" s="1" t="str">
        <f t="shared" si="14"/>
        <v>RD</v>
      </c>
      <c r="C474" s="1" t="s">
        <v>1846</v>
      </c>
      <c r="D474" s="1" t="s">
        <v>1846</v>
      </c>
      <c r="E474" s="1">
        <v>26621</v>
      </c>
      <c r="F474" s="1" t="s">
        <v>2254</v>
      </c>
      <c r="G474" s="1" t="s">
        <v>2041</v>
      </c>
      <c r="H474" s="1" t="s">
        <v>1990</v>
      </c>
      <c r="I474" s="1">
        <v>88.47</v>
      </c>
      <c r="J474" s="1">
        <v>88.47</v>
      </c>
      <c r="K474" s="1" t="s">
        <v>249</v>
      </c>
      <c r="L474" s="1">
        <v>1</v>
      </c>
      <c r="M474" s="3">
        <v>2018</v>
      </c>
      <c r="O474" s="1">
        <v>1</v>
      </c>
      <c r="P474" s="1" t="str">
        <f t="shared" si="15"/>
        <v>Alto fuste</v>
      </c>
      <c r="Q474" s="2">
        <v>43454</v>
      </c>
      <c r="R474" s="1" t="s">
        <v>227</v>
      </c>
      <c r="S474" s="1" t="s">
        <v>238</v>
      </c>
      <c r="T474" s="1" t="s">
        <v>2268</v>
      </c>
      <c r="U474" s="1" t="s">
        <v>212</v>
      </c>
      <c r="V474" s="1" t="s">
        <v>152</v>
      </c>
      <c r="W474" s="2">
        <v>45735</v>
      </c>
      <c r="X474" s="1" t="s">
        <v>2255</v>
      </c>
      <c r="Y474" s="1">
        <v>109.01</v>
      </c>
      <c r="Z474" s="1">
        <v>20.2</v>
      </c>
      <c r="AA474" s="1">
        <v>3</v>
      </c>
      <c r="AB474" s="1">
        <v>15</v>
      </c>
      <c r="AC474" s="1">
        <v>0</v>
      </c>
      <c r="AD474" s="3">
        <v>303</v>
      </c>
      <c r="AE474" s="3">
        <v>302.58474903063598</v>
      </c>
      <c r="AF474" s="2">
        <v>45735</v>
      </c>
      <c r="AG474" s="1">
        <v>75</v>
      </c>
      <c r="AH474" s="3">
        <v>6.2450376454483196</v>
      </c>
      <c r="AI474" s="4">
        <v>22.658445154152201</v>
      </c>
      <c r="AJ474" s="4">
        <v>14.532500000000001</v>
      </c>
      <c r="AK474" s="4">
        <v>23.1390324355371</v>
      </c>
      <c r="AL474" s="1">
        <v>40</v>
      </c>
      <c r="AM474" s="5">
        <v>1321.9436910863601</v>
      </c>
      <c r="AN474" s="4">
        <v>256.63862104617903</v>
      </c>
      <c r="AO474" s="4">
        <v>0.194137331852067</v>
      </c>
      <c r="AP474" s="1" t="s">
        <v>238</v>
      </c>
      <c r="AQ474" s="1" t="s">
        <v>156</v>
      </c>
      <c r="AR474" s="1" t="s">
        <v>459</v>
      </c>
      <c r="AS474" s="1">
        <v>7.5</v>
      </c>
      <c r="AT474" s="4">
        <v>0.99145776831477017</v>
      </c>
      <c r="AU474" s="1" t="s">
        <v>1845</v>
      </c>
      <c r="AV474" s="1" t="s">
        <v>1846</v>
      </c>
      <c r="AW474" s="1">
        <v>1252</v>
      </c>
      <c r="AX474" s="1">
        <v>656</v>
      </c>
      <c r="AY474" s="1">
        <v>405</v>
      </c>
      <c r="AZ474" s="1">
        <v>149</v>
      </c>
      <c r="BA474" s="1">
        <v>34</v>
      </c>
      <c r="BB474" s="1">
        <v>8</v>
      </c>
      <c r="BC474" s="1">
        <v>0</v>
      </c>
      <c r="BD474" s="1">
        <v>0</v>
      </c>
      <c r="BE474" s="1">
        <v>0</v>
      </c>
      <c r="BF474" s="1">
        <v>0</v>
      </c>
      <c r="BG474" s="1">
        <v>0</v>
      </c>
      <c r="BH474" s="4">
        <v>1E-3</v>
      </c>
      <c r="BI474" s="4">
        <v>24.353000999999999</v>
      </c>
      <c r="BJ474" s="4">
        <v>15.740836</v>
      </c>
      <c r="BK474" s="4">
        <v>1E-3</v>
      </c>
      <c r="BL474" s="4">
        <v>7.249746</v>
      </c>
      <c r="BM474" s="4">
        <v>52.558819</v>
      </c>
      <c r="BN474" s="4">
        <v>0.46056900000000001</v>
      </c>
      <c r="BO474" s="4">
        <v>9.1117500000000007</v>
      </c>
      <c r="BP474" s="4">
        <v>-1.0829740000000001</v>
      </c>
      <c r="BQ474" s="4">
        <v>3.0619559999999999</v>
      </c>
      <c r="BR474" s="4">
        <v>5.8056109999999999</v>
      </c>
      <c r="BS474" s="4">
        <v>3.820999</v>
      </c>
      <c r="BT474" s="4">
        <v>18.088000999999998</v>
      </c>
      <c r="BU474" s="4">
        <v>15.740836</v>
      </c>
      <c r="BV474" s="4">
        <v>3.8589169999999999</v>
      </c>
      <c r="BW474" s="4">
        <v>-1.107272</v>
      </c>
      <c r="BX474" s="4">
        <v>0.288657</v>
      </c>
      <c r="BY474" s="4">
        <v>0.24515300000000001</v>
      </c>
      <c r="BZ474" s="4">
        <v>-0.286939</v>
      </c>
      <c r="CA474" s="4">
        <v>7.4802999999999994E-2</v>
      </c>
      <c r="CB474" s="4">
        <v>3.0000000000000001E-3</v>
      </c>
      <c r="CC474" s="4">
        <v>1.8550000000000001E-2</v>
      </c>
      <c r="CD474" s="4">
        <v>4.82E-2</v>
      </c>
      <c r="CE474" s="4">
        <v>10.944800000000001</v>
      </c>
      <c r="CF474" s="4">
        <v>12.33</v>
      </c>
      <c r="CG474" s="4">
        <v>13.680099</v>
      </c>
      <c r="CH474" s="4">
        <v>15.856400000000001</v>
      </c>
      <c r="CI474" s="4">
        <v>18.089001</v>
      </c>
      <c r="CJ474" s="4">
        <v>20.170999999999999</v>
      </c>
      <c r="CK474" s="4">
        <v>21.110399000000001</v>
      </c>
      <c r="CL474" s="4">
        <v>21.441749999999999</v>
      </c>
      <c r="CM474" s="4">
        <v>21.795000000000002</v>
      </c>
      <c r="CN474" s="4">
        <v>22.417798999999999</v>
      </c>
      <c r="CO474" s="4">
        <v>23.011049</v>
      </c>
      <c r="CP474" s="4">
        <v>23.922889999999999</v>
      </c>
      <c r="CQ474" s="4">
        <v>0.646347</v>
      </c>
      <c r="CR474" s="4">
        <v>17.328900000000001</v>
      </c>
      <c r="CS474" s="4">
        <v>18.138656999999998</v>
      </c>
      <c r="CT474" s="1">
        <v>23</v>
      </c>
      <c r="CU474" s="1">
        <v>517</v>
      </c>
      <c r="CV474" s="4">
        <v>124.32907299999999</v>
      </c>
      <c r="CW474" s="4">
        <v>46.523809999999997</v>
      </c>
      <c r="CX474" s="4">
        <v>84.712107000000003</v>
      </c>
      <c r="CY474" s="4">
        <v>7176.1410249999999</v>
      </c>
      <c r="CZ474" s="4">
        <v>0.68135400000000002</v>
      </c>
      <c r="DA474" s="4">
        <v>121.25</v>
      </c>
      <c r="DB474" s="4">
        <v>1.085232</v>
      </c>
      <c r="DC474" s="4">
        <v>3.842225</v>
      </c>
      <c r="DD474" s="4">
        <v>69.175912999999994</v>
      </c>
      <c r="DE474" s="4">
        <v>124.32907299999999</v>
      </c>
      <c r="DF474" s="4">
        <v>45.877290000000002</v>
      </c>
      <c r="DG474" s="4">
        <v>11.566369999999999</v>
      </c>
      <c r="DH474" s="4">
        <v>3.3547389999999999</v>
      </c>
      <c r="DI474" s="4">
        <v>0.36899900000000002</v>
      </c>
      <c r="DJ474" s="4">
        <v>0.25211499999999998</v>
      </c>
      <c r="DK474" s="4">
        <v>7.3123999999999995E-2</v>
      </c>
      <c r="DL474" s="4">
        <v>26</v>
      </c>
      <c r="DM474" s="4">
        <v>33</v>
      </c>
      <c r="DN474" s="4">
        <v>39</v>
      </c>
      <c r="DO474" s="4">
        <v>50</v>
      </c>
      <c r="DP474" s="4">
        <v>56</v>
      </c>
      <c r="DQ474" s="4">
        <v>62</v>
      </c>
      <c r="DR474" s="4">
        <v>78</v>
      </c>
      <c r="DS474" s="4">
        <v>97</v>
      </c>
      <c r="DT474" s="4">
        <v>123.599976</v>
      </c>
      <c r="DU474" s="4">
        <v>158</v>
      </c>
      <c r="DV474" s="4">
        <v>177.25</v>
      </c>
      <c r="DW474" s="4">
        <v>198.79998800000001</v>
      </c>
      <c r="DX474" s="4">
        <v>253.900024</v>
      </c>
      <c r="DY474" s="4">
        <v>282</v>
      </c>
      <c r="DZ474" s="4">
        <v>354.46997099999999</v>
      </c>
      <c r="EA474" s="4">
        <v>98.628049000000004</v>
      </c>
      <c r="EB474" s="4">
        <v>87.460064000000003</v>
      </c>
      <c r="EC474" s="4">
        <v>166.92073199999999</v>
      </c>
      <c r="ED474" s="4">
        <v>647</v>
      </c>
      <c r="EE474" s="4">
        <v>1095</v>
      </c>
      <c r="EF474" s="4">
        <v>86.585365999999993</v>
      </c>
      <c r="EG474" s="4">
        <v>100</v>
      </c>
      <c r="EH474" s="4">
        <v>60.702874999999999</v>
      </c>
      <c r="EI474" s="4">
        <v>99.600639000000001</v>
      </c>
      <c r="EJ474" s="4">
        <v>115.85365899999999</v>
      </c>
      <c r="EK474" s="4">
        <v>190.091463</v>
      </c>
      <c r="EL474" s="4">
        <v>568</v>
      </c>
      <c r="EM474" s="4">
        <v>656</v>
      </c>
      <c r="EN474" s="4">
        <v>760</v>
      </c>
      <c r="EO474" s="4">
        <v>1247</v>
      </c>
      <c r="EP474" s="4">
        <v>656</v>
      </c>
      <c r="EQ474" s="4">
        <v>1252</v>
      </c>
      <c r="ER474" s="4">
        <v>64.760786999999993</v>
      </c>
    </row>
    <row r="475" spans="1:148" x14ac:dyDescent="0.2">
      <c r="A475" s="1">
        <v>2025</v>
      </c>
      <c r="B475" s="1" t="str">
        <f t="shared" si="14"/>
        <v>RD</v>
      </c>
      <c r="C475" s="1" t="s">
        <v>1848</v>
      </c>
      <c r="D475" s="1" t="s">
        <v>1848</v>
      </c>
      <c r="E475" s="1">
        <v>26622</v>
      </c>
      <c r="F475" s="1" t="s">
        <v>2254</v>
      </c>
      <c r="G475" s="1" t="s">
        <v>2041</v>
      </c>
      <c r="H475" s="1" t="s">
        <v>1990</v>
      </c>
      <c r="I475" s="1">
        <v>88.47</v>
      </c>
      <c r="J475" s="1">
        <v>88.47</v>
      </c>
      <c r="K475" s="1" t="s">
        <v>249</v>
      </c>
      <c r="L475" s="1">
        <v>1</v>
      </c>
      <c r="M475" s="3">
        <v>2018</v>
      </c>
      <c r="O475" s="1">
        <v>1</v>
      </c>
      <c r="P475" s="1" t="str">
        <f t="shared" si="15"/>
        <v>Alto fuste</v>
      </c>
      <c r="Q475" s="2">
        <v>43454</v>
      </c>
      <c r="R475" s="1" t="s">
        <v>227</v>
      </c>
      <c r="S475" s="1" t="s">
        <v>238</v>
      </c>
      <c r="T475" s="1" t="s">
        <v>2268</v>
      </c>
      <c r="U475" s="1" t="s">
        <v>212</v>
      </c>
      <c r="V475" s="1" t="s">
        <v>152</v>
      </c>
      <c r="W475" s="2">
        <v>44827</v>
      </c>
      <c r="X475" s="1" t="s">
        <v>2255</v>
      </c>
      <c r="Y475" s="1">
        <v>109.01</v>
      </c>
      <c r="Z475" s="1">
        <v>20.9</v>
      </c>
      <c r="AA475" s="1">
        <v>15</v>
      </c>
      <c r="AB475" s="1">
        <v>14.7</v>
      </c>
      <c r="AC475" s="1">
        <v>2</v>
      </c>
      <c r="AD475" s="3">
        <v>307.23</v>
      </c>
      <c r="AE475" s="3">
        <v>296.58061258924602</v>
      </c>
      <c r="AF475" s="2">
        <v>45735</v>
      </c>
      <c r="AG475" s="1">
        <v>75</v>
      </c>
      <c r="AH475" s="3">
        <v>6.2450376454483196</v>
      </c>
      <c r="AI475" s="4">
        <v>22.1123938297706</v>
      </c>
      <c r="AJ475" s="4">
        <v>13.757894736842101</v>
      </c>
      <c r="AK475" s="4">
        <v>19.698734613858399</v>
      </c>
      <c r="AL475" s="1">
        <v>38</v>
      </c>
      <c r="AM475" s="5">
        <v>1281.27053445091</v>
      </c>
      <c r="AN475" s="4">
        <v>211.343526263765</v>
      </c>
      <c r="AO475" s="4">
        <v>0.164948401279154</v>
      </c>
      <c r="AP475" s="1" t="s">
        <v>238</v>
      </c>
      <c r="AQ475" s="1" t="s">
        <v>156</v>
      </c>
      <c r="AR475" s="1" t="s">
        <v>459</v>
      </c>
      <c r="AS475" s="1">
        <v>7.5</v>
      </c>
      <c r="AT475" s="4">
        <v>0.96095290083818252</v>
      </c>
      <c r="AU475" s="1" t="s">
        <v>1847</v>
      </c>
      <c r="AV475" s="1" t="s">
        <v>1848</v>
      </c>
      <c r="AW475" s="1">
        <v>1444</v>
      </c>
      <c r="AX475" s="1">
        <v>786</v>
      </c>
      <c r="AY475" s="1">
        <v>474</v>
      </c>
      <c r="AZ475" s="1">
        <v>160</v>
      </c>
      <c r="BA475" s="1">
        <v>22</v>
      </c>
      <c r="BB475" s="1">
        <v>2</v>
      </c>
      <c r="BC475" s="1">
        <v>0</v>
      </c>
      <c r="BD475" s="1">
        <v>0</v>
      </c>
      <c r="BE475" s="1">
        <v>0</v>
      </c>
      <c r="BF475" s="1">
        <v>0</v>
      </c>
      <c r="BG475" s="1">
        <v>0</v>
      </c>
      <c r="BH475" s="4">
        <v>0</v>
      </c>
      <c r="BI475" s="4">
        <v>23.195999</v>
      </c>
      <c r="BJ475" s="4">
        <v>15.659367</v>
      </c>
      <c r="BK475" s="4">
        <v>0</v>
      </c>
      <c r="BL475" s="4">
        <v>6.431381</v>
      </c>
      <c r="BM475" s="4">
        <v>41.362659000000001</v>
      </c>
      <c r="BN475" s="4">
        <v>0.41070499999999999</v>
      </c>
      <c r="BO475" s="4">
        <v>7.0332509999999999</v>
      </c>
      <c r="BP475" s="4">
        <v>-1.35005</v>
      </c>
      <c r="BQ475" s="4">
        <v>3.9379529999999998</v>
      </c>
      <c r="BR475" s="4">
        <v>4.9024910000000004</v>
      </c>
      <c r="BS475" s="4">
        <v>3.2765</v>
      </c>
      <c r="BT475" s="4">
        <v>17.603999999999999</v>
      </c>
      <c r="BU475" s="4">
        <v>15.659367</v>
      </c>
      <c r="BV475" s="4">
        <v>3.3232810000000002</v>
      </c>
      <c r="BW475" s="4">
        <v>-1.0408820000000001</v>
      </c>
      <c r="BX475" s="4">
        <v>0.40501799999999999</v>
      </c>
      <c r="BY475" s="4">
        <v>0.21222299999999999</v>
      </c>
      <c r="BZ475" s="4">
        <v>-0.31320900000000002</v>
      </c>
      <c r="CA475" s="4">
        <v>0.121873</v>
      </c>
      <c r="CB475" s="4">
        <v>7.0000000000000001E-3</v>
      </c>
      <c r="CC475" s="4">
        <v>4.5999999999999999E-2</v>
      </c>
      <c r="CD475" s="4">
        <v>0.78649999999999998</v>
      </c>
      <c r="CE475" s="4">
        <v>12.307399999999999</v>
      </c>
      <c r="CF475" s="4">
        <v>13.459</v>
      </c>
      <c r="CG475" s="4">
        <v>14.1629</v>
      </c>
      <c r="CH475" s="4">
        <v>15.6614</v>
      </c>
      <c r="CI475" s="4">
        <v>17.603999999999999</v>
      </c>
      <c r="CJ475" s="4">
        <v>19.2866</v>
      </c>
      <c r="CK475" s="4">
        <v>20.223299000000001</v>
      </c>
      <c r="CL475" s="4">
        <v>20.492249999999999</v>
      </c>
      <c r="CM475" s="4">
        <v>20.784200999999999</v>
      </c>
      <c r="CN475" s="4">
        <v>21.497098999999999</v>
      </c>
      <c r="CO475" s="4">
        <v>21.869250999999998</v>
      </c>
      <c r="CP475" s="4">
        <v>22.408279</v>
      </c>
      <c r="CQ475" s="4">
        <v>0.67508900000000005</v>
      </c>
      <c r="CR475" s="4">
        <v>16.927782000000001</v>
      </c>
      <c r="CS475" s="4">
        <v>17.568788000000001</v>
      </c>
      <c r="CT475" s="1">
        <v>22</v>
      </c>
      <c r="CU475" s="1">
        <v>373</v>
      </c>
      <c r="CV475" s="4">
        <v>115.619806</v>
      </c>
      <c r="CW475" s="4">
        <v>33.142856999999999</v>
      </c>
      <c r="CX475" s="4">
        <v>68.159499999999994</v>
      </c>
      <c r="CY475" s="4">
        <v>4645.7174450000002</v>
      </c>
      <c r="CZ475" s="4">
        <v>0.58951399999999998</v>
      </c>
      <c r="DA475" s="4">
        <v>107</v>
      </c>
      <c r="DB475" s="4">
        <v>0.72542499999999999</v>
      </c>
      <c r="DC475" s="4">
        <v>2.738378</v>
      </c>
      <c r="DD475" s="4">
        <v>57.423825000000001</v>
      </c>
      <c r="DE475" s="4">
        <v>115.619806</v>
      </c>
      <c r="DF475" s="4">
        <v>38.084657999999997</v>
      </c>
      <c r="DG475" s="4">
        <v>6.925503</v>
      </c>
      <c r="DH475" s="4">
        <v>1.4551160000000001</v>
      </c>
      <c r="DI475" s="4">
        <v>0.32939600000000002</v>
      </c>
      <c r="DJ475" s="4">
        <v>0.18184500000000001</v>
      </c>
      <c r="DK475" s="4">
        <v>3.8206999999999998E-2</v>
      </c>
      <c r="DL475" s="4">
        <v>29.43</v>
      </c>
      <c r="DM475" s="4">
        <v>35</v>
      </c>
      <c r="DN475" s="4">
        <v>40</v>
      </c>
      <c r="DO475" s="4">
        <v>50</v>
      </c>
      <c r="DP475" s="4">
        <v>56</v>
      </c>
      <c r="DQ475" s="4">
        <v>63</v>
      </c>
      <c r="DR475" s="4">
        <v>80</v>
      </c>
      <c r="DS475" s="4">
        <v>99.5</v>
      </c>
      <c r="DT475" s="4">
        <v>124</v>
      </c>
      <c r="DU475" s="4">
        <v>152</v>
      </c>
      <c r="DV475" s="4">
        <v>163</v>
      </c>
      <c r="DW475" s="4">
        <v>178</v>
      </c>
      <c r="DX475" s="4">
        <v>215</v>
      </c>
      <c r="DY475" s="4">
        <v>238</v>
      </c>
      <c r="DZ475" s="4">
        <v>296</v>
      </c>
      <c r="EA475" s="4">
        <v>98.982187999999994</v>
      </c>
      <c r="EB475" s="4">
        <v>89.058171999999999</v>
      </c>
      <c r="EC475" s="4">
        <v>163.61323200000001</v>
      </c>
      <c r="ED475" s="4">
        <v>778</v>
      </c>
      <c r="EE475" s="4">
        <v>1286</v>
      </c>
      <c r="EF475" s="4">
        <v>90.458015000000003</v>
      </c>
      <c r="EG475" s="4">
        <v>100</v>
      </c>
      <c r="EH475" s="4">
        <v>59.972299</v>
      </c>
      <c r="EI475" s="4">
        <v>99.930747999999994</v>
      </c>
      <c r="EJ475" s="4">
        <v>110.178117</v>
      </c>
      <c r="EK475" s="4">
        <v>183.58778599999999</v>
      </c>
      <c r="EL475" s="4">
        <v>711</v>
      </c>
      <c r="EM475" s="4">
        <v>786</v>
      </c>
      <c r="EN475" s="4">
        <v>866</v>
      </c>
      <c r="EO475" s="4">
        <v>1443</v>
      </c>
      <c r="EP475" s="4">
        <v>786</v>
      </c>
      <c r="EQ475" s="4">
        <v>1444</v>
      </c>
      <c r="ER475" s="4">
        <v>68.926568000000003</v>
      </c>
    </row>
    <row r="476" spans="1:148" x14ac:dyDescent="0.2">
      <c r="A476" s="1">
        <v>2025</v>
      </c>
      <c r="B476" s="1" t="str">
        <f t="shared" si="14"/>
        <v>RD</v>
      </c>
      <c r="C476" s="1" t="s">
        <v>1850</v>
      </c>
      <c r="D476" s="1" t="s">
        <v>1850</v>
      </c>
      <c r="E476" s="1">
        <v>26623</v>
      </c>
      <c r="F476" s="1" t="s">
        <v>2254</v>
      </c>
      <c r="G476" s="1" t="s">
        <v>2041</v>
      </c>
      <c r="H476" s="1" t="s">
        <v>1990</v>
      </c>
      <c r="I476" s="1">
        <v>88.47</v>
      </c>
      <c r="J476" s="1">
        <v>88.47</v>
      </c>
      <c r="K476" s="1" t="s">
        <v>249</v>
      </c>
      <c r="L476" s="1">
        <v>1</v>
      </c>
      <c r="M476" s="3">
        <v>2018</v>
      </c>
      <c r="O476" s="1">
        <v>1</v>
      </c>
      <c r="P476" s="1" t="str">
        <f t="shared" si="15"/>
        <v>Alto fuste</v>
      </c>
      <c r="Q476" s="2">
        <v>43454</v>
      </c>
      <c r="R476" s="1" t="s">
        <v>227</v>
      </c>
      <c r="S476" s="1" t="s">
        <v>238</v>
      </c>
      <c r="T476" s="1" t="s">
        <v>2268</v>
      </c>
      <c r="U476" s="1" t="s">
        <v>212</v>
      </c>
      <c r="V476" s="1" t="s">
        <v>152</v>
      </c>
      <c r="W476" s="2">
        <v>45735</v>
      </c>
      <c r="X476" s="1" t="s">
        <v>2255</v>
      </c>
      <c r="Y476" s="1">
        <v>109.01</v>
      </c>
      <c r="Z476" s="1">
        <v>19</v>
      </c>
      <c r="AA476" s="1">
        <v>11</v>
      </c>
      <c r="AB476" s="1">
        <v>15</v>
      </c>
      <c r="AC476" s="1">
        <v>1</v>
      </c>
      <c r="AD476" s="3">
        <v>285</v>
      </c>
      <c r="AE476" s="3">
        <v>279.72113790880701</v>
      </c>
      <c r="AF476" s="2">
        <v>45735</v>
      </c>
      <c r="AG476" s="1">
        <v>75</v>
      </c>
      <c r="AH476" s="3">
        <v>6.2450376454483196</v>
      </c>
      <c r="AI476" s="4">
        <v>22.281435630110899</v>
      </c>
      <c r="AJ476" s="4">
        <v>13.7810810810811</v>
      </c>
      <c r="AK476" s="4">
        <v>20.599378093399199</v>
      </c>
      <c r="AL476" s="1">
        <v>37</v>
      </c>
      <c r="AM476" s="5">
        <v>1322.7459417837199</v>
      </c>
      <c r="AN476" s="4">
        <v>224.63267974379201</v>
      </c>
      <c r="AO476" s="4">
        <v>0.169822996728211</v>
      </c>
      <c r="AP476" s="1" t="s">
        <v>238</v>
      </c>
      <c r="AQ476" s="1" t="s">
        <v>156</v>
      </c>
      <c r="AR476" s="1" t="s">
        <v>459</v>
      </c>
      <c r="AS476" s="1">
        <v>7.5</v>
      </c>
      <c r="AT476" s="4">
        <v>0.99205945633779002</v>
      </c>
      <c r="AU476" s="1" t="s">
        <v>1849</v>
      </c>
      <c r="AV476" s="1" t="s">
        <v>1850</v>
      </c>
      <c r="AW476" s="1">
        <v>1291</v>
      </c>
      <c r="AX476" s="1">
        <v>731</v>
      </c>
      <c r="AY476" s="1">
        <v>416</v>
      </c>
      <c r="AZ476" s="1">
        <v>126</v>
      </c>
      <c r="BA476" s="1">
        <v>16</v>
      </c>
      <c r="BB476" s="1">
        <v>2</v>
      </c>
      <c r="BC476" s="1">
        <v>0</v>
      </c>
      <c r="BD476" s="1">
        <v>0</v>
      </c>
      <c r="BE476" s="1">
        <v>0</v>
      </c>
      <c r="BF476" s="1">
        <v>0</v>
      </c>
      <c r="BG476" s="1">
        <v>0</v>
      </c>
      <c r="BH476" s="4">
        <v>0</v>
      </c>
      <c r="BI476" s="4">
        <v>23.582001000000002</v>
      </c>
      <c r="BJ476" s="4">
        <v>15.201065</v>
      </c>
      <c r="BK476" s="4">
        <v>0</v>
      </c>
      <c r="BL476" s="4">
        <v>6.8916170000000001</v>
      </c>
      <c r="BM476" s="4">
        <v>47.494391</v>
      </c>
      <c r="BN476" s="4">
        <v>0.45336399999999999</v>
      </c>
      <c r="BO476" s="4">
        <v>7.214499</v>
      </c>
      <c r="BP476" s="4">
        <v>-1.254135</v>
      </c>
      <c r="BQ476" s="4">
        <v>3.3716370000000002</v>
      </c>
      <c r="BR476" s="4">
        <v>5.3583670000000003</v>
      </c>
      <c r="BS476" s="4">
        <v>2.9560010000000001</v>
      </c>
      <c r="BT476" s="4">
        <v>17.847999999999999</v>
      </c>
      <c r="BU476" s="4">
        <v>15.201065</v>
      </c>
      <c r="BV476" s="4">
        <v>3.5555590000000001</v>
      </c>
      <c r="BW476" s="4">
        <v>-1.1633910000000001</v>
      </c>
      <c r="BX476" s="4">
        <v>0.368114</v>
      </c>
      <c r="BY476" s="4">
        <v>0.233902</v>
      </c>
      <c r="BZ476" s="4">
        <v>-0.32720300000000002</v>
      </c>
      <c r="CA476" s="4">
        <v>0.103532</v>
      </c>
      <c r="CB476" s="4">
        <v>5.0000000000000001E-3</v>
      </c>
      <c r="CC476" s="4">
        <v>4.5999999999999999E-2</v>
      </c>
      <c r="CD476" s="4">
        <v>0.14699999999999999</v>
      </c>
      <c r="CE476" s="4">
        <v>12.055999999999999</v>
      </c>
      <c r="CF476" s="4">
        <v>13.045500000000001</v>
      </c>
      <c r="CG476" s="4">
        <v>13.872999999999999</v>
      </c>
      <c r="CH476" s="4">
        <v>15.544</v>
      </c>
      <c r="CI476" s="4">
        <v>17.847999999999999</v>
      </c>
      <c r="CJ476" s="4">
        <v>19.403998999999999</v>
      </c>
      <c r="CK476" s="4">
        <v>20.000999</v>
      </c>
      <c r="CL476" s="4">
        <v>20.259998</v>
      </c>
      <c r="CM476" s="4">
        <v>20.493998999999999</v>
      </c>
      <c r="CN476" s="4">
        <v>21.091999000000001</v>
      </c>
      <c r="CO476" s="4">
        <v>21.736000000000001</v>
      </c>
      <c r="CP476" s="4">
        <v>22.703098000000001</v>
      </c>
      <c r="CQ476" s="4">
        <v>0.64460499999999998</v>
      </c>
      <c r="CR476" s="4">
        <v>16.689218</v>
      </c>
      <c r="CS476" s="4">
        <v>17.398413999999999</v>
      </c>
      <c r="CT476" s="1">
        <v>25</v>
      </c>
      <c r="CU476" s="1">
        <v>433</v>
      </c>
      <c r="CV476" s="4">
        <v>123.408985</v>
      </c>
      <c r="CW476" s="4">
        <v>37.952381000000003</v>
      </c>
      <c r="CX476" s="4">
        <v>73.879621999999998</v>
      </c>
      <c r="CY476" s="4">
        <v>5458.1984929999999</v>
      </c>
      <c r="CZ476" s="4">
        <v>0.59865699999999999</v>
      </c>
      <c r="DA476" s="4">
        <v>111</v>
      </c>
      <c r="DB476" s="4">
        <v>0.938778</v>
      </c>
      <c r="DC476" s="4">
        <v>3.7555369999999999</v>
      </c>
      <c r="DD476" s="4">
        <v>60.569490999999999</v>
      </c>
      <c r="DE476" s="4">
        <v>123.408985</v>
      </c>
      <c r="DF476" s="4">
        <v>40.661704</v>
      </c>
      <c r="DG476" s="4">
        <v>7.62981</v>
      </c>
      <c r="DH476" s="4">
        <v>2.6787570000000001</v>
      </c>
      <c r="DI476" s="4">
        <v>0.32948699999999997</v>
      </c>
      <c r="DJ476" s="4">
        <v>0.187641</v>
      </c>
      <c r="DK476" s="4">
        <v>6.5878999999999993E-2</v>
      </c>
      <c r="DL476" s="4">
        <v>31</v>
      </c>
      <c r="DM476" s="4">
        <v>37</v>
      </c>
      <c r="DN476" s="4">
        <v>43</v>
      </c>
      <c r="DO476" s="4">
        <v>53</v>
      </c>
      <c r="DP476" s="4">
        <v>60</v>
      </c>
      <c r="DQ476" s="4">
        <v>67</v>
      </c>
      <c r="DR476" s="4">
        <v>86</v>
      </c>
      <c r="DS476" s="4">
        <v>110</v>
      </c>
      <c r="DT476" s="4">
        <v>136</v>
      </c>
      <c r="DU476" s="4">
        <v>158</v>
      </c>
      <c r="DV476" s="4">
        <v>171</v>
      </c>
      <c r="DW476" s="4">
        <v>184</v>
      </c>
      <c r="DX476" s="4">
        <v>222</v>
      </c>
      <c r="DY476" s="4">
        <v>254.5</v>
      </c>
      <c r="DZ476" s="4">
        <v>344.09997600000003</v>
      </c>
      <c r="EA476" s="4">
        <v>97.948015999999996</v>
      </c>
      <c r="EB476" s="4">
        <v>85.902400999999998</v>
      </c>
      <c r="EC476" s="4">
        <v>151.70998599999999</v>
      </c>
      <c r="ED476" s="4">
        <v>716</v>
      </c>
      <c r="EE476" s="4">
        <v>1109</v>
      </c>
      <c r="EF476" s="4">
        <v>86.867305000000002</v>
      </c>
      <c r="EG476" s="4">
        <v>100</v>
      </c>
      <c r="EH476" s="4">
        <v>62.122385999999999</v>
      </c>
      <c r="EI476" s="4">
        <v>99.922540999999995</v>
      </c>
      <c r="EJ476" s="4">
        <v>109.712722</v>
      </c>
      <c r="EK476" s="4">
        <v>176.47058799999999</v>
      </c>
      <c r="EL476" s="4">
        <v>635</v>
      </c>
      <c r="EM476" s="4">
        <v>731</v>
      </c>
      <c r="EN476" s="4">
        <v>802</v>
      </c>
      <c r="EO476" s="4">
        <v>1290</v>
      </c>
      <c r="EP476" s="4">
        <v>731</v>
      </c>
      <c r="EQ476" s="4">
        <v>1291</v>
      </c>
      <c r="ER476" s="4">
        <v>65.874694000000005</v>
      </c>
    </row>
    <row r="477" spans="1:148" x14ac:dyDescent="0.2">
      <c r="A477" s="1">
        <v>2025</v>
      </c>
      <c r="B477" s="1" t="str">
        <f t="shared" si="14"/>
        <v>RD</v>
      </c>
      <c r="C477" s="1" t="s">
        <v>1852</v>
      </c>
      <c r="D477" s="1" t="s">
        <v>1852</v>
      </c>
      <c r="E477" s="1">
        <v>27371</v>
      </c>
      <c r="F477" s="1" t="s">
        <v>2256</v>
      </c>
      <c r="G477" s="1" t="s">
        <v>2041</v>
      </c>
      <c r="H477" s="1" t="s">
        <v>1991</v>
      </c>
      <c r="I477" s="1">
        <v>72.19</v>
      </c>
      <c r="J477" s="1">
        <v>72.19</v>
      </c>
      <c r="K477" s="1" t="s">
        <v>249</v>
      </c>
      <c r="L477" s="1">
        <v>1</v>
      </c>
      <c r="M477" s="3">
        <v>2019</v>
      </c>
      <c r="O477" s="1">
        <v>2</v>
      </c>
      <c r="P477" s="1" t="str">
        <f t="shared" si="15"/>
        <v>Talhadia</v>
      </c>
      <c r="Q477" s="2">
        <v>43518</v>
      </c>
      <c r="R477" s="1" t="s">
        <v>149</v>
      </c>
      <c r="S477" s="1" t="s">
        <v>2257</v>
      </c>
      <c r="T477" s="1" t="s">
        <v>2268</v>
      </c>
      <c r="U477" s="1" t="s">
        <v>212</v>
      </c>
      <c r="V477" s="1" t="s">
        <v>152</v>
      </c>
      <c r="W477" s="2">
        <v>45735</v>
      </c>
      <c r="X477" s="1" t="s">
        <v>2255</v>
      </c>
      <c r="Y477" s="1">
        <v>332.68</v>
      </c>
      <c r="Z477" s="1">
        <v>20.9</v>
      </c>
      <c r="AA477" s="1">
        <v>4</v>
      </c>
      <c r="AB477" s="1">
        <v>14</v>
      </c>
      <c r="AC477" s="1">
        <v>1</v>
      </c>
      <c r="AD477" s="3">
        <v>292.60000000000002</v>
      </c>
      <c r="AE477" s="3">
        <v>291.84278526541698</v>
      </c>
      <c r="AF477" s="2">
        <v>45734</v>
      </c>
      <c r="AG477" s="1">
        <v>73</v>
      </c>
      <c r="AH477" s="3">
        <v>6.0670773442847397</v>
      </c>
      <c r="AI477" s="4">
        <v>24.503094698194499</v>
      </c>
      <c r="AJ477" s="4">
        <v>17.207692307692302</v>
      </c>
      <c r="AK477" s="4">
        <v>21.183049862611799</v>
      </c>
      <c r="AL477" s="1">
        <v>26</v>
      </c>
      <c r="AM477" s="5">
        <v>890.89062031649303</v>
      </c>
      <c r="AN477" s="4">
        <v>232.125465982289</v>
      </c>
      <c r="AO477" s="4">
        <v>0.26055439432040001</v>
      </c>
      <c r="AP477" s="1" t="s">
        <v>2257</v>
      </c>
      <c r="AQ477" s="1" t="s">
        <v>254</v>
      </c>
      <c r="AR477" s="1" t="s">
        <v>459</v>
      </c>
      <c r="AS477" s="1">
        <v>9.99</v>
      </c>
      <c r="AT477" s="4">
        <v>0.88999972969617658</v>
      </c>
      <c r="AU477" s="1" t="s">
        <v>1851</v>
      </c>
      <c r="AV477" s="1" t="s">
        <v>1852</v>
      </c>
      <c r="AW477" s="1">
        <v>1114</v>
      </c>
      <c r="AX477" s="1">
        <v>633</v>
      </c>
      <c r="AY477" s="1">
        <v>327</v>
      </c>
      <c r="AZ477" s="1">
        <v>134</v>
      </c>
      <c r="BA477" s="1">
        <v>18</v>
      </c>
      <c r="BB477" s="1">
        <v>2</v>
      </c>
      <c r="BC477" s="1">
        <v>0</v>
      </c>
      <c r="BD477" s="1">
        <v>0</v>
      </c>
      <c r="BE477" s="1">
        <v>0</v>
      </c>
      <c r="BF477" s="1">
        <v>0</v>
      </c>
      <c r="BG477" s="1">
        <v>0</v>
      </c>
      <c r="BH477" s="4">
        <v>0</v>
      </c>
      <c r="BI477" s="4">
        <v>25.606999999999999</v>
      </c>
      <c r="BJ477" s="4">
        <v>15.472372999999999</v>
      </c>
      <c r="BK477" s="4">
        <v>0</v>
      </c>
      <c r="BL477" s="4">
        <v>10.080067</v>
      </c>
      <c r="BM477" s="4">
        <v>101.607741</v>
      </c>
      <c r="BN477" s="4">
        <v>0.65148799999999996</v>
      </c>
      <c r="BO477" s="4">
        <v>22.556000000000001</v>
      </c>
      <c r="BP477" s="4">
        <v>-0.75167499999999998</v>
      </c>
      <c r="BQ477" s="4">
        <v>1.702153</v>
      </c>
      <c r="BR477" s="4">
        <v>9.1584959999999995</v>
      </c>
      <c r="BS477" s="4">
        <v>2.0670000000000002</v>
      </c>
      <c r="BT477" s="4">
        <v>21.759499000000002</v>
      </c>
      <c r="BU477" s="4">
        <v>15.472372999999999</v>
      </c>
      <c r="BV477" s="4">
        <v>5.1600570000000001</v>
      </c>
      <c r="BW477" s="4">
        <v>-1.479895</v>
      </c>
      <c r="BX477" s="4">
        <v>-0.39584999999999998</v>
      </c>
      <c r="BY477" s="4">
        <v>0.33350099999999999</v>
      </c>
      <c r="BZ477" s="4">
        <v>-0.286798</v>
      </c>
      <c r="CA477" s="4">
        <v>-7.6714000000000004E-2</v>
      </c>
      <c r="CB477" s="4">
        <v>1E-3</v>
      </c>
      <c r="CC477" s="4">
        <v>6.0000000000000001E-3</v>
      </c>
      <c r="CD477" s="4">
        <v>1.4E-2</v>
      </c>
      <c r="CE477" s="4">
        <v>5.1999999999999998E-2</v>
      </c>
      <c r="CF477" s="4">
        <v>0.62824999999999998</v>
      </c>
      <c r="CG477" s="4">
        <v>8.3569980000000008</v>
      </c>
      <c r="CH477" s="4">
        <v>19.870602000000002</v>
      </c>
      <c r="CI477" s="4">
        <v>21.759499000000002</v>
      </c>
      <c r="CJ477" s="4">
        <v>22.445399999999999</v>
      </c>
      <c r="CK477" s="4">
        <v>22.924299000000001</v>
      </c>
      <c r="CL477" s="4">
        <v>23.184249999999999</v>
      </c>
      <c r="CM477" s="4">
        <v>23.378</v>
      </c>
      <c r="CN477" s="4">
        <v>23.876899999999999</v>
      </c>
      <c r="CO477" s="4">
        <v>24.193349999999999</v>
      </c>
      <c r="CP477" s="4">
        <v>24.768198000000002</v>
      </c>
      <c r="CQ477" s="4">
        <v>0.60422399999999998</v>
      </c>
      <c r="CR477" s="4">
        <v>18.463771999999999</v>
      </c>
      <c r="CS477" s="4">
        <v>19.701322000000001</v>
      </c>
      <c r="CT477" s="1">
        <v>21</v>
      </c>
      <c r="CU477" s="1">
        <v>593</v>
      </c>
      <c r="CV477" s="4">
        <v>132.666966</v>
      </c>
      <c r="CW477" s="4">
        <v>48.238095000000001</v>
      </c>
      <c r="CX477" s="4">
        <v>93.848568999999998</v>
      </c>
      <c r="CY477" s="4">
        <v>8807.5538579999993</v>
      </c>
      <c r="CZ477" s="4">
        <v>0.70740000000000003</v>
      </c>
      <c r="DA477" s="4">
        <v>120.75</v>
      </c>
      <c r="DB477" s="4">
        <v>1.4051400000000001</v>
      </c>
      <c r="DC477" s="4">
        <v>5.4375340000000003</v>
      </c>
      <c r="DD477" s="4">
        <v>72.683179999999993</v>
      </c>
      <c r="DE477" s="4">
        <v>132.666966</v>
      </c>
      <c r="DF477" s="4">
        <v>49.639912000000002</v>
      </c>
      <c r="DG477" s="4">
        <v>12.938152000000001</v>
      </c>
      <c r="DH477" s="4">
        <v>5.8935069999999996</v>
      </c>
      <c r="DI477" s="4">
        <v>0.37416899999999997</v>
      </c>
      <c r="DJ477" s="4">
        <v>0.26063999999999998</v>
      </c>
      <c r="DK477" s="4">
        <v>0.118725</v>
      </c>
      <c r="DL477" s="4">
        <v>27</v>
      </c>
      <c r="DM477" s="4">
        <v>33</v>
      </c>
      <c r="DN477" s="4">
        <v>38.300002999999997</v>
      </c>
      <c r="DO477" s="4">
        <v>52</v>
      </c>
      <c r="DP477" s="4">
        <v>57</v>
      </c>
      <c r="DQ477" s="4">
        <v>67</v>
      </c>
      <c r="DR477" s="4">
        <v>88</v>
      </c>
      <c r="DS477" s="4">
        <v>111</v>
      </c>
      <c r="DT477" s="4">
        <v>134</v>
      </c>
      <c r="DU477" s="4">
        <v>164</v>
      </c>
      <c r="DV477" s="4">
        <v>177.75</v>
      </c>
      <c r="DW477" s="4">
        <v>202</v>
      </c>
      <c r="DX477" s="4">
        <v>259.70001200000002</v>
      </c>
      <c r="DY477" s="4">
        <v>311</v>
      </c>
      <c r="DZ477" s="4">
        <v>455.30993699999999</v>
      </c>
      <c r="EA477" s="4">
        <v>96.524486999999993</v>
      </c>
      <c r="EB477" s="4">
        <v>71.813284999999993</v>
      </c>
      <c r="EC477" s="4">
        <v>126.382306</v>
      </c>
      <c r="ED477" s="4">
        <v>611</v>
      </c>
      <c r="EE477" s="4">
        <v>800</v>
      </c>
      <c r="EF477" s="4">
        <v>95.102686000000006</v>
      </c>
      <c r="EG477" s="4">
        <v>100</v>
      </c>
      <c r="EH477" s="4">
        <v>66.068223000000003</v>
      </c>
      <c r="EI477" s="4">
        <v>99.730699999999999</v>
      </c>
      <c r="EJ477" s="4">
        <v>116.271722</v>
      </c>
      <c r="EK477" s="4">
        <v>175.513428</v>
      </c>
      <c r="EL477" s="4">
        <v>602</v>
      </c>
      <c r="EM477" s="4">
        <v>633</v>
      </c>
      <c r="EN477" s="4">
        <v>736</v>
      </c>
      <c r="EO477" s="4">
        <v>1111</v>
      </c>
      <c r="EP477" s="4">
        <v>633</v>
      </c>
      <c r="EQ477" s="4">
        <v>1114</v>
      </c>
      <c r="ER477" s="4">
        <v>61.456090000000003</v>
      </c>
    </row>
    <row r="478" spans="1:148" x14ac:dyDescent="0.2">
      <c r="A478" s="1">
        <v>2025</v>
      </c>
      <c r="B478" s="1" t="str">
        <f t="shared" si="14"/>
        <v>RD</v>
      </c>
      <c r="C478" s="1" t="s">
        <v>1854</v>
      </c>
      <c r="D478" s="1" t="s">
        <v>1854</v>
      </c>
      <c r="E478" s="1">
        <v>27372</v>
      </c>
      <c r="F478" s="1" t="s">
        <v>2256</v>
      </c>
      <c r="G478" s="1" t="s">
        <v>2041</v>
      </c>
      <c r="H478" s="1" t="s">
        <v>1991</v>
      </c>
      <c r="I478" s="1">
        <v>72.19</v>
      </c>
      <c r="J478" s="1">
        <v>72.19</v>
      </c>
      <c r="K478" s="1" t="s">
        <v>249</v>
      </c>
      <c r="L478" s="1">
        <v>1</v>
      </c>
      <c r="M478" s="3">
        <v>2019</v>
      </c>
      <c r="O478" s="1">
        <v>2</v>
      </c>
      <c r="P478" s="1" t="str">
        <f t="shared" si="15"/>
        <v>Talhadia</v>
      </c>
      <c r="Q478" s="2">
        <v>43518</v>
      </c>
      <c r="R478" s="1" t="s">
        <v>149</v>
      </c>
      <c r="S478" s="1" t="s">
        <v>2257</v>
      </c>
      <c r="T478" s="1" t="s">
        <v>2268</v>
      </c>
      <c r="U478" s="1" t="s">
        <v>212</v>
      </c>
      <c r="V478" s="1" t="s">
        <v>152</v>
      </c>
      <c r="W478" s="2">
        <v>44829</v>
      </c>
      <c r="X478" s="1" t="s">
        <v>2255</v>
      </c>
      <c r="Y478" s="1">
        <v>332.68</v>
      </c>
      <c r="Z478" s="1">
        <v>21.2</v>
      </c>
      <c r="AA478" s="1">
        <v>20</v>
      </c>
      <c r="AB478" s="1">
        <v>14</v>
      </c>
      <c r="AC478" s="1">
        <v>6</v>
      </c>
      <c r="AD478" s="3">
        <v>296.8</v>
      </c>
      <c r="AE478" s="3">
        <v>277.37292225015398</v>
      </c>
      <c r="AF478" s="2">
        <v>45735</v>
      </c>
      <c r="AG478" s="1">
        <v>73</v>
      </c>
      <c r="AH478" s="3">
        <v>6.06981519507187</v>
      </c>
      <c r="AI478" s="4">
        <v>22.851300656916798</v>
      </c>
      <c r="AJ478" s="4">
        <v>16.14</v>
      </c>
      <c r="AK478" s="4">
        <v>15.239231175896</v>
      </c>
      <c r="AL478" s="1">
        <v>20</v>
      </c>
      <c r="AM478" s="5">
        <v>721.05091721832196</v>
      </c>
      <c r="AN478" s="4">
        <v>157.87265179244</v>
      </c>
      <c r="AO478" s="4">
        <v>0.21894799385524999</v>
      </c>
      <c r="AP478" s="1" t="s">
        <v>2257</v>
      </c>
      <c r="AQ478" s="1" t="s">
        <v>254</v>
      </c>
      <c r="AR478" s="1" t="s">
        <v>459</v>
      </c>
      <c r="AS478" s="1">
        <v>9.99</v>
      </c>
      <c r="AT478" s="4">
        <v>0.72032986630110363</v>
      </c>
      <c r="AU478" s="1" t="s">
        <v>1853</v>
      </c>
      <c r="AV478" s="1" t="s">
        <v>1854</v>
      </c>
      <c r="AW478" s="1">
        <v>2055</v>
      </c>
      <c r="AX478" s="1">
        <v>1139</v>
      </c>
      <c r="AY478" s="1">
        <v>658</v>
      </c>
      <c r="AZ478" s="1">
        <v>227</v>
      </c>
      <c r="BA478" s="1">
        <v>30</v>
      </c>
      <c r="BB478" s="1">
        <v>1</v>
      </c>
      <c r="BC478" s="1">
        <v>0</v>
      </c>
      <c r="BD478" s="1">
        <v>0</v>
      </c>
      <c r="BE478" s="1">
        <v>0</v>
      </c>
      <c r="BF478" s="1">
        <v>0</v>
      </c>
      <c r="BG478" s="1">
        <v>0</v>
      </c>
      <c r="BH478" s="4">
        <v>0</v>
      </c>
      <c r="BI478" s="4">
        <v>25.572001</v>
      </c>
      <c r="BJ478" s="4">
        <v>12.819746</v>
      </c>
      <c r="BK478" s="4">
        <v>0</v>
      </c>
      <c r="BL478" s="4">
        <v>9.0752749999999995</v>
      </c>
      <c r="BM478" s="4">
        <v>82.360607999999999</v>
      </c>
      <c r="BN478" s="4">
        <v>0.70791400000000004</v>
      </c>
      <c r="BO478" s="4">
        <v>20.268000000000001</v>
      </c>
      <c r="BP478" s="4">
        <v>-0.36891600000000002</v>
      </c>
      <c r="BQ478" s="4">
        <v>1.5094259999999999</v>
      </c>
      <c r="BR478" s="4">
        <v>8.1798310000000001</v>
      </c>
      <c r="BS478" s="4">
        <v>6.4899990000000001</v>
      </c>
      <c r="BT478" s="4">
        <v>15.712999999999999</v>
      </c>
      <c r="BU478" s="4">
        <v>12.819746</v>
      </c>
      <c r="BV478" s="4">
        <v>5.0580309999999997</v>
      </c>
      <c r="BW478" s="4">
        <v>-0.54678400000000005</v>
      </c>
      <c r="BX478" s="4">
        <v>-0.49441800000000002</v>
      </c>
      <c r="BY478" s="4">
        <v>0.39455000000000001</v>
      </c>
      <c r="BZ478" s="4">
        <v>-0.108102</v>
      </c>
      <c r="CA478" s="4">
        <v>-9.7749000000000003E-2</v>
      </c>
      <c r="CB478" s="4">
        <v>2.5400000000000002E-3</v>
      </c>
      <c r="CC478" s="4">
        <v>0.02</v>
      </c>
      <c r="CD478" s="4">
        <v>0.06</v>
      </c>
      <c r="CE478" s="4">
        <v>0.32600000000000001</v>
      </c>
      <c r="CF478" s="4">
        <v>0.80500000000000005</v>
      </c>
      <c r="CG478" s="4">
        <v>4.4526009999999996</v>
      </c>
      <c r="CH478" s="4">
        <v>12.0718</v>
      </c>
      <c r="CI478" s="4">
        <v>15.712999999999999</v>
      </c>
      <c r="CJ478" s="4">
        <v>18.301400999999998</v>
      </c>
      <c r="CK478" s="4">
        <v>20.405398999999999</v>
      </c>
      <c r="CL478" s="4">
        <v>21.073</v>
      </c>
      <c r="CM478" s="4">
        <v>21.758600000000001</v>
      </c>
      <c r="CN478" s="4">
        <v>22.814001000000001</v>
      </c>
      <c r="CO478" s="4">
        <v>23.627400999999999</v>
      </c>
      <c r="CP478" s="4">
        <v>24.718316999999999</v>
      </c>
      <c r="CQ478" s="4">
        <v>0.50131999999999999</v>
      </c>
      <c r="CR478" s="4">
        <v>15.705617999999999</v>
      </c>
      <c r="CS478" s="4">
        <v>17.096616000000001</v>
      </c>
      <c r="CT478" s="1">
        <v>23</v>
      </c>
      <c r="CU478" s="1">
        <v>574</v>
      </c>
      <c r="CV478" s="4">
        <v>117.16009699999999</v>
      </c>
      <c r="CW478" s="4">
        <v>40.492063000000002</v>
      </c>
      <c r="CX478" s="4">
        <v>103.08205700000001</v>
      </c>
      <c r="CY478" s="4">
        <v>10625.91058</v>
      </c>
      <c r="CZ478" s="4">
        <v>0.87983900000000004</v>
      </c>
      <c r="DA478" s="4">
        <v>84</v>
      </c>
      <c r="DB478" s="4">
        <v>2.088165</v>
      </c>
      <c r="DC478" s="4">
        <v>7.2015950000000002</v>
      </c>
      <c r="DD478" s="4">
        <v>71.896542999999994</v>
      </c>
      <c r="DE478" s="4">
        <v>117.16009699999999</v>
      </c>
      <c r="DF478" s="4">
        <v>48.655231000000001</v>
      </c>
      <c r="DG478" s="4">
        <v>20.716097999999999</v>
      </c>
      <c r="DH478" s="4">
        <v>11.531983</v>
      </c>
      <c r="DI478" s="4">
        <v>0.41528799999999999</v>
      </c>
      <c r="DJ478" s="4">
        <v>0.42577300000000001</v>
      </c>
      <c r="DK478" s="4">
        <v>0.237014</v>
      </c>
      <c r="DL478" s="4">
        <v>27</v>
      </c>
      <c r="DM478" s="4">
        <v>32</v>
      </c>
      <c r="DN478" s="4">
        <v>38</v>
      </c>
      <c r="DO478" s="4">
        <v>47</v>
      </c>
      <c r="DP478" s="4">
        <v>52</v>
      </c>
      <c r="DQ478" s="4">
        <v>56</v>
      </c>
      <c r="DR478" s="4">
        <v>67</v>
      </c>
      <c r="DS478" s="4">
        <v>82</v>
      </c>
      <c r="DT478" s="4">
        <v>100</v>
      </c>
      <c r="DU478" s="4">
        <v>120</v>
      </c>
      <c r="DV478" s="4">
        <v>136</v>
      </c>
      <c r="DW478" s="4">
        <v>157</v>
      </c>
      <c r="DX478" s="4">
        <v>260</v>
      </c>
      <c r="DY478" s="4">
        <v>366.20019500000001</v>
      </c>
      <c r="DZ478" s="4">
        <v>502.91992199999999</v>
      </c>
      <c r="EA478" s="4">
        <v>81.913960000000003</v>
      </c>
      <c r="EB478" s="4">
        <v>70.608272999999997</v>
      </c>
      <c r="EC478" s="4">
        <v>127.39245</v>
      </c>
      <c r="ED478" s="4">
        <v>933</v>
      </c>
      <c r="EE478" s="4">
        <v>1451</v>
      </c>
      <c r="EF478" s="4">
        <v>75.329235999999995</v>
      </c>
      <c r="EG478" s="4">
        <v>99.736610999999996</v>
      </c>
      <c r="EH478" s="4">
        <v>58.442822</v>
      </c>
      <c r="EI478" s="4">
        <v>99.756691000000004</v>
      </c>
      <c r="EJ478" s="4">
        <v>105.443371</v>
      </c>
      <c r="EK478" s="4">
        <v>179.98244099999999</v>
      </c>
      <c r="EL478" s="4">
        <v>858</v>
      </c>
      <c r="EM478" s="4">
        <v>1136</v>
      </c>
      <c r="EN478" s="4">
        <v>1201</v>
      </c>
      <c r="EO478" s="4">
        <v>2050</v>
      </c>
      <c r="EP478" s="4">
        <v>1139</v>
      </c>
      <c r="EQ478" s="4">
        <v>2055</v>
      </c>
      <c r="ER478" s="4">
        <v>50.858173000000001</v>
      </c>
    </row>
    <row r="479" spans="1:148" x14ac:dyDescent="0.2">
      <c r="A479" s="1">
        <v>2025</v>
      </c>
      <c r="B479" s="1" t="str">
        <f t="shared" si="14"/>
        <v>RD</v>
      </c>
      <c r="C479" s="1" t="s">
        <v>1856</v>
      </c>
      <c r="D479" s="1" t="s">
        <v>1856</v>
      </c>
      <c r="E479" s="1">
        <v>27373</v>
      </c>
      <c r="F479" s="1" t="s">
        <v>2256</v>
      </c>
      <c r="G479" s="1" t="s">
        <v>2041</v>
      </c>
      <c r="H479" s="1" t="s">
        <v>1991</v>
      </c>
      <c r="I479" s="1">
        <v>72.19</v>
      </c>
      <c r="J479" s="1">
        <v>72.19</v>
      </c>
      <c r="K479" s="1" t="s">
        <v>249</v>
      </c>
      <c r="L479" s="1">
        <v>1</v>
      </c>
      <c r="M479" s="3">
        <v>2019</v>
      </c>
      <c r="O479" s="1">
        <v>2</v>
      </c>
      <c r="P479" s="1" t="str">
        <f t="shared" si="15"/>
        <v>Talhadia</v>
      </c>
      <c r="Q479" s="2">
        <v>43518</v>
      </c>
      <c r="R479" s="1" t="s">
        <v>149</v>
      </c>
      <c r="S479" s="1" t="s">
        <v>2257</v>
      </c>
      <c r="T479" s="1" t="s">
        <v>2268</v>
      </c>
      <c r="U479" s="1" t="s">
        <v>212</v>
      </c>
      <c r="V479" s="1" t="s">
        <v>152</v>
      </c>
      <c r="W479" s="2">
        <v>45735</v>
      </c>
      <c r="X479" s="1" t="s">
        <v>2255</v>
      </c>
      <c r="Y479" s="1">
        <v>332.68</v>
      </c>
      <c r="Z479" s="1">
        <v>19.2</v>
      </c>
      <c r="AA479" s="1">
        <v>20</v>
      </c>
      <c r="AB479" s="1">
        <v>14</v>
      </c>
      <c r="AC479" s="1">
        <v>0</v>
      </c>
      <c r="AD479" s="3">
        <v>268.8</v>
      </c>
      <c r="AE479" s="3">
        <v>252.58937646725201</v>
      </c>
      <c r="AF479" s="2">
        <v>45734</v>
      </c>
      <c r="AG479" s="1">
        <v>73</v>
      </c>
      <c r="AH479" s="3">
        <v>6.0670773442847397</v>
      </c>
      <c r="AI479" s="4">
        <v>23.497390136953999</v>
      </c>
      <c r="AJ479" s="4">
        <v>16.321052631578901</v>
      </c>
      <c r="AK479" s="4">
        <v>16.6212601483467</v>
      </c>
      <c r="AL479" s="1">
        <v>19</v>
      </c>
      <c r="AM479" s="5">
        <v>752.20899096139601</v>
      </c>
      <c r="AN479" s="4">
        <v>182.063380505559</v>
      </c>
      <c r="AO479" s="4">
        <v>0.242038293470628</v>
      </c>
      <c r="AP479" s="1" t="s">
        <v>2257</v>
      </c>
      <c r="AQ479" s="1" t="s">
        <v>254</v>
      </c>
      <c r="AR479" s="1" t="s">
        <v>459</v>
      </c>
      <c r="AS479" s="1">
        <v>9.99</v>
      </c>
      <c r="AT479" s="4">
        <v>0.75145678197043464</v>
      </c>
      <c r="AU479" s="1" t="s">
        <v>1855</v>
      </c>
      <c r="AV479" s="1" t="s">
        <v>1856</v>
      </c>
      <c r="AW479" s="1">
        <v>991</v>
      </c>
      <c r="AX479" s="1">
        <v>578</v>
      </c>
      <c r="AY479" s="1">
        <v>298</v>
      </c>
      <c r="AZ479" s="1">
        <v>93</v>
      </c>
      <c r="BA479" s="1">
        <v>22</v>
      </c>
      <c r="BB479" s="1">
        <v>0</v>
      </c>
      <c r="BC479" s="1">
        <v>0</v>
      </c>
      <c r="BD479" s="1">
        <v>0</v>
      </c>
      <c r="BE479" s="1">
        <v>0</v>
      </c>
      <c r="BF479" s="1">
        <v>0</v>
      </c>
      <c r="BG479" s="1">
        <v>0</v>
      </c>
      <c r="BH479" s="4">
        <v>1E-3</v>
      </c>
      <c r="BI479" s="4">
        <v>25.806000000000001</v>
      </c>
      <c r="BJ479" s="4">
        <v>16.517883000000001</v>
      </c>
      <c r="BK479" s="4">
        <v>1E-3</v>
      </c>
      <c r="BL479" s="4">
        <v>9.6590819999999997</v>
      </c>
      <c r="BM479" s="4">
        <v>93.297871999999998</v>
      </c>
      <c r="BN479" s="4">
        <v>0.58476499999999998</v>
      </c>
      <c r="BO479" s="4">
        <v>17.296500000000002</v>
      </c>
      <c r="BP479" s="4">
        <v>-0.877772</v>
      </c>
      <c r="BQ479" s="4">
        <v>1.9802630000000001</v>
      </c>
      <c r="BR479" s="4">
        <v>8.5845549999999999</v>
      </c>
      <c r="BS479" s="4">
        <v>2.011002</v>
      </c>
      <c r="BT479" s="4">
        <v>22.181000000000001</v>
      </c>
      <c r="BU479" s="4">
        <v>16.517883000000001</v>
      </c>
      <c r="BV479" s="4">
        <v>4.9422879999999996</v>
      </c>
      <c r="BW479" s="4">
        <v>-1.646371</v>
      </c>
      <c r="BX479" s="4">
        <v>-0.109475</v>
      </c>
      <c r="BY479" s="4">
        <v>0.29920799999999997</v>
      </c>
      <c r="BZ479" s="4">
        <v>-0.333119</v>
      </c>
      <c r="CA479" s="4">
        <v>-2.2151000000000001E-2</v>
      </c>
      <c r="CB479" s="4">
        <v>4.8999999999999998E-3</v>
      </c>
      <c r="CC479" s="4">
        <v>1.4E-2</v>
      </c>
      <c r="CD479" s="4">
        <v>3.6999999999999998E-2</v>
      </c>
      <c r="CE479" s="4">
        <v>1.9179999999999999</v>
      </c>
      <c r="CF479" s="4">
        <v>6.3490000000000002</v>
      </c>
      <c r="CG479" s="4">
        <v>12.773999999999999</v>
      </c>
      <c r="CH479" s="4">
        <v>20.850999999999999</v>
      </c>
      <c r="CI479" s="4">
        <v>22.181999000000001</v>
      </c>
      <c r="CJ479" s="4">
        <v>22.937999999999999</v>
      </c>
      <c r="CK479" s="4">
        <v>23.441998999999999</v>
      </c>
      <c r="CL479" s="4">
        <v>23.645499999999998</v>
      </c>
      <c r="CM479" s="4">
        <v>23.851998999999999</v>
      </c>
      <c r="CN479" s="4">
        <v>24.378</v>
      </c>
      <c r="CO479" s="4">
        <v>24.673999999999999</v>
      </c>
      <c r="CP479" s="4">
        <v>25.175398000000001</v>
      </c>
      <c r="CQ479" s="4">
        <v>0.640065</v>
      </c>
      <c r="CR479" s="4">
        <v>19.132280999999999</v>
      </c>
      <c r="CS479" s="4">
        <v>20.275438000000001</v>
      </c>
      <c r="CT479" s="1">
        <v>25</v>
      </c>
      <c r="CU479" s="1">
        <v>416</v>
      </c>
      <c r="CV479" s="4">
        <v>118.45206899999999</v>
      </c>
      <c r="CW479" s="4">
        <v>43.619047999999999</v>
      </c>
      <c r="CX479" s="4">
        <v>73.934447000000006</v>
      </c>
      <c r="CY479" s="4">
        <v>5466.302498</v>
      </c>
      <c r="CZ479" s="4">
        <v>0.62417199999999995</v>
      </c>
      <c r="DA479" s="4">
        <v>110.5</v>
      </c>
      <c r="DB479" s="4">
        <v>0.93468200000000001</v>
      </c>
      <c r="DC479" s="4">
        <v>3.4531429999999999</v>
      </c>
      <c r="DD479" s="4">
        <v>60.441136999999998</v>
      </c>
      <c r="DE479" s="4">
        <v>118.45206899999999</v>
      </c>
      <c r="DF479" s="4">
        <v>40.692497000000003</v>
      </c>
      <c r="DG479" s="4">
        <v>8.4953970000000005</v>
      </c>
      <c r="DH479" s="4">
        <v>2.848265</v>
      </c>
      <c r="DI479" s="4">
        <v>0.34353600000000001</v>
      </c>
      <c r="DJ479" s="4">
        <v>0.20877100000000001</v>
      </c>
      <c r="DK479" s="4">
        <v>6.9995000000000002E-2</v>
      </c>
      <c r="DL479" s="4">
        <v>28</v>
      </c>
      <c r="DM479" s="4">
        <v>33</v>
      </c>
      <c r="DN479" s="4">
        <v>39</v>
      </c>
      <c r="DO479" s="4">
        <v>49</v>
      </c>
      <c r="DP479" s="4">
        <v>57</v>
      </c>
      <c r="DQ479" s="4">
        <v>64</v>
      </c>
      <c r="DR479" s="4">
        <v>83</v>
      </c>
      <c r="DS479" s="4">
        <v>102</v>
      </c>
      <c r="DT479" s="4">
        <v>122</v>
      </c>
      <c r="DU479" s="4">
        <v>152</v>
      </c>
      <c r="DV479" s="4">
        <v>167.5</v>
      </c>
      <c r="DW479" s="4">
        <v>180</v>
      </c>
      <c r="DX479" s="4">
        <v>225</v>
      </c>
      <c r="DY479" s="4">
        <v>259</v>
      </c>
      <c r="DZ479" s="4">
        <v>328.399902</v>
      </c>
      <c r="EA479" s="4">
        <v>97.750865000000005</v>
      </c>
      <c r="EB479" s="4">
        <v>78.506558999999996</v>
      </c>
      <c r="EC479" s="4">
        <v>134.60207600000001</v>
      </c>
      <c r="ED479" s="4">
        <v>565</v>
      </c>
      <c r="EE479" s="4">
        <v>778</v>
      </c>
      <c r="EF479" s="4">
        <v>93.425606000000002</v>
      </c>
      <c r="EG479" s="4">
        <v>100</v>
      </c>
      <c r="EH479" s="4">
        <v>67.103935000000007</v>
      </c>
      <c r="EI479" s="4">
        <v>99.899091999999996</v>
      </c>
      <c r="EJ479" s="4">
        <v>115.051903</v>
      </c>
      <c r="EK479" s="4">
        <v>171.28027700000001</v>
      </c>
      <c r="EL479" s="4">
        <v>540</v>
      </c>
      <c r="EM479" s="4">
        <v>578</v>
      </c>
      <c r="EN479" s="4">
        <v>665</v>
      </c>
      <c r="EO479" s="4">
        <v>990</v>
      </c>
      <c r="EP479" s="4">
        <v>578</v>
      </c>
      <c r="EQ479" s="4">
        <v>991</v>
      </c>
      <c r="ER479" s="4">
        <v>64.628449000000003</v>
      </c>
    </row>
    <row r="480" spans="1:148" x14ac:dyDescent="0.2">
      <c r="A480" s="1">
        <v>2025</v>
      </c>
      <c r="B480" s="1" t="str">
        <f t="shared" si="14"/>
        <v>RD</v>
      </c>
      <c r="C480" s="1" t="s">
        <v>1858</v>
      </c>
      <c r="D480" s="1" t="s">
        <v>1858</v>
      </c>
      <c r="E480" s="1">
        <v>27374</v>
      </c>
      <c r="F480" s="1" t="s">
        <v>2256</v>
      </c>
      <c r="G480" s="1" t="s">
        <v>2041</v>
      </c>
      <c r="H480" s="1" t="s">
        <v>1991</v>
      </c>
      <c r="I480" s="1">
        <v>72.19</v>
      </c>
      <c r="J480" s="1">
        <v>72.19</v>
      </c>
      <c r="K480" s="1" t="s">
        <v>249</v>
      </c>
      <c r="L480" s="1">
        <v>1</v>
      </c>
      <c r="M480" s="3">
        <v>2019</v>
      </c>
      <c r="O480" s="1">
        <v>2</v>
      </c>
      <c r="P480" s="1" t="str">
        <f t="shared" si="15"/>
        <v>Talhadia</v>
      </c>
      <c r="Q480" s="2">
        <v>43518</v>
      </c>
      <c r="R480" s="1" t="s">
        <v>149</v>
      </c>
      <c r="S480" s="1" t="s">
        <v>2257</v>
      </c>
      <c r="T480" s="1" t="s">
        <v>2268</v>
      </c>
      <c r="U480" s="1" t="s">
        <v>212</v>
      </c>
      <c r="V480" s="1" t="s">
        <v>152</v>
      </c>
      <c r="W480" s="2">
        <v>44830</v>
      </c>
      <c r="X480" s="1" t="s">
        <v>2255</v>
      </c>
      <c r="Y480" s="1">
        <v>332.68</v>
      </c>
      <c r="Z480" s="1">
        <v>20.6</v>
      </c>
      <c r="AA480" s="1">
        <v>25</v>
      </c>
      <c r="AB480" s="1">
        <v>14</v>
      </c>
      <c r="AC480" s="1">
        <v>0</v>
      </c>
      <c r="AD480" s="3">
        <v>288.39999999999998</v>
      </c>
      <c r="AE480" s="3">
        <v>261.37916578136998</v>
      </c>
      <c r="AF480" s="2">
        <v>45734</v>
      </c>
      <c r="AG480" s="1">
        <v>73</v>
      </c>
      <c r="AH480" s="3">
        <v>6.0670773442847397</v>
      </c>
      <c r="AI480" s="4">
        <v>22.873954902976202</v>
      </c>
      <c r="AJ480" s="4">
        <v>17.463157894736799</v>
      </c>
      <c r="AK480" s="4">
        <v>17.854779241843399</v>
      </c>
      <c r="AL480" s="1">
        <v>19</v>
      </c>
      <c r="AM480" s="5">
        <v>726.91333080053198</v>
      </c>
      <c r="AN480" s="4">
        <v>180.094422453557</v>
      </c>
      <c r="AO480" s="4">
        <v>0.247752262646254</v>
      </c>
      <c r="AP480" s="1" t="s">
        <v>2257</v>
      </c>
      <c r="AQ480" s="1" t="s">
        <v>254</v>
      </c>
      <c r="AR480" s="1" t="s">
        <v>459</v>
      </c>
      <c r="AS480" s="1">
        <v>9.99</v>
      </c>
      <c r="AT480" s="4">
        <v>0.72618641746973145</v>
      </c>
      <c r="AU480" s="1" t="s">
        <v>1857</v>
      </c>
      <c r="AV480" s="1" t="s">
        <v>1858</v>
      </c>
      <c r="AW480" s="1">
        <v>1009</v>
      </c>
      <c r="AX480" s="1">
        <v>648</v>
      </c>
      <c r="AY480" s="1">
        <v>297</v>
      </c>
      <c r="AZ480" s="1">
        <v>62</v>
      </c>
      <c r="BA480" s="1">
        <v>2</v>
      </c>
      <c r="BB480" s="1">
        <v>0</v>
      </c>
      <c r="BC480" s="1">
        <v>0</v>
      </c>
      <c r="BD480" s="1">
        <v>0</v>
      </c>
      <c r="BE480" s="1">
        <v>0</v>
      </c>
      <c r="BF480" s="1">
        <v>0</v>
      </c>
      <c r="BG480" s="1">
        <v>0</v>
      </c>
      <c r="BH480" s="4">
        <v>0</v>
      </c>
      <c r="BI480" s="4">
        <v>24.290001</v>
      </c>
      <c r="BJ480" s="4">
        <v>13.581739000000001</v>
      </c>
      <c r="BK480" s="4">
        <v>0</v>
      </c>
      <c r="BL480" s="4">
        <v>9.1484900000000007</v>
      </c>
      <c r="BM480" s="4">
        <v>83.694869999999995</v>
      </c>
      <c r="BN480" s="4">
        <v>0.67358799999999996</v>
      </c>
      <c r="BO480" s="4">
        <v>19.951001000000002</v>
      </c>
      <c r="BP480" s="4">
        <v>-0.66331899999999999</v>
      </c>
      <c r="BQ480" s="4">
        <v>1.587629</v>
      </c>
      <c r="BR480" s="4">
        <v>8.4251819999999995</v>
      </c>
      <c r="BS480" s="4">
        <v>2.5529989999999998</v>
      </c>
      <c r="BT480" s="4">
        <v>18.865998999999999</v>
      </c>
      <c r="BU480" s="4">
        <v>13.581739000000001</v>
      </c>
      <c r="BV480" s="4">
        <v>4.76654</v>
      </c>
      <c r="BW480" s="4">
        <v>-1.1379840000000001</v>
      </c>
      <c r="BX480" s="4">
        <v>-0.40046700000000002</v>
      </c>
      <c r="BY480" s="4">
        <v>0.35095199999999999</v>
      </c>
      <c r="BZ480" s="4">
        <v>-0.23874400000000001</v>
      </c>
      <c r="CA480" s="4">
        <v>-8.4015999999999993E-2</v>
      </c>
      <c r="CB480" s="4">
        <v>4.0000000000000001E-3</v>
      </c>
      <c r="CC480" s="4">
        <v>1.9E-2</v>
      </c>
      <c r="CD480" s="4">
        <v>3.9E-2</v>
      </c>
      <c r="CE480" s="4">
        <v>0.129</v>
      </c>
      <c r="CF480" s="4">
        <v>0.68</v>
      </c>
      <c r="CG480" s="4">
        <v>3.4445969999999999</v>
      </c>
      <c r="CH480" s="4">
        <v>17.595199999999998</v>
      </c>
      <c r="CI480" s="4">
        <v>18.865998999999999</v>
      </c>
      <c r="CJ480" s="4">
        <v>19.759599999999999</v>
      </c>
      <c r="CK480" s="4">
        <v>20.310600000000001</v>
      </c>
      <c r="CL480" s="4">
        <v>20.631001000000001</v>
      </c>
      <c r="CM480" s="4">
        <v>20.933201</v>
      </c>
      <c r="CN480" s="4">
        <v>21.7668</v>
      </c>
      <c r="CO480" s="4">
        <v>22.332998</v>
      </c>
      <c r="CP480" s="4">
        <v>23.017719</v>
      </c>
      <c r="CQ480" s="4">
        <v>0.55914900000000001</v>
      </c>
      <c r="CR480" s="4">
        <v>16.373013</v>
      </c>
      <c r="CS480" s="4">
        <v>17.549227999999999</v>
      </c>
      <c r="CT480" s="1">
        <v>24</v>
      </c>
      <c r="CU480" s="1">
        <v>506</v>
      </c>
      <c r="CV480" s="4">
        <v>134.023786</v>
      </c>
      <c r="CW480" s="4">
        <v>31.650794000000001</v>
      </c>
      <c r="CX480" s="4">
        <v>87.632582999999997</v>
      </c>
      <c r="CY480" s="4">
        <v>7679.4696720000002</v>
      </c>
      <c r="CZ480" s="4">
        <v>0.65385800000000005</v>
      </c>
      <c r="DA480" s="4">
        <v>109</v>
      </c>
      <c r="DB480" s="4">
        <v>1.308298</v>
      </c>
      <c r="DC480" s="4">
        <v>4.8558209999999997</v>
      </c>
      <c r="DD480" s="4">
        <v>67.045136999999997</v>
      </c>
      <c r="DE480" s="4">
        <v>134.023786</v>
      </c>
      <c r="DF480" s="4">
        <v>46.649577999999998</v>
      </c>
      <c r="DG480" s="4">
        <v>11.190694000000001</v>
      </c>
      <c r="DH480" s="4">
        <v>6.4326840000000001</v>
      </c>
      <c r="DI480" s="4">
        <v>0.34806900000000002</v>
      </c>
      <c r="DJ480" s="4">
        <v>0.23988799999999999</v>
      </c>
      <c r="DK480" s="4">
        <v>0.13789399999999999</v>
      </c>
      <c r="DL480" s="4">
        <v>29.08</v>
      </c>
      <c r="DM480" s="4">
        <v>35</v>
      </c>
      <c r="DN480" s="4">
        <v>41.800002999999997</v>
      </c>
      <c r="DO480" s="4">
        <v>57</v>
      </c>
      <c r="DP480" s="4">
        <v>67</v>
      </c>
      <c r="DQ480" s="4">
        <v>77</v>
      </c>
      <c r="DR480" s="4">
        <v>98</v>
      </c>
      <c r="DS480" s="4">
        <v>116</v>
      </c>
      <c r="DT480" s="4">
        <v>137</v>
      </c>
      <c r="DU480" s="4">
        <v>161.599976</v>
      </c>
      <c r="DV480" s="4">
        <v>176</v>
      </c>
      <c r="DW480" s="4">
        <v>192.400024</v>
      </c>
      <c r="DX480" s="4">
        <v>249.400024</v>
      </c>
      <c r="DY480" s="4">
        <v>309.399902</v>
      </c>
      <c r="DZ480" s="4">
        <v>415.839966</v>
      </c>
      <c r="EA480" s="4">
        <v>89.351851999999994</v>
      </c>
      <c r="EB480" s="4">
        <v>70.168484000000007</v>
      </c>
      <c r="EC480" s="4">
        <v>109.259259</v>
      </c>
      <c r="ED480" s="4">
        <v>579</v>
      </c>
      <c r="EE480" s="4">
        <v>708</v>
      </c>
      <c r="EF480" s="4">
        <v>87.808642000000006</v>
      </c>
      <c r="EG480" s="4">
        <v>99.845679000000004</v>
      </c>
      <c r="EH480" s="4">
        <v>65.510406000000003</v>
      </c>
      <c r="EI480" s="4">
        <v>99.900891999999999</v>
      </c>
      <c r="EJ480" s="4">
        <v>102.006173</v>
      </c>
      <c r="EK480" s="4">
        <v>155.555556</v>
      </c>
      <c r="EL480" s="4">
        <v>569</v>
      </c>
      <c r="EM480" s="4">
        <v>647</v>
      </c>
      <c r="EN480" s="4">
        <v>661</v>
      </c>
      <c r="EO480" s="4">
        <v>1008</v>
      </c>
      <c r="EP480" s="4">
        <v>648</v>
      </c>
      <c r="EQ480" s="4">
        <v>1009</v>
      </c>
      <c r="ER480" s="4">
        <v>57.979565999999998</v>
      </c>
    </row>
    <row r="481" spans="1:148" x14ac:dyDescent="0.2">
      <c r="A481" s="1">
        <v>2025</v>
      </c>
      <c r="B481" s="1" t="str">
        <f t="shared" si="14"/>
        <v>RD</v>
      </c>
      <c r="C481" s="1" t="s">
        <v>1860</v>
      </c>
      <c r="D481" s="1" t="s">
        <v>1860</v>
      </c>
      <c r="E481" s="1">
        <v>31049</v>
      </c>
      <c r="F481" s="1" t="s">
        <v>2256</v>
      </c>
      <c r="G481" s="1" t="s">
        <v>2041</v>
      </c>
      <c r="H481" s="1" t="s">
        <v>1991</v>
      </c>
      <c r="I481" s="1">
        <v>72.19</v>
      </c>
      <c r="J481" s="1">
        <v>72.19</v>
      </c>
      <c r="K481" s="1" t="s">
        <v>249</v>
      </c>
      <c r="L481" s="1">
        <v>1</v>
      </c>
      <c r="M481" s="3">
        <v>2019</v>
      </c>
      <c r="O481" s="1">
        <v>2</v>
      </c>
      <c r="P481" s="1" t="str">
        <f t="shared" si="15"/>
        <v>Talhadia</v>
      </c>
      <c r="Q481" s="2">
        <v>43518</v>
      </c>
      <c r="R481" s="1" t="s">
        <v>149</v>
      </c>
      <c r="S481" s="1" t="s">
        <v>2257</v>
      </c>
      <c r="T481" s="1" t="s">
        <v>2268</v>
      </c>
      <c r="U481" s="1" t="s">
        <v>212</v>
      </c>
      <c r="V481" s="1" t="s">
        <v>152</v>
      </c>
      <c r="W481" s="2">
        <v>45735</v>
      </c>
      <c r="X481" s="1" t="s">
        <v>2255</v>
      </c>
      <c r="Y481" s="1">
        <v>332.68</v>
      </c>
      <c r="Z481" s="1">
        <v>20</v>
      </c>
      <c r="AA481" s="1">
        <v>4</v>
      </c>
      <c r="AB481" s="1">
        <v>15</v>
      </c>
      <c r="AC481" s="1">
        <v>0</v>
      </c>
      <c r="AD481" s="3">
        <v>300</v>
      </c>
      <c r="AE481" s="3">
        <v>299.26921507794702</v>
      </c>
      <c r="AF481" s="2">
        <v>45735</v>
      </c>
      <c r="AG481" s="1">
        <v>73</v>
      </c>
      <c r="AH481" s="3">
        <v>6.06981519507187</v>
      </c>
      <c r="AI481" s="4">
        <v>23.8865028590211</v>
      </c>
      <c r="AJ481" s="4">
        <v>16.633333333333301</v>
      </c>
      <c r="AK481" s="4">
        <v>13.5911216264297</v>
      </c>
      <c r="AL481" s="1">
        <v>18</v>
      </c>
      <c r="AM481" s="5">
        <v>601.46513884870296</v>
      </c>
      <c r="AN481" s="4">
        <v>148.32666394141501</v>
      </c>
      <c r="AO481" s="4">
        <v>0.24660891273821001</v>
      </c>
      <c r="AP481" s="1" t="s">
        <v>2257</v>
      </c>
      <c r="AQ481" s="1" t="s">
        <v>254</v>
      </c>
      <c r="AR481" s="1" t="s">
        <v>459</v>
      </c>
      <c r="AS481" s="1">
        <v>9.99</v>
      </c>
      <c r="AT481" s="4">
        <v>0.60086367370985427</v>
      </c>
      <c r="AU481" s="1" t="s">
        <v>1859</v>
      </c>
      <c r="AV481" s="1" t="s">
        <v>1860</v>
      </c>
      <c r="AW481" s="1">
        <v>1462</v>
      </c>
      <c r="AX481" s="1">
        <v>778</v>
      </c>
      <c r="AY481" s="1">
        <v>526</v>
      </c>
      <c r="AZ481" s="1">
        <v>140</v>
      </c>
      <c r="BA481" s="1">
        <v>18</v>
      </c>
      <c r="BB481" s="1">
        <v>0</v>
      </c>
      <c r="BC481" s="1">
        <v>0</v>
      </c>
      <c r="BD481" s="1">
        <v>0</v>
      </c>
      <c r="BE481" s="1">
        <v>0</v>
      </c>
      <c r="BF481" s="1">
        <v>0</v>
      </c>
      <c r="BG481" s="1">
        <v>0</v>
      </c>
      <c r="BH481" s="4">
        <v>0</v>
      </c>
      <c r="BI481" s="4">
        <v>26.960999999999999</v>
      </c>
      <c r="BJ481" s="4">
        <v>11.626300000000001</v>
      </c>
      <c r="BK481" s="4">
        <v>0</v>
      </c>
      <c r="BL481" s="4">
        <v>9.9853729999999992</v>
      </c>
      <c r="BM481" s="4">
        <v>99.707678000000001</v>
      </c>
      <c r="BN481" s="4">
        <v>0.85886099999999999</v>
      </c>
      <c r="BO481" s="4">
        <v>21.263750999999999</v>
      </c>
      <c r="BP481" s="4">
        <v>3.1413999999999997E-2</v>
      </c>
      <c r="BQ481" s="4">
        <v>1.2823070000000001</v>
      </c>
      <c r="BR481" s="4">
        <v>9.3233510000000006</v>
      </c>
      <c r="BS481" s="4">
        <v>10.925501000000001</v>
      </c>
      <c r="BT481" s="4">
        <v>12.4315</v>
      </c>
      <c r="BU481" s="4">
        <v>11.626300000000001</v>
      </c>
      <c r="BV481" s="4">
        <v>5.5695649999999999</v>
      </c>
      <c r="BW481" s="4">
        <v>0.21184900000000001</v>
      </c>
      <c r="BX481" s="4">
        <v>-0.84351699999999996</v>
      </c>
      <c r="BY481" s="4">
        <v>0.479049</v>
      </c>
      <c r="BZ481" s="4">
        <v>3.8037000000000001E-2</v>
      </c>
      <c r="CA481" s="4">
        <v>-0.151451</v>
      </c>
      <c r="CB481" s="4">
        <v>5.6100000000000004E-3</v>
      </c>
      <c r="CC481" s="4">
        <v>0.04</v>
      </c>
      <c r="CD481" s="4">
        <v>8.4099999999999994E-2</v>
      </c>
      <c r="CE481" s="4">
        <v>0.39419999999999999</v>
      </c>
      <c r="CF481" s="4">
        <v>0.78725000000000001</v>
      </c>
      <c r="CG481" s="4">
        <v>1.1009</v>
      </c>
      <c r="CH481" s="4">
        <v>3.5314000000000001</v>
      </c>
      <c r="CI481" s="4">
        <v>12.4315</v>
      </c>
      <c r="CJ481" s="4">
        <v>17.378401</v>
      </c>
      <c r="CK481" s="4">
        <v>20.822600999999999</v>
      </c>
      <c r="CL481" s="4">
        <v>22.051000999999999</v>
      </c>
      <c r="CM481" s="4">
        <v>22.812201000000002</v>
      </c>
      <c r="CN481" s="4">
        <v>24.009398999999998</v>
      </c>
      <c r="CO481" s="4">
        <v>24.884249000000001</v>
      </c>
      <c r="CP481" s="4">
        <v>25.821110000000001</v>
      </c>
      <c r="CQ481" s="4">
        <v>0.43122700000000003</v>
      </c>
      <c r="CR481" s="4">
        <v>15.323522000000001</v>
      </c>
      <c r="CS481" s="4">
        <v>17.188336</v>
      </c>
      <c r="CT481" s="1">
        <v>25</v>
      </c>
      <c r="CU481" s="1">
        <v>538</v>
      </c>
      <c r="CV481" s="4">
        <v>115.816005</v>
      </c>
      <c r="CW481" s="4">
        <v>41.285713999999999</v>
      </c>
      <c r="CX481" s="4">
        <v>85.721760000000003</v>
      </c>
      <c r="CY481" s="4">
        <v>7348.2200590000002</v>
      </c>
      <c r="CZ481" s="4">
        <v>0.74015500000000001</v>
      </c>
      <c r="DA481" s="4">
        <v>92.75</v>
      </c>
      <c r="DB481" s="4">
        <v>1.761334</v>
      </c>
      <c r="DC481" s="4">
        <v>6.4025189999999998</v>
      </c>
      <c r="DD481" s="4">
        <v>63.301161999999998</v>
      </c>
      <c r="DE481" s="4">
        <v>115.816005</v>
      </c>
      <c r="DF481" s="4">
        <v>43.229008999999998</v>
      </c>
      <c r="DG481" s="4">
        <v>14.596168</v>
      </c>
      <c r="DH481" s="4">
        <v>7.5286160000000004</v>
      </c>
      <c r="DI481" s="4">
        <v>0.37325599999999998</v>
      </c>
      <c r="DJ481" s="4">
        <v>0.337648</v>
      </c>
      <c r="DK481" s="4">
        <v>0.17415700000000001</v>
      </c>
      <c r="DL481" s="4">
        <v>28</v>
      </c>
      <c r="DM481" s="4">
        <v>34</v>
      </c>
      <c r="DN481" s="4">
        <v>40</v>
      </c>
      <c r="DO481" s="4">
        <v>49</v>
      </c>
      <c r="DP481" s="4">
        <v>54</v>
      </c>
      <c r="DQ481" s="4">
        <v>60</v>
      </c>
      <c r="DR481" s="4">
        <v>74.400024000000002</v>
      </c>
      <c r="DS481" s="4">
        <v>91</v>
      </c>
      <c r="DT481" s="4">
        <v>108</v>
      </c>
      <c r="DU481" s="4">
        <v>131</v>
      </c>
      <c r="DV481" s="4">
        <v>146.75</v>
      </c>
      <c r="DW481" s="4">
        <v>166</v>
      </c>
      <c r="DX481" s="4">
        <v>229.900024</v>
      </c>
      <c r="DY481" s="4">
        <v>303.84985399999999</v>
      </c>
      <c r="DZ481" s="4">
        <v>431.95007299999997</v>
      </c>
      <c r="EA481" s="4">
        <v>78.920308000000006</v>
      </c>
      <c r="EB481" s="4">
        <v>60.191518000000002</v>
      </c>
      <c r="EC481" s="4">
        <v>113.11054</v>
      </c>
      <c r="ED481" s="4">
        <v>614</v>
      </c>
      <c r="EE481" s="4">
        <v>880</v>
      </c>
      <c r="EF481" s="4">
        <v>71.722364999999996</v>
      </c>
      <c r="EG481" s="4">
        <v>100</v>
      </c>
      <c r="EH481" s="4">
        <v>51.504787999999998</v>
      </c>
      <c r="EI481" s="4">
        <v>99.794802000000004</v>
      </c>
      <c r="EJ481" s="4">
        <v>96.786631999999997</v>
      </c>
      <c r="EK481" s="4">
        <v>187.53213400000001</v>
      </c>
      <c r="EL481" s="4">
        <v>558</v>
      </c>
      <c r="EM481" s="4">
        <v>778</v>
      </c>
      <c r="EN481" s="4">
        <v>753</v>
      </c>
      <c r="EO481" s="4">
        <v>1459</v>
      </c>
      <c r="EP481" s="4">
        <v>778</v>
      </c>
      <c r="EQ481" s="4">
        <v>1462</v>
      </c>
      <c r="ER481" s="4">
        <v>44.021692000000002</v>
      </c>
    </row>
    <row r="482" spans="1:148" x14ac:dyDescent="0.2">
      <c r="A482" s="1">
        <v>2025</v>
      </c>
      <c r="B482" s="1" t="str">
        <f t="shared" si="14"/>
        <v>RD</v>
      </c>
      <c r="C482" s="1" t="s">
        <v>1862</v>
      </c>
      <c r="D482" s="1" t="s">
        <v>1862</v>
      </c>
      <c r="E482" s="1">
        <v>28534</v>
      </c>
      <c r="F482" s="1" t="s">
        <v>2258</v>
      </c>
      <c r="G482" s="1" t="s">
        <v>212</v>
      </c>
      <c r="H482" s="1" t="s">
        <v>1992</v>
      </c>
      <c r="I482" s="1">
        <v>45.63</v>
      </c>
      <c r="J482" s="1">
        <v>45.63</v>
      </c>
      <c r="K482" s="1" t="s">
        <v>249</v>
      </c>
      <c r="L482" s="1">
        <v>1</v>
      </c>
      <c r="M482" s="3">
        <v>2021</v>
      </c>
      <c r="O482" s="1">
        <v>1</v>
      </c>
      <c r="P482" s="1" t="str">
        <f t="shared" si="15"/>
        <v>Alto fuste</v>
      </c>
      <c r="Q482" s="2">
        <v>44302</v>
      </c>
      <c r="R482" s="1" t="s">
        <v>227</v>
      </c>
      <c r="S482" s="1" t="s">
        <v>403</v>
      </c>
      <c r="T482" s="1" t="s">
        <v>2268</v>
      </c>
      <c r="U482" s="1" t="s">
        <v>212</v>
      </c>
      <c r="V482" s="1" t="s">
        <v>152</v>
      </c>
      <c r="W482" s="2">
        <v>44831</v>
      </c>
      <c r="X482" s="1" t="s">
        <v>2259</v>
      </c>
      <c r="Y482" s="1">
        <v>477.46000000000009</v>
      </c>
      <c r="Z482" s="1">
        <v>19.2</v>
      </c>
      <c r="AA482" s="1">
        <v>10</v>
      </c>
      <c r="AB482" s="1">
        <v>14.7</v>
      </c>
      <c r="AC482" s="1">
        <v>1</v>
      </c>
      <c r="AD482" s="3">
        <v>282.24</v>
      </c>
      <c r="AE482" s="3">
        <v>277.90980675292002</v>
      </c>
      <c r="AF482" s="2">
        <v>45742</v>
      </c>
      <c r="AG482" s="1">
        <v>47</v>
      </c>
      <c r="AH482" s="3">
        <v>3.9425051334702301</v>
      </c>
      <c r="AI482" s="4">
        <v>20.697004152661801</v>
      </c>
      <c r="AJ482" s="4">
        <v>11.7324324324324</v>
      </c>
      <c r="AK482" s="4">
        <v>15.055232154013</v>
      </c>
      <c r="AL482" s="1">
        <v>37</v>
      </c>
      <c r="AM482" s="5">
        <v>1331.3671954331401</v>
      </c>
      <c r="AN482" s="4">
        <v>158.099224960008</v>
      </c>
      <c r="AO482" s="4">
        <v>0.11874952717952</v>
      </c>
      <c r="AP482" s="1" t="s">
        <v>403</v>
      </c>
      <c r="AQ482" s="1" t="s">
        <v>156</v>
      </c>
      <c r="AR482" s="1" t="s">
        <v>164</v>
      </c>
      <c r="AS482" s="1">
        <v>7.5</v>
      </c>
      <c r="AT482" s="4">
        <v>0.99852539657485506</v>
      </c>
      <c r="AU482" s="1" t="s">
        <v>1861</v>
      </c>
      <c r="AV482" s="1" t="s">
        <v>1862</v>
      </c>
      <c r="AW482" s="1">
        <v>937</v>
      </c>
      <c r="AX482" s="1">
        <v>536</v>
      </c>
      <c r="AY482" s="1">
        <v>310</v>
      </c>
      <c r="AZ482" s="1">
        <v>77</v>
      </c>
      <c r="BA482" s="1">
        <v>14</v>
      </c>
      <c r="BB482" s="1">
        <v>0</v>
      </c>
      <c r="BC482" s="1">
        <v>0</v>
      </c>
      <c r="BD482" s="1">
        <v>0</v>
      </c>
      <c r="BE482" s="1">
        <v>0</v>
      </c>
      <c r="BF482" s="1">
        <v>0</v>
      </c>
      <c r="BG482" s="1">
        <v>0</v>
      </c>
      <c r="BH482" s="4">
        <v>0</v>
      </c>
      <c r="BI482" s="4">
        <v>20.968</v>
      </c>
      <c r="BJ482" s="4">
        <v>12.378612</v>
      </c>
      <c r="BK482" s="4">
        <v>0</v>
      </c>
      <c r="BL482" s="4">
        <v>7.5229619999999997</v>
      </c>
      <c r="BM482" s="4">
        <v>56.594963999999997</v>
      </c>
      <c r="BN482" s="4">
        <v>0.60773900000000003</v>
      </c>
      <c r="BO482" s="4">
        <v>12.645</v>
      </c>
      <c r="BP482" s="4">
        <v>-0.70158600000000004</v>
      </c>
      <c r="BQ482" s="4">
        <v>1.8795249999999999</v>
      </c>
      <c r="BR482" s="4">
        <v>6.6015230000000003</v>
      </c>
      <c r="BS482" s="4">
        <v>3.6219999999999999</v>
      </c>
      <c r="BT482" s="4">
        <v>15.791</v>
      </c>
      <c r="BU482" s="4">
        <v>12.378612</v>
      </c>
      <c r="BV482" s="4">
        <v>4.0712580000000003</v>
      </c>
      <c r="BW482" s="4">
        <v>-0.96259499999999998</v>
      </c>
      <c r="BX482" s="4">
        <v>-0.204847</v>
      </c>
      <c r="BY482" s="4">
        <v>0.32889499999999999</v>
      </c>
      <c r="BZ482" s="4">
        <v>-0.23643700000000001</v>
      </c>
      <c r="CA482" s="4">
        <v>-5.0314999999999999E-2</v>
      </c>
      <c r="CB482" s="4">
        <v>2E-3</v>
      </c>
      <c r="CC482" s="4">
        <v>0.01</v>
      </c>
      <c r="CD482" s="4">
        <v>2.8000000000000001E-2</v>
      </c>
      <c r="CE482" s="4">
        <v>0.37659900000000002</v>
      </c>
      <c r="CF482" s="4">
        <v>6.05</v>
      </c>
      <c r="CG482" s="4">
        <v>9.3930000000000007</v>
      </c>
      <c r="CH482" s="4">
        <v>12.987</v>
      </c>
      <c r="CI482" s="4">
        <v>15.791</v>
      </c>
      <c r="CJ482" s="4">
        <v>17.489201000000001</v>
      </c>
      <c r="CK482" s="4">
        <v>18.381401</v>
      </c>
      <c r="CL482" s="4">
        <v>18.695</v>
      </c>
      <c r="CM482" s="4">
        <v>18.938798999999999</v>
      </c>
      <c r="CN482" s="4">
        <v>19.509799999999998</v>
      </c>
      <c r="CO482" s="4">
        <v>19.8916</v>
      </c>
      <c r="CP482" s="4">
        <v>20.468121</v>
      </c>
      <c r="CQ482" s="4">
        <v>0.59035700000000002</v>
      </c>
      <c r="CR482" s="4">
        <v>14.483252</v>
      </c>
      <c r="CS482" s="4">
        <v>15.463794</v>
      </c>
      <c r="CT482" s="1">
        <v>22</v>
      </c>
      <c r="CU482" s="1">
        <v>458</v>
      </c>
      <c r="CV482" s="4">
        <v>108.314835</v>
      </c>
      <c r="CW482" s="4">
        <v>35.841270000000002</v>
      </c>
      <c r="CX482" s="4">
        <v>69.667295999999993</v>
      </c>
      <c r="CY482" s="4">
        <v>4853.5321839999997</v>
      </c>
      <c r="CZ482" s="4">
        <v>0.64319300000000001</v>
      </c>
      <c r="DA482" s="4">
        <v>90</v>
      </c>
      <c r="DB482" s="4">
        <v>1.514964</v>
      </c>
      <c r="DC482" s="4">
        <v>6.294645</v>
      </c>
      <c r="DD482" s="4">
        <v>53.687561000000002</v>
      </c>
      <c r="DE482" s="4">
        <v>108.314835</v>
      </c>
      <c r="DF482" s="4">
        <v>36.634273</v>
      </c>
      <c r="DG482" s="4">
        <v>9.2433169999999993</v>
      </c>
      <c r="DH482" s="4">
        <v>4.4872629999999996</v>
      </c>
      <c r="DI482" s="4">
        <v>0.33822000000000002</v>
      </c>
      <c r="DJ482" s="4">
        <v>0.25231300000000001</v>
      </c>
      <c r="DK482" s="4">
        <v>0.122488</v>
      </c>
      <c r="DL482" s="4">
        <v>27</v>
      </c>
      <c r="DM482" s="4">
        <v>33</v>
      </c>
      <c r="DN482" s="4">
        <v>38</v>
      </c>
      <c r="DO482" s="4">
        <v>48</v>
      </c>
      <c r="DP482" s="4">
        <v>55</v>
      </c>
      <c r="DQ482" s="4">
        <v>61</v>
      </c>
      <c r="DR482" s="4">
        <v>74</v>
      </c>
      <c r="DS482" s="4">
        <v>92</v>
      </c>
      <c r="DT482" s="4">
        <v>109</v>
      </c>
      <c r="DU482" s="4">
        <v>134</v>
      </c>
      <c r="DV482" s="4">
        <v>145</v>
      </c>
      <c r="DW482" s="4">
        <v>159.79998800000001</v>
      </c>
      <c r="DX482" s="4">
        <v>194.800049</v>
      </c>
      <c r="DY482" s="4">
        <v>230</v>
      </c>
      <c r="DZ482" s="4">
        <v>350.20007299999997</v>
      </c>
      <c r="EA482" s="4">
        <v>94.589551999999998</v>
      </c>
      <c r="EB482" s="4">
        <v>77.481323000000003</v>
      </c>
      <c r="EC482" s="4">
        <v>135.44776100000001</v>
      </c>
      <c r="ED482" s="4">
        <v>507</v>
      </c>
      <c r="EE482" s="4">
        <v>726</v>
      </c>
      <c r="EF482" s="4">
        <v>87.126866000000007</v>
      </c>
      <c r="EG482" s="4">
        <v>99.813433000000003</v>
      </c>
      <c r="EH482" s="4">
        <v>61.686233000000001</v>
      </c>
      <c r="EI482" s="4">
        <v>99.573105999999996</v>
      </c>
      <c r="EJ482" s="4">
        <v>107.835821</v>
      </c>
      <c r="EK482" s="4">
        <v>174.06716399999999</v>
      </c>
      <c r="EL482" s="4">
        <v>467</v>
      </c>
      <c r="EM482" s="4">
        <v>535</v>
      </c>
      <c r="EN482" s="4">
        <v>578</v>
      </c>
      <c r="EO482" s="4">
        <v>933</v>
      </c>
      <c r="EP482" s="4">
        <v>536</v>
      </c>
      <c r="EQ482" s="4">
        <v>937</v>
      </c>
      <c r="ER482" s="4">
        <v>59.493806999999997</v>
      </c>
    </row>
    <row r="483" spans="1:148" x14ac:dyDescent="0.2">
      <c r="A483" s="1">
        <v>2025</v>
      </c>
      <c r="B483" s="1" t="str">
        <f t="shared" si="14"/>
        <v>RD</v>
      </c>
      <c r="C483" s="1" t="s">
        <v>1864</v>
      </c>
      <c r="D483" s="1" t="s">
        <v>1864</v>
      </c>
      <c r="E483" s="1">
        <v>28535</v>
      </c>
      <c r="F483" s="1" t="s">
        <v>2258</v>
      </c>
      <c r="G483" s="1" t="s">
        <v>212</v>
      </c>
      <c r="H483" s="1" t="s">
        <v>1992</v>
      </c>
      <c r="I483" s="1">
        <v>45.63</v>
      </c>
      <c r="J483" s="1">
        <v>45.63</v>
      </c>
      <c r="K483" s="1" t="s">
        <v>249</v>
      </c>
      <c r="L483" s="1">
        <v>1</v>
      </c>
      <c r="M483" s="3">
        <v>2021</v>
      </c>
      <c r="O483" s="1">
        <v>1</v>
      </c>
      <c r="P483" s="1" t="str">
        <f t="shared" si="15"/>
        <v>Alto fuste</v>
      </c>
      <c r="Q483" s="2">
        <v>44302</v>
      </c>
      <c r="R483" s="1" t="s">
        <v>227</v>
      </c>
      <c r="S483" s="1" t="s">
        <v>403</v>
      </c>
      <c r="T483" s="1" t="s">
        <v>2268</v>
      </c>
      <c r="U483" s="1" t="s">
        <v>212</v>
      </c>
      <c r="V483" s="1" t="s">
        <v>152</v>
      </c>
      <c r="W483" s="2">
        <v>45742</v>
      </c>
      <c r="X483" s="1" t="s">
        <v>2259</v>
      </c>
      <c r="Y483" s="1">
        <v>477.46000000000009</v>
      </c>
      <c r="Z483" s="1">
        <v>20.2</v>
      </c>
      <c r="AA483" s="1">
        <v>1</v>
      </c>
      <c r="AB483" s="1">
        <v>14.6</v>
      </c>
      <c r="AC483" s="1">
        <v>1</v>
      </c>
      <c r="AD483" s="3">
        <v>294.92</v>
      </c>
      <c r="AE483" s="3">
        <v>294.83017135223599</v>
      </c>
      <c r="AF483" s="2">
        <v>45742</v>
      </c>
      <c r="AG483" s="1">
        <v>47</v>
      </c>
      <c r="AH483" s="3">
        <v>3.9425051334702301</v>
      </c>
      <c r="AI483" s="4">
        <v>19.963323505026199</v>
      </c>
      <c r="AJ483" s="4">
        <v>11.8340909090909</v>
      </c>
      <c r="AK483" s="4">
        <v>16.874342859702899</v>
      </c>
      <c r="AL483" s="1">
        <v>44</v>
      </c>
      <c r="AM483" s="5">
        <v>1492.3845750994301</v>
      </c>
      <c r="AN483" s="4">
        <v>164.971643204803</v>
      </c>
      <c r="AO483" s="4">
        <v>0.110542313259845</v>
      </c>
      <c r="AP483" s="1" t="s">
        <v>403</v>
      </c>
      <c r="AQ483" s="1" t="s">
        <v>156</v>
      </c>
      <c r="AR483" s="1" t="s">
        <v>164</v>
      </c>
      <c r="AS483" s="1">
        <v>7.5</v>
      </c>
      <c r="AT483" s="4">
        <v>1.1192884313245726</v>
      </c>
      <c r="AU483" s="1" t="s">
        <v>1863</v>
      </c>
      <c r="AV483" s="1" t="s">
        <v>1864</v>
      </c>
      <c r="AW483" s="1">
        <v>1148</v>
      </c>
      <c r="AX483" s="1">
        <v>594</v>
      </c>
      <c r="AY483" s="1">
        <v>404</v>
      </c>
      <c r="AZ483" s="1">
        <v>131</v>
      </c>
      <c r="BA483" s="1">
        <v>19</v>
      </c>
      <c r="BB483" s="1">
        <v>0</v>
      </c>
      <c r="BC483" s="1">
        <v>0</v>
      </c>
      <c r="BD483" s="1">
        <v>0</v>
      </c>
      <c r="BE483" s="1">
        <v>0</v>
      </c>
      <c r="BF483" s="1">
        <v>0</v>
      </c>
      <c r="BG483" s="1">
        <v>0</v>
      </c>
      <c r="BH483" s="4">
        <v>0</v>
      </c>
      <c r="BI483" s="4">
        <v>20.577998999999998</v>
      </c>
      <c r="BJ483" s="4">
        <v>12.734499</v>
      </c>
      <c r="BK483" s="4">
        <v>0</v>
      </c>
      <c r="BL483" s="4">
        <v>7.5601640000000003</v>
      </c>
      <c r="BM483" s="4">
        <v>57.156084999999997</v>
      </c>
      <c r="BN483" s="4">
        <v>0.59367599999999998</v>
      </c>
      <c r="BO483" s="4">
        <v>11.67375</v>
      </c>
      <c r="BP483" s="4">
        <v>-0.85780000000000001</v>
      </c>
      <c r="BQ483" s="4">
        <v>2.0374219999999998</v>
      </c>
      <c r="BR483" s="4">
        <v>6.5385799999999996</v>
      </c>
      <c r="BS483" s="4">
        <v>2.4140009999999998</v>
      </c>
      <c r="BT483" s="4">
        <v>16.993500000000001</v>
      </c>
      <c r="BU483" s="4">
        <v>12.734499</v>
      </c>
      <c r="BV483" s="4">
        <v>3.9533260000000001</v>
      </c>
      <c r="BW483" s="4">
        <v>-1.158874</v>
      </c>
      <c r="BX483" s="4">
        <v>-0.110706</v>
      </c>
      <c r="BY483" s="4">
        <v>0.310442</v>
      </c>
      <c r="BZ483" s="4">
        <v>-0.29313899999999998</v>
      </c>
      <c r="CA483" s="4">
        <v>-2.8003E-2</v>
      </c>
      <c r="CB483" s="4">
        <v>2.47E-3</v>
      </c>
      <c r="CC483" s="4">
        <v>1.0999999999999999E-2</v>
      </c>
      <c r="CD483" s="4">
        <v>2.5000000000000001E-2</v>
      </c>
      <c r="CE483" s="4">
        <v>0.10780000000000001</v>
      </c>
      <c r="CF483" s="4">
        <v>6.8887499999999999</v>
      </c>
      <c r="CG483" s="4">
        <v>11.1027</v>
      </c>
      <c r="CH483" s="4">
        <v>14.346598999999999</v>
      </c>
      <c r="CI483" s="4">
        <v>16.993500000000001</v>
      </c>
      <c r="CJ483" s="4">
        <v>17.747199999999999</v>
      </c>
      <c r="CK483" s="4">
        <v>18.3309</v>
      </c>
      <c r="CL483" s="4">
        <v>18.5625</v>
      </c>
      <c r="CM483" s="4">
        <v>18.757000000000001</v>
      </c>
      <c r="CN483" s="4">
        <v>19.3339</v>
      </c>
      <c r="CO483" s="4">
        <v>19.648250999999998</v>
      </c>
      <c r="CP483" s="4">
        <v>20.152059999999999</v>
      </c>
      <c r="CQ483" s="4">
        <v>0.61883999999999995</v>
      </c>
      <c r="CR483" s="4">
        <v>14.807895</v>
      </c>
      <c r="CS483" s="4">
        <v>15.708845999999999</v>
      </c>
      <c r="CT483" s="1">
        <v>23</v>
      </c>
      <c r="CU483" s="1">
        <v>556</v>
      </c>
      <c r="CV483" s="4">
        <v>109.671603</v>
      </c>
      <c r="CW483" s="4">
        <v>39.920634999999997</v>
      </c>
      <c r="CX483" s="4">
        <v>67.884698999999998</v>
      </c>
      <c r="CY483" s="4">
        <v>4608.3323399999999</v>
      </c>
      <c r="CZ483" s="4">
        <v>0.61898200000000003</v>
      </c>
      <c r="DA483" s="4">
        <v>84</v>
      </c>
      <c r="DB483" s="4">
        <v>1.6256630000000001</v>
      </c>
      <c r="DC483" s="4">
        <v>7.2207710000000001</v>
      </c>
      <c r="DD483" s="4">
        <v>51.402368000000003</v>
      </c>
      <c r="DE483" s="4">
        <v>109.671603</v>
      </c>
      <c r="DF483" s="4">
        <v>35.454022999999999</v>
      </c>
      <c r="DG483" s="4">
        <v>8.8233149999999991</v>
      </c>
      <c r="DH483" s="4">
        <v>4.8497510000000004</v>
      </c>
      <c r="DI483" s="4">
        <v>0.32327400000000001</v>
      </c>
      <c r="DJ483" s="4">
        <v>0.248866</v>
      </c>
      <c r="DK483" s="4">
        <v>0.13678999999999999</v>
      </c>
      <c r="DL483" s="4">
        <v>28</v>
      </c>
      <c r="DM483" s="4">
        <v>36</v>
      </c>
      <c r="DN483" s="4">
        <v>42</v>
      </c>
      <c r="DO483" s="4">
        <v>53</v>
      </c>
      <c r="DP483" s="4">
        <v>58</v>
      </c>
      <c r="DQ483" s="4">
        <v>64</v>
      </c>
      <c r="DR483" s="4">
        <v>78</v>
      </c>
      <c r="DS483" s="4">
        <v>94</v>
      </c>
      <c r="DT483" s="4">
        <v>113</v>
      </c>
      <c r="DU483" s="4">
        <v>132</v>
      </c>
      <c r="DV483" s="4">
        <v>142</v>
      </c>
      <c r="DW483" s="4">
        <v>155</v>
      </c>
      <c r="DX483" s="4">
        <v>192</v>
      </c>
      <c r="DY483" s="4">
        <v>236.650024</v>
      </c>
      <c r="DZ483" s="4">
        <v>358.59008799999998</v>
      </c>
      <c r="EA483" s="4">
        <v>97.979798000000002</v>
      </c>
      <c r="EB483" s="4">
        <v>76.829267999999999</v>
      </c>
      <c r="EC483" s="4">
        <v>148.484848</v>
      </c>
      <c r="ED483" s="4">
        <v>582</v>
      </c>
      <c r="EE483" s="4">
        <v>882</v>
      </c>
      <c r="EF483" s="4">
        <v>94.444444000000004</v>
      </c>
      <c r="EG483" s="4">
        <v>100</v>
      </c>
      <c r="EH483" s="4">
        <v>64.982578000000004</v>
      </c>
      <c r="EI483" s="4">
        <v>99.912891999999999</v>
      </c>
      <c r="EJ483" s="4">
        <v>125.589226</v>
      </c>
      <c r="EK483" s="4">
        <v>193.09764300000001</v>
      </c>
      <c r="EL483" s="4">
        <v>561</v>
      </c>
      <c r="EM483" s="4">
        <v>594</v>
      </c>
      <c r="EN483" s="4">
        <v>746</v>
      </c>
      <c r="EO483" s="4">
        <v>1147</v>
      </c>
      <c r="EP483" s="4">
        <v>594</v>
      </c>
      <c r="EQ483" s="4">
        <v>1148</v>
      </c>
      <c r="ER483" s="4">
        <v>62.219276000000001</v>
      </c>
    </row>
    <row r="484" spans="1:148" x14ac:dyDescent="0.2">
      <c r="A484" s="1">
        <v>2025</v>
      </c>
      <c r="B484" s="1" t="str">
        <f t="shared" si="14"/>
        <v>RD</v>
      </c>
      <c r="C484" s="1" t="s">
        <v>1866</v>
      </c>
      <c r="D484" s="1" t="s">
        <v>1866</v>
      </c>
      <c r="E484" s="1">
        <v>28551</v>
      </c>
      <c r="F484" s="1" t="s">
        <v>2258</v>
      </c>
      <c r="G484" s="1" t="s">
        <v>212</v>
      </c>
      <c r="H484" s="1" t="s">
        <v>1993</v>
      </c>
      <c r="I484" s="1">
        <v>54.52</v>
      </c>
      <c r="J484" s="1">
        <v>54.52</v>
      </c>
      <c r="K484" s="1" t="s">
        <v>249</v>
      </c>
      <c r="L484" s="1">
        <v>1</v>
      </c>
      <c r="M484" s="3">
        <v>2021</v>
      </c>
      <c r="O484" s="1">
        <v>1</v>
      </c>
      <c r="P484" s="1" t="str">
        <f t="shared" si="15"/>
        <v>Alto fuste</v>
      </c>
      <c r="Q484" s="2">
        <v>44305</v>
      </c>
      <c r="R484" s="1" t="s">
        <v>227</v>
      </c>
      <c r="S484" s="1" t="s">
        <v>348</v>
      </c>
      <c r="T484" s="1" t="s">
        <v>2268</v>
      </c>
      <c r="U484" s="1" t="s">
        <v>212</v>
      </c>
      <c r="V484" s="1" t="s">
        <v>152</v>
      </c>
      <c r="W484" s="2">
        <v>45742</v>
      </c>
      <c r="X484" s="1" t="s">
        <v>2259</v>
      </c>
      <c r="Y484" s="1">
        <v>477.46000000000009</v>
      </c>
      <c r="Z484" s="1">
        <v>19.2</v>
      </c>
      <c r="AA484" s="1">
        <v>14</v>
      </c>
      <c r="AB484" s="1">
        <v>15</v>
      </c>
      <c r="AC484" s="1">
        <v>0</v>
      </c>
      <c r="AD484" s="3">
        <v>288</v>
      </c>
      <c r="AE484" s="3">
        <v>279.44516916748699</v>
      </c>
      <c r="AF484" s="2">
        <v>45742</v>
      </c>
      <c r="AG484" s="1">
        <v>47</v>
      </c>
      <c r="AH484" s="3">
        <v>3.9342915811088299</v>
      </c>
      <c r="AI484" s="4">
        <v>20.1413297985635</v>
      </c>
      <c r="AJ484" s="4">
        <v>10.9485714285714</v>
      </c>
      <c r="AK484" s="4">
        <v>12.442923095811899</v>
      </c>
      <c r="AL484" s="1">
        <v>35</v>
      </c>
      <c r="AM484" s="5">
        <v>1252.4818412238301</v>
      </c>
      <c r="AN484" s="4">
        <v>129.199934273965</v>
      </c>
      <c r="AO484" s="4">
        <v>0.103155135684618</v>
      </c>
      <c r="AP484" s="1" t="s">
        <v>348</v>
      </c>
      <c r="AQ484" s="1" t="s">
        <v>156</v>
      </c>
      <c r="AR484" s="1" t="s">
        <v>164</v>
      </c>
      <c r="AS484" s="1">
        <v>7.5</v>
      </c>
      <c r="AT484" s="4">
        <v>0.93936138091787258</v>
      </c>
      <c r="AU484" s="1" t="s">
        <v>1865</v>
      </c>
      <c r="AV484" s="1" t="s">
        <v>1866</v>
      </c>
      <c r="AW484" s="1">
        <v>957</v>
      </c>
      <c r="AX484" s="1">
        <v>511</v>
      </c>
      <c r="AY484" s="1">
        <v>318</v>
      </c>
      <c r="AZ484" s="1">
        <v>102</v>
      </c>
      <c r="BA484" s="1">
        <v>22</v>
      </c>
      <c r="BB484" s="1">
        <v>4</v>
      </c>
      <c r="BC484" s="1">
        <v>0</v>
      </c>
      <c r="BD484" s="1">
        <v>0</v>
      </c>
      <c r="BE484" s="1">
        <v>0</v>
      </c>
      <c r="BF484" s="1">
        <v>0</v>
      </c>
      <c r="BG484" s="1">
        <v>0</v>
      </c>
      <c r="BH484" s="4">
        <v>0</v>
      </c>
      <c r="BI484" s="4">
        <v>20.320999</v>
      </c>
      <c r="BJ484" s="4">
        <v>11.750968</v>
      </c>
      <c r="BK484" s="4">
        <v>0</v>
      </c>
      <c r="BL484" s="4">
        <v>6.5347970000000002</v>
      </c>
      <c r="BM484" s="4">
        <v>42.703572000000001</v>
      </c>
      <c r="BN484" s="4">
        <v>0.55610700000000002</v>
      </c>
      <c r="BO484" s="4">
        <v>8.9179999999999993</v>
      </c>
      <c r="BP484" s="4">
        <v>-0.79355100000000001</v>
      </c>
      <c r="BQ484" s="4">
        <v>2.169419</v>
      </c>
      <c r="BR484" s="4">
        <v>5.5360370000000003</v>
      </c>
      <c r="BS484" s="4">
        <v>3.2949999999999999</v>
      </c>
      <c r="BT484" s="4">
        <v>14.263999999999999</v>
      </c>
      <c r="BU484" s="4">
        <v>11.750968</v>
      </c>
      <c r="BV484" s="4">
        <v>3.5511620000000002</v>
      </c>
      <c r="BW484" s="4">
        <v>-0.84302100000000002</v>
      </c>
      <c r="BX484" s="4">
        <v>4.9778000000000003E-2</v>
      </c>
      <c r="BY484" s="4">
        <v>0.30220200000000003</v>
      </c>
      <c r="BZ484" s="4">
        <v>-0.23739299999999999</v>
      </c>
      <c r="CA484" s="4">
        <v>1.4017E-2</v>
      </c>
      <c r="CB484" s="4">
        <v>4.0000000000000001E-3</v>
      </c>
      <c r="CC484" s="4">
        <v>0.05</v>
      </c>
      <c r="CD484" s="4">
        <v>0.14599999999999999</v>
      </c>
      <c r="CE484" s="4">
        <v>2.9094000000000002</v>
      </c>
      <c r="CF484" s="4">
        <v>7.9429999999999996</v>
      </c>
      <c r="CG484" s="4">
        <v>9.5573999999999995</v>
      </c>
      <c r="CH484" s="4">
        <v>12.523999</v>
      </c>
      <c r="CI484" s="4">
        <v>14.263999999999999</v>
      </c>
      <c r="CJ484" s="4">
        <v>15.622</v>
      </c>
      <c r="CK484" s="4">
        <v>16.510999999999999</v>
      </c>
      <c r="CL484" s="4">
        <v>16.861000000000001</v>
      </c>
      <c r="CM484" s="4">
        <v>17.148201</v>
      </c>
      <c r="CN484" s="4">
        <v>18.267199999999999</v>
      </c>
      <c r="CO484" s="4">
        <v>18.870000999999998</v>
      </c>
      <c r="CP484" s="4">
        <v>19.597560999999999</v>
      </c>
      <c r="CQ484" s="4">
        <v>0.57826699999999998</v>
      </c>
      <c r="CR484" s="4">
        <v>13.444114000000001</v>
      </c>
      <c r="CS484" s="4">
        <v>14.269062</v>
      </c>
      <c r="CT484" s="1">
        <v>25</v>
      </c>
      <c r="CU484" s="1">
        <v>463</v>
      </c>
      <c r="CV484" s="4">
        <v>130.43364700000001</v>
      </c>
      <c r="CW484" s="4">
        <v>45.857143000000001</v>
      </c>
      <c r="CX484" s="4">
        <v>86.212706999999995</v>
      </c>
      <c r="CY484" s="4">
        <v>7432.6307909999996</v>
      </c>
      <c r="CZ484" s="4">
        <v>0.66096999999999995</v>
      </c>
      <c r="DA484" s="4">
        <v>117</v>
      </c>
      <c r="DB484" s="4">
        <v>1.0811139999999999</v>
      </c>
      <c r="DC484" s="4">
        <v>3.8069869999999999</v>
      </c>
      <c r="DD484" s="4">
        <v>69.453937999999994</v>
      </c>
      <c r="DE484" s="4">
        <v>130.43364700000001</v>
      </c>
      <c r="DF484" s="4">
        <v>46.787937999999997</v>
      </c>
      <c r="DG484" s="4">
        <v>11.192596999999999</v>
      </c>
      <c r="DH484" s="4">
        <v>4.1008339999999999</v>
      </c>
      <c r="DI484" s="4">
        <v>0.358711</v>
      </c>
      <c r="DJ484" s="4">
        <v>0.23921999999999999</v>
      </c>
      <c r="DK484" s="4">
        <v>8.7647000000000003E-2</v>
      </c>
      <c r="DL484" s="4">
        <v>28</v>
      </c>
      <c r="DM484" s="4">
        <v>34</v>
      </c>
      <c r="DN484" s="4">
        <v>42</v>
      </c>
      <c r="DO484" s="4">
        <v>53</v>
      </c>
      <c r="DP484" s="4">
        <v>60</v>
      </c>
      <c r="DQ484" s="4">
        <v>67</v>
      </c>
      <c r="DR484" s="4">
        <v>85.399994000000007</v>
      </c>
      <c r="DS484" s="4">
        <v>109</v>
      </c>
      <c r="DT484" s="4">
        <v>132.599976</v>
      </c>
      <c r="DU484" s="4">
        <v>164</v>
      </c>
      <c r="DV484" s="4">
        <v>177</v>
      </c>
      <c r="DW484" s="4">
        <v>199.79998800000001</v>
      </c>
      <c r="DX484" s="4">
        <v>252.800049</v>
      </c>
      <c r="DY484" s="4">
        <v>298</v>
      </c>
      <c r="DZ484" s="4">
        <v>394.40002399999997</v>
      </c>
      <c r="EA484" s="4">
        <v>95.107631999999995</v>
      </c>
      <c r="EB484" s="4">
        <v>79.937303999999997</v>
      </c>
      <c r="EC484" s="4">
        <v>149.706458</v>
      </c>
      <c r="ED484" s="4">
        <v>486</v>
      </c>
      <c r="EE484" s="4">
        <v>765</v>
      </c>
      <c r="EF484" s="4">
        <v>86.692758999999995</v>
      </c>
      <c r="EG484" s="4">
        <v>99.804304999999999</v>
      </c>
      <c r="EH484" s="4">
        <v>63.009404000000004</v>
      </c>
      <c r="EI484" s="4">
        <v>99.895506999999995</v>
      </c>
      <c r="EJ484" s="4">
        <v>118.00391399999999</v>
      </c>
      <c r="EK484" s="4">
        <v>187.084149</v>
      </c>
      <c r="EL484" s="4">
        <v>443</v>
      </c>
      <c r="EM484" s="4">
        <v>510</v>
      </c>
      <c r="EN484" s="4">
        <v>603</v>
      </c>
      <c r="EO484" s="4">
        <v>956</v>
      </c>
      <c r="EP484" s="4">
        <v>511</v>
      </c>
      <c r="EQ484" s="4">
        <v>957</v>
      </c>
      <c r="ER484" s="4">
        <v>58.938481000000003</v>
      </c>
    </row>
    <row r="485" spans="1:148" x14ac:dyDescent="0.2">
      <c r="A485" s="1">
        <v>2025</v>
      </c>
      <c r="B485" s="1" t="str">
        <f t="shared" si="14"/>
        <v>RD</v>
      </c>
      <c r="C485" s="1" t="s">
        <v>1868</v>
      </c>
      <c r="D485" s="1" t="s">
        <v>1868</v>
      </c>
      <c r="E485" s="1">
        <v>28552</v>
      </c>
      <c r="F485" s="1" t="s">
        <v>2258</v>
      </c>
      <c r="G485" s="1" t="s">
        <v>212</v>
      </c>
      <c r="H485" s="1" t="s">
        <v>1993</v>
      </c>
      <c r="I485" s="1">
        <v>54.52</v>
      </c>
      <c r="J485" s="1">
        <v>54.52</v>
      </c>
      <c r="K485" s="1" t="s">
        <v>249</v>
      </c>
      <c r="L485" s="1">
        <v>1</v>
      </c>
      <c r="M485" s="3">
        <v>2021</v>
      </c>
      <c r="O485" s="1">
        <v>1</v>
      </c>
      <c r="P485" s="1" t="str">
        <f t="shared" si="15"/>
        <v>Alto fuste</v>
      </c>
      <c r="Q485" s="2">
        <v>44305</v>
      </c>
      <c r="R485" s="1" t="s">
        <v>227</v>
      </c>
      <c r="S485" s="1" t="s">
        <v>348</v>
      </c>
      <c r="T485" s="1" t="s">
        <v>2268</v>
      </c>
      <c r="U485" s="1" t="s">
        <v>212</v>
      </c>
      <c r="V485" s="1" t="s">
        <v>152</v>
      </c>
      <c r="W485" s="2">
        <v>44833</v>
      </c>
      <c r="X485" s="1" t="s">
        <v>2259</v>
      </c>
      <c r="Y485" s="1">
        <v>477.46000000000009</v>
      </c>
      <c r="Z485" s="1">
        <v>20.9</v>
      </c>
      <c r="AA485" s="1">
        <v>28</v>
      </c>
      <c r="AB485" s="1">
        <v>15.2</v>
      </c>
      <c r="AC485" s="1">
        <v>2</v>
      </c>
      <c r="AD485" s="3">
        <v>317.68</v>
      </c>
      <c r="AE485" s="3">
        <v>280.32392145128</v>
      </c>
      <c r="AF485" s="2">
        <v>45742</v>
      </c>
      <c r="AG485" s="1">
        <v>47</v>
      </c>
      <c r="AH485" s="3">
        <v>3.9342915811088299</v>
      </c>
      <c r="AI485" s="4">
        <v>19.216453216248802</v>
      </c>
      <c r="AJ485" s="4">
        <v>10.951282051282</v>
      </c>
      <c r="AK485" s="4">
        <v>13.4625594062317</v>
      </c>
      <c r="AL485" s="1">
        <v>39</v>
      </c>
      <c r="AM485" s="5">
        <v>1391.2476608521699</v>
      </c>
      <c r="AN485" s="4">
        <v>128.15433434624501</v>
      </c>
      <c r="AO485" s="4">
        <v>9.2114680910045599E-2</v>
      </c>
      <c r="AP485" s="1" t="s">
        <v>348</v>
      </c>
      <c r="AQ485" s="1" t="s">
        <v>156</v>
      </c>
      <c r="AR485" s="1" t="s">
        <v>164</v>
      </c>
      <c r="AS485" s="1">
        <v>7.5</v>
      </c>
      <c r="AT485" s="4">
        <v>1.0434357456391274</v>
      </c>
      <c r="AU485" s="1" t="s">
        <v>1867</v>
      </c>
      <c r="AV485" s="1" t="s">
        <v>1868</v>
      </c>
      <c r="AW485" s="1">
        <v>999</v>
      </c>
      <c r="AX485" s="1">
        <v>552</v>
      </c>
      <c r="AY485" s="1">
        <v>297</v>
      </c>
      <c r="AZ485" s="1">
        <v>130</v>
      </c>
      <c r="BA485" s="1">
        <v>19</v>
      </c>
      <c r="BB485" s="1">
        <v>1</v>
      </c>
      <c r="BC485" s="1">
        <v>0</v>
      </c>
      <c r="BD485" s="1">
        <v>0</v>
      </c>
      <c r="BE485" s="1">
        <v>0</v>
      </c>
      <c r="BF485" s="1">
        <v>0</v>
      </c>
      <c r="BG485" s="1">
        <v>0</v>
      </c>
      <c r="BH485" s="4">
        <v>0</v>
      </c>
      <c r="BI485" s="4">
        <v>20.749001</v>
      </c>
      <c r="BJ485" s="4">
        <v>10.843297</v>
      </c>
      <c r="BK485" s="4">
        <v>0</v>
      </c>
      <c r="BL485" s="4">
        <v>6.9876120000000004</v>
      </c>
      <c r="BM485" s="4">
        <v>48.826723000000001</v>
      </c>
      <c r="BN485" s="4">
        <v>0.64441800000000005</v>
      </c>
      <c r="BO485" s="4">
        <v>15.132999999999999</v>
      </c>
      <c r="BP485" s="4">
        <v>-0.53021399999999996</v>
      </c>
      <c r="BQ485" s="4">
        <v>1.742138</v>
      </c>
      <c r="BR485" s="4">
        <v>6.1176000000000004</v>
      </c>
      <c r="BS485" s="4">
        <v>4.3099990000000004</v>
      </c>
      <c r="BT485" s="4">
        <v>13.247</v>
      </c>
      <c r="BU485" s="4">
        <v>10.843297</v>
      </c>
      <c r="BV485" s="4">
        <v>3.8733209999999998</v>
      </c>
      <c r="BW485" s="4">
        <v>-0.61456100000000002</v>
      </c>
      <c r="BX485" s="4">
        <v>-0.19498499999999999</v>
      </c>
      <c r="BY485" s="4">
        <v>0.357209</v>
      </c>
      <c r="BZ485" s="4">
        <v>-0.158665</v>
      </c>
      <c r="CA485" s="4">
        <v>-5.0340999999999997E-2</v>
      </c>
      <c r="CB485" s="4">
        <v>2E-3</v>
      </c>
      <c r="CC485" s="4">
        <v>1.7899999999999999E-2</v>
      </c>
      <c r="CD485" s="4">
        <v>4.1799999999999997E-2</v>
      </c>
      <c r="CE485" s="4">
        <v>0.4284</v>
      </c>
      <c r="CF485" s="4">
        <v>1.7104999999999999</v>
      </c>
      <c r="CG485" s="4">
        <v>7.6816000000000004</v>
      </c>
      <c r="CH485" s="4">
        <v>10.704801</v>
      </c>
      <c r="CI485" s="4">
        <v>13.247</v>
      </c>
      <c r="CJ485" s="4">
        <v>15.131</v>
      </c>
      <c r="CK485" s="4">
        <v>16.310801000000001</v>
      </c>
      <c r="CL485" s="4">
        <v>16.843499999999999</v>
      </c>
      <c r="CM485" s="4">
        <v>17.204799999999999</v>
      </c>
      <c r="CN485" s="4">
        <v>18.105799000000001</v>
      </c>
      <c r="CO485" s="4">
        <v>19.088698999999998</v>
      </c>
      <c r="CP485" s="4">
        <v>20.100801000000001</v>
      </c>
      <c r="CQ485" s="4">
        <v>0.522594</v>
      </c>
      <c r="CR485" s="4">
        <v>12.897866</v>
      </c>
      <c r="CS485" s="4">
        <v>13.891925000000001</v>
      </c>
      <c r="CT485" s="1">
        <v>23</v>
      </c>
      <c r="CU485" s="1">
        <v>583</v>
      </c>
      <c r="CV485" s="4">
        <v>144.67867899999999</v>
      </c>
      <c r="CW485" s="4">
        <v>40.777777999999998</v>
      </c>
      <c r="CX485" s="4">
        <v>98.386195999999998</v>
      </c>
      <c r="CY485" s="4">
        <v>9679.8435430000009</v>
      </c>
      <c r="CZ485" s="4">
        <v>0.68003199999999997</v>
      </c>
      <c r="DA485" s="4">
        <v>137.5</v>
      </c>
      <c r="DB485" s="4">
        <v>1.107245</v>
      </c>
      <c r="DC485" s="4">
        <v>4.0815929999999998</v>
      </c>
      <c r="DD485" s="4">
        <v>78.763098999999997</v>
      </c>
      <c r="DE485" s="4">
        <v>144.67867899999999</v>
      </c>
      <c r="DF485" s="4">
        <v>53.370240000000003</v>
      </c>
      <c r="DG485" s="4">
        <v>12.154622</v>
      </c>
      <c r="DH485" s="4">
        <v>4.9368720000000001</v>
      </c>
      <c r="DI485" s="4">
        <v>0.36888799999999999</v>
      </c>
      <c r="DJ485" s="4">
        <v>0.227742</v>
      </c>
      <c r="DK485" s="4">
        <v>9.2502000000000001E-2</v>
      </c>
      <c r="DL485" s="4">
        <v>27</v>
      </c>
      <c r="DM485" s="4">
        <v>34</v>
      </c>
      <c r="DN485" s="4">
        <v>42</v>
      </c>
      <c r="DO485" s="4">
        <v>53.600006</v>
      </c>
      <c r="DP485" s="4">
        <v>63</v>
      </c>
      <c r="DQ485" s="4">
        <v>75.399994000000007</v>
      </c>
      <c r="DR485" s="4">
        <v>96</v>
      </c>
      <c r="DS485" s="4">
        <v>122</v>
      </c>
      <c r="DT485" s="4">
        <v>153</v>
      </c>
      <c r="DU485" s="4">
        <v>183</v>
      </c>
      <c r="DV485" s="4">
        <v>200.5</v>
      </c>
      <c r="DW485" s="4">
        <v>222.400024</v>
      </c>
      <c r="DX485" s="4">
        <v>276.40002399999997</v>
      </c>
      <c r="DY485" s="4">
        <v>336</v>
      </c>
      <c r="DZ485" s="4">
        <v>438.220215</v>
      </c>
      <c r="EA485" s="4">
        <v>93.840580000000003</v>
      </c>
      <c r="EB485" s="4">
        <v>74.274274000000005</v>
      </c>
      <c r="EC485" s="4">
        <v>134.42028999999999</v>
      </c>
      <c r="ED485" s="4">
        <v>518</v>
      </c>
      <c r="EE485" s="4">
        <v>742</v>
      </c>
      <c r="EF485" s="4">
        <v>85.869564999999994</v>
      </c>
      <c r="EG485" s="4">
        <v>100</v>
      </c>
      <c r="EH485" s="4">
        <v>59.459459000000003</v>
      </c>
      <c r="EI485" s="4">
        <v>99.699700000000007</v>
      </c>
      <c r="EJ485" s="4">
        <v>107.60869599999999</v>
      </c>
      <c r="EK485" s="4">
        <v>180.43478300000001</v>
      </c>
      <c r="EL485" s="4">
        <v>474</v>
      </c>
      <c r="EM485" s="4">
        <v>552</v>
      </c>
      <c r="EN485" s="4">
        <v>594</v>
      </c>
      <c r="EO485" s="4">
        <v>996</v>
      </c>
      <c r="EP485" s="4">
        <v>552</v>
      </c>
      <c r="EQ485" s="4">
        <v>999</v>
      </c>
      <c r="ER485" s="4">
        <v>52.954929999999997</v>
      </c>
    </row>
    <row r="486" spans="1:148" x14ac:dyDescent="0.2">
      <c r="A486" s="1">
        <v>2025</v>
      </c>
      <c r="B486" s="1" t="str">
        <f t="shared" si="14"/>
        <v>RD</v>
      </c>
      <c r="C486" s="1" t="s">
        <v>1870</v>
      </c>
      <c r="D486" s="1" t="s">
        <v>1870</v>
      </c>
      <c r="E486" s="1">
        <v>28553</v>
      </c>
      <c r="F486" s="1" t="s">
        <v>2258</v>
      </c>
      <c r="G486" s="1" t="s">
        <v>212</v>
      </c>
      <c r="H486" s="1" t="s">
        <v>1993</v>
      </c>
      <c r="I486" s="1">
        <v>54.52</v>
      </c>
      <c r="J486" s="1">
        <v>54.52</v>
      </c>
      <c r="K486" s="1" t="s">
        <v>249</v>
      </c>
      <c r="L486" s="1">
        <v>1</v>
      </c>
      <c r="M486" s="3">
        <v>2021</v>
      </c>
      <c r="O486" s="1">
        <v>1</v>
      </c>
      <c r="P486" s="1" t="str">
        <f t="shared" si="15"/>
        <v>Alto fuste</v>
      </c>
      <c r="Q486" s="2">
        <v>44305</v>
      </c>
      <c r="R486" s="1" t="s">
        <v>227</v>
      </c>
      <c r="S486" s="1" t="s">
        <v>348</v>
      </c>
      <c r="T486" s="1" t="s">
        <v>2268</v>
      </c>
      <c r="U486" s="1" t="s">
        <v>212</v>
      </c>
      <c r="V486" s="1" t="s">
        <v>152</v>
      </c>
      <c r="W486" s="2">
        <v>45742</v>
      </c>
      <c r="X486" s="1" t="s">
        <v>2259</v>
      </c>
      <c r="Y486" s="1">
        <v>477.46000000000009</v>
      </c>
      <c r="Z486" s="1">
        <v>19.8</v>
      </c>
      <c r="AA486" s="1">
        <v>0</v>
      </c>
      <c r="AB486" s="1">
        <v>15.4</v>
      </c>
      <c r="AC486" s="1">
        <v>0</v>
      </c>
      <c r="AD486" s="3">
        <v>304.92</v>
      </c>
      <c r="AE486" s="3">
        <v>304.92</v>
      </c>
      <c r="AF486" s="2">
        <v>45742</v>
      </c>
      <c r="AG486" s="1">
        <v>47</v>
      </c>
      <c r="AH486" s="3">
        <v>3.9342915811088299</v>
      </c>
      <c r="AI486" s="4">
        <v>22.9612951458266</v>
      </c>
      <c r="AJ486" s="4">
        <v>13.424137931034499</v>
      </c>
      <c r="AK486" s="4">
        <v>14.057498947469799</v>
      </c>
      <c r="AL486" s="1">
        <v>29</v>
      </c>
      <c r="AM486" s="5">
        <v>951.06913288731505</v>
      </c>
      <c r="AN486" s="4">
        <v>160.92148525772299</v>
      </c>
      <c r="AO486" s="4">
        <v>0.16920061822339599</v>
      </c>
      <c r="AP486" s="1" t="s">
        <v>348</v>
      </c>
      <c r="AQ486" s="1" t="s">
        <v>156</v>
      </c>
      <c r="AR486" s="1" t="s">
        <v>164</v>
      </c>
      <c r="AS486" s="1">
        <v>7.5</v>
      </c>
      <c r="AT486" s="4">
        <v>0.71330184966548638</v>
      </c>
      <c r="AU486" s="1" t="s">
        <v>1869</v>
      </c>
      <c r="AV486" s="1" t="s">
        <v>1870</v>
      </c>
      <c r="AW486" s="1">
        <v>1090</v>
      </c>
      <c r="AX486" s="1">
        <v>606</v>
      </c>
      <c r="AY486" s="1">
        <v>356</v>
      </c>
      <c r="AZ486" s="1">
        <v>108</v>
      </c>
      <c r="BA486" s="1">
        <v>19</v>
      </c>
      <c r="BB486" s="1">
        <v>1</v>
      </c>
      <c r="BC486" s="1">
        <v>0</v>
      </c>
      <c r="BD486" s="1">
        <v>0</v>
      </c>
      <c r="BE486" s="1">
        <v>0</v>
      </c>
      <c r="BF486" s="1">
        <v>0</v>
      </c>
      <c r="BG486" s="1">
        <v>0</v>
      </c>
      <c r="BH486" s="4">
        <v>0</v>
      </c>
      <c r="BI486" s="4">
        <v>24.532</v>
      </c>
      <c r="BJ486" s="4">
        <v>12.082855</v>
      </c>
      <c r="BK486" s="4">
        <v>0</v>
      </c>
      <c r="BL486" s="4">
        <v>8.4631519999999991</v>
      </c>
      <c r="BM486" s="4">
        <v>71.624937000000003</v>
      </c>
      <c r="BN486" s="4">
        <v>0.70042599999999999</v>
      </c>
      <c r="BO486" s="4">
        <v>17.311249</v>
      </c>
      <c r="BP486" s="4">
        <v>-0.28450500000000001</v>
      </c>
      <c r="BQ486" s="4">
        <v>1.4708969999999999</v>
      </c>
      <c r="BR486" s="4">
        <v>7.7185199999999998</v>
      </c>
      <c r="BS486" s="4">
        <v>6.3559989999999997</v>
      </c>
      <c r="BT486" s="4">
        <v>14.837</v>
      </c>
      <c r="BU486" s="4">
        <v>12.082855</v>
      </c>
      <c r="BV486" s="4">
        <v>4.7640279999999997</v>
      </c>
      <c r="BW486" s="4">
        <v>-0.42092600000000002</v>
      </c>
      <c r="BX486" s="4">
        <v>-0.42604399999999998</v>
      </c>
      <c r="BY486" s="4">
        <v>0.39428000000000002</v>
      </c>
      <c r="BZ486" s="4">
        <v>-8.8355000000000003E-2</v>
      </c>
      <c r="CA486" s="4">
        <v>-8.9428999999999995E-2</v>
      </c>
      <c r="CB486" s="4">
        <v>3.8899999999999998E-3</v>
      </c>
      <c r="CC486" s="4">
        <v>2.445E-2</v>
      </c>
      <c r="CD486" s="4">
        <v>9.3799999999999994E-2</v>
      </c>
      <c r="CE486" s="4">
        <v>0.94579999999999997</v>
      </c>
      <c r="CF486" s="4">
        <v>2.1687500000000002</v>
      </c>
      <c r="CG486" s="4">
        <v>4.3952999999999998</v>
      </c>
      <c r="CH486" s="4">
        <v>10.6252</v>
      </c>
      <c r="CI486" s="4">
        <v>14.837</v>
      </c>
      <c r="CJ486" s="4">
        <v>17.602399999999999</v>
      </c>
      <c r="CK486" s="4">
        <v>18.9636</v>
      </c>
      <c r="CL486" s="4">
        <v>19.48</v>
      </c>
      <c r="CM486" s="4">
        <v>20.091000000000001</v>
      </c>
      <c r="CN486" s="4">
        <v>21.697199000000001</v>
      </c>
      <c r="CO486" s="4">
        <v>22.845251000000001</v>
      </c>
      <c r="CP486" s="4">
        <v>23.823969000000002</v>
      </c>
      <c r="CQ486" s="4">
        <v>0.49253400000000003</v>
      </c>
      <c r="CR486" s="4">
        <v>14.749733000000001</v>
      </c>
      <c r="CS486" s="4">
        <v>16.115898000000001</v>
      </c>
      <c r="CT486" s="1">
        <v>25</v>
      </c>
      <c r="CU486" s="1">
        <v>490</v>
      </c>
      <c r="CV486" s="4">
        <v>116.28440399999999</v>
      </c>
      <c r="CW486" s="4">
        <v>39.761904999999999</v>
      </c>
      <c r="CX486" s="4">
        <v>81.177672000000001</v>
      </c>
      <c r="CY486" s="4">
        <v>6589.8143570000002</v>
      </c>
      <c r="CZ486" s="4">
        <v>0.69809600000000005</v>
      </c>
      <c r="DA486" s="4">
        <v>94</v>
      </c>
      <c r="DB486" s="4">
        <v>1.551488</v>
      </c>
      <c r="DC486" s="4">
        <v>5.5490880000000002</v>
      </c>
      <c r="DD486" s="4">
        <v>61.343338000000003</v>
      </c>
      <c r="DE486" s="4">
        <v>116.28440399999999</v>
      </c>
      <c r="DF486" s="4">
        <v>41.997315999999998</v>
      </c>
      <c r="DG486" s="4">
        <v>12.774755000000001</v>
      </c>
      <c r="DH486" s="4">
        <v>6.3471029999999997</v>
      </c>
      <c r="DI486" s="4">
        <v>0.36115999999999998</v>
      </c>
      <c r="DJ486" s="4">
        <v>0.30418000000000001</v>
      </c>
      <c r="DK486" s="4">
        <v>0.15113099999999999</v>
      </c>
      <c r="DL486" s="4">
        <v>28.889999</v>
      </c>
      <c r="DM486" s="4">
        <v>35</v>
      </c>
      <c r="DN486" s="4">
        <v>40</v>
      </c>
      <c r="DO486" s="4">
        <v>50</v>
      </c>
      <c r="DP486" s="4">
        <v>56</v>
      </c>
      <c r="DQ486" s="4">
        <v>62</v>
      </c>
      <c r="DR486" s="4">
        <v>76</v>
      </c>
      <c r="DS486" s="4">
        <v>93.5</v>
      </c>
      <c r="DT486" s="4">
        <v>113</v>
      </c>
      <c r="DU486" s="4">
        <v>135.29998800000001</v>
      </c>
      <c r="DV486" s="4">
        <v>150</v>
      </c>
      <c r="DW486" s="4">
        <v>164</v>
      </c>
      <c r="DX486" s="4">
        <v>226</v>
      </c>
      <c r="DY486" s="4">
        <v>290.65014600000001</v>
      </c>
      <c r="DZ486" s="4">
        <v>400.21997099999999</v>
      </c>
      <c r="EA486" s="4">
        <v>89.108911000000006</v>
      </c>
      <c r="EB486" s="4">
        <v>73.486238999999998</v>
      </c>
      <c r="EC486" s="4">
        <v>132.17821799999999</v>
      </c>
      <c r="ED486" s="4">
        <v>540</v>
      </c>
      <c r="EE486" s="4">
        <v>801</v>
      </c>
      <c r="EF486" s="4">
        <v>79.372936999999993</v>
      </c>
      <c r="EG486" s="4">
        <v>100</v>
      </c>
      <c r="EH486" s="4">
        <v>57.064219999999999</v>
      </c>
      <c r="EI486" s="4">
        <v>99.816513999999998</v>
      </c>
      <c r="EJ486" s="4">
        <v>102.640264</v>
      </c>
      <c r="EK486" s="4">
        <v>179.53795400000001</v>
      </c>
      <c r="EL486" s="4">
        <v>481</v>
      </c>
      <c r="EM486" s="4">
        <v>606</v>
      </c>
      <c r="EN486" s="4">
        <v>622</v>
      </c>
      <c r="EO486" s="4">
        <v>1088</v>
      </c>
      <c r="EP486" s="4">
        <v>606</v>
      </c>
      <c r="EQ486" s="4">
        <v>1090</v>
      </c>
      <c r="ER486" s="4">
        <v>49.705395000000003</v>
      </c>
    </row>
    <row r="487" spans="1:148" x14ac:dyDescent="0.2">
      <c r="A487" s="1">
        <v>2025</v>
      </c>
      <c r="B487" s="1" t="str">
        <f t="shared" si="14"/>
        <v>RD</v>
      </c>
      <c r="C487" s="1" t="s">
        <v>1872</v>
      </c>
      <c r="D487" s="1" t="s">
        <v>1872</v>
      </c>
      <c r="E487" s="1">
        <v>28549</v>
      </c>
      <c r="F487" s="1" t="s">
        <v>2258</v>
      </c>
      <c r="G487" s="1" t="s">
        <v>212</v>
      </c>
      <c r="H487" s="1" t="s">
        <v>1994</v>
      </c>
      <c r="I487" s="1">
        <v>72.66</v>
      </c>
      <c r="J487" s="1">
        <v>72.66</v>
      </c>
      <c r="K487" s="1" t="s">
        <v>249</v>
      </c>
      <c r="L487" s="1">
        <v>1</v>
      </c>
      <c r="M487" s="3">
        <v>2021</v>
      </c>
      <c r="O487" s="1">
        <v>1</v>
      </c>
      <c r="P487" s="1" t="str">
        <f t="shared" si="15"/>
        <v>Alto fuste</v>
      </c>
      <c r="Q487" s="2">
        <v>44285</v>
      </c>
      <c r="R487" s="1" t="s">
        <v>227</v>
      </c>
      <c r="S487" s="1" t="s">
        <v>348</v>
      </c>
      <c r="T487" s="1" t="s">
        <v>2268</v>
      </c>
      <c r="U487" s="1" t="s">
        <v>212</v>
      </c>
      <c r="V487" s="1" t="s">
        <v>152</v>
      </c>
      <c r="W487" s="2">
        <v>45742</v>
      </c>
      <c r="X487" s="1" t="s">
        <v>2259</v>
      </c>
      <c r="Y487" s="1">
        <v>477.46000000000009</v>
      </c>
      <c r="Z487" s="1">
        <v>19.8</v>
      </c>
      <c r="AA487" s="1">
        <v>23</v>
      </c>
      <c r="AB487" s="1">
        <v>16</v>
      </c>
      <c r="AC487" s="1">
        <v>1</v>
      </c>
      <c r="AD487" s="3">
        <v>316.8</v>
      </c>
      <c r="AE487" s="3">
        <v>291.57152305396698</v>
      </c>
      <c r="AF487" s="2">
        <v>45742</v>
      </c>
      <c r="AG487" s="1">
        <v>48</v>
      </c>
      <c r="AH487" s="3">
        <v>3.98904859685147</v>
      </c>
      <c r="AI487" s="4">
        <v>19.835842919331</v>
      </c>
      <c r="AJ487" s="4">
        <v>11.507692307692301</v>
      </c>
      <c r="AK487" s="4">
        <v>9.7203323395825993</v>
      </c>
      <c r="AL487" s="1">
        <v>26</v>
      </c>
      <c r="AM487" s="5">
        <v>891.71945626485797</v>
      </c>
      <c r="AN487" s="4">
        <v>96.981544838065005</v>
      </c>
      <c r="AO487" s="4">
        <v>0.10875791052523499</v>
      </c>
      <c r="AP487" s="1" t="s">
        <v>348</v>
      </c>
      <c r="AQ487" s="1" t="s">
        <v>156</v>
      </c>
      <c r="AR487" s="1" t="s">
        <v>164</v>
      </c>
      <c r="AS487" s="1">
        <v>7.5</v>
      </c>
      <c r="AT487" s="4">
        <v>0.66878959219864353</v>
      </c>
      <c r="AU487" s="1" t="s">
        <v>1871</v>
      </c>
      <c r="AV487" s="1" t="s">
        <v>1872</v>
      </c>
      <c r="AW487" s="1">
        <v>991</v>
      </c>
      <c r="AX487" s="1">
        <v>519</v>
      </c>
      <c r="AY487" s="1">
        <v>312</v>
      </c>
      <c r="AZ487" s="1">
        <v>136</v>
      </c>
      <c r="BA487" s="1">
        <v>23</v>
      </c>
      <c r="BB487" s="1">
        <v>1</v>
      </c>
      <c r="BC487" s="1">
        <v>0</v>
      </c>
      <c r="BD487" s="1">
        <v>0</v>
      </c>
      <c r="BE487" s="1">
        <v>0</v>
      </c>
      <c r="BF487" s="1">
        <v>0</v>
      </c>
      <c r="BG487" s="1">
        <v>0</v>
      </c>
      <c r="BH487" s="4">
        <v>1E-3</v>
      </c>
      <c r="BI487" s="4">
        <v>20.062999999999999</v>
      </c>
      <c r="BJ487" s="4">
        <v>9.2166049999999995</v>
      </c>
      <c r="BK487" s="4">
        <v>1E-3</v>
      </c>
      <c r="BL487" s="4">
        <v>6.7999159999999996</v>
      </c>
      <c r="BM487" s="4">
        <v>46.238855999999998</v>
      </c>
      <c r="BN487" s="4">
        <v>0.73778999999999995</v>
      </c>
      <c r="BO487" s="4">
        <v>14.516</v>
      </c>
      <c r="BP487" s="4">
        <v>-0.16949</v>
      </c>
      <c r="BQ487" s="4">
        <v>1.4222319999999999</v>
      </c>
      <c r="BR487" s="4">
        <v>6.2179900000000004</v>
      </c>
      <c r="BS487" s="4">
        <v>5.7930000000000001</v>
      </c>
      <c r="BT487" s="4">
        <v>10.622</v>
      </c>
      <c r="BU487" s="4">
        <v>9.2166049999999995</v>
      </c>
      <c r="BV487" s="4">
        <v>3.8428559999999998</v>
      </c>
      <c r="BW487" s="4">
        <v>-0.180511</v>
      </c>
      <c r="BX487" s="4">
        <v>-0.40254899999999999</v>
      </c>
      <c r="BY487" s="4">
        <v>0.41694900000000001</v>
      </c>
      <c r="BZ487" s="4">
        <v>-4.6973000000000001E-2</v>
      </c>
      <c r="CA487" s="4">
        <v>-0.104753</v>
      </c>
      <c r="CB487" s="4">
        <v>8.0000000000000002E-3</v>
      </c>
      <c r="CC487" s="4">
        <v>4.8000000000000001E-2</v>
      </c>
      <c r="CD487" s="4">
        <v>0.13</v>
      </c>
      <c r="CE487" s="4">
        <v>0.58099999999999996</v>
      </c>
      <c r="CF487" s="4">
        <v>1.1014999999999999</v>
      </c>
      <c r="CG487" s="4">
        <v>2.4220000000000002</v>
      </c>
      <c r="CH487" s="4">
        <v>6.843</v>
      </c>
      <c r="CI487" s="4">
        <v>10.622999999999999</v>
      </c>
      <c r="CJ487" s="4">
        <v>13.618</v>
      </c>
      <c r="CK487" s="4">
        <v>15.121</v>
      </c>
      <c r="CL487" s="4">
        <v>15.6175</v>
      </c>
      <c r="CM487" s="4">
        <v>16.082001000000002</v>
      </c>
      <c r="CN487" s="4">
        <v>17.075001</v>
      </c>
      <c r="CO487" s="4">
        <v>18.083500000000001</v>
      </c>
      <c r="CP487" s="4">
        <v>19.630499</v>
      </c>
      <c r="CQ487" s="4">
        <v>0.45935599999999999</v>
      </c>
      <c r="CR487" s="4">
        <v>11.451551</v>
      </c>
      <c r="CS487" s="4">
        <v>12.613638999999999</v>
      </c>
      <c r="CT487" s="1">
        <v>23</v>
      </c>
      <c r="CU487" s="1">
        <v>498</v>
      </c>
      <c r="CV487" s="4">
        <v>133.19677100000001</v>
      </c>
      <c r="CW487" s="4">
        <v>30.539683</v>
      </c>
      <c r="CX487" s="4">
        <v>93.015761999999995</v>
      </c>
      <c r="CY487" s="4">
        <v>8651.9319489999998</v>
      </c>
      <c r="CZ487" s="4">
        <v>0.69833299999999998</v>
      </c>
      <c r="DA487" s="4">
        <v>120.5</v>
      </c>
      <c r="DB487" s="4">
        <v>1.2726500000000001</v>
      </c>
      <c r="DC487" s="4">
        <v>4.4027459999999996</v>
      </c>
      <c r="DD487" s="4">
        <v>73.201759999999993</v>
      </c>
      <c r="DE487" s="4">
        <v>133.19677100000001</v>
      </c>
      <c r="DF487" s="4">
        <v>49.529232</v>
      </c>
      <c r="DG487" s="4">
        <v>13.434369</v>
      </c>
      <c r="DH487" s="4">
        <v>5.6913770000000001</v>
      </c>
      <c r="DI487" s="4">
        <v>0.37185000000000001</v>
      </c>
      <c r="DJ487" s="4">
        <v>0.27124100000000001</v>
      </c>
      <c r="DK487" s="4">
        <v>0.114909</v>
      </c>
      <c r="DL487" s="4">
        <v>29</v>
      </c>
      <c r="DM487" s="4">
        <v>35</v>
      </c>
      <c r="DN487" s="4">
        <v>40</v>
      </c>
      <c r="DO487" s="4">
        <v>53</v>
      </c>
      <c r="DP487" s="4">
        <v>60.5</v>
      </c>
      <c r="DQ487" s="4">
        <v>68</v>
      </c>
      <c r="DR487" s="4">
        <v>85</v>
      </c>
      <c r="DS487" s="4">
        <v>106</v>
      </c>
      <c r="DT487" s="4">
        <v>133</v>
      </c>
      <c r="DU487" s="4">
        <v>166</v>
      </c>
      <c r="DV487" s="4">
        <v>181</v>
      </c>
      <c r="DW487" s="4">
        <v>203</v>
      </c>
      <c r="DX487" s="4">
        <v>262</v>
      </c>
      <c r="DY487" s="4">
        <v>324.5</v>
      </c>
      <c r="DZ487" s="4">
        <v>427.49987800000002</v>
      </c>
      <c r="EA487" s="4">
        <v>86.897880999999998</v>
      </c>
      <c r="EB487" s="4">
        <v>69.122099000000006</v>
      </c>
      <c r="EC487" s="4">
        <v>131.98458600000001</v>
      </c>
      <c r="ED487" s="4">
        <v>451</v>
      </c>
      <c r="EE487" s="4">
        <v>685</v>
      </c>
      <c r="EF487" s="4">
        <v>74.951830000000001</v>
      </c>
      <c r="EG487" s="4">
        <v>100</v>
      </c>
      <c r="EH487" s="4">
        <v>54.288597000000003</v>
      </c>
      <c r="EI487" s="4">
        <v>99.798184000000006</v>
      </c>
      <c r="EJ487" s="4">
        <v>103.660886</v>
      </c>
      <c r="EK487" s="4">
        <v>190.55876699999999</v>
      </c>
      <c r="EL487" s="4">
        <v>389</v>
      </c>
      <c r="EM487" s="4">
        <v>519</v>
      </c>
      <c r="EN487" s="4">
        <v>538</v>
      </c>
      <c r="EO487" s="4">
        <v>989</v>
      </c>
      <c r="EP487" s="4">
        <v>519</v>
      </c>
      <c r="EQ487" s="4">
        <v>991</v>
      </c>
      <c r="ER487" s="4">
        <v>45.943063000000002</v>
      </c>
    </row>
    <row r="488" spans="1:148" x14ac:dyDescent="0.2">
      <c r="A488" s="1">
        <v>2025</v>
      </c>
      <c r="B488" s="1" t="str">
        <f t="shared" si="14"/>
        <v>RD</v>
      </c>
      <c r="C488" s="1" t="s">
        <v>1874</v>
      </c>
      <c r="D488" s="1" t="s">
        <v>1874</v>
      </c>
      <c r="E488" s="1">
        <v>24458</v>
      </c>
      <c r="F488" s="1" t="s">
        <v>2260</v>
      </c>
      <c r="G488" s="1" t="s">
        <v>247</v>
      </c>
      <c r="H488" s="1" t="s">
        <v>1995</v>
      </c>
      <c r="I488" s="1">
        <v>15.81</v>
      </c>
      <c r="J488" s="1">
        <v>15.81</v>
      </c>
      <c r="K488" s="1" t="s">
        <v>249</v>
      </c>
      <c r="L488" s="1">
        <v>1</v>
      </c>
      <c r="M488" s="3">
        <v>2016</v>
      </c>
      <c r="O488" s="1">
        <v>1</v>
      </c>
      <c r="P488" s="1" t="str">
        <f t="shared" si="15"/>
        <v>Alto fuste</v>
      </c>
      <c r="Q488" s="2">
        <v>42531</v>
      </c>
      <c r="R488" s="1" t="s">
        <v>227</v>
      </c>
      <c r="S488" s="1" t="s">
        <v>755</v>
      </c>
      <c r="T488" s="1" t="s">
        <v>2268</v>
      </c>
      <c r="U488" s="1" t="s">
        <v>212</v>
      </c>
      <c r="V488" s="1" t="s">
        <v>152</v>
      </c>
      <c r="W488" s="2">
        <v>44836</v>
      </c>
      <c r="X488" s="1" t="s">
        <v>251</v>
      </c>
      <c r="Y488" s="1">
        <v>36.6</v>
      </c>
      <c r="Z488" s="1">
        <v>20.5</v>
      </c>
      <c r="AA488" s="1">
        <v>28</v>
      </c>
      <c r="AB488" s="1">
        <v>15.3</v>
      </c>
      <c r="AC488" s="1">
        <v>1</v>
      </c>
      <c r="AD488" s="3">
        <v>313.64999999999998</v>
      </c>
      <c r="AE488" s="3">
        <v>276.89433372797703</v>
      </c>
      <c r="AF488" s="2">
        <v>45735</v>
      </c>
      <c r="AG488" s="1">
        <v>105</v>
      </c>
      <c r="AH488" s="3">
        <v>8.7720739219712502</v>
      </c>
      <c r="AI488" s="4">
        <v>27.492860628927701</v>
      </c>
      <c r="AJ488" s="4">
        <v>16.746666666666702</v>
      </c>
      <c r="AK488" s="4">
        <v>24.3724617288728</v>
      </c>
      <c r="AL488" s="1">
        <v>30</v>
      </c>
      <c r="AM488" s="5">
        <v>1083.4457894494999</v>
      </c>
      <c r="AN488" s="4">
        <v>322.62316452411898</v>
      </c>
      <c r="AO488" s="4">
        <v>0.29777508728705798</v>
      </c>
      <c r="AP488" s="1" t="s">
        <v>755</v>
      </c>
      <c r="AQ488" s="1" t="s">
        <v>156</v>
      </c>
      <c r="AR488" s="1" t="s">
        <v>164</v>
      </c>
      <c r="AS488" s="1">
        <v>7.5</v>
      </c>
      <c r="AT488" s="4">
        <v>0.81258434208712493</v>
      </c>
      <c r="AU488" s="1" t="s">
        <v>1873</v>
      </c>
      <c r="AV488" s="1" t="s">
        <v>1874</v>
      </c>
      <c r="AW488" s="1">
        <v>1224</v>
      </c>
      <c r="AX488" s="1">
        <v>660</v>
      </c>
      <c r="AY488" s="1">
        <v>390</v>
      </c>
      <c r="AZ488" s="1">
        <v>140</v>
      </c>
      <c r="BA488" s="1">
        <v>29</v>
      </c>
      <c r="BB488" s="1">
        <v>5</v>
      </c>
      <c r="BC488" s="1">
        <v>0</v>
      </c>
      <c r="BD488" s="1">
        <v>0</v>
      </c>
      <c r="BE488" s="1">
        <v>0</v>
      </c>
      <c r="BF488" s="1">
        <v>0</v>
      </c>
      <c r="BG488" s="1">
        <v>0</v>
      </c>
      <c r="BH488" s="4">
        <v>1E-3</v>
      </c>
      <c r="BI488" s="4">
        <v>35.436000999999997</v>
      </c>
      <c r="BJ488" s="4">
        <v>20.228354</v>
      </c>
      <c r="BK488" s="4">
        <v>1E-3</v>
      </c>
      <c r="BL488" s="4">
        <v>10.048253000000001</v>
      </c>
      <c r="BM488" s="4">
        <v>100.96737899999999</v>
      </c>
      <c r="BN488" s="4">
        <v>0.49674099999999999</v>
      </c>
      <c r="BO488" s="4">
        <v>13.942500000000001</v>
      </c>
      <c r="BP488" s="4">
        <v>-0.84887800000000002</v>
      </c>
      <c r="BQ488" s="4">
        <v>2.5378370000000001</v>
      </c>
      <c r="BR488" s="4">
        <v>8.3273200000000003</v>
      </c>
      <c r="BS488" s="4">
        <v>5.8084980000000002</v>
      </c>
      <c r="BT488" s="4">
        <v>23.397499</v>
      </c>
      <c r="BU488" s="4">
        <v>20.228354</v>
      </c>
      <c r="BV488" s="4">
        <v>5.5032050000000003</v>
      </c>
      <c r="BW488" s="4">
        <v>-1.2904230000000001</v>
      </c>
      <c r="BX488" s="4">
        <v>0.278528</v>
      </c>
      <c r="BY488" s="4">
        <v>0.27205400000000002</v>
      </c>
      <c r="BZ488" s="4">
        <v>-0.234486</v>
      </c>
      <c r="CA488" s="4">
        <v>5.0611999999999997E-2</v>
      </c>
      <c r="CB488" s="4">
        <v>6.0000000000000001E-3</v>
      </c>
      <c r="CC488" s="4">
        <v>2.315E-2</v>
      </c>
      <c r="CD488" s="4">
        <v>6.0999999999999999E-2</v>
      </c>
      <c r="CE488" s="4">
        <v>11.5832</v>
      </c>
      <c r="CF488" s="4">
        <v>14.342750000000001</v>
      </c>
      <c r="CG488" s="4">
        <v>16.730801</v>
      </c>
      <c r="CH488" s="4">
        <v>20.087</v>
      </c>
      <c r="CI488" s="4">
        <v>23.398499000000001</v>
      </c>
      <c r="CJ488" s="4">
        <v>25.857599</v>
      </c>
      <c r="CK488" s="4">
        <v>27.704298000000001</v>
      </c>
      <c r="CL488" s="4">
        <v>28.285250000000001</v>
      </c>
      <c r="CM488" s="4">
        <v>28.926400999999998</v>
      </c>
      <c r="CN488" s="4">
        <v>30.389700000000001</v>
      </c>
      <c r="CO488" s="4">
        <v>31.210699000000002</v>
      </c>
      <c r="CP488" s="4">
        <v>33.007271000000003</v>
      </c>
      <c r="CQ488" s="4">
        <v>0.57082999999999995</v>
      </c>
      <c r="CR488" s="4">
        <v>22.584755999999999</v>
      </c>
      <c r="CS488" s="4">
        <v>23.833826999999999</v>
      </c>
      <c r="CT488" s="1">
        <v>25</v>
      </c>
      <c r="CU488" s="1">
        <v>413</v>
      </c>
      <c r="CV488" s="4">
        <v>120.107026</v>
      </c>
      <c r="CW488" s="4">
        <v>43.476190000000003</v>
      </c>
      <c r="CX488" s="4">
        <v>79.271039999999999</v>
      </c>
      <c r="CY488" s="4">
        <v>6283.8977759999998</v>
      </c>
      <c r="CZ488" s="4">
        <v>0.66000300000000001</v>
      </c>
      <c r="DA488" s="4">
        <v>107</v>
      </c>
      <c r="DB488" s="4">
        <v>1.120976</v>
      </c>
      <c r="DC488" s="4">
        <v>3.8035009999999998</v>
      </c>
      <c r="DD488" s="4">
        <v>63.949497000000001</v>
      </c>
      <c r="DE488" s="4">
        <v>120.107026</v>
      </c>
      <c r="DF488" s="4">
        <v>42.774845999999997</v>
      </c>
      <c r="DG488" s="4">
        <v>11.029819</v>
      </c>
      <c r="DH488" s="4">
        <v>3.8526389999999999</v>
      </c>
      <c r="DI488" s="4">
        <v>0.35613899999999998</v>
      </c>
      <c r="DJ488" s="4">
        <v>0.25785799999999998</v>
      </c>
      <c r="DK488" s="4">
        <v>9.0067999999999995E-2</v>
      </c>
      <c r="DL488" s="4">
        <v>29</v>
      </c>
      <c r="DM488" s="4">
        <v>35</v>
      </c>
      <c r="DN488" s="4">
        <v>41</v>
      </c>
      <c r="DO488" s="4">
        <v>50</v>
      </c>
      <c r="DP488" s="4">
        <v>57</v>
      </c>
      <c r="DQ488" s="4">
        <v>63</v>
      </c>
      <c r="DR488" s="4">
        <v>78</v>
      </c>
      <c r="DS488" s="4">
        <v>97</v>
      </c>
      <c r="DT488" s="4">
        <v>120</v>
      </c>
      <c r="DU488" s="4">
        <v>149.099976</v>
      </c>
      <c r="DV488" s="4">
        <v>164</v>
      </c>
      <c r="DW488" s="4">
        <v>185</v>
      </c>
      <c r="DX488" s="4">
        <v>234.699951</v>
      </c>
      <c r="DY488" s="4">
        <v>274</v>
      </c>
      <c r="DZ488" s="4">
        <v>362.16015599999997</v>
      </c>
      <c r="EA488" s="4">
        <v>95.757576</v>
      </c>
      <c r="EB488" s="4">
        <v>87.254902000000001</v>
      </c>
      <c r="EC488" s="4">
        <v>161.81818200000001</v>
      </c>
      <c r="ED488" s="4">
        <v>632</v>
      </c>
      <c r="EE488" s="4">
        <v>1068</v>
      </c>
      <c r="EF488" s="4">
        <v>75.909091000000004</v>
      </c>
      <c r="EG488" s="4">
        <v>100</v>
      </c>
      <c r="EH488" s="4">
        <v>59.803922</v>
      </c>
      <c r="EI488" s="4">
        <v>99.836601000000002</v>
      </c>
      <c r="EJ488" s="4">
        <v>110.909091</v>
      </c>
      <c r="EK488" s="4">
        <v>185.15151499999999</v>
      </c>
      <c r="EL488" s="4">
        <v>501</v>
      </c>
      <c r="EM488" s="4">
        <v>660</v>
      </c>
      <c r="EN488" s="4">
        <v>732</v>
      </c>
      <c r="EO488" s="4">
        <v>1222</v>
      </c>
      <c r="EP488" s="4">
        <v>660</v>
      </c>
      <c r="EQ488" s="4">
        <v>1224</v>
      </c>
      <c r="ER488" s="4">
        <v>60.253318</v>
      </c>
    </row>
    <row r="489" spans="1:148" x14ac:dyDescent="0.2">
      <c r="A489" s="1">
        <v>2025</v>
      </c>
      <c r="B489" s="1" t="str">
        <f t="shared" si="14"/>
        <v>RD</v>
      </c>
      <c r="C489" s="1" t="s">
        <v>1876</v>
      </c>
      <c r="D489" s="1" t="s">
        <v>1876</v>
      </c>
      <c r="E489" s="1">
        <v>27523</v>
      </c>
      <c r="F489" s="1" t="s">
        <v>2261</v>
      </c>
      <c r="G489" s="1" t="s">
        <v>2042</v>
      </c>
      <c r="H489" s="1" t="s">
        <v>1996</v>
      </c>
      <c r="I489" s="1">
        <v>75.05</v>
      </c>
      <c r="J489" s="1">
        <v>75.05</v>
      </c>
      <c r="K489" s="1" t="s">
        <v>249</v>
      </c>
      <c r="L489" s="1">
        <v>1</v>
      </c>
      <c r="M489" s="3">
        <v>2020</v>
      </c>
      <c r="O489" s="1">
        <v>2</v>
      </c>
      <c r="P489" s="1" t="str">
        <f t="shared" si="15"/>
        <v>Talhadia</v>
      </c>
      <c r="Q489" s="2">
        <v>43836</v>
      </c>
      <c r="R489" s="1" t="s">
        <v>227</v>
      </c>
      <c r="S489" s="1" t="s">
        <v>163</v>
      </c>
      <c r="T489" s="1" t="s">
        <v>2268</v>
      </c>
      <c r="U489" s="1" t="s">
        <v>212</v>
      </c>
      <c r="V489" s="1" t="s">
        <v>152</v>
      </c>
      <c r="W489" s="2">
        <v>45770</v>
      </c>
      <c r="X489" s="1" t="s">
        <v>2262</v>
      </c>
      <c r="Y489" s="1">
        <v>176.63</v>
      </c>
      <c r="Z489" s="1">
        <v>20</v>
      </c>
      <c r="AA489" s="1">
        <v>0</v>
      </c>
      <c r="AB489" s="1">
        <v>15.3</v>
      </c>
      <c r="AC489" s="1">
        <v>0</v>
      </c>
      <c r="AD489" s="3">
        <v>306</v>
      </c>
      <c r="AE489" s="3">
        <v>306</v>
      </c>
      <c r="AF489" s="2">
        <v>45770</v>
      </c>
      <c r="AG489" s="1">
        <v>63</v>
      </c>
      <c r="AH489" s="3">
        <v>5.2950034223134796</v>
      </c>
      <c r="AI489" s="4">
        <v>29.3844745452528</v>
      </c>
      <c r="AJ489" s="4">
        <v>20.226666666666699</v>
      </c>
      <c r="AK489" s="4">
        <v>16.0455818138784</v>
      </c>
      <c r="AL489" s="1">
        <v>15</v>
      </c>
      <c r="AM489" s="5">
        <v>490.196078431373</v>
      </c>
      <c r="AN489" s="4">
        <v>211.482582074064</v>
      </c>
      <c r="AO489" s="4">
        <v>0.43142446743108998</v>
      </c>
      <c r="AP489" s="1" t="s">
        <v>163</v>
      </c>
      <c r="AQ489" s="1" t="s">
        <v>254</v>
      </c>
      <c r="AR489" s="1" t="s">
        <v>164</v>
      </c>
      <c r="AS489" s="1">
        <v>7.5</v>
      </c>
      <c r="AT489" s="4">
        <v>0.36764705882352977</v>
      </c>
      <c r="AU489" s="1" t="s">
        <v>1875</v>
      </c>
      <c r="AV489" s="1" t="s">
        <v>1876</v>
      </c>
      <c r="AW489" s="1">
        <v>1117</v>
      </c>
      <c r="AX489" s="1">
        <v>696</v>
      </c>
      <c r="AY489" s="1">
        <v>339</v>
      </c>
      <c r="AZ489" s="1">
        <v>79</v>
      </c>
      <c r="BA489" s="1">
        <v>3</v>
      </c>
      <c r="BB489" s="1">
        <v>0</v>
      </c>
      <c r="BC489" s="1">
        <v>0</v>
      </c>
      <c r="BD489" s="1">
        <v>0</v>
      </c>
      <c r="BE489" s="1">
        <v>0</v>
      </c>
      <c r="BF489" s="1">
        <v>0</v>
      </c>
      <c r="BG489" s="1">
        <v>0</v>
      </c>
      <c r="BH489" s="4">
        <v>1E-3</v>
      </c>
      <c r="BI489" s="4">
        <v>30.614999999999998</v>
      </c>
      <c r="BJ489" s="4">
        <v>10.285113000000001</v>
      </c>
      <c r="BK489" s="4">
        <v>1E-3</v>
      </c>
      <c r="BL489" s="4">
        <v>11.842314999999999</v>
      </c>
      <c r="BM489" s="4">
        <v>140.24042600000001</v>
      </c>
      <c r="BN489" s="4">
        <v>1.1514040000000001</v>
      </c>
      <c r="BO489" s="4">
        <v>24.087001000000001</v>
      </c>
      <c r="BP489" s="4">
        <v>0.49575799999999998</v>
      </c>
      <c r="BQ489" s="4">
        <v>1.4219059999999999</v>
      </c>
      <c r="BR489" s="4">
        <v>11.180505999999999</v>
      </c>
      <c r="BS489" s="4">
        <v>1.0740000000000001</v>
      </c>
      <c r="BT489" s="4">
        <v>1.0920000000000001</v>
      </c>
      <c r="BU489" s="4">
        <v>10.285113000000001</v>
      </c>
      <c r="BV489" s="4">
        <v>6.2307889999999997</v>
      </c>
      <c r="BW489" s="4">
        <v>1.5450740000000001</v>
      </c>
      <c r="BX489" s="4">
        <v>-0.79449499999999995</v>
      </c>
      <c r="BY489" s="4">
        <v>0.60580699999999998</v>
      </c>
      <c r="BZ489" s="4">
        <v>0.247974</v>
      </c>
      <c r="CA489" s="4">
        <v>-0.12751100000000001</v>
      </c>
      <c r="CB489" s="4">
        <v>3.0000000000000001E-3</v>
      </c>
      <c r="CC489" s="4">
        <v>1.78E-2</v>
      </c>
      <c r="CD489" s="4">
        <v>4.2999999999999997E-2</v>
      </c>
      <c r="CE489" s="4">
        <v>0.1132</v>
      </c>
      <c r="CF489" s="4">
        <v>0.16200000000000001</v>
      </c>
      <c r="CG489" s="4">
        <v>0.224</v>
      </c>
      <c r="CH489" s="4">
        <v>0.53659999999999997</v>
      </c>
      <c r="CI489" s="4">
        <v>1.093</v>
      </c>
      <c r="CJ489" s="4">
        <v>13.071198000000001</v>
      </c>
      <c r="CK489" s="4">
        <v>22.079401000000001</v>
      </c>
      <c r="CL489" s="4">
        <v>24.249001</v>
      </c>
      <c r="CM489" s="4">
        <v>25.6478</v>
      </c>
      <c r="CN489" s="4">
        <v>27.479400999999999</v>
      </c>
      <c r="CO489" s="4">
        <v>28.417397999999999</v>
      </c>
      <c r="CP489" s="4">
        <v>29.486359</v>
      </c>
      <c r="CQ489" s="4">
        <v>0.335928</v>
      </c>
      <c r="CR489" s="4">
        <v>15.681149</v>
      </c>
      <c r="CS489" s="4">
        <v>18.404312999999998</v>
      </c>
      <c r="CT489" s="1">
        <v>25</v>
      </c>
      <c r="CU489" s="1">
        <v>560</v>
      </c>
      <c r="CV489" s="4">
        <v>170.91226499999999</v>
      </c>
      <c r="CW489" s="4">
        <v>41.984127000000001</v>
      </c>
      <c r="CX489" s="4">
        <v>124.886061</v>
      </c>
      <c r="CY489" s="4">
        <v>15596.52814</v>
      </c>
      <c r="CZ489" s="4">
        <v>0.73070299999999999</v>
      </c>
      <c r="DA489" s="4">
        <v>197</v>
      </c>
      <c r="DB489" s="4">
        <v>0.81455900000000003</v>
      </c>
      <c r="DC489" s="4">
        <v>2.5081120000000001</v>
      </c>
      <c r="DD489" s="4">
        <v>105.181718</v>
      </c>
      <c r="DE489" s="4">
        <v>170.91226499999999</v>
      </c>
      <c r="DF489" s="4">
        <v>68.802188999999998</v>
      </c>
      <c r="DG489" s="4">
        <v>16.288253999999998</v>
      </c>
      <c r="DH489" s="4">
        <v>2.5388769999999998</v>
      </c>
      <c r="DI489" s="4">
        <v>0.402559</v>
      </c>
      <c r="DJ489" s="4">
        <v>0.23674000000000001</v>
      </c>
      <c r="DK489" s="4">
        <v>3.6901000000000003E-2</v>
      </c>
      <c r="DL489" s="4">
        <v>28</v>
      </c>
      <c r="DM489" s="4">
        <v>35</v>
      </c>
      <c r="DN489" s="4">
        <v>42</v>
      </c>
      <c r="DO489" s="4">
        <v>56</v>
      </c>
      <c r="DP489" s="4">
        <v>65</v>
      </c>
      <c r="DQ489" s="4">
        <v>76</v>
      </c>
      <c r="DR489" s="4">
        <v>100</v>
      </c>
      <c r="DS489" s="4">
        <v>130</v>
      </c>
      <c r="DT489" s="4">
        <v>166</v>
      </c>
      <c r="DU489" s="4">
        <v>223.20001199999999</v>
      </c>
      <c r="DV489" s="4">
        <v>262</v>
      </c>
      <c r="DW489" s="4">
        <v>302</v>
      </c>
      <c r="DX489" s="4">
        <v>368.40002399999997</v>
      </c>
      <c r="DY489" s="4">
        <v>413</v>
      </c>
      <c r="DZ489" s="4">
        <v>463</v>
      </c>
      <c r="EA489" s="4">
        <v>53.160919999999997</v>
      </c>
      <c r="EB489" s="4">
        <v>43.957028000000001</v>
      </c>
      <c r="EC489" s="4">
        <v>70.545976999999993</v>
      </c>
      <c r="ED489" s="4">
        <v>370</v>
      </c>
      <c r="EE489" s="4">
        <v>491</v>
      </c>
      <c r="EF489" s="4">
        <v>49.856321999999999</v>
      </c>
      <c r="EG489" s="4">
        <v>99.712643999999997</v>
      </c>
      <c r="EH489" s="4">
        <v>41.360787999999999</v>
      </c>
      <c r="EI489" s="4">
        <v>99.462846999999996</v>
      </c>
      <c r="EJ489" s="4">
        <v>66.379310000000004</v>
      </c>
      <c r="EK489" s="4">
        <v>159.62643700000001</v>
      </c>
      <c r="EL489" s="4">
        <v>347</v>
      </c>
      <c r="EM489" s="4">
        <v>694</v>
      </c>
      <c r="EN489" s="4">
        <v>462</v>
      </c>
      <c r="EO489" s="4">
        <v>1111</v>
      </c>
      <c r="EP489" s="4">
        <v>696</v>
      </c>
      <c r="EQ489" s="4">
        <v>1117</v>
      </c>
      <c r="ER489" s="4">
        <v>33.829805</v>
      </c>
    </row>
    <row r="490" spans="1:148" x14ac:dyDescent="0.2">
      <c r="A490" s="1">
        <v>2025</v>
      </c>
      <c r="B490" s="1" t="str">
        <f t="shared" si="14"/>
        <v>RD</v>
      </c>
      <c r="C490" s="1" t="s">
        <v>1878</v>
      </c>
      <c r="D490" s="1" t="s">
        <v>1878</v>
      </c>
      <c r="E490" s="1">
        <v>27524</v>
      </c>
      <c r="F490" s="1" t="s">
        <v>2261</v>
      </c>
      <c r="G490" s="1" t="s">
        <v>2042</v>
      </c>
      <c r="H490" s="1" t="s">
        <v>1996</v>
      </c>
      <c r="I490" s="1">
        <v>75.05</v>
      </c>
      <c r="J490" s="1">
        <v>75.05</v>
      </c>
      <c r="K490" s="1" t="s">
        <v>249</v>
      </c>
      <c r="L490" s="1">
        <v>1</v>
      </c>
      <c r="M490" s="3">
        <v>2020</v>
      </c>
      <c r="O490" s="1">
        <v>2</v>
      </c>
      <c r="P490" s="1" t="str">
        <f t="shared" si="15"/>
        <v>Talhadia</v>
      </c>
      <c r="Q490" s="2">
        <v>43836</v>
      </c>
      <c r="R490" s="1" t="s">
        <v>227</v>
      </c>
      <c r="S490" s="1" t="s">
        <v>163</v>
      </c>
      <c r="T490" s="1" t="s">
        <v>2268</v>
      </c>
      <c r="U490" s="1" t="s">
        <v>212</v>
      </c>
      <c r="V490" s="1" t="s">
        <v>152</v>
      </c>
      <c r="W490" s="2">
        <v>44837</v>
      </c>
      <c r="X490" s="1" t="s">
        <v>2262</v>
      </c>
      <c r="Y490" s="1">
        <v>176.63</v>
      </c>
      <c r="Z490" s="1">
        <v>21</v>
      </c>
      <c r="AA490" s="1">
        <v>16</v>
      </c>
      <c r="AB490" s="1">
        <v>15.2</v>
      </c>
      <c r="AC490" s="1">
        <v>2</v>
      </c>
      <c r="AD490" s="3">
        <v>319.2</v>
      </c>
      <c r="AE490" s="3">
        <v>306.64781791435598</v>
      </c>
      <c r="AF490" s="2">
        <v>45770</v>
      </c>
      <c r="AG490" s="1">
        <v>63</v>
      </c>
      <c r="AH490" s="3">
        <v>5.2950034223134796</v>
      </c>
      <c r="AI490" s="4">
        <v>24.749779218734702</v>
      </c>
      <c r="AJ490" s="4">
        <v>14.8545454545455</v>
      </c>
      <c r="AK490" s="4">
        <v>19.006693969513201</v>
      </c>
      <c r="AL490" s="1">
        <v>33</v>
      </c>
      <c r="AM490" s="5">
        <v>1076.1531004670901</v>
      </c>
      <c r="AN490" s="4">
        <v>216.43707183960299</v>
      </c>
      <c r="AO490" s="4">
        <v>0.201121078167839</v>
      </c>
      <c r="AP490" s="1" t="s">
        <v>163</v>
      </c>
      <c r="AQ490" s="1" t="s">
        <v>254</v>
      </c>
      <c r="AR490" s="1" t="s">
        <v>164</v>
      </c>
      <c r="AS490" s="1">
        <v>7.5</v>
      </c>
      <c r="AT490" s="4">
        <v>0.80711482535031764</v>
      </c>
      <c r="AU490" s="1" t="s">
        <v>1877</v>
      </c>
      <c r="AV490" s="1" t="s">
        <v>1878</v>
      </c>
      <c r="AW490" s="1">
        <v>1152</v>
      </c>
      <c r="AX490" s="1">
        <v>656</v>
      </c>
      <c r="AY490" s="1">
        <v>377</v>
      </c>
      <c r="AZ490" s="1">
        <v>104</v>
      </c>
      <c r="BA490" s="1">
        <v>15</v>
      </c>
      <c r="BB490" s="1">
        <v>0</v>
      </c>
      <c r="BC490" s="1">
        <v>0</v>
      </c>
      <c r="BD490" s="1">
        <v>0</v>
      </c>
      <c r="BE490" s="1">
        <v>0</v>
      </c>
      <c r="BF490" s="1">
        <v>0</v>
      </c>
      <c r="BG490" s="1">
        <v>0</v>
      </c>
      <c r="BH490" s="4">
        <v>0</v>
      </c>
      <c r="BI490" s="4">
        <v>27.739000000000001</v>
      </c>
      <c r="BJ490" s="4">
        <v>14.081094999999999</v>
      </c>
      <c r="BK490" s="4">
        <v>0</v>
      </c>
      <c r="BL490" s="4">
        <v>9.7482799999999994</v>
      </c>
      <c r="BM490" s="4">
        <v>95.028963000000005</v>
      </c>
      <c r="BN490" s="4">
        <v>0.69229600000000002</v>
      </c>
      <c r="BO490" s="4">
        <v>21.882999000000002</v>
      </c>
      <c r="BP490" s="4">
        <v>-0.48412500000000003</v>
      </c>
      <c r="BQ490" s="4">
        <v>1.5743590000000001</v>
      </c>
      <c r="BR490" s="4">
        <v>8.7916469999999993</v>
      </c>
      <c r="BS490" s="4">
        <v>5.4435010000000004</v>
      </c>
      <c r="BT490" s="4">
        <v>18.294499999999999</v>
      </c>
      <c r="BU490" s="4">
        <v>14.081094999999999</v>
      </c>
      <c r="BV490" s="4">
        <v>5.3524050000000001</v>
      </c>
      <c r="BW490" s="4">
        <v>-0.76904099999999997</v>
      </c>
      <c r="BX490" s="4">
        <v>-0.42376000000000003</v>
      </c>
      <c r="BY490" s="4">
        <v>0.38011299999999998</v>
      </c>
      <c r="BZ490" s="4">
        <v>-0.143681</v>
      </c>
      <c r="CA490" s="4">
        <v>-7.9172000000000006E-2</v>
      </c>
      <c r="CB490" s="4">
        <v>2E-3</v>
      </c>
      <c r="CC490" s="4">
        <v>1.0999999999999999E-2</v>
      </c>
      <c r="CD490" s="4">
        <v>2.4E-2</v>
      </c>
      <c r="CE490" s="4">
        <v>7.0999999999999994E-2</v>
      </c>
      <c r="CF490" s="4">
        <v>0.26424999999999998</v>
      </c>
      <c r="CG490" s="4">
        <v>5.3933</v>
      </c>
      <c r="CH490" s="4">
        <v>15.377000000000001</v>
      </c>
      <c r="CI490" s="4">
        <v>18.294499999999999</v>
      </c>
      <c r="CJ490" s="4">
        <v>20.1206</v>
      </c>
      <c r="CK490" s="4">
        <v>21.460899000000001</v>
      </c>
      <c r="CL490" s="4">
        <v>22.147248999999999</v>
      </c>
      <c r="CM490" s="4">
        <v>22.872799000000001</v>
      </c>
      <c r="CN490" s="4">
        <v>24.274899999999999</v>
      </c>
      <c r="CO490" s="4">
        <v>25.481345999999998</v>
      </c>
      <c r="CP490" s="4">
        <v>26.840309000000001</v>
      </c>
      <c r="CQ490" s="4">
        <v>0.50762799999999997</v>
      </c>
      <c r="CR490" s="4">
        <v>17.123775999999999</v>
      </c>
      <c r="CS490" s="4">
        <v>18.522462000000001</v>
      </c>
      <c r="CT490" s="1">
        <v>21</v>
      </c>
      <c r="CU490" s="1">
        <v>569</v>
      </c>
      <c r="CV490" s="4">
        <v>120.668403</v>
      </c>
      <c r="CW490" s="4">
        <v>38.396825</v>
      </c>
      <c r="CX490" s="4">
        <v>85.463753999999994</v>
      </c>
      <c r="CY490" s="4">
        <v>7304.0532839999996</v>
      </c>
      <c r="CZ490" s="4">
        <v>0.70825300000000002</v>
      </c>
      <c r="DA490" s="4">
        <v>98</v>
      </c>
      <c r="DB490" s="4">
        <v>1.4951509999999999</v>
      </c>
      <c r="DC490" s="4">
        <v>5.2535429999999996</v>
      </c>
      <c r="DD490" s="4">
        <v>64.980751999999995</v>
      </c>
      <c r="DE490" s="4">
        <v>120.668403</v>
      </c>
      <c r="DF490" s="4">
        <v>44.422328999999998</v>
      </c>
      <c r="DG490" s="4">
        <v>13.370405</v>
      </c>
      <c r="DH490" s="4">
        <v>6.5676540000000001</v>
      </c>
      <c r="DI490" s="4">
        <v>0.36813600000000002</v>
      </c>
      <c r="DJ490" s="4">
        <v>0.30098399999999997</v>
      </c>
      <c r="DK490" s="4">
        <v>0.14784600000000001</v>
      </c>
      <c r="DL490" s="4">
        <v>27</v>
      </c>
      <c r="DM490" s="4">
        <v>33</v>
      </c>
      <c r="DN490" s="4">
        <v>40</v>
      </c>
      <c r="DO490" s="4">
        <v>51</v>
      </c>
      <c r="DP490" s="4">
        <v>59</v>
      </c>
      <c r="DQ490" s="4">
        <v>63.299987999999999</v>
      </c>
      <c r="DR490" s="4">
        <v>78</v>
      </c>
      <c r="DS490" s="4">
        <v>96</v>
      </c>
      <c r="DT490" s="4">
        <v>117</v>
      </c>
      <c r="DU490" s="4">
        <v>142</v>
      </c>
      <c r="DV490" s="4">
        <v>157</v>
      </c>
      <c r="DW490" s="4">
        <v>178</v>
      </c>
      <c r="DX490" s="4">
        <v>236.900024</v>
      </c>
      <c r="DY490" s="4">
        <v>305.69970699999999</v>
      </c>
      <c r="DZ490" s="4">
        <v>396.95996100000002</v>
      </c>
      <c r="EA490" s="4">
        <v>88.414634000000007</v>
      </c>
      <c r="EB490" s="4">
        <v>71.701389000000006</v>
      </c>
      <c r="EC490" s="4">
        <v>125.91463400000001</v>
      </c>
      <c r="ED490" s="4">
        <v>580</v>
      </c>
      <c r="EE490" s="4">
        <v>826</v>
      </c>
      <c r="EF490" s="4">
        <v>81.554878000000002</v>
      </c>
      <c r="EG490" s="4">
        <v>99.847560999999999</v>
      </c>
      <c r="EH490" s="4">
        <v>62.586806000000003</v>
      </c>
      <c r="EI490" s="4">
        <v>99.739582999999996</v>
      </c>
      <c r="EJ490" s="4">
        <v>109.908537</v>
      </c>
      <c r="EK490" s="4">
        <v>175.15243899999999</v>
      </c>
      <c r="EL490" s="4">
        <v>535</v>
      </c>
      <c r="EM490" s="4">
        <v>655</v>
      </c>
      <c r="EN490" s="4">
        <v>721</v>
      </c>
      <c r="EO490" s="4">
        <v>1149</v>
      </c>
      <c r="EP490" s="4">
        <v>656</v>
      </c>
      <c r="EQ490" s="4">
        <v>1152</v>
      </c>
      <c r="ER490" s="4">
        <v>51.455953000000001</v>
      </c>
    </row>
    <row r="491" spans="1:148" x14ac:dyDescent="0.2">
      <c r="A491" s="1">
        <v>2025</v>
      </c>
      <c r="B491" s="1" t="str">
        <f t="shared" si="14"/>
        <v>RD</v>
      </c>
      <c r="C491" s="1" t="s">
        <v>1880</v>
      </c>
      <c r="D491" s="1" t="s">
        <v>1880</v>
      </c>
      <c r="E491" s="1">
        <v>27525</v>
      </c>
      <c r="F491" s="1" t="s">
        <v>2261</v>
      </c>
      <c r="G491" s="1" t="s">
        <v>2042</v>
      </c>
      <c r="H491" s="1" t="s">
        <v>1996</v>
      </c>
      <c r="I491" s="1">
        <v>75.05</v>
      </c>
      <c r="J491" s="1">
        <v>75.05</v>
      </c>
      <c r="K491" s="1" t="s">
        <v>249</v>
      </c>
      <c r="L491" s="1">
        <v>1</v>
      </c>
      <c r="M491" s="3">
        <v>2020</v>
      </c>
      <c r="O491" s="1">
        <v>2</v>
      </c>
      <c r="P491" s="1" t="str">
        <f t="shared" si="15"/>
        <v>Talhadia</v>
      </c>
      <c r="Q491" s="2">
        <v>43836</v>
      </c>
      <c r="R491" s="1" t="s">
        <v>227</v>
      </c>
      <c r="S491" s="1" t="s">
        <v>163</v>
      </c>
      <c r="T491" s="1" t="s">
        <v>2268</v>
      </c>
      <c r="U491" s="1" t="s">
        <v>212</v>
      </c>
      <c r="V491" s="1" t="s">
        <v>152</v>
      </c>
      <c r="W491" s="2">
        <v>45770</v>
      </c>
      <c r="X491" s="1" t="s">
        <v>2262</v>
      </c>
      <c r="Y491" s="1">
        <v>176.63</v>
      </c>
      <c r="Z491" s="1">
        <v>20.3</v>
      </c>
      <c r="AA491" s="1">
        <v>2</v>
      </c>
      <c r="AB491" s="1">
        <v>15.4</v>
      </c>
      <c r="AC491" s="1">
        <v>3</v>
      </c>
      <c r="AD491" s="3">
        <v>312.62</v>
      </c>
      <c r="AE491" s="3">
        <v>312.00138648861599</v>
      </c>
      <c r="AF491" s="2">
        <v>45770</v>
      </c>
      <c r="AG491" s="1">
        <v>63</v>
      </c>
      <c r="AH491" s="3">
        <v>5.2950034223134796</v>
      </c>
      <c r="AI491" s="4">
        <v>25.739761757091902</v>
      </c>
      <c r="AJ491" s="4">
        <v>16.835000000000001</v>
      </c>
      <c r="AK491" s="4">
        <v>14.8683518715721</v>
      </c>
      <c r="AL491" s="1">
        <v>20</v>
      </c>
      <c r="AM491" s="5">
        <v>641.02279240126802</v>
      </c>
      <c r="AN491" s="4">
        <v>177.46371093859599</v>
      </c>
      <c r="AO491" s="4">
        <v>0.27684461932128601</v>
      </c>
      <c r="AP491" s="1" t="s">
        <v>163</v>
      </c>
      <c r="AQ491" s="1" t="s">
        <v>254</v>
      </c>
      <c r="AR491" s="1" t="s">
        <v>164</v>
      </c>
      <c r="AS491" s="1">
        <v>7.5</v>
      </c>
      <c r="AT491" s="4">
        <v>0.48076709430095105</v>
      </c>
      <c r="AU491" s="1" t="s">
        <v>1879</v>
      </c>
      <c r="AV491" s="1" t="s">
        <v>1880</v>
      </c>
      <c r="AW491" s="1">
        <v>1120</v>
      </c>
      <c r="AX491" s="1">
        <v>626</v>
      </c>
      <c r="AY491" s="1">
        <v>372</v>
      </c>
      <c r="AZ491" s="1">
        <v>110</v>
      </c>
      <c r="BA491" s="1">
        <v>11</v>
      </c>
      <c r="BB491" s="1">
        <v>1</v>
      </c>
      <c r="BC491" s="1">
        <v>0</v>
      </c>
      <c r="BD491" s="1">
        <v>0</v>
      </c>
      <c r="BE491" s="1">
        <v>0</v>
      </c>
      <c r="BF491" s="1">
        <v>0</v>
      </c>
      <c r="BG491" s="1">
        <v>0</v>
      </c>
      <c r="BH491" s="4">
        <v>0</v>
      </c>
      <c r="BI491" s="4">
        <v>26.652000000000001</v>
      </c>
      <c r="BJ491" s="4">
        <v>12.682471</v>
      </c>
      <c r="BK491" s="4">
        <v>0</v>
      </c>
      <c r="BL491" s="4">
        <v>10.620165</v>
      </c>
      <c r="BM491" s="4">
        <v>112.78789500000001</v>
      </c>
      <c r="BN491" s="4">
        <v>0.83738900000000005</v>
      </c>
      <c r="BO491" s="4">
        <v>22.330248999999998</v>
      </c>
      <c r="BP491" s="4">
        <v>-0.14935000000000001</v>
      </c>
      <c r="BQ491" s="4">
        <v>1.1619170000000001</v>
      </c>
      <c r="BR491" s="4">
        <v>10.294593000000001</v>
      </c>
      <c r="BS491" s="4">
        <v>6.6459999999999999</v>
      </c>
      <c r="BT491" s="4">
        <v>18.620501000000001</v>
      </c>
      <c r="BU491" s="4">
        <v>12.682471</v>
      </c>
      <c r="BV491" s="4">
        <v>5.7598140000000004</v>
      </c>
      <c r="BW491" s="4">
        <v>-0.25103500000000001</v>
      </c>
      <c r="BX491" s="4">
        <v>-1.031579</v>
      </c>
      <c r="BY491" s="4">
        <v>0.454156</v>
      </c>
      <c r="BZ491" s="4">
        <v>-4.3583999999999998E-2</v>
      </c>
      <c r="CA491" s="4">
        <v>-0.17909900000000001</v>
      </c>
      <c r="CB491" s="4">
        <v>3.0000000000000001E-3</v>
      </c>
      <c r="CC491" s="4">
        <v>1.495E-2</v>
      </c>
      <c r="CD491" s="4">
        <v>3.1899999999999998E-2</v>
      </c>
      <c r="CE491" s="4">
        <v>0.1434</v>
      </c>
      <c r="CF491" s="4">
        <v>0.313</v>
      </c>
      <c r="CG491" s="4">
        <v>0.62609999999999999</v>
      </c>
      <c r="CH491" s="4">
        <v>4.9348000000000001</v>
      </c>
      <c r="CI491" s="4">
        <v>18.620501000000001</v>
      </c>
      <c r="CJ491" s="4">
        <v>21.180401</v>
      </c>
      <c r="CK491" s="4">
        <v>22.23</v>
      </c>
      <c r="CL491" s="4">
        <v>22.643249999999998</v>
      </c>
      <c r="CM491" s="4">
        <v>23.188998999999999</v>
      </c>
      <c r="CN491" s="4">
        <v>24.262298999999999</v>
      </c>
      <c r="CO491" s="4">
        <v>25.003699999999998</v>
      </c>
      <c r="CP491" s="4">
        <v>25.874012</v>
      </c>
      <c r="CQ491" s="4">
        <v>0.475854</v>
      </c>
      <c r="CR491" s="4">
        <v>16.538810000000002</v>
      </c>
      <c r="CS491" s="4">
        <v>18.320025000000001</v>
      </c>
      <c r="CT491" s="1">
        <v>22</v>
      </c>
      <c r="CU491" s="1">
        <v>625</v>
      </c>
      <c r="CV491" s="4">
        <v>142.804464</v>
      </c>
      <c r="CW491" s="4">
        <v>31.571428999999998</v>
      </c>
      <c r="CX491" s="4">
        <v>111.40671</v>
      </c>
      <c r="CY491" s="4">
        <v>12411.455029999999</v>
      </c>
      <c r="CZ491" s="4">
        <v>0.78013500000000002</v>
      </c>
      <c r="DA491" s="4">
        <v>127.25</v>
      </c>
      <c r="DB491" s="4">
        <v>1.4491400000000001</v>
      </c>
      <c r="DC491" s="4">
        <v>4.688008</v>
      </c>
      <c r="DD491" s="4">
        <v>84.783413999999993</v>
      </c>
      <c r="DE491" s="4">
        <v>142.804464</v>
      </c>
      <c r="DF491" s="4">
        <v>57.762410000000003</v>
      </c>
      <c r="DG491" s="4">
        <v>18.344802000000001</v>
      </c>
      <c r="DH491" s="4">
        <v>8.4475909999999992</v>
      </c>
      <c r="DI491" s="4">
        <v>0.40448600000000001</v>
      </c>
      <c r="DJ491" s="4">
        <v>0.31759100000000001</v>
      </c>
      <c r="DK491" s="4">
        <v>0.14624699999999999</v>
      </c>
      <c r="DL491" s="4">
        <v>27.189999</v>
      </c>
      <c r="DM491" s="4">
        <v>32.950001</v>
      </c>
      <c r="DN491" s="4">
        <v>39</v>
      </c>
      <c r="DO491" s="4">
        <v>52</v>
      </c>
      <c r="DP491" s="4">
        <v>59</v>
      </c>
      <c r="DQ491" s="4">
        <v>67</v>
      </c>
      <c r="DR491" s="4">
        <v>86</v>
      </c>
      <c r="DS491" s="4">
        <v>110</v>
      </c>
      <c r="DT491" s="4">
        <v>136</v>
      </c>
      <c r="DU491" s="4">
        <v>168.29998800000001</v>
      </c>
      <c r="DV491" s="4">
        <v>186.25</v>
      </c>
      <c r="DW491" s="4">
        <v>206</v>
      </c>
      <c r="DX491" s="4">
        <v>311.49987800000002</v>
      </c>
      <c r="DY491" s="4">
        <v>398.050049</v>
      </c>
      <c r="DZ491" s="4">
        <v>491.86035199999998</v>
      </c>
      <c r="EA491" s="4">
        <v>81.309904000000003</v>
      </c>
      <c r="EB491" s="4">
        <v>62.857143000000001</v>
      </c>
      <c r="EC491" s="4">
        <v>112.460064</v>
      </c>
      <c r="ED491" s="4">
        <v>509</v>
      </c>
      <c r="EE491" s="4">
        <v>704</v>
      </c>
      <c r="EF491" s="4">
        <v>75.878594000000007</v>
      </c>
      <c r="EG491" s="4">
        <v>99.840255999999997</v>
      </c>
      <c r="EH491" s="4">
        <v>53.660713999999999</v>
      </c>
      <c r="EI491" s="4">
        <v>99.910713999999999</v>
      </c>
      <c r="EJ491" s="4">
        <v>96.006389999999996</v>
      </c>
      <c r="EK491" s="4">
        <v>178.75399400000001</v>
      </c>
      <c r="EL491" s="4">
        <v>475</v>
      </c>
      <c r="EM491" s="4">
        <v>625</v>
      </c>
      <c r="EN491" s="4">
        <v>601</v>
      </c>
      <c r="EO491" s="4">
        <v>1119</v>
      </c>
      <c r="EP491" s="4">
        <v>626</v>
      </c>
      <c r="EQ491" s="4">
        <v>1120</v>
      </c>
      <c r="ER491" s="4">
        <v>48.024206</v>
      </c>
    </row>
    <row r="492" spans="1:148" x14ac:dyDescent="0.2">
      <c r="A492" s="1">
        <v>2025</v>
      </c>
      <c r="B492" s="1" t="str">
        <f t="shared" si="14"/>
        <v>RD</v>
      </c>
      <c r="C492" s="1" t="s">
        <v>1882</v>
      </c>
      <c r="D492" s="1" t="s">
        <v>1882</v>
      </c>
      <c r="E492" s="1">
        <v>27526</v>
      </c>
      <c r="F492" s="1" t="s">
        <v>2261</v>
      </c>
      <c r="G492" s="1" t="s">
        <v>2042</v>
      </c>
      <c r="H492" s="1" t="s">
        <v>1996</v>
      </c>
      <c r="I492" s="1">
        <v>75.05</v>
      </c>
      <c r="J492" s="1">
        <v>75.05</v>
      </c>
      <c r="K492" s="1" t="s">
        <v>249</v>
      </c>
      <c r="L492" s="1">
        <v>1</v>
      </c>
      <c r="M492" s="3">
        <v>2020</v>
      </c>
      <c r="O492" s="1">
        <v>2</v>
      </c>
      <c r="P492" s="1" t="str">
        <f t="shared" si="15"/>
        <v>Talhadia</v>
      </c>
      <c r="Q492" s="2">
        <v>43836</v>
      </c>
      <c r="R492" s="1" t="s">
        <v>227</v>
      </c>
      <c r="S492" s="1" t="s">
        <v>163</v>
      </c>
      <c r="T492" s="1" t="s">
        <v>2268</v>
      </c>
      <c r="U492" s="1" t="s">
        <v>212</v>
      </c>
      <c r="V492" s="1" t="s">
        <v>152</v>
      </c>
      <c r="W492" s="2">
        <v>44838</v>
      </c>
      <c r="X492" s="1" t="s">
        <v>2262</v>
      </c>
      <c r="Y492" s="1">
        <v>176.63</v>
      </c>
      <c r="Z492" s="1">
        <v>19.399999999999999</v>
      </c>
      <c r="AA492" s="1">
        <v>12</v>
      </c>
      <c r="AB492" s="1">
        <v>15</v>
      </c>
      <c r="AC492" s="1">
        <v>1</v>
      </c>
      <c r="AD492" s="3">
        <v>291</v>
      </c>
      <c r="AE492" s="3">
        <v>284.597599617887</v>
      </c>
      <c r="AF492" s="2">
        <v>45770</v>
      </c>
      <c r="AG492" s="1">
        <v>63</v>
      </c>
      <c r="AH492" s="3">
        <v>5.2950034223134796</v>
      </c>
      <c r="AI492" s="4">
        <v>24.9024688383168</v>
      </c>
      <c r="AJ492" s="4">
        <v>14.363636363636401</v>
      </c>
      <c r="AK492" s="4">
        <v>19.3101950294405</v>
      </c>
      <c r="AL492" s="1">
        <v>33</v>
      </c>
      <c r="AM492" s="5">
        <v>1159.5319160916099</v>
      </c>
      <c r="AN492" s="4">
        <v>224.21052674780799</v>
      </c>
      <c r="AO492" s="4">
        <v>0.19336296279238799</v>
      </c>
      <c r="AP492" s="1" t="s">
        <v>163</v>
      </c>
      <c r="AQ492" s="1" t="s">
        <v>254</v>
      </c>
      <c r="AR492" s="1" t="s">
        <v>164</v>
      </c>
      <c r="AS492" s="1">
        <v>7.5</v>
      </c>
      <c r="AT492" s="4">
        <v>0.86964893706870749</v>
      </c>
      <c r="AU492" s="1" t="s">
        <v>1881</v>
      </c>
      <c r="AV492" s="1" t="s">
        <v>1882</v>
      </c>
      <c r="AW492" s="1">
        <v>980</v>
      </c>
      <c r="AX492" s="1">
        <v>562</v>
      </c>
      <c r="AY492" s="1">
        <v>313</v>
      </c>
      <c r="AZ492" s="1">
        <v>95</v>
      </c>
      <c r="BA492" s="1">
        <v>10</v>
      </c>
      <c r="BB492" s="1">
        <v>0</v>
      </c>
      <c r="BC492" s="1">
        <v>0</v>
      </c>
      <c r="BD492" s="1">
        <v>0</v>
      </c>
      <c r="BE492" s="1">
        <v>0</v>
      </c>
      <c r="BF492" s="1">
        <v>0</v>
      </c>
      <c r="BG492" s="1">
        <v>0</v>
      </c>
      <c r="BH492" s="4">
        <v>0</v>
      </c>
      <c r="BI492" s="4">
        <v>27.716999000000001</v>
      </c>
      <c r="BJ492" s="4">
        <v>12.416104000000001</v>
      </c>
      <c r="BK492" s="4">
        <v>0</v>
      </c>
      <c r="BL492" s="4">
        <v>10.610582000000001</v>
      </c>
      <c r="BM492" s="4">
        <v>112.584451</v>
      </c>
      <c r="BN492" s="4">
        <v>0.85458199999999995</v>
      </c>
      <c r="BO492" s="4">
        <v>22.794250000000002</v>
      </c>
      <c r="BP492" s="4">
        <v>-7.9367999999999994E-2</v>
      </c>
      <c r="BQ492" s="4">
        <v>1.2333700000000001</v>
      </c>
      <c r="BR492" s="4">
        <v>10.081721</v>
      </c>
      <c r="BS492" s="4">
        <v>9.798</v>
      </c>
      <c r="BT492" s="4">
        <v>14.685499</v>
      </c>
      <c r="BU492" s="4">
        <v>12.416104000000001</v>
      </c>
      <c r="BV492" s="4">
        <v>5.8535729999999999</v>
      </c>
      <c r="BW492" s="4">
        <v>-2.317E-2</v>
      </c>
      <c r="BX492" s="4">
        <v>-0.99191300000000004</v>
      </c>
      <c r="BY492" s="4">
        <v>0.47144999999999998</v>
      </c>
      <c r="BZ492" s="4">
        <v>-3.9579999999999997E-3</v>
      </c>
      <c r="CA492" s="4">
        <v>-0.16945399999999999</v>
      </c>
      <c r="CB492" s="4">
        <v>1E-3</v>
      </c>
      <c r="CC492" s="4">
        <v>7.0000000000000001E-3</v>
      </c>
      <c r="CD492" s="4">
        <v>1.2999999999999999E-2</v>
      </c>
      <c r="CE492" s="4">
        <v>3.2800000000000003E-2</v>
      </c>
      <c r="CF492" s="4">
        <v>4.675E-2</v>
      </c>
      <c r="CG492" s="4">
        <v>6.2700000000000006E-2</v>
      </c>
      <c r="CH492" s="4">
        <v>6.5225999999999997</v>
      </c>
      <c r="CI492" s="4">
        <v>14.685499</v>
      </c>
      <c r="CJ492" s="4">
        <v>20.058800000000002</v>
      </c>
      <c r="CK492" s="4">
        <v>22.222000000000001</v>
      </c>
      <c r="CL492" s="4">
        <v>22.841000000000001</v>
      </c>
      <c r="CM492" s="4">
        <v>23.434601000000001</v>
      </c>
      <c r="CN492" s="4">
        <v>24.7087</v>
      </c>
      <c r="CO492" s="4">
        <v>25.438299000000001</v>
      </c>
      <c r="CP492" s="4">
        <v>27.008510999999999</v>
      </c>
      <c r="CQ492" s="4">
        <v>0.44796000000000002</v>
      </c>
      <c r="CR492" s="4">
        <v>16.328785</v>
      </c>
      <c r="CS492" s="4">
        <v>18.179926999999999</v>
      </c>
      <c r="CT492" s="1">
        <v>24</v>
      </c>
      <c r="CU492" s="1">
        <v>451</v>
      </c>
      <c r="CV492" s="4">
        <v>141.091837</v>
      </c>
      <c r="CW492" s="4">
        <v>37.555556000000003</v>
      </c>
      <c r="CX492" s="4">
        <v>105.83545599999999</v>
      </c>
      <c r="CY492" s="4">
        <v>11201.143749999999</v>
      </c>
      <c r="CZ492" s="4">
        <v>0.75011799999999995</v>
      </c>
      <c r="DA492" s="4">
        <v>129.5</v>
      </c>
      <c r="DB492" s="4">
        <v>1.1510039999999999</v>
      </c>
      <c r="DC492" s="4">
        <v>3.4150909999999999</v>
      </c>
      <c r="DD492" s="4">
        <v>84.142149000000003</v>
      </c>
      <c r="DE492" s="4">
        <v>141.091837</v>
      </c>
      <c r="DF492" s="4">
        <v>56.440086999999998</v>
      </c>
      <c r="DG492" s="4">
        <v>16.494626</v>
      </c>
      <c r="DH492" s="4">
        <v>5.8334820000000001</v>
      </c>
      <c r="DI492" s="4">
        <v>0.40002399999999999</v>
      </c>
      <c r="DJ492" s="4">
        <v>0.29225000000000001</v>
      </c>
      <c r="DK492" s="4">
        <v>0.103357</v>
      </c>
      <c r="DL492" s="4">
        <v>26.790001</v>
      </c>
      <c r="DM492" s="4">
        <v>33</v>
      </c>
      <c r="DN492" s="4">
        <v>39</v>
      </c>
      <c r="DO492" s="4">
        <v>50</v>
      </c>
      <c r="DP492" s="4">
        <v>59</v>
      </c>
      <c r="DQ492" s="4">
        <v>67.700012000000001</v>
      </c>
      <c r="DR492" s="4">
        <v>83</v>
      </c>
      <c r="DS492" s="4">
        <v>108</v>
      </c>
      <c r="DT492" s="4">
        <v>136</v>
      </c>
      <c r="DU492" s="4">
        <v>169.29998800000001</v>
      </c>
      <c r="DV492" s="4">
        <v>188.5</v>
      </c>
      <c r="DW492" s="4">
        <v>214</v>
      </c>
      <c r="DX492" s="4">
        <v>324.199951</v>
      </c>
      <c r="DY492" s="4">
        <v>382.04998799999998</v>
      </c>
      <c r="DZ492" s="4">
        <v>418.05011000000002</v>
      </c>
      <c r="EA492" s="4">
        <v>79.003558999999996</v>
      </c>
      <c r="EB492" s="4">
        <v>63.265306000000002</v>
      </c>
      <c r="EC492" s="4">
        <v>110.320285</v>
      </c>
      <c r="ED492" s="4">
        <v>444</v>
      </c>
      <c r="EE492" s="4">
        <v>620</v>
      </c>
      <c r="EF492" s="4">
        <v>70.462632999999997</v>
      </c>
      <c r="EG492" s="4">
        <v>99.644127999999995</v>
      </c>
      <c r="EH492" s="4">
        <v>51.836734999999997</v>
      </c>
      <c r="EI492" s="4">
        <v>99.591836999999998</v>
      </c>
      <c r="EJ492" s="4">
        <v>90.391458999999998</v>
      </c>
      <c r="EK492" s="4">
        <v>173.66548</v>
      </c>
      <c r="EL492" s="4">
        <v>396</v>
      </c>
      <c r="EM492" s="4">
        <v>560</v>
      </c>
      <c r="EN492" s="4">
        <v>508</v>
      </c>
      <c r="EO492" s="4">
        <v>976</v>
      </c>
      <c r="EP492" s="4">
        <v>562</v>
      </c>
      <c r="EQ492" s="4">
        <v>980</v>
      </c>
      <c r="ER492" s="4">
        <v>44.941873000000001</v>
      </c>
    </row>
    <row r="493" spans="1:148" x14ac:dyDescent="0.2">
      <c r="A493" s="1">
        <v>2025</v>
      </c>
      <c r="B493" s="1" t="str">
        <f t="shared" si="14"/>
        <v>RD</v>
      </c>
      <c r="C493" s="1" t="s">
        <v>1884</v>
      </c>
      <c r="D493" s="1" t="s">
        <v>1884</v>
      </c>
      <c r="E493" s="1">
        <v>26591</v>
      </c>
      <c r="F493" s="1" t="s">
        <v>2135</v>
      </c>
      <c r="G493" s="1" t="s">
        <v>1228</v>
      </c>
      <c r="H493" s="1" t="s">
        <v>1997</v>
      </c>
      <c r="I493" s="1">
        <v>48.58</v>
      </c>
      <c r="J493" s="1">
        <v>48.58</v>
      </c>
      <c r="K493" s="1" t="s">
        <v>249</v>
      </c>
      <c r="L493" s="1">
        <v>1</v>
      </c>
      <c r="M493" s="3">
        <v>2018</v>
      </c>
      <c r="O493" s="1">
        <v>1</v>
      </c>
      <c r="P493" s="1" t="str">
        <f t="shared" si="15"/>
        <v>Alto fuste</v>
      </c>
      <c r="Q493" s="2">
        <v>43188</v>
      </c>
      <c r="R493" s="1" t="s">
        <v>227</v>
      </c>
      <c r="S493" s="1" t="s">
        <v>348</v>
      </c>
      <c r="T493" s="1" t="s">
        <v>2268</v>
      </c>
      <c r="U493" s="1" t="s">
        <v>212</v>
      </c>
      <c r="V493" s="1" t="s">
        <v>152</v>
      </c>
      <c r="W493" s="2">
        <v>45764</v>
      </c>
      <c r="X493" s="1" t="s">
        <v>1230</v>
      </c>
      <c r="Y493" s="1">
        <v>168.91</v>
      </c>
      <c r="Z493" s="1">
        <v>19.7</v>
      </c>
      <c r="AA493" s="1">
        <v>6</v>
      </c>
      <c r="AB493" s="1">
        <v>14.4</v>
      </c>
      <c r="AC493" s="1">
        <v>1</v>
      </c>
      <c r="AD493" s="3">
        <v>283.68</v>
      </c>
      <c r="AE493" s="3">
        <v>282.08300212613801</v>
      </c>
      <c r="AF493" s="2">
        <v>45764</v>
      </c>
      <c r="AG493" s="1">
        <v>85</v>
      </c>
      <c r="AH493" s="3">
        <v>7.0527036276522903</v>
      </c>
      <c r="AI493" s="4">
        <v>25.6486911948653</v>
      </c>
      <c r="AJ493" s="4">
        <v>15.021875</v>
      </c>
      <c r="AK493" s="4">
        <v>21.177097225452801</v>
      </c>
      <c r="AL493" s="1">
        <v>32</v>
      </c>
      <c r="AM493" s="5">
        <v>1134.41787554752</v>
      </c>
      <c r="AN493" s="4">
        <v>274.05713130462402</v>
      </c>
      <c r="AO493" s="4">
        <v>0.24158393235151701</v>
      </c>
      <c r="AP493" s="1" t="s">
        <v>348</v>
      </c>
      <c r="AQ493" s="1" t="s">
        <v>156</v>
      </c>
      <c r="AR493" s="1" t="s">
        <v>164</v>
      </c>
      <c r="AS493" s="1">
        <v>7.5</v>
      </c>
      <c r="AT493" s="4">
        <v>0.85081340666064009</v>
      </c>
      <c r="AU493" s="1" t="s">
        <v>1883</v>
      </c>
      <c r="AV493" s="1" t="s">
        <v>1884</v>
      </c>
      <c r="AW493" s="1">
        <v>1125</v>
      </c>
      <c r="AX493" s="1">
        <v>542</v>
      </c>
      <c r="AY493" s="1">
        <v>375</v>
      </c>
      <c r="AZ493" s="1">
        <v>157</v>
      </c>
      <c r="BA493" s="1">
        <v>45</v>
      </c>
      <c r="BB493" s="1">
        <v>6</v>
      </c>
      <c r="BC493" s="1">
        <v>0</v>
      </c>
      <c r="BD493" s="1">
        <v>0</v>
      </c>
      <c r="BE493" s="1">
        <v>0</v>
      </c>
      <c r="BF493" s="1">
        <v>0</v>
      </c>
      <c r="BG493" s="1">
        <v>0</v>
      </c>
      <c r="BH493" s="4">
        <v>0</v>
      </c>
      <c r="BI493" s="4">
        <v>29.136998999999999</v>
      </c>
      <c r="BJ493" s="4">
        <v>15.242108</v>
      </c>
      <c r="BK493" s="4">
        <v>0</v>
      </c>
      <c r="BL493" s="4">
        <v>10.113706000000001</v>
      </c>
      <c r="BM493" s="4">
        <v>102.28705100000001</v>
      </c>
      <c r="BN493" s="4">
        <v>0.66353700000000004</v>
      </c>
      <c r="BO493" s="4">
        <v>21.477</v>
      </c>
      <c r="BP493" s="4">
        <v>-0.43043700000000001</v>
      </c>
      <c r="BQ493" s="4">
        <v>1.6593530000000001</v>
      </c>
      <c r="BR493" s="4">
        <v>8.9068649999999998</v>
      </c>
      <c r="BS493" s="4">
        <v>7.2799990000000001</v>
      </c>
      <c r="BT493" s="4">
        <v>18.214001</v>
      </c>
      <c r="BU493" s="4">
        <v>15.242108</v>
      </c>
      <c r="BV493" s="4">
        <v>5.6696150000000003</v>
      </c>
      <c r="BW493" s="4">
        <v>-0.72187999999999997</v>
      </c>
      <c r="BX493" s="4">
        <v>-0.36468699999999998</v>
      </c>
      <c r="BY493" s="4">
        <v>0.371971</v>
      </c>
      <c r="BZ493" s="4">
        <v>-0.12732399999999999</v>
      </c>
      <c r="CA493" s="4">
        <v>-6.4323000000000005E-2</v>
      </c>
      <c r="CB493" s="4">
        <v>3.0000000000000001E-3</v>
      </c>
      <c r="CC493" s="4">
        <v>1.4E-2</v>
      </c>
      <c r="CD493" s="4">
        <v>3.3000000000000002E-2</v>
      </c>
      <c r="CE493" s="4">
        <v>0.42880000000000001</v>
      </c>
      <c r="CF493" s="4">
        <v>3.137</v>
      </c>
      <c r="CG493" s="4">
        <v>8.8390000000000004</v>
      </c>
      <c r="CH493" s="4">
        <v>14.859400000000001</v>
      </c>
      <c r="CI493" s="4">
        <v>18.214001</v>
      </c>
      <c r="CJ493" s="4">
        <v>20.744599999999998</v>
      </c>
      <c r="CK493" s="4">
        <v>23.207398999999999</v>
      </c>
      <c r="CL493" s="4">
        <v>24.614000000000001</v>
      </c>
      <c r="CM493" s="4">
        <v>25.135000000000002</v>
      </c>
      <c r="CN493" s="4">
        <v>26.643801</v>
      </c>
      <c r="CO493" s="4">
        <v>27.215199999999999</v>
      </c>
      <c r="CP493" s="4">
        <v>28.427119999999999</v>
      </c>
      <c r="CQ493" s="4">
        <v>0.523119</v>
      </c>
      <c r="CR493" s="4">
        <v>18.289833000000002</v>
      </c>
      <c r="CS493" s="4">
        <v>19.805812</v>
      </c>
      <c r="CT493" s="1">
        <v>23</v>
      </c>
      <c r="CU493" s="1">
        <v>583</v>
      </c>
      <c r="CV493" s="4">
        <v>123.264</v>
      </c>
      <c r="CW493" s="4">
        <v>40.777777999999998</v>
      </c>
      <c r="CX493" s="4">
        <v>88.124137000000005</v>
      </c>
      <c r="CY493" s="4">
        <v>7765.8635160000003</v>
      </c>
      <c r="CZ493" s="4">
        <v>0.71492199999999995</v>
      </c>
      <c r="DA493" s="4">
        <v>109</v>
      </c>
      <c r="DB493" s="4">
        <v>1.5761309999999999</v>
      </c>
      <c r="DC493" s="4">
        <v>5.9068569999999996</v>
      </c>
      <c r="DD493" s="4">
        <v>67.266730999999993</v>
      </c>
      <c r="DE493" s="4">
        <v>123.264</v>
      </c>
      <c r="DF493" s="4">
        <v>45.654466999999997</v>
      </c>
      <c r="DG493" s="4">
        <v>13.62265</v>
      </c>
      <c r="DH493" s="4">
        <v>6.4330600000000002</v>
      </c>
      <c r="DI493" s="4">
        <v>0.37037999999999999</v>
      </c>
      <c r="DJ493" s="4">
        <v>0.29838599999999998</v>
      </c>
      <c r="DK493" s="4">
        <v>0.14090800000000001</v>
      </c>
      <c r="DL493" s="4">
        <v>28</v>
      </c>
      <c r="DM493" s="4">
        <v>34</v>
      </c>
      <c r="DN493" s="4">
        <v>39.400002000000001</v>
      </c>
      <c r="DO493" s="4">
        <v>51</v>
      </c>
      <c r="DP493" s="4">
        <v>57</v>
      </c>
      <c r="DQ493" s="4">
        <v>65</v>
      </c>
      <c r="DR493" s="4">
        <v>79</v>
      </c>
      <c r="DS493" s="4">
        <v>98</v>
      </c>
      <c r="DT493" s="4">
        <v>117</v>
      </c>
      <c r="DU493" s="4">
        <v>145</v>
      </c>
      <c r="DV493" s="4">
        <v>166</v>
      </c>
      <c r="DW493" s="4">
        <v>184</v>
      </c>
      <c r="DX493" s="4">
        <v>239.199951</v>
      </c>
      <c r="DY493" s="4">
        <v>296.60034200000001</v>
      </c>
      <c r="DZ493" s="4">
        <v>436</v>
      </c>
      <c r="EA493" s="4">
        <v>93.173432000000005</v>
      </c>
      <c r="EB493" s="4">
        <v>75.2</v>
      </c>
      <c r="EC493" s="4">
        <v>156.088561</v>
      </c>
      <c r="ED493" s="4">
        <v>505</v>
      </c>
      <c r="EE493" s="4">
        <v>846</v>
      </c>
      <c r="EF493" s="4">
        <v>82.656827000000007</v>
      </c>
      <c r="EG493" s="4">
        <v>100</v>
      </c>
      <c r="EH493" s="4">
        <v>59.555556000000003</v>
      </c>
      <c r="EI493" s="4">
        <v>99.555555999999996</v>
      </c>
      <c r="EJ493" s="4">
        <v>123.616236</v>
      </c>
      <c r="EK493" s="4">
        <v>206.642066</v>
      </c>
      <c r="EL493" s="4">
        <v>448</v>
      </c>
      <c r="EM493" s="4">
        <v>542</v>
      </c>
      <c r="EN493" s="4">
        <v>670</v>
      </c>
      <c r="EO493" s="4">
        <v>1120</v>
      </c>
      <c r="EP493" s="4">
        <v>542</v>
      </c>
      <c r="EQ493" s="4">
        <v>1125</v>
      </c>
      <c r="ER493" s="4">
        <v>52.606808999999998</v>
      </c>
    </row>
    <row r="494" spans="1:148" x14ac:dyDescent="0.2">
      <c r="A494" s="1">
        <v>2025</v>
      </c>
      <c r="B494" s="1" t="str">
        <f t="shared" si="14"/>
        <v>RD</v>
      </c>
      <c r="C494" s="1" t="s">
        <v>1886</v>
      </c>
      <c r="D494" s="1" t="s">
        <v>1886</v>
      </c>
      <c r="E494" s="1">
        <v>26296</v>
      </c>
      <c r="F494" s="1" t="s">
        <v>2135</v>
      </c>
      <c r="G494" s="1" t="s">
        <v>1228</v>
      </c>
      <c r="H494" s="1" t="s">
        <v>1240</v>
      </c>
      <c r="I494" s="1">
        <v>52.9</v>
      </c>
      <c r="J494" s="1">
        <v>52.9</v>
      </c>
      <c r="K494" s="1" t="s">
        <v>249</v>
      </c>
      <c r="L494" s="1">
        <v>1</v>
      </c>
      <c r="M494" s="3">
        <v>2018</v>
      </c>
      <c r="O494" s="1">
        <v>1</v>
      </c>
      <c r="P494" s="1" t="str">
        <f t="shared" si="15"/>
        <v>Alto fuste</v>
      </c>
      <c r="Q494" s="2">
        <v>43182</v>
      </c>
      <c r="R494" s="1" t="s">
        <v>227</v>
      </c>
      <c r="S494" s="1" t="s">
        <v>767</v>
      </c>
      <c r="T494" s="1" t="s">
        <v>2268</v>
      </c>
      <c r="U494" s="1" t="s">
        <v>212</v>
      </c>
      <c r="V494" s="1" t="s">
        <v>152</v>
      </c>
      <c r="W494" s="2">
        <v>44839</v>
      </c>
      <c r="X494" s="1" t="s">
        <v>1230</v>
      </c>
      <c r="Y494" s="1">
        <v>168.91</v>
      </c>
      <c r="Z494" s="1">
        <v>19.7</v>
      </c>
      <c r="AA494" s="1">
        <v>22</v>
      </c>
      <c r="AB494" s="1">
        <v>15.5</v>
      </c>
      <c r="AC494" s="1">
        <v>2</v>
      </c>
      <c r="AD494" s="3">
        <v>305.35000000000002</v>
      </c>
      <c r="AE494" s="3">
        <v>282.943123624073</v>
      </c>
      <c r="AF494" s="2">
        <v>45769</v>
      </c>
      <c r="AG494" s="1">
        <v>85</v>
      </c>
      <c r="AH494" s="3">
        <v>7.0828199863107502</v>
      </c>
      <c r="AI494" s="4">
        <v>24.717001258889301</v>
      </c>
      <c r="AJ494" s="4">
        <v>16.1071428571429</v>
      </c>
      <c r="AK494" s="4">
        <v>21.385222662003699</v>
      </c>
      <c r="AL494" s="1">
        <v>28</v>
      </c>
      <c r="AM494" s="5">
        <v>989.59817935712397</v>
      </c>
      <c r="AN494" s="4">
        <v>258.88983687222702</v>
      </c>
      <c r="AO494" s="4">
        <v>0.26161106828269498</v>
      </c>
      <c r="AP494" s="1" t="s">
        <v>767</v>
      </c>
      <c r="AQ494" s="1" t="s">
        <v>156</v>
      </c>
      <c r="AR494" s="1" t="s">
        <v>164</v>
      </c>
      <c r="AS494" s="1">
        <v>7.5</v>
      </c>
      <c r="AT494" s="4">
        <v>0.74219863451784307</v>
      </c>
      <c r="AU494" s="1" t="s">
        <v>1885</v>
      </c>
      <c r="AV494" s="1" t="s">
        <v>1886</v>
      </c>
      <c r="AW494" s="1">
        <v>1076</v>
      </c>
      <c r="AX494" s="1">
        <v>623</v>
      </c>
      <c r="AY494" s="1">
        <v>335</v>
      </c>
      <c r="AZ494" s="1">
        <v>100</v>
      </c>
      <c r="BA494" s="1">
        <v>18</v>
      </c>
      <c r="BB494" s="1">
        <v>0</v>
      </c>
      <c r="BC494" s="1">
        <v>0</v>
      </c>
      <c r="BD494" s="1">
        <v>0</v>
      </c>
      <c r="BE494" s="1">
        <v>0</v>
      </c>
      <c r="BF494" s="1">
        <v>0</v>
      </c>
      <c r="BG494" s="1">
        <v>0</v>
      </c>
      <c r="BH494" s="4">
        <v>0</v>
      </c>
      <c r="BI494" s="4">
        <v>28.235001</v>
      </c>
      <c r="BJ494" s="4">
        <v>14.804894000000001</v>
      </c>
      <c r="BK494" s="4">
        <v>0</v>
      </c>
      <c r="BL494" s="4">
        <v>10.488904</v>
      </c>
      <c r="BM494" s="4">
        <v>110.017109</v>
      </c>
      <c r="BN494" s="4">
        <v>0.70847499999999997</v>
      </c>
      <c r="BO494" s="4">
        <v>23.101749000000002</v>
      </c>
      <c r="BP494" s="4">
        <v>-0.42518299999999998</v>
      </c>
      <c r="BQ494" s="4">
        <v>1.451065</v>
      </c>
      <c r="BR494" s="4">
        <v>9.6335979999999992</v>
      </c>
      <c r="BS494" s="4">
        <v>5.9165000000000001</v>
      </c>
      <c r="BT494" s="4">
        <v>19.728999999999999</v>
      </c>
      <c r="BU494" s="4">
        <v>14.804894000000001</v>
      </c>
      <c r="BV494" s="4">
        <v>5.7591210000000004</v>
      </c>
      <c r="BW494" s="4">
        <v>-0.81737800000000005</v>
      </c>
      <c r="BX494" s="4">
        <v>-0.66570600000000002</v>
      </c>
      <c r="BY494" s="4">
        <v>0.38900099999999999</v>
      </c>
      <c r="BZ494" s="4">
        <v>-0.141928</v>
      </c>
      <c r="CA494" s="4">
        <v>-0.115592</v>
      </c>
      <c r="CB494" s="4">
        <v>2E-3</v>
      </c>
      <c r="CC494" s="4">
        <v>1.6750000000000001E-2</v>
      </c>
      <c r="CD494" s="4">
        <v>4.3499999999999997E-2</v>
      </c>
      <c r="CE494" s="4">
        <v>0.24</v>
      </c>
      <c r="CF494" s="4">
        <v>1.0182500000000001</v>
      </c>
      <c r="CG494" s="4">
        <v>3.7835000000000001</v>
      </c>
      <c r="CH494" s="4">
        <v>14.916</v>
      </c>
      <c r="CI494" s="4">
        <v>19.728999999999999</v>
      </c>
      <c r="CJ494" s="4">
        <v>21.895</v>
      </c>
      <c r="CK494" s="4">
        <v>23.66</v>
      </c>
      <c r="CL494" s="4">
        <v>24.119999</v>
      </c>
      <c r="CM494" s="4">
        <v>24.620000999999998</v>
      </c>
      <c r="CN494" s="4">
        <v>25.745998</v>
      </c>
      <c r="CO494" s="4">
        <v>26.312000000000001</v>
      </c>
      <c r="CP494" s="4">
        <v>27.283999999999999</v>
      </c>
      <c r="CQ494" s="4">
        <v>0.52434499999999995</v>
      </c>
      <c r="CR494" s="4">
        <v>18.141107000000002</v>
      </c>
      <c r="CS494" s="4">
        <v>19.692502999999999</v>
      </c>
      <c r="CT494" s="1">
        <v>25</v>
      </c>
      <c r="CU494" s="1">
        <v>465</v>
      </c>
      <c r="CV494" s="4">
        <v>116.909851</v>
      </c>
      <c r="CW494" s="4">
        <v>38.968254000000002</v>
      </c>
      <c r="CX494" s="4">
        <v>85.737415999999996</v>
      </c>
      <c r="CY494" s="4">
        <v>7350.9044240000003</v>
      </c>
      <c r="CZ494" s="4">
        <v>0.73336299999999999</v>
      </c>
      <c r="DA494" s="4">
        <v>98</v>
      </c>
      <c r="DB494" s="4">
        <v>1.580023</v>
      </c>
      <c r="DC494" s="4">
        <v>5.3704130000000001</v>
      </c>
      <c r="DD494" s="4">
        <v>64.833510000000004</v>
      </c>
      <c r="DE494" s="4">
        <v>116.909851</v>
      </c>
      <c r="DF494" s="4">
        <v>43.970495</v>
      </c>
      <c r="DG494" s="4">
        <v>14.297717</v>
      </c>
      <c r="DH494" s="4">
        <v>6.8624239999999999</v>
      </c>
      <c r="DI494" s="4">
        <v>0.376106</v>
      </c>
      <c r="DJ494" s="4">
        <v>0.32516600000000001</v>
      </c>
      <c r="DK494" s="4">
        <v>0.15606900000000001</v>
      </c>
      <c r="DL494" s="4">
        <v>27.75</v>
      </c>
      <c r="DM494" s="4">
        <v>33</v>
      </c>
      <c r="DN494" s="4">
        <v>39</v>
      </c>
      <c r="DO494" s="4">
        <v>49</v>
      </c>
      <c r="DP494" s="4">
        <v>53</v>
      </c>
      <c r="DQ494" s="4">
        <v>60</v>
      </c>
      <c r="DR494" s="4">
        <v>74</v>
      </c>
      <c r="DS494" s="4">
        <v>91</v>
      </c>
      <c r="DT494" s="4">
        <v>108</v>
      </c>
      <c r="DU494" s="4">
        <v>137.5</v>
      </c>
      <c r="DV494" s="4">
        <v>151</v>
      </c>
      <c r="DW494" s="4">
        <v>176</v>
      </c>
      <c r="DX494" s="4">
        <v>225.5</v>
      </c>
      <c r="DY494" s="4">
        <v>321.25</v>
      </c>
      <c r="DZ494" s="4">
        <v>408.25</v>
      </c>
      <c r="EA494" s="4">
        <v>88.121989999999997</v>
      </c>
      <c r="EB494" s="4">
        <v>70.724907000000002</v>
      </c>
      <c r="EC494" s="4">
        <v>122.15088299999999</v>
      </c>
      <c r="ED494" s="4">
        <v>549</v>
      </c>
      <c r="EE494" s="4">
        <v>761</v>
      </c>
      <c r="EF494" s="4">
        <v>81.701445000000007</v>
      </c>
      <c r="EG494" s="4">
        <v>100</v>
      </c>
      <c r="EH494" s="4">
        <v>60.315984999999998</v>
      </c>
      <c r="EI494" s="4">
        <v>99.907062999999994</v>
      </c>
      <c r="EJ494" s="4">
        <v>104.173355</v>
      </c>
      <c r="EK494" s="4">
        <v>172.552167</v>
      </c>
      <c r="EL494" s="4">
        <v>509</v>
      </c>
      <c r="EM494" s="4">
        <v>623</v>
      </c>
      <c r="EN494" s="4">
        <v>649</v>
      </c>
      <c r="EO494" s="4">
        <v>1075</v>
      </c>
      <c r="EP494" s="4">
        <v>623</v>
      </c>
      <c r="EQ494" s="4">
        <v>1076</v>
      </c>
      <c r="ER494" s="4">
        <v>53.261453000000003</v>
      </c>
    </row>
    <row r="495" spans="1:148" x14ac:dyDescent="0.2">
      <c r="A495" s="1">
        <v>2025</v>
      </c>
      <c r="B495" s="1" t="str">
        <f t="shared" si="14"/>
        <v>RD</v>
      </c>
      <c r="C495" s="1" t="s">
        <v>1888</v>
      </c>
      <c r="D495" s="1" t="s">
        <v>1888</v>
      </c>
      <c r="E495" s="1">
        <v>26297</v>
      </c>
      <c r="F495" s="1" t="s">
        <v>2135</v>
      </c>
      <c r="G495" s="1" t="s">
        <v>1228</v>
      </c>
      <c r="H495" s="1" t="s">
        <v>1240</v>
      </c>
      <c r="I495" s="1">
        <v>52.9</v>
      </c>
      <c r="J495" s="1">
        <v>52.9</v>
      </c>
      <c r="K495" s="1" t="s">
        <v>249</v>
      </c>
      <c r="L495" s="1">
        <v>1</v>
      </c>
      <c r="M495" s="3">
        <v>2018</v>
      </c>
      <c r="O495" s="1">
        <v>1</v>
      </c>
      <c r="P495" s="1" t="str">
        <f t="shared" si="15"/>
        <v>Alto fuste</v>
      </c>
      <c r="Q495" s="2">
        <v>43182</v>
      </c>
      <c r="R495" s="1" t="s">
        <v>227</v>
      </c>
      <c r="S495" s="1" t="s">
        <v>767</v>
      </c>
      <c r="T495" s="1" t="s">
        <v>2268</v>
      </c>
      <c r="U495" s="1" t="s">
        <v>212</v>
      </c>
      <c r="V495" s="1" t="s">
        <v>152</v>
      </c>
      <c r="W495" s="2">
        <v>45769</v>
      </c>
      <c r="X495" s="1" t="s">
        <v>1230</v>
      </c>
      <c r="Y495" s="1">
        <v>168.91</v>
      </c>
      <c r="Z495" s="1">
        <v>20.399999999999999</v>
      </c>
      <c r="AA495" s="1">
        <v>2</v>
      </c>
      <c r="AB495" s="1">
        <v>16.100000000000001</v>
      </c>
      <c r="AC495" s="1">
        <v>7</v>
      </c>
      <c r="AD495" s="3">
        <v>328.44</v>
      </c>
      <c r="AE495" s="3">
        <v>325.79327261316001</v>
      </c>
      <c r="AF495" s="2">
        <v>45769</v>
      </c>
      <c r="AG495" s="1">
        <v>85</v>
      </c>
      <c r="AH495" s="3">
        <v>7.0828199863107502</v>
      </c>
      <c r="AI495" s="4">
        <v>26.4430881878836</v>
      </c>
      <c r="AJ495" s="4">
        <v>15.8117647058823</v>
      </c>
      <c r="AK495" s="4">
        <v>20.999155187854502</v>
      </c>
      <c r="AL495" s="1">
        <v>34</v>
      </c>
      <c r="AM495" s="5">
        <v>1043.6065707339201</v>
      </c>
      <c r="AN495" s="4">
        <v>268.55107682901303</v>
      </c>
      <c r="AO495" s="4">
        <v>0.25732980642327102</v>
      </c>
      <c r="AP495" s="1" t="s">
        <v>767</v>
      </c>
      <c r="AQ495" s="1" t="s">
        <v>156</v>
      </c>
      <c r="AR495" s="1" t="s">
        <v>164</v>
      </c>
      <c r="AS495" s="1">
        <v>7.5</v>
      </c>
      <c r="AT495" s="4">
        <v>0.78270492805044012</v>
      </c>
      <c r="AU495" s="1" t="s">
        <v>1887</v>
      </c>
      <c r="AV495" s="1" t="s">
        <v>1888</v>
      </c>
      <c r="AW495" s="1">
        <v>1057</v>
      </c>
      <c r="AX495" s="1">
        <v>672</v>
      </c>
      <c r="AY495" s="1">
        <v>306</v>
      </c>
      <c r="AZ495" s="1">
        <v>73</v>
      </c>
      <c r="BA495" s="1">
        <v>6</v>
      </c>
      <c r="BB495" s="1">
        <v>0</v>
      </c>
      <c r="BC495" s="1">
        <v>0</v>
      </c>
      <c r="BD495" s="1">
        <v>0</v>
      </c>
      <c r="BE495" s="1">
        <v>0</v>
      </c>
      <c r="BF495" s="1">
        <v>0</v>
      </c>
      <c r="BG495" s="1">
        <v>0</v>
      </c>
      <c r="BH495" s="4">
        <v>0</v>
      </c>
      <c r="BI495" s="4">
        <v>27.974001000000001</v>
      </c>
      <c r="BJ495" s="4">
        <v>8.3362149999999993</v>
      </c>
      <c r="BK495" s="4">
        <v>0</v>
      </c>
      <c r="BL495" s="4">
        <v>10.748246999999999</v>
      </c>
      <c r="BM495" s="4">
        <v>115.524811</v>
      </c>
      <c r="BN495" s="4">
        <v>1.289344</v>
      </c>
      <c r="BO495" s="4">
        <v>19.863999</v>
      </c>
      <c r="BP495" s="4">
        <v>0.76543300000000003</v>
      </c>
      <c r="BQ495" s="4">
        <v>1.783412</v>
      </c>
      <c r="BR495" s="4">
        <v>9.8050909999999991</v>
      </c>
      <c r="BS495" s="4">
        <v>0.71099999999999997</v>
      </c>
      <c r="BT495" s="4">
        <v>0.72099999999999997</v>
      </c>
      <c r="BU495" s="4">
        <v>8.3362149999999993</v>
      </c>
      <c r="BV495" s="4">
        <v>5.4859489999999997</v>
      </c>
      <c r="BW495" s="4">
        <v>1.902209</v>
      </c>
      <c r="BX495" s="4">
        <v>-0.32573400000000002</v>
      </c>
      <c r="BY495" s="4">
        <v>0.65808599999999995</v>
      </c>
      <c r="BZ495" s="4">
        <v>0.34674199999999999</v>
      </c>
      <c r="CA495" s="4">
        <v>-5.9375999999999998E-2</v>
      </c>
      <c r="CB495" s="4">
        <v>2E-3</v>
      </c>
      <c r="CC495" s="4">
        <v>1.4999999999999999E-2</v>
      </c>
      <c r="CD495" s="4">
        <v>2.5999999999999999E-2</v>
      </c>
      <c r="CE495" s="4">
        <v>5.1999999999999998E-2</v>
      </c>
      <c r="CF495" s="4">
        <v>7.0999999999999994E-2</v>
      </c>
      <c r="CG495" s="4">
        <v>9.5000000000000001E-2</v>
      </c>
      <c r="CH495" s="4">
        <v>0.1794</v>
      </c>
      <c r="CI495" s="4">
        <v>0.72099999999999997</v>
      </c>
      <c r="CJ495" s="4">
        <v>2.9673959999999999</v>
      </c>
      <c r="CK495" s="4">
        <v>16.948399999999999</v>
      </c>
      <c r="CL495" s="4">
        <v>19.934999000000001</v>
      </c>
      <c r="CM495" s="4">
        <v>23.097000000000001</v>
      </c>
      <c r="CN495" s="4">
        <v>25.8566</v>
      </c>
      <c r="CO495" s="4">
        <v>26.692399999999999</v>
      </c>
      <c r="CP495" s="4">
        <v>27.575239</v>
      </c>
      <c r="CQ495" s="4">
        <v>0.29799900000000001</v>
      </c>
      <c r="CR495" s="4">
        <v>13.598088000000001</v>
      </c>
      <c r="CS495" s="4">
        <v>16.405293</v>
      </c>
      <c r="CT495" s="1">
        <v>24</v>
      </c>
      <c r="CU495" s="1">
        <v>628</v>
      </c>
      <c r="CV495" s="4">
        <v>200.91674599999999</v>
      </c>
      <c r="CW495" s="4">
        <v>33.587302000000001</v>
      </c>
      <c r="CX495" s="4">
        <v>146.204722</v>
      </c>
      <c r="CY495" s="4">
        <v>21375.82071</v>
      </c>
      <c r="CZ495" s="4">
        <v>0.727688</v>
      </c>
      <c r="DA495" s="4">
        <v>235</v>
      </c>
      <c r="DB495" s="4">
        <v>0.77711799999999998</v>
      </c>
      <c r="DC495" s="4">
        <v>2.461014</v>
      </c>
      <c r="DD495" s="4">
        <v>123.666132</v>
      </c>
      <c r="DE495" s="4">
        <v>200.91674599999999</v>
      </c>
      <c r="DF495" s="4">
        <v>80.940224000000001</v>
      </c>
      <c r="DG495" s="4">
        <v>18.072996</v>
      </c>
      <c r="DH495" s="4">
        <v>3.0952739999999999</v>
      </c>
      <c r="DI495" s="4">
        <v>0.40285500000000002</v>
      </c>
      <c r="DJ495" s="4">
        <v>0.22328799999999999</v>
      </c>
      <c r="DK495" s="4">
        <v>3.8240999999999997E-2</v>
      </c>
      <c r="DL495" s="4">
        <v>27</v>
      </c>
      <c r="DM495" s="4">
        <v>36</v>
      </c>
      <c r="DN495" s="4">
        <v>45</v>
      </c>
      <c r="DO495" s="4">
        <v>69</v>
      </c>
      <c r="DP495" s="4">
        <v>80</v>
      </c>
      <c r="DQ495" s="4">
        <v>92.799987999999999</v>
      </c>
      <c r="DR495" s="4">
        <v>121</v>
      </c>
      <c r="DS495" s="4">
        <v>153</v>
      </c>
      <c r="DT495" s="4">
        <v>196.599976</v>
      </c>
      <c r="DU495" s="4">
        <v>268</v>
      </c>
      <c r="DV495" s="4">
        <v>315</v>
      </c>
      <c r="DW495" s="4">
        <v>348.99993899999998</v>
      </c>
      <c r="DX495" s="4">
        <v>430.40002399999997</v>
      </c>
      <c r="DY495" s="4">
        <v>480.20001200000002</v>
      </c>
      <c r="DZ495" s="4">
        <v>560.51953100000003</v>
      </c>
      <c r="EA495" s="4">
        <v>51.190475999999997</v>
      </c>
      <c r="EB495" s="4">
        <v>40.018920999999999</v>
      </c>
      <c r="EC495" s="4">
        <v>62.946429000000002</v>
      </c>
      <c r="ED495" s="4">
        <v>344</v>
      </c>
      <c r="EE495" s="4">
        <v>423</v>
      </c>
      <c r="EF495" s="4">
        <v>46.279761999999998</v>
      </c>
      <c r="EG495" s="4">
        <v>99.851190000000003</v>
      </c>
      <c r="EH495" s="4">
        <v>35.856197000000002</v>
      </c>
      <c r="EI495" s="4">
        <v>99.621570000000006</v>
      </c>
      <c r="EJ495" s="4">
        <v>56.398809999999997</v>
      </c>
      <c r="EK495" s="4">
        <v>156.69642899999999</v>
      </c>
      <c r="EL495" s="4">
        <v>311</v>
      </c>
      <c r="EM495" s="4">
        <v>671</v>
      </c>
      <c r="EN495" s="4">
        <v>379</v>
      </c>
      <c r="EO495" s="4">
        <v>1053</v>
      </c>
      <c r="EP495" s="4">
        <v>672</v>
      </c>
      <c r="EQ495" s="4">
        <v>1057</v>
      </c>
      <c r="ER495" s="4">
        <v>29.214783000000001</v>
      </c>
    </row>
    <row r="496" spans="1:148" x14ac:dyDescent="0.2">
      <c r="A496" s="1">
        <v>2025</v>
      </c>
      <c r="B496" s="1" t="str">
        <f t="shared" si="14"/>
        <v>RD</v>
      </c>
      <c r="C496" s="1" t="s">
        <v>1890</v>
      </c>
      <c r="D496" s="1" t="s">
        <v>1890</v>
      </c>
      <c r="E496" s="1">
        <v>26608</v>
      </c>
      <c r="F496" s="1" t="s">
        <v>2263</v>
      </c>
      <c r="G496" s="1" t="s">
        <v>1228</v>
      </c>
      <c r="H496" s="1" t="s">
        <v>1998</v>
      </c>
      <c r="I496" s="1">
        <v>37.83</v>
      </c>
      <c r="J496" s="1">
        <v>37.83</v>
      </c>
      <c r="K496" s="1" t="s">
        <v>249</v>
      </c>
      <c r="L496" s="1">
        <v>1</v>
      </c>
      <c r="M496" s="3">
        <v>2018</v>
      </c>
      <c r="O496" s="1">
        <v>2</v>
      </c>
      <c r="P496" s="1" t="str">
        <f t="shared" si="15"/>
        <v>Talhadia</v>
      </c>
      <c r="Q496" s="2">
        <v>43154</v>
      </c>
      <c r="R496" s="1" t="s">
        <v>227</v>
      </c>
      <c r="S496" s="1" t="s">
        <v>163</v>
      </c>
      <c r="T496" s="1" t="s">
        <v>2268</v>
      </c>
      <c r="U496" s="1" t="s">
        <v>212</v>
      </c>
      <c r="V496" s="1" t="s">
        <v>152</v>
      </c>
      <c r="W496" s="2">
        <v>44840</v>
      </c>
      <c r="X496" s="1" t="s">
        <v>1230</v>
      </c>
      <c r="Y496" s="1">
        <v>145.61000000000001</v>
      </c>
      <c r="Z496" s="1">
        <v>19</v>
      </c>
      <c r="AA496" s="1">
        <v>11</v>
      </c>
      <c r="AB496" s="1">
        <v>15.2</v>
      </c>
      <c r="AC496" s="1">
        <v>3</v>
      </c>
      <c r="AD496" s="3">
        <v>288.8</v>
      </c>
      <c r="AE496" s="3">
        <v>283.105412000537</v>
      </c>
      <c r="AF496" s="2">
        <v>45769</v>
      </c>
      <c r="AG496" s="1">
        <v>86</v>
      </c>
      <c r="AH496" s="3">
        <v>7.1594798083504401</v>
      </c>
      <c r="AI496" s="4">
        <v>25.457792371832401</v>
      </c>
      <c r="AJ496" s="4">
        <v>15.8774193548387</v>
      </c>
      <c r="AK496" s="4">
        <v>22.776499723888399</v>
      </c>
      <c r="AL496" s="1">
        <v>31</v>
      </c>
      <c r="AM496" s="5">
        <v>1094.9984947635401</v>
      </c>
      <c r="AN496" s="4">
        <v>273.48640646882097</v>
      </c>
      <c r="AO496" s="4">
        <v>0.249759618644845</v>
      </c>
      <c r="AP496" s="1" t="s">
        <v>163</v>
      </c>
      <c r="AQ496" s="1" t="s">
        <v>254</v>
      </c>
      <c r="AR496" s="1" t="s">
        <v>164</v>
      </c>
      <c r="AS496" s="1">
        <v>7.5</v>
      </c>
      <c r="AT496" s="4">
        <v>0.8212488710726551</v>
      </c>
      <c r="AU496" s="1" t="s">
        <v>1889</v>
      </c>
      <c r="AV496" s="1" t="s">
        <v>1890</v>
      </c>
      <c r="AW496" s="1">
        <v>1145</v>
      </c>
      <c r="AX496" s="1">
        <v>614</v>
      </c>
      <c r="AY496" s="1">
        <v>352</v>
      </c>
      <c r="AZ496" s="1">
        <v>133</v>
      </c>
      <c r="BA496" s="1">
        <v>44</v>
      </c>
      <c r="BB496" s="1">
        <v>2</v>
      </c>
      <c r="BC496" s="1">
        <v>0</v>
      </c>
      <c r="BD496" s="1">
        <v>0</v>
      </c>
      <c r="BE496" s="1">
        <v>0</v>
      </c>
      <c r="BF496" s="1">
        <v>0</v>
      </c>
      <c r="BG496" s="1">
        <v>0</v>
      </c>
      <c r="BH496" s="4">
        <v>0</v>
      </c>
      <c r="BI496" s="4">
        <v>28.969999000000001</v>
      </c>
      <c r="BJ496" s="4">
        <v>16.597363999999999</v>
      </c>
      <c r="BK496" s="4">
        <v>0</v>
      </c>
      <c r="BL496" s="4">
        <v>9.6083549999999995</v>
      </c>
      <c r="BM496" s="4">
        <v>92.320492000000002</v>
      </c>
      <c r="BN496" s="4">
        <v>0.57890900000000001</v>
      </c>
      <c r="BO496" s="4">
        <v>12.819000000000001</v>
      </c>
      <c r="BP496" s="4">
        <v>-0.79727700000000001</v>
      </c>
      <c r="BQ496" s="4">
        <v>2.1404000000000001</v>
      </c>
      <c r="BR496" s="4">
        <v>8.0886630000000004</v>
      </c>
      <c r="BS496" s="4">
        <v>5.1379999999999999</v>
      </c>
      <c r="BT496" s="4">
        <v>20.146999000000001</v>
      </c>
      <c r="BU496" s="4">
        <v>16.597363999999999</v>
      </c>
      <c r="BV496" s="4">
        <v>5.1941839999999999</v>
      </c>
      <c r="BW496" s="4">
        <v>-1.196496</v>
      </c>
      <c r="BX496" s="4">
        <v>2.9340000000000001E-2</v>
      </c>
      <c r="BY496" s="4">
        <v>0.31295200000000001</v>
      </c>
      <c r="BZ496" s="4">
        <v>-0.230353</v>
      </c>
      <c r="CA496" s="4">
        <v>5.6490000000000004E-3</v>
      </c>
      <c r="CB496" s="4">
        <v>4.0000000000000001E-3</v>
      </c>
      <c r="CC496" s="4">
        <v>1.4999999999999999E-2</v>
      </c>
      <c r="CD496" s="4">
        <v>3.2399999999999998E-2</v>
      </c>
      <c r="CE496" s="4">
        <v>0.94140000000000001</v>
      </c>
      <c r="CF496" s="4">
        <v>11.361000000000001</v>
      </c>
      <c r="CG496" s="4">
        <v>14.309801</v>
      </c>
      <c r="CH496" s="4">
        <v>18.063199999999998</v>
      </c>
      <c r="CI496" s="4">
        <v>20.146999000000001</v>
      </c>
      <c r="CJ496" s="4">
        <v>21.805002000000002</v>
      </c>
      <c r="CK496" s="4">
        <v>23.512599999999999</v>
      </c>
      <c r="CL496" s="4">
        <v>24.18</v>
      </c>
      <c r="CM496" s="4">
        <v>25.106999999999999</v>
      </c>
      <c r="CN496" s="4">
        <v>26.252399</v>
      </c>
      <c r="CO496" s="4">
        <v>26.824000999999999</v>
      </c>
      <c r="CP496" s="4">
        <v>27.942442</v>
      </c>
      <c r="CQ496" s="4">
        <v>0.57291599999999998</v>
      </c>
      <c r="CR496" s="4">
        <v>19.175827999999999</v>
      </c>
      <c r="CS496" s="4">
        <v>20.374863000000001</v>
      </c>
      <c r="CT496" s="1">
        <v>23</v>
      </c>
      <c r="CU496" s="1">
        <v>561</v>
      </c>
      <c r="CV496" s="4">
        <v>130.64803499999999</v>
      </c>
      <c r="CW496" s="4">
        <v>48.619047999999999</v>
      </c>
      <c r="CX496" s="4">
        <v>97.194559999999996</v>
      </c>
      <c r="CY496" s="4">
        <v>9446.7824810000002</v>
      </c>
      <c r="CZ496" s="4">
        <v>0.74394199999999999</v>
      </c>
      <c r="DA496" s="4">
        <v>109</v>
      </c>
      <c r="DB496" s="4">
        <v>1.7157450000000001</v>
      </c>
      <c r="DC496" s="4">
        <v>6.4043989999999997</v>
      </c>
      <c r="DD496" s="4">
        <v>72.040524000000005</v>
      </c>
      <c r="DE496" s="4">
        <v>130.64803499999999</v>
      </c>
      <c r="DF496" s="4">
        <v>49.560236000000003</v>
      </c>
      <c r="DG496" s="4">
        <v>14.978113</v>
      </c>
      <c r="DH496" s="4">
        <v>7.9294560000000001</v>
      </c>
      <c r="DI496" s="4">
        <v>0.37934200000000001</v>
      </c>
      <c r="DJ496" s="4">
        <v>0.30221999999999999</v>
      </c>
      <c r="DK496" s="4">
        <v>0.159996</v>
      </c>
      <c r="DL496" s="4">
        <v>26.439999</v>
      </c>
      <c r="DM496" s="4">
        <v>33</v>
      </c>
      <c r="DN496" s="4">
        <v>40</v>
      </c>
      <c r="DO496" s="4">
        <v>52</v>
      </c>
      <c r="DP496" s="4">
        <v>58</v>
      </c>
      <c r="DQ496" s="4">
        <v>66</v>
      </c>
      <c r="DR496" s="4">
        <v>83</v>
      </c>
      <c r="DS496" s="4">
        <v>106</v>
      </c>
      <c r="DT496" s="4">
        <v>130.400024</v>
      </c>
      <c r="DU496" s="4">
        <v>154.79998800000001</v>
      </c>
      <c r="DV496" s="4">
        <v>167</v>
      </c>
      <c r="DW496" s="4">
        <v>191</v>
      </c>
      <c r="DX496" s="4">
        <v>243.599976</v>
      </c>
      <c r="DY496" s="4">
        <v>333</v>
      </c>
      <c r="DZ496" s="4">
        <v>488</v>
      </c>
      <c r="EA496" s="4">
        <v>92.508143000000004</v>
      </c>
      <c r="EB496" s="4">
        <v>78.515283999999994</v>
      </c>
      <c r="EC496" s="4">
        <v>146.41693799999999</v>
      </c>
      <c r="ED496" s="4">
        <v>568</v>
      </c>
      <c r="EE496" s="4">
        <v>899</v>
      </c>
      <c r="EF496" s="4">
        <v>85.179152999999999</v>
      </c>
      <c r="EG496" s="4">
        <v>100</v>
      </c>
      <c r="EH496" s="4">
        <v>64.104803000000004</v>
      </c>
      <c r="EI496" s="4">
        <v>99.912664000000007</v>
      </c>
      <c r="EJ496" s="4">
        <v>119.54397400000001</v>
      </c>
      <c r="EK496" s="4">
        <v>186.31921800000001</v>
      </c>
      <c r="EL496" s="4">
        <v>523</v>
      </c>
      <c r="EM496" s="4">
        <v>614</v>
      </c>
      <c r="EN496" s="4">
        <v>734</v>
      </c>
      <c r="EO496" s="4">
        <v>1144</v>
      </c>
      <c r="EP496" s="4">
        <v>614</v>
      </c>
      <c r="EQ496" s="4">
        <v>1145</v>
      </c>
      <c r="ER496" s="4">
        <v>58.376705999999999</v>
      </c>
    </row>
    <row r="497" spans="1:148" x14ac:dyDescent="0.2">
      <c r="A497" s="1">
        <v>2025</v>
      </c>
      <c r="B497" s="1" t="str">
        <f t="shared" si="14"/>
        <v>RD</v>
      </c>
      <c r="C497" s="1" t="s">
        <v>1892</v>
      </c>
      <c r="D497" s="1" t="s">
        <v>1892</v>
      </c>
      <c r="E497" s="1">
        <v>26285</v>
      </c>
      <c r="F497" s="1" t="s">
        <v>2263</v>
      </c>
      <c r="G497" s="1" t="s">
        <v>1228</v>
      </c>
      <c r="H497" s="1" t="s">
        <v>1999</v>
      </c>
      <c r="I497" s="1">
        <v>55.98</v>
      </c>
      <c r="J497" s="1">
        <v>55.98</v>
      </c>
      <c r="K497" s="1" t="s">
        <v>249</v>
      </c>
      <c r="L497" s="1">
        <v>1</v>
      </c>
      <c r="M497" s="3">
        <v>2018</v>
      </c>
      <c r="O497" s="1">
        <v>2</v>
      </c>
      <c r="P497" s="1" t="str">
        <f t="shared" si="15"/>
        <v>Talhadia</v>
      </c>
      <c r="Q497" s="2">
        <v>43178</v>
      </c>
      <c r="R497" s="1" t="s">
        <v>746</v>
      </c>
      <c r="S497" s="1" t="s">
        <v>619</v>
      </c>
      <c r="T497" s="1" t="s">
        <v>2268</v>
      </c>
      <c r="U497" s="1" t="s">
        <v>212</v>
      </c>
      <c r="V497" s="1" t="s">
        <v>152</v>
      </c>
      <c r="W497" s="2">
        <v>45769</v>
      </c>
      <c r="X497" s="1" t="s">
        <v>1230</v>
      </c>
      <c r="Y497" s="1">
        <v>145.61000000000001</v>
      </c>
      <c r="Z497" s="1">
        <v>21</v>
      </c>
      <c r="AA497" s="1">
        <v>6</v>
      </c>
      <c r="AB497" s="1">
        <v>15</v>
      </c>
      <c r="AC497" s="1">
        <v>0</v>
      </c>
      <c r="AD497" s="3">
        <v>315</v>
      </c>
      <c r="AE497" s="3">
        <v>313.27439704100601</v>
      </c>
      <c r="AF497" s="2">
        <v>45769</v>
      </c>
      <c r="AG497" s="1">
        <v>85</v>
      </c>
      <c r="AH497" s="3">
        <v>7.0937713894592704</v>
      </c>
      <c r="AI497" s="4">
        <v>26.869288724520999</v>
      </c>
      <c r="AJ497" s="4">
        <v>17</v>
      </c>
      <c r="AK497" s="4">
        <v>21.233306228584699</v>
      </c>
      <c r="AL497" s="1">
        <v>28</v>
      </c>
      <c r="AM497" s="5">
        <v>893.78513738979302</v>
      </c>
      <c r="AN497" s="4">
        <v>268.18389309031699</v>
      </c>
      <c r="AO497" s="4">
        <v>0.30005409787135201</v>
      </c>
      <c r="AP497" s="1" t="s">
        <v>619</v>
      </c>
      <c r="AQ497" s="1" t="s">
        <v>254</v>
      </c>
      <c r="AR497" s="1" t="s">
        <v>164</v>
      </c>
      <c r="AS497" s="1">
        <v>7.5</v>
      </c>
      <c r="AT497" s="4">
        <v>0.67033885304234475</v>
      </c>
      <c r="AU497" s="1" t="s">
        <v>1891</v>
      </c>
      <c r="AV497" s="1" t="s">
        <v>1892</v>
      </c>
      <c r="AW497" s="1">
        <v>1282</v>
      </c>
      <c r="AX497" s="1">
        <v>711</v>
      </c>
      <c r="AY497" s="1">
        <v>410</v>
      </c>
      <c r="AZ497" s="1">
        <v>127</v>
      </c>
      <c r="BA497" s="1">
        <v>32</v>
      </c>
      <c r="BB497" s="1">
        <v>2</v>
      </c>
      <c r="BC497" s="1">
        <v>0</v>
      </c>
      <c r="BD497" s="1">
        <v>0</v>
      </c>
      <c r="BE497" s="1">
        <v>0</v>
      </c>
      <c r="BF497" s="1">
        <v>0</v>
      </c>
      <c r="BG497" s="1">
        <v>0</v>
      </c>
      <c r="BH497" s="4">
        <v>0</v>
      </c>
      <c r="BI497" s="4">
        <v>30.957999999999998</v>
      </c>
      <c r="BJ497" s="4">
        <v>14.194236</v>
      </c>
      <c r="BK497" s="4">
        <v>0</v>
      </c>
      <c r="BL497" s="4">
        <v>10.376595</v>
      </c>
      <c r="BM497" s="4">
        <v>107.673717</v>
      </c>
      <c r="BN497" s="4">
        <v>0.731043</v>
      </c>
      <c r="BO497" s="4">
        <v>21.775251000000001</v>
      </c>
      <c r="BP497" s="4">
        <v>-0.17443600000000001</v>
      </c>
      <c r="BQ497" s="4">
        <v>1.6217680000000001</v>
      </c>
      <c r="BR497" s="4">
        <v>9.1186190000000007</v>
      </c>
      <c r="BS497" s="4">
        <v>8.6735000000000007</v>
      </c>
      <c r="BT497" s="4">
        <v>16.377500999999999</v>
      </c>
      <c r="BU497" s="4">
        <v>14.194236</v>
      </c>
      <c r="BV497" s="4">
        <v>5.8949069999999999</v>
      </c>
      <c r="BW497" s="4">
        <v>-0.19134999999999999</v>
      </c>
      <c r="BX497" s="4">
        <v>-0.33509499999999998</v>
      </c>
      <c r="BY497" s="4">
        <v>0.41530299999999998</v>
      </c>
      <c r="BZ497" s="4">
        <v>-3.2460000000000003E-2</v>
      </c>
      <c r="CA497" s="4">
        <v>-5.6845E-2</v>
      </c>
      <c r="CB497" s="4">
        <v>1E-3</v>
      </c>
      <c r="CC497" s="4">
        <v>7.0000000000000001E-3</v>
      </c>
      <c r="CD497" s="4">
        <v>1.7999999999999999E-2</v>
      </c>
      <c r="CE497" s="4">
        <v>7.3200000000000001E-2</v>
      </c>
      <c r="CF497" s="4">
        <v>0.78525</v>
      </c>
      <c r="CG497" s="4">
        <v>5.8742979999999996</v>
      </c>
      <c r="CH497" s="4">
        <v>12.692603</v>
      </c>
      <c r="CI497" s="4">
        <v>16.377500999999999</v>
      </c>
      <c r="CJ497" s="4">
        <v>19.074400000000001</v>
      </c>
      <c r="CK497" s="4">
        <v>21.249300000000002</v>
      </c>
      <c r="CL497" s="4">
        <v>22.560500999999999</v>
      </c>
      <c r="CM497" s="4">
        <v>24.045601000000001</v>
      </c>
      <c r="CN497" s="4">
        <v>27.6434</v>
      </c>
      <c r="CO497" s="4">
        <v>29.009793999999999</v>
      </c>
      <c r="CP497" s="4">
        <v>30.294229999999999</v>
      </c>
      <c r="CQ497" s="4">
        <v>0.45850000000000002</v>
      </c>
      <c r="CR497" s="4">
        <v>17.580273999999999</v>
      </c>
      <c r="CS497" s="4">
        <v>19.351281</v>
      </c>
      <c r="CT497" s="1">
        <v>23</v>
      </c>
      <c r="CU497" s="1">
        <v>544</v>
      </c>
      <c r="CV497" s="4">
        <v>130.78471099999999</v>
      </c>
      <c r="CW497" s="4">
        <v>47.809524000000003</v>
      </c>
      <c r="CX497" s="4">
        <v>111.91237599999999</v>
      </c>
      <c r="CY497" s="4">
        <v>12524.37984</v>
      </c>
      <c r="CZ497" s="4">
        <v>0.85569899999999999</v>
      </c>
      <c r="DA497" s="4">
        <v>109</v>
      </c>
      <c r="DB497" s="4">
        <v>1.727042</v>
      </c>
      <c r="DC497" s="4">
        <v>5.4381890000000004</v>
      </c>
      <c r="DD497" s="4">
        <v>82.246854999999996</v>
      </c>
      <c r="DE497" s="4">
        <v>130.78471099999999</v>
      </c>
      <c r="DF497" s="4">
        <v>55.408332999999999</v>
      </c>
      <c r="DG497" s="4">
        <v>21.227502999999999</v>
      </c>
      <c r="DH497" s="4">
        <v>10.311437</v>
      </c>
      <c r="DI497" s="4">
        <v>0.42366100000000001</v>
      </c>
      <c r="DJ497" s="4">
        <v>0.38311000000000001</v>
      </c>
      <c r="DK497" s="4">
        <v>0.18609899999999999</v>
      </c>
      <c r="DL497" s="4">
        <v>26</v>
      </c>
      <c r="DM497" s="4">
        <v>33</v>
      </c>
      <c r="DN497" s="4">
        <v>37</v>
      </c>
      <c r="DO497" s="4">
        <v>48</v>
      </c>
      <c r="DP497" s="4">
        <v>53</v>
      </c>
      <c r="DQ497" s="4">
        <v>60</v>
      </c>
      <c r="DR497" s="4">
        <v>73</v>
      </c>
      <c r="DS497" s="4">
        <v>91</v>
      </c>
      <c r="DT497" s="4">
        <v>116</v>
      </c>
      <c r="DU497" s="4">
        <v>148</v>
      </c>
      <c r="DV497" s="4">
        <v>162</v>
      </c>
      <c r="DW497" s="4">
        <v>182.800049</v>
      </c>
      <c r="DX497" s="4">
        <v>307.90002399999997</v>
      </c>
      <c r="DY497" s="4">
        <v>417.949951</v>
      </c>
      <c r="DZ497" s="4">
        <v>499.37988300000001</v>
      </c>
      <c r="EA497" s="4">
        <v>84.247539000000003</v>
      </c>
      <c r="EB497" s="4">
        <v>72.542901999999998</v>
      </c>
      <c r="EC497" s="4">
        <v>130.80168800000001</v>
      </c>
      <c r="ED497" s="4">
        <v>599</v>
      </c>
      <c r="EE497" s="4">
        <v>930</v>
      </c>
      <c r="EF497" s="4">
        <v>70.182840999999996</v>
      </c>
      <c r="EG497" s="4">
        <v>99.859352999999999</v>
      </c>
      <c r="EH497" s="4">
        <v>56.396256000000001</v>
      </c>
      <c r="EI497" s="4">
        <v>99.453978000000006</v>
      </c>
      <c r="EJ497" s="4">
        <v>101.687764</v>
      </c>
      <c r="EK497" s="4">
        <v>179.324895</v>
      </c>
      <c r="EL497" s="4">
        <v>499</v>
      </c>
      <c r="EM497" s="4">
        <v>710</v>
      </c>
      <c r="EN497" s="4">
        <v>723</v>
      </c>
      <c r="EO497" s="4">
        <v>1275</v>
      </c>
      <c r="EP497" s="4">
        <v>711</v>
      </c>
      <c r="EQ497" s="4">
        <v>1282</v>
      </c>
      <c r="ER497" s="4">
        <v>45.831684000000003</v>
      </c>
    </row>
    <row r="498" spans="1:148" x14ac:dyDescent="0.2">
      <c r="A498" s="1">
        <v>2025</v>
      </c>
      <c r="B498" s="1" t="str">
        <f t="shared" si="14"/>
        <v>RD</v>
      </c>
      <c r="C498" s="1" t="s">
        <v>1894</v>
      </c>
      <c r="D498" s="1" t="s">
        <v>1894</v>
      </c>
      <c r="E498" s="1">
        <v>26286</v>
      </c>
      <c r="F498" s="1" t="s">
        <v>2263</v>
      </c>
      <c r="G498" s="1" t="s">
        <v>1228</v>
      </c>
      <c r="H498" s="1" t="s">
        <v>1999</v>
      </c>
      <c r="I498" s="1">
        <v>55.98</v>
      </c>
      <c r="J498" s="1">
        <v>55.98</v>
      </c>
      <c r="K498" s="1" t="s">
        <v>249</v>
      </c>
      <c r="L498" s="1">
        <v>1</v>
      </c>
      <c r="M498" s="3">
        <v>2018</v>
      </c>
      <c r="O498" s="1">
        <v>2</v>
      </c>
      <c r="P498" s="1" t="str">
        <f t="shared" si="15"/>
        <v>Talhadia</v>
      </c>
      <c r="Q498" s="2">
        <v>43178</v>
      </c>
      <c r="R498" s="1" t="s">
        <v>746</v>
      </c>
      <c r="S498" s="1" t="s">
        <v>619</v>
      </c>
      <c r="T498" s="1" t="s">
        <v>2268</v>
      </c>
      <c r="U498" s="1" t="s">
        <v>212</v>
      </c>
      <c r="V498" s="1" t="s">
        <v>152</v>
      </c>
      <c r="W498" s="2">
        <v>44841</v>
      </c>
      <c r="X498" s="1" t="s">
        <v>1230</v>
      </c>
      <c r="Y498" s="1">
        <v>145.61000000000001</v>
      </c>
      <c r="Z498" s="1">
        <v>19.399999999999999</v>
      </c>
      <c r="AA498" s="1">
        <v>20</v>
      </c>
      <c r="AB498" s="1">
        <v>14.8</v>
      </c>
      <c r="AC498" s="1">
        <v>3</v>
      </c>
      <c r="AD498" s="3">
        <v>287.12</v>
      </c>
      <c r="AE498" s="3">
        <v>269.43478752768601</v>
      </c>
      <c r="AF498" s="2">
        <v>45769</v>
      </c>
      <c r="AG498" s="1">
        <v>85</v>
      </c>
      <c r="AH498" s="3">
        <v>7.0937713894592704</v>
      </c>
      <c r="AI498" s="4">
        <v>23.530855293273</v>
      </c>
      <c r="AJ498" s="4">
        <v>14.7896551724138</v>
      </c>
      <c r="AK498" s="4">
        <v>19.369108432322601</v>
      </c>
      <c r="AL498" s="1">
        <v>29</v>
      </c>
      <c r="AM498" s="5">
        <v>1076.3272354732601</v>
      </c>
      <c r="AN498" s="4">
        <v>214.19848570597901</v>
      </c>
      <c r="AO498" s="4">
        <v>0.19900870167221599</v>
      </c>
      <c r="AP498" s="1" t="s">
        <v>619</v>
      </c>
      <c r="AQ498" s="1" t="s">
        <v>254</v>
      </c>
      <c r="AR498" s="1" t="s">
        <v>164</v>
      </c>
      <c r="AS498" s="1">
        <v>7.5</v>
      </c>
      <c r="AT498" s="4">
        <v>0.80724542660494514</v>
      </c>
      <c r="AU498" s="1" t="s">
        <v>1893</v>
      </c>
      <c r="AV498" s="1" t="s">
        <v>1894</v>
      </c>
      <c r="AW498" s="1">
        <v>959</v>
      </c>
      <c r="AX498" s="1">
        <v>508</v>
      </c>
      <c r="AY498" s="1">
        <v>318</v>
      </c>
      <c r="AZ498" s="1">
        <v>118</v>
      </c>
      <c r="BA498" s="1">
        <v>12</v>
      </c>
      <c r="BB498" s="1">
        <v>3</v>
      </c>
      <c r="BC498" s="1">
        <v>0</v>
      </c>
      <c r="BD498" s="1">
        <v>0</v>
      </c>
      <c r="BE498" s="1">
        <v>0</v>
      </c>
      <c r="BF498" s="1">
        <v>0</v>
      </c>
      <c r="BG498" s="1">
        <v>0</v>
      </c>
      <c r="BH498" s="4">
        <v>0</v>
      </c>
      <c r="BI498" s="4">
        <v>27.677999</v>
      </c>
      <c r="BJ498" s="4">
        <v>14.290113</v>
      </c>
      <c r="BK498" s="4">
        <v>0</v>
      </c>
      <c r="BL498" s="4">
        <v>9.8013870000000001</v>
      </c>
      <c r="BM498" s="4">
        <v>96.067183</v>
      </c>
      <c r="BN498" s="4">
        <v>0.685886</v>
      </c>
      <c r="BO498" s="4">
        <v>21.028001</v>
      </c>
      <c r="BP498" s="4">
        <v>-0.36708499999999999</v>
      </c>
      <c r="BQ498" s="4">
        <v>1.600338</v>
      </c>
      <c r="BR498" s="4">
        <v>8.6916600000000006</v>
      </c>
      <c r="BS498" s="4">
        <v>7.8730010000000004</v>
      </c>
      <c r="BT498" s="4">
        <v>16.948999000000001</v>
      </c>
      <c r="BU498" s="4">
        <v>14.290113</v>
      </c>
      <c r="BV498" s="4">
        <v>5.5134499999999997</v>
      </c>
      <c r="BW498" s="4">
        <v>-0.58455800000000002</v>
      </c>
      <c r="BX498" s="4">
        <v>-0.41618100000000002</v>
      </c>
      <c r="BY498" s="4">
        <v>0.38582300000000003</v>
      </c>
      <c r="BZ498" s="4">
        <v>-0.10602399999999999</v>
      </c>
      <c r="CA498" s="4">
        <v>-7.5484999999999997E-2</v>
      </c>
      <c r="CB498" s="4">
        <v>1E-3</v>
      </c>
      <c r="CC498" s="4">
        <v>6.0000000000000001E-3</v>
      </c>
      <c r="CD498" s="4">
        <v>1.4800000000000001E-2</v>
      </c>
      <c r="CE498" s="4">
        <v>6.5199999999999994E-2</v>
      </c>
      <c r="CF498" s="4">
        <v>2.2549999999999999</v>
      </c>
      <c r="CG498" s="4">
        <v>7.2362000000000002</v>
      </c>
      <c r="CH498" s="4">
        <v>13.723801</v>
      </c>
      <c r="CI498" s="4">
        <v>16.948999000000001</v>
      </c>
      <c r="CJ498" s="4">
        <v>19.936800000000002</v>
      </c>
      <c r="CK498" s="4">
        <v>21.819799</v>
      </c>
      <c r="CL498" s="4">
        <v>23.283000999999999</v>
      </c>
      <c r="CM498" s="4">
        <v>24.339400999999999</v>
      </c>
      <c r="CN498" s="4">
        <v>25.495398999999999</v>
      </c>
      <c r="CO498" s="4">
        <v>26.255797999999999</v>
      </c>
      <c r="CP498" s="4">
        <v>27.242538</v>
      </c>
      <c r="CQ498" s="4">
        <v>0.51629899999999995</v>
      </c>
      <c r="CR498" s="4">
        <v>17.32554</v>
      </c>
      <c r="CS498" s="4">
        <v>18.839829999999999</v>
      </c>
      <c r="CT498" s="1">
        <v>22</v>
      </c>
      <c r="CU498" s="1">
        <v>517</v>
      </c>
      <c r="CV498" s="4">
        <v>119.101147</v>
      </c>
      <c r="CW498" s="4">
        <v>37.714286000000001</v>
      </c>
      <c r="CX498" s="4">
        <v>97.715412999999998</v>
      </c>
      <c r="CY498" s="4">
        <v>9548.3018670000001</v>
      </c>
      <c r="CZ498" s="4">
        <v>0.82044099999999998</v>
      </c>
      <c r="DA498" s="4">
        <v>96.5</v>
      </c>
      <c r="DB498" s="4">
        <v>1.8648480000000001</v>
      </c>
      <c r="DC498" s="4">
        <v>6.3055149999999998</v>
      </c>
      <c r="DD498" s="4">
        <v>70.300342999999998</v>
      </c>
      <c r="DE498" s="4">
        <v>119.101147</v>
      </c>
      <c r="DF498" s="4">
        <v>48.010387999999999</v>
      </c>
      <c r="DG498" s="4">
        <v>18.065632000000001</v>
      </c>
      <c r="DH498" s="4">
        <v>9.5703490000000002</v>
      </c>
      <c r="DI498" s="4">
        <v>0.40310600000000002</v>
      </c>
      <c r="DJ498" s="4">
        <v>0.37628600000000001</v>
      </c>
      <c r="DK498" s="4">
        <v>0.19933899999999999</v>
      </c>
      <c r="DL498" s="4">
        <v>26.58</v>
      </c>
      <c r="DM498" s="4">
        <v>32</v>
      </c>
      <c r="DN498" s="4">
        <v>37</v>
      </c>
      <c r="DO498" s="4">
        <v>47</v>
      </c>
      <c r="DP498" s="4">
        <v>51</v>
      </c>
      <c r="DQ498" s="4">
        <v>58</v>
      </c>
      <c r="DR498" s="4">
        <v>70</v>
      </c>
      <c r="DS498" s="4">
        <v>87</v>
      </c>
      <c r="DT498" s="4">
        <v>109.799988</v>
      </c>
      <c r="DU498" s="4">
        <v>130</v>
      </c>
      <c r="DV498" s="4">
        <v>147.5</v>
      </c>
      <c r="DW498" s="4">
        <v>167.400024</v>
      </c>
      <c r="DX498" s="4">
        <v>240.400024</v>
      </c>
      <c r="DY498" s="4">
        <v>364.29992700000003</v>
      </c>
      <c r="DZ498" s="4">
        <v>455</v>
      </c>
      <c r="EA498" s="4">
        <v>87.795276000000001</v>
      </c>
      <c r="EB498" s="4">
        <v>74.556830000000005</v>
      </c>
      <c r="EC498" s="4">
        <v>140.748031</v>
      </c>
      <c r="ED498" s="4">
        <v>446</v>
      </c>
      <c r="EE498" s="4">
        <v>715</v>
      </c>
      <c r="EF498" s="4">
        <v>78.543306999999999</v>
      </c>
      <c r="EG498" s="4">
        <v>100</v>
      </c>
      <c r="EH498" s="4">
        <v>58.289884999999998</v>
      </c>
      <c r="EI498" s="4">
        <v>99.791449</v>
      </c>
      <c r="EJ498" s="4">
        <v>110.03937000000001</v>
      </c>
      <c r="EK498" s="4">
        <v>188.38582700000001</v>
      </c>
      <c r="EL498" s="4">
        <v>399</v>
      </c>
      <c r="EM498" s="4">
        <v>508</v>
      </c>
      <c r="EN498" s="4">
        <v>559</v>
      </c>
      <c r="EO498" s="4">
        <v>957</v>
      </c>
      <c r="EP498" s="4">
        <v>508</v>
      </c>
      <c r="EQ498" s="4">
        <v>959</v>
      </c>
      <c r="ER498" s="4">
        <v>51.443314000000001</v>
      </c>
    </row>
    <row r="499" spans="1:148" x14ac:dyDescent="0.2">
      <c r="A499" s="1">
        <v>2025</v>
      </c>
      <c r="B499" s="1" t="str">
        <f t="shared" si="14"/>
        <v>RD</v>
      </c>
      <c r="C499" s="1" t="s">
        <v>1896</v>
      </c>
      <c r="D499" s="1" t="s">
        <v>1896</v>
      </c>
      <c r="E499" s="1">
        <v>26287</v>
      </c>
      <c r="F499" s="1" t="s">
        <v>2263</v>
      </c>
      <c r="G499" s="1" t="s">
        <v>1228</v>
      </c>
      <c r="H499" s="1" t="s">
        <v>1999</v>
      </c>
      <c r="I499" s="1">
        <v>55.98</v>
      </c>
      <c r="J499" s="1">
        <v>55.98</v>
      </c>
      <c r="K499" s="1" t="s">
        <v>249</v>
      </c>
      <c r="L499" s="1">
        <v>1</v>
      </c>
      <c r="M499" s="3">
        <v>2018</v>
      </c>
      <c r="O499" s="1">
        <v>2</v>
      </c>
      <c r="P499" s="1" t="str">
        <f t="shared" si="15"/>
        <v>Talhadia</v>
      </c>
      <c r="Q499" s="2">
        <v>43178</v>
      </c>
      <c r="R499" s="1" t="s">
        <v>746</v>
      </c>
      <c r="S499" s="1" t="s">
        <v>619</v>
      </c>
      <c r="T499" s="1" t="s">
        <v>2268</v>
      </c>
      <c r="U499" s="1" t="s">
        <v>212</v>
      </c>
      <c r="V499" s="1" t="s">
        <v>152</v>
      </c>
      <c r="W499" s="2">
        <v>45769</v>
      </c>
      <c r="X499" s="1" t="s">
        <v>1230</v>
      </c>
      <c r="Y499" s="1">
        <v>145.61000000000001</v>
      </c>
      <c r="Z499" s="1">
        <v>20.399999999999999</v>
      </c>
      <c r="AA499" s="1">
        <v>3</v>
      </c>
      <c r="AB499" s="1">
        <v>15.2</v>
      </c>
      <c r="AC499" s="1">
        <v>3</v>
      </c>
      <c r="AD499" s="3">
        <v>310.08</v>
      </c>
      <c r="AE499" s="3">
        <v>309.230674657897</v>
      </c>
      <c r="AF499" s="2">
        <v>45769</v>
      </c>
      <c r="AG499" s="1">
        <v>85</v>
      </c>
      <c r="AH499" s="3">
        <v>7.0937713894592704</v>
      </c>
      <c r="AI499" s="4">
        <v>25.9435937010396</v>
      </c>
      <c r="AJ499" s="4">
        <v>15.8029411764706</v>
      </c>
      <c r="AK499" s="4">
        <v>23.152089414198102</v>
      </c>
      <c r="AL499" s="1">
        <v>34</v>
      </c>
      <c r="AM499" s="5">
        <v>1099.50282382607</v>
      </c>
      <c r="AN499" s="4">
        <v>292.51592018343302</v>
      </c>
      <c r="AO499" s="4">
        <v>0.26604380984264298</v>
      </c>
      <c r="AP499" s="1" t="s">
        <v>619</v>
      </c>
      <c r="AQ499" s="1" t="s">
        <v>254</v>
      </c>
      <c r="AR499" s="1" t="s">
        <v>164</v>
      </c>
      <c r="AS499" s="1">
        <v>7.5</v>
      </c>
      <c r="AT499" s="4">
        <v>0.82462711786955256</v>
      </c>
      <c r="AU499" s="1" t="s">
        <v>1895</v>
      </c>
      <c r="AV499" s="1" t="s">
        <v>1896</v>
      </c>
      <c r="AW499" s="1">
        <v>1319</v>
      </c>
      <c r="AX499" s="1">
        <v>699</v>
      </c>
      <c r="AY499" s="1">
        <v>410</v>
      </c>
      <c r="AZ499" s="1">
        <v>163</v>
      </c>
      <c r="BA499" s="1">
        <v>43</v>
      </c>
      <c r="BB499" s="1">
        <v>4</v>
      </c>
      <c r="BC499" s="1">
        <v>0</v>
      </c>
      <c r="BD499" s="1">
        <v>0</v>
      </c>
      <c r="BE499" s="1">
        <v>0</v>
      </c>
      <c r="BF499" s="1">
        <v>0</v>
      </c>
      <c r="BG499" s="1">
        <v>0</v>
      </c>
      <c r="BH499" s="4">
        <v>0</v>
      </c>
      <c r="BI499" s="4">
        <v>30.408999999999999</v>
      </c>
      <c r="BJ499" s="4">
        <v>15.825118</v>
      </c>
      <c r="BK499" s="4">
        <v>0</v>
      </c>
      <c r="BL499" s="4">
        <v>9.9088429999999992</v>
      </c>
      <c r="BM499" s="4">
        <v>98.185169000000002</v>
      </c>
      <c r="BN499" s="4">
        <v>0.62614700000000001</v>
      </c>
      <c r="BO499" s="4">
        <v>16.241</v>
      </c>
      <c r="BP499" s="4">
        <v>-0.411829</v>
      </c>
      <c r="BQ499" s="4">
        <v>1.818578</v>
      </c>
      <c r="BR499" s="4">
        <v>8.5752070000000007</v>
      </c>
      <c r="BS499" s="4">
        <v>7.5410000000000004</v>
      </c>
      <c r="BT499" s="4">
        <v>18.202000000000002</v>
      </c>
      <c r="BU499" s="4">
        <v>15.825118</v>
      </c>
      <c r="BV499" s="4">
        <v>5.6135489999999999</v>
      </c>
      <c r="BW499" s="4">
        <v>-0.64726399999999995</v>
      </c>
      <c r="BX499" s="4">
        <v>-0.149981</v>
      </c>
      <c r="BY499" s="4">
        <v>0.35472399999999998</v>
      </c>
      <c r="BZ499" s="4">
        <v>-0.115304</v>
      </c>
      <c r="CA499" s="4">
        <v>-2.6717999999999999E-2</v>
      </c>
      <c r="CB499" s="4">
        <v>1E-3</v>
      </c>
      <c r="CC499" s="4">
        <v>8.0000000000000002E-3</v>
      </c>
      <c r="CD499" s="4">
        <v>1.9E-2</v>
      </c>
      <c r="CE499" s="4">
        <v>3.5242019999999998</v>
      </c>
      <c r="CF499" s="4">
        <v>8.3699999999999992</v>
      </c>
      <c r="CG499" s="4">
        <v>10.6576</v>
      </c>
      <c r="CH499" s="4">
        <v>14.479400999999999</v>
      </c>
      <c r="CI499" s="4">
        <v>18.202000000000002</v>
      </c>
      <c r="CJ499" s="4">
        <v>20.736799000000001</v>
      </c>
      <c r="CK499" s="4">
        <v>23.322199000000001</v>
      </c>
      <c r="CL499" s="4">
        <v>24.611000000000001</v>
      </c>
      <c r="CM499" s="4">
        <v>25.713602000000002</v>
      </c>
      <c r="CN499" s="4">
        <v>27.598400000000002</v>
      </c>
      <c r="CO499" s="4">
        <v>28.468499999999999</v>
      </c>
      <c r="CP499" s="4">
        <v>29.376397999999998</v>
      </c>
      <c r="CQ499" s="4">
        <v>0.52040900000000001</v>
      </c>
      <c r="CR499" s="4">
        <v>18.669363000000001</v>
      </c>
      <c r="CS499" s="4">
        <v>20.182186999999999</v>
      </c>
      <c r="CT499" s="1">
        <v>24</v>
      </c>
      <c r="CU499" s="1">
        <v>581</v>
      </c>
      <c r="CV499" s="4">
        <v>115.802881</v>
      </c>
      <c r="CW499" s="4">
        <v>32.841270000000002</v>
      </c>
      <c r="CX499" s="4">
        <v>91.421876999999995</v>
      </c>
      <c r="CY499" s="4">
        <v>8357.9595969999991</v>
      </c>
      <c r="CZ499" s="4">
        <v>0.78946099999999997</v>
      </c>
      <c r="DA499" s="4">
        <v>96.5</v>
      </c>
      <c r="DB499" s="4">
        <v>1.801831</v>
      </c>
      <c r="DC499" s="4">
        <v>6.458081</v>
      </c>
      <c r="DD499" s="4">
        <v>67.676535000000001</v>
      </c>
      <c r="DE499" s="4">
        <v>115.802881</v>
      </c>
      <c r="DF499" s="4">
        <v>45.644731</v>
      </c>
      <c r="DG499" s="4">
        <v>16.523882</v>
      </c>
      <c r="DH499" s="4">
        <v>8.1520600000000005</v>
      </c>
      <c r="DI499" s="4">
        <v>0.39415899999999998</v>
      </c>
      <c r="DJ499" s="4">
        <v>0.36201100000000003</v>
      </c>
      <c r="DK499" s="4">
        <v>0.17859800000000001</v>
      </c>
      <c r="DL499" s="4">
        <v>27</v>
      </c>
      <c r="DM499" s="4">
        <v>32</v>
      </c>
      <c r="DN499" s="4">
        <v>37</v>
      </c>
      <c r="DO499" s="4">
        <v>47</v>
      </c>
      <c r="DP499" s="4">
        <v>52</v>
      </c>
      <c r="DQ499" s="4">
        <v>58</v>
      </c>
      <c r="DR499" s="4">
        <v>70</v>
      </c>
      <c r="DS499" s="4">
        <v>85</v>
      </c>
      <c r="DT499" s="4">
        <v>102</v>
      </c>
      <c r="DU499" s="4">
        <v>125</v>
      </c>
      <c r="DV499" s="4">
        <v>148.5</v>
      </c>
      <c r="DW499" s="4">
        <v>172</v>
      </c>
      <c r="DX499" s="4">
        <v>241.199951</v>
      </c>
      <c r="DY499" s="4">
        <v>306.09997600000003</v>
      </c>
      <c r="DZ499" s="4">
        <v>444</v>
      </c>
      <c r="EA499" s="4">
        <v>93.705292999999998</v>
      </c>
      <c r="EB499" s="4">
        <v>80.212282000000002</v>
      </c>
      <c r="EC499" s="4">
        <v>151.359084</v>
      </c>
      <c r="ED499" s="4">
        <v>655</v>
      </c>
      <c r="EE499" s="4">
        <v>1058</v>
      </c>
      <c r="EF499" s="4">
        <v>78.683834000000004</v>
      </c>
      <c r="EG499" s="4">
        <v>100</v>
      </c>
      <c r="EH499" s="4">
        <v>56.557997999999998</v>
      </c>
      <c r="EI499" s="4">
        <v>99.696740000000005</v>
      </c>
      <c r="EJ499" s="4">
        <v>106.72389099999999</v>
      </c>
      <c r="EK499" s="4">
        <v>188.12589399999999</v>
      </c>
      <c r="EL499" s="4">
        <v>550</v>
      </c>
      <c r="EM499" s="4">
        <v>699</v>
      </c>
      <c r="EN499" s="4">
        <v>746</v>
      </c>
      <c r="EO499" s="4">
        <v>1315</v>
      </c>
      <c r="EP499" s="4">
        <v>699</v>
      </c>
      <c r="EQ499" s="4">
        <v>1319</v>
      </c>
      <c r="ER499" s="4">
        <v>52.876562</v>
      </c>
    </row>
    <row r="500" spans="1:148" x14ac:dyDescent="0.2">
      <c r="A500" s="1">
        <v>2025</v>
      </c>
      <c r="B500" s="1" t="str">
        <f t="shared" si="14"/>
        <v>RD</v>
      </c>
      <c r="C500" s="1" t="s">
        <v>1898</v>
      </c>
      <c r="D500" s="1" t="s">
        <v>1898</v>
      </c>
      <c r="E500" s="1">
        <v>31085</v>
      </c>
      <c r="F500" s="1" t="s">
        <v>2263</v>
      </c>
      <c r="G500" s="1" t="s">
        <v>1228</v>
      </c>
      <c r="H500" s="1" t="s">
        <v>1999</v>
      </c>
      <c r="I500" s="1">
        <v>55.98</v>
      </c>
      <c r="J500" s="1">
        <v>55.98</v>
      </c>
      <c r="K500" s="1" t="s">
        <v>249</v>
      </c>
      <c r="L500" s="1">
        <v>1</v>
      </c>
      <c r="M500" s="3">
        <v>2018</v>
      </c>
      <c r="O500" s="1">
        <v>2</v>
      </c>
      <c r="P500" s="1" t="str">
        <f t="shared" si="15"/>
        <v>Talhadia</v>
      </c>
      <c r="Q500" s="2">
        <v>43178</v>
      </c>
      <c r="R500" s="1" t="s">
        <v>746</v>
      </c>
      <c r="S500" s="1" t="s">
        <v>619</v>
      </c>
      <c r="T500" s="1" t="s">
        <v>2268</v>
      </c>
      <c r="U500" s="1" t="s">
        <v>212</v>
      </c>
      <c r="V500" s="1" t="s">
        <v>152</v>
      </c>
      <c r="W500" s="2">
        <v>44842</v>
      </c>
      <c r="X500" s="1" t="s">
        <v>1230</v>
      </c>
      <c r="Y500" s="1">
        <v>145.61000000000001</v>
      </c>
      <c r="Z500" s="1">
        <v>21.3</v>
      </c>
      <c r="AA500" s="1">
        <v>17</v>
      </c>
      <c r="AB500" s="1">
        <v>15.3</v>
      </c>
      <c r="AC500" s="1">
        <v>0</v>
      </c>
      <c r="AD500" s="3">
        <v>325.89</v>
      </c>
      <c r="AE500" s="3">
        <v>311.65015692079402</v>
      </c>
      <c r="AF500" s="2">
        <v>45769</v>
      </c>
      <c r="AG500" s="1">
        <v>85</v>
      </c>
      <c r="AH500" s="3">
        <v>7.0937713894592704</v>
      </c>
      <c r="AI500" s="4">
        <v>23.564449487472199</v>
      </c>
      <c r="AJ500" s="4">
        <v>15.5103448275862</v>
      </c>
      <c r="AK500" s="4">
        <v>18.496678165724099</v>
      </c>
      <c r="AL500" s="1">
        <v>29</v>
      </c>
      <c r="AM500" s="5">
        <v>930.53057590374999</v>
      </c>
      <c r="AN500" s="4">
        <v>204.515847746167</v>
      </c>
      <c r="AO500" s="4">
        <v>0.21978412428579999</v>
      </c>
      <c r="AP500" s="1" t="s">
        <v>619</v>
      </c>
      <c r="AQ500" s="1" t="s">
        <v>254</v>
      </c>
      <c r="AR500" s="1" t="s">
        <v>164</v>
      </c>
      <c r="AS500" s="1">
        <v>7.5</v>
      </c>
      <c r="AT500" s="4">
        <v>0.69789793192781258</v>
      </c>
      <c r="AU500" s="1" t="s">
        <v>1897</v>
      </c>
      <c r="AV500" s="1" t="s">
        <v>1898</v>
      </c>
      <c r="AW500" s="1">
        <v>1278</v>
      </c>
      <c r="AX500" s="1">
        <v>677</v>
      </c>
      <c r="AY500" s="1">
        <v>434</v>
      </c>
      <c r="AZ500" s="1">
        <v>140</v>
      </c>
      <c r="BA500" s="1">
        <v>25</v>
      </c>
      <c r="BB500" s="1">
        <v>2</v>
      </c>
      <c r="BC500" s="1">
        <v>0</v>
      </c>
      <c r="BD500" s="1">
        <v>0</v>
      </c>
      <c r="BE500" s="1">
        <v>0</v>
      </c>
      <c r="BF500" s="1">
        <v>0</v>
      </c>
      <c r="BG500" s="1">
        <v>0</v>
      </c>
      <c r="BH500" s="4">
        <v>0</v>
      </c>
      <c r="BI500" s="4">
        <v>28.879000000000001</v>
      </c>
      <c r="BJ500" s="4">
        <v>14.113479</v>
      </c>
      <c r="BK500" s="4">
        <v>0</v>
      </c>
      <c r="BL500" s="4">
        <v>9.5219640000000005</v>
      </c>
      <c r="BM500" s="4">
        <v>90.667807999999994</v>
      </c>
      <c r="BN500" s="4">
        <v>0.67467200000000005</v>
      </c>
      <c r="BO500" s="4">
        <v>19.202499</v>
      </c>
      <c r="BP500" s="4">
        <v>-0.21307799999999999</v>
      </c>
      <c r="BQ500" s="4">
        <v>1.6595139999999999</v>
      </c>
      <c r="BR500" s="4">
        <v>8.307817</v>
      </c>
      <c r="BS500" s="4">
        <v>8.3945000000000007</v>
      </c>
      <c r="BT500" s="4">
        <v>15.9895</v>
      </c>
      <c r="BU500" s="4">
        <v>14.113479</v>
      </c>
      <c r="BV500" s="4">
        <v>5.4390140000000002</v>
      </c>
      <c r="BW500" s="4">
        <v>-0.30772500000000003</v>
      </c>
      <c r="BX500" s="4">
        <v>-0.237318</v>
      </c>
      <c r="BY500" s="4">
        <v>0.38537700000000003</v>
      </c>
      <c r="BZ500" s="4">
        <v>-5.6577000000000002E-2</v>
      </c>
      <c r="CA500" s="4">
        <v>-4.3632999999999998E-2</v>
      </c>
      <c r="CB500" s="4">
        <v>3.7699999999999999E-3</v>
      </c>
      <c r="CC500" s="4">
        <v>2.6849999999999999E-2</v>
      </c>
      <c r="CD500" s="4">
        <v>9.01E-2</v>
      </c>
      <c r="CE500" s="4">
        <v>1.7228000000000001</v>
      </c>
      <c r="CF500" s="4">
        <v>3.33</v>
      </c>
      <c r="CG500" s="4">
        <v>7.6161009999999996</v>
      </c>
      <c r="CH500" s="4">
        <v>12.510199999999999</v>
      </c>
      <c r="CI500" s="4">
        <v>15.9895</v>
      </c>
      <c r="CJ500" s="4">
        <v>18.074200000000001</v>
      </c>
      <c r="CK500" s="4">
        <v>20.623401999999999</v>
      </c>
      <c r="CL500" s="4">
        <v>22.532499000000001</v>
      </c>
      <c r="CM500" s="4">
        <v>24.411197999999999</v>
      </c>
      <c r="CN500" s="4">
        <v>26.344000000000001</v>
      </c>
      <c r="CO500" s="4">
        <v>27.018051</v>
      </c>
      <c r="CP500" s="4">
        <v>27.948858000000001</v>
      </c>
      <c r="CQ500" s="4">
        <v>0.48871100000000001</v>
      </c>
      <c r="CR500" s="4">
        <v>17.023136000000001</v>
      </c>
      <c r="CS500" s="4">
        <v>18.627423</v>
      </c>
      <c r="CT500" s="1">
        <v>19</v>
      </c>
      <c r="CU500" s="1">
        <v>505</v>
      </c>
      <c r="CV500" s="4">
        <v>108.830986</v>
      </c>
      <c r="CW500" s="4">
        <v>34.428570999999998</v>
      </c>
      <c r="CX500" s="4">
        <v>81.179873999999998</v>
      </c>
      <c r="CY500" s="4">
        <v>6590.1718819999996</v>
      </c>
      <c r="CZ500" s="4">
        <v>0.74592599999999998</v>
      </c>
      <c r="DA500" s="4">
        <v>89</v>
      </c>
      <c r="DB500" s="4">
        <v>1.928482</v>
      </c>
      <c r="DC500" s="4">
        <v>7.5122159999999996</v>
      </c>
      <c r="DD500" s="4">
        <v>59.269368999999998</v>
      </c>
      <c r="DE500" s="4">
        <v>108.830986</v>
      </c>
      <c r="DF500" s="4">
        <v>40.464351000000001</v>
      </c>
      <c r="DG500" s="4">
        <v>13.546986</v>
      </c>
      <c r="DH500" s="4">
        <v>7.1477959999999996</v>
      </c>
      <c r="DI500" s="4">
        <v>0.371809</v>
      </c>
      <c r="DJ500" s="4">
        <v>0.33478799999999997</v>
      </c>
      <c r="DK500" s="4">
        <v>0.176644</v>
      </c>
      <c r="DL500" s="4">
        <v>26</v>
      </c>
      <c r="DM500" s="4">
        <v>32.849997999999999</v>
      </c>
      <c r="DN500" s="4">
        <v>37</v>
      </c>
      <c r="DO500" s="4">
        <v>46</v>
      </c>
      <c r="DP500" s="4">
        <v>52</v>
      </c>
      <c r="DQ500" s="4">
        <v>57</v>
      </c>
      <c r="DR500" s="4">
        <v>68</v>
      </c>
      <c r="DS500" s="4">
        <v>85</v>
      </c>
      <c r="DT500" s="4">
        <v>103</v>
      </c>
      <c r="DU500" s="4">
        <v>126.900024</v>
      </c>
      <c r="DV500" s="4">
        <v>141</v>
      </c>
      <c r="DW500" s="4">
        <v>155</v>
      </c>
      <c r="DX500" s="4">
        <v>204</v>
      </c>
      <c r="DY500" s="4">
        <v>268.75012199999998</v>
      </c>
      <c r="DZ500" s="4">
        <v>422.98974600000003</v>
      </c>
      <c r="EA500" s="4">
        <v>89.217134000000001</v>
      </c>
      <c r="EB500" s="4">
        <v>75.743348999999995</v>
      </c>
      <c r="EC500" s="4">
        <v>142.98375200000001</v>
      </c>
      <c r="ED500" s="4">
        <v>604</v>
      </c>
      <c r="EE500" s="4">
        <v>968</v>
      </c>
      <c r="EF500" s="4">
        <v>76.070901000000006</v>
      </c>
      <c r="EG500" s="4">
        <v>99.852289999999996</v>
      </c>
      <c r="EH500" s="4">
        <v>55.555556000000003</v>
      </c>
      <c r="EI500" s="4">
        <v>99.843504999999993</v>
      </c>
      <c r="EJ500" s="4">
        <v>104.87444600000001</v>
      </c>
      <c r="EK500" s="4">
        <v>188.47858199999999</v>
      </c>
      <c r="EL500" s="4">
        <v>515</v>
      </c>
      <c r="EM500" s="4">
        <v>676</v>
      </c>
      <c r="EN500" s="4">
        <v>710</v>
      </c>
      <c r="EO500" s="4">
        <v>1276</v>
      </c>
      <c r="EP500" s="4">
        <v>677</v>
      </c>
      <c r="EQ500" s="4">
        <v>1278</v>
      </c>
      <c r="ER500" s="4">
        <v>49.492801</v>
      </c>
    </row>
    <row r="501" spans="1:148" x14ac:dyDescent="0.2">
      <c r="A501" s="1">
        <v>2025</v>
      </c>
      <c r="B501" s="1" t="str">
        <f t="shared" si="14"/>
        <v>RD</v>
      </c>
      <c r="C501" s="1" t="s">
        <v>1900</v>
      </c>
      <c r="D501" s="1" t="s">
        <v>1900</v>
      </c>
      <c r="E501" s="1">
        <v>24439</v>
      </c>
      <c r="F501" s="1" t="s">
        <v>2094</v>
      </c>
      <c r="G501" s="1" t="s">
        <v>774</v>
      </c>
      <c r="H501" s="1" t="s">
        <v>775</v>
      </c>
      <c r="I501" s="1">
        <v>43.26</v>
      </c>
      <c r="J501" s="1">
        <v>43.26</v>
      </c>
      <c r="K501" s="1" t="s">
        <v>249</v>
      </c>
      <c r="L501" s="1">
        <v>1</v>
      </c>
      <c r="M501" s="3">
        <v>2016</v>
      </c>
      <c r="O501" s="1">
        <v>1</v>
      </c>
      <c r="P501" s="1" t="str">
        <f t="shared" si="15"/>
        <v>Alto fuste</v>
      </c>
      <c r="Q501" s="2">
        <v>42732</v>
      </c>
      <c r="R501" s="1" t="s">
        <v>227</v>
      </c>
      <c r="S501" s="1" t="s">
        <v>238</v>
      </c>
      <c r="T501" s="1" t="s">
        <v>2268</v>
      </c>
      <c r="U501" s="1" t="s">
        <v>212</v>
      </c>
      <c r="V501" s="1" t="s">
        <v>152</v>
      </c>
      <c r="W501" s="2">
        <v>45769</v>
      </c>
      <c r="X501" s="1" t="s">
        <v>776</v>
      </c>
      <c r="Y501" s="1">
        <v>45.099999999999994</v>
      </c>
      <c r="Z501" s="1">
        <v>20</v>
      </c>
      <c r="AA501" s="1">
        <v>14</v>
      </c>
      <c r="AB501" s="1">
        <v>15.2</v>
      </c>
      <c r="AC501" s="1">
        <v>2</v>
      </c>
      <c r="AD501" s="3">
        <v>304</v>
      </c>
      <c r="AE501" s="3">
        <v>294.79021309416299</v>
      </c>
      <c r="AF501" s="2">
        <v>45769</v>
      </c>
      <c r="AG501" s="1">
        <v>100</v>
      </c>
      <c r="AH501" s="3">
        <v>8.3148528405201905</v>
      </c>
      <c r="AI501" s="4">
        <v>24.450518254935002</v>
      </c>
      <c r="AJ501" s="4">
        <v>15.258536585365899</v>
      </c>
      <c r="AK501" s="4">
        <v>26.200772144012898</v>
      </c>
      <c r="AL501" s="1">
        <v>41</v>
      </c>
      <c r="AM501" s="5">
        <v>1390.81957876613</v>
      </c>
      <c r="AN501" s="4">
        <v>308.03144837192099</v>
      </c>
      <c r="AO501" s="4">
        <v>0.221474771476249</v>
      </c>
      <c r="AP501" s="1" t="s">
        <v>238</v>
      </c>
      <c r="AQ501" s="1" t="s">
        <v>156</v>
      </c>
      <c r="AR501" s="1" t="s">
        <v>164</v>
      </c>
      <c r="AS501" s="1">
        <v>7.5</v>
      </c>
      <c r="AT501" s="4">
        <v>1.0431146840745975</v>
      </c>
      <c r="AU501" s="1" t="s">
        <v>1899</v>
      </c>
      <c r="AV501" s="1" t="s">
        <v>1900</v>
      </c>
      <c r="AW501" s="1">
        <v>1248</v>
      </c>
      <c r="AX501" s="1">
        <v>740</v>
      </c>
      <c r="AY501" s="1">
        <v>360</v>
      </c>
      <c r="AZ501" s="1">
        <v>127</v>
      </c>
      <c r="BA501" s="1">
        <v>17</v>
      </c>
      <c r="BB501" s="1">
        <v>4</v>
      </c>
      <c r="BC501" s="1">
        <v>0</v>
      </c>
      <c r="BD501" s="1">
        <v>0</v>
      </c>
      <c r="BE501" s="1">
        <v>0</v>
      </c>
      <c r="BF501" s="1">
        <v>0</v>
      </c>
      <c r="BG501" s="1">
        <v>0</v>
      </c>
      <c r="BH501" s="4">
        <v>0</v>
      </c>
      <c r="BI501" s="4">
        <v>25.740998999999999</v>
      </c>
      <c r="BJ501" s="4">
        <v>16.919868000000001</v>
      </c>
      <c r="BK501" s="4">
        <v>0</v>
      </c>
      <c r="BL501" s="4">
        <v>8.8489430000000002</v>
      </c>
      <c r="BM501" s="4">
        <v>78.303787999999997</v>
      </c>
      <c r="BN501" s="4">
        <v>0.52299099999999998</v>
      </c>
      <c r="BO501" s="4">
        <v>9.7437500000000004</v>
      </c>
      <c r="BP501" s="4">
        <v>-1.1410039999999999</v>
      </c>
      <c r="BQ501" s="4">
        <v>2.606579</v>
      </c>
      <c r="BR501" s="4">
        <v>7.3939490000000001</v>
      </c>
      <c r="BS501" s="4">
        <v>1.4904999999999999</v>
      </c>
      <c r="BT501" s="4">
        <v>21.983499999999999</v>
      </c>
      <c r="BU501" s="4">
        <v>16.919868000000001</v>
      </c>
      <c r="BV501" s="4">
        <v>4.3948219999999996</v>
      </c>
      <c r="BW501" s="4">
        <v>-1.7383090000000001</v>
      </c>
      <c r="BX501" s="4">
        <v>0.25334699999999999</v>
      </c>
      <c r="BY501" s="4">
        <v>0.259743</v>
      </c>
      <c r="BZ501" s="4">
        <v>-0.395536</v>
      </c>
      <c r="CA501" s="4">
        <v>5.7646999999999997E-2</v>
      </c>
      <c r="CB501" s="4">
        <v>3.0000000000000001E-3</v>
      </c>
      <c r="CC501" s="4">
        <v>1.2E-2</v>
      </c>
      <c r="CD501" s="4">
        <v>2.5000000000000001E-2</v>
      </c>
      <c r="CE501" s="4">
        <v>6.9791980000000002</v>
      </c>
      <c r="CF501" s="4">
        <v>13.138500000000001</v>
      </c>
      <c r="CG501" s="4">
        <v>16.862701000000001</v>
      </c>
      <c r="CH501" s="4">
        <v>20.842400000000001</v>
      </c>
      <c r="CI501" s="4">
        <v>21.983499999999999</v>
      </c>
      <c r="CJ501" s="4">
        <v>22.404199999999999</v>
      </c>
      <c r="CK501" s="4">
        <v>22.714901000000001</v>
      </c>
      <c r="CL501" s="4">
        <v>22.882249999999999</v>
      </c>
      <c r="CM501" s="4">
        <v>23.073999000000001</v>
      </c>
      <c r="CN501" s="4">
        <v>23.517299999999999</v>
      </c>
      <c r="CO501" s="4">
        <v>23.887948999999999</v>
      </c>
      <c r="CP501" s="4">
        <v>24.960529000000001</v>
      </c>
      <c r="CQ501" s="4">
        <v>0.65731200000000001</v>
      </c>
      <c r="CR501" s="4">
        <v>19.092485</v>
      </c>
      <c r="CS501" s="4">
        <v>20.021106</v>
      </c>
      <c r="CT501" s="1">
        <v>23</v>
      </c>
      <c r="CU501" s="1">
        <v>410</v>
      </c>
      <c r="CV501" s="4">
        <v>137.89583300000001</v>
      </c>
      <c r="CW501" s="4">
        <v>41.428570999999998</v>
      </c>
      <c r="CX501" s="4">
        <v>88.692943</v>
      </c>
      <c r="CY501" s="4">
        <v>7866.4382180000002</v>
      </c>
      <c r="CZ501" s="4">
        <v>0.64318799999999998</v>
      </c>
      <c r="DA501" s="4">
        <v>152</v>
      </c>
      <c r="DB501" s="4">
        <v>0.53073300000000001</v>
      </c>
      <c r="DC501" s="4">
        <v>2.1770079999999998</v>
      </c>
      <c r="DD501" s="4">
        <v>77.077724000000003</v>
      </c>
      <c r="DE501" s="4">
        <v>137.89583300000001</v>
      </c>
      <c r="DF501" s="4">
        <v>50.104123999999999</v>
      </c>
      <c r="DG501" s="4">
        <v>7.6705240000000003</v>
      </c>
      <c r="DH501" s="4">
        <v>-7.6922000000000004E-2</v>
      </c>
      <c r="DI501" s="4">
        <v>0.363348</v>
      </c>
      <c r="DJ501" s="4">
        <v>0.15309200000000001</v>
      </c>
      <c r="DK501" s="4">
        <v>-1.5349999999999999E-3</v>
      </c>
      <c r="DL501" s="4">
        <v>26</v>
      </c>
      <c r="DM501" s="4">
        <v>31</v>
      </c>
      <c r="DN501" s="4">
        <v>37.699997000000003</v>
      </c>
      <c r="DO501" s="4">
        <v>49</v>
      </c>
      <c r="DP501" s="4">
        <v>57</v>
      </c>
      <c r="DQ501" s="4">
        <v>64.100005999999993</v>
      </c>
      <c r="DR501" s="4">
        <v>88</v>
      </c>
      <c r="DS501" s="4">
        <v>119</v>
      </c>
      <c r="DT501" s="4">
        <v>158</v>
      </c>
      <c r="DU501" s="4">
        <v>194</v>
      </c>
      <c r="DV501" s="4">
        <v>209</v>
      </c>
      <c r="DW501" s="4">
        <v>228</v>
      </c>
      <c r="DX501" s="4">
        <v>265</v>
      </c>
      <c r="DY501" s="4">
        <v>294</v>
      </c>
      <c r="DZ501" s="4">
        <v>342.65014600000001</v>
      </c>
      <c r="EA501" s="4">
        <v>99.459458999999995</v>
      </c>
      <c r="EB501" s="4">
        <v>81.330128000000002</v>
      </c>
      <c r="EC501" s="4">
        <v>137.162162</v>
      </c>
      <c r="ED501" s="4">
        <v>736</v>
      </c>
      <c r="EE501" s="4">
        <v>1015</v>
      </c>
      <c r="EF501" s="4">
        <v>96.756756999999993</v>
      </c>
      <c r="EG501" s="4">
        <v>100</v>
      </c>
      <c r="EH501" s="4">
        <v>69.791667000000004</v>
      </c>
      <c r="EI501" s="4">
        <v>99.919871999999998</v>
      </c>
      <c r="EJ501" s="4">
        <v>117.702703</v>
      </c>
      <c r="EK501" s="4">
        <v>168.51351399999999</v>
      </c>
      <c r="EL501" s="4">
        <v>716</v>
      </c>
      <c r="EM501" s="4">
        <v>740</v>
      </c>
      <c r="EN501" s="4">
        <v>871</v>
      </c>
      <c r="EO501" s="4">
        <v>1247</v>
      </c>
      <c r="EP501" s="4">
        <v>740</v>
      </c>
      <c r="EQ501" s="4">
        <v>1248</v>
      </c>
      <c r="ER501" s="4">
        <v>66.777816999999999</v>
      </c>
    </row>
    <row r="502" spans="1:148" x14ac:dyDescent="0.2">
      <c r="A502" s="1">
        <v>2025</v>
      </c>
      <c r="B502" s="1" t="str">
        <f t="shared" si="14"/>
        <v>RD</v>
      </c>
      <c r="C502" s="1" t="s">
        <v>1902</v>
      </c>
      <c r="D502" s="1" t="s">
        <v>1902</v>
      </c>
      <c r="E502" s="1">
        <v>24440</v>
      </c>
      <c r="F502" s="1" t="s">
        <v>2094</v>
      </c>
      <c r="G502" s="1" t="s">
        <v>774</v>
      </c>
      <c r="H502" s="1" t="s">
        <v>775</v>
      </c>
      <c r="I502" s="1">
        <v>43.26</v>
      </c>
      <c r="J502" s="1">
        <v>43.26</v>
      </c>
      <c r="K502" s="1" t="s">
        <v>249</v>
      </c>
      <c r="L502" s="1">
        <v>1</v>
      </c>
      <c r="M502" s="3">
        <v>2016</v>
      </c>
      <c r="O502" s="1">
        <v>1</v>
      </c>
      <c r="P502" s="1" t="str">
        <f t="shared" si="15"/>
        <v>Alto fuste</v>
      </c>
      <c r="Q502" s="2">
        <v>42732</v>
      </c>
      <c r="R502" s="1" t="s">
        <v>227</v>
      </c>
      <c r="S502" s="1" t="s">
        <v>238</v>
      </c>
      <c r="T502" s="1" t="s">
        <v>2268</v>
      </c>
      <c r="U502" s="1" t="s">
        <v>212</v>
      </c>
      <c r="V502" s="1" t="s">
        <v>152</v>
      </c>
      <c r="W502" s="2">
        <v>44843</v>
      </c>
      <c r="X502" s="1" t="s">
        <v>776</v>
      </c>
      <c r="Y502" s="1">
        <v>45.099999999999994</v>
      </c>
      <c r="Z502" s="1">
        <v>20.399999999999999</v>
      </c>
      <c r="AA502" s="1">
        <v>17</v>
      </c>
      <c r="AB502" s="1">
        <v>15.2</v>
      </c>
      <c r="AC502" s="1">
        <v>1</v>
      </c>
      <c r="AD502" s="3">
        <v>310.08</v>
      </c>
      <c r="AE502" s="3">
        <v>296.48581562467803</v>
      </c>
      <c r="AF502" s="2">
        <v>45769</v>
      </c>
      <c r="AG502" s="1">
        <v>100</v>
      </c>
      <c r="AH502" s="3">
        <v>8.3148528405201905</v>
      </c>
      <c r="AI502" s="4">
        <v>24.321443640886599</v>
      </c>
      <c r="AJ502" s="4">
        <v>14.423809523809499</v>
      </c>
      <c r="AK502" s="4">
        <v>24.073592132439799</v>
      </c>
      <c r="AL502" s="1">
        <v>42</v>
      </c>
      <c r="AM502" s="5">
        <v>1416.5939072501201</v>
      </c>
      <c r="AN502" s="4">
        <v>289.02246024183199</v>
      </c>
      <c r="AO502" s="4">
        <v>0.20402633299678699</v>
      </c>
      <c r="AP502" s="1" t="s">
        <v>238</v>
      </c>
      <c r="AQ502" s="1" t="s">
        <v>156</v>
      </c>
      <c r="AR502" s="1" t="s">
        <v>164</v>
      </c>
      <c r="AS502" s="1">
        <v>7.5</v>
      </c>
      <c r="AT502" s="4">
        <v>1.0624454304375901</v>
      </c>
      <c r="AU502" s="1" t="s">
        <v>1901</v>
      </c>
      <c r="AV502" s="1" t="s">
        <v>1902</v>
      </c>
      <c r="AW502" s="1">
        <v>1145</v>
      </c>
      <c r="AX502" s="1">
        <v>780</v>
      </c>
      <c r="AY502" s="1">
        <v>286</v>
      </c>
      <c r="AZ502" s="1">
        <v>73</v>
      </c>
      <c r="BA502" s="1">
        <v>6</v>
      </c>
      <c r="BB502" s="1">
        <v>0</v>
      </c>
      <c r="BC502" s="1">
        <v>0</v>
      </c>
      <c r="BD502" s="1">
        <v>0</v>
      </c>
      <c r="BE502" s="1">
        <v>0</v>
      </c>
      <c r="BF502" s="1">
        <v>0</v>
      </c>
      <c r="BG502" s="1">
        <v>0</v>
      </c>
      <c r="BH502" s="4">
        <v>0</v>
      </c>
      <c r="BI502" s="4">
        <v>26.059999000000001</v>
      </c>
      <c r="BJ502" s="4">
        <v>17.706652999999999</v>
      </c>
      <c r="BK502" s="4">
        <v>0</v>
      </c>
      <c r="BL502" s="4">
        <v>8.6969340000000006</v>
      </c>
      <c r="BM502" s="4">
        <v>75.636662000000001</v>
      </c>
      <c r="BN502" s="4">
        <v>0.49116799999999999</v>
      </c>
      <c r="BO502" s="4">
        <v>3.5300009999999999</v>
      </c>
      <c r="BP502" s="4">
        <v>-1.414766</v>
      </c>
      <c r="BQ502" s="4">
        <v>3.2080869999999999</v>
      </c>
      <c r="BR502" s="4">
        <v>6.8740439999999996</v>
      </c>
      <c r="BS502" s="4">
        <v>1.2520009999999999</v>
      </c>
      <c r="BT502" s="4">
        <v>21.636998999999999</v>
      </c>
      <c r="BU502" s="4">
        <v>17.706652999999999</v>
      </c>
      <c r="BV502" s="4">
        <v>4.0313369999999997</v>
      </c>
      <c r="BW502" s="4">
        <v>-1.778591</v>
      </c>
      <c r="BX502" s="4">
        <v>0.65693000000000001</v>
      </c>
      <c r="BY502" s="4">
        <v>0.22767399999999999</v>
      </c>
      <c r="BZ502" s="4">
        <v>-0.441191</v>
      </c>
      <c r="CA502" s="4">
        <v>0.16295599999999999</v>
      </c>
      <c r="CB502" s="4">
        <v>1.4400000000000001E-3</v>
      </c>
      <c r="CC502" s="4">
        <v>1.0999999999999999E-2</v>
      </c>
      <c r="CD502" s="4">
        <v>2.5000000000000001E-2</v>
      </c>
      <c r="CE502" s="4">
        <v>12.651</v>
      </c>
      <c r="CF502" s="4">
        <v>19.100999999999999</v>
      </c>
      <c r="CG502" s="4">
        <v>20.391000999999999</v>
      </c>
      <c r="CH502" s="4">
        <v>21.167200000000001</v>
      </c>
      <c r="CI502" s="4">
        <v>21.636998999999999</v>
      </c>
      <c r="CJ502" s="4">
        <v>21.990400000000001</v>
      </c>
      <c r="CK502" s="4">
        <v>22.405000999999999</v>
      </c>
      <c r="CL502" s="4">
        <v>22.631001000000001</v>
      </c>
      <c r="CM502" s="4">
        <v>22.889399999999998</v>
      </c>
      <c r="CN502" s="4">
        <v>23.950600000000001</v>
      </c>
      <c r="CO502" s="4">
        <v>24.434000000000001</v>
      </c>
      <c r="CP502" s="4">
        <v>25.678162</v>
      </c>
      <c r="CQ502" s="4">
        <v>0.67945699999999998</v>
      </c>
      <c r="CR502" s="4">
        <v>19.725521000000001</v>
      </c>
      <c r="CS502" s="4">
        <v>20.516511000000001</v>
      </c>
      <c r="CT502" s="1">
        <v>19</v>
      </c>
      <c r="CU502" s="1">
        <v>381</v>
      </c>
      <c r="CV502" s="4">
        <v>136.12663800000001</v>
      </c>
      <c r="CW502" s="4">
        <v>47.730159</v>
      </c>
      <c r="CX502" s="4">
        <v>78.437742999999998</v>
      </c>
      <c r="CY502" s="4">
        <v>6152.4795780000004</v>
      </c>
      <c r="CZ502" s="4">
        <v>0.57621199999999995</v>
      </c>
      <c r="DA502" s="4">
        <v>138</v>
      </c>
      <c r="DB502" s="4">
        <v>0.411885</v>
      </c>
      <c r="DC502" s="4">
        <v>2.18398</v>
      </c>
      <c r="DD502" s="4">
        <v>67.595195000000004</v>
      </c>
      <c r="DE502" s="4">
        <v>136.12663800000001</v>
      </c>
      <c r="DF502" s="4">
        <v>44.684049000000002</v>
      </c>
      <c r="DG502" s="4">
        <v>4.7430690000000002</v>
      </c>
      <c r="DH502" s="4">
        <v>0.27506399999999998</v>
      </c>
      <c r="DI502" s="4">
        <v>0.32825399999999999</v>
      </c>
      <c r="DJ502" s="4">
        <v>0.10614700000000001</v>
      </c>
      <c r="DK502" s="4">
        <v>6.156E-3</v>
      </c>
      <c r="DL502" s="4">
        <v>27</v>
      </c>
      <c r="DM502" s="4">
        <v>35</v>
      </c>
      <c r="DN502" s="4">
        <v>41</v>
      </c>
      <c r="DO502" s="4">
        <v>54.800002999999997</v>
      </c>
      <c r="DP502" s="4">
        <v>64</v>
      </c>
      <c r="DQ502" s="4">
        <v>72</v>
      </c>
      <c r="DR502" s="4">
        <v>100.200012</v>
      </c>
      <c r="DS502" s="4">
        <v>128</v>
      </c>
      <c r="DT502" s="4">
        <v>156</v>
      </c>
      <c r="DU502" s="4">
        <v>185</v>
      </c>
      <c r="DV502" s="4">
        <v>202</v>
      </c>
      <c r="DW502" s="4">
        <v>213.20001199999999</v>
      </c>
      <c r="DX502" s="4">
        <v>243.599976</v>
      </c>
      <c r="DY502" s="4">
        <v>267.800049</v>
      </c>
      <c r="DZ502" s="4">
        <v>315.68017600000002</v>
      </c>
      <c r="EA502" s="4">
        <v>98.717949000000004</v>
      </c>
      <c r="EB502" s="4">
        <v>82.008734000000004</v>
      </c>
      <c r="EC502" s="4">
        <v>120.384615</v>
      </c>
      <c r="ED502" s="4">
        <v>770</v>
      </c>
      <c r="EE502" s="4">
        <v>939</v>
      </c>
      <c r="EF502" s="4">
        <v>97.051282</v>
      </c>
      <c r="EG502" s="4">
        <v>100</v>
      </c>
      <c r="EH502" s="4">
        <v>77.641920999999996</v>
      </c>
      <c r="EI502" s="4">
        <v>99.563319000000007</v>
      </c>
      <c r="EJ502" s="4">
        <v>113.97435900000001</v>
      </c>
      <c r="EK502" s="4">
        <v>146.15384599999999</v>
      </c>
      <c r="EL502" s="4">
        <v>757</v>
      </c>
      <c r="EM502" s="4">
        <v>780</v>
      </c>
      <c r="EN502" s="4">
        <v>889</v>
      </c>
      <c r="EO502" s="4">
        <v>1140</v>
      </c>
      <c r="EP502" s="4">
        <v>780</v>
      </c>
      <c r="EQ502" s="4">
        <v>1145</v>
      </c>
      <c r="ER502" s="4">
        <v>67.919116000000002</v>
      </c>
    </row>
    <row r="503" spans="1:148" x14ac:dyDescent="0.2">
      <c r="A503" s="1">
        <v>2025</v>
      </c>
      <c r="B503" s="1" t="str">
        <f t="shared" si="14"/>
        <v>RD</v>
      </c>
      <c r="C503" s="1" t="s">
        <v>1904</v>
      </c>
      <c r="D503" s="1" t="s">
        <v>1904</v>
      </c>
      <c r="E503" s="1">
        <v>24441</v>
      </c>
      <c r="F503" s="1" t="s">
        <v>2094</v>
      </c>
      <c r="G503" s="1" t="s">
        <v>774</v>
      </c>
      <c r="H503" s="1" t="s">
        <v>775</v>
      </c>
      <c r="I503" s="1">
        <v>43.26</v>
      </c>
      <c r="J503" s="1">
        <v>43.26</v>
      </c>
      <c r="K503" s="1" t="s">
        <v>249</v>
      </c>
      <c r="L503" s="1">
        <v>1</v>
      </c>
      <c r="M503" s="3">
        <v>2016</v>
      </c>
      <c r="O503" s="1">
        <v>1</v>
      </c>
      <c r="P503" s="1" t="str">
        <f t="shared" si="15"/>
        <v>Alto fuste</v>
      </c>
      <c r="Q503" s="2">
        <v>42732</v>
      </c>
      <c r="R503" s="1" t="s">
        <v>227</v>
      </c>
      <c r="S503" s="1" t="s">
        <v>238</v>
      </c>
      <c r="T503" s="1" t="s">
        <v>2268</v>
      </c>
      <c r="U503" s="1" t="s">
        <v>212</v>
      </c>
      <c r="V503" s="1" t="s">
        <v>152</v>
      </c>
      <c r="W503" s="2">
        <v>45769</v>
      </c>
      <c r="X503" s="1" t="s">
        <v>776</v>
      </c>
      <c r="Y503" s="1">
        <v>45.099999999999994</v>
      </c>
      <c r="Z503" s="1">
        <v>18.399999999999999</v>
      </c>
      <c r="AA503" s="1">
        <v>13</v>
      </c>
      <c r="AB503" s="1">
        <v>14.8</v>
      </c>
      <c r="AC503" s="1">
        <v>1</v>
      </c>
      <c r="AD503" s="3">
        <v>272.32</v>
      </c>
      <c r="AE503" s="3">
        <v>265.300043405655</v>
      </c>
      <c r="AF503" s="2">
        <v>45769</v>
      </c>
      <c r="AG503" s="1">
        <v>100</v>
      </c>
      <c r="AH503" s="3">
        <v>8.3148528405201905</v>
      </c>
      <c r="AI503" s="4">
        <v>25.401118024836499</v>
      </c>
      <c r="AJ503" s="4">
        <v>14.6777777777778</v>
      </c>
      <c r="AK503" s="4">
        <v>24.116959608658298</v>
      </c>
      <c r="AL503" s="1">
        <v>36</v>
      </c>
      <c r="AM503" s="5">
        <v>1356.9541692443099</v>
      </c>
      <c r="AN503" s="4">
        <v>309.555626816374</v>
      </c>
      <c r="AO503" s="4">
        <v>0.22812533675235699</v>
      </c>
      <c r="AP503" s="1" t="s">
        <v>238</v>
      </c>
      <c r="AQ503" s="1" t="s">
        <v>156</v>
      </c>
      <c r="AR503" s="1" t="s">
        <v>164</v>
      </c>
      <c r="AS503" s="1">
        <v>7.5</v>
      </c>
      <c r="AT503" s="4">
        <v>1.0177156269332326</v>
      </c>
      <c r="AU503" s="1" t="s">
        <v>1903</v>
      </c>
      <c r="AV503" s="1" t="s">
        <v>1904</v>
      </c>
      <c r="AW503" s="1">
        <v>1099</v>
      </c>
      <c r="AX503" s="1">
        <v>653</v>
      </c>
      <c r="AY503" s="1">
        <v>336</v>
      </c>
      <c r="AZ503" s="1">
        <v>99</v>
      </c>
      <c r="BA503" s="1">
        <v>10</v>
      </c>
      <c r="BB503" s="1">
        <v>1</v>
      </c>
      <c r="BC503" s="1">
        <v>0</v>
      </c>
      <c r="BD503" s="1">
        <v>0</v>
      </c>
      <c r="BE503" s="1">
        <v>0</v>
      </c>
      <c r="BF503" s="1">
        <v>0</v>
      </c>
      <c r="BG503" s="1">
        <v>0</v>
      </c>
      <c r="BH503" s="4">
        <v>0</v>
      </c>
      <c r="BI503" s="4">
        <v>28.891000999999999</v>
      </c>
      <c r="BJ503" s="4">
        <v>18.254709999999999</v>
      </c>
      <c r="BK503" s="4">
        <v>0</v>
      </c>
      <c r="BL503" s="4">
        <v>7.6207700000000003</v>
      </c>
      <c r="BM503" s="4">
        <v>58.076143000000002</v>
      </c>
      <c r="BN503" s="4">
        <v>0.41746899999999998</v>
      </c>
      <c r="BO503" s="4">
        <v>6.6565000000000003</v>
      </c>
      <c r="BP503" s="4">
        <v>-1.424995</v>
      </c>
      <c r="BQ503" s="4">
        <v>3.9434800000000001</v>
      </c>
      <c r="BR503" s="4">
        <v>5.7241020000000002</v>
      </c>
      <c r="BS503" s="4">
        <v>2.4870009999999998</v>
      </c>
      <c r="BT503" s="4">
        <v>21.361999999999998</v>
      </c>
      <c r="BU503" s="4">
        <v>18.254709999999999</v>
      </c>
      <c r="BV503" s="4">
        <v>3.8283710000000002</v>
      </c>
      <c r="BW503" s="4">
        <v>-1.3546260000000001</v>
      </c>
      <c r="BX503" s="4">
        <v>0.67655299999999996</v>
      </c>
      <c r="BY503" s="4">
        <v>0.20971999999999999</v>
      </c>
      <c r="BZ503" s="4">
        <v>-0.35383900000000001</v>
      </c>
      <c r="CA503" s="4">
        <v>0.17672099999999999</v>
      </c>
      <c r="CB503" s="4">
        <v>8.9599999999999992E-3</v>
      </c>
      <c r="CC503" s="4">
        <v>6.7799999999999999E-2</v>
      </c>
      <c r="CD503" s="4">
        <v>0.73160000000000003</v>
      </c>
      <c r="CE503" s="4">
        <v>14.523</v>
      </c>
      <c r="CF503" s="4">
        <v>16.459</v>
      </c>
      <c r="CG503" s="4">
        <v>17.779199999999999</v>
      </c>
      <c r="CH503" s="4">
        <v>19.5124</v>
      </c>
      <c r="CI503" s="4">
        <v>21.361999999999998</v>
      </c>
      <c r="CJ503" s="4">
        <v>22.318999999999999</v>
      </c>
      <c r="CK503" s="4">
        <v>22.842400000000001</v>
      </c>
      <c r="CL503" s="4">
        <v>23.115499</v>
      </c>
      <c r="CM503" s="4">
        <v>23.316998999999999</v>
      </c>
      <c r="CN503" s="4">
        <v>24.212199999999999</v>
      </c>
      <c r="CO503" s="4">
        <v>25.726199999999999</v>
      </c>
      <c r="CP503" s="4">
        <v>28.075980999999999</v>
      </c>
      <c r="CQ503" s="4">
        <v>0.63184799999999997</v>
      </c>
      <c r="CR503" s="4">
        <v>19.780235999999999</v>
      </c>
      <c r="CS503" s="4">
        <v>20.512249000000001</v>
      </c>
      <c r="CT503" s="1">
        <v>19</v>
      </c>
      <c r="CU503" s="1">
        <v>401</v>
      </c>
      <c r="CV503" s="4">
        <v>107.235669</v>
      </c>
      <c r="CW503" s="4">
        <v>37.190475999999997</v>
      </c>
      <c r="CX503" s="4">
        <v>62.088220999999997</v>
      </c>
      <c r="CY503" s="4">
        <v>3854.947142</v>
      </c>
      <c r="CZ503" s="4">
        <v>0.57898899999999998</v>
      </c>
      <c r="DA503" s="4">
        <v>98.5</v>
      </c>
      <c r="DB503" s="4">
        <v>0.85548299999999999</v>
      </c>
      <c r="DC503" s="4">
        <v>3.5561259999999999</v>
      </c>
      <c r="DD503" s="4">
        <v>51.947538000000002</v>
      </c>
      <c r="DE503" s="4">
        <v>107.235669</v>
      </c>
      <c r="DF503" s="4">
        <v>34.397308000000002</v>
      </c>
      <c r="DG503" s="4">
        <v>6.2722540000000002</v>
      </c>
      <c r="DH503" s="4">
        <v>1.463843</v>
      </c>
      <c r="DI503" s="4">
        <v>0.32076399999999999</v>
      </c>
      <c r="DJ503" s="4">
        <v>0.18234700000000001</v>
      </c>
      <c r="DK503" s="4">
        <v>4.2556999999999998E-2</v>
      </c>
      <c r="DL503" s="4">
        <v>28</v>
      </c>
      <c r="DM503" s="4">
        <v>34</v>
      </c>
      <c r="DN503" s="4">
        <v>39.800002999999997</v>
      </c>
      <c r="DO503" s="4">
        <v>49</v>
      </c>
      <c r="DP503" s="4">
        <v>54</v>
      </c>
      <c r="DQ503" s="4">
        <v>60</v>
      </c>
      <c r="DR503" s="4">
        <v>72</v>
      </c>
      <c r="DS503" s="4">
        <v>94</v>
      </c>
      <c r="DT503" s="4">
        <v>115.799988</v>
      </c>
      <c r="DU503" s="4">
        <v>141.599976</v>
      </c>
      <c r="DV503" s="4">
        <v>152.5</v>
      </c>
      <c r="DW503" s="4">
        <v>161</v>
      </c>
      <c r="DX503" s="4">
        <v>193</v>
      </c>
      <c r="DY503" s="4">
        <v>219</v>
      </c>
      <c r="DZ503" s="4">
        <v>273.02001999999999</v>
      </c>
      <c r="EA503" s="4">
        <v>99.081164000000001</v>
      </c>
      <c r="EB503" s="4">
        <v>88.353048000000001</v>
      </c>
      <c r="EC503" s="4">
        <v>148.69831500000001</v>
      </c>
      <c r="ED503" s="4">
        <v>647</v>
      </c>
      <c r="EE503" s="4">
        <v>971</v>
      </c>
      <c r="EF503" s="4">
        <v>90.352221</v>
      </c>
      <c r="EG503" s="4">
        <v>100</v>
      </c>
      <c r="EH503" s="4">
        <v>67.697907000000001</v>
      </c>
      <c r="EI503" s="4">
        <v>99.909008</v>
      </c>
      <c r="EJ503" s="4">
        <v>113.935681</v>
      </c>
      <c r="EK503" s="4">
        <v>168.14701400000001</v>
      </c>
      <c r="EL503" s="4">
        <v>590</v>
      </c>
      <c r="EM503" s="4">
        <v>653</v>
      </c>
      <c r="EN503" s="4">
        <v>744</v>
      </c>
      <c r="EO503" s="4">
        <v>1098</v>
      </c>
      <c r="EP503" s="4">
        <v>653</v>
      </c>
      <c r="EQ503" s="4">
        <v>1099</v>
      </c>
      <c r="ER503" s="4">
        <v>64.003781000000004</v>
      </c>
    </row>
    <row r="504" spans="1:148" x14ac:dyDescent="0.2">
      <c r="A504" s="1">
        <v>2025</v>
      </c>
      <c r="B504" s="1" t="str">
        <f t="shared" si="14"/>
        <v>RD</v>
      </c>
      <c r="C504" s="1" t="s">
        <v>1906</v>
      </c>
      <c r="D504" s="1" t="s">
        <v>1906</v>
      </c>
      <c r="E504" s="1">
        <v>30976</v>
      </c>
      <c r="F504" s="1" t="s">
        <v>2153</v>
      </c>
      <c r="G504" s="1" t="s">
        <v>1463</v>
      </c>
      <c r="H504" s="1" t="s">
        <v>2000</v>
      </c>
      <c r="I504" s="1">
        <v>60.13</v>
      </c>
      <c r="J504" s="1">
        <v>60.13</v>
      </c>
      <c r="K504" s="1" t="s">
        <v>210</v>
      </c>
      <c r="L504" s="1">
        <v>1</v>
      </c>
      <c r="M504" s="3">
        <v>2019</v>
      </c>
      <c r="O504" s="1">
        <v>2</v>
      </c>
      <c r="P504" s="1" t="str">
        <f t="shared" si="15"/>
        <v>Talhadia</v>
      </c>
      <c r="Q504" s="2">
        <v>43607</v>
      </c>
      <c r="R504" s="1" t="s">
        <v>227</v>
      </c>
      <c r="S504" s="1" t="s">
        <v>238</v>
      </c>
      <c r="T504" s="1" t="s">
        <v>2268</v>
      </c>
      <c r="U504" s="1" t="s">
        <v>212</v>
      </c>
      <c r="V504" s="1" t="s">
        <v>152</v>
      </c>
      <c r="W504" s="2">
        <v>44844</v>
      </c>
      <c r="X504" s="1" t="s">
        <v>1465</v>
      </c>
      <c r="Y504" s="1">
        <v>358.54</v>
      </c>
      <c r="Z504" s="1">
        <v>19.2</v>
      </c>
      <c r="AA504" s="1">
        <v>21</v>
      </c>
      <c r="AB504" s="1">
        <v>15.5</v>
      </c>
      <c r="AC504" s="1">
        <v>0</v>
      </c>
      <c r="AD504" s="3">
        <v>297.60000000000002</v>
      </c>
      <c r="AE504" s="3">
        <v>277.83353492556699</v>
      </c>
      <c r="AF504" s="2">
        <v>45762</v>
      </c>
      <c r="AG504" s="1">
        <v>71</v>
      </c>
      <c r="AH504" s="3">
        <v>5.90006844626968</v>
      </c>
      <c r="AI504" s="4">
        <v>22.195075609552202</v>
      </c>
      <c r="AJ504" s="4">
        <v>14.3571428571429</v>
      </c>
      <c r="AK504" s="4">
        <v>16.978552740178198</v>
      </c>
      <c r="AL504" s="1">
        <v>28</v>
      </c>
      <c r="AM504" s="5">
        <v>1007.7977090671</v>
      </c>
      <c r="AN504" s="4">
        <v>175.26481000340399</v>
      </c>
      <c r="AO504" s="4">
        <v>0.17390872039751301</v>
      </c>
      <c r="AP504" s="1" t="s">
        <v>238</v>
      </c>
      <c r="AQ504" s="1" t="s">
        <v>254</v>
      </c>
      <c r="AR504" s="1" t="s">
        <v>282</v>
      </c>
      <c r="AS504" s="1">
        <v>7.5</v>
      </c>
      <c r="AT504" s="4">
        <v>0.75584828180032504</v>
      </c>
      <c r="AU504" s="1" t="s">
        <v>1905</v>
      </c>
      <c r="AV504" s="1" t="s">
        <v>1906</v>
      </c>
      <c r="AW504" s="1">
        <v>1432</v>
      </c>
      <c r="AX504" s="1">
        <v>750</v>
      </c>
      <c r="AY504" s="1">
        <v>516</v>
      </c>
      <c r="AZ504" s="1">
        <v>139</v>
      </c>
      <c r="BA504" s="1">
        <v>25</v>
      </c>
      <c r="BB504" s="1">
        <v>2</v>
      </c>
      <c r="BC504" s="1">
        <v>0</v>
      </c>
      <c r="BD504" s="1">
        <v>0</v>
      </c>
      <c r="BE504" s="1">
        <v>0</v>
      </c>
      <c r="BF504" s="1">
        <v>0</v>
      </c>
      <c r="BG504" s="1">
        <v>0</v>
      </c>
      <c r="BH504" s="4">
        <v>0</v>
      </c>
      <c r="BI504" s="4">
        <v>24.601998999999999</v>
      </c>
      <c r="BJ504" s="4">
        <v>11.795005</v>
      </c>
      <c r="BK504" s="4">
        <v>0</v>
      </c>
      <c r="BL504" s="4">
        <v>9.1845429999999997</v>
      </c>
      <c r="BM504" s="4">
        <v>84.355823000000001</v>
      </c>
      <c r="BN504" s="4">
        <v>0.77868099999999996</v>
      </c>
      <c r="BO504" s="4">
        <v>20.111249999999998</v>
      </c>
      <c r="BP504" s="4">
        <v>-0.21765000000000001</v>
      </c>
      <c r="BQ504" s="4">
        <v>1.316565</v>
      </c>
      <c r="BR504" s="4">
        <v>8.5532400000000006</v>
      </c>
      <c r="BS504" s="4">
        <v>6.7489999999999997</v>
      </c>
      <c r="BT504" s="4">
        <v>15.158500999999999</v>
      </c>
      <c r="BU504" s="4">
        <v>11.795005</v>
      </c>
      <c r="BV504" s="4">
        <v>5.0994200000000003</v>
      </c>
      <c r="BW504" s="4">
        <v>-0.31402000000000002</v>
      </c>
      <c r="BX504" s="4">
        <v>-0.72774700000000003</v>
      </c>
      <c r="BY504" s="4">
        <v>0.43233700000000003</v>
      </c>
      <c r="BZ504" s="4">
        <v>-6.1580000000000003E-2</v>
      </c>
      <c r="CA504" s="4">
        <v>-0.14271200000000001</v>
      </c>
      <c r="CB504" s="4">
        <v>3.0000000000000001E-3</v>
      </c>
      <c r="CC504" s="4">
        <v>1.0999999999999999E-2</v>
      </c>
      <c r="CD504" s="4">
        <v>3.1099999999999999E-2</v>
      </c>
      <c r="CE504" s="4">
        <v>0.13220000000000001</v>
      </c>
      <c r="CF504" s="4">
        <v>0.29849999999999999</v>
      </c>
      <c r="CG504" s="4">
        <v>1.4802999999999999</v>
      </c>
      <c r="CH504" s="4">
        <v>8.9421999999999997</v>
      </c>
      <c r="CI504" s="4">
        <v>15.158500999999999</v>
      </c>
      <c r="CJ504" s="4">
        <v>18.269600000000001</v>
      </c>
      <c r="CK504" s="4">
        <v>20.009398999999998</v>
      </c>
      <c r="CL504" s="4">
        <v>20.409749999999999</v>
      </c>
      <c r="CM504" s="4">
        <v>20.907599999999999</v>
      </c>
      <c r="CN504" s="4">
        <v>22.080400000000001</v>
      </c>
      <c r="CO504" s="4">
        <v>22.887748999999999</v>
      </c>
      <c r="CP504" s="4">
        <v>23.936449</v>
      </c>
      <c r="CQ504" s="4">
        <v>0.479433</v>
      </c>
      <c r="CR504" s="4">
        <v>14.947209000000001</v>
      </c>
      <c r="CS504" s="4">
        <v>16.454764000000001</v>
      </c>
      <c r="CT504" s="1">
        <v>24</v>
      </c>
      <c r="CU504" s="1">
        <v>618</v>
      </c>
      <c r="CV504" s="4">
        <v>110.89176</v>
      </c>
      <c r="CW504" s="4">
        <v>42.857143000000001</v>
      </c>
      <c r="CX504" s="4">
        <v>89.012669000000002</v>
      </c>
      <c r="CY504" s="4">
        <v>7923.2552219999998</v>
      </c>
      <c r="CZ504" s="4">
        <v>0.80269900000000005</v>
      </c>
      <c r="DA504" s="4">
        <v>88</v>
      </c>
      <c r="DB504" s="4">
        <v>1.846117</v>
      </c>
      <c r="DC504" s="4">
        <v>6.4677559999999996</v>
      </c>
      <c r="DD504" s="4">
        <v>65.272665000000003</v>
      </c>
      <c r="DE504" s="4">
        <v>110.89176</v>
      </c>
      <c r="DF504" s="4">
        <v>43.892184</v>
      </c>
      <c r="DG504" s="4">
        <v>16.833515999999999</v>
      </c>
      <c r="DH504" s="4">
        <v>8.2428139999999992</v>
      </c>
      <c r="DI504" s="4">
        <v>0.39581100000000002</v>
      </c>
      <c r="DJ504" s="4">
        <v>0.38352000000000003</v>
      </c>
      <c r="DK504" s="4">
        <v>0.18779699999999999</v>
      </c>
      <c r="DL504" s="4">
        <v>28</v>
      </c>
      <c r="DM504" s="4">
        <v>33</v>
      </c>
      <c r="DN504" s="4">
        <v>37</v>
      </c>
      <c r="DO504" s="4">
        <v>45</v>
      </c>
      <c r="DP504" s="4">
        <v>50</v>
      </c>
      <c r="DQ504" s="4">
        <v>54</v>
      </c>
      <c r="DR504" s="4">
        <v>64.400024000000002</v>
      </c>
      <c r="DS504" s="4">
        <v>79</v>
      </c>
      <c r="DT504" s="4">
        <v>99</v>
      </c>
      <c r="DU504" s="4">
        <v>124</v>
      </c>
      <c r="DV504" s="4">
        <v>138</v>
      </c>
      <c r="DW504" s="4">
        <v>155.800049</v>
      </c>
      <c r="DX504" s="4">
        <v>232.800049</v>
      </c>
      <c r="DY504" s="4">
        <v>325</v>
      </c>
      <c r="DZ504" s="4">
        <v>413.75976600000001</v>
      </c>
      <c r="EA504" s="4">
        <v>88.533332999999999</v>
      </c>
      <c r="EB504" s="4">
        <v>66.410615000000007</v>
      </c>
      <c r="EC504" s="4">
        <v>126.8</v>
      </c>
      <c r="ED504" s="4">
        <v>664</v>
      </c>
      <c r="EE504" s="4">
        <v>951</v>
      </c>
      <c r="EF504" s="4">
        <v>81.466667000000001</v>
      </c>
      <c r="EG504" s="4">
        <v>100</v>
      </c>
      <c r="EH504" s="4">
        <v>55.796089000000002</v>
      </c>
      <c r="EI504" s="4">
        <v>99.720669999999998</v>
      </c>
      <c r="EJ504" s="4">
        <v>106.533333</v>
      </c>
      <c r="EK504" s="4">
        <v>190.4</v>
      </c>
      <c r="EL504" s="4">
        <v>611</v>
      </c>
      <c r="EM504" s="4">
        <v>750</v>
      </c>
      <c r="EN504" s="4">
        <v>799</v>
      </c>
      <c r="EO504" s="4">
        <v>1428</v>
      </c>
      <c r="EP504" s="4">
        <v>750</v>
      </c>
      <c r="EQ504" s="4">
        <v>1432</v>
      </c>
      <c r="ER504" s="4">
        <v>48.263153000000003</v>
      </c>
    </row>
    <row r="505" spans="1:148" x14ac:dyDescent="0.2">
      <c r="A505" s="1">
        <v>2025</v>
      </c>
      <c r="B505" s="1" t="str">
        <f t="shared" si="14"/>
        <v>RD</v>
      </c>
      <c r="C505" s="1" t="s">
        <v>1908</v>
      </c>
      <c r="D505" s="1" t="s">
        <v>1908</v>
      </c>
      <c r="E505" s="1">
        <v>27536</v>
      </c>
      <c r="F505" s="1" t="s">
        <v>2264</v>
      </c>
      <c r="G505" s="1" t="s">
        <v>1463</v>
      </c>
      <c r="H505" s="1" t="s">
        <v>2001</v>
      </c>
      <c r="I505" s="1">
        <v>60.35</v>
      </c>
      <c r="J505" s="1">
        <v>60.35</v>
      </c>
      <c r="K505" s="1" t="s">
        <v>210</v>
      </c>
      <c r="L505" s="1">
        <v>1</v>
      </c>
      <c r="M505" s="3">
        <v>2020</v>
      </c>
      <c r="O505" s="1">
        <v>2</v>
      </c>
      <c r="P505" s="1" t="str">
        <f t="shared" si="15"/>
        <v>Talhadia</v>
      </c>
      <c r="Q505" s="2">
        <v>43915</v>
      </c>
      <c r="R505" s="1" t="s">
        <v>227</v>
      </c>
      <c r="S505" s="1" t="s">
        <v>163</v>
      </c>
      <c r="T505" s="1" t="s">
        <v>2268</v>
      </c>
      <c r="U505" s="1" t="s">
        <v>212</v>
      </c>
      <c r="V505" s="1" t="s">
        <v>152</v>
      </c>
      <c r="W505" s="2">
        <v>45762</v>
      </c>
      <c r="X505" s="1" t="s">
        <v>1465</v>
      </c>
      <c r="Y505" s="1">
        <v>60.35</v>
      </c>
      <c r="Z505" s="1">
        <v>20.2</v>
      </c>
      <c r="AA505" s="1">
        <v>13</v>
      </c>
      <c r="AB505" s="1">
        <v>15</v>
      </c>
      <c r="AC505" s="1">
        <v>1</v>
      </c>
      <c r="AD505" s="3">
        <v>303</v>
      </c>
      <c r="AE505" s="3">
        <v>295.18916404198501</v>
      </c>
      <c r="AF505" s="2">
        <v>45762</v>
      </c>
      <c r="AG505" s="1">
        <v>61</v>
      </c>
      <c r="AH505" s="3">
        <v>5.0568104038329897</v>
      </c>
      <c r="AI505" s="4">
        <v>24.4167837961893</v>
      </c>
      <c r="AJ505" s="4">
        <v>14.373333333333299</v>
      </c>
      <c r="AK505" s="4">
        <v>16.699423088083101</v>
      </c>
      <c r="AL505" s="1">
        <v>30</v>
      </c>
      <c r="AM505" s="5">
        <v>1016.29746801048</v>
      </c>
      <c r="AN505" s="4">
        <v>186.206280208122</v>
      </c>
      <c r="AO505" s="4">
        <v>0.18322025398001099</v>
      </c>
      <c r="AP505" s="1" t="s">
        <v>163</v>
      </c>
      <c r="AQ505" s="1" t="s">
        <v>254</v>
      </c>
      <c r="AR505" s="1" t="s">
        <v>282</v>
      </c>
      <c r="AS505" s="1">
        <v>7.5</v>
      </c>
      <c r="AT505" s="4">
        <v>0.76222310100786006</v>
      </c>
      <c r="AU505" s="1" t="s">
        <v>1907</v>
      </c>
      <c r="AV505" s="1" t="s">
        <v>1908</v>
      </c>
      <c r="AW505" s="1">
        <v>1201</v>
      </c>
      <c r="AX505" s="1">
        <v>660</v>
      </c>
      <c r="AY505" s="1">
        <v>393</v>
      </c>
      <c r="AZ505" s="1">
        <v>133</v>
      </c>
      <c r="BA505" s="1">
        <v>15</v>
      </c>
      <c r="BB505" s="1">
        <v>0</v>
      </c>
      <c r="BC505" s="1">
        <v>0</v>
      </c>
      <c r="BD505" s="1">
        <v>0</v>
      </c>
      <c r="BE505" s="1">
        <v>0</v>
      </c>
      <c r="BF505" s="1">
        <v>0</v>
      </c>
      <c r="BG505" s="1">
        <v>0</v>
      </c>
      <c r="BH505" s="4">
        <v>0</v>
      </c>
      <c r="BI505" s="4">
        <v>23.806999000000001</v>
      </c>
      <c r="BJ505" s="4">
        <v>7.2079149999999998</v>
      </c>
      <c r="BK505" s="4">
        <v>0</v>
      </c>
      <c r="BL505" s="4">
        <v>6.6936879999999999</v>
      </c>
      <c r="BM505" s="4">
        <v>44.805458000000002</v>
      </c>
      <c r="BN505" s="4">
        <v>0.92865799999999998</v>
      </c>
      <c r="BO505" s="4">
        <v>11.343</v>
      </c>
      <c r="BP505" s="4">
        <v>0.57278200000000001</v>
      </c>
      <c r="BQ505" s="4">
        <v>2.3184650000000002</v>
      </c>
      <c r="BR505" s="4">
        <v>5.6582730000000003</v>
      </c>
      <c r="BS505" s="4">
        <v>6.4509999999999996</v>
      </c>
      <c r="BT505" s="4">
        <v>6.8070000000000004</v>
      </c>
      <c r="BU505" s="4">
        <v>7.2079149999999998</v>
      </c>
      <c r="BV505" s="4">
        <v>3.734569</v>
      </c>
      <c r="BW505" s="4">
        <v>0.66217700000000002</v>
      </c>
      <c r="BX505" s="4">
        <v>-1.1191E-2</v>
      </c>
      <c r="BY505" s="4">
        <v>0.51812100000000005</v>
      </c>
      <c r="BZ505" s="4">
        <v>0.17731</v>
      </c>
      <c r="CA505" s="4">
        <v>-2.9970000000000001E-3</v>
      </c>
      <c r="CB505" s="4">
        <v>2E-3</v>
      </c>
      <c r="CC505" s="4">
        <v>0.01</v>
      </c>
      <c r="CD505" s="4">
        <v>2.1000000000000001E-2</v>
      </c>
      <c r="CE505" s="4">
        <v>5.8000000000000003E-2</v>
      </c>
      <c r="CF505" s="4">
        <v>0.109</v>
      </c>
      <c r="CG505" s="4">
        <v>0.29299999999999998</v>
      </c>
      <c r="CH505" s="4">
        <v>4.1539999999999999</v>
      </c>
      <c r="CI505" s="4">
        <v>6.8070000000000004</v>
      </c>
      <c r="CJ505" s="4">
        <v>8.7720000000000002</v>
      </c>
      <c r="CK505" s="4">
        <v>10.513999999999999</v>
      </c>
      <c r="CL505" s="4">
        <v>11.452</v>
      </c>
      <c r="CM505" s="4">
        <v>12.787000000000001</v>
      </c>
      <c r="CN505" s="4">
        <v>17.402000000000001</v>
      </c>
      <c r="CO505" s="4">
        <v>20.283000999999999</v>
      </c>
      <c r="CP505" s="4">
        <v>22.975000000000001</v>
      </c>
      <c r="CQ505" s="4">
        <v>0.30276500000000001</v>
      </c>
      <c r="CR505" s="4">
        <v>9.8347440000000006</v>
      </c>
      <c r="CS505" s="4">
        <v>11.483091</v>
      </c>
      <c r="CT505" s="1">
        <v>25</v>
      </c>
      <c r="CU505" s="1">
        <v>596</v>
      </c>
      <c r="CV505" s="4">
        <v>133.120733</v>
      </c>
      <c r="CW505" s="4">
        <v>43.126984</v>
      </c>
      <c r="CX505" s="4">
        <v>112.464007</v>
      </c>
      <c r="CY505" s="4">
        <v>12648.152910000001</v>
      </c>
      <c r="CZ505" s="4">
        <v>0.84482699999999999</v>
      </c>
      <c r="DA505" s="4">
        <v>105</v>
      </c>
      <c r="DB505" s="4">
        <v>1.6168469999999999</v>
      </c>
      <c r="DC505" s="4">
        <v>4.8222379999999996</v>
      </c>
      <c r="DD505" s="4">
        <v>83.861840000000001</v>
      </c>
      <c r="DE505" s="4">
        <v>133.120733</v>
      </c>
      <c r="DF505" s="4">
        <v>55.994695999999998</v>
      </c>
      <c r="DG505" s="4">
        <v>21.811430999999999</v>
      </c>
      <c r="DH505" s="4">
        <v>10.09609</v>
      </c>
      <c r="DI505" s="4">
        <v>0.42063099999999998</v>
      </c>
      <c r="DJ505" s="4">
        <v>0.38952700000000001</v>
      </c>
      <c r="DK505" s="4">
        <v>0.18030399999999999</v>
      </c>
      <c r="DL505" s="4">
        <v>28</v>
      </c>
      <c r="DM505" s="4">
        <v>34</v>
      </c>
      <c r="DN505" s="4">
        <v>40</v>
      </c>
      <c r="DO505" s="4">
        <v>50</v>
      </c>
      <c r="DP505" s="4">
        <v>56</v>
      </c>
      <c r="DQ505" s="4">
        <v>61</v>
      </c>
      <c r="DR505" s="4">
        <v>75</v>
      </c>
      <c r="DS505" s="4">
        <v>92</v>
      </c>
      <c r="DT505" s="4">
        <v>111</v>
      </c>
      <c r="DU505" s="4">
        <v>142</v>
      </c>
      <c r="DV505" s="4">
        <v>161</v>
      </c>
      <c r="DW505" s="4">
        <v>188</v>
      </c>
      <c r="DX505" s="4">
        <v>333</v>
      </c>
      <c r="DY505" s="4">
        <v>407</v>
      </c>
      <c r="DZ505" s="4">
        <v>475</v>
      </c>
      <c r="EA505" s="4">
        <v>79.242424</v>
      </c>
      <c r="EB505" s="4">
        <v>62.697752000000001</v>
      </c>
      <c r="EC505" s="4">
        <v>114.090909</v>
      </c>
      <c r="ED505" s="4">
        <v>523</v>
      </c>
      <c r="EE505" s="4">
        <v>753</v>
      </c>
      <c r="EF505" s="4">
        <v>63.333333000000003</v>
      </c>
      <c r="EG505" s="4">
        <v>99.696969999999993</v>
      </c>
      <c r="EH505" s="4">
        <v>48.792673000000001</v>
      </c>
      <c r="EI505" s="4">
        <v>99.666944000000001</v>
      </c>
      <c r="EJ505" s="4">
        <v>88.787879000000004</v>
      </c>
      <c r="EK505" s="4">
        <v>181.36363600000001</v>
      </c>
      <c r="EL505" s="4">
        <v>418</v>
      </c>
      <c r="EM505" s="4">
        <v>658</v>
      </c>
      <c r="EN505" s="4">
        <v>586</v>
      </c>
      <c r="EO505" s="4">
        <v>1197</v>
      </c>
      <c r="EP505" s="4">
        <v>660</v>
      </c>
      <c r="EQ505" s="4">
        <v>1201</v>
      </c>
      <c r="ER505" s="4">
        <v>30.329684</v>
      </c>
    </row>
    <row r="506" spans="1:148" x14ac:dyDescent="0.2">
      <c r="A506" s="1">
        <v>2025</v>
      </c>
      <c r="B506" s="1" t="str">
        <f t="shared" si="14"/>
        <v>RD</v>
      </c>
      <c r="C506" s="1" t="s">
        <v>1910</v>
      </c>
      <c r="D506" s="1" t="s">
        <v>1910</v>
      </c>
      <c r="E506" s="1">
        <v>27537</v>
      </c>
      <c r="F506" s="1" t="s">
        <v>2264</v>
      </c>
      <c r="G506" s="1" t="s">
        <v>1463</v>
      </c>
      <c r="H506" s="1" t="s">
        <v>2001</v>
      </c>
      <c r="I506" s="1">
        <v>60.35</v>
      </c>
      <c r="J506" s="1">
        <v>60.35</v>
      </c>
      <c r="K506" s="1" t="s">
        <v>210</v>
      </c>
      <c r="L506" s="1">
        <v>1</v>
      </c>
      <c r="M506" s="3">
        <v>2020</v>
      </c>
      <c r="O506" s="1">
        <v>2</v>
      </c>
      <c r="P506" s="1" t="str">
        <f t="shared" si="15"/>
        <v>Talhadia</v>
      </c>
      <c r="Q506" s="2">
        <v>43915</v>
      </c>
      <c r="R506" s="1" t="s">
        <v>227</v>
      </c>
      <c r="S506" s="1" t="s">
        <v>163</v>
      </c>
      <c r="T506" s="1" t="s">
        <v>2268</v>
      </c>
      <c r="U506" s="1" t="s">
        <v>212</v>
      </c>
      <c r="V506" s="1" t="s">
        <v>152</v>
      </c>
      <c r="W506" s="2">
        <v>44845</v>
      </c>
      <c r="X506" s="1" t="s">
        <v>1465</v>
      </c>
      <c r="Y506" s="1">
        <v>60.35</v>
      </c>
      <c r="Z506" s="1">
        <v>20.2</v>
      </c>
      <c r="AA506" s="1">
        <v>13</v>
      </c>
      <c r="AB506" s="1">
        <v>15.4</v>
      </c>
      <c r="AC506" s="1">
        <v>1</v>
      </c>
      <c r="AD506" s="3">
        <v>311.08</v>
      </c>
      <c r="AE506" s="3">
        <v>303.06087508310497</v>
      </c>
      <c r="AF506" s="2">
        <v>45762</v>
      </c>
      <c r="AG506" s="1">
        <v>61</v>
      </c>
      <c r="AH506" s="3">
        <v>5.0568104038329897</v>
      </c>
      <c r="AI506" s="4">
        <v>23.1280954795774</v>
      </c>
      <c r="AJ506" s="4">
        <v>15.6142857142857</v>
      </c>
      <c r="AK506" s="4">
        <v>13.4677540311858</v>
      </c>
      <c r="AL506" s="1">
        <v>21</v>
      </c>
      <c r="AM506" s="5">
        <v>692.93009182532796</v>
      </c>
      <c r="AN506" s="4">
        <v>139.956879221035</v>
      </c>
      <c r="AO506" s="4">
        <v>0.20197835376489101</v>
      </c>
      <c r="AP506" s="1" t="s">
        <v>163</v>
      </c>
      <c r="AQ506" s="1" t="s">
        <v>254</v>
      </c>
      <c r="AR506" s="1" t="s">
        <v>282</v>
      </c>
      <c r="AS506" s="1">
        <v>7.5</v>
      </c>
      <c r="AT506" s="4">
        <v>0.51969756886899598</v>
      </c>
      <c r="AU506" s="1" t="s">
        <v>1909</v>
      </c>
      <c r="AV506" s="1" t="s">
        <v>1910</v>
      </c>
      <c r="AW506" s="1">
        <v>977</v>
      </c>
      <c r="AX506" s="1">
        <v>681</v>
      </c>
      <c r="AY506" s="1">
        <v>227</v>
      </c>
      <c r="AZ506" s="1">
        <v>64</v>
      </c>
      <c r="BA506" s="1">
        <v>5</v>
      </c>
      <c r="BB506" s="1">
        <v>0</v>
      </c>
      <c r="BC506" s="1">
        <v>0</v>
      </c>
      <c r="BD506" s="1">
        <v>0</v>
      </c>
      <c r="BE506" s="1">
        <v>0</v>
      </c>
      <c r="BF506" s="1">
        <v>0</v>
      </c>
      <c r="BG506" s="1">
        <v>0</v>
      </c>
      <c r="BH506" s="4">
        <v>0</v>
      </c>
      <c r="BI506" s="4">
        <v>10.622</v>
      </c>
      <c r="BJ506" s="4">
        <v>4.8716179999999998</v>
      </c>
      <c r="BK506" s="4">
        <v>0</v>
      </c>
      <c r="BL506" s="4">
        <v>3.2973110000000001</v>
      </c>
      <c r="BM506" s="4">
        <v>10.872259</v>
      </c>
      <c r="BN506" s="4">
        <v>0.67684100000000003</v>
      </c>
      <c r="BO506" s="4">
        <v>7.17</v>
      </c>
      <c r="BP506" s="4">
        <v>-0.45356600000000002</v>
      </c>
      <c r="BQ506" s="4">
        <v>1.666334</v>
      </c>
      <c r="BR506" s="4">
        <v>2.908096</v>
      </c>
      <c r="BS506" s="4">
        <v>1.919</v>
      </c>
      <c r="BT506" s="4">
        <v>6.0830000000000002</v>
      </c>
      <c r="BU506" s="4">
        <v>4.8716179999999998</v>
      </c>
      <c r="BV506" s="4">
        <v>1.8265880000000001</v>
      </c>
      <c r="BW506" s="4">
        <v>-0.228324</v>
      </c>
      <c r="BX506" s="4">
        <v>-8.9833999999999997E-2</v>
      </c>
      <c r="BY506" s="4">
        <v>0.37494499999999997</v>
      </c>
      <c r="BZ506" s="4">
        <v>-0.125</v>
      </c>
      <c r="CA506" s="4">
        <v>-4.9181999999999997E-2</v>
      </c>
      <c r="CB506" s="4">
        <v>3.0000000000000001E-3</v>
      </c>
      <c r="CC506" s="4">
        <v>1.7000000000000001E-2</v>
      </c>
      <c r="CD506" s="4">
        <v>4.1000000000000002E-2</v>
      </c>
      <c r="CE506" s="4">
        <v>0.1512</v>
      </c>
      <c r="CF506" s="4">
        <v>0.36699999999999999</v>
      </c>
      <c r="CG506" s="4">
        <v>2.6131980000000001</v>
      </c>
      <c r="CH506" s="4">
        <v>5.1821999999999999</v>
      </c>
      <c r="CI506" s="4">
        <v>6.0830000000000002</v>
      </c>
      <c r="CJ506" s="4">
        <v>6.6497999999999999</v>
      </c>
      <c r="CK506" s="4">
        <v>7.2257999999999996</v>
      </c>
      <c r="CL506" s="4">
        <v>7.5369999999999999</v>
      </c>
      <c r="CM506" s="4">
        <v>7.8566000000000003</v>
      </c>
      <c r="CN506" s="4">
        <v>8.3707999999999991</v>
      </c>
      <c r="CO506" s="4">
        <v>8.9857999999999993</v>
      </c>
      <c r="CP506" s="4">
        <v>9.70364</v>
      </c>
      <c r="CQ506" s="4">
        <v>0.45863500000000001</v>
      </c>
      <c r="CR506" s="4">
        <v>5.8816490000000003</v>
      </c>
      <c r="CS506" s="4">
        <v>6.3669750000000001</v>
      </c>
      <c r="CT506" s="1">
        <v>22</v>
      </c>
      <c r="CU506" s="1">
        <v>571</v>
      </c>
      <c r="CV506" s="4">
        <v>171.880246</v>
      </c>
      <c r="CW506" s="4">
        <v>65.571428999999995</v>
      </c>
      <c r="CX506" s="4">
        <v>119.951899</v>
      </c>
      <c r="CY506" s="4">
        <v>14388.457979999999</v>
      </c>
      <c r="CZ506" s="4">
        <v>0.69788099999999997</v>
      </c>
      <c r="DA506" s="4">
        <v>137</v>
      </c>
      <c r="DB506" s="4">
        <v>1.1920299999999999</v>
      </c>
      <c r="DC506" s="4">
        <v>3.7302330000000001</v>
      </c>
      <c r="DD506" s="4">
        <v>92.096024</v>
      </c>
      <c r="DE506" s="4">
        <v>171.880246</v>
      </c>
      <c r="DF506" s="4">
        <v>63.883626999999997</v>
      </c>
      <c r="DG506" s="4">
        <v>17.258289999999999</v>
      </c>
      <c r="DH506" s="4">
        <v>8.7454560000000008</v>
      </c>
      <c r="DI506" s="4">
        <v>0.37167499999999998</v>
      </c>
      <c r="DJ506" s="4">
        <v>0.270152</v>
      </c>
      <c r="DK506" s="4">
        <v>0.13689699999999999</v>
      </c>
      <c r="DL506" s="4">
        <v>30</v>
      </c>
      <c r="DM506" s="4">
        <v>41</v>
      </c>
      <c r="DN506" s="4">
        <v>50</v>
      </c>
      <c r="DO506" s="4">
        <v>71</v>
      </c>
      <c r="DP506" s="4">
        <v>79</v>
      </c>
      <c r="DQ506" s="4">
        <v>91</v>
      </c>
      <c r="DR506" s="4">
        <v>118</v>
      </c>
      <c r="DS506" s="4">
        <v>142</v>
      </c>
      <c r="DT506" s="4">
        <v>167</v>
      </c>
      <c r="DU506" s="4">
        <v>196</v>
      </c>
      <c r="DV506" s="4">
        <v>216</v>
      </c>
      <c r="DW506" s="4">
        <v>245.79998800000001</v>
      </c>
      <c r="DX506" s="4">
        <v>378.800049</v>
      </c>
      <c r="DY506" s="4">
        <v>436</v>
      </c>
      <c r="DZ506" s="4">
        <v>514.23999000000003</v>
      </c>
      <c r="EA506" s="4">
        <v>79.148311000000007</v>
      </c>
      <c r="EB506" s="4">
        <v>69.293756000000002</v>
      </c>
      <c r="EC506" s="4">
        <v>99.412627999999998</v>
      </c>
      <c r="ED506" s="4">
        <v>539</v>
      </c>
      <c r="EE506" s="4">
        <v>677</v>
      </c>
      <c r="EF506" s="4">
        <v>73.421439000000007</v>
      </c>
      <c r="EG506" s="4">
        <v>100</v>
      </c>
      <c r="EH506" s="4">
        <v>62.436028999999998</v>
      </c>
      <c r="EI506" s="4">
        <v>99.897645999999995</v>
      </c>
      <c r="EJ506" s="4">
        <v>89.574156000000002</v>
      </c>
      <c r="EK506" s="4">
        <v>143.31864899999999</v>
      </c>
      <c r="EL506" s="4">
        <v>500</v>
      </c>
      <c r="EM506" s="4">
        <v>681</v>
      </c>
      <c r="EN506" s="4">
        <v>610</v>
      </c>
      <c r="EO506" s="4">
        <v>976</v>
      </c>
      <c r="EP506" s="4">
        <v>681</v>
      </c>
      <c r="EQ506" s="4">
        <v>977</v>
      </c>
      <c r="ER506" s="4">
        <v>49.169348999999997</v>
      </c>
    </row>
    <row r="507" spans="1:148" x14ac:dyDescent="0.2">
      <c r="A507" s="1">
        <v>2025</v>
      </c>
      <c r="B507" s="1" t="str">
        <f t="shared" si="14"/>
        <v>RD</v>
      </c>
      <c r="C507" s="1" t="s">
        <v>1912</v>
      </c>
      <c r="D507" s="1" t="s">
        <v>1912</v>
      </c>
      <c r="E507" s="1">
        <v>27538</v>
      </c>
      <c r="F507" s="1" t="s">
        <v>2264</v>
      </c>
      <c r="G507" s="1" t="s">
        <v>1463</v>
      </c>
      <c r="H507" s="1" t="s">
        <v>2001</v>
      </c>
      <c r="I507" s="1">
        <v>60.35</v>
      </c>
      <c r="J507" s="1">
        <v>60.35</v>
      </c>
      <c r="K507" s="1" t="s">
        <v>210</v>
      </c>
      <c r="L507" s="1">
        <v>1</v>
      </c>
      <c r="M507" s="3">
        <v>2020</v>
      </c>
      <c r="O507" s="1">
        <v>2</v>
      </c>
      <c r="P507" s="1" t="str">
        <f t="shared" si="15"/>
        <v>Talhadia</v>
      </c>
      <c r="Q507" s="2">
        <v>43915</v>
      </c>
      <c r="R507" s="1" t="s">
        <v>227</v>
      </c>
      <c r="S507" s="1" t="s">
        <v>163</v>
      </c>
      <c r="T507" s="1" t="s">
        <v>2268</v>
      </c>
      <c r="U507" s="1" t="s">
        <v>212</v>
      </c>
      <c r="V507" s="1" t="s">
        <v>152</v>
      </c>
      <c r="W507" s="2">
        <v>45762</v>
      </c>
      <c r="X507" s="1" t="s">
        <v>1465</v>
      </c>
      <c r="Y507" s="1">
        <v>60.35</v>
      </c>
      <c r="Z507" s="1">
        <v>20.8</v>
      </c>
      <c r="AA507" s="1">
        <v>21</v>
      </c>
      <c r="AB507" s="1">
        <v>15.4</v>
      </c>
      <c r="AC507" s="1">
        <v>3</v>
      </c>
      <c r="AD507" s="3">
        <v>320.32</v>
      </c>
      <c r="AE507" s="3">
        <v>298.63465214587097</v>
      </c>
      <c r="AF507" s="2">
        <v>45762</v>
      </c>
      <c r="AG507" s="1">
        <v>61</v>
      </c>
      <c r="AH507" s="3">
        <v>5.0568104038329897</v>
      </c>
      <c r="AI507" s="4">
        <v>23.416736105761</v>
      </c>
      <c r="AJ507" s="4">
        <v>14.713333333333299</v>
      </c>
      <c r="AK507" s="4">
        <v>17.623804603723201</v>
      </c>
      <c r="AL507" s="1">
        <v>30</v>
      </c>
      <c r="AM507" s="5">
        <v>1004.57196726608</v>
      </c>
      <c r="AN507" s="4">
        <v>190.263138564028</v>
      </c>
      <c r="AO507" s="4">
        <v>0.18939722067083301</v>
      </c>
      <c r="AP507" s="1" t="s">
        <v>163</v>
      </c>
      <c r="AQ507" s="1" t="s">
        <v>254</v>
      </c>
      <c r="AR507" s="1" t="s">
        <v>282</v>
      </c>
      <c r="AS507" s="1">
        <v>7.5</v>
      </c>
      <c r="AT507" s="4">
        <v>0.75342897544956011</v>
      </c>
      <c r="AU507" s="1" t="s">
        <v>1911</v>
      </c>
      <c r="AV507" s="1" t="s">
        <v>1912</v>
      </c>
      <c r="AW507" s="1">
        <v>2114</v>
      </c>
      <c r="AX507" s="1">
        <v>1217</v>
      </c>
      <c r="AY507" s="1">
        <v>659</v>
      </c>
      <c r="AZ507" s="1">
        <v>198</v>
      </c>
      <c r="BA507" s="1">
        <v>36</v>
      </c>
      <c r="BB507" s="1">
        <v>4</v>
      </c>
      <c r="BC507" s="1">
        <v>0</v>
      </c>
      <c r="BD507" s="1">
        <v>0</v>
      </c>
      <c r="BE507" s="1">
        <v>0</v>
      </c>
      <c r="BF507" s="1">
        <v>0</v>
      </c>
      <c r="BG507" s="1">
        <v>0</v>
      </c>
      <c r="BH507" s="4">
        <v>0</v>
      </c>
      <c r="BI507" s="4">
        <v>27.059000000000001</v>
      </c>
      <c r="BJ507" s="4">
        <v>12.646324</v>
      </c>
      <c r="BK507" s="4">
        <v>0</v>
      </c>
      <c r="BL507" s="4">
        <v>9.6328429999999994</v>
      </c>
      <c r="BM507" s="4">
        <v>92.791658999999996</v>
      </c>
      <c r="BN507" s="4">
        <v>0.76171100000000003</v>
      </c>
      <c r="BO507" s="4">
        <v>21.30725</v>
      </c>
      <c r="BP507" s="4">
        <v>-0.27184900000000001</v>
      </c>
      <c r="BQ507" s="4">
        <v>1.4537929999999999</v>
      </c>
      <c r="BR507" s="4">
        <v>8.7362110000000008</v>
      </c>
      <c r="BS507" s="4">
        <v>7.3419999999999996</v>
      </c>
      <c r="BT507" s="4">
        <v>15.848000000000001</v>
      </c>
      <c r="BU507" s="4">
        <v>12.646324</v>
      </c>
      <c r="BV507" s="4">
        <v>5.369224</v>
      </c>
      <c r="BW507" s="4">
        <v>-0.32137500000000002</v>
      </c>
      <c r="BX507" s="4">
        <v>-0.58016599999999996</v>
      </c>
      <c r="BY507" s="4">
        <v>0.424568</v>
      </c>
      <c r="BZ507" s="4">
        <v>-5.9854999999999998E-2</v>
      </c>
      <c r="CA507" s="4">
        <v>-0.108054</v>
      </c>
      <c r="CB507" s="4">
        <v>1.1299999999999999E-3</v>
      </c>
      <c r="CC507" s="4">
        <v>7.0000000000000001E-3</v>
      </c>
      <c r="CD507" s="4">
        <v>1.6E-2</v>
      </c>
      <c r="CE507" s="4">
        <v>3.6999999999999998E-2</v>
      </c>
      <c r="CF507" s="4">
        <v>5.8000000000000003E-2</v>
      </c>
      <c r="CG507" s="4">
        <v>0.13700000000000001</v>
      </c>
      <c r="CH507" s="4">
        <v>11.725801000000001</v>
      </c>
      <c r="CI507" s="4">
        <v>15.848000000000001</v>
      </c>
      <c r="CJ507" s="4">
        <v>17.9328</v>
      </c>
      <c r="CK507" s="4">
        <v>20.2288</v>
      </c>
      <c r="CL507" s="4">
        <v>21.36525</v>
      </c>
      <c r="CM507" s="4">
        <v>22.276599999999998</v>
      </c>
      <c r="CN507" s="4">
        <v>23.957198999999999</v>
      </c>
      <c r="CO507" s="4">
        <v>24.731100000000001</v>
      </c>
      <c r="CP507" s="4">
        <v>26.041143000000002</v>
      </c>
      <c r="CQ507" s="4">
        <v>0.46736100000000003</v>
      </c>
      <c r="CR507" s="4">
        <v>15.895826</v>
      </c>
      <c r="CS507" s="4">
        <v>17.433373</v>
      </c>
      <c r="CT507" s="1">
        <v>18</v>
      </c>
      <c r="CU507" s="1">
        <v>548</v>
      </c>
      <c r="CV507" s="4">
        <v>147.84768199999999</v>
      </c>
      <c r="CW507" s="4">
        <v>34.825397000000002</v>
      </c>
      <c r="CX507" s="4">
        <v>118.594528</v>
      </c>
      <c r="CY507" s="4">
        <v>14064.66207</v>
      </c>
      <c r="CZ507" s="4">
        <v>0.80213999999999996</v>
      </c>
      <c r="DA507" s="4">
        <v>134</v>
      </c>
      <c r="DB507" s="4">
        <v>1.2949120000000001</v>
      </c>
      <c r="DC507" s="4">
        <v>3.76173</v>
      </c>
      <c r="DD507" s="4">
        <v>92.808605</v>
      </c>
      <c r="DE507" s="4">
        <v>147.84768199999999</v>
      </c>
      <c r="DF507" s="4">
        <v>61.902408999999999</v>
      </c>
      <c r="DG507" s="4">
        <v>20.46003</v>
      </c>
      <c r="DH507" s="4">
        <v>7.695856</v>
      </c>
      <c r="DI507" s="4">
        <v>0.41869000000000001</v>
      </c>
      <c r="DJ507" s="4">
        <v>0.33052100000000001</v>
      </c>
      <c r="DK507" s="4">
        <v>0.124322</v>
      </c>
      <c r="DL507" s="4">
        <v>27</v>
      </c>
      <c r="DM507" s="4">
        <v>34</v>
      </c>
      <c r="DN507" s="4">
        <v>39</v>
      </c>
      <c r="DO507" s="4">
        <v>52.600006</v>
      </c>
      <c r="DP507" s="4">
        <v>59</v>
      </c>
      <c r="DQ507" s="4">
        <v>65.900024000000002</v>
      </c>
      <c r="DR507" s="4">
        <v>85</v>
      </c>
      <c r="DS507" s="4">
        <v>106</v>
      </c>
      <c r="DT507" s="4">
        <v>132</v>
      </c>
      <c r="DU507" s="4">
        <v>168.099976</v>
      </c>
      <c r="DV507" s="4">
        <v>193</v>
      </c>
      <c r="DW507" s="4">
        <v>232.400024</v>
      </c>
      <c r="DX507" s="4">
        <v>356.79980499999999</v>
      </c>
      <c r="DY507" s="4">
        <v>418</v>
      </c>
      <c r="DZ507" s="4">
        <v>471</v>
      </c>
      <c r="EA507" s="4">
        <v>79.950698000000003</v>
      </c>
      <c r="EB507" s="4">
        <v>67.928098000000006</v>
      </c>
      <c r="EC507" s="4">
        <v>117.99507</v>
      </c>
      <c r="ED507" s="4">
        <v>973</v>
      </c>
      <c r="EE507" s="4">
        <v>1436</v>
      </c>
      <c r="EF507" s="4">
        <v>72.062449000000001</v>
      </c>
      <c r="EG507" s="4">
        <v>99.589153999999994</v>
      </c>
      <c r="EH507" s="4">
        <v>58.278146</v>
      </c>
      <c r="EI507" s="4">
        <v>99.621570000000006</v>
      </c>
      <c r="EJ507" s="4">
        <v>101.232539</v>
      </c>
      <c r="EK507" s="4">
        <v>173.04848000000001</v>
      </c>
      <c r="EL507" s="4">
        <v>877</v>
      </c>
      <c r="EM507" s="4">
        <v>1212</v>
      </c>
      <c r="EN507" s="4">
        <v>1232</v>
      </c>
      <c r="EO507" s="4">
        <v>2106</v>
      </c>
      <c r="EP507" s="4">
        <v>1217</v>
      </c>
      <c r="EQ507" s="4">
        <v>2114</v>
      </c>
      <c r="ER507" s="4">
        <v>47.538497999999997</v>
      </c>
    </row>
    <row r="508" spans="1:148" x14ac:dyDescent="0.2">
      <c r="A508" s="1">
        <v>2025</v>
      </c>
      <c r="B508" s="1" t="str">
        <f t="shared" si="14"/>
        <v>RD</v>
      </c>
      <c r="C508" s="1" t="s">
        <v>1914</v>
      </c>
      <c r="D508" s="1" t="s">
        <v>1914</v>
      </c>
      <c r="E508" s="1">
        <v>30974</v>
      </c>
      <c r="F508" s="1" t="s">
        <v>2264</v>
      </c>
      <c r="G508" s="1" t="s">
        <v>1463</v>
      </c>
      <c r="H508" s="1" t="s">
        <v>2001</v>
      </c>
      <c r="I508" s="1">
        <v>60.35</v>
      </c>
      <c r="J508" s="1">
        <v>60.35</v>
      </c>
      <c r="K508" s="1" t="s">
        <v>210</v>
      </c>
      <c r="L508" s="1">
        <v>1</v>
      </c>
      <c r="M508" s="3">
        <v>2020</v>
      </c>
      <c r="O508" s="1">
        <v>2</v>
      </c>
      <c r="P508" s="1" t="str">
        <f t="shared" si="15"/>
        <v>Talhadia</v>
      </c>
      <c r="Q508" s="2">
        <v>43915</v>
      </c>
      <c r="R508" s="1" t="s">
        <v>227</v>
      </c>
      <c r="S508" s="1" t="s">
        <v>163</v>
      </c>
      <c r="T508" s="1" t="s">
        <v>2268</v>
      </c>
      <c r="U508" s="1" t="s">
        <v>212</v>
      </c>
      <c r="V508" s="1" t="s">
        <v>152</v>
      </c>
      <c r="W508" s="2">
        <v>44846</v>
      </c>
      <c r="X508" s="1" t="s">
        <v>1465</v>
      </c>
      <c r="Y508" s="1">
        <v>60.35</v>
      </c>
      <c r="Z508" s="1">
        <v>20</v>
      </c>
      <c r="AA508" s="1">
        <v>18</v>
      </c>
      <c r="AB508" s="1">
        <v>16.2</v>
      </c>
      <c r="AC508" s="1">
        <v>2</v>
      </c>
      <c r="AD508" s="3">
        <v>324</v>
      </c>
      <c r="AE508" s="3">
        <v>307.95459930932498</v>
      </c>
      <c r="AF508" s="2">
        <v>45762</v>
      </c>
      <c r="AG508" s="1">
        <v>61</v>
      </c>
      <c r="AH508" s="3">
        <v>5.0568104038329897</v>
      </c>
      <c r="AI508" s="4">
        <v>21.092040111723101</v>
      </c>
      <c r="AJ508" s="4">
        <v>12.331428571428599</v>
      </c>
      <c r="AK508" s="4">
        <v>13.8883457389862</v>
      </c>
      <c r="AL508" s="1">
        <v>35</v>
      </c>
      <c r="AM508" s="5">
        <v>1136.5311665582301</v>
      </c>
      <c r="AN508" s="4">
        <v>136.87060872318301</v>
      </c>
      <c r="AO508" s="4">
        <v>0.12042838133306</v>
      </c>
      <c r="AP508" s="1" t="s">
        <v>163</v>
      </c>
      <c r="AQ508" s="1" t="s">
        <v>254</v>
      </c>
      <c r="AR508" s="1" t="s">
        <v>282</v>
      </c>
      <c r="AS508" s="1">
        <v>7.5</v>
      </c>
      <c r="AT508" s="4">
        <v>0.85239837491867265</v>
      </c>
      <c r="AU508" s="1" t="s">
        <v>1913</v>
      </c>
      <c r="AV508" s="1" t="s">
        <v>1914</v>
      </c>
      <c r="AW508" s="1">
        <v>1045</v>
      </c>
      <c r="AX508" s="1">
        <v>558</v>
      </c>
      <c r="AY508" s="1">
        <v>358</v>
      </c>
      <c r="AZ508" s="1">
        <v>113</v>
      </c>
      <c r="BA508" s="1">
        <v>15</v>
      </c>
      <c r="BB508" s="1">
        <v>1</v>
      </c>
      <c r="BC508" s="1">
        <v>0</v>
      </c>
      <c r="BD508" s="1">
        <v>0</v>
      </c>
      <c r="BE508" s="1">
        <v>0</v>
      </c>
      <c r="BF508" s="1">
        <v>0</v>
      </c>
      <c r="BG508" s="1">
        <v>0</v>
      </c>
      <c r="BH508" s="4">
        <v>0</v>
      </c>
      <c r="BI508" s="4">
        <v>24.347999999999999</v>
      </c>
      <c r="BJ508" s="4">
        <v>8.8498819999999991</v>
      </c>
      <c r="BK508" s="4">
        <v>0</v>
      </c>
      <c r="BL508" s="4">
        <v>9.0209189999999992</v>
      </c>
      <c r="BM508" s="4">
        <v>81.376983999999993</v>
      </c>
      <c r="BN508" s="4">
        <v>1.019326</v>
      </c>
      <c r="BO508" s="4">
        <v>17.652000000000001</v>
      </c>
      <c r="BP508" s="4">
        <v>0.29943399999999998</v>
      </c>
      <c r="BQ508" s="4">
        <v>1.40659</v>
      </c>
      <c r="BR508" s="4">
        <v>8.4336339999999996</v>
      </c>
      <c r="BS508" s="4">
        <v>6.8129999999999997</v>
      </c>
      <c r="BT508" s="4">
        <v>6.827</v>
      </c>
      <c r="BU508" s="4">
        <v>8.8498819999999991</v>
      </c>
      <c r="BV508" s="4">
        <v>4.9398090000000003</v>
      </c>
      <c r="BW508" s="4">
        <v>0.82202500000000001</v>
      </c>
      <c r="BX508" s="4">
        <v>-0.65948600000000002</v>
      </c>
      <c r="BY508" s="4">
        <v>0.55817799999999995</v>
      </c>
      <c r="BZ508" s="4">
        <v>0.166408</v>
      </c>
      <c r="CA508" s="4">
        <v>-0.13350400000000001</v>
      </c>
      <c r="CB508" s="4">
        <v>1E-3</v>
      </c>
      <c r="CC508" s="4">
        <v>6.0000000000000001E-3</v>
      </c>
      <c r="CD508" s="4">
        <v>1.2E-2</v>
      </c>
      <c r="CE508" s="4">
        <v>2.9000000000000001E-2</v>
      </c>
      <c r="CF508" s="4">
        <v>3.9E-2</v>
      </c>
      <c r="CG508" s="4">
        <v>5.7000000000000002E-2</v>
      </c>
      <c r="CH508" s="4">
        <v>0.1198</v>
      </c>
      <c r="CI508" s="4">
        <v>6.827</v>
      </c>
      <c r="CJ508" s="4">
        <v>12.932402</v>
      </c>
      <c r="CK508" s="4">
        <v>16.004999000000002</v>
      </c>
      <c r="CL508" s="4">
        <v>17.690999999999999</v>
      </c>
      <c r="CM508" s="4">
        <v>19.372999</v>
      </c>
      <c r="CN508" s="4">
        <v>21.755400000000002</v>
      </c>
      <c r="CO508" s="4">
        <v>22.561800000000002</v>
      </c>
      <c r="CP508" s="4">
        <v>23.754004999999999</v>
      </c>
      <c r="CQ508" s="4">
        <v>0.36347499999999999</v>
      </c>
      <c r="CR508" s="4">
        <v>12.634062</v>
      </c>
      <c r="CS508" s="4">
        <v>14.535685000000001</v>
      </c>
      <c r="CT508" s="1">
        <v>21</v>
      </c>
      <c r="CU508" s="1">
        <v>550</v>
      </c>
      <c r="CV508" s="4">
        <v>151.79425800000001</v>
      </c>
      <c r="CW508" s="4">
        <v>37.793650999999997</v>
      </c>
      <c r="CX508" s="4">
        <v>128.910706</v>
      </c>
      <c r="CY508" s="4">
        <v>16617.970079999999</v>
      </c>
      <c r="CZ508" s="4">
        <v>0.84924599999999995</v>
      </c>
      <c r="DA508" s="4">
        <v>151</v>
      </c>
      <c r="DB508" s="4">
        <v>1.1804809999999999</v>
      </c>
      <c r="DC508" s="4">
        <v>3.1102289999999999</v>
      </c>
      <c r="DD508" s="4">
        <v>104.092507</v>
      </c>
      <c r="DE508" s="4">
        <v>151.79425800000001</v>
      </c>
      <c r="DF508" s="4">
        <v>67.129947000000001</v>
      </c>
      <c r="DG508" s="4">
        <v>23.399512000000001</v>
      </c>
      <c r="DH508" s="4">
        <v>6.4449059999999996</v>
      </c>
      <c r="DI508" s="4">
        <v>0.442243</v>
      </c>
      <c r="DJ508" s="4">
        <v>0.34856999999999999</v>
      </c>
      <c r="DK508" s="4">
        <v>9.6005999999999994E-2</v>
      </c>
      <c r="DL508" s="4">
        <v>28.439999</v>
      </c>
      <c r="DM508" s="4">
        <v>33</v>
      </c>
      <c r="DN508" s="4">
        <v>39</v>
      </c>
      <c r="DO508" s="4">
        <v>49</v>
      </c>
      <c r="DP508" s="4">
        <v>55</v>
      </c>
      <c r="DQ508" s="4">
        <v>62</v>
      </c>
      <c r="DR508" s="4">
        <v>79</v>
      </c>
      <c r="DS508" s="4">
        <v>98</v>
      </c>
      <c r="DT508" s="4">
        <v>126</v>
      </c>
      <c r="DU508" s="4">
        <v>165</v>
      </c>
      <c r="DV508" s="4">
        <v>206</v>
      </c>
      <c r="DW508" s="4">
        <v>272.20001200000002</v>
      </c>
      <c r="DX508" s="4">
        <v>386.59997600000003</v>
      </c>
      <c r="DY508" s="4">
        <v>425.79998799999998</v>
      </c>
      <c r="DZ508" s="4">
        <v>477.56005900000002</v>
      </c>
      <c r="EA508" s="4">
        <v>67.383512999999994</v>
      </c>
      <c r="EB508" s="4">
        <v>53.110047999999999</v>
      </c>
      <c r="EC508" s="4">
        <v>99.462366000000003</v>
      </c>
      <c r="ED508" s="4">
        <v>376</v>
      </c>
      <c r="EE508" s="4">
        <v>555</v>
      </c>
      <c r="EF508" s="4">
        <v>62.724013999999997</v>
      </c>
      <c r="EG508" s="4">
        <v>99.462366000000003</v>
      </c>
      <c r="EH508" s="4">
        <v>47.751196</v>
      </c>
      <c r="EI508" s="4">
        <v>99.043062000000006</v>
      </c>
      <c r="EJ508" s="4">
        <v>89.426523000000003</v>
      </c>
      <c r="EK508" s="4">
        <v>185.48387099999999</v>
      </c>
      <c r="EL508" s="4">
        <v>350</v>
      </c>
      <c r="EM508" s="4">
        <v>555</v>
      </c>
      <c r="EN508" s="4">
        <v>499</v>
      </c>
      <c r="EO508" s="4">
        <v>1035</v>
      </c>
      <c r="EP508" s="4">
        <v>558</v>
      </c>
      <c r="EQ508" s="4">
        <v>1045</v>
      </c>
      <c r="ER508" s="4">
        <v>36.218361999999999</v>
      </c>
    </row>
    <row r="509" spans="1:148" x14ac:dyDescent="0.2">
      <c r="A509" s="1">
        <v>2025</v>
      </c>
      <c r="B509" s="1" t="str">
        <f t="shared" si="14"/>
        <v>RD</v>
      </c>
      <c r="C509" s="1" t="s">
        <v>1916</v>
      </c>
      <c r="D509" s="1" t="s">
        <v>1916</v>
      </c>
      <c r="E509" s="1">
        <v>25767</v>
      </c>
      <c r="F509" s="1" t="s">
        <v>2126</v>
      </c>
      <c r="G509" s="1" t="s">
        <v>1136</v>
      </c>
      <c r="H509" s="1" t="s">
        <v>1137</v>
      </c>
      <c r="I509" s="1">
        <v>38.32</v>
      </c>
      <c r="J509" s="1">
        <v>38.32</v>
      </c>
      <c r="K509" s="1" t="s">
        <v>495</v>
      </c>
      <c r="L509" s="1">
        <v>1</v>
      </c>
      <c r="M509" s="3">
        <v>2017</v>
      </c>
      <c r="O509" s="1">
        <v>1</v>
      </c>
      <c r="P509" s="1" t="str">
        <f t="shared" si="15"/>
        <v>Alto fuste</v>
      </c>
      <c r="Q509" s="2">
        <v>43089</v>
      </c>
      <c r="R509" s="1" t="s">
        <v>169</v>
      </c>
      <c r="S509" s="1" t="s">
        <v>348</v>
      </c>
      <c r="T509" s="1" t="s">
        <v>2268</v>
      </c>
      <c r="U509" s="1" t="s">
        <v>495</v>
      </c>
      <c r="V509" s="1" t="s">
        <v>152</v>
      </c>
      <c r="W509" s="2">
        <v>45736</v>
      </c>
      <c r="X509" s="1" t="s">
        <v>1138</v>
      </c>
      <c r="Y509" s="1">
        <v>66.100000000000009</v>
      </c>
      <c r="Z509" s="1">
        <v>21.6</v>
      </c>
      <c r="AA509" s="1">
        <v>30</v>
      </c>
      <c r="AB509" s="1">
        <v>14.3</v>
      </c>
      <c r="AC509" s="1">
        <v>7</v>
      </c>
      <c r="AD509" s="3">
        <v>308.88</v>
      </c>
      <c r="AE509" s="3">
        <v>265.504037738899</v>
      </c>
      <c r="AF509" s="2">
        <v>45736</v>
      </c>
      <c r="AG509" s="1">
        <v>87</v>
      </c>
      <c r="AH509" s="3">
        <v>7.2470910335386698</v>
      </c>
      <c r="AI509" s="4">
        <v>26.9427817855547</v>
      </c>
      <c r="AJ509" s="4">
        <v>15.3368421052632</v>
      </c>
      <c r="AK509" s="4">
        <v>27.3926147707604</v>
      </c>
      <c r="AL509" s="1">
        <v>38</v>
      </c>
      <c r="AM509" s="5">
        <v>1431.2400038665301</v>
      </c>
      <c r="AN509" s="4">
        <v>345.14479495090302</v>
      </c>
      <c r="AO509" s="4">
        <v>0.24115088595797099</v>
      </c>
      <c r="AP509" s="1" t="s">
        <v>348</v>
      </c>
      <c r="AQ509" s="1" t="s">
        <v>156</v>
      </c>
      <c r="AR509" s="1" t="s">
        <v>282</v>
      </c>
      <c r="AS509" s="1">
        <v>9</v>
      </c>
      <c r="AT509" s="4">
        <v>1.2881160034798771</v>
      </c>
      <c r="AU509" s="1" t="s">
        <v>1915</v>
      </c>
      <c r="AV509" s="1" t="s">
        <v>1916</v>
      </c>
      <c r="AW509" s="1">
        <v>1258</v>
      </c>
      <c r="AX509" s="1">
        <v>755</v>
      </c>
      <c r="AY509" s="1">
        <v>393</v>
      </c>
      <c r="AZ509" s="1">
        <v>99</v>
      </c>
      <c r="BA509" s="1">
        <v>9</v>
      </c>
      <c r="BB509" s="1">
        <v>2</v>
      </c>
      <c r="BC509" s="1">
        <v>0</v>
      </c>
      <c r="BD509" s="1">
        <v>0</v>
      </c>
      <c r="BE509" s="1">
        <v>0</v>
      </c>
      <c r="BF509" s="1">
        <v>0</v>
      </c>
      <c r="BG509" s="1">
        <v>0</v>
      </c>
      <c r="BH509" s="4">
        <v>0</v>
      </c>
      <c r="BI509" s="4">
        <v>30.959999</v>
      </c>
      <c r="BJ509" s="4">
        <v>14.417154999999999</v>
      </c>
      <c r="BK509" s="4">
        <v>0</v>
      </c>
      <c r="BL509" s="4">
        <v>12.575908</v>
      </c>
      <c r="BM509" s="4">
        <v>158.15347199999999</v>
      </c>
      <c r="BN509" s="4">
        <v>0.87228799999999995</v>
      </c>
      <c r="BO509" s="4">
        <v>25.835999999999999</v>
      </c>
      <c r="BP509" s="4">
        <v>-5.6874000000000001E-2</v>
      </c>
      <c r="BQ509" s="4">
        <v>1.1252059999999999</v>
      </c>
      <c r="BR509" s="4">
        <v>12.204893</v>
      </c>
      <c r="BS509" s="4">
        <v>10.138498</v>
      </c>
      <c r="BT509" s="4">
        <v>19.205501999999999</v>
      </c>
      <c r="BU509" s="4">
        <v>14.417154999999999</v>
      </c>
      <c r="BV509" s="4">
        <v>6.7919159999999996</v>
      </c>
      <c r="BW509" s="4">
        <v>-1.5617000000000001E-2</v>
      </c>
      <c r="BX509" s="4">
        <v>-1.2848660000000001</v>
      </c>
      <c r="BY509" s="4">
        <v>0.47110000000000002</v>
      </c>
      <c r="BZ509" s="4">
        <v>-2.2989999999999998E-3</v>
      </c>
      <c r="CA509" s="4">
        <v>-0.18917600000000001</v>
      </c>
      <c r="CB509" s="4">
        <v>6.0000000000000001E-3</v>
      </c>
      <c r="CC509" s="4">
        <v>3.6850000000000001E-2</v>
      </c>
      <c r="CD509" s="4">
        <v>0.1144</v>
      </c>
      <c r="CE509" s="4">
        <v>0.69620000000000004</v>
      </c>
      <c r="CF509" s="4">
        <v>0.98299999999999998</v>
      </c>
      <c r="CG509" s="4">
        <v>1.3130999999999999</v>
      </c>
      <c r="CH509" s="4">
        <v>2.0047999999999999</v>
      </c>
      <c r="CI509" s="4">
        <v>19.205501999999999</v>
      </c>
      <c r="CJ509" s="4">
        <v>25.147600000000001</v>
      </c>
      <c r="CK509" s="4">
        <v>26.393801</v>
      </c>
      <c r="CL509" s="4">
        <v>26.818999999999999</v>
      </c>
      <c r="CM509" s="4">
        <v>27.3568</v>
      </c>
      <c r="CN509" s="4">
        <v>28.4893</v>
      </c>
      <c r="CO509" s="4">
        <v>29.289650000000002</v>
      </c>
      <c r="CP509" s="4">
        <v>30.344771999999999</v>
      </c>
      <c r="CQ509" s="4">
        <v>0.46566999999999997</v>
      </c>
      <c r="CR509" s="4">
        <v>19.128045</v>
      </c>
      <c r="CS509" s="4">
        <v>21.340309000000001</v>
      </c>
      <c r="CT509" s="1">
        <v>24</v>
      </c>
      <c r="CU509" s="1">
        <v>635</v>
      </c>
      <c r="CV509" s="4">
        <v>193.489666</v>
      </c>
      <c r="CW509" s="4">
        <v>33.698413000000002</v>
      </c>
      <c r="CX509" s="4">
        <v>134.698001</v>
      </c>
      <c r="CY509" s="4">
        <v>18143.551599999999</v>
      </c>
      <c r="CZ509" s="4">
        <v>0.69615099999999996</v>
      </c>
      <c r="DA509" s="4">
        <v>193.5</v>
      </c>
      <c r="DB509" s="4">
        <v>0.84297200000000005</v>
      </c>
      <c r="DC509" s="4">
        <v>2.9338839999999999</v>
      </c>
      <c r="DD509" s="4">
        <v>109.940476</v>
      </c>
      <c r="DE509" s="4">
        <v>193.489666</v>
      </c>
      <c r="DF509" s="4">
        <v>74.575784999999996</v>
      </c>
      <c r="DG509" s="4">
        <v>15.328003000000001</v>
      </c>
      <c r="DH509" s="4">
        <v>5.2697640000000003</v>
      </c>
      <c r="DI509" s="4">
        <v>0.38542500000000002</v>
      </c>
      <c r="DJ509" s="4">
        <v>0.205536</v>
      </c>
      <c r="DK509" s="4">
        <v>7.0663000000000004E-2</v>
      </c>
      <c r="DL509" s="4">
        <v>27.57</v>
      </c>
      <c r="DM509" s="4">
        <v>35</v>
      </c>
      <c r="DN509" s="4">
        <v>46</v>
      </c>
      <c r="DO509" s="4">
        <v>67.399994000000007</v>
      </c>
      <c r="DP509" s="4">
        <v>78.25</v>
      </c>
      <c r="DQ509" s="4">
        <v>94</v>
      </c>
      <c r="DR509" s="4">
        <v>129</v>
      </c>
      <c r="DS509" s="4">
        <v>165.5</v>
      </c>
      <c r="DT509" s="4">
        <v>203.20001199999999</v>
      </c>
      <c r="DU509" s="4">
        <v>247.900024</v>
      </c>
      <c r="DV509" s="4">
        <v>271.75</v>
      </c>
      <c r="DW509" s="4">
        <v>307</v>
      </c>
      <c r="DX509" s="4">
        <v>402.300049</v>
      </c>
      <c r="DY509" s="4">
        <v>461.45007299999997</v>
      </c>
      <c r="DZ509" s="4">
        <v>554.16064500000005</v>
      </c>
      <c r="EA509" s="4">
        <v>77.880795000000006</v>
      </c>
      <c r="EB509" s="4">
        <v>56.597774000000001</v>
      </c>
      <c r="EC509" s="4">
        <v>94.304636000000002</v>
      </c>
      <c r="ED509" s="4">
        <v>588</v>
      </c>
      <c r="EE509" s="4">
        <v>712</v>
      </c>
      <c r="EF509" s="4">
        <v>74.172184999999999</v>
      </c>
      <c r="EG509" s="4">
        <v>100</v>
      </c>
      <c r="EH509" s="4">
        <v>52.464229000000003</v>
      </c>
      <c r="EI509" s="4">
        <v>99.841016999999994</v>
      </c>
      <c r="EJ509" s="4">
        <v>87.417219000000003</v>
      </c>
      <c r="EK509" s="4">
        <v>166.35761600000001</v>
      </c>
      <c r="EL509" s="4">
        <v>560</v>
      </c>
      <c r="EM509" s="4">
        <v>755</v>
      </c>
      <c r="EN509" s="4">
        <v>660</v>
      </c>
      <c r="EO509" s="4">
        <v>1256</v>
      </c>
      <c r="EP509" s="4">
        <v>755</v>
      </c>
      <c r="EQ509" s="4">
        <v>1258</v>
      </c>
      <c r="ER509" s="4">
        <v>46.511401999999997</v>
      </c>
    </row>
    <row r="510" spans="1:148" x14ac:dyDescent="0.2">
      <c r="A510" s="1">
        <v>2025</v>
      </c>
      <c r="B510" s="1" t="str">
        <f t="shared" si="14"/>
        <v>RD</v>
      </c>
      <c r="C510" s="1" t="s">
        <v>1918</v>
      </c>
      <c r="D510" s="1" t="s">
        <v>1918</v>
      </c>
      <c r="E510" s="1">
        <v>25771</v>
      </c>
      <c r="F510" s="1" t="s">
        <v>2126</v>
      </c>
      <c r="G510" s="1" t="s">
        <v>1136</v>
      </c>
      <c r="H510" s="1" t="s">
        <v>1137</v>
      </c>
      <c r="I510" s="1">
        <v>38.32</v>
      </c>
      <c r="J510" s="1">
        <v>38.32</v>
      </c>
      <c r="K510" s="1" t="s">
        <v>495</v>
      </c>
      <c r="L510" s="1">
        <v>1</v>
      </c>
      <c r="M510" s="3">
        <v>2017</v>
      </c>
      <c r="O510" s="1">
        <v>1</v>
      </c>
      <c r="P510" s="1" t="str">
        <f t="shared" si="15"/>
        <v>Alto fuste</v>
      </c>
      <c r="Q510" s="2">
        <v>43089</v>
      </c>
      <c r="R510" s="1" t="s">
        <v>169</v>
      </c>
      <c r="S510" s="1" t="s">
        <v>348</v>
      </c>
      <c r="T510" s="1" t="s">
        <v>2268</v>
      </c>
      <c r="U510" s="1" t="s">
        <v>495</v>
      </c>
      <c r="V510" s="1" t="s">
        <v>152</v>
      </c>
      <c r="W510" s="2">
        <v>44847</v>
      </c>
      <c r="X510" s="1" t="s">
        <v>1138</v>
      </c>
      <c r="Y510" s="1">
        <v>66.100000000000009</v>
      </c>
      <c r="Z510" s="1">
        <v>20</v>
      </c>
      <c r="AA510" s="1">
        <v>15</v>
      </c>
      <c r="AB510" s="1">
        <v>15.1</v>
      </c>
      <c r="AC510" s="1">
        <v>1</v>
      </c>
      <c r="AD510" s="3">
        <v>302</v>
      </c>
      <c r="AE510" s="3">
        <v>291.66517075436201</v>
      </c>
      <c r="AF510" s="2">
        <v>45736</v>
      </c>
      <c r="AG510" s="1">
        <v>87</v>
      </c>
      <c r="AH510" s="3">
        <v>7.2470910335386698</v>
      </c>
      <c r="AI510" s="4">
        <v>27.139145410601699</v>
      </c>
      <c r="AJ510" s="4">
        <v>16.3071428571429</v>
      </c>
      <c r="AK510" s="4">
        <v>20.7876123128665</v>
      </c>
      <c r="AL510" s="1">
        <v>28</v>
      </c>
      <c r="AM510" s="5">
        <v>960.00492371375401</v>
      </c>
      <c r="AN510" s="4">
        <v>262.46055677795601</v>
      </c>
      <c r="AO510" s="4">
        <v>0.27339501110331199</v>
      </c>
      <c r="AP510" s="1" t="s">
        <v>348</v>
      </c>
      <c r="AQ510" s="1" t="s">
        <v>156</v>
      </c>
      <c r="AR510" s="1" t="s">
        <v>282</v>
      </c>
      <c r="AS510" s="1">
        <v>9</v>
      </c>
      <c r="AT510" s="4">
        <v>0.86400443134237859</v>
      </c>
      <c r="AU510" s="1" t="s">
        <v>1917</v>
      </c>
      <c r="AV510" s="1" t="s">
        <v>1918</v>
      </c>
      <c r="AW510" s="1">
        <v>1203</v>
      </c>
      <c r="AX510" s="1">
        <v>787</v>
      </c>
      <c r="AY510" s="1">
        <v>324</v>
      </c>
      <c r="AZ510" s="1">
        <v>83</v>
      </c>
      <c r="BA510" s="1">
        <v>8</v>
      </c>
      <c r="BB510" s="1">
        <v>1</v>
      </c>
      <c r="BC510" s="1">
        <v>0</v>
      </c>
      <c r="BD510" s="1">
        <v>0</v>
      </c>
      <c r="BE510" s="1">
        <v>0</v>
      </c>
      <c r="BF510" s="1">
        <v>0</v>
      </c>
      <c r="BG510" s="1">
        <v>0</v>
      </c>
      <c r="BH510" s="4">
        <v>0</v>
      </c>
      <c r="BI510" s="4">
        <v>31.033000999999999</v>
      </c>
      <c r="BJ510" s="4">
        <v>16.894393999999998</v>
      </c>
      <c r="BK510" s="4">
        <v>0</v>
      </c>
      <c r="BL510" s="4">
        <v>11.843026999999999</v>
      </c>
      <c r="BM510" s="4">
        <v>140.257285</v>
      </c>
      <c r="BN510" s="4">
        <v>0.70100300000000004</v>
      </c>
      <c r="BO510" s="4">
        <v>24.703999</v>
      </c>
      <c r="BP510" s="4">
        <v>-0.53589200000000003</v>
      </c>
      <c r="BQ510" s="4">
        <v>1.4227190000000001</v>
      </c>
      <c r="BR510" s="4">
        <v>11.089677999999999</v>
      </c>
      <c r="BS510" s="4">
        <v>3.1869999999999998</v>
      </c>
      <c r="BT510" s="4">
        <v>24.646999000000001</v>
      </c>
      <c r="BU510" s="4">
        <v>16.894393999999998</v>
      </c>
      <c r="BV510" s="4">
        <v>6.2395100000000001</v>
      </c>
      <c r="BW510" s="4">
        <v>-1.2840469999999999</v>
      </c>
      <c r="BX510" s="4">
        <v>-0.711086</v>
      </c>
      <c r="BY510" s="4">
        <v>0.36932399999999999</v>
      </c>
      <c r="BZ510" s="4">
        <v>-0.205793</v>
      </c>
      <c r="CA510" s="4">
        <v>-0.113965</v>
      </c>
      <c r="CB510" s="4">
        <v>2E-3</v>
      </c>
      <c r="CC510" s="4">
        <v>1.0999999999999999E-2</v>
      </c>
      <c r="CD510" s="4">
        <v>2.7E-2</v>
      </c>
      <c r="CE510" s="4">
        <v>0.4108</v>
      </c>
      <c r="CF510" s="4">
        <v>1.6865000000000001</v>
      </c>
      <c r="CG510" s="4">
        <v>2.6936</v>
      </c>
      <c r="CH510" s="4">
        <v>19.609400000000001</v>
      </c>
      <c r="CI510" s="4">
        <v>24.646999000000001</v>
      </c>
      <c r="CJ510" s="4">
        <v>25.410999</v>
      </c>
      <c r="CK510" s="4">
        <v>26.055600999999999</v>
      </c>
      <c r="CL510" s="4">
        <v>26.390498999999998</v>
      </c>
      <c r="CM510" s="4">
        <v>26.764999</v>
      </c>
      <c r="CN510" s="4">
        <v>27.648201</v>
      </c>
      <c r="CO510" s="4">
        <v>28.4834</v>
      </c>
      <c r="CP510" s="4">
        <v>29.811458999999999</v>
      </c>
      <c r="CQ510" s="4">
        <v>0.54440100000000002</v>
      </c>
      <c r="CR510" s="4">
        <v>20.629135999999999</v>
      </c>
      <c r="CS510" s="4">
        <v>22.263604999999998</v>
      </c>
      <c r="CT510" s="1">
        <v>25</v>
      </c>
      <c r="CU510" s="1">
        <v>552</v>
      </c>
      <c r="CV510" s="4">
        <v>159.73898600000001</v>
      </c>
      <c r="CW510" s="4">
        <v>50.095238000000002</v>
      </c>
      <c r="CX510" s="4">
        <v>103.992768</v>
      </c>
      <c r="CY510" s="4">
        <v>10814.49588</v>
      </c>
      <c r="CZ510" s="4">
        <v>0.65101699999999996</v>
      </c>
      <c r="DA510" s="4">
        <v>142</v>
      </c>
      <c r="DB510" s="4">
        <v>1.054594</v>
      </c>
      <c r="DC510" s="4">
        <v>4.0726509999999996</v>
      </c>
      <c r="DD510" s="4">
        <v>82.068217000000004</v>
      </c>
      <c r="DE510" s="4">
        <v>159.73898600000001</v>
      </c>
      <c r="DF510" s="4">
        <v>56.680377999999997</v>
      </c>
      <c r="DG510" s="4">
        <v>11.204313000000001</v>
      </c>
      <c r="DH510" s="4">
        <v>6.0147349999999999</v>
      </c>
      <c r="DI510" s="4">
        <v>0.35483100000000001</v>
      </c>
      <c r="DJ510" s="4">
        <v>0.19767499999999999</v>
      </c>
      <c r="DK510" s="4">
        <v>0.106117</v>
      </c>
      <c r="DL510" s="4">
        <v>29</v>
      </c>
      <c r="DM510" s="4">
        <v>34.099997999999999</v>
      </c>
      <c r="DN510" s="4">
        <v>44</v>
      </c>
      <c r="DO510" s="4">
        <v>63</v>
      </c>
      <c r="DP510" s="4">
        <v>74</v>
      </c>
      <c r="DQ510" s="4">
        <v>88.600005999999993</v>
      </c>
      <c r="DR510" s="4">
        <v>116</v>
      </c>
      <c r="DS510" s="4">
        <v>143</v>
      </c>
      <c r="DT510" s="4">
        <v>169.20001199999999</v>
      </c>
      <c r="DU510" s="4">
        <v>202.400024</v>
      </c>
      <c r="DV510" s="4">
        <v>216</v>
      </c>
      <c r="DW510" s="4">
        <v>236.599976</v>
      </c>
      <c r="DX510" s="4">
        <v>294</v>
      </c>
      <c r="DY510" s="4">
        <v>364.90002399999997</v>
      </c>
      <c r="DZ510" s="4">
        <v>492.81982399999998</v>
      </c>
      <c r="EA510" s="4">
        <v>87.039389999999997</v>
      </c>
      <c r="EB510" s="4">
        <v>69.243557999999993</v>
      </c>
      <c r="EC510" s="4">
        <v>105.844981</v>
      </c>
      <c r="ED510" s="4">
        <v>685</v>
      </c>
      <c r="EE510" s="4">
        <v>833</v>
      </c>
      <c r="EF510" s="4">
        <v>82.083862999999994</v>
      </c>
      <c r="EG510" s="4">
        <v>100</v>
      </c>
      <c r="EH510" s="4">
        <v>62.593516000000001</v>
      </c>
      <c r="EI510" s="4">
        <v>99.916874000000007</v>
      </c>
      <c r="EJ510" s="4">
        <v>95.679796999999994</v>
      </c>
      <c r="EK510" s="4">
        <v>152.73189300000001</v>
      </c>
      <c r="EL510" s="4">
        <v>646</v>
      </c>
      <c r="EM510" s="4">
        <v>787</v>
      </c>
      <c r="EN510" s="4">
        <v>753</v>
      </c>
      <c r="EO510" s="4">
        <v>1202</v>
      </c>
      <c r="EP510" s="4">
        <v>787</v>
      </c>
      <c r="EQ510" s="4">
        <v>1203</v>
      </c>
      <c r="ER510" s="4">
        <v>55.663541000000002</v>
      </c>
    </row>
    <row r="511" spans="1:148" x14ac:dyDescent="0.2">
      <c r="A511" s="1">
        <v>2025</v>
      </c>
      <c r="B511" s="1" t="str">
        <f t="shared" si="14"/>
        <v>RD</v>
      </c>
      <c r="C511" s="1" t="s">
        <v>1920</v>
      </c>
      <c r="D511" s="1" t="s">
        <v>1920</v>
      </c>
      <c r="E511" s="1">
        <v>30809</v>
      </c>
      <c r="F511" s="1" t="s">
        <v>2126</v>
      </c>
      <c r="G511" s="1" t="s">
        <v>1136</v>
      </c>
      <c r="H511" s="1" t="s">
        <v>1137</v>
      </c>
      <c r="I511" s="1">
        <v>38.32</v>
      </c>
      <c r="J511" s="1">
        <v>38.32</v>
      </c>
      <c r="K511" s="1" t="s">
        <v>495</v>
      </c>
      <c r="L511" s="1">
        <v>1</v>
      </c>
      <c r="M511" s="3">
        <v>2017</v>
      </c>
      <c r="O511" s="1">
        <v>1</v>
      </c>
      <c r="P511" s="1" t="str">
        <f t="shared" si="15"/>
        <v>Alto fuste</v>
      </c>
      <c r="Q511" s="2">
        <v>43089</v>
      </c>
      <c r="R511" s="1" t="s">
        <v>169</v>
      </c>
      <c r="S511" s="1" t="s">
        <v>348</v>
      </c>
      <c r="T511" s="1" t="s">
        <v>2268</v>
      </c>
      <c r="U511" s="1" t="s">
        <v>495</v>
      </c>
      <c r="V511" s="1" t="s">
        <v>152</v>
      </c>
      <c r="W511" s="2">
        <v>45736</v>
      </c>
      <c r="X511" s="1" t="s">
        <v>1138</v>
      </c>
      <c r="Y511" s="1">
        <v>66.100000000000009</v>
      </c>
      <c r="Z511" s="1">
        <v>19.600000000000001</v>
      </c>
      <c r="AA511" s="1">
        <v>3</v>
      </c>
      <c r="AB511" s="1">
        <v>15.5</v>
      </c>
      <c r="AC511" s="1">
        <v>0</v>
      </c>
      <c r="AD511" s="3">
        <v>303.8</v>
      </c>
      <c r="AE511" s="3">
        <v>303.38365265843998</v>
      </c>
      <c r="AF511" s="2">
        <v>45736</v>
      </c>
      <c r="AG511" s="1">
        <v>87</v>
      </c>
      <c r="AH511" s="3">
        <v>7.2470910335386698</v>
      </c>
      <c r="AI511" s="4">
        <v>27.781904473642101</v>
      </c>
      <c r="AJ511" s="4">
        <v>16.896296296296299</v>
      </c>
      <c r="AK511" s="4">
        <v>20.606758534004399</v>
      </c>
      <c r="AL511" s="1">
        <v>27</v>
      </c>
      <c r="AM511" s="5">
        <v>889.96225615351705</v>
      </c>
      <c r="AN511" s="4">
        <v>264.407206945415</v>
      </c>
      <c r="AO511" s="4">
        <v>0.29709934900857699</v>
      </c>
      <c r="AP511" s="1" t="s">
        <v>348</v>
      </c>
      <c r="AQ511" s="1" t="s">
        <v>156</v>
      </c>
      <c r="AR511" s="1" t="s">
        <v>282</v>
      </c>
      <c r="AS511" s="1">
        <v>9</v>
      </c>
      <c r="AT511" s="4">
        <v>0.8009660305381654</v>
      </c>
      <c r="AU511" s="1" t="s">
        <v>1919</v>
      </c>
      <c r="AV511" s="1" t="s">
        <v>1920</v>
      </c>
      <c r="AW511" s="1">
        <v>1200</v>
      </c>
      <c r="AX511" s="1">
        <v>648</v>
      </c>
      <c r="AY511" s="1">
        <v>365</v>
      </c>
      <c r="AZ511" s="1">
        <v>149</v>
      </c>
      <c r="BA511" s="1">
        <v>34</v>
      </c>
      <c r="BB511" s="1">
        <v>4</v>
      </c>
      <c r="BC511" s="1">
        <v>0</v>
      </c>
      <c r="BD511" s="1">
        <v>0</v>
      </c>
      <c r="BE511" s="1">
        <v>0</v>
      </c>
      <c r="BF511" s="1">
        <v>0</v>
      </c>
      <c r="BG511" s="1">
        <v>0</v>
      </c>
      <c r="BH511" s="4">
        <v>0</v>
      </c>
      <c r="BI511" s="4">
        <v>32.235000999999997</v>
      </c>
      <c r="BJ511" s="4">
        <v>17.006786999999999</v>
      </c>
      <c r="BK511" s="4">
        <v>0</v>
      </c>
      <c r="BL511" s="4">
        <v>11.056552999999999</v>
      </c>
      <c r="BM511" s="4">
        <v>122.24737500000001</v>
      </c>
      <c r="BN511" s="4">
        <v>0.65012599999999998</v>
      </c>
      <c r="BO511" s="4">
        <v>21.329501</v>
      </c>
      <c r="BP511" s="4">
        <v>-0.42577999999999999</v>
      </c>
      <c r="BQ511" s="4">
        <v>1.6999390000000001</v>
      </c>
      <c r="BR511" s="4">
        <v>9.6390969999999996</v>
      </c>
      <c r="BS511" s="4">
        <v>8.4239999999999995</v>
      </c>
      <c r="BT511" s="4">
        <v>19.815999999999999</v>
      </c>
      <c r="BU511" s="4">
        <v>17.006786999999999</v>
      </c>
      <c r="BV511" s="4">
        <v>6.2199679999999997</v>
      </c>
      <c r="BW511" s="4">
        <v>-0.78694600000000003</v>
      </c>
      <c r="BX511" s="4">
        <v>-0.341806</v>
      </c>
      <c r="BY511" s="4">
        <v>0.365734</v>
      </c>
      <c r="BZ511" s="4">
        <v>-0.12651899999999999</v>
      </c>
      <c r="CA511" s="4">
        <v>-5.4953000000000002E-2</v>
      </c>
      <c r="CB511" s="4">
        <v>2E-3</v>
      </c>
      <c r="CC511" s="4">
        <v>1.2999999999999999E-2</v>
      </c>
      <c r="CD511" s="4">
        <v>3.6999999999999998E-2</v>
      </c>
      <c r="CE511" s="4">
        <v>1.2196</v>
      </c>
      <c r="CF511" s="4">
        <v>5.9015000000000004</v>
      </c>
      <c r="CG511" s="4">
        <v>10.080201000000001</v>
      </c>
      <c r="CH511" s="4">
        <v>16.518599999999999</v>
      </c>
      <c r="CI511" s="4">
        <v>19.815999999999999</v>
      </c>
      <c r="CJ511" s="4">
        <v>22.617000999999998</v>
      </c>
      <c r="CK511" s="4">
        <v>26.108499999999999</v>
      </c>
      <c r="CL511" s="4">
        <v>27.231000999999999</v>
      </c>
      <c r="CM511" s="4">
        <v>28.103399</v>
      </c>
      <c r="CN511" s="4">
        <v>29.480298999999999</v>
      </c>
      <c r="CO511" s="4">
        <v>30.389900000000001</v>
      </c>
      <c r="CP511" s="4">
        <v>31.388071</v>
      </c>
      <c r="CQ511" s="4">
        <v>0.52758799999999995</v>
      </c>
      <c r="CR511" s="4">
        <v>20.282413999999999</v>
      </c>
      <c r="CS511" s="4">
        <v>21.950139</v>
      </c>
      <c r="CT511" s="1">
        <v>22</v>
      </c>
      <c r="CU511" s="1">
        <v>600</v>
      </c>
      <c r="CV511" s="4">
        <v>141.46250000000001</v>
      </c>
      <c r="CW511" s="4">
        <v>31.174603000000001</v>
      </c>
      <c r="CX511" s="4">
        <v>108.32143499999999</v>
      </c>
      <c r="CY511" s="4">
        <v>11733.53321</v>
      </c>
      <c r="CZ511" s="4">
        <v>0.76572499999999999</v>
      </c>
      <c r="DA511" s="4">
        <v>132</v>
      </c>
      <c r="DB511" s="4">
        <v>1.528726</v>
      </c>
      <c r="DC511" s="4">
        <v>5.4544329999999999</v>
      </c>
      <c r="DD511" s="4">
        <v>82.586186999999995</v>
      </c>
      <c r="DE511" s="4">
        <v>141.46250000000001</v>
      </c>
      <c r="DF511" s="4">
        <v>56.197265999999999</v>
      </c>
      <c r="DG511" s="4">
        <v>16.962192000000002</v>
      </c>
      <c r="DH511" s="4">
        <v>7.9605240000000004</v>
      </c>
      <c r="DI511" s="4">
        <v>0.39725899999999997</v>
      </c>
      <c r="DJ511" s="4">
        <v>0.30183300000000002</v>
      </c>
      <c r="DK511" s="4">
        <v>0.141653</v>
      </c>
      <c r="DL511" s="4">
        <v>27</v>
      </c>
      <c r="DM511" s="4">
        <v>32</v>
      </c>
      <c r="DN511" s="4">
        <v>38</v>
      </c>
      <c r="DO511" s="4">
        <v>52</v>
      </c>
      <c r="DP511" s="4">
        <v>60</v>
      </c>
      <c r="DQ511" s="4">
        <v>67</v>
      </c>
      <c r="DR511" s="4">
        <v>87</v>
      </c>
      <c r="DS511" s="4">
        <v>109</v>
      </c>
      <c r="DT511" s="4">
        <v>137</v>
      </c>
      <c r="DU511" s="4">
        <v>171.29998800000001</v>
      </c>
      <c r="DV511" s="4">
        <v>192</v>
      </c>
      <c r="DW511" s="4">
        <v>215</v>
      </c>
      <c r="DX511" s="4">
        <v>280.09997600000003</v>
      </c>
      <c r="DY511" s="4">
        <v>371.050049</v>
      </c>
      <c r="DZ511" s="4">
        <v>508.03002900000001</v>
      </c>
      <c r="EA511" s="4">
        <v>91.975308999999996</v>
      </c>
      <c r="EB511" s="4">
        <v>77.583332999999996</v>
      </c>
      <c r="EC511" s="4">
        <v>143.67284000000001</v>
      </c>
      <c r="ED511" s="4">
        <v>596</v>
      </c>
      <c r="EE511" s="4">
        <v>931</v>
      </c>
      <c r="EF511" s="4">
        <v>81.327160000000006</v>
      </c>
      <c r="EG511" s="4">
        <v>99.845679000000004</v>
      </c>
      <c r="EH511" s="4">
        <v>58.583333000000003</v>
      </c>
      <c r="EI511" s="4">
        <v>99.916667000000004</v>
      </c>
      <c r="EJ511" s="4">
        <v>108.48765400000001</v>
      </c>
      <c r="EK511" s="4">
        <v>185.03086400000001</v>
      </c>
      <c r="EL511" s="4">
        <v>527</v>
      </c>
      <c r="EM511" s="4">
        <v>647</v>
      </c>
      <c r="EN511" s="4">
        <v>703</v>
      </c>
      <c r="EO511" s="4">
        <v>1199</v>
      </c>
      <c r="EP511" s="4">
        <v>648</v>
      </c>
      <c r="EQ511" s="4">
        <v>1200</v>
      </c>
      <c r="ER511" s="4">
        <v>53.171081000000001</v>
      </c>
    </row>
    <row r="512" spans="1:148" x14ac:dyDescent="0.2">
      <c r="A512" s="1">
        <v>2025</v>
      </c>
      <c r="B512" s="1" t="str">
        <f t="shared" si="14"/>
        <v>RD</v>
      </c>
      <c r="C512" s="1" t="s">
        <v>1922</v>
      </c>
      <c r="D512" s="1" t="s">
        <v>1922</v>
      </c>
      <c r="E512" s="1">
        <v>30810</v>
      </c>
      <c r="F512" s="1" t="s">
        <v>2126</v>
      </c>
      <c r="G512" s="1" t="s">
        <v>1136</v>
      </c>
      <c r="H512" s="1" t="s">
        <v>1137</v>
      </c>
      <c r="I512" s="1">
        <v>38.32</v>
      </c>
      <c r="J512" s="1">
        <v>38.32</v>
      </c>
      <c r="K512" s="1" t="s">
        <v>495</v>
      </c>
      <c r="L512" s="1">
        <v>1</v>
      </c>
      <c r="M512" s="3">
        <v>2017</v>
      </c>
      <c r="O512" s="1">
        <v>1</v>
      </c>
      <c r="P512" s="1" t="str">
        <f t="shared" si="15"/>
        <v>Alto fuste</v>
      </c>
      <c r="Q512" s="2">
        <v>43089</v>
      </c>
      <c r="R512" s="1" t="s">
        <v>169</v>
      </c>
      <c r="S512" s="1" t="s">
        <v>348</v>
      </c>
      <c r="T512" s="1" t="s">
        <v>2268</v>
      </c>
      <c r="U512" s="1" t="s">
        <v>495</v>
      </c>
      <c r="V512" s="1" t="s">
        <v>152</v>
      </c>
      <c r="W512" s="2">
        <v>44848</v>
      </c>
      <c r="X512" s="1" t="s">
        <v>1138</v>
      </c>
      <c r="Y512" s="1">
        <v>66.100000000000009</v>
      </c>
      <c r="Z512" s="1">
        <v>19.600000000000001</v>
      </c>
      <c r="AA512" s="1">
        <v>0</v>
      </c>
      <c r="AB512" s="1">
        <v>15.9</v>
      </c>
      <c r="AC512" s="1">
        <v>0</v>
      </c>
      <c r="AD512" s="3">
        <v>311.64</v>
      </c>
      <c r="AE512" s="3">
        <v>311.64</v>
      </c>
      <c r="AF512" s="2">
        <v>45736</v>
      </c>
      <c r="AG512" s="1">
        <v>87</v>
      </c>
      <c r="AH512" s="3">
        <v>7.2470910335386698</v>
      </c>
      <c r="AI512" s="4">
        <v>26.544635011567301</v>
      </c>
      <c r="AJ512" s="4">
        <v>16.112500000000001</v>
      </c>
      <c r="AK512" s="4">
        <v>21.660497060058798</v>
      </c>
      <c r="AL512" s="1">
        <v>32</v>
      </c>
      <c r="AM512" s="5">
        <v>1026.82582466949</v>
      </c>
      <c r="AN512" s="4">
        <v>265.69897033866903</v>
      </c>
      <c r="AO512" s="4">
        <v>0.25875758473857102</v>
      </c>
      <c r="AP512" s="1" t="s">
        <v>348</v>
      </c>
      <c r="AQ512" s="1" t="s">
        <v>156</v>
      </c>
      <c r="AR512" s="1" t="s">
        <v>282</v>
      </c>
      <c r="AS512" s="1">
        <v>9</v>
      </c>
      <c r="AT512" s="4">
        <v>0.92414324220254096</v>
      </c>
      <c r="AU512" s="1" t="s">
        <v>1921</v>
      </c>
      <c r="AV512" s="1" t="s">
        <v>1922</v>
      </c>
      <c r="AW512" s="1">
        <v>1261</v>
      </c>
      <c r="AX512" s="1">
        <v>728</v>
      </c>
      <c r="AY512" s="1">
        <v>418</v>
      </c>
      <c r="AZ512" s="1">
        <v>103</v>
      </c>
      <c r="BA512" s="1">
        <v>12</v>
      </c>
      <c r="BB512" s="1">
        <v>0</v>
      </c>
      <c r="BC512" s="1">
        <v>0</v>
      </c>
      <c r="BD512" s="1">
        <v>0</v>
      </c>
      <c r="BE512" s="1">
        <v>0</v>
      </c>
      <c r="BF512" s="1">
        <v>0</v>
      </c>
      <c r="BG512" s="1">
        <v>0</v>
      </c>
      <c r="BH512" s="4">
        <v>0</v>
      </c>
      <c r="BI512" s="4">
        <v>31.589001</v>
      </c>
      <c r="BJ512" s="4">
        <v>15.334141000000001</v>
      </c>
      <c r="BK512" s="4">
        <v>0</v>
      </c>
      <c r="BL512" s="4">
        <v>12.492348</v>
      </c>
      <c r="BM512" s="4">
        <v>156.058763</v>
      </c>
      <c r="BN512" s="4">
        <v>0.81467500000000004</v>
      </c>
      <c r="BO512" s="4">
        <v>26.005001</v>
      </c>
      <c r="BP512" s="4">
        <v>-6.5567E-2</v>
      </c>
      <c r="BQ512" s="4">
        <v>1.1880569999999999</v>
      </c>
      <c r="BR512" s="4">
        <v>11.948105999999999</v>
      </c>
      <c r="BS512" s="4">
        <v>11.977999000000001</v>
      </c>
      <c r="BT512" s="4">
        <v>17.853000999999999</v>
      </c>
      <c r="BU512" s="4">
        <v>15.334141000000001</v>
      </c>
      <c r="BV512" s="4">
        <v>6.8842220000000003</v>
      </c>
      <c r="BW512" s="4">
        <v>-0.140427</v>
      </c>
      <c r="BX512" s="4">
        <v>-1.164644</v>
      </c>
      <c r="BY512" s="4">
        <v>0.44894699999999998</v>
      </c>
      <c r="BZ512" s="4">
        <v>-2.0397999999999999E-2</v>
      </c>
      <c r="CA512" s="4">
        <v>-0.16917599999999999</v>
      </c>
      <c r="CB512" s="4">
        <v>3.0000000000000001E-3</v>
      </c>
      <c r="CC512" s="4">
        <v>2.5999999999999999E-2</v>
      </c>
      <c r="CD512" s="4">
        <v>6.5000000000000002E-2</v>
      </c>
      <c r="CE512" s="4">
        <v>1.32</v>
      </c>
      <c r="CF512" s="4">
        <v>2.0489999999999999</v>
      </c>
      <c r="CG512" s="4">
        <v>2.6520000000000001</v>
      </c>
      <c r="CH512" s="4">
        <v>5.0170000000000003</v>
      </c>
      <c r="CI512" s="4">
        <v>17.853000999999999</v>
      </c>
      <c r="CJ512" s="4">
        <v>25.655000999999999</v>
      </c>
      <c r="CK512" s="4">
        <v>27.535999</v>
      </c>
      <c r="CL512" s="4">
        <v>28.054001</v>
      </c>
      <c r="CM512" s="4">
        <v>28.556000000000001</v>
      </c>
      <c r="CN512" s="4">
        <v>29.606999999999999</v>
      </c>
      <c r="CO512" s="4">
        <v>30.292998999999998</v>
      </c>
      <c r="CP512" s="4">
        <v>31.002399</v>
      </c>
      <c r="CQ512" s="4">
        <v>0.485427</v>
      </c>
      <c r="CR512" s="4">
        <v>19.775511999999999</v>
      </c>
      <c r="CS512" s="4">
        <v>22.002246</v>
      </c>
      <c r="CT512" s="1">
        <v>23</v>
      </c>
      <c r="CU512" s="1">
        <v>489</v>
      </c>
      <c r="CV512" s="4">
        <v>128.54559900000001</v>
      </c>
      <c r="CW512" s="4">
        <v>37.793650999999997</v>
      </c>
      <c r="CX512" s="4">
        <v>85.809121000000005</v>
      </c>
      <c r="CY512" s="4">
        <v>7363.2052599999997</v>
      </c>
      <c r="CZ512" s="4">
        <v>0.66753799999999996</v>
      </c>
      <c r="DA512" s="4">
        <v>115</v>
      </c>
      <c r="DB512" s="4">
        <v>1.1717869999999999</v>
      </c>
      <c r="DC512" s="4">
        <v>4.3745399999999997</v>
      </c>
      <c r="DD512" s="4">
        <v>67.675172000000003</v>
      </c>
      <c r="DE512" s="4">
        <v>128.54559900000001</v>
      </c>
      <c r="DF512" s="4">
        <v>46.300195000000002</v>
      </c>
      <c r="DG512" s="4">
        <v>10.690023999999999</v>
      </c>
      <c r="DH512" s="4">
        <v>4.7464529999999998</v>
      </c>
      <c r="DI512" s="4">
        <v>0.36018499999999998</v>
      </c>
      <c r="DJ512" s="4">
        <v>0.23088500000000001</v>
      </c>
      <c r="DK512" s="4">
        <v>0.102515</v>
      </c>
      <c r="DL512" s="4">
        <v>27</v>
      </c>
      <c r="DM512" s="4">
        <v>33</v>
      </c>
      <c r="DN512" s="4">
        <v>39</v>
      </c>
      <c r="DO512" s="4">
        <v>49</v>
      </c>
      <c r="DP512" s="4">
        <v>58</v>
      </c>
      <c r="DQ512" s="4">
        <v>67</v>
      </c>
      <c r="DR512" s="4">
        <v>88</v>
      </c>
      <c r="DS512" s="4">
        <v>111</v>
      </c>
      <c r="DT512" s="4">
        <v>135</v>
      </c>
      <c r="DU512" s="4">
        <v>160</v>
      </c>
      <c r="DV512" s="4">
        <v>173</v>
      </c>
      <c r="DW512" s="4">
        <v>192</v>
      </c>
      <c r="DX512" s="4">
        <v>243</v>
      </c>
      <c r="DY512" s="4">
        <v>293</v>
      </c>
      <c r="DZ512" s="4">
        <v>410.800049</v>
      </c>
      <c r="EA512" s="4">
        <v>86.401099000000002</v>
      </c>
      <c r="EB512" s="4">
        <v>68.437747999999999</v>
      </c>
      <c r="EC512" s="4">
        <v>118.54395599999999</v>
      </c>
      <c r="ED512" s="4">
        <v>629</v>
      </c>
      <c r="EE512" s="4">
        <v>863</v>
      </c>
      <c r="EF512" s="4">
        <v>78.021978000000004</v>
      </c>
      <c r="EG512" s="4">
        <v>100</v>
      </c>
      <c r="EH512" s="4">
        <v>52.97383</v>
      </c>
      <c r="EI512" s="4">
        <v>99.762094000000005</v>
      </c>
      <c r="EJ512" s="4">
        <v>91.758241999999996</v>
      </c>
      <c r="EK512" s="4">
        <v>172.802198</v>
      </c>
      <c r="EL512" s="4">
        <v>568</v>
      </c>
      <c r="EM512" s="4">
        <v>728</v>
      </c>
      <c r="EN512" s="4">
        <v>668</v>
      </c>
      <c r="EO512" s="4">
        <v>1258</v>
      </c>
      <c r="EP512" s="4">
        <v>728</v>
      </c>
      <c r="EQ512" s="4">
        <v>1261</v>
      </c>
      <c r="ER512" s="4">
        <v>48.422542999999997</v>
      </c>
    </row>
    <row r="513" spans="1:148" x14ac:dyDescent="0.2">
      <c r="A513" s="1">
        <v>2025</v>
      </c>
      <c r="B513" s="1" t="str">
        <f t="shared" si="14"/>
        <v>RD</v>
      </c>
      <c r="C513" s="1" t="s">
        <v>1924</v>
      </c>
      <c r="D513" s="1" t="s">
        <v>1924</v>
      </c>
      <c r="E513" s="1">
        <v>30983</v>
      </c>
      <c r="F513" s="1" t="s">
        <v>2126</v>
      </c>
      <c r="G513" s="1" t="s">
        <v>1136</v>
      </c>
      <c r="H513" s="1" t="s">
        <v>1137</v>
      </c>
      <c r="I513" s="1">
        <v>38.32</v>
      </c>
      <c r="J513" s="1">
        <v>38.32</v>
      </c>
      <c r="K513" s="1" t="s">
        <v>495</v>
      </c>
      <c r="L513" s="1">
        <v>1</v>
      </c>
      <c r="M513" s="3">
        <v>2017</v>
      </c>
      <c r="O513" s="1">
        <v>1</v>
      </c>
      <c r="P513" s="1" t="str">
        <f t="shared" si="15"/>
        <v>Alto fuste</v>
      </c>
      <c r="Q513" s="2">
        <v>43089</v>
      </c>
      <c r="R513" s="1" t="s">
        <v>169</v>
      </c>
      <c r="S513" s="1" t="s">
        <v>348</v>
      </c>
      <c r="T513" s="1" t="s">
        <v>2268</v>
      </c>
      <c r="U513" s="1" t="s">
        <v>495</v>
      </c>
      <c r="V513" s="1" t="s">
        <v>152</v>
      </c>
      <c r="W513" s="2">
        <v>45736</v>
      </c>
      <c r="X513" s="1" t="s">
        <v>1138</v>
      </c>
      <c r="Y513" s="1">
        <v>66.100000000000009</v>
      </c>
      <c r="Z513" s="1">
        <v>19.3</v>
      </c>
      <c r="AA513" s="1">
        <v>28</v>
      </c>
      <c r="AB513" s="1">
        <v>14.7</v>
      </c>
      <c r="AC513" s="1">
        <v>0</v>
      </c>
      <c r="AD513" s="3">
        <v>283.70999999999998</v>
      </c>
      <c r="AE513" s="3">
        <v>250.50106157000599</v>
      </c>
      <c r="AF513" s="2">
        <v>45736</v>
      </c>
      <c r="AG513" s="1">
        <v>87</v>
      </c>
      <c r="AH513" s="3">
        <v>7.2470910335386698</v>
      </c>
      <c r="AI513" s="4">
        <v>28.262119425336</v>
      </c>
      <c r="AJ513" s="4">
        <v>17.753571428571401</v>
      </c>
      <c r="AK513" s="4">
        <v>28.2522982574359</v>
      </c>
      <c r="AL513" s="1">
        <v>28</v>
      </c>
      <c r="AM513" s="5">
        <v>1117.7597342107499</v>
      </c>
      <c r="AN513" s="4">
        <v>362.27956406162599</v>
      </c>
      <c r="AO513" s="4">
        <v>0.32411219779484401</v>
      </c>
      <c r="AP513" s="1" t="s">
        <v>348</v>
      </c>
      <c r="AQ513" s="1" t="s">
        <v>156</v>
      </c>
      <c r="AR513" s="1" t="s">
        <v>282</v>
      </c>
      <c r="AS513" s="1">
        <v>9</v>
      </c>
      <c r="AT513" s="4">
        <v>1.0059837607896749</v>
      </c>
      <c r="AU513" s="1" t="s">
        <v>1923</v>
      </c>
      <c r="AV513" s="1" t="s">
        <v>1924</v>
      </c>
      <c r="AW513" s="1">
        <v>987</v>
      </c>
      <c r="AX513" s="1">
        <v>624</v>
      </c>
      <c r="AY513" s="1">
        <v>280</v>
      </c>
      <c r="AZ513" s="1">
        <v>73</v>
      </c>
      <c r="BA513" s="1">
        <v>9</v>
      </c>
      <c r="BB513" s="1">
        <v>1</v>
      </c>
      <c r="BC513" s="1">
        <v>0</v>
      </c>
      <c r="BD513" s="1">
        <v>0</v>
      </c>
      <c r="BE513" s="1">
        <v>0</v>
      </c>
      <c r="BF513" s="1">
        <v>0</v>
      </c>
      <c r="BG513" s="1">
        <v>0</v>
      </c>
      <c r="BH513" s="4">
        <v>0</v>
      </c>
      <c r="BI513" s="4">
        <v>34.004002</v>
      </c>
      <c r="BJ513" s="4">
        <v>18.389351999999999</v>
      </c>
      <c r="BK513" s="4">
        <v>0</v>
      </c>
      <c r="BL513" s="4">
        <v>13.516014999999999</v>
      </c>
      <c r="BM513" s="4">
        <v>182.68266399999999</v>
      </c>
      <c r="BN513" s="4">
        <v>0.73499099999999995</v>
      </c>
      <c r="BO513" s="4">
        <v>29.253</v>
      </c>
      <c r="BP513" s="4">
        <v>-0.44323499999999999</v>
      </c>
      <c r="BQ513" s="4">
        <v>1.318964</v>
      </c>
      <c r="BR513" s="4">
        <v>12.873377</v>
      </c>
      <c r="BS513" s="4">
        <v>3.8239990000000001</v>
      </c>
      <c r="BT513" s="4">
        <v>27.6</v>
      </c>
      <c r="BU513" s="4">
        <v>18.389351999999999</v>
      </c>
      <c r="BV513" s="4">
        <v>7.1592650000000004</v>
      </c>
      <c r="BW513" s="4">
        <v>-1.258081</v>
      </c>
      <c r="BX513" s="4">
        <v>-1.025066</v>
      </c>
      <c r="BY513" s="4">
        <v>0.389316</v>
      </c>
      <c r="BZ513" s="4">
        <v>-0.175728</v>
      </c>
      <c r="CA513" s="4">
        <v>-0.14318</v>
      </c>
      <c r="CB513" s="4">
        <v>2E-3</v>
      </c>
      <c r="CC513" s="4">
        <v>1.2999999999999999E-2</v>
      </c>
      <c r="CD513" s="4">
        <v>2.6599999999999999E-2</v>
      </c>
      <c r="CE513" s="4">
        <v>8.2000000000000003E-2</v>
      </c>
      <c r="CF513" s="4">
        <v>0.52549999999999997</v>
      </c>
      <c r="CG513" s="4">
        <v>3.2667989999999998</v>
      </c>
      <c r="CH513" s="4">
        <v>19.815000999999999</v>
      </c>
      <c r="CI513" s="4">
        <v>27.6</v>
      </c>
      <c r="CJ513" s="4">
        <v>28.632401000000002</v>
      </c>
      <c r="CK513" s="4">
        <v>29.399401000000001</v>
      </c>
      <c r="CL513" s="4">
        <v>29.778500000000001</v>
      </c>
      <c r="CM513" s="4">
        <v>30.096399000000002</v>
      </c>
      <c r="CN513" s="4">
        <v>31.041401</v>
      </c>
      <c r="CO513" s="4">
        <v>31.808900999999999</v>
      </c>
      <c r="CP513" s="4">
        <v>32.820262999999997</v>
      </c>
      <c r="CQ513" s="4">
        <v>0.54079999999999995</v>
      </c>
      <c r="CR513" s="4">
        <v>22.818103000000001</v>
      </c>
      <c r="CS513" s="4">
        <v>24.767669000000001</v>
      </c>
      <c r="CT513" s="1">
        <v>23</v>
      </c>
      <c r="CU513" s="1">
        <v>568</v>
      </c>
      <c r="CV513" s="4">
        <v>152.63019299999999</v>
      </c>
      <c r="CW513" s="4">
        <v>31.650794000000001</v>
      </c>
      <c r="CX513" s="4">
        <v>109.73089</v>
      </c>
      <c r="CY513" s="4">
        <v>12040.868179999999</v>
      </c>
      <c r="CZ513" s="4">
        <v>0.71893300000000004</v>
      </c>
      <c r="DA513" s="4">
        <v>134</v>
      </c>
      <c r="DB513" s="4">
        <v>1.32216</v>
      </c>
      <c r="DC513" s="4">
        <v>4.5128159999999999</v>
      </c>
      <c r="DD513" s="4">
        <v>83.843372000000002</v>
      </c>
      <c r="DE513" s="4">
        <v>152.63019299999999</v>
      </c>
      <c r="DF513" s="4">
        <v>58.057042000000003</v>
      </c>
      <c r="DG513" s="4">
        <v>15.476115</v>
      </c>
      <c r="DH513" s="4">
        <v>8.1376209999999993</v>
      </c>
      <c r="DI513" s="4">
        <v>0.38037700000000002</v>
      </c>
      <c r="DJ513" s="4">
        <v>0.266567</v>
      </c>
      <c r="DK513" s="4">
        <v>0.14016600000000001</v>
      </c>
      <c r="DL513" s="4">
        <v>26</v>
      </c>
      <c r="DM513" s="4">
        <v>33</v>
      </c>
      <c r="DN513" s="4">
        <v>41</v>
      </c>
      <c r="DO513" s="4">
        <v>59</v>
      </c>
      <c r="DP513" s="4">
        <v>67</v>
      </c>
      <c r="DQ513" s="4">
        <v>77</v>
      </c>
      <c r="DR513" s="4">
        <v>102.39999400000001</v>
      </c>
      <c r="DS513" s="4">
        <v>127</v>
      </c>
      <c r="DT513" s="4">
        <v>151.599976</v>
      </c>
      <c r="DU513" s="4">
        <v>182</v>
      </c>
      <c r="DV513" s="4">
        <v>201</v>
      </c>
      <c r="DW513" s="4">
        <v>221</v>
      </c>
      <c r="DX513" s="4">
        <v>301.800049</v>
      </c>
      <c r="DY513" s="4">
        <v>399.40002399999997</v>
      </c>
      <c r="DZ513" s="4">
        <v>490.14001500000001</v>
      </c>
      <c r="EA513" s="4">
        <v>88.621795000000006</v>
      </c>
      <c r="EB513" s="4">
        <v>70.618033999999994</v>
      </c>
      <c r="EC513" s="4">
        <v>111.698718</v>
      </c>
      <c r="ED513" s="4">
        <v>553</v>
      </c>
      <c r="EE513" s="4">
        <v>697</v>
      </c>
      <c r="EF513" s="4">
        <v>79.647435999999999</v>
      </c>
      <c r="EG513" s="4">
        <v>100</v>
      </c>
      <c r="EH513" s="4">
        <v>60.587639000000003</v>
      </c>
      <c r="EI513" s="4">
        <v>99.898683000000005</v>
      </c>
      <c r="EJ513" s="4">
        <v>95.833332999999996</v>
      </c>
      <c r="EK513" s="4">
        <v>158.012821</v>
      </c>
      <c r="EL513" s="4">
        <v>497</v>
      </c>
      <c r="EM513" s="4">
        <v>624</v>
      </c>
      <c r="EN513" s="4">
        <v>598</v>
      </c>
      <c r="EO513" s="4">
        <v>986</v>
      </c>
      <c r="EP513" s="4">
        <v>624</v>
      </c>
      <c r="EQ513" s="4">
        <v>987</v>
      </c>
      <c r="ER513" s="4">
        <v>55.041891999999997</v>
      </c>
    </row>
  </sheetData>
  <autoFilter ref="B1:ER513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ippolito</cp:lastModifiedBy>
  <dcterms:created xsi:type="dcterms:W3CDTF">2025-05-21T17:00:23Z</dcterms:created>
  <dcterms:modified xsi:type="dcterms:W3CDTF">2026-01-09T16:36:29Z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b4b78a-8dd5-44a1-8797-64ecb974e9c0_Enabled">
    <vt:lpwstr>true</vt:lpwstr>
  </property>
  <property fmtid="{D5CDD505-2E9C-101B-9397-08002B2CF9AE}" pid="3" name="MSIP_Label_46b4b78a-8dd5-44a1-8797-64ecb974e9c0_SetDate">
    <vt:lpwstr>2025-05-25T14:25:58Z</vt:lpwstr>
  </property>
  <property fmtid="{D5CDD505-2E9C-101B-9397-08002B2CF9AE}" pid="4" name="MSIP_Label_46b4b78a-8dd5-44a1-8797-64ecb974e9c0_Method">
    <vt:lpwstr>Standard</vt:lpwstr>
  </property>
  <property fmtid="{D5CDD505-2E9C-101B-9397-08002B2CF9AE}" pid="5" name="MSIP_Label_46b4b78a-8dd5-44a1-8797-64ecb974e9c0_Name">
    <vt:lpwstr>Publico</vt:lpwstr>
  </property>
  <property fmtid="{D5CDD505-2E9C-101B-9397-08002B2CF9AE}" pid="6" name="MSIP_Label_46b4b78a-8dd5-44a1-8797-64ecb974e9c0_SiteId">
    <vt:lpwstr>73bc9ef1-4cc3-4ea8-b99f-0b134a3a450e</vt:lpwstr>
  </property>
  <property fmtid="{D5CDD505-2E9C-101B-9397-08002B2CF9AE}" pid="7" name="MSIP_Label_46b4b78a-8dd5-44a1-8797-64ecb974e9c0_ActionId">
    <vt:lpwstr>e52c67d0-9c11-414a-bbab-751eaf7f5cee</vt:lpwstr>
  </property>
  <property fmtid="{D5CDD505-2E9C-101B-9397-08002B2CF9AE}" pid="8" name="MSIP_Label_46b4b78a-8dd5-44a1-8797-64ecb974e9c0_ContentBits">
    <vt:lpwstr>0</vt:lpwstr>
  </property>
  <property fmtid="{D5CDD505-2E9C-101B-9397-08002B2CF9AE}" pid="9" name="MSIP_Label_46b4b78a-8dd5-44a1-8797-64ecb974e9c0_Tag">
    <vt:lpwstr>10, 3, 0, 1</vt:lpwstr>
  </property>
</Properties>
</file>